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C0DF3A7-7852-485E-847B-570A0897CCF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16" i="5"/>
  <c r="C122" i="5"/>
  <c r="C133" i="5" s="1"/>
  <c r="D136" i="5" s="1"/>
  <c r="C122" i="3"/>
  <c r="C133" i="3" s="1"/>
  <c r="D136" i="3" s="1"/>
  <c r="C116" i="3"/>
  <c r="C116" i="4"/>
  <c r="R765" i="1"/>
  <c r="S765" i="1" s="1"/>
  <c r="T765" i="1" s="1"/>
  <c r="C136" i="4" l="1"/>
  <c r="C138" i="4" s="1"/>
  <c r="R764" i="1"/>
  <c r="R763" i="1" s="1"/>
  <c r="C136" i="5"/>
  <c r="C138" i="5" s="1"/>
  <c r="C136" i="3"/>
  <c r="C138" i="3" s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<sst xmlns="http://schemas.openxmlformats.org/spreadsheetml/2006/main" count="8135" uniqueCount="34">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</sst>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0.51070000000000004</c:v>
                </c:pt>
                <c:pt idx="1">
                  <c:v>0.52300000000000002</c:v>
                </c:pt>
                <c:pt idx="2">
                  <c:v>0.51180000000000003</c:v>
                </c:pt>
                <c:pt idx="3">
                  <c:v>0.51659999999999995</c:v>
                </c:pt>
                <c:pt idx="4">
                  <c:v>0.57240000000000002</c:v>
                </c:pt>
                <c:pt idx="5">
                  <c:v>0.56430000000000002</c:v>
                </c:pt>
                <c:pt idx="6">
                  <c:v>0.70620000000000005</c:v>
                </c:pt>
                <c:pt idx="7">
                  <c:v>0.80289999999999995</c:v>
                </c:pt>
                <c:pt idx="8">
                  <c:v>0.81599999999999995</c:v>
                </c:pt>
                <c:pt idx="9">
                  <c:v>0.86499999999999999</c:v>
                </c:pt>
                <c:pt idx="10">
                  <c:v>0.92390000000000005</c:v>
                </c:pt>
                <c:pt idx="11">
                  <c:v>0.87539999999999996</c:v>
                </c:pt>
                <c:pt idx="12">
                  <c:v>0.86509999999999998</c:v>
                </c:pt>
                <c:pt idx="13">
                  <c:v>0.76970000000000005</c:v>
                </c:pt>
                <c:pt idx="14">
                  <c:v>0.745</c:v>
                </c:pt>
                <c:pt idx="15">
                  <c:v>0.77690000000000003</c:v>
                </c:pt>
                <c:pt idx="16">
                  <c:v>0.74819999999999998</c:v>
                </c:pt>
                <c:pt idx="17">
                  <c:v>0.66139999999999999</c:v>
                </c:pt>
                <c:pt idx="18">
                  <c:v>0.70750000000000002</c:v>
                </c:pt>
                <c:pt idx="19">
                  <c:v>0.68520000000000003</c:v>
                </c:pt>
                <c:pt idx="20">
                  <c:v>0.71360000000000001</c:v>
                </c:pt>
                <c:pt idx="21">
                  <c:v>0.76970000000000005</c:v>
                </c:pt>
                <c:pt idx="22">
                  <c:v>0.76049999999999995</c:v>
                </c:pt>
                <c:pt idx="23">
                  <c:v>0.86429999999999996</c:v>
                </c:pt>
                <c:pt idx="24">
                  <c:v>0.83099999999999996</c:v>
                </c:pt>
                <c:pt idx="25">
                  <c:v>0.87509999999999999</c:v>
                </c:pt>
                <c:pt idx="26">
                  <c:v>0.92159999999999997</c:v>
                </c:pt>
                <c:pt idx="27">
                  <c:v>0.81</c:v>
                </c:pt>
                <c:pt idx="28">
                  <c:v>0.75960000000000005</c:v>
                </c:pt>
                <c:pt idx="29">
                  <c:v>0.72960000000000003</c:v>
                </c:pt>
                <c:pt idx="30">
                  <c:v>0.70530000000000004</c:v>
                </c:pt>
                <c:pt idx="31">
                  <c:v>0.76839999999999997</c:v>
                </c:pt>
                <c:pt idx="32">
                  <c:v>0.80759999999999998</c:v>
                </c:pt>
                <c:pt idx="33">
                  <c:v>0.8175</c:v>
                </c:pt>
                <c:pt idx="34">
                  <c:v>0.79600000000000004</c:v>
                </c:pt>
                <c:pt idx="35">
                  <c:v>0.72209999999999996</c:v>
                </c:pt>
                <c:pt idx="36">
                  <c:v>0.67459999999999998</c:v>
                </c:pt>
                <c:pt idx="37">
                  <c:v>0.65280000000000005</c:v>
                </c:pt>
                <c:pt idx="38">
                  <c:v>0.5534</c:v>
                </c:pt>
                <c:pt idx="39">
                  <c:v>0.58169999999999999</c:v>
                </c:pt>
                <c:pt idx="40">
                  <c:v>0.58189999999999997</c:v>
                </c:pt>
                <c:pt idx="41">
                  <c:v>0.55589999999999995</c:v>
                </c:pt>
                <c:pt idx="42">
                  <c:v>0.56640000000000001</c:v>
                </c:pt>
                <c:pt idx="43">
                  <c:v>0.54810000000000003</c:v>
                </c:pt>
                <c:pt idx="44">
                  <c:v>0.53559999999999997</c:v>
                </c:pt>
                <c:pt idx="45">
                  <c:v>0.52990000000000004</c:v>
                </c:pt>
                <c:pt idx="46">
                  <c:v>0.62050000000000005</c:v>
                </c:pt>
                <c:pt idx="47">
                  <c:v>0.56130000000000002</c:v>
                </c:pt>
                <c:pt idx="48">
                  <c:v>0.55730000000000002</c:v>
                </c:pt>
                <c:pt idx="49">
                  <c:v>0.59209999999999996</c:v>
                </c:pt>
                <c:pt idx="50">
                  <c:v>0.66790000000000005</c:v>
                </c:pt>
                <c:pt idx="51">
                  <c:v>0.64690000000000003</c:v>
                </c:pt>
                <c:pt idx="52">
                  <c:v>0.65900000000000003</c:v>
                </c:pt>
                <c:pt idx="53">
                  <c:v>0.60980000000000001</c:v>
                </c:pt>
                <c:pt idx="54">
                  <c:v>0.6784</c:v>
                </c:pt>
                <c:pt idx="55">
                  <c:v>0.82320000000000004</c:v>
                </c:pt>
                <c:pt idx="56">
                  <c:v>0.90190000000000003</c:v>
                </c:pt>
                <c:pt idx="57">
                  <c:v>0.92949999999999999</c:v>
                </c:pt>
                <c:pt idx="58">
                  <c:v>0.94740000000000002</c:v>
                </c:pt>
                <c:pt idx="59">
                  <c:v>1.0004999999999999</c:v>
                </c:pt>
                <c:pt idx="60">
                  <c:v>1.0350999999999999</c:v>
                </c:pt>
                <c:pt idx="61">
                  <c:v>0.98089999999999999</c:v>
                </c:pt>
                <c:pt idx="62">
                  <c:v>1.0226</c:v>
                </c:pt>
                <c:pt idx="63">
                  <c:v>1.202</c:v>
                </c:pt>
                <c:pt idx="64">
                  <c:v>1.294</c:v>
                </c:pt>
                <c:pt idx="65">
                  <c:v>1.2693000000000001</c:v>
                </c:pt>
                <c:pt idx="66">
                  <c:v>1.2927999999999999</c:v>
                </c:pt>
                <c:pt idx="67">
                  <c:v>1.2212000000000001</c:v>
                </c:pt>
                <c:pt idx="68">
                  <c:v>1.4112</c:v>
                </c:pt>
                <c:pt idx="69">
                  <c:v>1.1607000000000001</c:v>
                </c:pt>
                <c:pt idx="70">
                  <c:v>1.1725000000000001</c:v>
                </c:pt>
                <c:pt idx="71">
                  <c:v>1.0993999999999999</c:v>
                </c:pt>
                <c:pt idx="72">
                  <c:v>1.1278999999999999</c:v>
                </c:pt>
                <c:pt idx="73">
                  <c:v>1.1735</c:v>
                </c:pt>
                <c:pt idx="74">
                  <c:v>1.2239</c:v>
                </c:pt>
                <c:pt idx="75">
                  <c:v>1.1147</c:v>
                </c:pt>
                <c:pt idx="76">
                  <c:v>1.2119</c:v>
                </c:pt>
                <c:pt idx="77">
                  <c:v>1.0953999999999999</c:v>
                </c:pt>
                <c:pt idx="78">
                  <c:v>1.1201000000000001</c:v>
                </c:pt>
                <c:pt idx="79">
                  <c:v>0.77349999999999997</c:v>
                </c:pt>
                <c:pt idx="80">
                  <c:v>0.79200000000000004</c:v>
                </c:pt>
                <c:pt idx="81">
                  <c:v>0.82820000000000005</c:v>
                </c:pt>
                <c:pt idx="82">
                  <c:v>0.88980000000000004</c:v>
                </c:pt>
                <c:pt idx="83">
                  <c:v>0.9073</c:v>
                </c:pt>
                <c:pt idx="84">
                  <c:v>0.75049999999999994</c:v>
                </c:pt>
                <c:pt idx="85">
                  <c:v>0.66120000000000001</c:v>
                </c:pt>
                <c:pt idx="86">
                  <c:v>0.745</c:v>
                </c:pt>
                <c:pt idx="87">
                  <c:v>0.49640000000000001</c:v>
                </c:pt>
                <c:pt idx="88">
                  <c:v>0.438</c:v>
                </c:pt>
                <c:pt idx="89">
                  <c:v>0.46439999999999998</c:v>
                </c:pt>
                <c:pt idx="90">
                  <c:v>0.38840000000000002</c:v>
                </c:pt>
                <c:pt idx="91">
                  <c:v>0.33660000000000001</c:v>
                </c:pt>
                <c:pt idx="92">
                  <c:v>0.3175</c:v>
                </c:pt>
                <c:pt idx="93">
                  <c:v>0.36720000000000003</c:v>
                </c:pt>
                <c:pt idx="94">
                  <c:v>0.35520000000000002</c:v>
                </c:pt>
                <c:pt idx="95">
                  <c:v>0.34960000000000002</c:v>
                </c:pt>
                <c:pt idx="96">
                  <c:v>0.36609999999999998</c:v>
                </c:pt>
                <c:pt idx="97">
                  <c:v>0.3604</c:v>
                </c:pt>
                <c:pt idx="98">
                  <c:v>0.34789999999999999</c:v>
                </c:pt>
                <c:pt idx="99">
                  <c:v>0.36099999999999999</c:v>
                </c:pt>
                <c:pt idx="100">
                  <c:v>0.34710000000000002</c:v>
                </c:pt>
                <c:pt idx="101">
                  <c:v>0.34210000000000002</c:v>
                </c:pt>
                <c:pt idx="102">
                  <c:v>0.35049999999999998</c:v>
                </c:pt>
                <c:pt idx="103">
                  <c:v>0.36330000000000001</c:v>
                </c:pt>
                <c:pt idx="104">
                  <c:v>0.36649999999999999</c:v>
                </c:pt>
                <c:pt idx="105">
                  <c:v>0.33460000000000001</c:v>
                </c:pt>
                <c:pt idx="106">
                  <c:v>0.3377</c:v>
                </c:pt>
                <c:pt idx="107">
                  <c:v>0.32629999999999998</c:v>
                </c:pt>
                <c:pt idx="108">
                  <c:v>0.33110000000000001</c:v>
                </c:pt>
                <c:pt idx="109">
                  <c:v>0.318</c:v>
                </c:pt>
                <c:pt idx="110">
                  <c:v>0.34060000000000001</c:v>
                </c:pt>
                <c:pt idx="111">
                  <c:v>0.34010000000000001</c:v>
                </c:pt>
                <c:pt idx="112">
                  <c:v>0.35859999999999997</c:v>
                </c:pt>
                <c:pt idx="113">
                  <c:v>0.34139999999999998</c:v>
                </c:pt>
                <c:pt idx="114">
                  <c:v>0.34599999999999997</c:v>
                </c:pt>
                <c:pt idx="115">
                  <c:v>0.33260000000000001</c:v>
                </c:pt>
                <c:pt idx="116">
                  <c:v>0.3448</c:v>
                </c:pt>
                <c:pt idx="117">
                  <c:v>0.32090000000000002</c:v>
                </c:pt>
                <c:pt idx="118">
                  <c:v>0.33639999999999998</c:v>
                </c:pt>
                <c:pt idx="119">
                  <c:v>0.29049999999999998</c:v>
                </c:pt>
                <c:pt idx="120">
                  <c:v>0.2641</c:v>
                </c:pt>
                <c:pt idx="121">
                  <c:v>0.25369999999999998</c:v>
                </c:pt>
                <c:pt idx="122">
                  <c:v>0.2636</c:v>
                </c:pt>
                <c:pt idx="123">
                  <c:v>0.26079999999999998</c:v>
                </c:pt>
                <c:pt idx="124">
                  <c:v>0.28100000000000003</c:v>
                </c:pt>
                <c:pt idx="125">
                  <c:v>0.28239999999999998</c:v>
                </c:pt>
                <c:pt idx="126">
                  <c:v>0.31180000000000002</c:v>
                </c:pt>
                <c:pt idx="127">
                  <c:v>0.30549999999999999</c:v>
                </c:pt>
                <c:pt idx="128">
                  <c:v>0.25819999999999999</c:v>
                </c:pt>
                <c:pt idx="129">
                  <c:v>0.2944</c:v>
                </c:pt>
                <c:pt idx="130">
                  <c:v>0.3246</c:v>
                </c:pt>
                <c:pt idx="131">
                  <c:v>0.33550000000000002</c:v>
                </c:pt>
                <c:pt idx="132">
                  <c:v>0.33929999999999999</c:v>
                </c:pt>
                <c:pt idx="133">
                  <c:v>0.34350000000000003</c:v>
                </c:pt>
                <c:pt idx="134">
                  <c:v>0.35120000000000001</c:v>
                </c:pt>
                <c:pt idx="135">
                  <c:v>0.31969999999999998</c:v>
                </c:pt>
                <c:pt idx="136">
                  <c:v>0.313</c:v>
                </c:pt>
                <c:pt idx="137">
                  <c:v>0.33119999999999999</c:v>
                </c:pt>
                <c:pt idx="138">
                  <c:v>0.33889999999999998</c:v>
                </c:pt>
                <c:pt idx="139">
                  <c:v>0.34050000000000002</c:v>
                </c:pt>
                <c:pt idx="140">
                  <c:v>0.32079999999999997</c:v>
                </c:pt>
                <c:pt idx="141">
                  <c:v>0.32929999999999998</c:v>
                </c:pt>
                <c:pt idx="142">
                  <c:v>0.32540000000000002</c:v>
                </c:pt>
                <c:pt idx="143">
                  <c:v>0.432</c:v>
                </c:pt>
                <c:pt idx="144">
                  <c:v>0.4536</c:v>
                </c:pt>
                <c:pt idx="145">
                  <c:v>0.442</c:v>
                </c:pt>
                <c:pt idx="146">
                  <c:v>0.43219999999999997</c:v>
                </c:pt>
                <c:pt idx="147">
                  <c:v>0.43209999999999998</c:v>
                </c:pt>
                <c:pt idx="148">
                  <c:v>0.44419999999999998</c:v>
                </c:pt>
                <c:pt idx="149">
                  <c:v>0.43149999999999999</c:v>
                </c:pt>
                <c:pt idx="150">
                  <c:v>0.43809999999999999</c:v>
                </c:pt>
                <c:pt idx="151">
                  <c:v>0.4783</c:v>
                </c:pt>
                <c:pt idx="152">
                  <c:v>0.46029999999999999</c:v>
                </c:pt>
                <c:pt idx="153">
                  <c:v>0.40710000000000002</c:v>
                </c:pt>
                <c:pt idx="154">
                  <c:v>0.38979999999999998</c:v>
                </c:pt>
                <c:pt idx="155">
                  <c:v>0.41493999999999998</c:v>
                </c:pt>
                <c:pt idx="156">
                  <c:v>0.36342000000000002</c:v>
                </c:pt>
                <c:pt idx="157">
                  <c:v>0.41108</c:v>
                </c:pt>
                <c:pt idx="158">
                  <c:v>0.40672999999999998</c:v>
                </c:pt>
                <c:pt idx="159">
                  <c:v>0.40222000000000002</c:v>
                </c:pt>
                <c:pt idx="160">
                  <c:v>0.38375999999999999</c:v>
                </c:pt>
                <c:pt idx="161">
                  <c:v>0.38234000000000001</c:v>
                </c:pt>
                <c:pt idx="162">
                  <c:v>0.36416999999999999</c:v>
                </c:pt>
                <c:pt idx="163">
                  <c:v>0.35415000000000002</c:v>
                </c:pt>
                <c:pt idx="164">
                  <c:v>0.39118999999999998</c:v>
                </c:pt>
                <c:pt idx="165">
                  <c:v>0.41821000000000003</c:v>
                </c:pt>
                <c:pt idx="166">
                  <c:v>0.33687</c:v>
                </c:pt>
                <c:pt idx="167">
                  <c:v>0.33573999999999998</c:v>
                </c:pt>
                <c:pt idx="168">
                  <c:v>0.32080999999999998</c:v>
                </c:pt>
                <c:pt idx="169">
                  <c:v>0.32913999999999999</c:v>
                </c:pt>
                <c:pt idx="170">
                  <c:v>0.33842</c:v>
                </c:pt>
                <c:pt idx="171">
                  <c:v>0.30957000000000001</c:v>
                </c:pt>
                <c:pt idx="172">
                  <c:v>0.30503999999999998</c:v>
                </c:pt>
                <c:pt idx="173">
                  <c:v>0.32457000000000003</c:v>
                </c:pt>
                <c:pt idx="174">
                  <c:v>0.31941000000000003</c:v>
                </c:pt>
                <c:pt idx="175">
                  <c:v>0.31397000000000003</c:v>
                </c:pt>
                <c:pt idx="176">
                  <c:v>0.32466</c:v>
                </c:pt>
                <c:pt idx="177">
                  <c:v>0.29365000000000002</c:v>
                </c:pt>
                <c:pt idx="178">
                  <c:v>0.30146000000000001</c:v>
                </c:pt>
                <c:pt idx="179">
                  <c:v>0.30626999999999999</c:v>
                </c:pt>
                <c:pt idx="180">
                  <c:v>0.3226</c:v>
                </c:pt>
                <c:pt idx="181">
                  <c:v>0.32721</c:v>
                </c:pt>
                <c:pt idx="182">
                  <c:v>0.33595000000000003</c:v>
                </c:pt>
                <c:pt idx="183">
                  <c:v>0.33859</c:v>
                </c:pt>
                <c:pt idx="184">
                  <c:v>0.35636000000000001</c:v>
                </c:pt>
                <c:pt idx="185">
                  <c:v>0.32629000000000002</c:v>
                </c:pt>
                <c:pt idx="186">
                  <c:v>0.39734999999999998</c:v>
                </c:pt>
                <c:pt idx="187">
                  <c:v>0.34793000000000002</c:v>
                </c:pt>
                <c:pt idx="188">
                  <c:v>0.33542</c:v>
                </c:pt>
                <c:pt idx="189">
                  <c:v>0.26905000000000001</c:v>
                </c:pt>
                <c:pt idx="190">
                  <c:v>0.26951999999999998</c:v>
                </c:pt>
                <c:pt idx="191">
                  <c:v>0.24159</c:v>
                </c:pt>
                <c:pt idx="192">
                  <c:v>0.22753000000000001</c:v>
                </c:pt>
                <c:pt idx="193">
                  <c:v>0.26324999999999998</c:v>
                </c:pt>
                <c:pt idx="194">
                  <c:v>0.19697000000000001</c:v>
                </c:pt>
                <c:pt idx="195">
                  <c:v>0.21153</c:v>
                </c:pt>
                <c:pt idx="196">
                  <c:v>0.25276999999999999</c:v>
                </c:pt>
                <c:pt idx="197">
                  <c:v>0.25163999999999997</c:v>
                </c:pt>
                <c:pt idx="198">
                  <c:v>0.20529</c:v>
                </c:pt>
                <c:pt idx="199">
                  <c:v>0.16456000000000001</c:v>
                </c:pt>
                <c:pt idx="200">
                  <c:v>0.17655000000000001</c:v>
                </c:pt>
                <c:pt idx="201">
                  <c:v>0.19</c:v>
                </c:pt>
                <c:pt idx="202">
                  <c:v>0.15529000000000001</c:v>
                </c:pt>
                <c:pt idx="203">
                  <c:v>0.15279999999999999</c:v>
                </c:pt>
                <c:pt idx="204">
                  <c:v>0.15972</c:v>
                </c:pt>
                <c:pt idx="205">
                  <c:v>0.14809</c:v>
                </c:pt>
                <c:pt idx="206">
                  <c:v>0.14146</c:v>
                </c:pt>
                <c:pt idx="207">
                  <c:v>0.15003</c:v>
                </c:pt>
                <c:pt idx="208">
                  <c:v>0.14105000000000001</c:v>
                </c:pt>
                <c:pt idx="209">
                  <c:v>0.13533999999999999</c:v>
                </c:pt>
                <c:pt idx="210">
                  <c:v>0.13635</c:v>
                </c:pt>
                <c:pt idx="211">
                  <c:v>0.14877000000000001</c:v>
                </c:pt>
                <c:pt idx="212">
                  <c:v>0.14607999999999999</c:v>
                </c:pt>
                <c:pt idx="213">
                  <c:v>0.14477000000000001</c:v>
                </c:pt>
                <c:pt idx="214">
                  <c:v>0.13753000000000001</c:v>
                </c:pt>
                <c:pt idx="215">
                  <c:v>0.13499</c:v>
                </c:pt>
                <c:pt idx="216">
                  <c:v>0.12825</c:v>
                </c:pt>
                <c:pt idx="217">
                  <c:v>0.14668999999999999</c:v>
                </c:pt>
                <c:pt idx="218">
                  <c:v>0.14357</c:v>
                </c:pt>
                <c:pt idx="219">
                  <c:v>0.13275000000000001</c:v>
                </c:pt>
                <c:pt idx="220">
                  <c:v>0.13439999999999999</c:v>
                </c:pt>
                <c:pt idx="221">
                  <c:v>0.1741</c:v>
                </c:pt>
                <c:pt idx="222">
                  <c:v>0.17208999999999999</c:v>
                </c:pt>
                <c:pt idx="223">
                  <c:v>0.1774</c:v>
                </c:pt>
                <c:pt idx="224">
                  <c:v>0.19491</c:v>
                </c:pt>
                <c:pt idx="225">
                  <c:v>0.20233000000000001</c:v>
                </c:pt>
                <c:pt idx="226">
                  <c:v>0.19350000000000001</c:v>
                </c:pt>
                <c:pt idx="227">
                  <c:v>0.19342999999999999</c:v>
                </c:pt>
                <c:pt idx="228">
                  <c:v>0.19200999999999999</c:v>
                </c:pt>
                <c:pt idx="229">
                  <c:v>0.18035000000000001</c:v>
                </c:pt>
                <c:pt idx="230">
                  <c:v>0.19334000000000001</c:v>
                </c:pt>
                <c:pt idx="231">
                  <c:v>0.18845999999999999</c:v>
                </c:pt>
                <c:pt idx="232">
                  <c:v>0.18473999999999999</c:v>
                </c:pt>
                <c:pt idx="233">
                  <c:v>0.18229000000000001</c:v>
                </c:pt>
                <c:pt idx="234">
                  <c:v>0.18054999999999999</c:v>
                </c:pt>
                <c:pt idx="235">
                  <c:v>0.20463999999999999</c:v>
                </c:pt>
                <c:pt idx="236">
                  <c:v>0.18959999999999999</c:v>
                </c:pt>
                <c:pt idx="237">
                  <c:v>0.20402999999999999</c:v>
                </c:pt>
                <c:pt idx="238">
                  <c:v>0.22231999999999999</c:v>
                </c:pt>
                <c:pt idx="239">
                  <c:v>0.21881</c:v>
                </c:pt>
                <c:pt idx="240">
                  <c:v>0.20382</c:v>
                </c:pt>
                <c:pt idx="241">
                  <c:v>0.21228</c:v>
                </c:pt>
                <c:pt idx="242">
                  <c:v>0.18665000000000001</c:v>
                </c:pt>
                <c:pt idx="243">
                  <c:v>0.17971000000000001</c:v>
                </c:pt>
                <c:pt idx="244">
                  <c:v>0.19353000000000001</c:v>
                </c:pt>
                <c:pt idx="245">
                  <c:v>0.22445999999999999</c:v>
                </c:pt>
                <c:pt idx="246">
                  <c:v>0.23271</c:v>
                </c:pt>
                <c:pt idx="247">
                  <c:v>0.22352</c:v>
                </c:pt>
                <c:pt idx="248">
                  <c:v>0.16788</c:v>
                </c:pt>
                <c:pt idx="249">
                  <c:v>0.13635</c:v>
                </c:pt>
                <c:pt idx="250">
                  <c:v>0.1661</c:v>
                </c:pt>
                <c:pt idx="251">
                  <c:v>0.17882999999999999</c:v>
                </c:pt>
                <c:pt idx="252">
                  <c:v>0.21339</c:v>
                </c:pt>
                <c:pt idx="253">
                  <c:v>0.17965999999999999</c:v>
                </c:pt>
                <c:pt idx="254">
                  <c:v>0.29237999999999997</c:v>
                </c:pt>
                <c:pt idx="255">
                  <c:v>0.29522999999999999</c:v>
                </c:pt>
                <c:pt idx="256">
                  <c:v>0.30599999999999999</c:v>
                </c:pt>
                <c:pt idx="257">
                  <c:v>0.31006</c:v>
                </c:pt>
                <c:pt idx="258">
                  <c:v>0.33472000000000002</c:v>
                </c:pt>
                <c:pt idx="259">
                  <c:v>0.31902999999999998</c:v>
                </c:pt>
                <c:pt idx="260">
                  <c:v>0.27584999999999998</c:v>
                </c:pt>
                <c:pt idx="261">
                  <c:v>0.32586999999999999</c:v>
                </c:pt>
                <c:pt idx="262">
                  <c:v>0.29624</c:v>
                </c:pt>
                <c:pt idx="263">
                  <c:v>0.33037</c:v>
                </c:pt>
                <c:pt idx="264">
                  <c:v>0.34506999999999999</c:v>
                </c:pt>
                <c:pt idx="265">
                  <c:v>0.35045999999999999</c:v>
                </c:pt>
                <c:pt idx="266">
                  <c:v>0.3458</c:v>
                </c:pt>
                <c:pt idx="267">
                  <c:v>0.36196</c:v>
                </c:pt>
                <c:pt idx="268">
                  <c:v>0.35442000000000001</c:v>
                </c:pt>
                <c:pt idx="269">
                  <c:v>0.39750000000000002</c:v>
                </c:pt>
                <c:pt idx="270">
                  <c:v>0.42584</c:v>
                </c:pt>
                <c:pt idx="271">
                  <c:v>0.4304</c:v>
                </c:pt>
                <c:pt idx="272">
                  <c:v>0.35629</c:v>
                </c:pt>
                <c:pt idx="273">
                  <c:v>0.37464999999999998</c:v>
                </c:pt>
                <c:pt idx="274">
                  <c:v>0.30062</c:v>
                </c:pt>
                <c:pt idx="275">
                  <c:v>0.31757999999999997</c:v>
                </c:pt>
                <c:pt idx="276">
                  <c:v>0.29178999999999999</c:v>
                </c:pt>
                <c:pt idx="277">
                  <c:v>0.23130000000000001</c:v>
                </c:pt>
                <c:pt idx="278">
                  <c:v>0.24737000000000001</c:v>
                </c:pt>
                <c:pt idx="279">
                  <c:v>0.22375999999999999</c:v>
                </c:pt>
                <c:pt idx="280">
                  <c:v>0.23787</c:v>
                </c:pt>
                <c:pt idx="281">
                  <c:v>0.27594999999999997</c:v>
                </c:pt>
                <c:pt idx="282">
                  <c:v>0.29831999999999997</c:v>
                </c:pt>
                <c:pt idx="283">
                  <c:v>0.28266000000000002</c:v>
                </c:pt>
                <c:pt idx="284">
                  <c:v>0.3236</c:v>
                </c:pt>
                <c:pt idx="285">
                  <c:v>0.39917999999999998</c:v>
                </c:pt>
                <c:pt idx="286">
                  <c:v>0.43552000000000002</c:v>
                </c:pt>
                <c:pt idx="287">
                  <c:v>0.36453000000000002</c:v>
                </c:pt>
                <c:pt idx="288">
                  <c:v>0.34143000000000001</c:v>
                </c:pt>
                <c:pt idx="289">
                  <c:v>0.33943000000000001</c:v>
                </c:pt>
                <c:pt idx="290">
                  <c:v>0.36453999999999998</c:v>
                </c:pt>
                <c:pt idx="291">
                  <c:v>0.34627000000000002</c:v>
                </c:pt>
                <c:pt idx="292">
                  <c:v>0.33629999999999999</c:v>
                </c:pt>
                <c:pt idx="293">
                  <c:v>0.35859999999999997</c:v>
                </c:pt>
                <c:pt idx="294">
                  <c:v>0.35199000000000003</c:v>
                </c:pt>
                <c:pt idx="295">
                  <c:v>0.31030000000000002</c:v>
                </c:pt>
                <c:pt idx="296">
                  <c:v>0.33805000000000002</c:v>
                </c:pt>
                <c:pt idx="297">
                  <c:v>0.34977000000000003</c:v>
                </c:pt>
                <c:pt idx="298">
                  <c:v>0.35997000000000001</c:v>
                </c:pt>
                <c:pt idx="299">
                  <c:v>0.33700000000000002</c:v>
                </c:pt>
                <c:pt idx="300">
                  <c:v>0.38</c:v>
                </c:pt>
                <c:pt idx="301">
                  <c:v>0.38933000000000001</c:v>
                </c:pt>
                <c:pt idx="302">
                  <c:v>0.41326000000000002</c:v>
                </c:pt>
                <c:pt idx="303">
                  <c:v>0.44650000000000001</c:v>
                </c:pt>
                <c:pt idx="304">
                  <c:v>0.40660000000000002</c:v>
                </c:pt>
                <c:pt idx="305">
                  <c:v>0.38079000000000002</c:v>
                </c:pt>
                <c:pt idx="306">
                  <c:v>0.36885000000000001</c:v>
                </c:pt>
                <c:pt idx="307">
                  <c:v>0.39789999999999998</c:v>
                </c:pt>
                <c:pt idx="308">
                  <c:v>0.28676000000000001</c:v>
                </c:pt>
                <c:pt idx="309">
                  <c:v>0.30176999999999998</c:v>
                </c:pt>
                <c:pt idx="310">
                  <c:v>0.32819999999999999</c:v>
                </c:pt>
                <c:pt idx="311">
                  <c:v>0.37485000000000002</c:v>
                </c:pt>
                <c:pt idx="312">
                  <c:v>0.40037</c:v>
                </c:pt>
                <c:pt idx="313">
                  <c:v>0.38128000000000001</c:v>
                </c:pt>
                <c:pt idx="314">
                  <c:v>0.39785999999999999</c:v>
                </c:pt>
                <c:pt idx="315">
                  <c:v>0.39019999999999999</c:v>
                </c:pt>
                <c:pt idx="316">
                  <c:v>0.41310000000000002</c:v>
                </c:pt>
                <c:pt idx="317">
                  <c:v>0.39505000000000001</c:v>
                </c:pt>
                <c:pt idx="318">
                  <c:v>0.48254000000000002</c:v>
                </c:pt>
                <c:pt idx="319">
                  <c:v>0.50931000000000004</c:v>
                </c:pt>
                <c:pt idx="320">
                  <c:v>0.501</c:v>
                </c:pt>
                <c:pt idx="321">
                  <c:v>0.57081000000000004</c:v>
                </c:pt>
                <c:pt idx="322">
                  <c:v>0.43884000000000001</c:v>
                </c:pt>
                <c:pt idx="323">
                  <c:v>0.29803000000000002</c:v>
                </c:pt>
                <c:pt idx="324">
                  <c:v>0.22097</c:v>
                </c:pt>
                <c:pt idx="325">
                  <c:v>0.1298</c:v>
                </c:pt>
                <c:pt idx="326">
                  <c:v>8.3430000000000004E-2</c:v>
                </c:pt>
                <c:pt idx="327">
                  <c:v>7.1959999999999996E-2</c:v>
                </c:pt>
                <c:pt idx="328">
                  <c:v>7.3810000000000001E-2</c:v>
                </c:pt>
                <c:pt idx="329">
                  <c:v>8.616E-2</c:v>
                </c:pt>
                <c:pt idx="330">
                  <c:v>6.7979999999999999E-2</c:v>
                </c:pt>
                <c:pt idx="331">
                  <c:v>5.5460000000000002E-2</c:v>
                </c:pt>
                <c:pt idx="332">
                  <c:v>5.5030000000000003E-2</c:v>
                </c:pt>
                <c:pt idx="333">
                  <c:v>5.0299999999999997E-2</c:v>
                </c:pt>
                <c:pt idx="334">
                  <c:v>5.5820000000000002E-2</c:v>
                </c:pt>
                <c:pt idx="335">
                  <c:v>4.8800000000000003E-2</c:v>
                </c:pt>
                <c:pt idx="336">
                  <c:v>5.0220000000000001E-2</c:v>
                </c:pt>
                <c:pt idx="337">
                  <c:v>5.323E-2</c:v>
                </c:pt>
                <c:pt idx="338">
                  <c:v>5.0310000000000001E-2</c:v>
                </c:pt>
                <c:pt idx="339">
                  <c:v>6.0109999999999997E-2</c:v>
                </c:pt>
                <c:pt idx="340">
                  <c:v>6.5159999999999996E-2</c:v>
                </c:pt>
                <c:pt idx="341">
                  <c:v>5.9889999999999999E-2</c:v>
                </c:pt>
                <c:pt idx="342">
                  <c:v>6.1859999999999998E-2</c:v>
                </c:pt>
                <c:pt idx="343">
                  <c:v>6.5549999999999997E-2</c:v>
                </c:pt>
                <c:pt idx="344">
                  <c:v>6.0949999999999997E-2</c:v>
                </c:pt>
                <c:pt idx="345">
                  <c:v>5.7149999999999999E-2</c:v>
                </c:pt>
                <c:pt idx="346">
                  <c:v>6.0220000000000003E-2</c:v>
                </c:pt>
                <c:pt idx="347">
                  <c:v>6.3299999999999995E-2</c:v>
                </c:pt>
                <c:pt idx="348">
                  <c:v>6.6930000000000003E-2</c:v>
                </c:pt>
                <c:pt idx="349">
                  <c:v>6.4449999999999993E-2</c:v>
                </c:pt>
                <c:pt idx="350">
                  <c:v>6.2659999999999993E-2</c:v>
                </c:pt>
                <c:pt idx="351">
                  <c:v>6.5420000000000006E-2</c:v>
                </c:pt>
                <c:pt idx="352">
                  <c:v>5.0799999999999998E-2</c:v>
                </c:pt>
                <c:pt idx="353">
                  <c:v>4.2029999999999998E-2</c:v>
                </c:pt>
                <c:pt idx="354">
                  <c:v>3.9059999999999997E-2</c:v>
                </c:pt>
                <c:pt idx="355">
                  <c:v>4.0899999999999999E-2</c:v>
                </c:pt>
                <c:pt idx="356">
                  <c:v>4.2959999999999998E-2</c:v>
                </c:pt>
                <c:pt idx="357">
                  <c:v>3.9489999999999997E-2</c:v>
                </c:pt>
                <c:pt idx="358">
                  <c:v>3.9019999999999999E-2</c:v>
                </c:pt>
                <c:pt idx="359">
                  <c:v>3.6310000000000002E-2</c:v>
                </c:pt>
                <c:pt idx="360">
                  <c:v>3.6650000000000002E-2</c:v>
                </c:pt>
                <c:pt idx="361">
                  <c:v>3.73E-2</c:v>
                </c:pt>
                <c:pt idx="362">
                  <c:v>3.2989999999999998E-2</c:v>
                </c:pt>
                <c:pt idx="363">
                  <c:v>3.3349999999999998E-2</c:v>
                </c:pt>
                <c:pt idx="364">
                  <c:v>3.3709999999999997E-2</c:v>
                </c:pt>
                <c:pt idx="365">
                  <c:v>3.5060000000000001E-2</c:v>
                </c:pt>
                <c:pt idx="366">
                  <c:v>3.1640000000000001E-2</c:v>
                </c:pt>
                <c:pt idx="367">
                  <c:v>2.989E-2</c:v>
                </c:pt>
                <c:pt idx="368">
                  <c:v>3.1220000000000001E-2</c:v>
                </c:pt>
                <c:pt idx="369">
                  <c:v>3.3119999999999997E-2</c:v>
                </c:pt>
                <c:pt idx="370">
                  <c:v>3.0079999999999999E-2</c:v>
                </c:pt>
                <c:pt idx="371">
                  <c:v>3.1350000000000003E-2</c:v>
                </c:pt>
                <c:pt idx="372">
                  <c:v>3.3610000000000001E-2</c:v>
                </c:pt>
                <c:pt idx="373">
                  <c:v>3.2779999999999997E-2</c:v>
                </c:pt>
                <c:pt idx="374">
                  <c:v>2.9510000000000002E-2</c:v>
                </c:pt>
                <c:pt idx="375">
                  <c:v>2.733E-2</c:v>
                </c:pt>
                <c:pt idx="376">
                  <c:v>2.615E-2</c:v>
                </c:pt>
                <c:pt idx="377">
                  <c:v>2.4400000000000002E-2</c:v>
                </c:pt>
                <c:pt idx="378">
                  <c:v>2.5170000000000001E-2</c:v>
                </c:pt>
                <c:pt idx="379">
                  <c:v>2.4E-2</c:v>
                </c:pt>
                <c:pt idx="380">
                  <c:v>2.3040000000000001E-2</c:v>
                </c:pt>
                <c:pt idx="381">
                  <c:v>2.35E-2</c:v>
                </c:pt>
                <c:pt idx="382">
                  <c:v>2.6950000000000002E-2</c:v>
                </c:pt>
                <c:pt idx="383">
                  <c:v>2.947E-2</c:v>
                </c:pt>
                <c:pt idx="384">
                  <c:v>2.5069999999999999E-2</c:v>
                </c:pt>
                <c:pt idx="385">
                  <c:v>2.427E-2</c:v>
                </c:pt>
                <c:pt idx="386">
                  <c:v>2.6040000000000001E-2</c:v>
                </c:pt>
                <c:pt idx="387">
                  <c:v>2.2960000000000001E-2</c:v>
                </c:pt>
                <c:pt idx="388">
                  <c:v>2.2769999999999999E-2</c:v>
                </c:pt>
                <c:pt idx="389">
                  <c:v>2.2069999999999999E-2</c:v>
                </c:pt>
                <c:pt idx="390">
                  <c:v>2.181E-2</c:v>
                </c:pt>
                <c:pt idx="391">
                  <c:v>2.3099999999999999E-2</c:v>
                </c:pt>
                <c:pt idx="392">
                  <c:v>2.1329999999999998E-2</c:v>
                </c:pt>
                <c:pt idx="393">
                  <c:v>2.085E-2</c:v>
                </c:pt>
                <c:pt idx="394">
                  <c:v>2.1700000000000001E-2</c:v>
                </c:pt>
                <c:pt idx="395">
                  <c:v>2.223E-2</c:v>
                </c:pt>
                <c:pt idx="396">
                  <c:v>2.1299999999999999E-2</c:v>
                </c:pt>
                <c:pt idx="397">
                  <c:v>2.163E-2</c:v>
                </c:pt>
                <c:pt idx="398">
                  <c:v>2.1999999999999999E-2</c:v>
                </c:pt>
                <c:pt idx="399">
                  <c:v>2.2380000000000001E-2</c:v>
                </c:pt>
                <c:pt idx="400">
                  <c:v>2.0389999999999998E-2</c:v>
                </c:pt>
                <c:pt idx="401">
                  <c:v>2.5049999999999999E-2</c:v>
                </c:pt>
                <c:pt idx="402">
                  <c:v>2.5989999999999999E-2</c:v>
                </c:pt>
                <c:pt idx="403">
                  <c:v>2.809E-2</c:v>
                </c:pt>
                <c:pt idx="404">
                  <c:v>2.6499999999999999E-2</c:v>
                </c:pt>
                <c:pt idx="405">
                  <c:v>2.681E-2</c:v>
                </c:pt>
                <c:pt idx="406">
                  <c:v>2.5899999999999999E-2</c:v>
                </c:pt>
                <c:pt idx="407">
                  <c:v>2.707E-2</c:v>
                </c:pt>
                <c:pt idx="408">
                  <c:v>2.6749999999999999E-2</c:v>
                </c:pt>
                <c:pt idx="409">
                  <c:v>2.7130000000000001E-2</c:v>
                </c:pt>
                <c:pt idx="410">
                  <c:v>2.6839999999999999E-2</c:v>
                </c:pt>
                <c:pt idx="411">
                  <c:v>2.6720000000000001E-2</c:v>
                </c:pt>
                <c:pt idx="412">
                  <c:v>2.5770000000000001E-2</c:v>
                </c:pt>
                <c:pt idx="413">
                  <c:v>2.7269999999999999E-2</c:v>
                </c:pt>
                <c:pt idx="414">
                  <c:v>2.7779999999999999E-2</c:v>
                </c:pt>
                <c:pt idx="415">
                  <c:v>2.547E-2</c:v>
                </c:pt>
                <c:pt idx="416">
                  <c:v>2.7660000000000001E-2</c:v>
                </c:pt>
                <c:pt idx="417">
                  <c:v>2.6610000000000002E-2</c:v>
                </c:pt>
                <c:pt idx="418">
                  <c:v>2.7470000000000001E-2</c:v>
                </c:pt>
                <c:pt idx="419">
                  <c:v>2.5940000000000001E-2</c:v>
                </c:pt>
                <c:pt idx="420">
                  <c:v>2.9069999999999999E-2</c:v>
                </c:pt>
                <c:pt idx="421">
                  <c:v>2.9139999999999999E-2</c:v>
                </c:pt>
                <c:pt idx="422">
                  <c:v>2.623E-2</c:v>
                </c:pt>
                <c:pt idx="423">
                  <c:v>2.7380000000000002E-2</c:v>
                </c:pt>
                <c:pt idx="424">
                  <c:v>2.7060000000000001E-2</c:v>
                </c:pt>
                <c:pt idx="425">
                  <c:v>2.6509999999999999E-2</c:v>
                </c:pt>
                <c:pt idx="426">
                  <c:v>2.6509999999999999E-2</c:v>
                </c:pt>
                <c:pt idx="427">
                  <c:v>2.4989999999999998E-2</c:v>
                </c:pt>
                <c:pt idx="428">
                  <c:v>3.0210000000000001E-2</c:v>
                </c:pt>
                <c:pt idx="429">
                  <c:v>2.9190000000000001E-2</c:v>
                </c:pt>
                <c:pt idx="430">
                  <c:v>2.8629999999999999E-2</c:v>
                </c:pt>
                <c:pt idx="431">
                  <c:v>2.6589999999999999E-2</c:v>
                </c:pt>
                <c:pt idx="432">
                  <c:v>2.751E-2</c:v>
                </c:pt>
                <c:pt idx="433">
                  <c:v>2.5700000000000001E-2</c:v>
                </c:pt>
                <c:pt idx="434">
                  <c:v>2.5340000000000001E-2</c:v>
                </c:pt>
                <c:pt idx="435">
                  <c:v>2.571E-2</c:v>
                </c:pt>
                <c:pt idx="436">
                  <c:v>2.6450000000000001E-2</c:v>
                </c:pt>
                <c:pt idx="437">
                  <c:v>2.5989999999999999E-2</c:v>
                </c:pt>
                <c:pt idx="438">
                  <c:v>2.5749999999999999E-2</c:v>
                </c:pt>
                <c:pt idx="439">
                  <c:v>2.7529999999999999E-2</c:v>
                </c:pt>
                <c:pt idx="440">
                  <c:v>2.6249999999999999E-2</c:v>
                </c:pt>
                <c:pt idx="441">
                  <c:v>2.53E-2</c:v>
                </c:pt>
                <c:pt idx="442">
                  <c:v>2.6429999999999999E-2</c:v>
                </c:pt>
                <c:pt idx="443">
                  <c:v>2.793E-2</c:v>
                </c:pt>
                <c:pt idx="444">
                  <c:v>2.4109999999999999E-2</c:v>
                </c:pt>
                <c:pt idx="445">
                  <c:v>2.494E-2</c:v>
                </c:pt>
                <c:pt idx="446">
                  <c:v>2.3109999999999999E-2</c:v>
                </c:pt>
                <c:pt idx="447">
                  <c:v>2.5190000000000001E-2</c:v>
                </c:pt>
                <c:pt idx="448">
                  <c:v>2.1899999999999999E-2</c:v>
                </c:pt>
                <c:pt idx="449">
                  <c:v>2.0549999999999999E-2</c:v>
                </c:pt>
                <c:pt idx="450">
                  <c:v>2.069E-2</c:v>
                </c:pt>
                <c:pt idx="451">
                  <c:v>2.1999999999999999E-2</c:v>
                </c:pt>
                <c:pt idx="452">
                  <c:v>2.3980000000000001E-2</c:v>
                </c:pt>
                <c:pt idx="453">
                  <c:v>2.359E-2</c:v>
                </c:pt>
                <c:pt idx="454">
                  <c:v>2.3089999999999999E-2</c:v>
                </c:pt>
                <c:pt idx="455">
                  <c:v>2.308E-2</c:v>
                </c:pt>
                <c:pt idx="456">
                  <c:v>2.4760000000000001E-2</c:v>
                </c:pt>
                <c:pt idx="457">
                  <c:v>2.742E-2</c:v>
                </c:pt>
                <c:pt idx="458">
                  <c:v>2.862E-2</c:v>
                </c:pt>
                <c:pt idx="459">
                  <c:v>2.9690000000000001E-2</c:v>
                </c:pt>
                <c:pt idx="460">
                  <c:v>2.9649999999999999E-2</c:v>
                </c:pt>
                <c:pt idx="461">
                  <c:v>2.9850000000000002E-2</c:v>
                </c:pt>
                <c:pt idx="462">
                  <c:v>3.1050000000000001E-2</c:v>
                </c:pt>
                <c:pt idx="463">
                  <c:v>3.0450000000000001E-2</c:v>
                </c:pt>
                <c:pt idx="464">
                  <c:v>2.8930000000000001E-2</c:v>
                </c:pt>
                <c:pt idx="465">
                  <c:v>3.007E-2</c:v>
                </c:pt>
                <c:pt idx="466">
                  <c:v>3.2140000000000002E-2</c:v>
                </c:pt>
                <c:pt idx="467">
                  <c:v>3.1820000000000001E-2</c:v>
                </c:pt>
                <c:pt idx="468">
                  <c:v>3.1690000000000003E-2</c:v>
                </c:pt>
                <c:pt idx="469">
                  <c:v>2.946E-2</c:v>
                </c:pt>
                <c:pt idx="470">
                  <c:v>3.1179999999999999E-2</c:v>
                </c:pt>
                <c:pt idx="471">
                  <c:v>2.9409999999999999E-2</c:v>
                </c:pt>
                <c:pt idx="472">
                  <c:v>2.9260000000000001E-2</c:v>
                </c:pt>
                <c:pt idx="473">
                  <c:v>2.8469999999999999E-2</c:v>
                </c:pt>
                <c:pt idx="474">
                  <c:v>2.7789999999999999E-2</c:v>
                </c:pt>
                <c:pt idx="475">
                  <c:v>2.743E-2</c:v>
                </c:pt>
                <c:pt idx="476">
                  <c:v>2.5499999999999998E-2</c:v>
                </c:pt>
                <c:pt idx="477">
                  <c:v>2.4660000000000001E-2</c:v>
                </c:pt>
                <c:pt idx="478">
                  <c:v>2.5059999999999999E-2</c:v>
                </c:pt>
                <c:pt idx="479">
                  <c:v>2.988E-2</c:v>
                </c:pt>
                <c:pt idx="480">
                  <c:v>3.006E-2</c:v>
                </c:pt>
                <c:pt idx="481">
                  <c:v>3.0880000000000001E-2</c:v>
                </c:pt>
                <c:pt idx="482">
                  <c:v>2.997E-2</c:v>
                </c:pt>
                <c:pt idx="483">
                  <c:v>3.0859999999999999E-2</c:v>
                </c:pt>
                <c:pt idx="484">
                  <c:v>3.4000000000000002E-2</c:v>
                </c:pt>
                <c:pt idx="485">
                  <c:v>3.3799999999999997E-2</c:v>
                </c:pt>
                <c:pt idx="486">
                  <c:v>3.456E-2</c:v>
                </c:pt>
                <c:pt idx="487">
                  <c:v>3.3230000000000003E-2</c:v>
                </c:pt>
                <c:pt idx="488">
                  <c:v>3.3750000000000002E-2</c:v>
                </c:pt>
                <c:pt idx="489">
                  <c:v>3.3910000000000003E-2</c:v>
                </c:pt>
                <c:pt idx="490">
                  <c:v>3.286E-2</c:v>
                </c:pt>
                <c:pt idx="491">
                  <c:v>2.904E-2</c:v>
                </c:pt>
                <c:pt idx="492">
                  <c:v>3.2030000000000003E-2</c:v>
                </c:pt>
                <c:pt idx="493">
                  <c:v>3.2230000000000002E-2</c:v>
                </c:pt>
                <c:pt idx="494">
                  <c:v>3.7269999999999998E-2</c:v>
                </c:pt>
                <c:pt idx="495">
                  <c:v>3.8699999999999998E-2</c:v>
                </c:pt>
                <c:pt idx="496">
                  <c:v>3.8010000000000002E-2</c:v>
                </c:pt>
                <c:pt idx="497">
                  <c:v>3.9649999999999998E-2</c:v>
                </c:pt>
                <c:pt idx="498">
                  <c:v>4.0149999999999998E-2</c:v>
                </c:pt>
                <c:pt idx="499">
                  <c:v>4.0989999999999999E-2</c:v>
                </c:pt>
                <c:pt idx="500">
                  <c:v>4.4909999999999999E-2</c:v>
                </c:pt>
                <c:pt idx="501">
                  <c:v>4.5370000000000001E-2</c:v>
                </c:pt>
                <c:pt idx="502">
                  <c:v>4.9250000000000002E-2</c:v>
                </c:pt>
                <c:pt idx="503">
                  <c:v>4.9959999999999997E-2</c:v>
                </c:pt>
                <c:pt idx="504">
                  <c:v>5.0470000000000001E-2</c:v>
                </c:pt>
                <c:pt idx="505">
                  <c:v>4.8750000000000002E-2</c:v>
                </c:pt>
                <c:pt idx="506">
                  <c:v>4.8800000000000003E-2</c:v>
                </c:pt>
                <c:pt idx="507">
                  <c:v>4.999E-2</c:v>
                </c:pt>
                <c:pt idx="508">
                  <c:v>4.9189999999999998E-2</c:v>
                </c:pt>
                <c:pt idx="509">
                  <c:v>3.9280000000000002E-2</c:v>
                </c:pt>
                <c:pt idx="510">
                  <c:v>4.8489999999999998E-2</c:v>
                </c:pt>
                <c:pt idx="511">
                  <c:v>4.4639999999999999E-2</c:v>
                </c:pt>
                <c:pt idx="512">
                  <c:v>5.9889999999999999E-2</c:v>
                </c:pt>
                <c:pt idx="513">
                  <c:v>6.1379999999999997E-2</c:v>
                </c:pt>
                <c:pt idx="514">
                  <c:v>6.479E-2</c:v>
                </c:pt>
                <c:pt idx="515">
                  <c:v>6.6390000000000005E-2</c:v>
                </c:pt>
                <c:pt idx="516">
                  <c:v>6.7169999999999994E-2</c:v>
                </c:pt>
                <c:pt idx="517">
                  <c:v>6.5799999999999997E-2</c:v>
                </c:pt>
                <c:pt idx="518">
                  <c:v>5.7669999999999999E-2</c:v>
                </c:pt>
                <c:pt idx="519">
                  <c:v>6.1019999999999998E-2</c:v>
                </c:pt>
                <c:pt idx="520">
                  <c:v>6.3089999999999993E-2</c:v>
                </c:pt>
                <c:pt idx="521">
                  <c:v>6.9750000000000006E-2</c:v>
                </c:pt>
                <c:pt idx="522">
                  <c:v>6.4449999999999993E-2</c:v>
                </c:pt>
                <c:pt idx="523">
                  <c:v>6.2850000000000003E-2</c:v>
                </c:pt>
                <c:pt idx="524">
                  <c:v>6.0650000000000003E-2</c:v>
                </c:pt>
                <c:pt idx="525">
                  <c:v>6.6290000000000002E-2</c:v>
                </c:pt>
                <c:pt idx="526">
                  <c:v>6.1870000000000001E-2</c:v>
                </c:pt>
                <c:pt idx="527">
                  <c:v>6.8909999999999999E-2</c:v>
                </c:pt>
                <c:pt idx="528">
                  <c:v>6.9699999999999998E-2</c:v>
                </c:pt>
                <c:pt idx="529">
                  <c:v>7.5179999999999997E-2</c:v>
                </c:pt>
                <c:pt idx="530">
                  <c:v>7.5050000000000006E-2</c:v>
                </c:pt>
                <c:pt idx="531">
                  <c:v>7.3069999999999996E-2</c:v>
                </c:pt>
                <c:pt idx="532">
                  <c:v>7.2730000000000003E-2</c:v>
                </c:pt>
                <c:pt idx="533">
                  <c:v>7.4139999999999998E-2</c:v>
                </c:pt>
                <c:pt idx="534">
                  <c:v>7.1400000000000005E-2</c:v>
                </c:pt>
                <c:pt idx="535">
                  <c:v>8.1199999999999994E-2</c:v>
                </c:pt>
                <c:pt idx="536">
                  <c:v>7.4099999999999999E-2</c:v>
                </c:pt>
                <c:pt idx="537">
                  <c:v>6.3600000000000004E-2</c:v>
                </c:pt>
                <c:pt idx="538">
                  <c:v>5.9330000000000001E-2</c:v>
                </c:pt>
                <c:pt idx="539">
                  <c:v>5.6439999999999997E-2</c:v>
                </c:pt>
                <c:pt idx="540">
                  <c:v>5.3650000000000003E-2</c:v>
                </c:pt>
                <c:pt idx="541">
                  <c:v>5.4210000000000001E-2</c:v>
                </c:pt>
                <c:pt idx="542">
                  <c:v>5.2400000000000002E-2</c:v>
                </c:pt>
                <c:pt idx="543">
                  <c:v>5.5160000000000001E-2</c:v>
                </c:pt>
                <c:pt idx="544">
                  <c:v>5.389E-2</c:v>
                </c:pt>
                <c:pt idx="545">
                  <c:v>6.0699999999999997E-2</c:v>
                </c:pt>
                <c:pt idx="546">
                  <c:v>6.5610000000000002E-2</c:v>
                </c:pt>
                <c:pt idx="547">
                  <c:v>5.8790000000000002E-2</c:v>
                </c:pt>
                <c:pt idx="548">
                  <c:v>6.1100000000000002E-2</c:v>
                </c:pt>
                <c:pt idx="549">
                  <c:v>5.7599999999999998E-2</c:v>
                </c:pt>
                <c:pt idx="550">
                  <c:v>6.8919999999999995E-2</c:v>
                </c:pt>
                <c:pt idx="551">
                  <c:v>6.2170000000000003E-2</c:v>
                </c:pt>
                <c:pt idx="552">
                  <c:v>6.1550000000000001E-2</c:v>
                </c:pt>
                <c:pt idx="553">
                  <c:v>5.7099999999999998E-2</c:v>
                </c:pt>
                <c:pt idx="554">
                  <c:v>6.3829999999999998E-2</c:v>
                </c:pt>
                <c:pt idx="555">
                  <c:v>5.7239999999999999E-2</c:v>
                </c:pt>
                <c:pt idx="556">
                  <c:v>5.0500000000000003E-2</c:v>
                </c:pt>
                <c:pt idx="557">
                  <c:v>4.0710000000000003E-2</c:v>
                </c:pt>
                <c:pt idx="558">
                  <c:v>3.669E-2</c:v>
                </c:pt>
                <c:pt idx="559">
                  <c:v>3.4450000000000001E-2</c:v>
                </c:pt>
                <c:pt idx="560">
                  <c:v>3.4700000000000002E-2</c:v>
                </c:pt>
                <c:pt idx="561">
                  <c:v>3.6729999999999999E-2</c:v>
                </c:pt>
                <c:pt idx="562">
                  <c:v>3.6139999999999999E-2</c:v>
                </c:pt>
                <c:pt idx="563">
                  <c:v>3.4279999999999998E-2</c:v>
                </c:pt>
                <c:pt idx="564">
                  <c:v>3.5040000000000002E-2</c:v>
                </c:pt>
                <c:pt idx="565">
                  <c:v>3.4970000000000001E-2</c:v>
                </c:pt>
                <c:pt idx="566">
                  <c:v>3.3000000000000002E-2</c:v>
                </c:pt>
                <c:pt idx="567">
                  <c:v>3.2289999999999999E-2</c:v>
                </c:pt>
                <c:pt idx="568">
                  <c:v>3.4110000000000001E-2</c:v>
                </c:pt>
                <c:pt idx="569">
                  <c:v>3.3439999999999998E-2</c:v>
                </c:pt>
                <c:pt idx="570">
                  <c:v>3.2500000000000001E-2</c:v>
                </c:pt>
                <c:pt idx="571">
                  <c:v>2.9909999999999999E-2</c:v>
                </c:pt>
                <c:pt idx="572">
                  <c:v>2.9590000000000002E-2</c:v>
                </c:pt>
                <c:pt idx="573">
                  <c:v>2.998E-2</c:v>
                </c:pt>
                <c:pt idx="574">
                  <c:v>2.913E-2</c:v>
                </c:pt>
                <c:pt idx="575">
                  <c:v>3.107E-2</c:v>
                </c:pt>
                <c:pt idx="576">
                  <c:v>3.3239999999999999E-2</c:v>
                </c:pt>
                <c:pt idx="577">
                  <c:v>3.0280000000000001E-2</c:v>
                </c:pt>
                <c:pt idx="578">
                  <c:v>2.7820000000000001E-2</c:v>
                </c:pt>
                <c:pt idx="579">
                  <c:v>2.504E-2</c:v>
                </c:pt>
                <c:pt idx="580">
                  <c:v>2.7300000000000001E-2</c:v>
                </c:pt>
                <c:pt idx="581">
                  <c:v>2.8570000000000002E-2</c:v>
                </c:pt>
                <c:pt idx="582">
                  <c:v>2.971E-2</c:v>
                </c:pt>
                <c:pt idx="583">
                  <c:v>3.2719999999999999E-2</c:v>
                </c:pt>
                <c:pt idx="584">
                  <c:v>3.3279999999999997E-2</c:v>
                </c:pt>
                <c:pt idx="585">
                  <c:v>3.388E-2</c:v>
                </c:pt>
                <c:pt idx="586">
                  <c:v>3.0669999999999999E-2</c:v>
                </c:pt>
                <c:pt idx="587">
                  <c:v>3.1579999999999997E-2</c:v>
                </c:pt>
                <c:pt idx="588">
                  <c:v>3.3360000000000001E-2</c:v>
                </c:pt>
                <c:pt idx="589">
                  <c:v>3.6360000000000003E-2</c:v>
                </c:pt>
                <c:pt idx="590">
                  <c:v>3.5709999999999999E-2</c:v>
                </c:pt>
                <c:pt idx="591">
                  <c:v>3.585E-2</c:v>
                </c:pt>
                <c:pt idx="592">
                  <c:v>3.3759999999999998E-2</c:v>
                </c:pt>
                <c:pt idx="593">
                  <c:v>3.4270000000000002E-2</c:v>
                </c:pt>
                <c:pt idx="594">
                  <c:v>3.4840000000000003E-2</c:v>
                </c:pt>
                <c:pt idx="595">
                  <c:v>3.7400000000000003E-2</c:v>
                </c:pt>
                <c:pt idx="596">
                  <c:v>3.5000000000000003E-2</c:v>
                </c:pt>
                <c:pt idx="597">
                  <c:v>2.5479999999999999E-2</c:v>
                </c:pt>
                <c:pt idx="598">
                  <c:v>2.462E-2</c:v>
                </c:pt>
                <c:pt idx="599">
                  <c:v>2.6210000000000001E-2</c:v>
                </c:pt>
                <c:pt idx="600">
                  <c:v>2.2589999999999999E-2</c:v>
                </c:pt>
                <c:pt idx="601">
                  <c:v>2.1780000000000001E-2</c:v>
                </c:pt>
                <c:pt idx="602">
                  <c:v>2.1760000000000002E-2</c:v>
                </c:pt>
                <c:pt idx="603">
                  <c:v>2.1680000000000001E-2</c:v>
                </c:pt>
                <c:pt idx="604">
                  <c:v>2.1350000000000001E-2</c:v>
                </c:pt>
                <c:pt idx="605">
                  <c:v>2.1749999999999999E-2</c:v>
                </c:pt>
                <c:pt idx="606">
                  <c:v>2.154E-2</c:v>
                </c:pt>
                <c:pt idx="607">
                  <c:v>2.198E-2</c:v>
                </c:pt>
                <c:pt idx="608">
                  <c:v>2.1260000000000001E-2</c:v>
                </c:pt>
                <c:pt idx="609">
                  <c:v>2.0760000000000001E-2</c:v>
                </c:pt>
                <c:pt idx="610">
                  <c:v>2.0490000000000001E-2</c:v>
                </c:pt>
                <c:pt idx="611">
                  <c:v>2.0789999999999999E-2</c:v>
                </c:pt>
                <c:pt idx="612">
                  <c:v>1.9910000000000001E-2</c:v>
                </c:pt>
                <c:pt idx="613">
                  <c:v>1.8530000000000001E-2</c:v>
                </c:pt>
                <c:pt idx="614">
                  <c:v>2.0899999999999998E-2</c:v>
                </c:pt>
                <c:pt idx="615">
                  <c:v>1.8919999999999999E-2</c:v>
                </c:pt>
                <c:pt idx="616">
                  <c:v>1.77E-2</c:v>
                </c:pt>
                <c:pt idx="617">
                  <c:v>1.8409999999999999E-2</c:v>
                </c:pt>
                <c:pt idx="618">
                  <c:v>1.831E-2</c:v>
                </c:pt>
                <c:pt idx="619">
                  <c:v>1.847E-2</c:v>
                </c:pt>
                <c:pt idx="620">
                  <c:v>1.8380000000000001E-2</c:v>
                </c:pt>
                <c:pt idx="621">
                  <c:v>1.8800000000000001E-2</c:v>
                </c:pt>
                <c:pt idx="622">
                  <c:v>1.7950000000000001E-2</c:v>
                </c:pt>
                <c:pt idx="623">
                  <c:v>1.8360000000000001E-2</c:v>
                </c:pt>
                <c:pt idx="624">
                  <c:v>1.924E-2</c:v>
                </c:pt>
                <c:pt idx="625">
                  <c:v>1.8290000000000001E-2</c:v>
                </c:pt>
                <c:pt idx="626">
                  <c:v>1.847E-2</c:v>
                </c:pt>
                <c:pt idx="627">
                  <c:v>1.916E-2</c:v>
                </c:pt>
                <c:pt idx="628">
                  <c:v>2.3220000000000001E-2</c:v>
                </c:pt>
                <c:pt idx="629">
                  <c:v>2.3820000000000001E-2</c:v>
                </c:pt>
                <c:pt idx="630">
                  <c:v>2.393E-2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50-4A54-8FB2-7B9FF6622E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-33.775023102355583</c:v>
                </c:pt>
                <c:pt idx="1">
                  <c:v>-33.717626160571193</c:v>
                </c:pt>
                <c:pt idx="2">
                  <c:v>-33.15483433832587</c:v>
                </c:pt>
                <c:pt idx="3">
                  <c:v>-33.218242937635452</c:v>
                </c:pt>
                <c:pt idx="4">
                  <c:v>-33.258617365314336</c:v>
                </c:pt>
                <c:pt idx="5">
                  <c:v>-33.252659564818245</c:v>
                </c:pt>
                <c:pt idx="6">
                  <c:v>-32.609176037544295</c:v>
                </c:pt>
                <c:pt idx="7">
                  <c:v>-31.826828738570104</c:v>
                </c:pt>
                <c:pt idx="8">
                  <c:v>-31.376930837004608</c:v>
                </c:pt>
                <c:pt idx="9">
                  <c:v>-31.117625664226164</c:v>
                </c:pt>
                <c:pt idx="10">
                  <c:v>-30.585352506895482</c:v>
                </c:pt>
                <c:pt idx="11">
                  <c:v>-31.213275222675836</c:v>
                </c:pt>
                <c:pt idx="12">
                  <c:v>-31.164268547675835</c:v>
                </c:pt>
                <c:pt idx="13">
                  <c:v>-31.783444296837125</c:v>
                </c:pt>
                <c:pt idx="14">
                  <c:v>-32.101761453684418</c:v>
                </c:pt>
                <c:pt idx="15">
                  <c:v>-31.711215167370316</c:v>
                </c:pt>
                <c:pt idx="16">
                  <c:v>-31.885094542971693</c:v>
                </c:pt>
                <c:pt idx="17">
                  <c:v>-32.533747567160447</c:v>
                </c:pt>
                <c:pt idx="18">
                  <c:v>-32.368081675492199</c:v>
                </c:pt>
                <c:pt idx="19">
                  <c:v>-32.485173364140849</c:v>
                </c:pt>
                <c:pt idx="20">
                  <c:v>-32.274465144371398</c:v>
                </c:pt>
                <c:pt idx="21">
                  <c:v>-32.030898028686003</c:v>
                </c:pt>
                <c:pt idx="22">
                  <c:v>-32.428622060869593</c:v>
                </c:pt>
                <c:pt idx="23">
                  <c:v>-32.117239965683261</c:v>
                </c:pt>
                <c:pt idx="24">
                  <c:v>-31.941439743720068</c:v>
                </c:pt>
                <c:pt idx="25">
                  <c:v>-31.701112118075152</c:v>
                </c:pt>
                <c:pt idx="26">
                  <c:v>-31.218270589135759</c:v>
                </c:pt>
                <c:pt idx="27">
                  <c:v>-31.743630039237352</c:v>
                </c:pt>
                <c:pt idx="28">
                  <c:v>-31.759280942108738</c:v>
                </c:pt>
                <c:pt idx="29">
                  <c:v>-31.852419389560968</c:v>
                </c:pt>
                <c:pt idx="30">
                  <c:v>-31.700218089064414</c:v>
                </c:pt>
                <c:pt idx="31">
                  <c:v>-31.342825043332713</c:v>
                </c:pt>
                <c:pt idx="32">
                  <c:v>-30.971690581585875</c:v>
                </c:pt>
                <c:pt idx="33">
                  <c:v>-30.859287077762346</c:v>
                </c:pt>
                <c:pt idx="34">
                  <c:v>-30.402741770237977</c:v>
                </c:pt>
                <c:pt idx="35">
                  <c:v>-30.635821956795361</c:v>
                </c:pt>
                <c:pt idx="36">
                  <c:v>-31.049492844926448</c:v>
                </c:pt>
                <c:pt idx="37">
                  <c:v>-31.285239471263655</c:v>
                </c:pt>
                <c:pt idx="38">
                  <c:v>-31.834400307265131</c:v>
                </c:pt>
                <c:pt idx="39">
                  <c:v>-31.801112353570645</c:v>
                </c:pt>
                <c:pt idx="40">
                  <c:v>-31.669219900016923</c:v>
                </c:pt>
                <c:pt idx="41">
                  <c:v>-31.732393925216922</c:v>
                </c:pt>
                <c:pt idx="42">
                  <c:v>-31.255568609694851</c:v>
                </c:pt>
                <c:pt idx="43">
                  <c:v>-31.132175558406974</c:v>
                </c:pt>
                <c:pt idx="44">
                  <c:v>-31.230613256796399</c:v>
                </c:pt>
                <c:pt idx="45">
                  <c:v>-31.396682899849026</c:v>
                </c:pt>
                <c:pt idx="46">
                  <c:v>-30.970354611023307</c:v>
                </c:pt>
                <c:pt idx="47">
                  <c:v>-31.167237241998915</c:v>
                </c:pt>
                <c:pt idx="48">
                  <c:v>-31.196339541671048</c:v>
                </c:pt>
                <c:pt idx="49">
                  <c:v>-30.766313458242479</c:v>
                </c:pt>
                <c:pt idx="50">
                  <c:v>-30.188685059202474</c:v>
                </c:pt>
                <c:pt idx="51">
                  <c:v>-30.787984937013423</c:v>
                </c:pt>
                <c:pt idx="52">
                  <c:v>-30.386832737299137</c:v>
                </c:pt>
                <c:pt idx="53">
                  <c:v>-30.879100454026723</c:v>
                </c:pt>
                <c:pt idx="54">
                  <c:v>-30.383390159816198</c:v>
                </c:pt>
                <c:pt idx="55">
                  <c:v>-30.716619158492627</c:v>
                </c:pt>
                <c:pt idx="56">
                  <c:v>-30.484753863944341</c:v>
                </c:pt>
                <c:pt idx="57">
                  <c:v>-30.469856787431883</c:v>
                </c:pt>
                <c:pt idx="58">
                  <c:v>-29.990926621985874</c:v>
                </c:pt>
                <c:pt idx="59">
                  <c:v>-29.577690722488391</c:v>
                </c:pt>
                <c:pt idx="60">
                  <c:v>-29.08217993837183</c:v>
                </c:pt>
                <c:pt idx="61">
                  <c:v>-29.941027364624649</c:v>
                </c:pt>
                <c:pt idx="62">
                  <c:v>-29.637839667312146</c:v>
                </c:pt>
                <c:pt idx="63">
                  <c:v>-29.091192873429211</c:v>
                </c:pt>
                <c:pt idx="64">
                  <c:v>-28.33048210684937</c:v>
                </c:pt>
                <c:pt idx="65">
                  <c:v>-28.473111637322742</c:v>
                </c:pt>
                <c:pt idx="66">
                  <c:v>-27.802481347372996</c:v>
                </c:pt>
                <c:pt idx="67">
                  <c:v>-28.179231400079225</c:v>
                </c:pt>
                <c:pt idx="68">
                  <c:v>-27.286758661301675</c:v>
                </c:pt>
                <c:pt idx="69">
                  <c:v>-28.434436996708289</c:v>
                </c:pt>
                <c:pt idx="70">
                  <c:v>-27.92760852588107</c:v>
                </c:pt>
                <c:pt idx="71">
                  <c:v>-27.679647806491758</c:v>
                </c:pt>
                <c:pt idx="72">
                  <c:v>-26.776010251042997</c:v>
                </c:pt>
                <c:pt idx="73">
                  <c:v>-27.438705375425819</c:v>
                </c:pt>
                <c:pt idx="74">
                  <c:v>-26.104382159499394</c:v>
                </c:pt>
                <c:pt idx="75">
                  <c:v>-26.396780981931151</c:v>
                </c:pt>
                <c:pt idx="76">
                  <c:v>-25.12916620532803</c:v>
                </c:pt>
                <c:pt idx="77">
                  <c:v>-26.449721166087869</c:v>
                </c:pt>
                <c:pt idx="78">
                  <c:v>-23.31484840287273</c:v>
                </c:pt>
                <c:pt idx="79">
                  <c:v>-25.122667138155151</c:v>
                </c:pt>
                <c:pt idx="80">
                  <c:v>-24.545933989203309</c:v>
                </c:pt>
                <c:pt idx="81">
                  <c:v>-24.455185423748762</c:v>
                </c:pt>
                <c:pt idx="82">
                  <c:v>-23.979931705838499</c:v>
                </c:pt>
                <c:pt idx="83">
                  <c:v>-23.684052164997254</c:v>
                </c:pt>
                <c:pt idx="84">
                  <c:v>-24.560348123310327</c:v>
                </c:pt>
                <c:pt idx="85">
                  <c:v>-23.292548585772387</c:v>
                </c:pt>
                <c:pt idx="86">
                  <c:v>-22.506842535266056</c:v>
                </c:pt>
                <c:pt idx="87">
                  <c:v>-25.769531481135125</c:v>
                </c:pt>
                <c:pt idx="88">
                  <c:v>-26.466866558880785</c:v>
                </c:pt>
                <c:pt idx="89">
                  <c:v>-24.187833765228813</c:v>
                </c:pt>
                <c:pt idx="90">
                  <c:v>-24.377224999625128</c:v>
                </c:pt>
                <c:pt idx="91">
                  <c:v>-24.474645168413005</c:v>
                </c:pt>
                <c:pt idx="92">
                  <c:v>-24.633955203822843</c:v>
                </c:pt>
                <c:pt idx="93">
                  <c:v>-24.361029823541148</c:v>
                </c:pt>
                <c:pt idx="94">
                  <c:v>-24.537433310615388</c:v>
                </c:pt>
                <c:pt idx="95">
                  <c:v>-24.531758191787802</c:v>
                </c:pt>
                <c:pt idx="96">
                  <c:v>-24.346864622834733</c:v>
                </c:pt>
                <c:pt idx="97">
                  <c:v>-24.404310209804425</c:v>
                </c:pt>
                <c:pt idx="98">
                  <c:v>-24.081868485416436</c:v>
                </c:pt>
                <c:pt idx="99">
                  <c:v>-23.801891420870984</c:v>
                </c:pt>
                <c:pt idx="100">
                  <c:v>-23.886367061730088</c:v>
                </c:pt>
                <c:pt idx="101">
                  <c:v>-23.89039973415727</c:v>
                </c:pt>
                <c:pt idx="102">
                  <c:v>-23.694657727437907</c:v>
                </c:pt>
                <c:pt idx="103">
                  <c:v>-23.590188938127561</c:v>
                </c:pt>
                <c:pt idx="104">
                  <c:v>-22.300750209841848</c:v>
                </c:pt>
                <c:pt idx="105">
                  <c:v>-22.851436768303387</c:v>
                </c:pt>
                <c:pt idx="106">
                  <c:v>-22.545976583078161</c:v>
                </c:pt>
                <c:pt idx="107">
                  <c:v>-22.815880173530836</c:v>
                </c:pt>
                <c:pt idx="108">
                  <c:v>-23.069068388741194</c:v>
                </c:pt>
                <c:pt idx="109">
                  <c:v>-23.296787968823502</c:v>
                </c:pt>
                <c:pt idx="110">
                  <c:v>-23.076603085357366</c:v>
                </c:pt>
                <c:pt idx="111">
                  <c:v>-22.992750816087295</c:v>
                </c:pt>
                <c:pt idx="112">
                  <c:v>-22.649984122117257</c:v>
                </c:pt>
                <c:pt idx="113">
                  <c:v>-22.616229802559154</c:v>
                </c:pt>
                <c:pt idx="114">
                  <c:v>-22.531259386136178</c:v>
                </c:pt>
                <c:pt idx="115">
                  <c:v>-22.618883891238216</c:v>
                </c:pt>
                <c:pt idx="116">
                  <c:v>-22.371410364058729</c:v>
                </c:pt>
                <c:pt idx="117">
                  <c:v>-22.501780988618869</c:v>
                </c:pt>
                <c:pt idx="118">
                  <c:v>-22.215198211751918</c:v>
                </c:pt>
                <c:pt idx="119">
                  <c:v>-22.902600434423398</c:v>
                </c:pt>
                <c:pt idx="120">
                  <c:v>-23.166876410021487</c:v>
                </c:pt>
                <c:pt idx="121">
                  <c:v>-22.813180566318604</c:v>
                </c:pt>
                <c:pt idx="122">
                  <c:v>-22.521645042169663</c:v>
                </c:pt>
                <c:pt idx="123">
                  <c:v>-22.20440603231101</c:v>
                </c:pt>
                <c:pt idx="124">
                  <c:v>-22.197064410385082</c:v>
                </c:pt>
                <c:pt idx="125">
                  <c:v>-22.162487529135085</c:v>
                </c:pt>
                <c:pt idx="126">
                  <c:v>-21.93540478722111</c:v>
                </c:pt>
                <c:pt idx="127">
                  <c:v>-22.040374750049391</c:v>
                </c:pt>
                <c:pt idx="128">
                  <c:v>-22.878592103959427</c:v>
                </c:pt>
                <c:pt idx="129">
                  <c:v>-22.634366431299632</c:v>
                </c:pt>
                <c:pt idx="130">
                  <c:v>-22.348788154946039</c:v>
                </c:pt>
                <c:pt idx="131">
                  <c:v>-22.229841430214858</c:v>
                </c:pt>
                <c:pt idx="132">
                  <c:v>-21.974416806396675</c:v>
                </c:pt>
                <c:pt idx="133">
                  <c:v>-21.31050190726031</c:v>
                </c:pt>
                <c:pt idx="134">
                  <c:v>-21.212980986992932</c:v>
                </c:pt>
                <c:pt idx="135">
                  <c:v>-21.770113434256857</c:v>
                </c:pt>
                <c:pt idx="136">
                  <c:v>-21.946096545316458</c:v>
                </c:pt>
                <c:pt idx="137">
                  <c:v>-22.148703626236003</c:v>
                </c:pt>
                <c:pt idx="138">
                  <c:v>-22.035351512733065</c:v>
                </c:pt>
                <c:pt idx="139">
                  <c:v>-21.941739202541978</c:v>
                </c:pt>
                <c:pt idx="140">
                  <c:v>-21.768545428557253</c:v>
                </c:pt>
                <c:pt idx="141">
                  <c:v>-21.227621502766208</c:v>
                </c:pt>
                <c:pt idx="142">
                  <c:v>-21.969205053663874</c:v>
                </c:pt>
                <c:pt idx="143">
                  <c:v>-21.023716588671121</c:v>
                </c:pt>
                <c:pt idx="144">
                  <c:v>-20.947630827492084</c:v>
                </c:pt>
                <c:pt idx="145">
                  <c:v>-21.538832799128446</c:v>
                </c:pt>
                <c:pt idx="146">
                  <c:v>-21.300446096975335</c:v>
                </c:pt>
                <c:pt idx="147">
                  <c:v>-21.282159309344568</c:v>
                </c:pt>
                <c:pt idx="148">
                  <c:v>-20.898578651331949</c:v>
                </c:pt>
                <c:pt idx="149">
                  <c:v>-21.409973254345644</c:v>
                </c:pt>
                <c:pt idx="150">
                  <c:v>-21.045430213396735</c:v>
                </c:pt>
                <c:pt idx="151">
                  <c:v>-19.237158638988802</c:v>
                </c:pt>
                <c:pt idx="152">
                  <c:v>-18.806298324742148</c:v>
                </c:pt>
                <c:pt idx="153">
                  <c:v>-20.080050837923967</c:v>
                </c:pt>
                <c:pt idx="154">
                  <c:v>-21.384194003164119</c:v>
                </c:pt>
                <c:pt idx="155">
                  <c:v>-18.682194807588431</c:v>
                </c:pt>
                <c:pt idx="156">
                  <c:v>-19.66410208219007</c:v>
                </c:pt>
                <c:pt idx="157">
                  <c:v>-19.032149935451848</c:v>
                </c:pt>
                <c:pt idx="158">
                  <c:v>-18.761506279727026</c:v>
                </c:pt>
                <c:pt idx="159">
                  <c:v>-18.813727708598954</c:v>
                </c:pt>
                <c:pt idx="160">
                  <c:v>-17.783491862928432</c:v>
                </c:pt>
                <c:pt idx="161">
                  <c:v>-18.129567898449753</c:v>
                </c:pt>
                <c:pt idx="162">
                  <c:v>-18.934609188724167</c:v>
                </c:pt>
                <c:pt idx="163">
                  <c:v>-19.343695317071301</c:v>
                </c:pt>
                <c:pt idx="164">
                  <c:v>-17.865321593222429</c:v>
                </c:pt>
                <c:pt idx="165">
                  <c:v>-16.302569072714274</c:v>
                </c:pt>
                <c:pt idx="166">
                  <c:v>-16.688040951808514</c:v>
                </c:pt>
                <c:pt idx="167">
                  <c:v>-17.170790731126381</c:v>
                </c:pt>
                <c:pt idx="168">
                  <c:v>-17.479573277638256</c:v>
                </c:pt>
                <c:pt idx="169">
                  <c:v>-17.259184148479797</c:v>
                </c:pt>
                <c:pt idx="170">
                  <c:v>-16.244821319809819</c:v>
                </c:pt>
                <c:pt idx="171">
                  <c:v>-17.045159992646823</c:v>
                </c:pt>
                <c:pt idx="172">
                  <c:v>-17.168681075667919</c:v>
                </c:pt>
                <c:pt idx="173">
                  <c:v>-16.682135770732501</c:v>
                </c:pt>
                <c:pt idx="174">
                  <c:v>-16.830053870268987</c:v>
                </c:pt>
                <c:pt idx="175">
                  <c:v>-17.18122674479752</c:v>
                </c:pt>
                <c:pt idx="176">
                  <c:v>-17.333020332665868</c:v>
                </c:pt>
                <c:pt idx="177">
                  <c:v>-18.191068496777625</c:v>
                </c:pt>
                <c:pt idx="178">
                  <c:v>-17.933194915619925</c:v>
                </c:pt>
                <c:pt idx="179">
                  <c:v>-17.119761193496654</c:v>
                </c:pt>
                <c:pt idx="180">
                  <c:v>-16.897099259728648</c:v>
                </c:pt>
                <c:pt idx="181">
                  <c:v>-16.598701419368254</c:v>
                </c:pt>
                <c:pt idx="182">
                  <c:v>-16.820861880137485</c:v>
                </c:pt>
                <c:pt idx="183">
                  <c:v>-16.349628277276977</c:v>
                </c:pt>
                <c:pt idx="184">
                  <c:v>-14.998556202887958</c:v>
                </c:pt>
                <c:pt idx="185">
                  <c:v>-15.041570685077179</c:v>
                </c:pt>
                <c:pt idx="186">
                  <c:v>-13.291438895175403</c:v>
                </c:pt>
                <c:pt idx="187">
                  <c:v>-15.361181807389963</c:v>
                </c:pt>
                <c:pt idx="188">
                  <c:v>-14.255903618616223</c:v>
                </c:pt>
                <c:pt idx="189">
                  <c:v>-16.72010915534953</c:v>
                </c:pt>
                <c:pt idx="190">
                  <c:v>-14.152683376065948</c:v>
                </c:pt>
                <c:pt idx="191">
                  <c:v>-14.378292316302248</c:v>
                </c:pt>
                <c:pt idx="192">
                  <c:v>-15.78802425485946</c:v>
                </c:pt>
                <c:pt idx="193">
                  <c:v>-12.831766993695812</c:v>
                </c:pt>
                <c:pt idx="194">
                  <c:v>-16.106125609425366</c:v>
                </c:pt>
                <c:pt idx="195">
                  <c:v>-15.278046436890838</c:v>
                </c:pt>
                <c:pt idx="196">
                  <c:v>-12.37527838341413</c:v>
                </c:pt>
                <c:pt idx="197">
                  <c:v>-6.9283094333217976</c:v>
                </c:pt>
                <c:pt idx="198">
                  <c:v>-10.31705999729161</c:v>
                </c:pt>
                <c:pt idx="199">
                  <c:v>-12.589787180766558</c:v>
                </c:pt>
                <c:pt idx="200">
                  <c:v>-11.980111283248238</c:v>
                </c:pt>
                <c:pt idx="201">
                  <c:v>-10.982733813020966</c:v>
                </c:pt>
                <c:pt idx="202">
                  <c:v>-12.847797569570625</c:v>
                </c:pt>
                <c:pt idx="203">
                  <c:v>-13.243490578327531</c:v>
                </c:pt>
                <c:pt idx="204">
                  <c:v>-10.835690930081125</c:v>
                </c:pt>
                <c:pt idx="205">
                  <c:v>-10.870058234315595</c:v>
                </c:pt>
                <c:pt idx="206">
                  <c:v>-10.872124842080556</c:v>
                </c:pt>
                <c:pt idx="207">
                  <c:v>-10.648853371474029</c:v>
                </c:pt>
                <c:pt idx="208">
                  <c:v>-10.775265324209359</c:v>
                </c:pt>
                <c:pt idx="209">
                  <c:v>-10.92958889373007</c:v>
                </c:pt>
                <c:pt idx="210">
                  <c:v>-11.045592795112814</c:v>
                </c:pt>
                <c:pt idx="211">
                  <c:v>-10.700734190593765</c:v>
                </c:pt>
                <c:pt idx="212">
                  <c:v>-11.148089912874646</c:v>
                </c:pt>
                <c:pt idx="213">
                  <c:v>-10.881027013028087</c:v>
                </c:pt>
                <c:pt idx="214">
                  <c:v>-10.993079986185011</c:v>
                </c:pt>
                <c:pt idx="215">
                  <c:v>-11.391881183845323</c:v>
                </c:pt>
                <c:pt idx="216">
                  <c:v>-11.823163000387938</c:v>
                </c:pt>
                <c:pt idx="217">
                  <c:v>-11.336438672214399</c:v>
                </c:pt>
                <c:pt idx="218">
                  <c:v>-11.613379581085837</c:v>
                </c:pt>
                <c:pt idx="219">
                  <c:v>-11.716920819282166</c:v>
                </c:pt>
                <c:pt idx="220">
                  <c:v>-11.895484961463699</c:v>
                </c:pt>
                <c:pt idx="221">
                  <c:v>-11.309332663386179</c:v>
                </c:pt>
                <c:pt idx="222">
                  <c:v>-11.552602122687349</c:v>
                </c:pt>
                <c:pt idx="223">
                  <c:v>-11.278578977473947</c:v>
                </c:pt>
                <c:pt idx="224">
                  <c:v>-11.037078011291012</c:v>
                </c:pt>
                <c:pt idx="225">
                  <c:v>-10.621948500862969</c:v>
                </c:pt>
                <c:pt idx="226">
                  <c:v>-10.800604442262086</c:v>
                </c:pt>
                <c:pt idx="227">
                  <c:v>-10.608378897058783</c:v>
                </c:pt>
                <c:pt idx="228">
                  <c:v>-10.793750362555132</c:v>
                </c:pt>
                <c:pt idx="229">
                  <c:v>-11.0126561379188</c:v>
                </c:pt>
                <c:pt idx="230">
                  <c:v>-10.623929481064774</c:v>
                </c:pt>
                <c:pt idx="231">
                  <c:v>-9.3101881630032448</c:v>
                </c:pt>
                <c:pt idx="232">
                  <c:v>-9.3611893392059891</c:v>
                </c:pt>
                <c:pt idx="233">
                  <c:v>-9.9189777844654436</c:v>
                </c:pt>
                <c:pt idx="234">
                  <c:v>-10.362446578969486</c:v>
                </c:pt>
                <c:pt idx="235">
                  <c:v>-9.7297650582809041</c:v>
                </c:pt>
                <c:pt idx="236">
                  <c:v>-10.107381194398734</c:v>
                </c:pt>
                <c:pt idx="237">
                  <c:v>-9.86494732335035</c:v>
                </c:pt>
                <c:pt idx="238">
                  <c:v>-9.7567568751440721</c:v>
                </c:pt>
                <c:pt idx="239">
                  <c:v>-9.560103439406948</c:v>
                </c:pt>
                <c:pt idx="240">
                  <c:v>-9.7221190464096328</c:v>
                </c:pt>
                <c:pt idx="241">
                  <c:v>-9.4766119782105172</c:v>
                </c:pt>
                <c:pt idx="242">
                  <c:v>-10.274409653254676</c:v>
                </c:pt>
                <c:pt idx="243">
                  <c:v>-10.466304787964665</c:v>
                </c:pt>
                <c:pt idx="244">
                  <c:v>-10.070701524391875</c:v>
                </c:pt>
                <c:pt idx="245">
                  <c:v>-9.2817758539924835</c:v>
                </c:pt>
                <c:pt idx="246">
                  <c:v>-8.6335098107924821</c:v>
                </c:pt>
                <c:pt idx="247">
                  <c:v>-10.141614239564854</c:v>
                </c:pt>
                <c:pt idx="248">
                  <c:v>-11.562931041886614</c:v>
                </c:pt>
                <c:pt idx="249">
                  <c:v>-12.605420968713588</c:v>
                </c:pt>
                <c:pt idx="250">
                  <c:v>-12.399610887085501</c:v>
                </c:pt>
                <c:pt idx="251">
                  <c:v>-12.121492334705019</c:v>
                </c:pt>
                <c:pt idx="252">
                  <c:v>-11.700183037396986</c:v>
                </c:pt>
                <c:pt idx="253">
                  <c:v>-11.84882511104993</c:v>
                </c:pt>
                <c:pt idx="254">
                  <c:v>-11.045855032396116</c:v>
                </c:pt>
                <c:pt idx="255">
                  <c:v>-10.764594268507656</c:v>
                </c:pt>
                <c:pt idx="256">
                  <c:v>-11.060080522852244</c:v>
                </c:pt>
                <c:pt idx="257">
                  <c:v>-10.749656208148361</c:v>
                </c:pt>
                <c:pt idx="258">
                  <c:v>-9.8571447536939605</c:v>
                </c:pt>
                <c:pt idx="259">
                  <c:v>-9.3871609189656606</c:v>
                </c:pt>
                <c:pt idx="260">
                  <c:v>-8.7830703584505656</c:v>
                </c:pt>
                <c:pt idx="261">
                  <c:v>-7.6602021179082547</c:v>
                </c:pt>
                <c:pt idx="262">
                  <c:v>-8.106221892488243</c:v>
                </c:pt>
                <c:pt idx="263">
                  <c:v>-7.4011119791979905</c:v>
                </c:pt>
                <c:pt idx="264">
                  <c:v>-7.3215128025209228</c:v>
                </c:pt>
                <c:pt idx="265">
                  <c:v>-7.001340379955213</c:v>
                </c:pt>
                <c:pt idx="266">
                  <c:v>-6.6881959098787132</c:v>
                </c:pt>
                <c:pt idx="267">
                  <c:v>-6.4199738003921301</c:v>
                </c:pt>
                <c:pt idx="268">
                  <c:v>-6.0387193094801317</c:v>
                </c:pt>
                <c:pt idx="269">
                  <c:v>-5.0014527373007551</c:v>
                </c:pt>
                <c:pt idx="270">
                  <c:v>-3.7986263902737289</c:v>
                </c:pt>
                <c:pt idx="271">
                  <c:v>-3.8638008424448071</c:v>
                </c:pt>
                <c:pt idx="272">
                  <c:v>-5.1948638180887201</c:v>
                </c:pt>
                <c:pt idx="273">
                  <c:v>-5.0117212200744277</c:v>
                </c:pt>
                <c:pt idx="274">
                  <c:v>-7.1838342067037972</c:v>
                </c:pt>
                <c:pt idx="275">
                  <c:v>-6.4926400098448909</c:v>
                </c:pt>
                <c:pt idx="276">
                  <c:v>-7.7800484044403948</c:v>
                </c:pt>
                <c:pt idx="277">
                  <c:v>-9.36258433420881</c:v>
                </c:pt>
                <c:pt idx="278">
                  <c:v>-9.142273337011444</c:v>
                </c:pt>
                <c:pt idx="279">
                  <c:v>-9.6969150507894621</c:v>
                </c:pt>
                <c:pt idx="280">
                  <c:v>-10.489330294561286</c:v>
                </c:pt>
                <c:pt idx="281">
                  <c:v>-9.8692603114402608</c:v>
                </c:pt>
                <c:pt idx="282">
                  <c:v>-8.8048724100848244</c:v>
                </c:pt>
                <c:pt idx="283">
                  <c:v>-10.290683974162393</c:v>
                </c:pt>
                <c:pt idx="284">
                  <c:v>-9.057953930412717</c:v>
                </c:pt>
                <c:pt idx="285">
                  <c:v>-8.5186829115347589</c:v>
                </c:pt>
                <c:pt idx="286">
                  <c:v>-7.6781840472159457</c:v>
                </c:pt>
                <c:pt idx="287">
                  <c:v>-8.8798784240577913</c:v>
                </c:pt>
                <c:pt idx="288">
                  <c:v>-8.9613811851848943</c:v>
                </c:pt>
                <c:pt idx="289">
                  <c:v>-9.6638684387106917</c:v>
                </c:pt>
                <c:pt idx="290">
                  <c:v>-9.042050811915626</c:v>
                </c:pt>
                <c:pt idx="291">
                  <c:v>-9.6937455593349817</c:v>
                </c:pt>
                <c:pt idx="292">
                  <c:v>-10.086807779450037</c:v>
                </c:pt>
                <c:pt idx="293">
                  <c:v>-9.6132011714598331</c:v>
                </c:pt>
                <c:pt idx="294">
                  <c:v>-9.4294669414458081</c:v>
                </c:pt>
                <c:pt idx="295">
                  <c:v>-9.7949221218677227</c:v>
                </c:pt>
                <c:pt idx="296">
                  <c:v>-9.7815673417323072</c:v>
                </c:pt>
                <c:pt idx="297">
                  <c:v>-9.740059674729606</c:v>
                </c:pt>
                <c:pt idx="298">
                  <c:v>-9.4199526284395816</c:v>
                </c:pt>
                <c:pt idx="299">
                  <c:v>-9.5308199782262903</c:v>
                </c:pt>
                <c:pt idx="300">
                  <c:v>-8.8818216475561353</c:v>
                </c:pt>
                <c:pt idx="301">
                  <c:v>-8.4619151344354471</c:v>
                </c:pt>
                <c:pt idx="302">
                  <c:v>-7.9436504787659539</c:v>
                </c:pt>
                <c:pt idx="303">
                  <c:v>-7.6743390241365477</c:v>
                </c:pt>
                <c:pt idx="304">
                  <c:v>-8.3651859948649161</c:v>
                </c:pt>
                <c:pt idx="305">
                  <c:v>-8.4340674815792038</c:v>
                </c:pt>
                <c:pt idx="306">
                  <c:v>-8.4942116490184016</c:v>
                </c:pt>
                <c:pt idx="307">
                  <c:v>-7.4896449694847638</c:v>
                </c:pt>
                <c:pt idx="308">
                  <c:v>-9.1008309525020028</c:v>
                </c:pt>
                <c:pt idx="309">
                  <c:v>-9.0121678481356433</c:v>
                </c:pt>
                <c:pt idx="310">
                  <c:v>-8.4378404844894117</c:v>
                </c:pt>
                <c:pt idx="311">
                  <c:v>-7.4203159843783375</c:v>
                </c:pt>
                <c:pt idx="312">
                  <c:v>-6.6786708147686618</c:v>
                </c:pt>
                <c:pt idx="313">
                  <c:v>-6.8747540281174251</c:v>
                </c:pt>
                <c:pt idx="314">
                  <c:v>-5.6257937662515465</c:v>
                </c:pt>
                <c:pt idx="315">
                  <c:v>-5.5626613710761372</c:v>
                </c:pt>
                <c:pt idx="316">
                  <c:v>-4.4138433068082907</c:v>
                </c:pt>
                <c:pt idx="317">
                  <c:v>-5.2685362984962909</c:v>
                </c:pt>
                <c:pt idx="318">
                  <c:v>-3.9006256191444777</c:v>
                </c:pt>
                <c:pt idx="319">
                  <c:v>-2.9041676375226384</c:v>
                </c:pt>
                <c:pt idx="320">
                  <c:v>-0.96408447514030582</c:v>
                </c:pt>
                <c:pt idx="321">
                  <c:v>6.5451070196784782</c:v>
                </c:pt>
                <c:pt idx="322">
                  <c:v>2.0885603524591696</c:v>
                </c:pt>
                <c:pt idx="323">
                  <c:v>6.8264207777174395</c:v>
                </c:pt>
                <c:pt idx="324">
                  <c:v>3.4097488954804147</c:v>
                </c:pt>
                <c:pt idx="325">
                  <c:v>-3.6496883837365472</c:v>
                </c:pt>
                <c:pt idx="326">
                  <c:v>-7.2840438511530419</c:v>
                </c:pt>
                <c:pt idx="327">
                  <c:v>-8.5756911466441466</c:v>
                </c:pt>
                <c:pt idx="328">
                  <c:v>-8.7606792740625039</c:v>
                </c:pt>
                <c:pt idx="329">
                  <c:v>-7.8420930309639116</c:v>
                </c:pt>
                <c:pt idx="330">
                  <c:v>-9.0285666779799101</c:v>
                </c:pt>
                <c:pt idx="331">
                  <c:v>-9.6514160050831848</c:v>
                </c:pt>
                <c:pt idx="332">
                  <c:v>-9.6564611366174553</c:v>
                </c:pt>
                <c:pt idx="333">
                  <c:v>-9.8670907782880803</c:v>
                </c:pt>
                <c:pt idx="334">
                  <c:v>-8.8746795162748349</c:v>
                </c:pt>
                <c:pt idx="335">
                  <c:v>-8.9848630501458029</c:v>
                </c:pt>
                <c:pt idx="336">
                  <c:v>-8.9510786559489404</c:v>
                </c:pt>
                <c:pt idx="337">
                  <c:v>-8.5681823930426102</c:v>
                </c:pt>
                <c:pt idx="338">
                  <c:v>-8.8121204365984198</c:v>
                </c:pt>
                <c:pt idx="339">
                  <c:v>-8.7783929180705904</c:v>
                </c:pt>
                <c:pt idx="340">
                  <c:v>-8.7791356244848782</c:v>
                </c:pt>
                <c:pt idx="341">
                  <c:v>-8.8014591364989361</c:v>
                </c:pt>
                <c:pt idx="342">
                  <c:v>-8.4297241100222688</c:v>
                </c:pt>
                <c:pt idx="343">
                  <c:v>-8.1963845728344964</c:v>
                </c:pt>
                <c:pt idx="344">
                  <c:v>-8.4578729334727925</c:v>
                </c:pt>
                <c:pt idx="345">
                  <c:v>-8.6860354023884536</c:v>
                </c:pt>
                <c:pt idx="346">
                  <c:v>-8.4476156424961459</c:v>
                </c:pt>
                <c:pt idx="347">
                  <c:v>-8.5121384209385162</c:v>
                </c:pt>
                <c:pt idx="348">
                  <c:v>-8.3613199805378269</c:v>
                </c:pt>
                <c:pt idx="349">
                  <c:v>-8.5368696168426634</c:v>
                </c:pt>
                <c:pt idx="350">
                  <c:v>-8.8014790743970668</c:v>
                </c:pt>
                <c:pt idx="351">
                  <c:v>-7.4660436592015147</c:v>
                </c:pt>
                <c:pt idx="352">
                  <c:v>-6.5922034248534764</c:v>
                </c:pt>
                <c:pt idx="353">
                  <c:v>-7.2534126232695009</c:v>
                </c:pt>
                <c:pt idx="354">
                  <c:v>-7.2987008607739785</c:v>
                </c:pt>
                <c:pt idx="355">
                  <c:v>-7.2987008607739785</c:v>
                </c:pt>
                <c:pt idx="356">
                  <c:v>-7.2525164646325813</c:v>
                </c:pt>
                <c:pt idx="357">
                  <c:v>-7.4822599333753823</c:v>
                </c:pt>
                <c:pt idx="358">
                  <c:v>-7.7510968041823984</c:v>
                </c:pt>
                <c:pt idx="359">
                  <c:v>-8.0841445883460352</c:v>
                </c:pt>
                <c:pt idx="360">
                  <c:v>-7.9889582658595479</c:v>
                </c:pt>
                <c:pt idx="361">
                  <c:v>-8.0132197069364715</c:v>
                </c:pt>
                <c:pt idx="362">
                  <c:v>-8.4740209834721298</c:v>
                </c:pt>
                <c:pt idx="363">
                  <c:v>-8.4714860276556134</c:v>
                </c:pt>
                <c:pt idx="364">
                  <c:v>-8.361131719429908</c:v>
                </c:pt>
                <c:pt idx="365">
                  <c:v>-8.0182353114496134</c:v>
                </c:pt>
                <c:pt idx="366">
                  <c:v>-8.4047230522255827</c:v>
                </c:pt>
                <c:pt idx="367">
                  <c:v>-8.5873384074050705</c:v>
                </c:pt>
                <c:pt idx="368">
                  <c:v>-8.2905404854050708</c:v>
                </c:pt>
                <c:pt idx="369">
                  <c:v>-8.2227215340678939</c:v>
                </c:pt>
                <c:pt idx="370">
                  <c:v>-8.337454096943123</c:v>
                </c:pt>
                <c:pt idx="371">
                  <c:v>-8.4475990067148636</c:v>
                </c:pt>
                <c:pt idx="372">
                  <c:v>-8.2987962752068984</c:v>
                </c:pt>
                <c:pt idx="373">
                  <c:v>-8.4224550482857179</c:v>
                </c:pt>
                <c:pt idx="374">
                  <c:v>-8.6098277573678672</c:v>
                </c:pt>
                <c:pt idx="375">
                  <c:v>-8.9468532385986386</c:v>
                </c:pt>
                <c:pt idx="376">
                  <c:v>-9.2642517334709265</c:v>
                </c:pt>
                <c:pt idx="377">
                  <c:v>-9.2954982587473491</c:v>
                </c:pt>
                <c:pt idx="378">
                  <c:v>-9.3212287396959024</c:v>
                </c:pt>
                <c:pt idx="379">
                  <c:v>-9.5085415402351181</c:v>
                </c:pt>
                <c:pt idx="380">
                  <c:v>-9.5988528268492921</c:v>
                </c:pt>
                <c:pt idx="381">
                  <c:v>-9.6228991204833623</c:v>
                </c:pt>
                <c:pt idx="382">
                  <c:v>-9.6197137780377879</c:v>
                </c:pt>
                <c:pt idx="383">
                  <c:v>-9.5376344983654331</c:v>
                </c:pt>
                <c:pt idx="384">
                  <c:v>-9.8928308675208889</c:v>
                </c:pt>
                <c:pt idx="385">
                  <c:v>-10.055046621656025</c:v>
                </c:pt>
                <c:pt idx="386">
                  <c:v>-9.8292597186043462</c:v>
                </c:pt>
                <c:pt idx="387">
                  <c:v>-10.193833388526897</c:v>
                </c:pt>
                <c:pt idx="388">
                  <c:v>-10.217567719990312</c:v>
                </c:pt>
                <c:pt idx="389">
                  <c:v>-10.217567719990312</c:v>
                </c:pt>
                <c:pt idx="390">
                  <c:v>-10.17661018553653</c:v>
                </c:pt>
                <c:pt idx="391">
                  <c:v>-10.056982497565516</c:v>
                </c:pt>
                <c:pt idx="392">
                  <c:v>-10.032456349955943</c:v>
                </c:pt>
                <c:pt idx="393">
                  <c:v>-10.109750343002727</c:v>
                </c:pt>
                <c:pt idx="394">
                  <c:v>-10.081292040469792</c:v>
                </c:pt>
                <c:pt idx="395">
                  <c:v>-9.9359764998291666</c:v>
                </c:pt>
                <c:pt idx="396">
                  <c:v>-9.9534789068948939</c:v>
                </c:pt>
                <c:pt idx="397">
                  <c:v>-9.8854708852064519</c:v>
                </c:pt>
                <c:pt idx="398">
                  <c:v>-9.8307955486786742</c:v>
                </c:pt>
                <c:pt idx="399">
                  <c:v>-9.8263252249352195</c:v>
                </c:pt>
                <c:pt idx="400">
                  <c:v>-10.005038463643029</c:v>
                </c:pt>
                <c:pt idx="401">
                  <c:v>-9.7776308442680282</c:v>
                </c:pt>
                <c:pt idx="402">
                  <c:v>-9.8500460543850838</c:v>
                </c:pt>
                <c:pt idx="403">
                  <c:v>-9.7829291080901779</c:v>
                </c:pt>
                <c:pt idx="404">
                  <c:v>-10.043806315661607</c:v>
                </c:pt>
                <c:pt idx="405">
                  <c:v>-9.8647268204361716</c:v>
                </c:pt>
                <c:pt idx="406">
                  <c:v>-9.9340425068967786</c:v>
                </c:pt>
                <c:pt idx="407">
                  <c:v>-9.7821264386296303</c:v>
                </c:pt>
                <c:pt idx="408">
                  <c:v>-9.7981480732782789</c:v>
                </c:pt>
                <c:pt idx="409">
                  <c:v>-9.7269724952782788</c:v>
                </c:pt>
                <c:pt idx="410">
                  <c:v>-9.7779493424116115</c:v>
                </c:pt>
                <c:pt idx="411">
                  <c:v>-9.7785741901600378</c:v>
                </c:pt>
                <c:pt idx="412">
                  <c:v>-9.7976026084758292</c:v>
                </c:pt>
                <c:pt idx="413">
                  <c:v>-9.7677972335807226</c:v>
                </c:pt>
                <c:pt idx="414">
                  <c:v>-9.4810999001562219</c:v>
                </c:pt>
                <c:pt idx="415">
                  <c:v>-9.6210950316502792</c:v>
                </c:pt>
                <c:pt idx="416">
                  <c:v>-9.4320590751936333</c:v>
                </c:pt>
                <c:pt idx="417">
                  <c:v>-9.5452418114289266</c:v>
                </c:pt>
                <c:pt idx="418">
                  <c:v>-9.5043609646942322</c:v>
                </c:pt>
                <c:pt idx="419">
                  <c:v>-9.5510377858323086</c:v>
                </c:pt>
                <c:pt idx="420">
                  <c:v>-9.2657743646791548</c:v>
                </c:pt>
                <c:pt idx="421">
                  <c:v>-9.1875445603562831</c:v>
                </c:pt>
                <c:pt idx="422">
                  <c:v>-9.3005898891953347</c:v>
                </c:pt>
                <c:pt idx="423">
                  <c:v>-9.2702217138034779</c:v>
                </c:pt>
                <c:pt idx="424">
                  <c:v>-9.2656669589478078</c:v>
                </c:pt>
                <c:pt idx="425">
                  <c:v>-9.2848480434850629</c:v>
                </c:pt>
                <c:pt idx="426">
                  <c:v>-9.3000797000696789</c:v>
                </c:pt>
                <c:pt idx="427">
                  <c:v>-9.4114571388177701</c:v>
                </c:pt>
                <c:pt idx="428">
                  <c:v>-9.264854351095849</c:v>
                </c:pt>
                <c:pt idx="429">
                  <c:v>-9.1528822903750253</c:v>
                </c:pt>
                <c:pt idx="430">
                  <c:v>-9.1236396455510818</c:v>
                </c:pt>
                <c:pt idx="431">
                  <c:v>-9.2278303951662579</c:v>
                </c:pt>
                <c:pt idx="432">
                  <c:v>-9.2671189469557298</c:v>
                </c:pt>
                <c:pt idx="433">
                  <c:v>-9.3879895903017392</c:v>
                </c:pt>
                <c:pt idx="434">
                  <c:v>-9.286950666643202</c:v>
                </c:pt>
                <c:pt idx="435">
                  <c:v>-9.2436206600642539</c:v>
                </c:pt>
                <c:pt idx="436">
                  <c:v>-9.2115236790196686</c:v>
                </c:pt>
                <c:pt idx="437">
                  <c:v>-9.2965719762635732</c:v>
                </c:pt>
                <c:pt idx="438">
                  <c:v>-9.275870797895152</c:v>
                </c:pt>
                <c:pt idx="439">
                  <c:v>-9.1447888381844074</c:v>
                </c:pt>
                <c:pt idx="440">
                  <c:v>-9.2695359625238165</c:v>
                </c:pt>
                <c:pt idx="441">
                  <c:v>-9.2477862058115843</c:v>
                </c:pt>
                <c:pt idx="442">
                  <c:v>-9.2754995444115842</c:v>
                </c:pt>
                <c:pt idx="443">
                  <c:v>-9.1404956726820252</c:v>
                </c:pt>
                <c:pt idx="444">
                  <c:v>-9.1783705515507847</c:v>
                </c:pt>
                <c:pt idx="445">
                  <c:v>-9.1707740118922469</c:v>
                </c:pt>
                <c:pt idx="446">
                  <c:v>-9.2242927920522462</c:v>
                </c:pt>
                <c:pt idx="447">
                  <c:v>-9.1401514856886124</c:v>
                </c:pt>
                <c:pt idx="448">
                  <c:v>-9.2862424253836462</c:v>
                </c:pt>
                <c:pt idx="449">
                  <c:v>-9.4071230620086457</c:v>
                </c:pt>
                <c:pt idx="450">
                  <c:v>-9.408019490302765</c:v>
                </c:pt>
                <c:pt idx="451">
                  <c:v>-9.2765705839801829</c:v>
                </c:pt>
                <c:pt idx="452">
                  <c:v>-9.195350886980183</c:v>
                </c:pt>
                <c:pt idx="453">
                  <c:v>-9.1232662914482674</c:v>
                </c:pt>
                <c:pt idx="454">
                  <c:v>-9.1495948057816019</c:v>
                </c:pt>
                <c:pt idx="455">
                  <c:v>-9.2336824255532548</c:v>
                </c:pt>
                <c:pt idx="456">
                  <c:v>-9.1111671012493343</c:v>
                </c:pt>
                <c:pt idx="457">
                  <c:v>-8.9404700166047721</c:v>
                </c:pt>
                <c:pt idx="458">
                  <c:v>-8.5108755674272025</c:v>
                </c:pt>
                <c:pt idx="459">
                  <c:v>-6.6543949334085113</c:v>
                </c:pt>
                <c:pt idx="460">
                  <c:v>-6.5509235656349274</c:v>
                </c:pt>
                <c:pt idx="461">
                  <c:v>-5.918056797314927</c:v>
                </c:pt>
                <c:pt idx="462">
                  <c:v>-5.4176231974472033</c:v>
                </c:pt>
                <c:pt idx="463">
                  <c:v>-5.4342311437985558</c:v>
                </c:pt>
                <c:pt idx="464">
                  <c:v>-5.4864921772162774</c:v>
                </c:pt>
                <c:pt idx="465">
                  <c:v>-5.3395129279322129</c:v>
                </c:pt>
                <c:pt idx="466">
                  <c:v>-5.2705608590693096</c:v>
                </c:pt>
                <c:pt idx="467">
                  <c:v>-5.254600594982354</c:v>
                </c:pt>
                <c:pt idx="468">
                  <c:v>-5.2076834918785293</c:v>
                </c:pt>
                <c:pt idx="469">
                  <c:v>-5.2715798492631443</c:v>
                </c:pt>
                <c:pt idx="470">
                  <c:v>-5.1635171006400284</c:v>
                </c:pt>
                <c:pt idx="471">
                  <c:v>-5.1822066537331963</c:v>
                </c:pt>
                <c:pt idx="472">
                  <c:v>-5.1645500282786507</c:v>
                </c:pt>
                <c:pt idx="473">
                  <c:v>-5.185275488566421</c:v>
                </c:pt>
                <c:pt idx="474">
                  <c:v>-5.2145730179781857</c:v>
                </c:pt>
                <c:pt idx="475">
                  <c:v>-5.2489094365071702</c:v>
                </c:pt>
                <c:pt idx="476">
                  <c:v>-5.3492937521121098</c:v>
                </c:pt>
                <c:pt idx="477">
                  <c:v>-5.3922020365666548</c:v>
                </c:pt>
                <c:pt idx="478">
                  <c:v>-5.4301506027724162</c:v>
                </c:pt>
                <c:pt idx="479">
                  <c:v>-5.3241371907107107</c:v>
                </c:pt>
                <c:pt idx="480">
                  <c:v>-5.3103824123915606</c:v>
                </c:pt>
                <c:pt idx="481">
                  <c:v>-5.2980260370324448</c:v>
                </c:pt>
                <c:pt idx="482">
                  <c:v>-5.3637943195677149</c:v>
                </c:pt>
                <c:pt idx="483">
                  <c:v>-5.3436226470036123</c:v>
                </c:pt>
                <c:pt idx="484">
                  <c:v>-5.2868571388013654</c:v>
                </c:pt>
                <c:pt idx="485">
                  <c:v>-5.3257012985023007</c:v>
                </c:pt>
                <c:pt idx="486">
                  <c:v>-5.3073631081973005</c:v>
                </c:pt>
                <c:pt idx="487">
                  <c:v>-5.2514980303179035</c:v>
                </c:pt>
                <c:pt idx="488">
                  <c:v>-5.265648117592904</c:v>
                </c:pt>
                <c:pt idx="489">
                  <c:v>-5.1431001084921846</c:v>
                </c:pt>
                <c:pt idx="490">
                  <c:v>-5.2471854621849392</c:v>
                </c:pt>
                <c:pt idx="491">
                  <c:v>-5.3153986885937785</c:v>
                </c:pt>
                <c:pt idx="492">
                  <c:v>-5.2324183925731838</c:v>
                </c:pt>
                <c:pt idx="493">
                  <c:v>-5.2314795947050516</c:v>
                </c:pt>
                <c:pt idx="494">
                  <c:v>-5.1204315332276238</c:v>
                </c:pt>
                <c:pt idx="495">
                  <c:v>-5.0897961138942902</c:v>
                </c:pt>
                <c:pt idx="496">
                  <c:v>-5.0987037153440511</c:v>
                </c:pt>
                <c:pt idx="497">
                  <c:v>-4.9970684394995475</c:v>
                </c:pt>
                <c:pt idx="498">
                  <c:v>-4.9713244152536458</c:v>
                </c:pt>
                <c:pt idx="499">
                  <c:v>-5.0370441681517351</c:v>
                </c:pt>
                <c:pt idx="500">
                  <c:v>-4.8807737901018386</c:v>
                </c:pt>
                <c:pt idx="501">
                  <c:v>-4.8857840585776753</c:v>
                </c:pt>
                <c:pt idx="502">
                  <c:v>-4.7726552953715222</c:v>
                </c:pt>
                <c:pt idx="503">
                  <c:v>-4.5917391167842796</c:v>
                </c:pt>
                <c:pt idx="504">
                  <c:v>-4.6180200394894459</c:v>
                </c:pt>
                <c:pt idx="505">
                  <c:v>-4.6085016215865338</c:v>
                </c:pt>
                <c:pt idx="506">
                  <c:v>-4.6651841912671426</c:v>
                </c:pt>
                <c:pt idx="507">
                  <c:v>-4.6833682756809356</c:v>
                </c:pt>
                <c:pt idx="508">
                  <c:v>-3.9008358756316652</c:v>
                </c:pt>
                <c:pt idx="509">
                  <c:v>-4.1826596230628166</c:v>
                </c:pt>
                <c:pt idx="510">
                  <c:v>-4.075380458601698</c:v>
                </c:pt>
                <c:pt idx="511">
                  <c:v>-4.2561119197933488</c:v>
                </c:pt>
                <c:pt idx="512">
                  <c:v>-3.9393497471113452</c:v>
                </c:pt>
                <c:pt idx="513">
                  <c:v>-4.0039092339807612</c:v>
                </c:pt>
                <c:pt idx="514">
                  <c:v>-3.8690607704191167</c:v>
                </c:pt>
                <c:pt idx="515">
                  <c:v>-3.8408632183481943</c:v>
                </c:pt>
                <c:pt idx="516">
                  <c:v>-3.6884400465680902</c:v>
                </c:pt>
                <c:pt idx="517">
                  <c:v>-3.6758601487312106</c:v>
                </c:pt>
                <c:pt idx="518">
                  <c:v>-3.8212273789257631</c:v>
                </c:pt>
                <c:pt idx="519">
                  <c:v>-3.7846585132577464</c:v>
                </c:pt>
                <c:pt idx="520">
                  <c:v>-3.7461434765329309</c:v>
                </c:pt>
                <c:pt idx="521">
                  <c:v>-3.7186580320971987</c:v>
                </c:pt>
                <c:pt idx="522">
                  <c:v>-3.894598659815554</c:v>
                </c:pt>
                <c:pt idx="523">
                  <c:v>-3.9927673616655532</c:v>
                </c:pt>
                <c:pt idx="524">
                  <c:v>-4.1620424467316877</c:v>
                </c:pt>
                <c:pt idx="525">
                  <c:v>-3.8792300297862337</c:v>
                </c:pt>
                <c:pt idx="526">
                  <c:v>-3.9913789809937805</c:v>
                </c:pt>
                <c:pt idx="527">
                  <c:v>-3.8368343615617975</c:v>
                </c:pt>
                <c:pt idx="528">
                  <c:v>-3.6925012237922257</c:v>
                </c:pt>
                <c:pt idx="529">
                  <c:v>-3.4638162952194094</c:v>
                </c:pt>
                <c:pt idx="530">
                  <c:v>-3.4857083405235327</c:v>
                </c:pt>
                <c:pt idx="531">
                  <c:v>-3.3398117400092477</c:v>
                </c:pt>
                <c:pt idx="532">
                  <c:v>-3.275175100873339</c:v>
                </c:pt>
                <c:pt idx="533">
                  <c:v>-3.21888534938117</c:v>
                </c:pt>
                <c:pt idx="534">
                  <c:v>-3.4712628521380924</c:v>
                </c:pt>
                <c:pt idx="535">
                  <c:v>-2.6632780313988134</c:v>
                </c:pt>
                <c:pt idx="536">
                  <c:v>-3.4283690408538381</c:v>
                </c:pt>
                <c:pt idx="537">
                  <c:v>-3.8306262448538382</c:v>
                </c:pt>
                <c:pt idx="538">
                  <c:v>-4.0469495824181942</c:v>
                </c:pt>
                <c:pt idx="539">
                  <c:v>-3.9552679932756942</c:v>
                </c:pt>
                <c:pt idx="540">
                  <c:v>-4.0748725042803127</c:v>
                </c:pt>
                <c:pt idx="541">
                  <c:v>-3.958330659518408</c:v>
                </c:pt>
                <c:pt idx="542">
                  <c:v>-3.8199816155711321</c:v>
                </c:pt>
                <c:pt idx="543">
                  <c:v>-3.5065367813711328</c:v>
                </c:pt>
                <c:pt idx="544">
                  <c:v>-4.0245460731867917</c:v>
                </c:pt>
                <c:pt idx="545">
                  <c:v>-3.6521757205533145</c:v>
                </c:pt>
                <c:pt idx="546">
                  <c:v>-3.2636964345564889</c:v>
                </c:pt>
                <c:pt idx="547">
                  <c:v>-3.4888150899687518</c:v>
                </c:pt>
                <c:pt idx="548">
                  <c:v>-3.253685685401329</c:v>
                </c:pt>
                <c:pt idx="549">
                  <c:v>-3.3538084626205444</c:v>
                </c:pt>
                <c:pt idx="550">
                  <c:v>-2.2248372960311937</c:v>
                </c:pt>
                <c:pt idx="551">
                  <c:v>-2.3586018475764008</c:v>
                </c:pt>
                <c:pt idx="552">
                  <c:v>-2.4454851722868263</c:v>
                </c:pt>
                <c:pt idx="553">
                  <c:v>-2.7092140709314392</c:v>
                </c:pt>
                <c:pt idx="554">
                  <c:v>-2.2814352706430947</c:v>
                </c:pt>
                <c:pt idx="555">
                  <c:v>-2.5278974864581629</c:v>
                </c:pt>
                <c:pt idx="556">
                  <c:v>-2.7941631208069366</c:v>
                </c:pt>
                <c:pt idx="557">
                  <c:v>-3.2784772159730142</c:v>
                </c:pt>
                <c:pt idx="558">
                  <c:v>-3.603189879526207</c:v>
                </c:pt>
                <c:pt idx="559">
                  <c:v>-3.7530124857537519</c:v>
                </c:pt>
                <c:pt idx="560">
                  <c:v>-3.6112399082720761</c:v>
                </c:pt>
                <c:pt idx="561">
                  <c:v>-3.4548289164376675</c:v>
                </c:pt>
                <c:pt idx="562">
                  <c:v>-2.7683631457222635</c:v>
                </c:pt>
                <c:pt idx="563">
                  <c:v>-2.8967789001037065</c:v>
                </c:pt>
                <c:pt idx="564">
                  <c:v>-2.7630004968510748</c:v>
                </c:pt>
                <c:pt idx="565">
                  <c:v>-2.6782455320969767</c:v>
                </c:pt>
                <c:pt idx="566">
                  <c:v>-2.7669512256596782</c:v>
                </c:pt>
                <c:pt idx="567">
                  <c:v>-2.9169305890212418</c:v>
                </c:pt>
                <c:pt idx="568">
                  <c:v>-2.8517420918388514</c:v>
                </c:pt>
                <c:pt idx="569">
                  <c:v>-3.0213913167755604</c:v>
                </c:pt>
                <c:pt idx="570">
                  <c:v>-4.4117976245402604</c:v>
                </c:pt>
                <c:pt idx="571">
                  <c:v>-6.3706119213974022</c:v>
                </c:pt>
                <c:pt idx="572">
                  <c:v>-6.5294457502953609</c:v>
                </c:pt>
                <c:pt idx="573">
                  <c:v>-5.8909906184881331</c:v>
                </c:pt>
                <c:pt idx="574">
                  <c:v>-6.2235320978057818</c:v>
                </c:pt>
                <c:pt idx="575">
                  <c:v>-5.7195100085106274</c:v>
                </c:pt>
                <c:pt idx="576">
                  <c:v>-4.6132358280361752</c:v>
                </c:pt>
                <c:pt idx="577">
                  <c:v>-4.8482589320926088</c:v>
                </c:pt>
                <c:pt idx="578">
                  <c:v>-4.9818318089975975</c:v>
                </c:pt>
                <c:pt idx="579">
                  <c:v>-4.9978276740986853</c:v>
                </c:pt>
                <c:pt idx="580">
                  <c:v>-4.853411824943044</c:v>
                </c:pt>
                <c:pt idx="581">
                  <c:v>-4.7552454908146036</c:v>
                </c:pt>
                <c:pt idx="582">
                  <c:v>-4.6602646768514706</c:v>
                </c:pt>
                <c:pt idx="583">
                  <c:v>-4.5323424997988395</c:v>
                </c:pt>
                <c:pt idx="584">
                  <c:v>-4.5924585487219156</c:v>
                </c:pt>
                <c:pt idx="585">
                  <c:v>-4.5145877592016843</c:v>
                </c:pt>
                <c:pt idx="586">
                  <c:v>-4.7221353830113362</c:v>
                </c:pt>
                <c:pt idx="587">
                  <c:v>-4.5932300984932635</c:v>
                </c:pt>
                <c:pt idx="588">
                  <c:v>-4.381200261476935</c:v>
                </c:pt>
                <c:pt idx="589">
                  <c:v>-4.171584781119793</c:v>
                </c:pt>
                <c:pt idx="590">
                  <c:v>-3.9699383313053609</c:v>
                </c:pt>
                <c:pt idx="591">
                  <c:v>-3.7926415204274977</c:v>
                </c:pt>
                <c:pt idx="592">
                  <c:v>-3.6801555666470098</c:v>
                </c:pt>
                <c:pt idx="593">
                  <c:v>-3.4932874264334175</c:v>
                </c:pt>
                <c:pt idx="594">
                  <c:v>-3.1825120504897026</c:v>
                </c:pt>
                <c:pt idx="595">
                  <c:v>-2.7170926366111989</c:v>
                </c:pt>
                <c:pt idx="596">
                  <c:v>-1.4832699455489191</c:v>
                </c:pt>
                <c:pt idx="597">
                  <c:v>-2.0762779525779056</c:v>
                </c:pt>
                <c:pt idx="598">
                  <c:v>-2.2092506369825564</c:v>
                </c:pt>
                <c:pt idx="599">
                  <c:v>-1.8534591470075559</c:v>
                </c:pt>
                <c:pt idx="600">
                  <c:v>-2.0235834076325561</c:v>
                </c:pt>
                <c:pt idx="601">
                  <c:v>-2.123747215061127</c:v>
                </c:pt>
                <c:pt idx="602">
                  <c:v>-2.1316471671411277</c:v>
                </c:pt>
                <c:pt idx="603">
                  <c:v>-2.08893677733893</c:v>
                </c:pt>
                <c:pt idx="604">
                  <c:v>-2.0880253716947585</c:v>
                </c:pt>
                <c:pt idx="605">
                  <c:v>-2.2252716896228364</c:v>
                </c:pt>
                <c:pt idx="606">
                  <c:v>-2.2283742773249635</c:v>
                </c:pt>
                <c:pt idx="607">
                  <c:v>-2.1585451311567394</c:v>
                </c:pt>
                <c:pt idx="608">
                  <c:v>-2.130405341849047</c:v>
                </c:pt>
                <c:pt idx="609">
                  <c:v>-2.1527793571978848</c:v>
                </c:pt>
                <c:pt idx="610">
                  <c:v>-2.2173790382835992</c:v>
                </c:pt>
                <c:pt idx="611">
                  <c:v>-2.2149478209978857</c:v>
                </c:pt>
                <c:pt idx="612">
                  <c:v>-2.2234463006986731</c:v>
                </c:pt>
                <c:pt idx="613">
                  <c:v>-2.310349976661636</c:v>
                </c:pt>
                <c:pt idx="614">
                  <c:v>-1.9750610124410479</c:v>
                </c:pt>
                <c:pt idx="615">
                  <c:v>-2.1391500522009421</c:v>
                </c:pt>
                <c:pt idx="616">
                  <c:v>-2.2754220157874805</c:v>
                </c:pt>
                <c:pt idx="617">
                  <c:v>-2.251131320787481</c:v>
                </c:pt>
                <c:pt idx="618">
                  <c:v>-2.2899104433310491</c:v>
                </c:pt>
                <c:pt idx="619">
                  <c:v>-2.2085863531255696</c:v>
                </c:pt>
                <c:pt idx="620">
                  <c:v>-2.2015507336855693</c:v>
                </c:pt>
                <c:pt idx="621">
                  <c:v>-2.0977859585317229</c:v>
                </c:pt>
                <c:pt idx="622">
                  <c:v>-2.1527887466420683</c:v>
                </c:pt>
                <c:pt idx="623">
                  <c:v>-2.1132087538920685</c:v>
                </c:pt>
                <c:pt idx="624">
                  <c:v>-2.0376236768920686</c:v>
                </c:pt>
                <c:pt idx="625">
                  <c:v>-2.1134000273642908</c:v>
                </c:pt>
                <c:pt idx="626">
                  <c:v>-2.1106597040807089</c:v>
                </c:pt>
                <c:pt idx="627">
                  <c:v>-2.1277219710398927</c:v>
                </c:pt>
                <c:pt idx="628">
                  <c:v>-2.0276581536883991</c:v>
                </c:pt>
                <c:pt idx="629">
                  <c:v>-1.8054077322217326</c:v>
                </c:pt>
                <c:pt idx="630">
                  <c:v>-1.2604115711671882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0-4A54-8FB2-7B9FF6622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9802095"/>
        <c:axId val="1809800847"/>
      </c:lineChart>
      <c:dateAx>
        <c:axId val="18098020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800847"/>
        <c:crosses val="autoZero"/>
        <c:auto val="1"/>
        <c:lblOffset val="100"/>
        <c:baseTimeUnit val="days"/>
      </c:dateAx>
      <c:valAx>
        <c:axId val="180980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80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451BCA5-AD61-4622-A560-D678823F5415}">
  <sheetPr/>
  <sheetViews>
    <sheetView zoomScale="8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840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495B7C-429C-42AC-899A-66825D1E0E3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1.5</v>
      </c>
      <c r="D2" s="4">
        <f>MIN(D3:D1912)</f>
        <v>1.5900000000000001E-2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0.52300000000000002</v>
      </c>
      <c r="C5">
        <v>0.53649999999999998</v>
      </c>
      <c r="D5">
        <v>0.50960000000000005</v>
      </c>
      <c r="E5">
        <v>0.51070000000000004</v>
      </c>
      <c r="F5">
        <v>6250922</v>
      </c>
      <c r="G5">
        <v>0.51070000000000004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-0.91821561338290014</v>
      </c>
      <c r="Q5">
        <f t="shared" ref="Q5" si="1">F5*P5</f>
        <v>-5739694.1784386653</v>
      </c>
      <c r="R5">
        <f t="shared" ref="R5" si="2">R6+Q5</f>
        <v>-3377502310.235558</v>
      </c>
      <c r="S5">
        <f t="shared" ref="S5" si="3">R5/100000</f>
        <v>-33775.023102355583</v>
      </c>
      <c r="T5">
        <f t="shared" ref="T5" si="4">S5/1000</f>
        <v>-33.775023102355583</v>
      </c>
    </row>
    <row r="6" spans="1:20" x14ac:dyDescent="0.25">
      <c r="A6" s="5">
        <v>44587</v>
      </c>
      <c r="B6">
        <v>0.51190000000000002</v>
      </c>
      <c r="C6">
        <v>0.59860000000000002</v>
      </c>
      <c r="D6">
        <v>0.50239999999999996</v>
      </c>
      <c r="E6">
        <v>0.52300000000000002</v>
      </c>
      <c r="F6">
        <v>98437406</v>
      </c>
      <c r="G6">
        <v>0.52300000000000002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-0.5717255717255707</v>
      </c>
      <c r="Q6">
        <f t="shared" ref="Q6" si="6">F6*P6</f>
        <v>-56279182.224532127</v>
      </c>
      <c r="R6">
        <f t="shared" ref="R6" si="7">R7+Q6</f>
        <v>-3371762616.0571194</v>
      </c>
      <c r="S6">
        <f t="shared" ref="S6" si="8">R6/100000</f>
        <v>-33717.626160571192</v>
      </c>
      <c r="T6">
        <f t="shared" ref="T6" si="9">S6/1000</f>
        <v>-33.717626160571193</v>
      </c>
    </row>
    <row r="7" spans="1:20" x14ac:dyDescent="0.25">
      <c r="A7" s="5">
        <v>44586</v>
      </c>
      <c r="B7">
        <v>0.51590000000000003</v>
      </c>
      <c r="C7">
        <v>0.53220000000000001</v>
      </c>
      <c r="D7">
        <v>0.48730000000000001</v>
      </c>
      <c r="E7">
        <v>0.51180000000000003</v>
      </c>
      <c r="F7">
        <v>69440149</v>
      </c>
      <c r="G7">
        <v>0.51180000000000003</v>
      </c>
      <c r="L7" t="s">
        <v>8</v>
      </c>
      <c r="M7" t="s">
        <v>8</v>
      </c>
      <c r="N7" t="s">
        <v>7</v>
      </c>
      <c r="P7">
        <f t="shared" ref="P7" si="10">IF(C7=D7,0,((E7-D7)-(C7-E7))/(C7-D7))</f>
        <v>9.1314031180401975E-2</v>
      </c>
      <c r="Q7">
        <f t="shared" ref="Q7" si="11">F7*P7</f>
        <v>6340859.9309577588</v>
      </c>
      <c r="R7">
        <f t="shared" ref="R7" si="12">R8+Q7</f>
        <v>-3315483433.8325872</v>
      </c>
      <c r="S7">
        <f t="shared" ref="S7" si="13">R7/100000</f>
        <v>-33154.834338325869</v>
      </c>
      <c r="T7">
        <f t="shared" ref="T7" si="14">S7/1000</f>
        <v>-33.15483433832587</v>
      </c>
    </row>
    <row r="8" spans="1:20" x14ac:dyDescent="0.25">
      <c r="A8" s="5">
        <v>44585</v>
      </c>
      <c r="B8">
        <v>0.57199999999999995</v>
      </c>
      <c r="C8">
        <v>0.57199999999999995</v>
      </c>
      <c r="D8">
        <v>0.45739999999999997</v>
      </c>
      <c r="E8">
        <v>0.51659999999999995</v>
      </c>
      <c r="F8">
        <v>121760774</v>
      </c>
      <c r="G8">
        <v>0.51659999999999995</v>
      </c>
      <c r="L8" t="s">
        <v>7</v>
      </c>
      <c r="M8" t="s">
        <v>7</v>
      </c>
      <c r="N8" t="s">
        <v>7</v>
      </c>
      <c r="P8">
        <f t="shared" ref="P8" si="15">IF(C8=D8,0,((E8-D8)-(C8-E8))/(C8-D8))</f>
        <v>3.3158813263525051E-2</v>
      </c>
      <c r="Q8">
        <f t="shared" ref="Q8" si="16">F8*P8</f>
        <v>4037442.7678882764</v>
      </c>
      <c r="R8">
        <f t="shared" ref="R8" si="17">R9+Q8</f>
        <v>-3321824293.763545</v>
      </c>
      <c r="S8">
        <f t="shared" ref="S8" si="18">R8/100000</f>
        <v>-33218.242937635448</v>
      </c>
      <c r="T8">
        <f t="shared" ref="T8" si="19">S8/1000</f>
        <v>-33.218242937635452</v>
      </c>
    </row>
    <row r="9" spans="1:20" x14ac:dyDescent="0.25">
      <c r="A9" s="5">
        <v>44584</v>
      </c>
      <c r="B9">
        <v>0.56410000000000005</v>
      </c>
      <c r="C9">
        <v>0.61099999999999999</v>
      </c>
      <c r="D9">
        <v>0.53439999999999999</v>
      </c>
      <c r="E9">
        <v>0.57240000000000002</v>
      </c>
      <c r="F9">
        <v>76061253</v>
      </c>
      <c r="G9">
        <v>0.57240000000000002</v>
      </c>
      <c r="L9" t="s">
        <v>8</v>
      </c>
      <c r="M9" t="s">
        <v>7</v>
      </c>
      <c r="N9" t="s">
        <v>7</v>
      </c>
      <c r="P9">
        <f t="shared" ref="P9" si="20">IF(C9=D9,0,((E9-D9)-(C9-E9))/(C9-D9))</f>
        <v>-7.8328981723228969E-3</v>
      </c>
      <c r="Q9">
        <f t="shared" ref="Q9" si="21">F9*P9</f>
        <v>-595780.0496082895</v>
      </c>
      <c r="R9">
        <f t="shared" ref="R9" si="22">R10+Q9</f>
        <v>-3325861736.5314331</v>
      </c>
      <c r="S9">
        <f t="shared" ref="S9" si="23">R9/100000</f>
        <v>-33258.617365314334</v>
      </c>
      <c r="T9">
        <f t="shared" ref="T9" si="24">S9/1000</f>
        <v>-33.258617365314336</v>
      </c>
    </row>
    <row r="10" spans="1:20" x14ac:dyDescent="0.25">
      <c r="A10" s="5">
        <v>44583</v>
      </c>
      <c r="B10">
        <v>0.70499999999999996</v>
      </c>
      <c r="C10">
        <v>0.73140000000000005</v>
      </c>
      <c r="D10">
        <v>0.5091</v>
      </c>
      <c r="E10">
        <v>0.56430000000000002</v>
      </c>
      <c r="F10">
        <v>127834127</v>
      </c>
      <c r="G10">
        <v>0.56430000000000002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-0.50337381916329271</v>
      </c>
      <c r="Q10">
        <f t="shared" ref="Q10" si="26">F10*P10</f>
        <v>-64348352.727395393</v>
      </c>
      <c r="R10">
        <f t="shared" ref="R10" si="27">R11+Q10</f>
        <v>-3325265956.4818249</v>
      </c>
      <c r="S10">
        <f t="shared" ref="S10" si="28">R10/100000</f>
        <v>-33252.659564818248</v>
      </c>
      <c r="T10">
        <f t="shared" ref="T10" si="29">S10/1000</f>
        <v>-33.252659564818245</v>
      </c>
    </row>
    <row r="11" spans="1:20" x14ac:dyDescent="0.25">
      <c r="A11" s="5">
        <v>44582</v>
      </c>
      <c r="B11">
        <v>0.80279999999999996</v>
      </c>
      <c r="C11">
        <v>0.83799999999999997</v>
      </c>
      <c r="D11">
        <v>0.68689999999999996</v>
      </c>
      <c r="E11">
        <v>0.70620000000000005</v>
      </c>
      <c r="F11">
        <v>105077935</v>
      </c>
      <c r="G11">
        <v>0.70620000000000005</v>
      </c>
      <c r="L11" t="s">
        <v>7</v>
      </c>
      <c r="M11" t="s">
        <v>7</v>
      </c>
      <c r="N11" t="s">
        <v>8</v>
      </c>
      <c r="P11">
        <f t="shared" ref="P11" si="30">IF(C11=D11,0,((E11-D11)-(C11-E11))/(C11-D11))</f>
        <v>-0.74454003970880089</v>
      </c>
      <c r="Q11">
        <f t="shared" ref="Q11" si="31">F11*P11</f>
        <v>-78234729.897418797</v>
      </c>
      <c r="R11">
        <f t="shared" ref="R11" si="32">R12+Q11</f>
        <v>-3260917603.7544293</v>
      </c>
      <c r="S11">
        <f t="shared" ref="S11" si="33">R11/100000</f>
        <v>-32609.176037544294</v>
      </c>
      <c r="T11">
        <f t="shared" ref="T11" si="34">S11/1000</f>
        <v>-32.609176037544295</v>
      </c>
    </row>
    <row r="12" spans="1:20" x14ac:dyDescent="0.25">
      <c r="A12" s="5">
        <v>44581</v>
      </c>
      <c r="B12">
        <v>0.81599999999999995</v>
      </c>
      <c r="C12">
        <v>0.88719999999999999</v>
      </c>
      <c r="D12">
        <v>0.79330000000000001</v>
      </c>
      <c r="E12">
        <v>0.80289999999999995</v>
      </c>
      <c r="F12">
        <v>56553431</v>
      </c>
      <c r="G12">
        <v>0.80289999999999995</v>
      </c>
      <c r="L12" t="s">
        <v>8</v>
      </c>
      <c r="M12" t="s">
        <v>8</v>
      </c>
      <c r="N12" t="s">
        <v>8</v>
      </c>
      <c r="P12">
        <f t="shared" ref="P12" si="35">IF(C12=D12,0,((E12-D12)-(C12-E12))/(C12-D12))</f>
        <v>-0.795527156549522</v>
      </c>
      <c r="Q12">
        <f t="shared" ref="Q12" si="36">F12*P12</f>
        <v>-44989790.156549588</v>
      </c>
      <c r="R12">
        <f t="shared" ref="R12" si="37">R13+Q12</f>
        <v>-3182682873.8570104</v>
      </c>
      <c r="S12">
        <f t="shared" ref="S12" si="38">R12/100000</f>
        <v>-31826.828738570104</v>
      </c>
      <c r="T12">
        <f t="shared" ref="T12" si="39">S12/1000</f>
        <v>-31.826828738570104</v>
      </c>
    </row>
    <row r="13" spans="1:20" x14ac:dyDescent="0.25">
      <c r="A13" s="5">
        <v>44580</v>
      </c>
      <c r="B13">
        <v>0.86499999999999999</v>
      </c>
      <c r="C13">
        <v>0.87929999999999997</v>
      </c>
      <c r="D13">
        <v>0.79579999999999995</v>
      </c>
      <c r="E13">
        <v>0.81599999999999995</v>
      </c>
      <c r="F13">
        <v>50236617</v>
      </c>
      <c r="G13">
        <v>0.81599999999999995</v>
      </c>
      <c r="L13" t="s">
        <v>7</v>
      </c>
      <c r="M13" t="s">
        <v>8</v>
      </c>
      <c r="N13" t="s">
        <v>8</v>
      </c>
      <c r="P13">
        <f t="shared" ref="P13" si="40">IF(C13=D13,0,((E13-D13)-(C13-E13))/(C13-D13))</f>
        <v>-0.51616766467065889</v>
      </c>
      <c r="Q13">
        <f t="shared" ref="Q13" si="41">F13*P13</f>
        <v>-25930517.277844321</v>
      </c>
      <c r="R13">
        <f t="shared" ref="R13" si="42">R14+Q13</f>
        <v>-3137693083.7004609</v>
      </c>
      <c r="S13">
        <f t="shared" ref="S13" si="43">R13/100000</f>
        <v>-31376.930837004609</v>
      </c>
      <c r="T13">
        <f t="shared" ref="T13" si="44">S13/1000</f>
        <v>-31.376930837004608</v>
      </c>
    </row>
    <row r="14" spans="1:20" x14ac:dyDescent="0.25">
      <c r="A14" s="5">
        <v>44579</v>
      </c>
      <c r="B14">
        <v>0.92400000000000004</v>
      </c>
      <c r="C14">
        <v>0.94699999999999995</v>
      </c>
      <c r="D14">
        <v>0.84660000000000002</v>
      </c>
      <c r="E14">
        <v>0.86499999999999999</v>
      </c>
      <c r="F14">
        <v>84025511</v>
      </c>
      <c r="G14">
        <v>0.86499999999999999</v>
      </c>
      <c r="L14" t="s">
        <v>8</v>
      </c>
      <c r="M14" t="s">
        <v>8</v>
      </c>
      <c r="N14" t="s">
        <v>8</v>
      </c>
      <c r="P14">
        <f t="shared" ref="P14" si="45">IF(C14=D14,0,((E14-D14)-(C14-E14))/(C14-D14))</f>
        <v>-0.63346613545816766</v>
      </c>
      <c r="Q14">
        <f t="shared" ref="Q14" si="46">F14*P14</f>
        <v>-53227315.733067758</v>
      </c>
      <c r="R14">
        <f t="shared" ref="R14" si="47">R15+Q14</f>
        <v>-3111762566.4226165</v>
      </c>
      <c r="S14">
        <f t="shared" ref="S14" si="48">R14/100000</f>
        <v>-31117.625664226165</v>
      </c>
      <c r="T14">
        <f t="shared" ref="T14" si="49">S14/1000</f>
        <v>-31.117625664226164</v>
      </c>
    </row>
    <row r="15" spans="1:20" x14ac:dyDescent="0.25">
      <c r="A15" s="5">
        <v>44578</v>
      </c>
      <c r="B15">
        <v>0.87560000000000004</v>
      </c>
      <c r="C15">
        <v>0.93769999999999998</v>
      </c>
      <c r="D15">
        <v>0.83389999999999997</v>
      </c>
      <c r="E15">
        <v>0.92390000000000005</v>
      </c>
      <c r="F15">
        <v>85535929</v>
      </c>
      <c r="G15">
        <v>0.92390000000000005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0.73410404624277603</v>
      </c>
      <c r="Q15">
        <f t="shared" ref="Q15" si="51">F15*P15</f>
        <v>62792271.578034811</v>
      </c>
      <c r="R15">
        <f t="shared" ref="R15" si="52">R16+Q15</f>
        <v>-3058535250.6895485</v>
      </c>
      <c r="S15">
        <f t="shared" ref="S15" si="53">R15/100000</f>
        <v>-30585.352506895484</v>
      </c>
      <c r="T15">
        <f t="shared" ref="T15" si="54">S15/1000</f>
        <v>-30.585352506895482</v>
      </c>
    </row>
    <row r="16" spans="1:20" x14ac:dyDescent="0.25">
      <c r="A16" s="5">
        <v>44577</v>
      </c>
      <c r="B16">
        <v>0.86509999999999998</v>
      </c>
      <c r="C16">
        <v>0.90390000000000004</v>
      </c>
      <c r="D16">
        <v>0.85070000000000001</v>
      </c>
      <c r="E16">
        <v>0.87539999999999996</v>
      </c>
      <c r="F16">
        <v>68609345</v>
      </c>
      <c r="G16">
        <v>0.87539999999999996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-7.1428571428573964E-2</v>
      </c>
      <c r="Q16">
        <f t="shared" ref="Q16" si="56">F16*P16</f>
        <v>-4900667.5000001742</v>
      </c>
      <c r="R16">
        <f t="shared" ref="R16" si="57">R17+Q16</f>
        <v>-3121327522.2675834</v>
      </c>
      <c r="S16">
        <f t="shared" ref="S16" si="58">R16/100000</f>
        <v>-31213.275222675835</v>
      </c>
      <c r="T16">
        <f t="shared" ref="T16" si="59">S16/1000</f>
        <v>-31.213275222675836</v>
      </c>
    </row>
    <row r="17" spans="1:20" x14ac:dyDescent="0.25">
      <c r="A17" s="5">
        <v>44576</v>
      </c>
      <c r="B17">
        <v>0.76990000000000003</v>
      </c>
      <c r="C17">
        <v>0.88</v>
      </c>
      <c r="D17">
        <v>0.75600000000000001</v>
      </c>
      <c r="E17">
        <v>0.86509999999999998</v>
      </c>
      <c r="F17">
        <v>81505088</v>
      </c>
      <c r="G17">
        <v>0.86509999999999998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0.75967741935483835</v>
      </c>
      <c r="Q17">
        <f t="shared" ref="Q17" si="61">F17*P17</f>
        <v>61917574.916129</v>
      </c>
      <c r="R17">
        <f t="shared" ref="R17" si="62">R18+Q17</f>
        <v>-3116426854.7675834</v>
      </c>
      <c r="S17">
        <f t="shared" ref="S17" si="63">R17/100000</f>
        <v>-31164.268547675834</v>
      </c>
      <c r="T17">
        <f t="shared" ref="T17" si="64">S17/1000</f>
        <v>-31.164268547675835</v>
      </c>
    </row>
    <row r="18" spans="1:20" x14ac:dyDescent="0.25">
      <c r="A18" s="5">
        <v>44575</v>
      </c>
      <c r="B18">
        <v>0.74560000000000004</v>
      </c>
      <c r="C18">
        <v>0.77300000000000002</v>
      </c>
      <c r="D18">
        <v>0.71209999999999996</v>
      </c>
      <c r="E18">
        <v>0.76970000000000005</v>
      </c>
      <c r="F18">
        <v>35700764</v>
      </c>
      <c r="G18">
        <v>0.76970000000000005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0.89162561576354793</v>
      </c>
      <c r="Q18">
        <f t="shared" ref="Q18" si="66">F18*P18</f>
        <v>31831715.684729103</v>
      </c>
      <c r="R18">
        <f t="shared" ref="R18" si="67">R19+Q18</f>
        <v>-3178344429.6837125</v>
      </c>
      <c r="S18">
        <f t="shared" ref="S18" si="68">R18/100000</f>
        <v>-31783.444296837126</v>
      </c>
      <c r="T18">
        <f t="shared" ref="T18" si="69">S18/1000</f>
        <v>-31.783444296837125</v>
      </c>
    </row>
    <row r="19" spans="1:20" x14ac:dyDescent="0.25">
      <c r="A19" s="5">
        <v>44574</v>
      </c>
      <c r="B19">
        <v>0.7772</v>
      </c>
      <c r="C19">
        <v>0.80389999999999995</v>
      </c>
      <c r="D19">
        <v>0.74150000000000005</v>
      </c>
      <c r="E19">
        <v>0.745</v>
      </c>
      <c r="F19">
        <v>43989329</v>
      </c>
      <c r="G19">
        <v>0.745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-0.88782051282051433</v>
      </c>
      <c r="Q19">
        <f t="shared" ref="Q19" si="71">F19*P19</f>
        <v>-39054628.631410323</v>
      </c>
      <c r="R19">
        <f t="shared" ref="R19" si="72">R20+Q19</f>
        <v>-3210176145.3684416</v>
      </c>
      <c r="S19">
        <f t="shared" ref="S19" si="73">R19/100000</f>
        <v>-32101.761453684416</v>
      </c>
      <c r="T19">
        <f t="shared" ref="T19" si="74">S19/1000</f>
        <v>-32.101761453684418</v>
      </c>
    </row>
    <row r="20" spans="1:20" x14ac:dyDescent="0.25">
      <c r="A20" s="5">
        <v>44573</v>
      </c>
      <c r="B20">
        <v>0.74890000000000001</v>
      </c>
      <c r="C20">
        <v>0.79449999999999998</v>
      </c>
      <c r="D20">
        <v>0.73629999999999995</v>
      </c>
      <c r="E20">
        <v>0.77690000000000003</v>
      </c>
      <c r="F20">
        <v>43999042</v>
      </c>
      <c r="G20">
        <v>0.77690000000000003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0.39518900343642815</v>
      </c>
      <c r="Q20">
        <f t="shared" ref="Q20" si="76">F20*P20</f>
        <v>17387937.560137548</v>
      </c>
      <c r="R20">
        <f t="shared" ref="R20" si="77">R21+Q20</f>
        <v>-3171121516.7370315</v>
      </c>
      <c r="S20">
        <f t="shared" ref="S20" si="78">R20/100000</f>
        <v>-31711.215167370316</v>
      </c>
      <c r="T20">
        <f t="shared" ref="T20" si="79">S20/1000</f>
        <v>-31.711215167370316</v>
      </c>
    </row>
    <row r="21" spans="1:20" x14ac:dyDescent="0.25">
      <c r="A21" s="5">
        <v>44572</v>
      </c>
      <c r="B21">
        <v>0.66139999999999999</v>
      </c>
      <c r="C21">
        <v>0.75019999999999998</v>
      </c>
      <c r="D21">
        <v>0.65590000000000004</v>
      </c>
      <c r="E21">
        <v>0.74819999999999998</v>
      </c>
      <c r="F21">
        <v>67738627</v>
      </c>
      <c r="G21">
        <v>0.74819999999999998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0.95758218451749733</v>
      </c>
      <c r="Q21">
        <f t="shared" ref="Q21" si="81">F21*P21</f>
        <v>64865302.418875925</v>
      </c>
      <c r="R21">
        <f t="shared" ref="R21" si="82">R22+Q21</f>
        <v>-3188509454.2971692</v>
      </c>
      <c r="S21">
        <f t="shared" ref="S21" si="83">R21/100000</f>
        <v>-31885.094542971692</v>
      </c>
      <c r="T21">
        <f t="shared" ref="T21" si="84">S21/1000</f>
        <v>-31.885094542971693</v>
      </c>
    </row>
    <row r="22" spans="1:20" x14ac:dyDescent="0.25">
      <c r="A22" s="5">
        <v>44571</v>
      </c>
      <c r="B22">
        <v>0.70789999999999997</v>
      </c>
      <c r="C22">
        <v>0.73</v>
      </c>
      <c r="D22">
        <v>0.62450000000000006</v>
      </c>
      <c r="E22">
        <v>0.66139999999999999</v>
      </c>
      <c r="F22">
        <v>55134863</v>
      </c>
      <c r="G22">
        <v>0.66139999999999999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-0.30047393364928987</v>
      </c>
      <c r="Q22">
        <f t="shared" ref="Q22" si="86">F22*P22</f>
        <v>-16566589.166824687</v>
      </c>
      <c r="R22">
        <f t="shared" ref="R22" si="87">R23+Q22</f>
        <v>-3253374756.7160449</v>
      </c>
      <c r="S22">
        <f t="shared" ref="S22" si="88">R22/100000</f>
        <v>-32533.747567160448</v>
      </c>
      <c r="T22">
        <f t="shared" ref="T22" si="89">S22/1000</f>
        <v>-32.533747567160447</v>
      </c>
    </row>
    <row r="23" spans="1:20" x14ac:dyDescent="0.25">
      <c r="A23" s="5">
        <v>44570</v>
      </c>
      <c r="B23">
        <v>0.68520000000000003</v>
      </c>
      <c r="C23">
        <v>0.72670000000000001</v>
      </c>
      <c r="D23">
        <v>0.66749999999999998</v>
      </c>
      <c r="E23">
        <v>0.70750000000000002</v>
      </c>
      <c r="F23">
        <v>33326096</v>
      </c>
      <c r="G23">
        <v>0.70750000000000002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0.35135135135135187</v>
      </c>
      <c r="Q23">
        <f t="shared" ref="Q23" si="91">F23*P23</f>
        <v>11709168.864864882</v>
      </c>
      <c r="R23">
        <f t="shared" ref="R23" si="92">R24+Q23</f>
        <v>-3236808167.5492201</v>
      </c>
      <c r="S23">
        <f t="shared" ref="S23" si="93">R23/100000</f>
        <v>-32368.081675492202</v>
      </c>
      <c r="T23">
        <f t="shared" ref="T23" si="94">S23/1000</f>
        <v>-32.368081675492199</v>
      </c>
    </row>
    <row r="24" spans="1:20" x14ac:dyDescent="0.25">
      <c r="A24" s="5">
        <v>44569</v>
      </c>
      <c r="B24">
        <v>0.71430000000000005</v>
      </c>
      <c r="C24">
        <v>0.76060000000000005</v>
      </c>
      <c r="D24">
        <v>0.65649999999999997</v>
      </c>
      <c r="E24">
        <v>0.68520000000000003</v>
      </c>
      <c r="F24">
        <v>46969434</v>
      </c>
      <c r="G24">
        <v>0.68520000000000003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-0.44860710854947095</v>
      </c>
      <c r="Q24">
        <f t="shared" ref="Q24" si="96">F24*P24</f>
        <v>-21070821.97694521</v>
      </c>
      <c r="R24">
        <f t="shared" ref="R24" si="97">R25+Q24</f>
        <v>-3248517336.4140849</v>
      </c>
      <c r="S24">
        <f t="shared" ref="S24" si="98">R24/100000</f>
        <v>-32485.17336414085</v>
      </c>
      <c r="T24">
        <f t="shared" ref="T24" si="99">S24/1000</f>
        <v>-32.485173364140849</v>
      </c>
    </row>
    <row r="25" spans="1:20" x14ac:dyDescent="0.25">
      <c r="A25" s="5">
        <v>44568</v>
      </c>
      <c r="B25">
        <v>0.76939999999999997</v>
      </c>
      <c r="C25">
        <v>0.77849999999999997</v>
      </c>
      <c r="D25">
        <v>0.6895</v>
      </c>
      <c r="E25">
        <v>0.71360000000000001</v>
      </c>
      <c r="F25">
        <v>53131062</v>
      </c>
      <c r="G25">
        <v>0.71360000000000001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-0.45842696629213442</v>
      </c>
      <c r="Q25">
        <f t="shared" ref="Q25" si="101">F25*P25</f>
        <v>-24356711.568539303</v>
      </c>
      <c r="R25">
        <f t="shared" ref="R25" si="102">R26+Q25</f>
        <v>-3227446514.4371395</v>
      </c>
      <c r="S25">
        <f t="shared" ref="S25" si="103">R25/100000</f>
        <v>-32274.465144371396</v>
      </c>
      <c r="T25">
        <f t="shared" ref="T25" si="104">S25/1000</f>
        <v>-32.274465144371398</v>
      </c>
    </row>
    <row r="26" spans="1:20" x14ac:dyDescent="0.25">
      <c r="A26" s="5">
        <v>44567</v>
      </c>
      <c r="B26">
        <v>0.76060000000000005</v>
      </c>
      <c r="C26">
        <v>0.78349999999999997</v>
      </c>
      <c r="D26">
        <v>0.71160000000000001</v>
      </c>
      <c r="E26">
        <v>0.76970000000000005</v>
      </c>
      <c r="F26">
        <v>64551598</v>
      </c>
      <c r="G26">
        <v>0.76970000000000005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0.6161335187760798</v>
      </c>
      <c r="Q26">
        <f t="shared" ref="Q26" si="106">F26*P26</f>
        <v>39772403.218358956</v>
      </c>
      <c r="R26">
        <f t="shared" ref="R26" si="107">R27+Q26</f>
        <v>-3203089802.8686004</v>
      </c>
      <c r="S26">
        <f t="shared" ref="S26" si="108">R26/100000</f>
        <v>-32030.898028686002</v>
      </c>
      <c r="T26">
        <f t="shared" ref="T26" si="109">S26/1000</f>
        <v>-32.030898028686003</v>
      </c>
    </row>
    <row r="27" spans="1:20" x14ac:dyDescent="0.25">
      <c r="A27" s="5">
        <v>44566</v>
      </c>
      <c r="B27">
        <v>0.86419999999999997</v>
      </c>
      <c r="C27">
        <v>0.9022</v>
      </c>
      <c r="D27">
        <v>0.70899999999999996</v>
      </c>
      <c r="E27">
        <v>0.76049999999999995</v>
      </c>
      <c r="F27">
        <v>66695145</v>
      </c>
      <c r="G27">
        <v>0.76049999999999995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-0.46687370600414102</v>
      </c>
      <c r="Q27">
        <f t="shared" ref="Q27" si="111">F27*P27</f>
        <v>-31138209.518633556</v>
      </c>
      <c r="R27">
        <f t="shared" ref="R27" si="112">R28+Q27</f>
        <v>-3242862206.0869594</v>
      </c>
      <c r="S27">
        <f t="shared" ref="S27" si="113">R27/100000</f>
        <v>-32428.622060869595</v>
      </c>
      <c r="T27">
        <f t="shared" ref="T27" si="114">S27/1000</f>
        <v>-32.428622060869593</v>
      </c>
    </row>
    <row r="28" spans="1:20" x14ac:dyDescent="0.25">
      <c r="A28" s="5">
        <v>44565</v>
      </c>
      <c r="B28">
        <v>0.83169999999999999</v>
      </c>
      <c r="C28">
        <v>0.92579999999999996</v>
      </c>
      <c r="D28">
        <v>0.82799999999999996</v>
      </c>
      <c r="E28">
        <v>0.86429999999999996</v>
      </c>
      <c r="F28">
        <v>68227229</v>
      </c>
      <c r="G28">
        <v>0.86429999999999996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-0.25766871165644173</v>
      </c>
      <c r="Q28">
        <f t="shared" ref="Q28" si="116">F28*P28</f>
        <v>-17580022.196319018</v>
      </c>
      <c r="R28">
        <f t="shared" ref="R28" si="117">R29+Q28</f>
        <v>-3211723996.568326</v>
      </c>
      <c r="S28">
        <f t="shared" ref="S28" si="118">R28/100000</f>
        <v>-32117.23996568326</v>
      </c>
      <c r="T28">
        <f t="shared" ref="T28" si="119">S28/1000</f>
        <v>-32.117239965683261</v>
      </c>
    </row>
    <row r="29" spans="1:20" x14ac:dyDescent="0.25">
      <c r="A29" s="5">
        <v>44564</v>
      </c>
      <c r="B29">
        <v>0.87509999999999999</v>
      </c>
      <c r="C29">
        <v>0.87860000000000005</v>
      </c>
      <c r="D29">
        <v>0.81269999999999998</v>
      </c>
      <c r="E29">
        <v>0.83099999999999996</v>
      </c>
      <c r="F29">
        <v>54053210</v>
      </c>
      <c r="G29">
        <v>0.83099999999999996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-0.44461305007587365</v>
      </c>
      <c r="Q29">
        <f t="shared" ref="Q29" si="121">F29*P29</f>
        <v>-24032762.564491715</v>
      </c>
      <c r="R29">
        <f t="shared" ref="R29" si="122">R30+Q29</f>
        <v>-3194143974.3720069</v>
      </c>
      <c r="S29">
        <f t="shared" ref="S29" si="123">R29/100000</f>
        <v>-31941.439743720068</v>
      </c>
      <c r="T29">
        <f t="shared" ref="T29" si="124">S29/1000</f>
        <v>-31.941439743720068</v>
      </c>
    </row>
    <row r="30" spans="1:20" x14ac:dyDescent="0.25">
      <c r="A30" s="5">
        <v>44563</v>
      </c>
      <c r="B30">
        <v>0.92159999999999997</v>
      </c>
      <c r="C30">
        <v>0.97099999999999997</v>
      </c>
      <c r="D30">
        <v>0.86539999999999995</v>
      </c>
      <c r="E30">
        <v>0.87509999999999999</v>
      </c>
      <c r="F30">
        <v>59150888</v>
      </c>
      <c r="G30">
        <v>0.87509999999999999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-0.81628787878787801</v>
      </c>
      <c r="Q30">
        <f t="shared" ref="Q30" si="126">F30*P30</f>
        <v>-48284152.893939346</v>
      </c>
      <c r="R30">
        <f t="shared" ref="R30" si="127">R31+Q30</f>
        <v>-3170111211.8075151</v>
      </c>
      <c r="S30">
        <f t="shared" ref="S30" si="128">R30/100000</f>
        <v>-31701.112118075151</v>
      </c>
      <c r="T30">
        <f t="shared" ref="T30" si="129">S30/1000</f>
        <v>-31.701112118075152</v>
      </c>
    </row>
    <row r="31" spans="1:20" x14ac:dyDescent="0.25">
      <c r="A31" s="5">
        <v>44562</v>
      </c>
      <c r="B31">
        <v>0.81030000000000002</v>
      </c>
      <c r="C31">
        <v>0.94569999999999999</v>
      </c>
      <c r="D31">
        <v>0.80789999999999995</v>
      </c>
      <c r="E31">
        <v>0.92159999999999997</v>
      </c>
      <c r="F31">
        <v>80797469</v>
      </c>
      <c r="G31">
        <v>0.92159999999999997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0.65021770682148039</v>
      </c>
      <c r="Q31">
        <f t="shared" ref="Q31" si="131">F31*P31</f>
        <v>52535945.010159649</v>
      </c>
      <c r="R31">
        <f t="shared" ref="R31" si="132">R32+Q31</f>
        <v>-3121827058.9135756</v>
      </c>
      <c r="S31">
        <f t="shared" ref="S31" si="133">R31/100000</f>
        <v>-31218.270589135758</v>
      </c>
      <c r="T31">
        <f t="shared" ref="T31" si="134">S31/1000</f>
        <v>-31.218270589135759</v>
      </c>
    </row>
    <row r="32" spans="1:20" x14ac:dyDescent="0.25">
      <c r="A32" s="5">
        <v>44561</v>
      </c>
      <c r="B32">
        <v>0.75960000000000005</v>
      </c>
      <c r="C32">
        <v>0.85899999999999999</v>
      </c>
      <c r="D32">
        <v>0.75870000000000004</v>
      </c>
      <c r="E32">
        <v>0.81</v>
      </c>
      <c r="F32">
        <v>68251546</v>
      </c>
      <c r="G32">
        <v>0.81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2.2931206380858236E-2</v>
      </c>
      <c r="Q32">
        <f t="shared" ref="Q32" si="136">F32*P32</f>
        <v>1565090.2871386395</v>
      </c>
      <c r="R32">
        <f t="shared" ref="R32" si="137">R33+Q32</f>
        <v>-3174363003.9237351</v>
      </c>
      <c r="S32">
        <f t="shared" ref="S32" si="138">R32/100000</f>
        <v>-31743.630039237352</v>
      </c>
      <c r="T32">
        <f t="shared" ref="T32" si="139">S32/1000</f>
        <v>-31.743630039237352</v>
      </c>
    </row>
    <row r="33" spans="1:20" x14ac:dyDescent="0.25">
      <c r="A33" s="5">
        <v>44560</v>
      </c>
      <c r="B33">
        <v>0.72929999999999995</v>
      </c>
      <c r="C33">
        <v>0.79920000000000002</v>
      </c>
      <c r="D33">
        <v>0.70499999999999996</v>
      </c>
      <c r="E33">
        <v>0.75960000000000005</v>
      </c>
      <c r="F33">
        <v>58490945</v>
      </c>
      <c r="G33">
        <v>0.75960000000000005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0.15923566878981013</v>
      </c>
      <c r="Q33">
        <f t="shared" ref="Q33" si="141">F33*P33</f>
        <v>9313844.7452230006</v>
      </c>
      <c r="R33">
        <f t="shared" ref="R33" si="142">R34+Q33</f>
        <v>-3175928094.2108736</v>
      </c>
      <c r="S33">
        <f t="shared" ref="S33" si="143">R33/100000</f>
        <v>-31759.280942108737</v>
      </c>
      <c r="T33">
        <f t="shared" ref="T33" si="144">S33/1000</f>
        <v>-31.759280942108738</v>
      </c>
    </row>
    <row r="34" spans="1:20" x14ac:dyDescent="0.25">
      <c r="A34" s="5">
        <v>44559</v>
      </c>
      <c r="B34">
        <v>0.70540000000000003</v>
      </c>
      <c r="C34">
        <v>0.77449999999999997</v>
      </c>
      <c r="D34">
        <v>0.70199999999999996</v>
      </c>
      <c r="E34">
        <v>0.72960000000000003</v>
      </c>
      <c r="F34">
        <v>63783782</v>
      </c>
      <c r="G34">
        <v>0.72960000000000003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-0.23862068965517061</v>
      </c>
      <c r="Q34">
        <f t="shared" ref="Q34" si="146">F34*P34</f>
        <v>-15220130.049655057</v>
      </c>
      <c r="R34">
        <f t="shared" ref="R34" si="147">R35+Q34</f>
        <v>-3185241938.9560966</v>
      </c>
      <c r="S34">
        <f t="shared" ref="S34" si="148">R34/100000</f>
        <v>-31852.419389560968</v>
      </c>
      <c r="T34">
        <f t="shared" ref="T34" si="149">S34/1000</f>
        <v>-31.852419389560968</v>
      </c>
    </row>
    <row r="35" spans="1:20" x14ac:dyDescent="0.25">
      <c r="A35" s="5">
        <v>44558</v>
      </c>
      <c r="B35">
        <v>0.76880000000000004</v>
      </c>
      <c r="C35">
        <v>0.76880000000000004</v>
      </c>
      <c r="D35">
        <v>0.68679999999999997</v>
      </c>
      <c r="E35">
        <v>0.70530000000000004</v>
      </c>
      <c r="F35">
        <v>65124955</v>
      </c>
      <c r="G35">
        <v>0.70530000000000004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-0.54878048780487665</v>
      </c>
      <c r="Q35">
        <f t="shared" ref="Q35" si="151">F35*P35</f>
        <v>-35739304.57317064</v>
      </c>
      <c r="R35">
        <f t="shared" ref="R35" si="152">R36+Q35</f>
        <v>-3170021808.9064417</v>
      </c>
      <c r="S35">
        <f t="shared" ref="S35" si="153">R35/100000</f>
        <v>-31700.218089064416</v>
      </c>
      <c r="T35">
        <f t="shared" ref="T35" si="154">S35/1000</f>
        <v>-31.700218089064414</v>
      </c>
    </row>
    <row r="36" spans="1:20" x14ac:dyDescent="0.25">
      <c r="A36" s="5">
        <v>44557</v>
      </c>
      <c r="B36">
        <v>0.80769999999999997</v>
      </c>
      <c r="C36">
        <v>0.84519999999999995</v>
      </c>
      <c r="D36">
        <v>0.76619999999999999</v>
      </c>
      <c r="E36">
        <v>0.76839999999999997</v>
      </c>
      <c r="F36">
        <v>39302443</v>
      </c>
      <c r="G36">
        <v>0.76839999999999997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-0.94430379746835491</v>
      </c>
      <c r="Q36">
        <f t="shared" ref="Q36" si="156">F36*P36</f>
        <v>-37113446.174683563</v>
      </c>
      <c r="R36">
        <f t="shared" ref="R36" si="157">R37+Q36</f>
        <v>-3134282504.333271</v>
      </c>
      <c r="S36">
        <f t="shared" ref="S36" si="158">R36/100000</f>
        <v>-31342.825043332712</v>
      </c>
      <c r="T36">
        <f t="shared" ref="T36" si="159">S36/1000</f>
        <v>-31.342825043332713</v>
      </c>
    </row>
    <row r="37" spans="1:20" x14ac:dyDescent="0.25">
      <c r="A37" s="5">
        <v>44556</v>
      </c>
      <c r="B37">
        <v>0.8175</v>
      </c>
      <c r="C37">
        <v>0.84530000000000005</v>
      </c>
      <c r="D37">
        <v>0.78410000000000002</v>
      </c>
      <c r="E37">
        <v>0.80759999999999998</v>
      </c>
      <c r="F37">
        <v>48444327</v>
      </c>
      <c r="G37">
        <v>0.80759999999999998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-0.23202614379085121</v>
      </c>
      <c r="Q37">
        <f t="shared" ref="Q37" si="161">F37*P37</f>
        <v>-11240350.382353015</v>
      </c>
      <c r="R37">
        <f t="shared" ref="R37" si="162">R38+Q37</f>
        <v>-3097169058.1585875</v>
      </c>
      <c r="S37">
        <f t="shared" ref="S37" si="163">R37/100000</f>
        <v>-30971.690581585874</v>
      </c>
      <c r="T37">
        <f t="shared" ref="T37" si="164">S37/1000</f>
        <v>-30.971690581585875</v>
      </c>
    </row>
    <row r="38" spans="1:20" x14ac:dyDescent="0.25">
      <c r="A38" s="5">
        <v>44555</v>
      </c>
      <c r="B38">
        <v>0.79579999999999995</v>
      </c>
      <c r="C38">
        <v>0.89290000000000003</v>
      </c>
      <c r="D38">
        <v>0.7903</v>
      </c>
      <c r="E38">
        <v>0.8175</v>
      </c>
      <c r="F38">
        <v>97181636</v>
      </c>
      <c r="G38">
        <v>0.8175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-0.46978557504873303</v>
      </c>
      <c r="Q38">
        <f t="shared" ref="Q38" si="166">F38*P38</f>
        <v>-45654530.752436653</v>
      </c>
      <c r="R38">
        <f t="shared" ref="R38" si="167">R39+Q38</f>
        <v>-3085928707.7762346</v>
      </c>
      <c r="S38">
        <f t="shared" ref="S38" si="168">R38/100000</f>
        <v>-30859.287077762347</v>
      </c>
      <c r="T38">
        <f t="shared" ref="T38" si="169">S38/1000</f>
        <v>-30.859287077762346</v>
      </c>
    </row>
    <row r="39" spans="1:20" x14ac:dyDescent="0.25">
      <c r="A39" s="5">
        <v>44554</v>
      </c>
      <c r="B39">
        <v>0.7228</v>
      </c>
      <c r="C39">
        <v>0.84850000000000003</v>
      </c>
      <c r="D39">
        <v>0.72040000000000004</v>
      </c>
      <c r="E39">
        <v>0.79600000000000004</v>
      </c>
      <c r="F39">
        <v>129253558</v>
      </c>
      <c r="G39">
        <v>0.79600000000000004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0.18032786885245911</v>
      </c>
      <c r="Q39">
        <f t="shared" ref="Q39" si="171">F39*P39</f>
        <v>23308018.655737717</v>
      </c>
      <c r="R39">
        <f t="shared" ref="R39" si="172">R40+Q39</f>
        <v>-3040274177.023798</v>
      </c>
      <c r="S39">
        <f t="shared" ref="S39" si="173">R39/100000</f>
        <v>-30402.741770237979</v>
      </c>
      <c r="T39">
        <f t="shared" ref="T39" si="174">S39/1000</f>
        <v>-30.402741770237977</v>
      </c>
    </row>
    <row r="40" spans="1:20" x14ac:dyDescent="0.25">
      <c r="A40" s="5">
        <v>44553</v>
      </c>
      <c r="B40">
        <v>0.67469999999999997</v>
      </c>
      <c r="C40">
        <v>0.75</v>
      </c>
      <c r="D40">
        <v>0.6371</v>
      </c>
      <c r="E40">
        <v>0.72209999999999996</v>
      </c>
      <c r="F40">
        <v>81792370</v>
      </c>
      <c r="G40">
        <v>0.72209999999999996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0.50575730735163793</v>
      </c>
      <c r="Q40">
        <f t="shared" ref="Q40" si="176">F40*P40</f>
        <v>41367088.813108891</v>
      </c>
      <c r="R40">
        <f t="shared" ref="R40" si="177">R41+Q40</f>
        <v>-3063582195.6795359</v>
      </c>
      <c r="S40">
        <f t="shared" ref="S40" si="178">R40/100000</f>
        <v>-30635.82195679536</v>
      </c>
      <c r="T40">
        <f t="shared" ref="T40" si="179">S40/1000</f>
        <v>-30.635821956795361</v>
      </c>
    </row>
    <row r="41" spans="1:20" x14ac:dyDescent="0.25">
      <c r="A41" s="5">
        <v>44552</v>
      </c>
      <c r="B41">
        <v>0.65280000000000005</v>
      </c>
      <c r="C41">
        <v>0.69989999999999997</v>
      </c>
      <c r="D41">
        <v>0.63109999999999999</v>
      </c>
      <c r="E41">
        <v>0.67459999999999998</v>
      </c>
      <c r="F41">
        <v>89117406</v>
      </c>
      <c r="G41">
        <v>0.67459999999999998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0.26453488372093026</v>
      </c>
      <c r="Q41">
        <f t="shared" ref="Q41" si="181">F41*P41</f>
        <v>23574662.633720934</v>
      </c>
      <c r="R41">
        <f t="shared" ref="R41" si="182">R42+Q41</f>
        <v>-3104949284.4926448</v>
      </c>
      <c r="S41">
        <f t="shared" ref="S41" si="183">R41/100000</f>
        <v>-31049.492844926448</v>
      </c>
      <c r="T41">
        <f t="shared" ref="T41" si="184">S41/1000</f>
        <v>-31.049492844926448</v>
      </c>
    </row>
    <row r="42" spans="1:20" x14ac:dyDescent="0.25">
      <c r="A42" s="5">
        <v>44551</v>
      </c>
      <c r="B42">
        <v>0.55369999999999997</v>
      </c>
      <c r="C42">
        <v>0.68179999999999996</v>
      </c>
      <c r="D42">
        <v>0.54649999999999999</v>
      </c>
      <c r="E42">
        <v>0.65280000000000005</v>
      </c>
      <c r="F42">
        <v>96120907</v>
      </c>
      <c r="G42">
        <v>0.65280000000000005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0.57132298595713349</v>
      </c>
      <c r="Q42">
        <f t="shared" ref="Q42" si="186">F42*P42</f>
        <v>54916083.600147933</v>
      </c>
      <c r="R42">
        <f t="shared" ref="R42" si="187">R43+Q42</f>
        <v>-3128523947.1263657</v>
      </c>
      <c r="S42">
        <f t="shared" ref="S42" si="188">R42/100000</f>
        <v>-31285.239471263656</v>
      </c>
      <c r="T42">
        <f t="shared" ref="T42" si="189">S42/1000</f>
        <v>-31.285239471263655</v>
      </c>
    </row>
    <row r="43" spans="1:20" x14ac:dyDescent="0.25">
      <c r="A43" s="5">
        <v>44550</v>
      </c>
      <c r="B43">
        <v>0.58150000000000002</v>
      </c>
      <c r="C43">
        <v>0.58389999999999997</v>
      </c>
      <c r="D43">
        <v>0.52759999999999996</v>
      </c>
      <c r="E43">
        <v>0.5534</v>
      </c>
      <c r="F43">
        <v>39874719</v>
      </c>
      <c r="G43">
        <v>0.5534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-8.3481349911188718E-2</v>
      </c>
      <c r="Q43">
        <f t="shared" ref="Q43" si="191">F43*P43</f>
        <v>-3328795.3694493249</v>
      </c>
      <c r="R43">
        <f t="shared" ref="R43" si="192">R44+Q43</f>
        <v>-3183440030.7265134</v>
      </c>
      <c r="S43">
        <f t="shared" ref="S43" si="193">R43/100000</f>
        <v>-31834.400307265132</v>
      </c>
      <c r="T43">
        <f t="shared" ref="T43" si="194">S43/1000</f>
        <v>-31.834400307265131</v>
      </c>
    </row>
    <row r="44" spans="1:20" x14ac:dyDescent="0.25">
      <c r="A44" s="5">
        <v>44549</v>
      </c>
      <c r="B44">
        <v>0.58209999999999995</v>
      </c>
      <c r="C44">
        <v>0.60780000000000001</v>
      </c>
      <c r="D44">
        <v>0.57150000000000001</v>
      </c>
      <c r="E44">
        <v>0.58169999999999999</v>
      </c>
      <c r="F44">
        <v>30111296</v>
      </c>
      <c r="G44">
        <v>0.58169999999999999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-0.43801652892562054</v>
      </c>
      <c r="Q44">
        <f t="shared" ref="Q44" si="196">F44*P44</f>
        <v>-13189245.355371922</v>
      </c>
      <c r="R44">
        <f t="shared" ref="R44" si="197">R45+Q44</f>
        <v>-3180111235.3570642</v>
      </c>
      <c r="S44">
        <f t="shared" ref="S44" si="198">R44/100000</f>
        <v>-31801.112353570643</v>
      </c>
      <c r="T44">
        <f t="shared" ref="T44" si="199">S44/1000</f>
        <v>-31.801112353570645</v>
      </c>
    </row>
    <row r="45" spans="1:20" x14ac:dyDescent="0.25">
      <c r="A45" s="5">
        <v>44548</v>
      </c>
      <c r="B45">
        <v>0.55589999999999995</v>
      </c>
      <c r="C45">
        <v>0.61050000000000004</v>
      </c>
      <c r="D45">
        <v>0.54549999999999998</v>
      </c>
      <c r="E45">
        <v>0.58189999999999997</v>
      </c>
      <c r="F45">
        <v>52645021</v>
      </c>
      <c r="G45">
        <v>0.58189999999999997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0.11999999999999864</v>
      </c>
      <c r="Q45">
        <f t="shared" ref="Q45" si="201">F45*P45</f>
        <v>6317402.5199999278</v>
      </c>
      <c r="R45">
        <f t="shared" ref="R45" si="202">R46+Q45</f>
        <v>-3166921990.0016923</v>
      </c>
      <c r="S45">
        <f t="shared" ref="S45" si="203">R45/100000</f>
        <v>-31669.219900016924</v>
      </c>
      <c r="T45">
        <f t="shared" ref="T45" si="204">S45/1000</f>
        <v>-31.669219900016923</v>
      </c>
    </row>
    <row r="46" spans="1:20" x14ac:dyDescent="0.25">
      <c r="A46" s="5">
        <v>44547</v>
      </c>
      <c r="B46">
        <v>0.56640000000000001</v>
      </c>
      <c r="C46">
        <v>0.63</v>
      </c>
      <c r="D46">
        <v>0.53710000000000002</v>
      </c>
      <c r="E46">
        <v>0.55589999999999995</v>
      </c>
      <c r="F46">
        <v>80103204</v>
      </c>
      <c r="G46">
        <v>0.55589999999999995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-0.59526372443487774</v>
      </c>
      <c r="Q46">
        <f t="shared" ref="Q46" si="206">F46*P46</f>
        <v>-47682531.552206799</v>
      </c>
      <c r="R46">
        <f t="shared" ref="R46" si="207">R47+Q46</f>
        <v>-3173239392.5216923</v>
      </c>
      <c r="S46">
        <f t="shared" ref="S46" si="208">R46/100000</f>
        <v>-31732.393925216922</v>
      </c>
      <c r="T46">
        <f t="shared" ref="T46" si="209">S46/1000</f>
        <v>-31.732393925216922</v>
      </c>
    </row>
    <row r="47" spans="1:20" x14ac:dyDescent="0.25">
      <c r="A47" s="5">
        <v>44546</v>
      </c>
      <c r="B47">
        <v>0.54879999999999995</v>
      </c>
      <c r="C47">
        <v>0.59860000000000002</v>
      </c>
      <c r="D47">
        <v>0.54579999999999995</v>
      </c>
      <c r="E47">
        <v>0.56640000000000001</v>
      </c>
      <c r="F47">
        <v>56165113</v>
      </c>
      <c r="G47">
        <v>0.56640000000000001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-0.21969696969696834</v>
      </c>
      <c r="Q47">
        <f t="shared" ref="Q47" si="211">F47*P47</f>
        <v>-12339305.128787803</v>
      </c>
      <c r="R47">
        <f t="shared" ref="R47" si="212">R48+Q47</f>
        <v>-3125556860.9694853</v>
      </c>
      <c r="S47">
        <f t="shared" ref="S47" si="213">R47/100000</f>
        <v>-31255.568609694852</v>
      </c>
      <c r="T47">
        <f t="shared" ref="T47" si="214">S47/1000</f>
        <v>-31.255568609694851</v>
      </c>
    </row>
    <row r="48" spans="1:20" x14ac:dyDescent="0.25">
      <c r="A48" s="5">
        <v>44545</v>
      </c>
      <c r="B48">
        <v>0.53520000000000001</v>
      </c>
      <c r="C48">
        <v>0.58340000000000003</v>
      </c>
      <c r="D48">
        <v>0.50019999999999998</v>
      </c>
      <c r="E48">
        <v>0.54810000000000003</v>
      </c>
      <c r="F48">
        <v>65000131</v>
      </c>
      <c r="G48">
        <v>0.54810000000000003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0.15144230769230826</v>
      </c>
      <c r="Q48">
        <f t="shared" ref="Q48" si="216">F48*P48</f>
        <v>9843769.8389423452</v>
      </c>
      <c r="R48">
        <f t="shared" ref="R48" si="217">R49+Q48</f>
        <v>-3113217555.8406973</v>
      </c>
      <c r="S48">
        <f t="shared" ref="S48" si="218">R48/100000</f>
        <v>-31132.175558406972</v>
      </c>
      <c r="T48">
        <f t="shared" ref="T48" si="219">S48/1000</f>
        <v>-31.132175558406974</v>
      </c>
    </row>
    <row r="49" spans="1:20" x14ac:dyDescent="0.25">
      <c r="A49" s="5">
        <v>44544</v>
      </c>
      <c r="B49">
        <v>0.5302</v>
      </c>
      <c r="C49">
        <v>0.54769999999999996</v>
      </c>
      <c r="D49">
        <v>0.50970000000000004</v>
      </c>
      <c r="E49">
        <v>0.53559999999999997</v>
      </c>
      <c r="F49">
        <v>45729322</v>
      </c>
      <c r="G49">
        <v>0.53559999999999997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0.36315789473684085</v>
      </c>
      <c r="Q49">
        <f t="shared" ref="Q49" si="221">F49*P49</f>
        <v>16606964.3052631</v>
      </c>
      <c r="R49">
        <f t="shared" ref="R49" si="222">R50+Q49</f>
        <v>-3123061325.6796398</v>
      </c>
      <c r="S49">
        <f t="shared" ref="S49" si="223">R49/100000</f>
        <v>-31230.613256796398</v>
      </c>
      <c r="T49">
        <f t="shared" ref="T49" si="224">S49/1000</f>
        <v>-31.230613256796399</v>
      </c>
    </row>
    <row r="50" spans="1:20" x14ac:dyDescent="0.25">
      <c r="A50" s="5">
        <v>44543</v>
      </c>
      <c r="B50">
        <v>0.62109999999999999</v>
      </c>
      <c r="C50">
        <v>0.62709999999999999</v>
      </c>
      <c r="D50">
        <v>0.51980000000000004</v>
      </c>
      <c r="E50">
        <v>0.52990000000000004</v>
      </c>
      <c r="F50">
        <v>52520121</v>
      </c>
      <c r="G50">
        <v>0.52990000000000004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-0.81174277726001864</v>
      </c>
      <c r="Q50">
        <f t="shared" ref="Q50" si="226">F50*P50</f>
        <v>-42632828.882572226</v>
      </c>
      <c r="R50">
        <f t="shared" ref="R50" si="227">R51+Q50</f>
        <v>-3139668289.9849029</v>
      </c>
      <c r="S50">
        <f t="shared" ref="S50" si="228">R50/100000</f>
        <v>-31396.682899849027</v>
      </c>
      <c r="T50">
        <f t="shared" ref="T50" si="229">S50/1000</f>
        <v>-31.396682899849026</v>
      </c>
    </row>
    <row r="51" spans="1:20" x14ac:dyDescent="0.25">
      <c r="A51" s="5">
        <v>44542</v>
      </c>
      <c r="B51">
        <v>0.58650000000000002</v>
      </c>
      <c r="C51">
        <v>0.65</v>
      </c>
      <c r="D51">
        <v>0.56799999999999995</v>
      </c>
      <c r="E51">
        <v>0.62050000000000005</v>
      </c>
      <c r="F51">
        <v>70192938</v>
      </c>
      <c r="G51">
        <v>0.62050000000000005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0.28048780487805014</v>
      </c>
      <c r="Q51">
        <f t="shared" ref="Q51" si="231">F51*P51</f>
        <v>19688263.097561073</v>
      </c>
      <c r="R51">
        <f t="shared" ref="R51" si="232">R52+Q51</f>
        <v>-3097035461.1023307</v>
      </c>
      <c r="S51">
        <f t="shared" ref="S51" si="233">R51/100000</f>
        <v>-30970.354611023307</v>
      </c>
      <c r="T51">
        <f t="shared" ref="T51" si="234">S51/1000</f>
        <v>-30.970354611023307</v>
      </c>
    </row>
    <row r="52" spans="1:20" x14ac:dyDescent="0.25">
      <c r="A52" s="5">
        <v>44541</v>
      </c>
      <c r="B52">
        <v>0.55589999999999995</v>
      </c>
      <c r="C52">
        <v>0.56469999999999998</v>
      </c>
      <c r="D52">
        <v>0.5403</v>
      </c>
      <c r="E52">
        <v>0.56130000000000002</v>
      </c>
      <c r="F52">
        <v>4034637</v>
      </c>
      <c r="G52">
        <v>0.56130000000000002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0.7213114754098392</v>
      </c>
      <c r="Q52">
        <f t="shared" ref="Q52" si="236">F52*P52</f>
        <v>2910229.9672131273</v>
      </c>
      <c r="R52">
        <f t="shared" ref="R52" si="237">R53+Q52</f>
        <v>-3116723724.1998916</v>
      </c>
      <c r="S52">
        <f t="shared" ref="S52" si="238">R52/100000</f>
        <v>-31167.237241998915</v>
      </c>
      <c r="T52">
        <f t="shared" ref="T52" si="239">S52/1000</f>
        <v>-31.167237241998915</v>
      </c>
    </row>
    <row r="53" spans="1:20" x14ac:dyDescent="0.25">
      <c r="A53" s="5">
        <v>44540</v>
      </c>
      <c r="B53">
        <v>0.59140000000000004</v>
      </c>
      <c r="C53">
        <v>0.62</v>
      </c>
      <c r="D53">
        <v>0.55349999999999999</v>
      </c>
      <c r="E53">
        <v>0.55730000000000002</v>
      </c>
      <c r="F53">
        <v>48551332</v>
      </c>
      <c r="G53">
        <v>0.55730000000000002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-0.8857142857142849</v>
      </c>
      <c r="Q53">
        <f t="shared" ref="Q53" si="241">F53*P53</f>
        <v>-43002608.3428571</v>
      </c>
      <c r="R53">
        <f t="shared" ref="R53" si="242">R54+Q53</f>
        <v>-3119633954.1671047</v>
      </c>
      <c r="S53">
        <f t="shared" ref="S53" si="243">R53/100000</f>
        <v>-31196.339541671048</v>
      </c>
      <c r="T53">
        <f t="shared" ref="T53" si="244">S53/1000</f>
        <v>-31.196339541671048</v>
      </c>
    </row>
    <row r="54" spans="1:20" x14ac:dyDescent="0.25">
      <c r="A54" s="5">
        <v>44539</v>
      </c>
      <c r="B54">
        <v>0.66859999999999997</v>
      </c>
      <c r="C54">
        <v>0.68830000000000002</v>
      </c>
      <c r="D54">
        <v>0.58830000000000005</v>
      </c>
      <c r="E54">
        <v>0.59209999999999996</v>
      </c>
      <c r="F54">
        <v>62513896</v>
      </c>
      <c r="G54">
        <v>0.59209999999999996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-0.92400000000000171</v>
      </c>
      <c r="Q54">
        <f t="shared" ref="Q54" si="246">F54*P54</f>
        <v>-57762839.904000103</v>
      </c>
      <c r="R54">
        <f t="shared" ref="R54" si="247">R55+Q54</f>
        <v>-3076631345.8242478</v>
      </c>
      <c r="S54">
        <f t="shared" ref="S54" si="248">R54/100000</f>
        <v>-30766.313458242479</v>
      </c>
      <c r="T54">
        <f t="shared" ref="T54" si="249">S54/1000</f>
        <v>-30.766313458242479</v>
      </c>
    </row>
    <row r="55" spans="1:20" x14ac:dyDescent="0.25">
      <c r="A55" s="5">
        <v>44538</v>
      </c>
      <c r="B55">
        <v>0.64680000000000004</v>
      </c>
      <c r="C55">
        <v>0.66890000000000005</v>
      </c>
      <c r="D55">
        <v>0.58850000000000002</v>
      </c>
      <c r="E55">
        <v>0.66790000000000005</v>
      </c>
      <c r="F55">
        <v>61458814</v>
      </c>
      <c r="G55">
        <v>0.66790000000000005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0.97512437810945274</v>
      </c>
      <c r="Q55">
        <f t="shared" ref="Q55" si="251">F55*P55</f>
        <v>59929987.781094529</v>
      </c>
      <c r="R55">
        <f t="shared" ref="R55" si="252">R56+Q55</f>
        <v>-3018868505.9202476</v>
      </c>
      <c r="S55">
        <f t="shared" ref="S55" si="253">R55/100000</f>
        <v>-30188.685059202475</v>
      </c>
      <c r="T55">
        <f t="shared" ref="T55" si="254">S55/1000</f>
        <v>-30.188685059202474</v>
      </c>
    </row>
    <row r="56" spans="1:20" x14ac:dyDescent="0.25">
      <c r="A56" s="5">
        <v>44537</v>
      </c>
      <c r="B56">
        <v>0.65920000000000001</v>
      </c>
      <c r="C56">
        <v>0.69430000000000003</v>
      </c>
      <c r="D56">
        <v>0.63129999999999997</v>
      </c>
      <c r="E56">
        <v>0.64690000000000003</v>
      </c>
      <c r="F56">
        <v>79473549</v>
      </c>
      <c r="G56">
        <v>0.64690000000000003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-0.5047619047619033</v>
      </c>
      <c r="Q56">
        <f t="shared" ref="Q56" si="256">F56*P56</f>
        <v>-40115219.971428454</v>
      </c>
      <c r="R56">
        <f t="shared" ref="R56" si="257">R57+Q56</f>
        <v>-3078798493.7013421</v>
      </c>
      <c r="S56">
        <f t="shared" ref="S56" si="258">R56/100000</f>
        <v>-30787.984937013422</v>
      </c>
      <c r="T56">
        <f t="shared" ref="T56" si="259">S56/1000</f>
        <v>-30.787984937013423</v>
      </c>
    </row>
    <row r="57" spans="1:20" x14ac:dyDescent="0.25">
      <c r="A57" s="5">
        <v>44536</v>
      </c>
      <c r="B57">
        <v>0.61019999999999996</v>
      </c>
      <c r="C57">
        <v>0.72</v>
      </c>
      <c r="D57">
        <v>0.54490000000000005</v>
      </c>
      <c r="E57">
        <v>0.65900000000000003</v>
      </c>
      <c r="F57">
        <v>162327829</v>
      </c>
      <c r="G57">
        <v>0.65900000000000003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0.30325528269560287</v>
      </c>
      <c r="Q57">
        <f t="shared" ref="Q57" si="261">F57*P57</f>
        <v>49226771.672758482</v>
      </c>
      <c r="R57">
        <f t="shared" ref="R57" si="262">R58+Q57</f>
        <v>-3038683273.7299137</v>
      </c>
      <c r="S57">
        <f t="shared" ref="S57" si="263">R57/100000</f>
        <v>-30386.832737299137</v>
      </c>
      <c r="T57">
        <f t="shared" ref="T57" si="264">S57/1000</f>
        <v>-30.386832737299137</v>
      </c>
    </row>
    <row r="58" spans="1:20" x14ac:dyDescent="0.25">
      <c r="A58" s="5">
        <v>44535</v>
      </c>
      <c r="B58">
        <v>0.67989999999999995</v>
      </c>
      <c r="C58">
        <v>0.71509999999999996</v>
      </c>
      <c r="D58">
        <v>0.58020000000000005</v>
      </c>
      <c r="E58">
        <v>0.60980000000000001</v>
      </c>
      <c r="F58">
        <v>88337277</v>
      </c>
      <c r="G58">
        <v>0.60980000000000001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-0.56115641215715373</v>
      </c>
      <c r="Q58">
        <f t="shared" ref="Q58" si="266">F58*P58</f>
        <v>-49571029.421052657</v>
      </c>
      <c r="R58">
        <f t="shared" ref="R58" si="267">R59+Q58</f>
        <v>-3087910045.4026723</v>
      </c>
      <c r="S58">
        <f t="shared" ref="S58" si="268">R58/100000</f>
        <v>-30879.100454026724</v>
      </c>
      <c r="T58">
        <f t="shared" ref="T58" si="269">S58/1000</f>
        <v>-30.879100454026723</v>
      </c>
    </row>
    <row r="59" spans="1:20" x14ac:dyDescent="0.25">
      <c r="A59" s="5">
        <v>44534</v>
      </c>
      <c r="B59">
        <v>0.82250000000000001</v>
      </c>
      <c r="C59">
        <v>0.82520000000000004</v>
      </c>
      <c r="D59">
        <v>0.47010000000000002</v>
      </c>
      <c r="E59">
        <v>0.6784</v>
      </c>
      <c r="F59">
        <v>192405882</v>
      </c>
      <c r="G59">
        <v>0.6784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0.17319065052097984</v>
      </c>
      <c r="Q59">
        <f t="shared" ref="Q59" si="271">F59*P59</f>
        <v>33322899.867642887</v>
      </c>
      <c r="R59">
        <f t="shared" ref="R59" si="272">R60+Q59</f>
        <v>-3038339015.9816198</v>
      </c>
      <c r="S59">
        <f t="shared" ref="S59" si="273">R59/100000</f>
        <v>-30383.390159816197</v>
      </c>
      <c r="T59">
        <f t="shared" ref="T59" si="274">S59/1000</f>
        <v>-30.383390159816198</v>
      </c>
    </row>
    <row r="60" spans="1:20" x14ac:dyDescent="0.25">
      <c r="A60" s="5">
        <v>44533</v>
      </c>
      <c r="B60">
        <v>0.9022</v>
      </c>
      <c r="C60">
        <v>0.91639999999999999</v>
      </c>
      <c r="D60">
        <v>0.78800000000000003</v>
      </c>
      <c r="E60">
        <v>0.82320000000000004</v>
      </c>
      <c r="F60">
        <v>51330179</v>
      </c>
      <c r="G60">
        <v>0.82320000000000004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-0.45171339563862895</v>
      </c>
      <c r="Q60">
        <f t="shared" ref="Q60" si="276">F60*P60</f>
        <v>-23186529.454828642</v>
      </c>
      <c r="R60">
        <f t="shared" ref="R60" si="277">R61+Q60</f>
        <v>-3071661915.8492627</v>
      </c>
      <c r="S60">
        <f t="shared" ref="S60" si="278">R60/100000</f>
        <v>-30716.619158492627</v>
      </c>
      <c r="T60">
        <f t="shared" ref="T60" si="279">S60/1000</f>
        <v>-30.716619158492627</v>
      </c>
    </row>
    <row r="61" spans="1:20" x14ac:dyDescent="0.25">
      <c r="A61" s="5">
        <v>44532</v>
      </c>
      <c r="B61">
        <v>0.92959999999999998</v>
      </c>
      <c r="C61">
        <v>0.93100000000000005</v>
      </c>
      <c r="D61">
        <v>0.87480000000000002</v>
      </c>
      <c r="E61">
        <v>0.90190000000000003</v>
      </c>
      <c r="F61">
        <v>41860785</v>
      </c>
      <c r="G61">
        <v>0.90190000000000003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-3.5587188612099661E-2</v>
      </c>
      <c r="Q61">
        <f t="shared" ref="Q61" si="281">F61*P61</f>
        <v>-1489707.6512455523</v>
      </c>
      <c r="R61">
        <f t="shared" ref="R61" si="282">R62+Q61</f>
        <v>-3048475386.394434</v>
      </c>
      <c r="S61">
        <f t="shared" ref="S61" si="283">R61/100000</f>
        <v>-30484.753863944341</v>
      </c>
      <c r="T61">
        <f t="shared" ref="T61" si="284">S61/1000</f>
        <v>-30.484753863944341</v>
      </c>
    </row>
    <row r="62" spans="1:20" x14ac:dyDescent="0.25">
      <c r="A62" s="5">
        <v>44531</v>
      </c>
      <c r="B62">
        <v>0.94720000000000004</v>
      </c>
      <c r="C62">
        <v>1.04</v>
      </c>
      <c r="D62">
        <v>0.91220000000000001</v>
      </c>
      <c r="E62">
        <v>0.92949999999999999</v>
      </c>
      <c r="F62">
        <v>65673042</v>
      </c>
      <c r="G62">
        <v>0.92949999999999999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-0.72926447574334929</v>
      </c>
      <c r="Q62">
        <f t="shared" ref="Q62" si="286">F62*P62</f>
        <v>-47893016.544600956</v>
      </c>
      <c r="R62">
        <f t="shared" ref="R62" si="287">R63+Q62</f>
        <v>-3046985678.7431884</v>
      </c>
      <c r="S62">
        <f t="shared" ref="S62" si="288">R62/100000</f>
        <v>-30469.856787431883</v>
      </c>
      <c r="T62">
        <f t="shared" ref="T62" si="289">S62/1000</f>
        <v>-30.469856787431883</v>
      </c>
    </row>
    <row r="63" spans="1:20" x14ac:dyDescent="0.25">
      <c r="A63" s="5">
        <v>44530</v>
      </c>
      <c r="B63">
        <v>1.0004999999999999</v>
      </c>
      <c r="C63">
        <v>1.0187999999999999</v>
      </c>
      <c r="D63">
        <v>0.93920000000000003</v>
      </c>
      <c r="E63">
        <v>0.94740000000000002</v>
      </c>
      <c r="F63">
        <v>52046800</v>
      </c>
      <c r="G63">
        <v>0.94740000000000002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-0.79396984924623126</v>
      </c>
      <c r="Q63">
        <f t="shared" ref="Q63" si="291">F63*P63</f>
        <v>-41323589.949748747</v>
      </c>
      <c r="R63">
        <f t="shared" ref="R63" si="292">R64+Q63</f>
        <v>-2999092662.1985874</v>
      </c>
      <c r="S63">
        <f t="shared" ref="S63" si="293">R63/100000</f>
        <v>-29990.926621985873</v>
      </c>
      <c r="T63">
        <f t="shared" ref="T63" si="294">S63/1000</f>
        <v>-29.990926621985874</v>
      </c>
    </row>
    <row r="64" spans="1:20" x14ac:dyDescent="0.25">
      <c r="A64" s="5">
        <v>44529</v>
      </c>
      <c r="B64">
        <v>1.0359</v>
      </c>
      <c r="C64">
        <v>1.093</v>
      </c>
      <c r="D64">
        <v>0.9849</v>
      </c>
      <c r="E64">
        <v>1.0004999999999999</v>
      </c>
      <c r="F64">
        <v>69655027</v>
      </c>
      <c r="G64">
        <v>1.0004999999999999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-0.71137835337650412</v>
      </c>
      <c r="Q64">
        <f t="shared" ref="Q64" si="296">F64*P64</f>
        <v>-49551078.411655933</v>
      </c>
      <c r="R64">
        <f t="shared" ref="R64" si="297">R65+Q64</f>
        <v>-2957769072.2488389</v>
      </c>
      <c r="S64">
        <f t="shared" ref="S64" si="298">R64/100000</f>
        <v>-29577.690722488391</v>
      </c>
      <c r="T64">
        <f t="shared" ref="T64" si="299">S64/1000</f>
        <v>-29.577690722488391</v>
      </c>
    </row>
    <row r="65" spans="1:20" x14ac:dyDescent="0.25">
      <c r="A65" s="5">
        <v>44528</v>
      </c>
      <c r="B65">
        <v>0.98129999999999995</v>
      </c>
      <c r="C65">
        <v>1.0519000000000001</v>
      </c>
      <c r="D65">
        <v>0.87470000000000003</v>
      </c>
      <c r="E65">
        <v>1.0350999999999999</v>
      </c>
      <c r="F65">
        <v>105980337</v>
      </c>
      <c r="G65">
        <v>1.0350999999999999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0.81038374717832795</v>
      </c>
      <c r="Q65">
        <f t="shared" ref="Q65" si="301">F65*P65</f>
        <v>85884742.62528199</v>
      </c>
      <c r="R65">
        <f t="shared" ref="R65" si="302">R66+Q65</f>
        <v>-2908217993.837183</v>
      </c>
      <c r="S65">
        <f t="shared" ref="S65" si="303">R65/100000</f>
        <v>-29082.179938371832</v>
      </c>
      <c r="T65">
        <f t="shared" ref="T65" si="304">S65/1000</f>
        <v>-29.08217993837183</v>
      </c>
    </row>
    <row r="66" spans="1:20" x14ac:dyDescent="0.25">
      <c r="A66" s="5">
        <v>44527</v>
      </c>
      <c r="B66">
        <v>1.0226999999999999</v>
      </c>
      <c r="C66">
        <v>1.0562</v>
      </c>
      <c r="D66">
        <v>0.96020000000000005</v>
      </c>
      <c r="E66">
        <v>0.98089999999999999</v>
      </c>
      <c r="F66">
        <v>53307727</v>
      </c>
      <c r="G66">
        <v>0.98089999999999999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-0.56875000000000109</v>
      </c>
      <c r="Q66">
        <f t="shared" ref="Q66" si="306">F66*P66</f>
        <v>-30318769.731250059</v>
      </c>
      <c r="R66">
        <f t="shared" ref="R66" si="307">R67+Q66</f>
        <v>-2994102736.4624648</v>
      </c>
      <c r="S66">
        <f t="shared" ref="S66" si="308">R66/100000</f>
        <v>-29941.02736462465</v>
      </c>
      <c r="T66">
        <f t="shared" ref="T66" si="309">S66/1000</f>
        <v>-29.941027364624649</v>
      </c>
    </row>
    <row r="67" spans="1:20" x14ac:dyDescent="0.25">
      <c r="A67" s="5">
        <v>44526</v>
      </c>
      <c r="B67">
        <v>1.2018</v>
      </c>
      <c r="C67">
        <v>1.2025999999999999</v>
      </c>
      <c r="D67">
        <v>0.96</v>
      </c>
      <c r="E67">
        <v>1.0226</v>
      </c>
      <c r="F67">
        <v>112961254</v>
      </c>
      <c r="G67">
        <v>1.0226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-0.48392415498763391</v>
      </c>
      <c r="Q67">
        <f t="shared" ref="Q67" si="311">F67*P67</f>
        <v>-54664679.388293482</v>
      </c>
      <c r="R67">
        <f t="shared" ref="R67" si="312">R68+Q67</f>
        <v>-2963783966.7312145</v>
      </c>
      <c r="S67">
        <f t="shared" ref="S67" si="313">R67/100000</f>
        <v>-29637.839667312146</v>
      </c>
      <c r="T67">
        <f t="shared" ref="T67" si="314">S67/1000</f>
        <v>-29.637839667312146</v>
      </c>
    </row>
    <row r="68" spans="1:20" x14ac:dyDescent="0.25">
      <c r="A68" s="5">
        <v>44525</v>
      </c>
      <c r="B68">
        <v>1.2096</v>
      </c>
      <c r="C68">
        <v>1.35</v>
      </c>
      <c r="D68">
        <v>1.1734</v>
      </c>
      <c r="E68">
        <v>1.202</v>
      </c>
      <c r="F68">
        <v>112513837</v>
      </c>
      <c r="G68">
        <v>1.202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-0.6761041902604763</v>
      </c>
      <c r="Q68">
        <f t="shared" ref="Q68" si="316">F68*P68</f>
        <v>-76071076.657984212</v>
      </c>
      <c r="R68">
        <f t="shared" ref="R68" si="317">R69+Q68</f>
        <v>-2909119287.3429213</v>
      </c>
      <c r="S68">
        <f t="shared" ref="S68" si="318">R68/100000</f>
        <v>-29091.192873429212</v>
      </c>
      <c r="T68">
        <f t="shared" ref="T68" si="319">S68/1000</f>
        <v>-29.091192873429211</v>
      </c>
    </row>
    <row r="69" spans="1:20" x14ac:dyDescent="0.25">
      <c r="A69" s="5">
        <v>44524</v>
      </c>
      <c r="B69">
        <v>1.2699</v>
      </c>
      <c r="C69">
        <v>1.3140000000000001</v>
      </c>
      <c r="D69">
        <v>1.2295</v>
      </c>
      <c r="E69">
        <v>1.294</v>
      </c>
      <c r="F69">
        <v>27083585</v>
      </c>
      <c r="G69">
        <v>1.294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0.52662721893491093</v>
      </c>
      <c r="Q69">
        <f t="shared" ref="Q69" si="321">F69*P69</f>
        <v>14262953.047337269</v>
      </c>
      <c r="R69">
        <f t="shared" ref="R69" si="322">R70+Q69</f>
        <v>-2833048210.684937</v>
      </c>
      <c r="S69">
        <f t="shared" ref="S69" si="323">R69/100000</f>
        <v>-28330.482106849369</v>
      </c>
      <c r="T69">
        <f t="shared" ref="T69" si="324">S69/1000</f>
        <v>-28.33048210684937</v>
      </c>
    </row>
    <row r="70" spans="1:20" x14ac:dyDescent="0.25">
      <c r="A70" s="5">
        <v>44523</v>
      </c>
      <c r="B70">
        <v>1.2911999999999999</v>
      </c>
      <c r="C70">
        <v>1.3872</v>
      </c>
      <c r="D70">
        <v>1.2479</v>
      </c>
      <c r="E70">
        <v>1.2693000000000001</v>
      </c>
      <c r="F70">
        <v>96807046</v>
      </c>
      <c r="G70">
        <v>1.2693000000000001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-0.69274946159368145</v>
      </c>
      <c r="Q70">
        <f t="shared" ref="Q70" si="326">F70*P70</f>
        <v>-67063028.994974755</v>
      </c>
      <c r="R70">
        <f t="shared" ref="R70" si="327">R71+Q70</f>
        <v>-2847311163.7322741</v>
      </c>
      <c r="S70">
        <f t="shared" ref="S70" si="328">R70/100000</f>
        <v>-28473.111637322741</v>
      </c>
      <c r="T70">
        <f t="shared" ref="T70" si="329">S70/1000</f>
        <v>-28.473111637322742</v>
      </c>
    </row>
    <row r="71" spans="1:20" x14ac:dyDescent="0.25">
      <c r="A71" s="5">
        <v>44522</v>
      </c>
      <c r="B71">
        <v>1.2213000000000001</v>
      </c>
      <c r="C71">
        <v>1.3460000000000001</v>
      </c>
      <c r="D71">
        <v>1.1775</v>
      </c>
      <c r="E71">
        <v>1.2927999999999999</v>
      </c>
      <c r="F71">
        <v>102226061</v>
      </c>
      <c r="G71">
        <v>1.2927999999999999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0.36854599406528066</v>
      </c>
      <c r="Q71">
        <f t="shared" ref="Q71" si="331">F71*P71</f>
        <v>37675005.270623021</v>
      </c>
      <c r="R71">
        <f t="shared" ref="R71" si="332">R72+Q71</f>
        <v>-2780248134.7372994</v>
      </c>
      <c r="S71">
        <f t="shared" ref="S71" si="333">R71/100000</f>
        <v>-27802.481347372996</v>
      </c>
      <c r="T71">
        <f t="shared" ref="T71" si="334">S71/1000</f>
        <v>-27.802481347372996</v>
      </c>
    </row>
    <row r="72" spans="1:20" x14ac:dyDescent="0.25">
      <c r="A72" s="5">
        <v>44521</v>
      </c>
      <c r="B72">
        <v>1.4112</v>
      </c>
      <c r="C72">
        <v>1.4139999999999999</v>
      </c>
      <c r="D72">
        <v>1.2143999999999999</v>
      </c>
      <c r="E72">
        <v>1.2212000000000001</v>
      </c>
      <c r="F72">
        <v>95772881</v>
      </c>
      <c r="G72">
        <v>1.2212000000000001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-0.93186372745490842</v>
      </c>
      <c r="Q72">
        <f t="shared" ref="Q72" si="336">F72*P72</f>
        <v>-89247273.877755374</v>
      </c>
      <c r="R72">
        <f t="shared" ref="R72" si="337">R73+Q72</f>
        <v>-2817923140.0079226</v>
      </c>
      <c r="S72">
        <f t="shared" ref="S72" si="338">R72/100000</f>
        <v>-28179.231400079225</v>
      </c>
      <c r="T72">
        <f t="shared" ref="T72" si="339">S72/1000</f>
        <v>-28.179231400079225</v>
      </c>
    </row>
    <row r="73" spans="1:20" x14ac:dyDescent="0.25">
      <c r="A73" s="5">
        <v>44520</v>
      </c>
      <c r="B73">
        <v>1.1601999999999999</v>
      </c>
      <c r="C73">
        <v>1.5</v>
      </c>
      <c r="D73">
        <v>1.137</v>
      </c>
      <c r="E73">
        <v>1.4112</v>
      </c>
      <c r="F73">
        <v>224707246.90000001</v>
      </c>
      <c r="G73">
        <v>1.4112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0.51074380165289257</v>
      </c>
      <c r="Q73">
        <f t="shared" ref="Q73" si="341">F73*P73</f>
        <v>114767833.54066116</v>
      </c>
      <c r="R73">
        <f t="shared" ref="R73" si="342">R74+Q73</f>
        <v>-2728675866.1301675</v>
      </c>
      <c r="S73">
        <f t="shared" ref="S73" si="343">R73/100000</f>
        <v>-27286.758661301676</v>
      </c>
      <c r="T73">
        <f t="shared" ref="T73" si="344">S73/1000</f>
        <v>-27.286758661301675</v>
      </c>
    </row>
    <row r="74" spans="1:20" x14ac:dyDescent="0.25">
      <c r="A74" s="5">
        <v>44519</v>
      </c>
      <c r="B74">
        <v>1.1720999999999999</v>
      </c>
      <c r="C74">
        <v>1.2655000000000001</v>
      </c>
      <c r="D74">
        <v>1.1155999999999999</v>
      </c>
      <c r="E74">
        <v>1.1607000000000001</v>
      </c>
      <c r="F74">
        <v>127258941</v>
      </c>
      <c r="G74">
        <v>1.1607000000000001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-0.3982655103402255</v>
      </c>
      <c r="Q74">
        <f t="shared" ref="Q74" si="346">F74*P74</f>
        <v>-50682847.082721651</v>
      </c>
      <c r="R74">
        <f t="shared" ref="R74" si="347">R75+Q74</f>
        <v>-2843443699.6708288</v>
      </c>
      <c r="S74">
        <f t="shared" ref="S74" si="348">R74/100000</f>
        <v>-28434.436996708289</v>
      </c>
      <c r="T74">
        <f t="shared" ref="T74" si="349">S74/1000</f>
        <v>-28.434436996708289</v>
      </c>
    </row>
    <row r="75" spans="1:20" x14ac:dyDescent="0.25">
      <c r="A75" s="5">
        <v>44518</v>
      </c>
      <c r="B75">
        <v>1.0993999999999999</v>
      </c>
      <c r="C75">
        <v>1.33</v>
      </c>
      <c r="D75">
        <v>1.0418000000000001</v>
      </c>
      <c r="E75">
        <v>1.1725000000000001</v>
      </c>
      <c r="F75">
        <v>266650296</v>
      </c>
      <c r="G75">
        <v>1.1725000000000001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-9.2990978487161466E-2</v>
      </c>
      <c r="Q75">
        <f t="shared" ref="Q75" si="351">F75*P75</f>
        <v>-24796071.938931238</v>
      </c>
      <c r="R75">
        <f t="shared" ref="R75" si="352">R76+Q75</f>
        <v>-2792760852.5881071</v>
      </c>
      <c r="S75">
        <f t="shared" ref="S75" si="353">R75/100000</f>
        <v>-27927.608525881071</v>
      </c>
      <c r="T75">
        <f t="shared" ref="T75" si="354">S75/1000</f>
        <v>-27.92760852588107</v>
      </c>
    </row>
    <row r="76" spans="1:20" x14ac:dyDescent="0.25">
      <c r="A76" s="5">
        <v>44517</v>
      </c>
      <c r="B76">
        <v>1.1284000000000001</v>
      </c>
      <c r="C76">
        <v>1.2170000000000001</v>
      </c>
      <c r="D76">
        <v>1.0754999999999999</v>
      </c>
      <c r="E76">
        <v>1.0993999999999999</v>
      </c>
      <c r="F76">
        <v>136461808</v>
      </c>
      <c r="G76">
        <v>1.0993999999999999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-0.66219081272084801</v>
      </c>
      <c r="Q76">
        <f t="shared" ref="Q76" si="356">F76*P76</f>
        <v>-90363755.544876322</v>
      </c>
      <c r="R76">
        <f t="shared" ref="R76" si="357">R77+Q76</f>
        <v>-2767964780.6491756</v>
      </c>
      <c r="S76">
        <f t="shared" ref="S76" si="358">R76/100000</f>
        <v>-27679.647806491757</v>
      </c>
      <c r="T76">
        <f t="shared" ref="T76" si="359">S76/1000</f>
        <v>-27.679647806491758</v>
      </c>
    </row>
    <row r="77" spans="1:20" x14ac:dyDescent="0.25">
      <c r="A77" s="5">
        <v>44516</v>
      </c>
      <c r="B77">
        <v>1.1735</v>
      </c>
      <c r="C77">
        <v>1.1959</v>
      </c>
      <c r="D77">
        <v>0.97230000000000005</v>
      </c>
      <c r="E77">
        <v>1.1278999999999999</v>
      </c>
      <c r="F77">
        <v>169153687</v>
      </c>
      <c r="G77">
        <v>1.1278999999999999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0.39177101967799566</v>
      </c>
      <c r="Q77">
        <f t="shared" ref="Q77" si="361">F77*P77</f>
        <v>66269512.43828252</v>
      </c>
      <c r="R77">
        <f t="shared" ref="R77" si="362">R78+Q77</f>
        <v>-2677601025.1042995</v>
      </c>
      <c r="S77">
        <f t="shared" ref="S77" si="363">R77/100000</f>
        <v>-26776.010251042997</v>
      </c>
      <c r="T77">
        <f t="shared" ref="T77" si="364">S77/1000</f>
        <v>-26.776010251042997</v>
      </c>
    </row>
    <row r="78" spans="1:20" x14ac:dyDescent="0.25">
      <c r="A78" s="5">
        <v>44515</v>
      </c>
      <c r="B78">
        <v>1.2246999999999999</v>
      </c>
      <c r="C78">
        <v>1.3893</v>
      </c>
      <c r="D78">
        <v>1.1664000000000001</v>
      </c>
      <c r="E78">
        <v>1.1735</v>
      </c>
      <c r="F78">
        <v>142511090</v>
      </c>
      <c r="G78">
        <v>1.1735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-0.93629430237774891</v>
      </c>
      <c r="Q78">
        <f t="shared" ref="Q78" si="366">F78*P78</f>
        <v>-133432321.59264259</v>
      </c>
      <c r="R78">
        <f t="shared" ref="R78" si="367">R79+Q78</f>
        <v>-2743870537.542582</v>
      </c>
      <c r="S78">
        <f t="shared" ref="S78" si="368">R78/100000</f>
        <v>-27438.70537542582</v>
      </c>
      <c r="T78">
        <f t="shared" ref="T78" si="369">S78/1000</f>
        <v>-27.438705375425819</v>
      </c>
    </row>
    <row r="79" spans="1:20" x14ac:dyDescent="0.25">
      <c r="A79" s="5">
        <v>44514</v>
      </c>
      <c r="B79">
        <v>1.1140000000000001</v>
      </c>
      <c r="C79">
        <v>1.3245</v>
      </c>
      <c r="D79">
        <v>1.0827</v>
      </c>
      <c r="E79">
        <v>1.2239</v>
      </c>
      <c r="F79">
        <v>174142944</v>
      </c>
      <c r="G79">
        <v>1.2239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0.16790736145574842</v>
      </c>
      <c r="Q79">
        <f t="shared" ref="Q79" si="371">F79*P79</f>
        <v>29239882.243176155</v>
      </c>
      <c r="R79">
        <f t="shared" ref="R79" si="372">R80+Q79</f>
        <v>-2610438215.9499393</v>
      </c>
      <c r="S79">
        <f t="shared" ref="S79" si="373">R79/100000</f>
        <v>-26104.382159499393</v>
      </c>
      <c r="T79">
        <f t="shared" ref="T79" si="374">S79/1000</f>
        <v>-26.104382159499394</v>
      </c>
    </row>
    <row r="80" spans="1:20" x14ac:dyDescent="0.25">
      <c r="A80" s="5">
        <v>44513</v>
      </c>
      <c r="B80">
        <v>1.2117</v>
      </c>
      <c r="C80">
        <v>1.3371</v>
      </c>
      <c r="D80">
        <v>1.1063000000000001</v>
      </c>
      <c r="E80">
        <v>1.1147</v>
      </c>
      <c r="F80">
        <v>136712846</v>
      </c>
      <c r="G80">
        <v>1.1147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-0.92720970537261727</v>
      </c>
      <c r="Q80">
        <f t="shared" ref="Q80" si="376">F80*P80</f>
        <v>-126761477.660312</v>
      </c>
      <c r="R80">
        <f t="shared" ref="R80" si="377">R81+Q80</f>
        <v>-2639678098.1931152</v>
      </c>
      <c r="S80">
        <f t="shared" ref="S80" si="378">R80/100000</f>
        <v>-26396.780981931151</v>
      </c>
      <c r="T80">
        <f t="shared" ref="T80" si="379">S80/1000</f>
        <v>-26.396780981931151</v>
      </c>
    </row>
    <row r="81" spans="1:20" x14ac:dyDescent="0.25">
      <c r="A81" s="5">
        <v>44512</v>
      </c>
      <c r="B81">
        <v>1.0945</v>
      </c>
      <c r="C81">
        <v>1.2741</v>
      </c>
      <c r="D81">
        <v>0.97929999999999995</v>
      </c>
      <c r="E81">
        <v>1.2119</v>
      </c>
      <c r="F81">
        <v>228462208</v>
      </c>
      <c r="G81">
        <v>1.2119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0.5780189959294435</v>
      </c>
      <c r="Q81">
        <f t="shared" ref="Q81" si="381">F81*P81</f>
        <v>132055496.07598367</v>
      </c>
      <c r="R81">
        <f t="shared" ref="R81" si="382">R82+Q81</f>
        <v>-2512916620.5328031</v>
      </c>
      <c r="S81">
        <f t="shared" ref="S81" si="383">R81/100000</f>
        <v>-25129.166205328031</v>
      </c>
      <c r="T81">
        <f t="shared" ref="T81" si="384">S81/1000</f>
        <v>-25.12916620532803</v>
      </c>
    </row>
    <row r="82" spans="1:20" x14ac:dyDescent="0.25">
      <c r="A82" s="5">
        <v>44511</v>
      </c>
      <c r="B82">
        <v>1.1208</v>
      </c>
      <c r="C82">
        <v>1.4376</v>
      </c>
      <c r="D82">
        <v>1.0676000000000001</v>
      </c>
      <c r="E82">
        <v>1.0953999999999999</v>
      </c>
      <c r="F82">
        <v>368925865.89999998</v>
      </c>
      <c r="G82">
        <v>1.0953999999999999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-0.8497297297297306</v>
      </c>
      <c r="Q82">
        <f t="shared" ref="Q82" si="386">F82*P82</f>
        <v>-313487276.32151383</v>
      </c>
      <c r="R82">
        <f t="shared" ref="R82" si="387">R83+Q82</f>
        <v>-2644972116.6087866</v>
      </c>
      <c r="S82">
        <f t="shared" ref="S82" si="388">R82/100000</f>
        <v>-26449.721166087867</v>
      </c>
      <c r="T82">
        <f t="shared" ref="T82" si="389">S82/1000</f>
        <v>-26.449721166087869</v>
      </c>
    </row>
    <row r="83" spans="1:20" x14ac:dyDescent="0.25">
      <c r="A83" s="5">
        <v>44510</v>
      </c>
      <c r="B83">
        <v>0.77349999999999997</v>
      </c>
      <c r="C83">
        <v>1.2838000000000001</v>
      </c>
      <c r="D83">
        <v>0.77180000000000004</v>
      </c>
      <c r="E83">
        <v>1.1201000000000001</v>
      </c>
      <c r="F83">
        <v>501410180.10000002</v>
      </c>
      <c r="G83">
        <v>1.1201000000000001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0.36054687500000016</v>
      </c>
      <c r="Q83">
        <f t="shared" ref="Q83" si="391">F83*P83</f>
        <v>180781873.52824226</v>
      </c>
      <c r="R83">
        <f t="shared" ref="R83" si="392">R84+Q83</f>
        <v>-2331484840.2872729</v>
      </c>
      <c r="S83">
        <f t="shared" ref="S83" si="393">R83/100000</f>
        <v>-23314.848402872729</v>
      </c>
      <c r="T83">
        <f t="shared" ref="T83" si="394">S83/1000</f>
        <v>-23.31484840287273</v>
      </c>
    </row>
    <row r="84" spans="1:20" x14ac:dyDescent="0.25">
      <c r="A84" s="5">
        <v>44509</v>
      </c>
      <c r="B84">
        <v>0.79139999999999999</v>
      </c>
      <c r="C84">
        <v>0.85589999999999999</v>
      </c>
      <c r="D84">
        <v>0.75</v>
      </c>
      <c r="E84">
        <v>0.77349999999999997</v>
      </c>
      <c r="F84">
        <v>103694466</v>
      </c>
      <c r="G84">
        <v>0.77349999999999997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-0.55618508026440105</v>
      </c>
      <c r="Q84">
        <f t="shared" ref="Q84" si="396">F84*P84</f>
        <v>-57673314.895184204</v>
      </c>
      <c r="R84">
        <f t="shared" ref="R84" si="397">R85+Q84</f>
        <v>-2512266713.815515</v>
      </c>
      <c r="S84">
        <f t="shared" ref="S84" si="398">R84/100000</f>
        <v>-25122.66713815515</v>
      </c>
      <c r="T84">
        <f t="shared" ref="T84" si="399">S84/1000</f>
        <v>-25.122667138155151</v>
      </c>
    </row>
    <row r="85" spans="1:20" x14ac:dyDescent="0.25">
      <c r="A85" s="5">
        <v>44508</v>
      </c>
      <c r="B85">
        <v>0.82869999999999999</v>
      </c>
      <c r="C85">
        <v>0.83460000000000001</v>
      </c>
      <c r="D85">
        <v>0.75649999999999995</v>
      </c>
      <c r="E85">
        <v>0.79200000000000004</v>
      </c>
      <c r="F85">
        <v>99823422</v>
      </c>
      <c r="G85">
        <v>0.79200000000000004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-9.0909090909089357E-2</v>
      </c>
      <c r="Q85">
        <f t="shared" ref="Q85" si="401">F85*P85</f>
        <v>-9074856.5454543903</v>
      </c>
      <c r="R85">
        <f t="shared" ref="R85" si="402">R86+Q85</f>
        <v>-2454593398.920331</v>
      </c>
      <c r="S85">
        <f t="shared" ref="S85" si="403">R85/100000</f>
        <v>-24545.933989203309</v>
      </c>
      <c r="T85">
        <f t="shared" ref="T85" si="404">S85/1000</f>
        <v>-24.545933989203309</v>
      </c>
    </row>
    <row r="86" spans="1:20" x14ac:dyDescent="0.25">
      <c r="A86" s="5">
        <v>44507</v>
      </c>
      <c r="B86">
        <v>0.88980000000000004</v>
      </c>
      <c r="C86">
        <v>0.95</v>
      </c>
      <c r="D86">
        <v>0.7873</v>
      </c>
      <c r="E86">
        <v>0.82820000000000005</v>
      </c>
      <c r="F86">
        <v>95579456</v>
      </c>
      <c r="G86">
        <v>0.82820000000000005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-0.49723417332513759</v>
      </c>
      <c r="Q86">
        <f t="shared" ref="Q86" si="406">F86*P86</f>
        <v>-47525371.791026361</v>
      </c>
      <c r="R86">
        <f t="shared" ref="R86" si="407">R87+Q86</f>
        <v>-2445518542.3748765</v>
      </c>
      <c r="S86">
        <f t="shared" ref="S86" si="408">R86/100000</f>
        <v>-24455.185423748764</v>
      </c>
      <c r="T86">
        <f t="shared" ref="T86" si="409">S86/1000</f>
        <v>-24.455185423748762</v>
      </c>
    </row>
    <row r="87" spans="1:20" x14ac:dyDescent="0.25">
      <c r="A87" s="5">
        <v>44506</v>
      </c>
      <c r="B87">
        <v>0.90749999999999997</v>
      </c>
      <c r="C87">
        <v>0.97470000000000001</v>
      </c>
      <c r="D87">
        <v>0.82730000000000004</v>
      </c>
      <c r="E87">
        <v>0.88980000000000004</v>
      </c>
      <c r="F87">
        <v>194699305</v>
      </c>
      <c r="G87">
        <v>0.88980000000000004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-0.15196743554952497</v>
      </c>
      <c r="Q87">
        <f t="shared" ref="Q87" si="411">F87*P87</f>
        <v>-29587954.084124804</v>
      </c>
      <c r="R87">
        <f t="shared" ref="R87" si="412">R88+Q87</f>
        <v>-2397993170.5838499</v>
      </c>
      <c r="S87">
        <f t="shared" ref="S87" si="413">R87/100000</f>
        <v>-23979.931705838499</v>
      </c>
      <c r="T87">
        <f t="shared" ref="T87" si="414">S87/1000</f>
        <v>-23.979931705838499</v>
      </c>
    </row>
    <row r="88" spans="1:20" x14ac:dyDescent="0.25">
      <c r="A88" s="5">
        <v>44505</v>
      </c>
      <c r="B88">
        <v>0.74970000000000003</v>
      </c>
      <c r="C88">
        <v>1.0333000000000001</v>
      </c>
      <c r="D88">
        <v>0.73050000000000004</v>
      </c>
      <c r="E88">
        <v>0.9073</v>
      </c>
      <c r="F88">
        <v>522327590.89999998</v>
      </c>
      <c r="G88">
        <v>0.9073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0.16776750330250936</v>
      </c>
      <c r="Q88">
        <f t="shared" ref="Q88" si="416">F88*P88</f>
        <v>87629595.831307501</v>
      </c>
      <c r="R88">
        <f t="shared" ref="R88" si="417">R89+Q88</f>
        <v>-2368405216.4997253</v>
      </c>
      <c r="S88">
        <f t="shared" ref="S88" si="418">R88/100000</f>
        <v>-23684.052164997254</v>
      </c>
      <c r="T88">
        <f t="shared" ref="T88" si="419">S88/1000</f>
        <v>-23.684052164997254</v>
      </c>
    </row>
    <row r="89" spans="1:20" x14ac:dyDescent="0.25">
      <c r="A89" s="5">
        <v>44504</v>
      </c>
      <c r="B89">
        <v>0.6623</v>
      </c>
      <c r="C89">
        <v>0.97</v>
      </c>
      <c r="D89">
        <v>0.61419999999999997</v>
      </c>
      <c r="E89">
        <v>0.75049999999999994</v>
      </c>
      <c r="F89">
        <v>542167158</v>
      </c>
      <c r="G89">
        <v>0.75049999999999994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-0.23383923552557631</v>
      </c>
      <c r="Q89">
        <f t="shared" ref="Q89" si="421">F89*P89</f>
        <v>-126779953.75379434</v>
      </c>
      <c r="R89">
        <f t="shared" ref="R89" si="422">R90+Q89</f>
        <v>-2456034812.3310328</v>
      </c>
      <c r="S89">
        <f t="shared" ref="S89" si="423">R89/100000</f>
        <v>-24560.348123310327</v>
      </c>
      <c r="T89">
        <f t="shared" ref="T89" si="424">S89/1000</f>
        <v>-24.560348123310327</v>
      </c>
    </row>
    <row r="90" spans="1:20" x14ac:dyDescent="0.25">
      <c r="A90" s="5">
        <v>44503</v>
      </c>
      <c r="B90">
        <v>0.745</v>
      </c>
      <c r="C90">
        <v>0.75370000000000004</v>
      </c>
      <c r="D90">
        <v>0.61939999999999995</v>
      </c>
      <c r="E90">
        <v>0.66120000000000001</v>
      </c>
      <c r="F90">
        <v>208126869</v>
      </c>
      <c r="G90">
        <v>0.66120000000000001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-0.37751303052866669</v>
      </c>
      <c r="Q90">
        <f t="shared" ref="Q90" si="426">F90*P90</f>
        <v>-78570605.05063282</v>
      </c>
      <c r="R90">
        <f t="shared" ref="R90" si="427">R91+Q90</f>
        <v>-2329254858.5772386</v>
      </c>
      <c r="S90">
        <f t="shared" ref="S90" si="428">R90/100000</f>
        <v>-23292.548585772387</v>
      </c>
      <c r="T90">
        <f t="shared" ref="T90" si="429">S90/1000</f>
        <v>-23.292548585772387</v>
      </c>
    </row>
    <row r="91" spans="1:20" x14ac:dyDescent="0.25">
      <c r="A91" s="5">
        <v>44502</v>
      </c>
      <c r="B91">
        <v>0.49580000000000002</v>
      </c>
      <c r="C91">
        <v>0.84760000000000002</v>
      </c>
      <c r="D91">
        <v>0.4955</v>
      </c>
      <c r="E91">
        <v>0.745</v>
      </c>
      <c r="F91">
        <v>782023674.5</v>
      </c>
      <c r="G91">
        <v>0.745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0.41721101959670537</v>
      </c>
      <c r="Q91">
        <f t="shared" ref="Q91" si="431">F91*P91</f>
        <v>326268894.58690703</v>
      </c>
      <c r="R91">
        <f t="shared" ref="R91" si="432">R92+Q91</f>
        <v>-2250684253.5266056</v>
      </c>
      <c r="S91">
        <f t="shared" ref="S91" si="433">R91/100000</f>
        <v>-22506.842535266056</v>
      </c>
      <c r="T91">
        <f t="shared" ref="T91" si="434">S91/1000</f>
        <v>-22.506842535266056</v>
      </c>
    </row>
    <row r="92" spans="1:20" x14ac:dyDescent="0.25">
      <c r="A92" s="5">
        <v>44501</v>
      </c>
      <c r="B92">
        <v>0.43819999999999998</v>
      </c>
      <c r="C92">
        <v>0.52880000000000005</v>
      </c>
      <c r="D92">
        <v>0.42499999999999999</v>
      </c>
      <c r="E92">
        <v>0.49640000000000001</v>
      </c>
      <c r="F92">
        <v>185598413</v>
      </c>
      <c r="G92">
        <v>0.49640000000000001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0.37572254335260075</v>
      </c>
      <c r="Q92">
        <f t="shared" ref="Q92" si="436">F92*P92</f>
        <v>69733507.774566397</v>
      </c>
      <c r="R92">
        <f t="shared" ref="R92" si="437">R93+Q92</f>
        <v>-2576953148.1135125</v>
      </c>
      <c r="S92">
        <f t="shared" ref="S92" si="438">R92/100000</f>
        <v>-25769.531481135124</v>
      </c>
      <c r="T92">
        <f t="shared" ref="T92" si="439">S92/1000</f>
        <v>-25.769531481135125</v>
      </c>
    </row>
    <row r="93" spans="1:20" x14ac:dyDescent="0.25">
      <c r="A93" s="5">
        <v>44500</v>
      </c>
      <c r="B93">
        <v>0.4642</v>
      </c>
      <c r="C93">
        <v>0.59499999999999997</v>
      </c>
      <c r="D93">
        <v>0.42259999999999998</v>
      </c>
      <c r="E93">
        <v>0.438</v>
      </c>
      <c r="F93">
        <v>277475461.60000002</v>
      </c>
      <c r="G93">
        <v>0.438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-0.82134570765661219</v>
      </c>
      <c r="Q93">
        <f t="shared" ref="Q93" si="441">F93*P93</f>
        <v>-227903279.36519715</v>
      </c>
      <c r="R93">
        <f t="shared" ref="R93" si="442">R94+Q93</f>
        <v>-2646686655.8880787</v>
      </c>
      <c r="S93">
        <f t="shared" ref="S93" si="443">R93/100000</f>
        <v>-26466.866558880785</v>
      </c>
      <c r="T93">
        <f t="shared" ref="T93" si="444">S93/1000</f>
        <v>-26.466866558880785</v>
      </c>
    </row>
    <row r="94" spans="1:20" x14ac:dyDescent="0.25">
      <c r="A94" s="5">
        <v>44499</v>
      </c>
      <c r="B94">
        <v>0.38900000000000001</v>
      </c>
      <c r="C94">
        <v>0.54400000000000004</v>
      </c>
      <c r="D94">
        <v>0.37040000000000001</v>
      </c>
      <c r="E94">
        <v>0.46439999999999998</v>
      </c>
      <c r="F94">
        <v>228321654.80000001</v>
      </c>
      <c r="G94">
        <v>0.46439999999999998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8.2949308755759857E-2</v>
      </c>
      <c r="Q94">
        <f t="shared" ref="Q94" si="446">F94*P94</f>
        <v>18939123.43963122</v>
      </c>
      <c r="R94">
        <f t="shared" ref="R94" si="447">R95+Q94</f>
        <v>-2418783376.5228815</v>
      </c>
      <c r="S94">
        <f t="shared" ref="S94" si="448">R94/100000</f>
        <v>-24187.833765228814</v>
      </c>
      <c r="T94">
        <f t="shared" ref="T94" si="449">S94/1000</f>
        <v>-24.187833765228813</v>
      </c>
    </row>
    <row r="95" spans="1:20" x14ac:dyDescent="0.25">
      <c r="A95" s="5">
        <v>44498</v>
      </c>
      <c r="B95">
        <v>0.33660000000000001</v>
      </c>
      <c r="C95">
        <v>0.43440000000000001</v>
      </c>
      <c r="D95">
        <v>0.33539999999999998</v>
      </c>
      <c r="E95">
        <v>0.38840000000000002</v>
      </c>
      <c r="F95">
        <v>137779953</v>
      </c>
      <c r="G95">
        <v>0.38840000000000002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7.0707070707071301E-2</v>
      </c>
      <c r="Q95">
        <f t="shared" ref="Q95" si="451">F95*P95</f>
        <v>9742016.8787879609</v>
      </c>
      <c r="R95">
        <f t="shared" ref="R95" si="452">R96+Q95</f>
        <v>-2437722499.9625125</v>
      </c>
      <c r="S95">
        <f t="shared" ref="S95" si="453">R95/100000</f>
        <v>-24377.224999625127</v>
      </c>
      <c r="T95">
        <f t="shared" ref="T95" si="454">S95/1000</f>
        <v>-24.377224999625128</v>
      </c>
    </row>
    <row r="96" spans="1:20" x14ac:dyDescent="0.25">
      <c r="A96" s="5">
        <v>44497</v>
      </c>
      <c r="B96">
        <v>0.31769999999999998</v>
      </c>
      <c r="C96">
        <v>0.3483</v>
      </c>
      <c r="D96">
        <v>0.31169999999999998</v>
      </c>
      <c r="E96">
        <v>0.33660000000000001</v>
      </c>
      <c r="F96">
        <v>44172328</v>
      </c>
      <c r="G96">
        <v>0.33660000000000001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0.36065573770491904</v>
      </c>
      <c r="Q96">
        <f t="shared" ref="Q96" si="456">F96*P96</f>
        <v>15931003.540983651</v>
      </c>
      <c r="R96">
        <f t="shared" ref="R96" si="457">R97+Q96</f>
        <v>-2447464516.8413005</v>
      </c>
      <c r="S96">
        <f t="shared" ref="S96" si="458">R96/100000</f>
        <v>-24474.645168413004</v>
      </c>
      <c r="T96">
        <f t="shared" ref="T96" si="459">S96/1000</f>
        <v>-24.474645168413005</v>
      </c>
    </row>
    <row r="97" spans="1:20" x14ac:dyDescent="0.25">
      <c r="A97" s="5">
        <v>44496</v>
      </c>
      <c r="B97">
        <v>0.36730000000000002</v>
      </c>
      <c r="C97">
        <v>0.38169999999999998</v>
      </c>
      <c r="D97">
        <v>0.29649999999999999</v>
      </c>
      <c r="E97">
        <v>0.3175</v>
      </c>
      <c r="F97">
        <v>53826950</v>
      </c>
      <c r="G97">
        <v>0.3175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-0.50704225352112631</v>
      </c>
      <c r="Q97">
        <f t="shared" ref="Q97" si="461">F97*P97</f>
        <v>-27292538.028168991</v>
      </c>
      <c r="R97">
        <f t="shared" ref="R97" si="462">R98+Q97</f>
        <v>-2463395520.3822842</v>
      </c>
      <c r="S97">
        <f t="shared" ref="S97" si="463">R97/100000</f>
        <v>-24633.955203822843</v>
      </c>
      <c r="T97">
        <f t="shared" ref="T97" si="464">S97/1000</f>
        <v>-24.633955203822843</v>
      </c>
    </row>
    <row r="98" spans="1:20" x14ac:dyDescent="0.25">
      <c r="A98" s="5">
        <v>44495</v>
      </c>
      <c r="B98">
        <v>0.35520000000000002</v>
      </c>
      <c r="C98">
        <v>0.37430000000000002</v>
      </c>
      <c r="D98">
        <v>0.35139999999999999</v>
      </c>
      <c r="E98">
        <v>0.36720000000000003</v>
      </c>
      <c r="F98">
        <v>46432642</v>
      </c>
      <c r="G98">
        <v>0.36720000000000003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0.37991266375545979</v>
      </c>
      <c r="Q98">
        <f t="shared" ref="Q98" si="466">F98*P98</f>
        <v>17640348.707423639</v>
      </c>
      <c r="R98">
        <f t="shared" ref="R98" si="467">R99+Q98</f>
        <v>-2436102982.354115</v>
      </c>
      <c r="S98">
        <f t="shared" ref="S98" si="468">R98/100000</f>
        <v>-24361.02982354115</v>
      </c>
      <c r="T98">
        <f t="shared" ref="T98" si="469">S98/1000</f>
        <v>-24.361029823541148</v>
      </c>
    </row>
    <row r="99" spans="1:20" x14ac:dyDescent="0.25">
      <c r="A99" s="5">
        <v>44494</v>
      </c>
      <c r="B99">
        <v>0.34949999999999998</v>
      </c>
      <c r="C99">
        <v>0.36259999999999998</v>
      </c>
      <c r="D99">
        <v>0.34810000000000002</v>
      </c>
      <c r="E99">
        <v>0.35520000000000002</v>
      </c>
      <c r="F99">
        <v>27429741</v>
      </c>
      <c r="G99">
        <v>0.35520000000000002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-2.0689655172411576E-2</v>
      </c>
      <c r="Q99">
        <f t="shared" ref="Q99" si="471">F99*P99</f>
        <v>-567511.88275855989</v>
      </c>
      <c r="R99">
        <f t="shared" ref="R99" si="472">R100+Q99</f>
        <v>-2453743331.0615387</v>
      </c>
      <c r="S99">
        <f t="shared" ref="S99" si="473">R99/100000</f>
        <v>-24537.433310615386</v>
      </c>
      <c r="T99">
        <f t="shared" ref="T99" si="474">S99/1000</f>
        <v>-24.537433310615388</v>
      </c>
    </row>
    <row r="100" spans="1:20" x14ac:dyDescent="0.25">
      <c r="A100" s="5">
        <v>44493</v>
      </c>
      <c r="B100">
        <v>0.36609999999999998</v>
      </c>
      <c r="C100">
        <v>0.36980000000000002</v>
      </c>
      <c r="D100">
        <v>0.34210000000000002</v>
      </c>
      <c r="E100">
        <v>0.34960000000000002</v>
      </c>
      <c r="F100">
        <v>40327180</v>
      </c>
      <c r="G100">
        <v>0.34960000000000002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-0.45848375451263496</v>
      </c>
      <c r="Q100">
        <f t="shared" ref="Q100" si="476">F100*P100</f>
        <v>-18489356.895306841</v>
      </c>
      <c r="R100">
        <f t="shared" ref="R100" si="477">R101+Q100</f>
        <v>-2453175819.1787801</v>
      </c>
      <c r="S100">
        <f t="shared" ref="S100" si="478">R100/100000</f>
        <v>-24531.758191787801</v>
      </c>
      <c r="T100">
        <f t="shared" ref="T100" si="479">S100/1000</f>
        <v>-24.531758191787802</v>
      </c>
    </row>
    <row r="101" spans="1:20" x14ac:dyDescent="0.25">
      <c r="A101" s="5">
        <v>44492</v>
      </c>
      <c r="B101">
        <v>0.3604</v>
      </c>
      <c r="C101">
        <v>0.37530000000000002</v>
      </c>
      <c r="D101">
        <v>0.35549999999999998</v>
      </c>
      <c r="E101">
        <v>0.36609999999999998</v>
      </c>
      <c r="F101">
        <v>81244473</v>
      </c>
      <c r="G101">
        <v>0.36609999999999998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7.0707070707068387E-2</v>
      </c>
      <c r="Q101">
        <f t="shared" ref="Q101" si="481">F101*P101</f>
        <v>5744558.6969695082</v>
      </c>
      <c r="R101">
        <f t="shared" ref="R101" si="482">R102+Q101</f>
        <v>-2434686462.283473</v>
      </c>
      <c r="S101">
        <f t="shared" ref="S101" si="483">R101/100000</f>
        <v>-24346.864622834732</v>
      </c>
      <c r="T101">
        <f t="shared" ref="T101" si="484">S101/1000</f>
        <v>-24.346864622834733</v>
      </c>
    </row>
    <row r="102" spans="1:20" x14ac:dyDescent="0.25">
      <c r="A102" s="5">
        <v>44491</v>
      </c>
      <c r="B102">
        <v>0.34789999999999999</v>
      </c>
      <c r="C102">
        <v>0.3896</v>
      </c>
      <c r="D102">
        <v>0.3463</v>
      </c>
      <c r="E102">
        <v>0.3604</v>
      </c>
      <c r="F102">
        <v>92461766</v>
      </c>
      <c r="G102">
        <v>0.3604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-0.34872979214780603</v>
      </c>
      <c r="Q102">
        <f t="shared" ref="Q102" si="486">F102*P102</f>
        <v>-32244172.43879908</v>
      </c>
      <c r="R102">
        <f t="shared" ref="R102" si="487">R103+Q102</f>
        <v>-2440431020.9804425</v>
      </c>
      <c r="S102">
        <f t="shared" ref="S102" si="488">R102/100000</f>
        <v>-24404.310209804426</v>
      </c>
      <c r="T102">
        <f t="shared" ref="T102" si="489">S102/1000</f>
        <v>-24.404310209804425</v>
      </c>
    </row>
    <row r="103" spans="1:20" x14ac:dyDescent="0.25">
      <c r="A103" s="5">
        <v>44490</v>
      </c>
      <c r="B103">
        <v>0.36109999999999998</v>
      </c>
      <c r="C103">
        <v>0.37519999999999998</v>
      </c>
      <c r="D103">
        <v>0.34439999999999998</v>
      </c>
      <c r="E103">
        <v>0.34789999999999999</v>
      </c>
      <c r="F103">
        <v>36232326</v>
      </c>
      <c r="G103">
        <v>0.34789999999999999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-0.77272727272727249</v>
      </c>
      <c r="Q103">
        <f t="shared" ref="Q103" si="491">F103*P103</f>
        <v>-27997706.454545446</v>
      </c>
      <c r="R103">
        <f t="shared" ref="R103" si="492">R104+Q103</f>
        <v>-2408186848.5416436</v>
      </c>
      <c r="S103">
        <f t="shared" ref="S103" si="493">R103/100000</f>
        <v>-24081.868485416435</v>
      </c>
      <c r="T103">
        <f t="shared" ref="T103" si="494">S103/1000</f>
        <v>-24.081868485416436</v>
      </c>
    </row>
    <row r="104" spans="1:20" x14ac:dyDescent="0.25">
      <c r="A104" s="5">
        <v>44489</v>
      </c>
      <c r="B104">
        <v>0.3473</v>
      </c>
      <c r="C104">
        <v>0.371</v>
      </c>
      <c r="D104">
        <v>0.34189999999999998</v>
      </c>
      <c r="E104">
        <v>0.36099999999999999</v>
      </c>
      <c r="F104">
        <v>27013639</v>
      </c>
      <c r="G104">
        <v>0.36099999999999999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0.31271477663230213</v>
      </c>
      <c r="Q104">
        <f t="shared" ref="Q104" si="496">F104*P104</f>
        <v>8447564.0859106462</v>
      </c>
      <c r="R104">
        <f t="shared" ref="R104" si="497">R105+Q104</f>
        <v>-2380189142.0870981</v>
      </c>
      <c r="S104">
        <f t="shared" ref="S104" si="498">R104/100000</f>
        <v>-23801.891420870983</v>
      </c>
      <c r="T104">
        <f t="shared" ref="T104" si="499">S104/1000</f>
        <v>-23.801891420870984</v>
      </c>
    </row>
    <row r="105" spans="1:20" x14ac:dyDescent="0.25">
      <c r="A105" s="5">
        <v>44488</v>
      </c>
      <c r="B105">
        <v>0.34210000000000002</v>
      </c>
      <c r="C105">
        <v>0.35720000000000002</v>
      </c>
      <c r="D105">
        <v>0.33660000000000001</v>
      </c>
      <c r="E105">
        <v>0.34710000000000002</v>
      </c>
      <c r="F105">
        <v>20768263</v>
      </c>
      <c r="G105">
        <v>0.34710000000000002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1.941747572815589E-2</v>
      </c>
      <c r="Q105">
        <f t="shared" ref="Q105" si="501">F105*P105</f>
        <v>403267.242718458</v>
      </c>
      <c r="R105">
        <f t="shared" ref="R105" si="502">R106+Q105</f>
        <v>-2388636706.1730089</v>
      </c>
      <c r="S105">
        <f t="shared" ref="S105" si="503">R105/100000</f>
        <v>-23886.367061730089</v>
      </c>
      <c r="T105">
        <f t="shared" ref="T105" si="504">S105/1000</f>
        <v>-23.886367061730088</v>
      </c>
    </row>
    <row r="106" spans="1:20" x14ac:dyDescent="0.25">
      <c r="A106" s="5">
        <v>44487</v>
      </c>
      <c r="B106">
        <v>0.35060000000000002</v>
      </c>
      <c r="C106">
        <v>0.36220000000000002</v>
      </c>
      <c r="D106">
        <v>0.33689999999999998</v>
      </c>
      <c r="E106">
        <v>0.34210000000000002</v>
      </c>
      <c r="F106">
        <v>33236730</v>
      </c>
      <c r="G106">
        <v>0.34210000000000002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-0.58893280632410838</v>
      </c>
      <c r="Q106">
        <f t="shared" ref="Q106" si="506">F106*P106</f>
        <v>-19574200.671936683</v>
      </c>
      <c r="R106">
        <f t="shared" ref="R106" si="507">R107+Q106</f>
        <v>-2389039973.4157271</v>
      </c>
      <c r="S106">
        <f t="shared" ref="S106" si="508">R106/100000</f>
        <v>-23890.399734157272</v>
      </c>
      <c r="T106">
        <f t="shared" ref="T106" si="509">S106/1000</f>
        <v>-23.89039973415727</v>
      </c>
    </row>
    <row r="107" spans="1:20" x14ac:dyDescent="0.25">
      <c r="A107" s="5">
        <v>44486</v>
      </c>
      <c r="B107">
        <v>0.36309999999999998</v>
      </c>
      <c r="C107">
        <v>0.37569999999999998</v>
      </c>
      <c r="D107">
        <v>0.33510000000000001</v>
      </c>
      <c r="E107">
        <v>0.35049999999999998</v>
      </c>
      <c r="F107">
        <v>43279927</v>
      </c>
      <c r="G107">
        <v>0.35049999999999998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-0.24137931034482854</v>
      </c>
      <c r="Q107">
        <f t="shared" ref="Q107" si="511">F107*P107</f>
        <v>-10446878.931034524</v>
      </c>
      <c r="R107">
        <f t="shared" ref="R107" si="512">R108+Q107</f>
        <v>-2369465772.7437906</v>
      </c>
      <c r="S107">
        <f t="shared" ref="S107" si="513">R107/100000</f>
        <v>-23694.657727437905</v>
      </c>
      <c r="T107">
        <f t="shared" ref="T107" si="514">S107/1000</f>
        <v>-23.694657727437907</v>
      </c>
    </row>
    <row r="108" spans="1:20" x14ac:dyDescent="0.25">
      <c r="A108" s="5">
        <v>44485</v>
      </c>
      <c r="B108">
        <v>0.36649999999999999</v>
      </c>
      <c r="C108">
        <v>0.42109999999999997</v>
      </c>
      <c r="D108">
        <v>0.36159999999999998</v>
      </c>
      <c r="E108">
        <v>0.36330000000000001</v>
      </c>
      <c r="F108">
        <v>136758653</v>
      </c>
      <c r="G108">
        <v>0.36330000000000001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-0.94285714285714173</v>
      </c>
      <c r="Q108">
        <f t="shared" ref="Q108" si="516">F108*P108</f>
        <v>-128943872.82857127</v>
      </c>
      <c r="R108">
        <f t="shared" ref="R108" si="517">R109+Q108</f>
        <v>-2359018893.8127561</v>
      </c>
      <c r="S108">
        <f t="shared" ref="S108" si="518">R108/100000</f>
        <v>-23590.188938127561</v>
      </c>
      <c r="T108">
        <f t="shared" ref="T108" si="519">S108/1000</f>
        <v>-23.590188938127561</v>
      </c>
    </row>
    <row r="109" spans="1:20" x14ac:dyDescent="0.25">
      <c r="A109" s="5">
        <v>44484</v>
      </c>
      <c r="B109">
        <v>0.33460000000000001</v>
      </c>
      <c r="C109">
        <v>0.37259999999999999</v>
      </c>
      <c r="D109">
        <v>0.31669999999999998</v>
      </c>
      <c r="E109">
        <v>0.36649999999999999</v>
      </c>
      <c r="F109">
        <v>70442514</v>
      </c>
      <c r="G109">
        <v>0.36649999999999999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0.78175313059034013</v>
      </c>
      <c r="Q109">
        <f t="shared" ref="Q109" si="521">F109*P109</f>
        <v>55068655.846153863</v>
      </c>
      <c r="R109">
        <f t="shared" ref="R109" si="522">R110+Q109</f>
        <v>-2230075020.9841847</v>
      </c>
      <c r="S109">
        <f t="shared" ref="S109" si="523">R109/100000</f>
        <v>-22300.750209841848</v>
      </c>
      <c r="T109">
        <f t="shared" ref="T109" si="524">S109/1000</f>
        <v>-22.300750209841848</v>
      </c>
    </row>
    <row r="110" spans="1:20" x14ac:dyDescent="0.25">
      <c r="A110" s="5">
        <v>44483</v>
      </c>
      <c r="B110">
        <v>0.33760000000000001</v>
      </c>
      <c r="C110">
        <v>0.35449999999999998</v>
      </c>
      <c r="D110">
        <v>0.33229999999999998</v>
      </c>
      <c r="E110">
        <v>0.33460000000000001</v>
      </c>
      <c r="F110">
        <v>38529637</v>
      </c>
      <c r="G110">
        <v>0.33460000000000001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-0.79279279279279058</v>
      </c>
      <c r="Q110">
        <f t="shared" ref="Q110" si="526">F110*P110</f>
        <v>-30546018.522522438</v>
      </c>
      <c r="R110">
        <f t="shared" ref="R110" si="527">R111+Q110</f>
        <v>-2285143676.8303385</v>
      </c>
      <c r="S110">
        <f t="shared" ref="S110" si="528">R110/100000</f>
        <v>-22851.436768303385</v>
      </c>
      <c r="T110">
        <f t="shared" ref="T110" si="529">S110/1000</f>
        <v>-22.851436768303387</v>
      </c>
    </row>
    <row r="111" spans="1:20" x14ac:dyDescent="0.25">
      <c r="A111" s="5">
        <v>44482</v>
      </c>
      <c r="B111">
        <v>0.32629999999999998</v>
      </c>
      <c r="C111">
        <v>0.3427</v>
      </c>
      <c r="D111">
        <v>0.31840000000000002</v>
      </c>
      <c r="E111">
        <v>0.3377</v>
      </c>
      <c r="F111">
        <v>45864736</v>
      </c>
      <c r="G111">
        <v>0.3377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0.58847736625514346</v>
      </c>
      <c r="Q111">
        <f t="shared" ref="Q111" si="531">F111*P111</f>
        <v>26990359.045267463</v>
      </c>
      <c r="R111">
        <f t="shared" ref="R111" si="532">R112+Q111</f>
        <v>-2254597658.307816</v>
      </c>
      <c r="S111">
        <f t="shared" ref="S111" si="533">R111/100000</f>
        <v>-22545.976583078162</v>
      </c>
      <c r="T111">
        <f t="shared" ref="T111" si="534">S111/1000</f>
        <v>-22.545976583078161</v>
      </c>
    </row>
    <row r="112" spans="1:20" x14ac:dyDescent="0.25">
      <c r="A112" s="5">
        <v>44481</v>
      </c>
      <c r="B112">
        <v>0.33069999999999999</v>
      </c>
      <c r="C112">
        <v>0.33179999999999998</v>
      </c>
      <c r="D112">
        <v>0.3009</v>
      </c>
      <c r="E112">
        <v>0.32629999999999998</v>
      </c>
      <c r="F112">
        <v>39314150</v>
      </c>
      <c r="G112">
        <v>0.32629999999999998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0.64401294498381823</v>
      </c>
      <c r="Q112">
        <f t="shared" ref="Q112" si="536">F112*P112</f>
        <v>25318821.521035578</v>
      </c>
      <c r="R112">
        <f t="shared" ref="R112" si="537">R113+Q112</f>
        <v>-2281588017.3530836</v>
      </c>
      <c r="S112">
        <f t="shared" ref="S112" si="538">R112/100000</f>
        <v>-22815.880173530837</v>
      </c>
      <c r="T112">
        <f t="shared" ref="T112" si="539">S112/1000</f>
        <v>-22.815880173530836</v>
      </c>
    </row>
    <row r="113" spans="1:20" x14ac:dyDescent="0.25">
      <c r="A113" s="5">
        <v>44480</v>
      </c>
      <c r="B113">
        <v>0.318</v>
      </c>
      <c r="C113">
        <v>0.33339999999999997</v>
      </c>
      <c r="D113">
        <v>0.30909999999999999</v>
      </c>
      <c r="E113">
        <v>0.33110000000000001</v>
      </c>
      <c r="F113">
        <v>28089268</v>
      </c>
      <c r="G113">
        <v>0.33110000000000001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0.81069958847736878</v>
      </c>
      <c r="Q113">
        <f t="shared" ref="Q113" si="541">F113*P113</f>
        <v>22771958.008230522</v>
      </c>
      <c r="R113">
        <f t="shared" ref="R113" si="542">R114+Q113</f>
        <v>-2306906838.8741193</v>
      </c>
      <c r="S113">
        <f t="shared" ref="S113" si="543">R113/100000</f>
        <v>-23069.068388741194</v>
      </c>
      <c r="T113">
        <f t="shared" ref="T113" si="544">S113/1000</f>
        <v>-23.069068388741194</v>
      </c>
    </row>
    <row r="114" spans="1:20" x14ac:dyDescent="0.25">
      <c r="A114" s="5">
        <v>44479</v>
      </c>
      <c r="B114">
        <v>0.3407</v>
      </c>
      <c r="C114">
        <v>0.34129999999999999</v>
      </c>
      <c r="D114">
        <v>0.31619999999999998</v>
      </c>
      <c r="E114">
        <v>0.318</v>
      </c>
      <c r="F114">
        <v>25705305</v>
      </c>
      <c r="G114">
        <v>0.318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-0.856573705179281</v>
      </c>
      <c r="Q114">
        <f t="shared" ref="Q114" si="546">F114*P114</f>
        <v>-22018488.346613497</v>
      </c>
      <c r="R114">
        <f t="shared" ref="R114" si="547">R115+Q114</f>
        <v>-2329678796.88235</v>
      </c>
      <c r="S114">
        <f t="shared" ref="S114" si="548">R114/100000</f>
        <v>-23296.787968823501</v>
      </c>
      <c r="T114">
        <f t="shared" ref="T114" si="549">S114/1000</f>
        <v>-23.296787968823502</v>
      </c>
    </row>
    <row r="115" spans="1:20" x14ac:dyDescent="0.25">
      <c r="A115" s="5">
        <v>44478</v>
      </c>
      <c r="B115">
        <v>0.34010000000000001</v>
      </c>
      <c r="C115">
        <v>0.34949999999999998</v>
      </c>
      <c r="D115">
        <v>0.33579999999999999</v>
      </c>
      <c r="E115">
        <v>0.34060000000000001</v>
      </c>
      <c r="F115">
        <v>28018929</v>
      </c>
      <c r="G115">
        <v>0.34060000000000001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-0.29927007299269637</v>
      </c>
      <c r="Q115">
        <f t="shared" ref="Q115" si="551">F115*P115</f>
        <v>-8385226.9270071769</v>
      </c>
      <c r="R115">
        <f t="shared" ref="R115" si="552">R116+Q115</f>
        <v>-2307660308.5357366</v>
      </c>
      <c r="S115">
        <f t="shared" ref="S115" si="553">R115/100000</f>
        <v>-23076.603085357365</v>
      </c>
      <c r="T115">
        <f t="shared" ref="T115" si="554">S115/1000</f>
        <v>-23.076603085357366</v>
      </c>
    </row>
    <row r="116" spans="1:20" x14ac:dyDescent="0.25">
      <c r="A116" s="5">
        <v>44477</v>
      </c>
      <c r="B116">
        <v>0.35880000000000001</v>
      </c>
      <c r="C116">
        <v>0.3649</v>
      </c>
      <c r="D116">
        <v>0.3382</v>
      </c>
      <c r="E116">
        <v>0.34010000000000001</v>
      </c>
      <c r="F116">
        <v>39964501</v>
      </c>
      <c r="G116">
        <v>0.34010000000000001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-0.85767790262172194</v>
      </c>
      <c r="Q116">
        <f t="shared" ref="Q116" si="556">F116*P116</f>
        <v>-34276669.39700371</v>
      </c>
      <c r="R116">
        <f t="shared" ref="R116" si="557">R117+Q116</f>
        <v>-2299275081.6087294</v>
      </c>
      <c r="S116">
        <f t="shared" ref="S116" si="558">R116/100000</f>
        <v>-22992.750816087293</v>
      </c>
      <c r="T116">
        <f t="shared" ref="T116" si="559">S116/1000</f>
        <v>-22.992750816087295</v>
      </c>
    </row>
    <row r="117" spans="1:20" x14ac:dyDescent="0.25">
      <c r="A117" s="5">
        <v>44476</v>
      </c>
      <c r="B117">
        <v>0.34139999999999998</v>
      </c>
      <c r="C117">
        <v>0.39040000000000002</v>
      </c>
      <c r="D117">
        <v>0.32929999999999998</v>
      </c>
      <c r="E117">
        <v>0.35859999999999997</v>
      </c>
      <c r="F117">
        <v>82495557</v>
      </c>
      <c r="G117">
        <v>0.35859999999999997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-4.0916530278233325E-2</v>
      </c>
      <c r="Q117">
        <f t="shared" ref="Q117" si="561">F117*P117</f>
        <v>-3375431.9558102232</v>
      </c>
      <c r="R117">
        <f t="shared" ref="R117" si="562">R118+Q117</f>
        <v>-2264998412.2117257</v>
      </c>
      <c r="S117">
        <f t="shared" ref="S117" si="563">R117/100000</f>
        <v>-22649.984122117257</v>
      </c>
      <c r="T117">
        <f t="shared" ref="T117" si="564">S117/1000</f>
        <v>-22.649984122117257</v>
      </c>
    </row>
    <row r="118" spans="1:20" x14ac:dyDescent="0.25">
      <c r="A118" s="5">
        <v>44475</v>
      </c>
      <c r="B118">
        <v>0.34560000000000002</v>
      </c>
      <c r="C118">
        <v>0.3634</v>
      </c>
      <c r="D118">
        <v>0.3251</v>
      </c>
      <c r="E118">
        <v>0.34139999999999998</v>
      </c>
      <c r="F118">
        <v>57094157</v>
      </c>
      <c r="G118">
        <v>0.34139999999999998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-0.14882506527415243</v>
      </c>
      <c r="Q118">
        <f t="shared" ref="Q118" si="566">F118*P118</f>
        <v>-8497041.6422977075</v>
      </c>
      <c r="R118">
        <f t="shared" ref="R118" si="567">R119+Q118</f>
        <v>-2261622980.2559156</v>
      </c>
      <c r="S118">
        <f t="shared" ref="S118" si="568">R118/100000</f>
        <v>-22616.229802559155</v>
      </c>
      <c r="T118">
        <f t="shared" ref="T118" si="569">S118/1000</f>
        <v>-22.616229802559154</v>
      </c>
    </row>
    <row r="119" spans="1:20" x14ac:dyDescent="0.25">
      <c r="A119" s="5">
        <v>44474</v>
      </c>
      <c r="B119">
        <v>0.33229999999999998</v>
      </c>
      <c r="C119">
        <v>0.35799999999999998</v>
      </c>
      <c r="D119">
        <v>0.3286</v>
      </c>
      <c r="E119">
        <v>0.34599999999999997</v>
      </c>
      <c r="F119">
        <v>47706675</v>
      </c>
      <c r="G119">
        <v>0.34599999999999997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0.18367346938775386</v>
      </c>
      <c r="Q119">
        <f t="shared" ref="Q119" si="571">F119*P119</f>
        <v>8762450.5102040228</v>
      </c>
      <c r="R119">
        <f t="shared" ref="R119" si="572">R120+Q119</f>
        <v>-2253125938.6136179</v>
      </c>
      <c r="S119">
        <f t="shared" ref="S119" si="573">R119/100000</f>
        <v>-22531.259386136178</v>
      </c>
      <c r="T119">
        <f t="shared" ref="T119" si="574">S119/1000</f>
        <v>-22.531259386136178</v>
      </c>
    </row>
    <row r="120" spans="1:20" x14ac:dyDescent="0.25">
      <c r="A120" s="5">
        <v>44473</v>
      </c>
      <c r="B120">
        <v>0.3473</v>
      </c>
      <c r="C120">
        <v>0.3538</v>
      </c>
      <c r="D120">
        <v>0.3226</v>
      </c>
      <c r="E120">
        <v>0.33260000000000001</v>
      </c>
      <c r="F120">
        <v>68939054</v>
      </c>
      <c r="G120">
        <v>0.33260000000000001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-0.35897435897435853</v>
      </c>
      <c r="Q120">
        <f t="shared" ref="Q120" si="576">F120*P120</f>
        <v>-24747352.717948686</v>
      </c>
      <c r="R120">
        <f t="shared" ref="R120" si="577">R121+Q120</f>
        <v>-2261888389.1238217</v>
      </c>
      <c r="S120">
        <f t="shared" ref="S120" si="578">R120/100000</f>
        <v>-22618.883891238216</v>
      </c>
      <c r="T120">
        <f t="shared" ref="T120" si="579">S120/1000</f>
        <v>-22.618883891238216</v>
      </c>
    </row>
    <row r="121" spans="1:20" x14ac:dyDescent="0.25">
      <c r="A121" s="5">
        <v>44472</v>
      </c>
      <c r="B121">
        <v>0.3211</v>
      </c>
      <c r="C121">
        <v>0.36749999999999999</v>
      </c>
      <c r="D121">
        <v>0.31180000000000002</v>
      </c>
      <c r="E121">
        <v>0.3448</v>
      </c>
      <c r="F121">
        <v>70501396</v>
      </c>
      <c r="G121">
        <v>0.3448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0.18491921005385961</v>
      </c>
      <c r="Q121">
        <f t="shared" ref="Q121" si="581">F121*P121</f>
        <v>13037062.456014337</v>
      </c>
      <c r="R121">
        <f t="shared" ref="R121" si="582">R122+Q121</f>
        <v>-2237141036.4058728</v>
      </c>
      <c r="S121">
        <f t="shared" ref="S121" si="583">R121/100000</f>
        <v>-22371.410364058727</v>
      </c>
      <c r="T121">
        <f t="shared" ref="T121" si="584">S121/1000</f>
        <v>-22.371410364058729</v>
      </c>
    </row>
    <row r="122" spans="1:20" x14ac:dyDescent="0.25">
      <c r="A122" s="5">
        <v>44471</v>
      </c>
      <c r="B122">
        <v>0.3367</v>
      </c>
      <c r="C122">
        <v>0.34010000000000001</v>
      </c>
      <c r="D122">
        <v>0.31680000000000003</v>
      </c>
      <c r="E122">
        <v>0.32090000000000002</v>
      </c>
      <c r="F122">
        <v>44221051</v>
      </c>
      <c r="G122">
        <v>0.32090000000000002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-0.64806866952789743</v>
      </c>
      <c r="Q122">
        <f t="shared" ref="Q122" si="586">F122*P122</f>
        <v>-28658277.6866953</v>
      </c>
      <c r="R122">
        <f t="shared" ref="R122" si="587">R123+Q122</f>
        <v>-2250178098.861887</v>
      </c>
      <c r="S122">
        <f t="shared" ref="S122" si="588">R122/100000</f>
        <v>-22501.78098861887</v>
      </c>
      <c r="T122">
        <f t="shared" ref="T122" si="589">S122/1000</f>
        <v>-22.501780988618869</v>
      </c>
    </row>
    <row r="123" spans="1:20" x14ac:dyDescent="0.25">
      <c r="A123" s="5">
        <v>44470</v>
      </c>
      <c r="B123">
        <v>0.29060000000000002</v>
      </c>
      <c r="C123">
        <v>0.33950000000000002</v>
      </c>
      <c r="D123">
        <v>0.28410000000000002</v>
      </c>
      <c r="E123">
        <v>0.33639999999999998</v>
      </c>
      <c r="F123">
        <v>77402608</v>
      </c>
      <c r="G123">
        <v>0.33639999999999998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0.88808664259927628</v>
      </c>
      <c r="Q123">
        <f t="shared" ref="Q123" si="591">F123*P123</f>
        <v>68740222.267147884</v>
      </c>
      <c r="R123">
        <f t="shared" ref="R123" si="592">R124+Q123</f>
        <v>-2221519821.1751919</v>
      </c>
      <c r="S123">
        <f t="shared" ref="S123" si="593">R123/100000</f>
        <v>-22215.198211751918</v>
      </c>
      <c r="T123">
        <f t="shared" ref="T123" si="594">S123/1000</f>
        <v>-22.215198211751918</v>
      </c>
    </row>
    <row r="124" spans="1:20" x14ac:dyDescent="0.25">
      <c r="A124" s="5">
        <v>44469</v>
      </c>
      <c r="B124">
        <v>0.26429999999999998</v>
      </c>
      <c r="C124">
        <v>0.30449999999999999</v>
      </c>
      <c r="D124">
        <v>0.26269999999999999</v>
      </c>
      <c r="E124">
        <v>0.29049999999999998</v>
      </c>
      <c r="F124">
        <v>80048810</v>
      </c>
      <c r="G124">
        <v>0.29049999999999998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0.33014354066985591</v>
      </c>
      <c r="Q124">
        <f t="shared" ref="Q124" si="596">F124*P124</f>
        <v>26427597.559808567</v>
      </c>
      <c r="R124">
        <f t="shared" ref="R124" si="597">R125+Q124</f>
        <v>-2290260043.4423399</v>
      </c>
      <c r="S124">
        <f t="shared" ref="S124" si="598">R124/100000</f>
        <v>-22902.600434423399</v>
      </c>
      <c r="T124">
        <f t="shared" ref="T124" si="599">S124/1000</f>
        <v>-22.902600434423398</v>
      </c>
    </row>
    <row r="125" spans="1:20" x14ac:dyDescent="0.25">
      <c r="A125" s="5">
        <v>44468</v>
      </c>
      <c r="B125">
        <v>0.2535</v>
      </c>
      <c r="C125">
        <v>0.29680000000000001</v>
      </c>
      <c r="D125">
        <v>0.25169999999999998</v>
      </c>
      <c r="E125">
        <v>0.2641</v>
      </c>
      <c r="F125">
        <v>78579717</v>
      </c>
      <c r="G125">
        <v>0.2641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-0.45011086474501044</v>
      </c>
      <c r="Q125">
        <f t="shared" ref="Q125" si="601">F125*P125</f>
        <v>-35369584.370288201</v>
      </c>
      <c r="R125">
        <f t="shared" ref="R125" si="602">R126+Q125</f>
        <v>-2316687641.0021486</v>
      </c>
      <c r="S125">
        <f t="shared" ref="S125" si="603">R125/100000</f>
        <v>-23166.876410021487</v>
      </c>
      <c r="T125">
        <f t="shared" ref="T125" si="604">S125/1000</f>
        <v>-23.166876410021487</v>
      </c>
    </row>
    <row r="126" spans="1:20" x14ac:dyDescent="0.25">
      <c r="A126" s="5">
        <v>44467</v>
      </c>
      <c r="B126">
        <v>0.26369999999999999</v>
      </c>
      <c r="C126">
        <v>0.27079999999999999</v>
      </c>
      <c r="D126">
        <v>0.252</v>
      </c>
      <c r="E126">
        <v>0.25369999999999998</v>
      </c>
      <c r="F126">
        <v>35590051</v>
      </c>
      <c r="G126">
        <v>0.25369999999999998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-0.81914893617021478</v>
      </c>
      <c r="Q126">
        <f t="shared" ref="Q126" si="606">F126*P126</f>
        <v>-29153552.41489369</v>
      </c>
      <c r="R126">
        <f t="shared" ref="R126" si="607">R127+Q126</f>
        <v>-2281318056.6318603</v>
      </c>
      <c r="S126">
        <f t="shared" ref="S126" si="608">R126/100000</f>
        <v>-22813.180566318602</v>
      </c>
      <c r="T126">
        <f t="shared" ref="T126" si="609">S126/1000</f>
        <v>-22.813180566318604</v>
      </c>
    </row>
    <row r="127" spans="1:20" x14ac:dyDescent="0.25">
      <c r="A127" s="5">
        <v>44466</v>
      </c>
      <c r="B127">
        <v>0.2606</v>
      </c>
      <c r="C127">
        <v>0.28560000000000002</v>
      </c>
      <c r="D127">
        <v>0.25729999999999997</v>
      </c>
      <c r="E127">
        <v>0.2636</v>
      </c>
      <c r="F127">
        <v>57183847</v>
      </c>
      <c r="G127">
        <v>0.2636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-0.55477031802120025</v>
      </c>
      <c r="Q127">
        <f t="shared" ref="Q127" si="611">F127*P127</f>
        <v>-31723900.985865656</v>
      </c>
      <c r="R127">
        <f t="shared" ref="R127" si="612">R128+Q127</f>
        <v>-2252164504.2169666</v>
      </c>
      <c r="S127">
        <f t="shared" ref="S127" si="613">R127/100000</f>
        <v>-22521.645042169665</v>
      </c>
      <c r="T127">
        <f t="shared" ref="T127" si="614">S127/1000</f>
        <v>-22.521645042169663</v>
      </c>
    </row>
    <row r="128" spans="1:20" x14ac:dyDescent="0.25">
      <c r="A128" s="5">
        <v>44465</v>
      </c>
      <c r="B128">
        <v>0.28070000000000001</v>
      </c>
      <c r="C128">
        <v>0.28120000000000001</v>
      </c>
      <c r="D128">
        <v>0.2407</v>
      </c>
      <c r="E128">
        <v>0.26079999999999998</v>
      </c>
      <c r="F128">
        <v>99111896</v>
      </c>
      <c r="G128">
        <v>0.26079999999999998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-7.4074074074086463E-3</v>
      </c>
      <c r="Q128">
        <f t="shared" ref="Q128" si="616">F128*P128</f>
        <v>-734162.19259271538</v>
      </c>
      <c r="R128">
        <f t="shared" ref="R128" si="617">R129+Q128</f>
        <v>-2220440603.231101</v>
      </c>
      <c r="S128">
        <f t="shared" ref="S128" si="618">R128/100000</f>
        <v>-22204.40603231101</v>
      </c>
      <c r="T128">
        <f t="shared" ref="T128" si="619">S128/1000</f>
        <v>-22.20440603231101</v>
      </c>
    </row>
    <row r="129" spans="1:20" x14ac:dyDescent="0.25">
      <c r="A129" s="5">
        <v>44464</v>
      </c>
      <c r="B129">
        <v>0.28220000000000001</v>
      </c>
      <c r="C129">
        <v>0.29320000000000002</v>
      </c>
      <c r="D129">
        <v>0.27079999999999999</v>
      </c>
      <c r="E129">
        <v>0.28100000000000003</v>
      </c>
      <c r="F129">
        <v>38726107</v>
      </c>
      <c r="G129">
        <v>0.28100000000000003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-8.9285714285711762E-2</v>
      </c>
      <c r="Q129">
        <f t="shared" ref="Q129" si="621">F129*P129</f>
        <v>-3457688.1249999022</v>
      </c>
      <c r="R129">
        <f t="shared" ref="R129" si="622">R130+Q129</f>
        <v>-2219706441.0385084</v>
      </c>
      <c r="S129">
        <f t="shared" ref="S129" si="623">R129/100000</f>
        <v>-22197.064410385083</v>
      </c>
      <c r="T129">
        <f t="shared" ref="T129" si="624">S129/1000</f>
        <v>-22.197064410385082</v>
      </c>
    </row>
    <row r="130" spans="1:20" x14ac:dyDescent="0.25">
      <c r="A130" s="5">
        <v>44463</v>
      </c>
      <c r="B130">
        <v>0.31169999999999998</v>
      </c>
      <c r="C130">
        <v>0.31380000000000002</v>
      </c>
      <c r="D130">
        <v>0.26729999999999998</v>
      </c>
      <c r="E130">
        <v>0.28239999999999998</v>
      </c>
      <c r="F130">
        <v>64781273</v>
      </c>
      <c r="G130">
        <v>0.28239999999999998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-0.35053763440860264</v>
      </c>
      <c r="Q130">
        <f t="shared" ref="Q130" si="626">F130*P130</f>
        <v>-22708274.191397879</v>
      </c>
      <c r="R130">
        <f t="shared" ref="R130" si="627">R131+Q130</f>
        <v>-2216248752.9135084</v>
      </c>
      <c r="S130">
        <f t="shared" ref="S130" si="628">R130/100000</f>
        <v>-22162.487529135084</v>
      </c>
      <c r="T130">
        <f t="shared" ref="T130" si="629">S130/1000</f>
        <v>-22.162487529135085</v>
      </c>
    </row>
    <row r="131" spans="1:20" x14ac:dyDescent="0.25">
      <c r="A131" s="5">
        <v>44462</v>
      </c>
      <c r="B131">
        <v>0.30559999999999998</v>
      </c>
      <c r="C131">
        <v>0.31909999999999999</v>
      </c>
      <c r="D131">
        <v>0.29930000000000001</v>
      </c>
      <c r="E131">
        <v>0.31180000000000002</v>
      </c>
      <c r="F131">
        <v>39969332</v>
      </c>
      <c r="G131">
        <v>0.31180000000000002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0.26262626262626476</v>
      </c>
      <c r="Q131">
        <f t="shared" ref="Q131" si="631">F131*P131</f>
        <v>10496996.282828368</v>
      </c>
      <c r="R131">
        <f t="shared" ref="R131" si="632">R132+Q131</f>
        <v>-2193540478.7221107</v>
      </c>
      <c r="S131">
        <f t="shared" ref="S131" si="633">R131/100000</f>
        <v>-21935.404787221109</v>
      </c>
      <c r="T131">
        <f t="shared" ref="T131" si="634">S131/1000</f>
        <v>-21.93540478722111</v>
      </c>
    </row>
    <row r="132" spans="1:20" x14ac:dyDescent="0.25">
      <c r="A132" s="5">
        <v>44461</v>
      </c>
      <c r="B132">
        <v>0.25869999999999999</v>
      </c>
      <c r="C132">
        <v>0.31</v>
      </c>
      <c r="D132">
        <v>0.25219999999999998</v>
      </c>
      <c r="E132">
        <v>0.30549999999999999</v>
      </c>
      <c r="F132">
        <v>99280662</v>
      </c>
      <c r="G132">
        <v>0.30549999999999999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0.84429065743944631</v>
      </c>
      <c r="Q132">
        <f t="shared" ref="Q132" si="636">F132*P132</f>
        <v>83821735.39100346</v>
      </c>
      <c r="R132">
        <f t="shared" ref="R132" si="637">R133+Q132</f>
        <v>-2204037475.0049391</v>
      </c>
      <c r="S132">
        <f t="shared" ref="S132" si="638">R132/100000</f>
        <v>-22040.374750049392</v>
      </c>
      <c r="T132">
        <f t="shared" ref="T132" si="639">S132/1000</f>
        <v>-22.040374750049391</v>
      </c>
    </row>
    <row r="133" spans="1:20" x14ac:dyDescent="0.25">
      <c r="A133" s="5">
        <v>44460</v>
      </c>
      <c r="B133">
        <v>0.27329999999999999</v>
      </c>
      <c r="C133">
        <v>0.2838</v>
      </c>
      <c r="D133">
        <v>0.245</v>
      </c>
      <c r="E133">
        <v>0.25819999999999999</v>
      </c>
      <c r="F133">
        <v>76419000.799999997</v>
      </c>
      <c r="G133">
        <v>0.25819999999999999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-0.31958762886597997</v>
      </c>
      <c r="Q133">
        <f t="shared" ref="Q133" si="641">F133*P133</f>
        <v>-24422567.265979424</v>
      </c>
      <c r="R133">
        <f t="shared" ref="R133" si="642">R134+Q133</f>
        <v>-2287859210.3959427</v>
      </c>
      <c r="S133">
        <f t="shared" ref="S133" si="643">R133/100000</f>
        <v>-22878.592103959429</v>
      </c>
      <c r="T133">
        <f t="shared" ref="T133" si="644">S133/1000</f>
        <v>-22.878592103959427</v>
      </c>
    </row>
    <row r="134" spans="1:20" x14ac:dyDescent="0.25">
      <c r="A134" s="5">
        <v>44459</v>
      </c>
      <c r="B134">
        <v>0.32469999999999999</v>
      </c>
      <c r="C134">
        <v>0.32519999999999999</v>
      </c>
      <c r="D134">
        <v>0.28899999999999998</v>
      </c>
      <c r="E134">
        <v>0.2944</v>
      </c>
      <c r="F134">
        <v>40700526</v>
      </c>
      <c r="G134">
        <v>0.2944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-0.70165745856353512</v>
      </c>
      <c r="Q134">
        <f t="shared" ref="Q134" si="646">F134*P134</f>
        <v>-28557827.635359082</v>
      </c>
      <c r="R134">
        <f t="shared" ref="R134" si="647">R135+Q134</f>
        <v>-2263436643.1299634</v>
      </c>
      <c r="S134">
        <f t="shared" ref="S134" si="648">R134/100000</f>
        <v>-22634.366431299633</v>
      </c>
      <c r="T134">
        <f t="shared" ref="T134" si="649">S134/1000</f>
        <v>-22.634366431299632</v>
      </c>
    </row>
    <row r="135" spans="1:20" x14ac:dyDescent="0.25">
      <c r="A135" s="5">
        <v>44458</v>
      </c>
      <c r="B135">
        <v>0.33579999999999999</v>
      </c>
      <c r="C135">
        <v>0.33739999999999998</v>
      </c>
      <c r="D135">
        <v>0.31879999999999997</v>
      </c>
      <c r="E135">
        <v>0.3246</v>
      </c>
      <c r="F135">
        <v>31605844</v>
      </c>
      <c r="G135">
        <v>0.3246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-0.3763440860215026</v>
      </c>
      <c r="Q135">
        <f t="shared" ref="Q135" si="651">F135*P135</f>
        <v>-11894672.473118192</v>
      </c>
      <c r="R135">
        <f t="shared" ref="R135" si="652">R136+Q135</f>
        <v>-2234878815.4946041</v>
      </c>
      <c r="S135">
        <f t="shared" ref="S135" si="653">R135/100000</f>
        <v>-22348.78815494604</v>
      </c>
      <c r="T135">
        <f t="shared" ref="T135" si="654">S135/1000</f>
        <v>-22.348788154946039</v>
      </c>
    </row>
    <row r="136" spans="1:20" x14ac:dyDescent="0.25">
      <c r="A136" s="5">
        <v>44457</v>
      </c>
      <c r="B136">
        <v>0.3392</v>
      </c>
      <c r="C136">
        <v>0.35320000000000001</v>
      </c>
      <c r="D136">
        <v>0.33119999999999999</v>
      </c>
      <c r="E136">
        <v>0.33550000000000002</v>
      </c>
      <c r="F136">
        <v>41935386</v>
      </c>
      <c r="G136">
        <v>0.33550000000000002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-0.60909090909090702</v>
      </c>
      <c r="Q136">
        <f t="shared" ref="Q136" si="656">F136*P136</f>
        <v>-25542462.381818093</v>
      </c>
      <c r="R136">
        <f t="shared" ref="R136" si="657">R137+Q136</f>
        <v>-2222984143.0214858</v>
      </c>
      <c r="S136">
        <f t="shared" ref="S136" si="658">R136/100000</f>
        <v>-22229.841430214859</v>
      </c>
      <c r="T136">
        <f t="shared" ref="T136" si="659">S136/1000</f>
        <v>-22.229841430214858</v>
      </c>
    </row>
    <row r="137" spans="1:20" x14ac:dyDescent="0.25">
      <c r="A137" s="5">
        <v>44456</v>
      </c>
      <c r="B137">
        <v>0.34329999999999999</v>
      </c>
      <c r="C137">
        <v>0.378</v>
      </c>
      <c r="D137">
        <v>0.33400000000000002</v>
      </c>
      <c r="E137">
        <v>0.33929999999999999</v>
      </c>
      <c r="F137">
        <v>87461843</v>
      </c>
      <c r="G137">
        <v>0.33929999999999999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-0.75909090909091026</v>
      </c>
      <c r="Q137">
        <f t="shared" ref="Q137" si="661">F137*P137</f>
        <v>-66391489.913636468</v>
      </c>
      <c r="R137">
        <f t="shared" ref="R137" si="662">R138+Q137</f>
        <v>-2197441680.6396675</v>
      </c>
      <c r="S137">
        <f t="shared" ref="S137" si="663">R137/100000</f>
        <v>-21974.416806396675</v>
      </c>
      <c r="T137">
        <f t="shared" ref="T137" si="664">S137/1000</f>
        <v>-21.974416806396675</v>
      </c>
    </row>
    <row r="138" spans="1:20" x14ac:dyDescent="0.25">
      <c r="A138" s="5">
        <v>44455</v>
      </c>
      <c r="B138">
        <v>0.35120000000000001</v>
      </c>
      <c r="C138">
        <v>0.3649</v>
      </c>
      <c r="D138">
        <v>0.32750000000000001</v>
      </c>
      <c r="E138">
        <v>0.34350000000000003</v>
      </c>
      <c r="F138">
        <v>67542267</v>
      </c>
      <c r="G138">
        <v>0.34350000000000003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-0.14438502673796691</v>
      </c>
      <c r="Q138">
        <f t="shared" ref="Q138" si="666">F138*P138</f>
        <v>-9752092.0267379005</v>
      </c>
      <c r="R138">
        <f t="shared" ref="R138" si="667">R139+Q138</f>
        <v>-2131050190.7260311</v>
      </c>
      <c r="S138">
        <f t="shared" ref="S138" si="668">R138/100000</f>
        <v>-21310.50190726031</v>
      </c>
      <c r="T138">
        <f t="shared" ref="T138" si="669">S138/1000</f>
        <v>-21.31050190726031</v>
      </c>
    </row>
    <row r="139" spans="1:20" x14ac:dyDescent="0.25">
      <c r="A139" s="5">
        <v>44454</v>
      </c>
      <c r="B139">
        <v>0.31950000000000001</v>
      </c>
      <c r="C139">
        <v>0.35499999999999998</v>
      </c>
      <c r="D139">
        <v>0.31369999999999998</v>
      </c>
      <c r="E139">
        <v>0.35120000000000001</v>
      </c>
      <c r="F139">
        <v>68277656</v>
      </c>
      <c r="G139">
        <v>0.35120000000000001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0.81598062953995298</v>
      </c>
      <c r="Q139">
        <f t="shared" ref="Q139" si="671">F139*P139</f>
        <v>55713244.726392351</v>
      </c>
      <c r="R139">
        <f t="shared" ref="R139" si="672">R140+Q139</f>
        <v>-2121298098.6992931</v>
      </c>
      <c r="S139">
        <f t="shared" ref="S139" si="673">R139/100000</f>
        <v>-21212.98098699293</v>
      </c>
      <c r="T139">
        <f t="shared" ref="T139" si="674">S139/1000</f>
        <v>-21.212980986992932</v>
      </c>
    </row>
    <row r="140" spans="1:20" x14ac:dyDescent="0.25">
      <c r="A140" s="5">
        <v>44453</v>
      </c>
      <c r="B140">
        <v>0.313</v>
      </c>
      <c r="C140">
        <v>0.3241</v>
      </c>
      <c r="D140">
        <v>0.309</v>
      </c>
      <c r="E140">
        <v>0.31969999999999998</v>
      </c>
      <c r="F140">
        <v>42180079</v>
      </c>
      <c r="G140">
        <v>0.31969999999999998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0.41721854304635569</v>
      </c>
      <c r="Q140">
        <f t="shared" ref="Q140" si="676">F140*P140</f>
        <v>17598311.105960183</v>
      </c>
      <c r="R140">
        <f t="shared" ref="R140" si="677">R141+Q140</f>
        <v>-2177011343.4256854</v>
      </c>
      <c r="S140">
        <f t="shared" ref="S140" si="678">R140/100000</f>
        <v>-21770.113434256855</v>
      </c>
      <c r="T140">
        <f t="shared" ref="T140" si="679">S140/1000</f>
        <v>-21.770113434256857</v>
      </c>
    </row>
    <row r="141" spans="1:20" x14ac:dyDescent="0.25">
      <c r="A141" s="5">
        <v>44452</v>
      </c>
      <c r="B141">
        <v>0.33129999999999998</v>
      </c>
      <c r="C141">
        <v>0.33310000000000001</v>
      </c>
      <c r="D141">
        <v>0.28089999999999998</v>
      </c>
      <c r="E141">
        <v>0.313</v>
      </c>
      <c r="F141">
        <v>88134080.200000003</v>
      </c>
      <c r="G141">
        <v>0.313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0.22988505747126448</v>
      </c>
      <c r="Q141">
        <f t="shared" ref="Q141" si="681">F141*P141</f>
        <v>20260708.091954034</v>
      </c>
      <c r="R141">
        <f t="shared" ref="R141" si="682">R142+Q141</f>
        <v>-2194609654.5316458</v>
      </c>
      <c r="S141">
        <f t="shared" ref="S141" si="683">R141/100000</f>
        <v>-21946.096545316457</v>
      </c>
      <c r="T141">
        <f t="shared" ref="T141" si="684">S141/1000</f>
        <v>-21.946096545316458</v>
      </c>
    </row>
    <row r="142" spans="1:20" x14ac:dyDescent="0.25">
      <c r="A142" s="5">
        <v>44451</v>
      </c>
      <c r="B142">
        <v>0.33889999999999998</v>
      </c>
      <c r="C142">
        <v>0.36</v>
      </c>
      <c r="D142">
        <v>0.30890000000000001</v>
      </c>
      <c r="E142">
        <v>0.33119999999999999</v>
      </c>
      <c r="F142">
        <v>89112200</v>
      </c>
      <c r="G142">
        <v>0.33119999999999999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-0.1272015655577301</v>
      </c>
      <c r="Q142">
        <f t="shared" ref="Q142" si="686">F142*P142</f>
        <v>-11335211.350293556</v>
      </c>
      <c r="R142">
        <f t="shared" ref="R142" si="687">R143+Q142</f>
        <v>-2214870362.6236</v>
      </c>
      <c r="S142">
        <f t="shared" ref="S142" si="688">R142/100000</f>
        <v>-22148.703626236002</v>
      </c>
      <c r="T142">
        <f t="shared" ref="T142" si="689">S142/1000</f>
        <v>-22.148703626236003</v>
      </c>
    </row>
    <row r="143" spans="1:20" x14ac:dyDescent="0.25">
      <c r="A143" s="5">
        <v>44450</v>
      </c>
      <c r="B143">
        <v>0.34079999999999999</v>
      </c>
      <c r="C143">
        <v>0.35649999999999998</v>
      </c>
      <c r="D143">
        <v>0.3251</v>
      </c>
      <c r="E143">
        <v>0.33889999999999998</v>
      </c>
      <c r="F143">
        <v>77353330</v>
      </c>
      <c r="G143">
        <v>0.33889999999999998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-0.12101910828025565</v>
      </c>
      <c r="Q143">
        <f t="shared" ref="Q143" si="691">F143*P143</f>
        <v>-9361231.0191083476</v>
      </c>
      <c r="R143">
        <f t="shared" ref="R143" si="692">R144+Q143</f>
        <v>-2203535151.2733064</v>
      </c>
      <c r="S143">
        <f t="shared" ref="S143" si="693">R143/100000</f>
        <v>-22035.351512733065</v>
      </c>
      <c r="T143">
        <f t="shared" ref="T143" si="694">S143/1000</f>
        <v>-22.035351512733065</v>
      </c>
    </row>
    <row r="144" spans="1:20" x14ac:dyDescent="0.25">
      <c r="A144" s="5">
        <v>44449</v>
      </c>
      <c r="B144">
        <v>0.32079999999999997</v>
      </c>
      <c r="C144">
        <v>0.37619999999999998</v>
      </c>
      <c r="D144">
        <v>0.31069999999999998</v>
      </c>
      <c r="E144">
        <v>0.34050000000000002</v>
      </c>
      <c r="F144">
        <v>192274444</v>
      </c>
      <c r="G144">
        <v>0.34050000000000002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-9.0076335877861152E-2</v>
      </c>
      <c r="Q144">
        <f t="shared" ref="Q144" si="696">F144*P144</f>
        <v>-17319377.398473006</v>
      </c>
      <c r="R144">
        <f t="shared" ref="R144" si="697">R145+Q144</f>
        <v>-2194173920.2541981</v>
      </c>
      <c r="S144">
        <f t="shared" ref="S144" si="698">R144/100000</f>
        <v>-21941.739202541979</v>
      </c>
      <c r="T144">
        <f t="shared" ref="T144" si="699">S144/1000</f>
        <v>-21.941739202541978</v>
      </c>
    </row>
    <row r="145" spans="1:20" x14ac:dyDescent="0.25">
      <c r="A145" s="5">
        <v>44448</v>
      </c>
      <c r="B145">
        <v>0.32940000000000003</v>
      </c>
      <c r="C145">
        <v>0.34649999999999997</v>
      </c>
      <c r="D145">
        <v>0.313</v>
      </c>
      <c r="E145">
        <v>0.32079999999999997</v>
      </c>
      <c r="F145">
        <v>101234366</v>
      </c>
      <c r="G145">
        <v>0.32079999999999997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-0.53432835820895641</v>
      </c>
      <c r="Q145">
        <f t="shared" ref="Q145" si="701">F145*P145</f>
        <v>-54092392.579104595</v>
      </c>
      <c r="R145">
        <f t="shared" ref="R145" si="702">R146+Q145</f>
        <v>-2176854542.8557253</v>
      </c>
      <c r="S145">
        <f t="shared" ref="S145" si="703">R145/100000</f>
        <v>-21768.545428557252</v>
      </c>
      <c r="T145">
        <f t="shared" ref="T145" si="704">S145/1000</f>
        <v>-21.768545428557253</v>
      </c>
    </row>
    <row r="146" spans="1:20" x14ac:dyDescent="0.25">
      <c r="A146" s="5">
        <v>44447</v>
      </c>
      <c r="B146">
        <v>0.32550000000000001</v>
      </c>
      <c r="C146">
        <v>0.34279999999999999</v>
      </c>
      <c r="D146">
        <v>0.28710000000000002</v>
      </c>
      <c r="E146">
        <v>0.32929999999999998</v>
      </c>
      <c r="F146">
        <v>143924055</v>
      </c>
      <c r="G146">
        <v>0.32929999999999998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0.51526032315978387</v>
      </c>
      <c r="Q146">
        <f t="shared" ref="Q146" si="706">F146*P146</f>
        <v>74158355.089766502</v>
      </c>
      <c r="R146">
        <f t="shared" ref="R146" si="707">R147+Q146</f>
        <v>-2122762150.2766209</v>
      </c>
      <c r="S146">
        <f t="shared" ref="S146" si="708">R146/100000</f>
        <v>-21227.621502766207</v>
      </c>
      <c r="T146">
        <f t="shared" ref="T146" si="709">S146/1000</f>
        <v>-21.227621502766208</v>
      </c>
    </row>
    <row r="147" spans="1:20" x14ac:dyDescent="0.25">
      <c r="A147" s="5">
        <v>44446</v>
      </c>
      <c r="B147">
        <v>0.432</v>
      </c>
      <c r="C147">
        <v>0.43630000000000002</v>
      </c>
      <c r="D147">
        <v>0.28460000000000002</v>
      </c>
      <c r="E147">
        <v>0.32540000000000002</v>
      </c>
      <c r="F147">
        <v>204608559.40000001</v>
      </c>
      <c r="G147">
        <v>0.32540000000000002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-0.46209624258404741</v>
      </c>
      <c r="Q147">
        <f t="shared" ref="Q147" si="711">F147*P147</f>
        <v>-94548846.49927488</v>
      </c>
      <c r="R147">
        <f t="shared" ref="R147" si="712">R148+Q147</f>
        <v>-2196920505.3663874</v>
      </c>
      <c r="S147">
        <f t="shared" ref="S147" si="713">R147/100000</f>
        <v>-21969.205053663874</v>
      </c>
      <c r="T147">
        <f t="shared" ref="T147" si="714">S147/1000</f>
        <v>-21.969205053663874</v>
      </c>
    </row>
    <row r="148" spans="1:20" x14ac:dyDescent="0.25">
      <c r="A148" s="5">
        <v>44445</v>
      </c>
      <c r="B148">
        <v>0.4536</v>
      </c>
      <c r="C148">
        <v>0.46870000000000001</v>
      </c>
      <c r="D148">
        <v>0.4</v>
      </c>
      <c r="E148">
        <v>0.432</v>
      </c>
      <c r="F148">
        <v>111214719</v>
      </c>
      <c r="G148">
        <v>0.432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-6.8413391557496928E-2</v>
      </c>
      <c r="Q148">
        <f t="shared" ref="Q148" si="716">F148*P148</f>
        <v>-7608576.1179039935</v>
      </c>
      <c r="R148">
        <f t="shared" ref="R148" si="717">R149+Q148</f>
        <v>-2102371658.8671124</v>
      </c>
      <c r="S148">
        <f t="shared" ref="S148" si="718">R148/100000</f>
        <v>-21023.716588671123</v>
      </c>
      <c r="T148">
        <f t="shared" ref="T148" si="719">S148/1000</f>
        <v>-21.023716588671121</v>
      </c>
    </row>
    <row r="149" spans="1:20" x14ac:dyDescent="0.25">
      <c r="A149" s="5">
        <v>44444</v>
      </c>
      <c r="B149">
        <v>0.44259999999999999</v>
      </c>
      <c r="C149">
        <v>0.45400000000000001</v>
      </c>
      <c r="D149">
        <v>0.432</v>
      </c>
      <c r="E149">
        <v>0.4536</v>
      </c>
      <c r="F149">
        <v>61351148</v>
      </c>
      <c r="G149">
        <v>0.4536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0.96363636363636263</v>
      </c>
      <c r="Q149">
        <f t="shared" ref="Q149" si="721">F149*P149</f>
        <v>59120197.163636304</v>
      </c>
      <c r="R149">
        <f t="shared" ref="R149" si="722">R150+Q149</f>
        <v>-2094763082.7492085</v>
      </c>
      <c r="S149">
        <f t="shared" ref="S149" si="723">R149/100000</f>
        <v>-20947.630827492085</v>
      </c>
      <c r="T149">
        <f t="shared" ref="T149" si="724">S149/1000</f>
        <v>-20.947630827492084</v>
      </c>
    </row>
    <row r="150" spans="1:20" x14ac:dyDescent="0.25">
      <c r="A150" s="5">
        <v>44443</v>
      </c>
      <c r="B150">
        <v>0.43280000000000002</v>
      </c>
      <c r="C150">
        <v>0.46700000000000003</v>
      </c>
      <c r="D150">
        <v>0.42520000000000002</v>
      </c>
      <c r="E150">
        <v>0.442</v>
      </c>
      <c r="F150">
        <v>121519075</v>
      </c>
      <c r="G150">
        <v>0.442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-0.19617224880382869</v>
      </c>
      <c r="Q150">
        <f t="shared" ref="Q150" si="726">F150*P150</f>
        <v>-23838670.215311117</v>
      </c>
      <c r="R150">
        <f t="shared" ref="R150" si="727">R151+Q150</f>
        <v>-2153883279.9128447</v>
      </c>
      <c r="S150">
        <f t="shared" ref="S150" si="728">R150/100000</f>
        <v>-21538.832799128446</v>
      </c>
      <c r="T150">
        <f t="shared" ref="T150" si="729">S150/1000</f>
        <v>-21.538832799128446</v>
      </c>
    </row>
    <row r="151" spans="1:20" x14ac:dyDescent="0.25">
      <c r="A151" s="5">
        <v>44442</v>
      </c>
      <c r="B151">
        <v>0.43240000000000001</v>
      </c>
      <c r="C151">
        <v>0.44890000000000002</v>
      </c>
      <c r="D151">
        <v>0.41639999999999999</v>
      </c>
      <c r="E151">
        <v>0.43219999999999997</v>
      </c>
      <c r="F151">
        <v>66035622</v>
      </c>
      <c r="G151">
        <v>0.43219999999999997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-2.7692307692309744E-2</v>
      </c>
      <c r="Q151">
        <f t="shared" ref="Q151" si="731">F151*P151</f>
        <v>-1828678.7630770586</v>
      </c>
      <c r="R151">
        <f t="shared" ref="R151" si="732">R152+Q151</f>
        <v>-2130044609.6975336</v>
      </c>
      <c r="S151">
        <f t="shared" ref="S151" si="733">R151/100000</f>
        <v>-21300.446096975335</v>
      </c>
      <c r="T151">
        <f t="shared" ref="T151" si="734">S151/1000</f>
        <v>-21.300446096975335</v>
      </c>
    </row>
    <row r="152" spans="1:20" x14ac:dyDescent="0.25">
      <c r="A152" s="5">
        <v>44441</v>
      </c>
      <c r="B152">
        <v>0.44429999999999997</v>
      </c>
      <c r="C152">
        <v>0.45800000000000002</v>
      </c>
      <c r="D152">
        <v>0.42630000000000001</v>
      </c>
      <c r="E152">
        <v>0.43209999999999998</v>
      </c>
      <c r="F152">
        <v>60495059</v>
      </c>
      <c r="G152">
        <v>0.43209999999999998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-0.63406940063091666</v>
      </c>
      <c r="Q152">
        <f t="shared" ref="Q152" si="736">F152*P152</f>
        <v>-38358065.801261939</v>
      </c>
      <c r="R152">
        <f t="shared" ref="R152" si="737">R153+Q152</f>
        <v>-2128215930.9344566</v>
      </c>
      <c r="S152">
        <f t="shared" ref="S152" si="738">R152/100000</f>
        <v>-21282.159309344566</v>
      </c>
      <c r="T152">
        <f t="shared" ref="T152" si="739">S152/1000</f>
        <v>-21.282159309344568</v>
      </c>
    </row>
    <row r="153" spans="1:20" x14ac:dyDescent="0.25">
      <c r="A153" s="5">
        <v>44440</v>
      </c>
      <c r="B153">
        <v>0.43149999999999999</v>
      </c>
      <c r="C153">
        <v>0.45390000000000003</v>
      </c>
      <c r="D153">
        <v>0.41010000000000002</v>
      </c>
      <c r="E153">
        <v>0.44419999999999998</v>
      </c>
      <c r="F153">
        <v>91799523</v>
      </c>
      <c r="G153">
        <v>0.44419999999999998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0.55707762557077445</v>
      </c>
      <c r="Q153">
        <f t="shared" ref="Q153" si="741">F153*P153</f>
        <v>51139460.301369697</v>
      </c>
      <c r="R153">
        <f t="shared" ref="R153" si="742">R154+Q153</f>
        <v>-2089857865.1331947</v>
      </c>
      <c r="S153">
        <f t="shared" ref="S153" si="743">R153/100000</f>
        <v>-20898.578651331947</v>
      </c>
      <c r="T153">
        <f t="shared" ref="T153" si="744">S153/1000</f>
        <v>-20.898578651331949</v>
      </c>
    </row>
    <row r="154" spans="1:20" x14ac:dyDescent="0.25">
      <c r="A154" s="5">
        <v>44439</v>
      </c>
      <c r="B154">
        <v>0.43840000000000001</v>
      </c>
      <c r="C154">
        <v>0.46</v>
      </c>
      <c r="D154">
        <v>0.41889999999999999</v>
      </c>
      <c r="E154">
        <v>0.43149999999999999</v>
      </c>
      <c r="F154">
        <v>94230937</v>
      </c>
      <c r="G154">
        <v>0.43149999999999999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-0.3868613138686135</v>
      </c>
      <c r="Q154">
        <f t="shared" ref="Q154" si="746">F154*P154</f>
        <v>-36454304.094890542</v>
      </c>
      <c r="R154">
        <f t="shared" ref="R154" si="747">R155+Q154</f>
        <v>-2140997325.4345644</v>
      </c>
      <c r="S154">
        <f t="shared" ref="S154" si="748">R154/100000</f>
        <v>-21409.973254345645</v>
      </c>
      <c r="T154">
        <f t="shared" ref="T154" si="749">S154/1000</f>
        <v>-21.409973254345644</v>
      </c>
    </row>
    <row r="155" spans="1:20" x14ac:dyDescent="0.25">
      <c r="A155" s="5">
        <v>44438</v>
      </c>
      <c r="B155">
        <v>0.47839999999999999</v>
      </c>
      <c r="C155">
        <v>0.53890000000000005</v>
      </c>
      <c r="D155">
        <v>0.433</v>
      </c>
      <c r="E155">
        <v>0.43809999999999999</v>
      </c>
      <c r="F155">
        <v>200100271.40000001</v>
      </c>
      <c r="G155">
        <v>0.43809999999999999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-0.9036827195467424</v>
      </c>
      <c r="Q155">
        <f t="shared" ref="Q155" si="751">F155*P155</f>
        <v>-180827157.44079325</v>
      </c>
      <c r="R155">
        <f t="shared" ref="R155" si="752">R156+Q155</f>
        <v>-2104543021.3396738</v>
      </c>
      <c r="S155">
        <f t="shared" ref="S155" si="753">R155/100000</f>
        <v>-21045.430213396736</v>
      </c>
      <c r="T155">
        <f t="shared" ref="T155" si="754">S155/1000</f>
        <v>-21.045430213396735</v>
      </c>
    </row>
    <row r="156" spans="1:20" x14ac:dyDescent="0.25">
      <c r="A156" s="5">
        <v>44437</v>
      </c>
      <c r="B156">
        <v>0.46060000000000001</v>
      </c>
      <c r="C156">
        <v>0.52569999999999995</v>
      </c>
      <c r="D156">
        <v>0.44340000000000002</v>
      </c>
      <c r="E156">
        <v>0.4783</v>
      </c>
      <c r="F156">
        <v>283678430.89999998</v>
      </c>
      <c r="G156">
        <v>0.4783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-0.15188335358444674</v>
      </c>
      <c r="Q156">
        <f t="shared" ref="Q156" si="756">F156*P156</f>
        <v>-43086031.424665742</v>
      </c>
      <c r="R156">
        <f t="shared" ref="R156" si="757">R157+Q156</f>
        <v>-1923715863.8988805</v>
      </c>
      <c r="S156">
        <f t="shared" ref="S156" si="758">R156/100000</f>
        <v>-19237.158638988803</v>
      </c>
      <c r="T156">
        <f t="shared" ref="T156" si="759">S156/1000</f>
        <v>-19.237158638988802</v>
      </c>
    </row>
    <row r="157" spans="1:20" x14ac:dyDescent="0.25">
      <c r="A157" s="5">
        <v>44436</v>
      </c>
      <c r="B157">
        <v>0.40689999999999998</v>
      </c>
      <c r="C157">
        <v>0.46500000000000002</v>
      </c>
      <c r="D157">
        <v>0.39900000000000002</v>
      </c>
      <c r="E157">
        <v>0.46029999999999999</v>
      </c>
      <c r="F157">
        <v>148529445</v>
      </c>
      <c r="G157">
        <v>0.46029999999999999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0.85757575757575644</v>
      </c>
      <c r="Q157">
        <f t="shared" ref="Q157" si="761">F157*P157</f>
        <v>127375251.31818165</v>
      </c>
      <c r="R157">
        <f t="shared" ref="R157" si="762">R158+Q157</f>
        <v>-1880629832.4742148</v>
      </c>
      <c r="S157">
        <f t="shared" ref="S157" si="763">R157/100000</f>
        <v>-18806.298324742147</v>
      </c>
      <c r="T157">
        <f t="shared" ref="T157" si="764">S157/1000</f>
        <v>-18.806298324742148</v>
      </c>
    </row>
    <row r="158" spans="1:20" x14ac:dyDescent="0.25">
      <c r="A158" s="5">
        <v>44435</v>
      </c>
      <c r="B158">
        <v>0.39050000000000001</v>
      </c>
      <c r="C158">
        <v>0.41039999999999999</v>
      </c>
      <c r="D158">
        <v>0.35709999999999997</v>
      </c>
      <c r="E158">
        <v>0.40710000000000002</v>
      </c>
      <c r="F158">
        <v>148845461.90000001</v>
      </c>
      <c r="G158">
        <v>0.40710000000000002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0.87617260787992612</v>
      </c>
      <c r="Q158">
        <f t="shared" ref="Q158" si="766">F158*P158</f>
        <v>130414316.52401519</v>
      </c>
      <c r="R158">
        <f t="shared" ref="R158" si="767">R159+Q158</f>
        <v>-2008005083.7923965</v>
      </c>
      <c r="S158">
        <f t="shared" ref="S158" si="768">R158/100000</f>
        <v>-20080.050837923965</v>
      </c>
      <c r="T158">
        <f t="shared" ref="T158" si="769">S158/1000</f>
        <v>-20.080050837923967</v>
      </c>
    </row>
    <row r="159" spans="1:20" x14ac:dyDescent="0.25">
      <c r="A159" s="5">
        <v>44434</v>
      </c>
      <c r="B159">
        <v>0.41493999999999998</v>
      </c>
      <c r="C159">
        <v>0.47320000000000001</v>
      </c>
      <c r="D159">
        <v>0.38929999999999998</v>
      </c>
      <c r="E159">
        <v>0.38979999999999998</v>
      </c>
      <c r="F159">
        <v>273459267.19999999</v>
      </c>
      <c r="G159">
        <v>0.38979999999999998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-0.98808104886769965</v>
      </c>
      <c r="Q159">
        <f t="shared" ref="Q159" si="771">F159*P159</f>
        <v>-270199919.55756855</v>
      </c>
      <c r="R159">
        <f t="shared" ref="R159" si="772">R160+Q159</f>
        <v>-2138419400.3164117</v>
      </c>
      <c r="S159">
        <f t="shared" ref="S159" si="773">R159/100000</f>
        <v>-21384.194003164117</v>
      </c>
      <c r="T159">
        <f t="shared" ref="T159" si="774">S159/1000</f>
        <v>-21.384194003164119</v>
      </c>
    </row>
    <row r="160" spans="1:20" x14ac:dyDescent="0.25">
      <c r="A160" s="5">
        <v>44433</v>
      </c>
      <c r="B160">
        <v>0.36341000000000001</v>
      </c>
      <c r="C160">
        <v>0.44</v>
      </c>
      <c r="D160">
        <v>0.35233999999999999</v>
      </c>
      <c r="E160">
        <v>0.41493999999999998</v>
      </c>
      <c r="F160">
        <v>229286072.69999999</v>
      </c>
      <c r="G160">
        <v>0.41493999999999998</v>
      </c>
      <c r="L160" t="s">
        <v>8</v>
      </c>
      <c r="M160" t="s">
        <v>8</v>
      </c>
      <c r="N160" t="s">
        <v>7</v>
      </c>
      <c r="P160">
        <f t="shared" ref="P160" si="775">IF(C160=D160,0,((E160-D160)-(C160-E160))/(C160-D160))</f>
        <v>0.42824549395391232</v>
      </c>
      <c r="Q160">
        <f t="shared" ref="Q160" si="776">F160*P160</f>
        <v>98190727.460164145</v>
      </c>
      <c r="R160">
        <f t="shared" ref="R160" si="777">R161+Q160</f>
        <v>-1868219480.7588432</v>
      </c>
      <c r="S160">
        <f t="shared" ref="S160" si="778">R160/100000</f>
        <v>-18682.194807588432</v>
      </c>
      <c r="T160">
        <f t="shared" ref="T160" si="779">S160/1000</f>
        <v>-18.682194807588431</v>
      </c>
    </row>
    <row r="161" spans="1:20" x14ac:dyDescent="0.25">
      <c r="A161" s="5">
        <v>44432</v>
      </c>
      <c r="B161">
        <v>0.41125</v>
      </c>
      <c r="C161">
        <v>0.41472999999999999</v>
      </c>
      <c r="D161">
        <v>0.35063</v>
      </c>
      <c r="E161">
        <v>0.36342000000000002</v>
      </c>
      <c r="F161">
        <v>105161299.59999999</v>
      </c>
      <c r="G161">
        <v>0.36342000000000002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-0.60093603744149682</v>
      </c>
      <c r="Q161">
        <f t="shared" ref="Q161" si="781">F161*P161</f>
        <v>-63195214.67382206</v>
      </c>
      <c r="R161">
        <f t="shared" ref="R161" si="782">R162+Q161</f>
        <v>-1966410208.2190073</v>
      </c>
      <c r="S161">
        <f t="shared" ref="S161" si="783">R161/100000</f>
        <v>-19664.102082190071</v>
      </c>
      <c r="T161">
        <f t="shared" ref="T161" si="784">S161/1000</f>
        <v>-19.66410208219007</v>
      </c>
    </row>
    <row r="162" spans="1:20" x14ac:dyDescent="0.25">
      <c r="A162" s="5">
        <v>44431</v>
      </c>
      <c r="B162">
        <v>0.40182000000000001</v>
      </c>
      <c r="C162">
        <v>0.43076999999999999</v>
      </c>
      <c r="D162">
        <v>0.39850000000000002</v>
      </c>
      <c r="E162">
        <v>0.41108</v>
      </c>
      <c r="F162">
        <v>122836438.40000001</v>
      </c>
      <c r="G162">
        <v>0.41108</v>
      </c>
      <c r="L162" t="s">
        <v>8</v>
      </c>
      <c r="M162" t="s">
        <v>7</v>
      </c>
      <c r="N162" t="s">
        <v>7</v>
      </c>
      <c r="P162">
        <f t="shared" ref="P162" si="785">IF(C162=D162,0,((E162-D162)-(C162-E162))/(C162-D162))</f>
        <v>-0.2203284784629691</v>
      </c>
      <c r="Q162">
        <f t="shared" ref="Q162" si="786">F162*P162</f>
        <v>-27064365.572482232</v>
      </c>
      <c r="R162">
        <f t="shared" ref="R162" si="787">R163+Q162</f>
        <v>-1903214993.5451851</v>
      </c>
      <c r="S162">
        <f t="shared" ref="S162" si="788">R162/100000</f>
        <v>-19032.149935451849</v>
      </c>
      <c r="T162">
        <f t="shared" ref="T162" si="789">S162/1000</f>
        <v>-19.032149935451848</v>
      </c>
    </row>
    <row r="163" spans="1:20" x14ac:dyDescent="0.25">
      <c r="A163" s="5">
        <v>44430</v>
      </c>
      <c r="B163">
        <v>0.40233000000000002</v>
      </c>
      <c r="C163">
        <v>0.41449999999999998</v>
      </c>
      <c r="D163">
        <v>0.39537</v>
      </c>
      <c r="E163">
        <v>0.40672999999999998</v>
      </c>
      <c r="F163">
        <v>27827184.800000001</v>
      </c>
      <c r="G163">
        <v>0.40672999999999998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0.18766335598536257</v>
      </c>
      <c r="Q163">
        <f t="shared" ref="Q163" si="791">F163*P163</f>
        <v>5222142.8871928705</v>
      </c>
      <c r="R163">
        <f t="shared" ref="R163" si="792">R164+Q163</f>
        <v>-1876150627.9727027</v>
      </c>
      <c r="S163">
        <f t="shared" ref="S163" si="793">R163/100000</f>
        <v>-18761.506279727026</v>
      </c>
      <c r="T163">
        <f t="shared" ref="T163" si="794">S163/1000</f>
        <v>-18.761506279727026</v>
      </c>
    </row>
    <row r="164" spans="1:20" x14ac:dyDescent="0.25">
      <c r="A164" s="5">
        <v>44429</v>
      </c>
      <c r="B164">
        <v>0.38375999999999999</v>
      </c>
      <c r="C164">
        <v>0.46200000000000002</v>
      </c>
      <c r="D164">
        <v>0.38251000000000002</v>
      </c>
      <c r="E164">
        <v>0.40222000000000002</v>
      </c>
      <c r="F164">
        <v>204375960.5</v>
      </c>
      <c r="G164">
        <v>0.40222000000000002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-0.50408856459932061</v>
      </c>
      <c r="Q164">
        <f t="shared" ref="Q164" si="796">F164*P164</f>
        <v>-103023584.56705245</v>
      </c>
      <c r="R164">
        <f t="shared" ref="R164" si="797">R165+Q164</f>
        <v>-1881372770.8598957</v>
      </c>
      <c r="S164">
        <f t="shared" ref="S164" si="798">R164/100000</f>
        <v>-18813.727708598955</v>
      </c>
      <c r="T164">
        <f t="shared" ref="T164" si="799">S164/1000</f>
        <v>-18.813727708598954</v>
      </c>
    </row>
    <row r="165" spans="1:20" x14ac:dyDescent="0.25">
      <c r="A165" s="5">
        <v>44428</v>
      </c>
      <c r="B165">
        <v>0.38229000000000002</v>
      </c>
      <c r="C165">
        <v>0.39256999999999997</v>
      </c>
      <c r="D165">
        <v>0.36160999999999999</v>
      </c>
      <c r="E165">
        <v>0.38375999999999999</v>
      </c>
      <c r="F165">
        <v>80318696.099999994</v>
      </c>
      <c r="G165">
        <v>0.38375999999999999</v>
      </c>
      <c r="L165" t="s">
        <v>7</v>
      </c>
      <c r="M165" t="s">
        <v>7</v>
      </c>
      <c r="N165" t="s">
        <v>7</v>
      </c>
      <c r="P165">
        <f t="shared" ref="P165" si="800">IF(C165=D165,0,((E165-D165)-(C165-E165))/(C165-D165))</f>
        <v>0.43087855297157701</v>
      </c>
      <c r="Q165">
        <f t="shared" ref="Q165" si="801">F165*P165</f>
        <v>34607603.552131847</v>
      </c>
      <c r="R165">
        <f t="shared" ref="R165" si="802">R166+Q165</f>
        <v>-1778349186.2928433</v>
      </c>
      <c r="S165">
        <f t="shared" ref="S165" si="803">R165/100000</f>
        <v>-17783.491862928433</v>
      </c>
      <c r="T165">
        <f t="shared" ref="T165" si="804">S165/1000</f>
        <v>-17.783491862928432</v>
      </c>
    </row>
    <row r="166" spans="1:20" x14ac:dyDescent="0.25">
      <c r="A166" s="5">
        <v>44427</v>
      </c>
      <c r="B166">
        <v>0.36437999999999998</v>
      </c>
      <c r="C166">
        <v>0.39</v>
      </c>
      <c r="D166">
        <v>0.34904000000000002</v>
      </c>
      <c r="E166">
        <v>0.38234000000000001</v>
      </c>
      <c r="F166">
        <v>128605660.09999999</v>
      </c>
      <c r="G166">
        <v>0.38234000000000001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0.6259765625</v>
      </c>
      <c r="Q166">
        <f t="shared" ref="Q166" si="806">F166*P166</f>
        <v>80504129.027441397</v>
      </c>
      <c r="R166">
        <f t="shared" ref="R166" si="807">R167+Q166</f>
        <v>-1812956789.8449752</v>
      </c>
      <c r="S166">
        <f t="shared" ref="S166" si="808">R166/100000</f>
        <v>-18129.567898449754</v>
      </c>
      <c r="T166">
        <f t="shared" ref="T166" si="809">S166/1000</f>
        <v>-18.129567898449753</v>
      </c>
    </row>
    <row r="167" spans="1:20" x14ac:dyDescent="0.25">
      <c r="A167" s="5">
        <v>44426</v>
      </c>
      <c r="B167">
        <v>0.35450999999999999</v>
      </c>
      <c r="C167">
        <v>0.37753999999999999</v>
      </c>
      <c r="D167">
        <v>0.33478999999999998</v>
      </c>
      <c r="E167">
        <v>0.36416999999999999</v>
      </c>
      <c r="F167">
        <v>109234428.40000001</v>
      </c>
      <c r="G167">
        <v>0.36416999999999999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0.37450292397660867</v>
      </c>
      <c r="Q167">
        <f t="shared" ref="Q167" si="811">F167*P167</f>
        <v>40908612.834713504</v>
      </c>
      <c r="R167">
        <f t="shared" ref="R167" si="812">R168+Q167</f>
        <v>-1893460918.8724167</v>
      </c>
      <c r="S167">
        <f t="shared" ref="S167" si="813">R167/100000</f>
        <v>-18934.609188724167</v>
      </c>
      <c r="T167">
        <f t="shared" ref="T167" si="814">S167/1000</f>
        <v>-18.934609188724167</v>
      </c>
    </row>
    <row r="168" spans="1:20" x14ac:dyDescent="0.25">
      <c r="A168" s="5">
        <v>44425</v>
      </c>
      <c r="B168">
        <v>0.39147999999999999</v>
      </c>
      <c r="C168">
        <v>0.43187999999999999</v>
      </c>
      <c r="D168">
        <v>0.3493</v>
      </c>
      <c r="E168">
        <v>0.35415000000000002</v>
      </c>
      <c r="F168">
        <v>167513861.30000001</v>
      </c>
      <c r="G168">
        <v>0.35415000000000002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-0.88253814482925597</v>
      </c>
      <c r="Q168">
        <f t="shared" ref="Q168" si="816">F168*P168</f>
        <v>-147837372.38488731</v>
      </c>
      <c r="R168">
        <f t="shared" ref="R168" si="817">R169+Q168</f>
        <v>-1934369531.7071302</v>
      </c>
      <c r="S168">
        <f t="shared" ref="S168" si="818">R168/100000</f>
        <v>-19343.695317071302</v>
      </c>
      <c r="T168">
        <f t="shared" ref="T168" si="819">S168/1000</f>
        <v>-19.343695317071301</v>
      </c>
    </row>
    <row r="169" spans="1:20" x14ac:dyDescent="0.25">
      <c r="A169" s="5">
        <v>44424</v>
      </c>
      <c r="B169">
        <v>0.41794999999999999</v>
      </c>
      <c r="C169">
        <v>0.43574000000000002</v>
      </c>
      <c r="D169">
        <v>0.38422000000000001</v>
      </c>
      <c r="E169">
        <v>0.39118999999999998</v>
      </c>
      <c r="F169">
        <v>214244305.09999999</v>
      </c>
      <c r="G169">
        <v>0.39118999999999998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-0.72942546583851031</v>
      </c>
      <c r="Q169">
        <f t="shared" ref="Q169" si="821">F169*P169</f>
        <v>-156275252.05081543</v>
      </c>
      <c r="R169">
        <f t="shared" ref="R169" si="822">R170+Q169</f>
        <v>-1786532159.322243</v>
      </c>
      <c r="S169">
        <f t="shared" ref="S169" si="823">R169/100000</f>
        <v>-17865.32159322243</v>
      </c>
      <c r="T169">
        <f t="shared" ref="T169" si="824">S169/1000</f>
        <v>-17.865321593222429</v>
      </c>
    </row>
    <row r="170" spans="1:20" x14ac:dyDescent="0.25">
      <c r="A170" s="5">
        <v>44423</v>
      </c>
      <c r="B170">
        <v>0.33687</v>
      </c>
      <c r="C170">
        <v>0.49998999999999999</v>
      </c>
      <c r="D170">
        <v>0.32511000000000001</v>
      </c>
      <c r="E170">
        <v>0.41821000000000003</v>
      </c>
      <c r="F170">
        <v>595506380</v>
      </c>
      <c r="G170">
        <v>0.41821000000000003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6.4730100640439464E-2</v>
      </c>
      <c r="Q170">
        <f t="shared" ref="Q170" si="826">F170*P170</f>
        <v>38547187.909423783</v>
      </c>
      <c r="R170">
        <f t="shared" ref="R170" si="827">R171+Q170</f>
        <v>-1630256907.2714276</v>
      </c>
      <c r="S170">
        <f t="shared" ref="S170" si="828">R170/100000</f>
        <v>-16302.569072714276</v>
      </c>
      <c r="T170">
        <f t="shared" ref="T170" si="829">S170/1000</f>
        <v>-16.302569072714274</v>
      </c>
    </row>
    <row r="171" spans="1:20" x14ac:dyDescent="0.25">
      <c r="A171" s="5">
        <v>44422</v>
      </c>
      <c r="B171">
        <v>0.33594000000000002</v>
      </c>
      <c r="C171">
        <v>0.34198000000000001</v>
      </c>
      <c r="D171">
        <v>0.31612000000000001</v>
      </c>
      <c r="E171">
        <v>0.33687</v>
      </c>
      <c r="F171">
        <v>79820391.900000006</v>
      </c>
      <c r="G171">
        <v>0.33687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0.60479505027068792</v>
      </c>
      <c r="Q171">
        <f t="shared" ref="Q171" si="831">F171*P171</f>
        <v>48274977.931786515</v>
      </c>
      <c r="R171">
        <f t="shared" ref="R171" si="832">R172+Q171</f>
        <v>-1668804095.1808515</v>
      </c>
      <c r="S171">
        <f t="shared" ref="S171" si="833">R171/100000</f>
        <v>-16688.040951808514</v>
      </c>
      <c r="T171">
        <f t="shared" ref="T171" si="834">S171/1000</f>
        <v>-16.688040951808514</v>
      </c>
    </row>
    <row r="172" spans="1:20" x14ac:dyDescent="0.25">
      <c r="A172" s="5">
        <v>44421</v>
      </c>
      <c r="B172">
        <v>0.32063000000000003</v>
      </c>
      <c r="C172">
        <v>0.34409000000000001</v>
      </c>
      <c r="D172">
        <v>0.31463000000000002</v>
      </c>
      <c r="E172">
        <v>0.33573999999999998</v>
      </c>
      <c r="F172">
        <v>71291017.400000006</v>
      </c>
      <c r="G172">
        <v>0.33573999999999998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0.43312966734555142</v>
      </c>
      <c r="Q172">
        <f t="shared" ref="Q172" si="836">F172*P172</f>
        <v>30878254.651187919</v>
      </c>
      <c r="R172">
        <f t="shared" ref="R172" si="837">R173+Q172</f>
        <v>-1717079073.112638</v>
      </c>
      <c r="S172">
        <f t="shared" ref="S172" si="838">R172/100000</f>
        <v>-17170.790731126381</v>
      </c>
      <c r="T172">
        <f t="shared" ref="T172" si="839">S172/1000</f>
        <v>-17.170790731126381</v>
      </c>
    </row>
    <row r="173" spans="1:20" x14ac:dyDescent="0.25">
      <c r="A173" s="5">
        <v>44420</v>
      </c>
      <c r="B173">
        <v>0.32906000000000002</v>
      </c>
      <c r="C173">
        <v>0.3478</v>
      </c>
      <c r="D173">
        <v>0.30331000000000002</v>
      </c>
      <c r="E173">
        <v>0.32080999999999998</v>
      </c>
      <c r="F173">
        <v>103320467.40000001</v>
      </c>
      <c r="G173">
        <v>0.32080999999999998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-0.21330636097999683</v>
      </c>
      <c r="Q173">
        <f t="shared" ref="Q173" si="841">F173*P173</f>
        <v>-22038912.915846396</v>
      </c>
      <c r="R173">
        <f t="shared" ref="R173" si="842">R174+Q173</f>
        <v>-1747957327.7638259</v>
      </c>
      <c r="S173">
        <f t="shared" ref="S173" si="843">R173/100000</f>
        <v>-17479.573277638257</v>
      </c>
      <c r="T173">
        <f t="shared" ref="T173" si="844">S173/1000</f>
        <v>-17.479573277638256</v>
      </c>
    </row>
    <row r="174" spans="1:20" x14ac:dyDescent="0.25">
      <c r="A174" s="5">
        <v>44419</v>
      </c>
      <c r="B174">
        <v>0.33868999999999999</v>
      </c>
      <c r="C174">
        <v>0.35976999999999998</v>
      </c>
      <c r="D174">
        <v>0.32650000000000001</v>
      </c>
      <c r="E174">
        <v>0.32913999999999999</v>
      </c>
      <c r="F174">
        <v>120571101.5</v>
      </c>
      <c r="G174">
        <v>0.32913999999999999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-0.84129846708746747</v>
      </c>
      <c r="Q174">
        <f t="shared" ref="Q174" si="846">F174*P174</f>
        <v>-101436282.86699745</v>
      </c>
      <c r="R174">
        <f t="shared" ref="R174" si="847">R175+Q174</f>
        <v>-1725918414.8479795</v>
      </c>
      <c r="S174">
        <f t="shared" ref="S174" si="848">R174/100000</f>
        <v>-17259.184148479795</v>
      </c>
      <c r="T174">
        <f t="shared" ref="T174" si="849">S174/1000</f>
        <v>-17.259184148479797</v>
      </c>
    </row>
    <row r="175" spans="1:20" x14ac:dyDescent="0.25">
      <c r="A175" s="5">
        <v>44418</v>
      </c>
      <c r="B175">
        <v>0.30947999999999998</v>
      </c>
      <c r="C175">
        <v>0.35</v>
      </c>
      <c r="D175">
        <v>0.30730000000000002</v>
      </c>
      <c r="E175">
        <v>0.33842</v>
      </c>
      <c r="F175">
        <v>174894889.09999999</v>
      </c>
      <c r="G175">
        <v>0.33842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0.45761124121779906</v>
      </c>
      <c r="Q175">
        <f t="shared" ref="Q175" si="851">F175*P175</f>
        <v>80033867.283700317</v>
      </c>
      <c r="R175">
        <f t="shared" ref="R175" si="852">R176+Q175</f>
        <v>-1624482131.9809821</v>
      </c>
      <c r="S175">
        <f t="shared" ref="S175" si="853">R175/100000</f>
        <v>-16244.82131980982</v>
      </c>
      <c r="T175">
        <f t="shared" ref="T175" si="854">S175/1000</f>
        <v>-16.244821319809819</v>
      </c>
    </row>
    <row r="176" spans="1:20" x14ac:dyDescent="0.25">
      <c r="A176" s="5">
        <v>44417</v>
      </c>
      <c r="B176">
        <v>0.30481000000000003</v>
      </c>
      <c r="C176">
        <v>0.32108999999999999</v>
      </c>
      <c r="D176">
        <v>0.29311999999999999</v>
      </c>
      <c r="E176">
        <v>0.30957000000000001</v>
      </c>
      <c r="F176">
        <v>70078797</v>
      </c>
      <c r="G176">
        <v>0.30957000000000001</v>
      </c>
      <c r="L176" t="s">
        <v>8</v>
      </c>
      <c r="M176" t="s">
        <v>7</v>
      </c>
      <c r="N176" t="s">
        <v>7</v>
      </c>
      <c r="P176">
        <f t="shared" ref="P176" si="855">IF(C176=D176,0,((E176-D176)-(C176-E176))/(C176-D176))</f>
        <v>0.17626027887021975</v>
      </c>
      <c r="Q176">
        <f t="shared" ref="Q176" si="856">F176*P176</f>
        <v>12352108.302109519</v>
      </c>
      <c r="R176">
        <f t="shared" ref="R176" si="857">R177+Q176</f>
        <v>-1704515999.2646823</v>
      </c>
      <c r="S176">
        <f t="shared" ref="S176" si="858">R176/100000</f>
        <v>-17045.159992646823</v>
      </c>
      <c r="T176">
        <f t="shared" ref="T176" si="859">S176/1000</f>
        <v>-17.045159992646823</v>
      </c>
    </row>
    <row r="177" spans="1:20" x14ac:dyDescent="0.25">
      <c r="A177" s="5">
        <v>44416</v>
      </c>
      <c r="B177">
        <v>0.3246</v>
      </c>
      <c r="C177">
        <v>0.33500000000000002</v>
      </c>
      <c r="D177">
        <v>0.29721999999999998</v>
      </c>
      <c r="E177">
        <v>0.30503999999999998</v>
      </c>
      <c r="F177">
        <v>83024758.900000006</v>
      </c>
      <c r="G177">
        <v>0.30503999999999998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-0.58602435150873555</v>
      </c>
      <c r="Q177">
        <f t="shared" ref="Q177" si="861">F177*P177</f>
        <v>-48654530.493541621</v>
      </c>
      <c r="R177">
        <f t="shared" ref="R177" si="862">R178+Q177</f>
        <v>-1716868107.5667918</v>
      </c>
      <c r="S177">
        <f t="shared" ref="S177" si="863">R177/100000</f>
        <v>-17168.681075667919</v>
      </c>
      <c r="T177">
        <f t="shared" ref="T177" si="864">S177/1000</f>
        <v>-17.168681075667919</v>
      </c>
    </row>
    <row r="178" spans="1:20" x14ac:dyDescent="0.25">
      <c r="A178" s="5">
        <v>44415</v>
      </c>
      <c r="B178">
        <v>0.31952000000000003</v>
      </c>
      <c r="C178">
        <v>0.34</v>
      </c>
      <c r="D178">
        <v>0.30492000000000002</v>
      </c>
      <c r="E178">
        <v>0.32457000000000003</v>
      </c>
      <c r="F178">
        <v>122961301.7</v>
      </c>
      <c r="G178">
        <v>0.32457000000000003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0.12029646522234896</v>
      </c>
      <c r="Q178">
        <f t="shared" ref="Q178" si="866">F178*P178</f>
        <v>14791809.953648809</v>
      </c>
      <c r="R178">
        <f t="shared" ref="R178" si="867">R179+Q178</f>
        <v>-1668213577.0732501</v>
      </c>
      <c r="S178">
        <f t="shared" ref="S178" si="868">R178/100000</f>
        <v>-16682.135770732501</v>
      </c>
      <c r="T178">
        <f t="shared" ref="T178" si="869">S178/1000</f>
        <v>-16.682135770732501</v>
      </c>
    </row>
    <row r="179" spans="1:20" x14ac:dyDescent="0.25">
      <c r="A179" s="5">
        <v>44414</v>
      </c>
      <c r="B179">
        <v>0.31390000000000001</v>
      </c>
      <c r="C179">
        <v>0.32473000000000002</v>
      </c>
      <c r="D179">
        <v>0.30335000000000001</v>
      </c>
      <c r="E179">
        <v>0.31941000000000003</v>
      </c>
      <c r="F179">
        <v>69907598.299999997</v>
      </c>
      <c r="G179">
        <v>0.31941000000000003</v>
      </c>
      <c r="L179" t="s">
        <v>8</v>
      </c>
      <c r="M179" t="s">
        <v>7</v>
      </c>
      <c r="N179" t="s">
        <v>7</v>
      </c>
      <c r="P179">
        <f t="shared" ref="P179" si="870">IF(C179=D179,0,((E179-D179)-(C179-E179))/(C179-D179))</f>
        <v>0.50233863423760627</v>
      </c>
      <c r="Q179">
        <f t="shared" ref="Q179" si="871">F179*P179</f>
        <v>35117287.452853203</v>
      </c>
      <c r="R179">
        <f t="shared" ref="R179" si="872">R180+Q179</f>
        <v>-1683005387.0268989</v>
      </c>
      <c r="S179">
        <f t="shared" ref="S179" si="873">R179/100000</f>
        <v>-16830.053870268988</v>
      </c>
      <c r="T179">
        <f t="shared" ref="T179" si="874">S179/1000</f>
        <v>-16.830053870268987</v>
      </c>
    </row>
    <row r="180" spans="1:20" x14ac:dyDescent="0.25">
      <c r="A180" s="5">
        <v>44413</v>
      </c>
      <c r="B180">
        <v>0.32466</v>
      </c>
      <c r="C180">
        <v>0.32500000000000001</v>
      </c>
      <c r="D180">
        <v>0.29720000000000002</v>
      </c>
      <c r="E180">
        <v>0.31397000000000003</v>
      </c>
      <c r="F180">
        <v>73516755.099999994</v>
      </c>
      <c r="G180">
        <v>0.31397000000000003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0.20647482014388577</v>
      </c>
      <c r="Q180">
        <f t="shared" ref="Q180" si="876">F180*P180</f>
        <v>15179358.786834596</v>
      </c>
      <c r="R180">
        <f t="shared" ref="R180" si="877">R181+Q180</f>
        <v>-1718122674.4797521</v>
      </c>
      <c r="S180">
        <f t="shared" ref="S180" si="878">R180/100000</f>
        <v>-17181.226744797521</v>
      </c>
      <c r="T180">
        <f t="shared" ref="T180" si="879">S180/1000</f>
        <v>-17.18122674479752</v>
      </c>
    </row>
    <row r="181" spans="1:20" x14ac:dyDescent="0.25">
      <c r="A181" s="5">
        <v>44412</v>
      </c>
      <c r="B181">
        <v>0.29381000000000002</v>
      </c>
      <c r="C181">
        <v>0.32486999999999999</v>
      </c>
      <c r="D181">
        <v>0.28889999999999999</v>
      </c>
      <c r="E181">
        <v>0.32466</v>
      </c>
      <c r="F181">
        <v>86818544.200000003</v>
      </c>
      <c r="G181">
        <v>0.32466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0.98832360300250277</v>
      </c>
      <c r="Q181">
        <f t="shared" ref="Q181" si="881">F181*P181</f>
        <v>85804816.411176041</v>
      </c>
      <c r="R181">
        <f t="shared" ref="R181" si="882">R182+Q181</f>
        <v>-1733302033.2665865</v>
      </c>
      <c r="S181">
        <f t="shared" ref="S181" si="883">R181/100000</f>
        <v>-17333.020332665867</v>
      </c>
      <c r="T181">
        <f t="shared" ref="T181" si="884">S181/1000</f>
        <v>-17.333020332665868</v>
      </c>
    </row>
    <row r="182" spans="1:20" x14ac:dyDescent="0.25">
      <c r="A182" s="5">
        <v>44411</v>
      </c>
      <c r="B182">
        <v>0.30166999999999999</v>
      </c>
      <c r="C182">
        <v>0.30903000000000003</v>
      </c>
      <c r="D182">
        <v>0.28727999999999998</v>
      </c>
      <c r="E182">
        <v>0.29365000000000002</v>
      </c>
      <c r="F182">
        <v>62250281.799999997</v>
      </c>
      <c r="G182">
        <v>0.29365000000000002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-0.41425287356321577</v>
      </c>
      <c r="Q182">
        <f t="shared" ref="Q182" si="886">F182*P182</f>
        <v>-25787358.115769953</v>
      </c>
      <c r="R182">
        <f t="shared" ref="R182" si="887">R183+Q182</f>
        <v>-1819106849.6777625</v>
      </c>
      <c r="S182">
        <f t="shared" ref="S182" si="888">R182/100000</f>
        <v>-18191.068496777625</v>
      </c>
      <c r="T182">
        <f t="shared" ref="T182" si="889">S182/1000</f>
        <v>-18.191068496777625</v>
      </c>
    </row>
    <row r="183" spans="1:20" x14ac:dyDescent="0.25">
      <c r="A183" s="5">
        <v>44410</v>
      </c>
      <c r="B183">
        <v>0.30620000000000003</v>
      </c>
      <c r="C183">
        <v>0.33800000000000002</v>
      </c>
      <c r="D183">
        <v>0.29670999999999997</v>
      </c>
      <c r="E183">
        <v>0.30146000000000001</v>
      </c>
      <c r="F183">
        <v>105651709.3</v>
      </c>
      <c r="G183">
        <v>0.30146000000000001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-0.76992007750060421</v>
      </c>
      <c r="Q183">
        <f t="shared" ref="Q183" si="891">F183*P183</f>
        <v>-81343372.212327302</v>
      </c>
      <c r="R183">
        <f t="shared" ref="R183" si="892">R184+Q183</f>
        <v>-1793319491.5619926</v>
      </c>
      <c r="S183">
        <f t="shared" ref="S183" si="893">R183/100000</f>
        <v>-17933.194915619926</v>
      </c>
      <c r="T183">
        <f t="shared" ref="T183" si="894">S183/1000</f>
        <v>-17.933194915619925</v>
      </c>
    </row>
    <row r="184" spans="1:20" x14ac:dyDescent="0.25">
      <c r="A184" s="5">
        <v>44409</v>
      </c>
      <c r="B184">
        <v>0.32251000000000002</v>
      </c>
      <c r="C184">
        <v>0.32719999999999999</v>
      </c>
      <c r="D184">
        <v>0.29400999999999999</v>
      </c>
      <c r="E184">
        <v>0.30626999999999999</v>
      </c>
      <c r="F184">
        <v>85238172.799999997</v>
      </c>
      <c r="G184">
        <v>0.30626999999999999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-0.26122326001807811</v>
      </c>
      <c r="Q184">
        <f t="shared" ref="Q184" si="896">F184*P184</f>
        <v>-22266193.376800273</v>
      </c>
      <c r="R184">
        <f t="shared" ref="R184" si="897">R185+Q184</f>
        <v>-1711976119.3496654</v>
      </c>
      <c r="S184">
        <f t="shared" ref="S184" si="898">R184/100000</f>
        <v>-17119.761193496655</v>
      </c>
      <c r="T184">
        <f t="shared" ref="T184" si="899">S184/1000</f>
        <v>-17.119761193496654</v>
      </c>
    </row>
    <row r="185" spans="1:20" x14ac:dyDescent="0.25">
      <c r="A185" s="5">
        <v>44408</v>
      </c>
      <c r="B185">
        <v>0.32712000000000002</v>
      </c>
      <c r="C185">
        <v>0.34155000000000002</v>
      </c>
      <c r="D185">
        <v>0.31322</v>
      </c>
      <c r="E185">
        <v>0.3226</v>
      </c>
      <c r="F185">
        <v>88334491.299999997</v>
      </c>
      <c r="G185">
        <v>0.3226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-0.33780444758206901</v>
      </c>
      <c r="Q185">
        <f t="shared" ref="Q185" si="901">F185*P185</f>
        <v>-29839784.03603958</v>
      </c>
      <c r="R185">
        <f t="shared" ref="R185" si="902">R186+Q185</f>
        <v>-1689709925.9728651</v>
      </c>
      <c r="S185">
        <f t="shared" ref="S185" si="903">R185/100000</f>
        <v>-16897.099259728649</v>
      </c>
      <c r="T185">
        <f t="shared" ref="T185" si="904">S185/1000</f>
        <v>-16.897099259728648</v>
      </c>
    </row>
    <row r="186" spans="1:20" x14ac:dyDescent="0.25">
      <c r="A186" s="5">
        <v>44407</v>
      </c>
      <c r="B186">
        <v>0.33615</v>
      </c>
      <c r="C186">
        <v>0.34031</v>
      </c>
      <c r="D186">
        <v>0.30703000000000003</v>
      </c>
      <c r="E186">
        <v>0.32721</v>
      </c>
      <c r="F186">
        <v>104427968</v>
      </c>
      <c r="G186">
        <v>0.32721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0.21274038461538403</v>
      </c>
      <c r="Q186">
        <f t="shared" ref="Q186" si="906">F186*P186</f>
        <v>22216046.076923016</v>
      </c>
      <c r="R186">
        <f t="shared" ref="R186" si="907">R187+Q186</f>
        <v>-1659870141.9368255</v>
      </c>
      <c r="S186">
        <f t="shared" ref="S186" si="908">R186/100000</f>
        <v>-16598.701419368255</v>
      </c>
      <c r="T186">
        <f t="shared" ref="T186" si="909">S186/1000</f>
        <v>-16.598701419368254</v>
      </c>
    </row>
    <row r="187" spans="1:20" x14ac:dyDescent="0.25">
      <c r="A187" s="5">
        <v>44406</v>
      </c>
      <c r="B187">
        <v>0.33898</v>
      </c>
      <c r="C187">
        <v>0.35981999999999997</v>
      </c>
      <c r="D187">
        <v>0.32418999999999998</v>
      </c>
      <c r="E187">
        <v>0.33595000000000003</v>
      </c>
      <c r="F187">
        <v>138646187.19999999</v>
      </c>
      <c r="G187">
        <v>0.33595000000000003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-0.3398821218074628</v>
      </c>
      <c r="Q187">
        <f t="shared" ref="Q187" si="911">F187*P187</f>
        <v>-47123360.286050685</v>
      </c>
      <c r="R187">
        <f t="shared" ref="R187" si="912">R188+Q187</f>
        <v>-1682086188.0137486</v>
      </c>
      <c r="S187">
        <f t="shared" ref="S187" si="913">R187/100000</f>
        <v>-16820.861880137487</v>
      </c>
      <c r="T187">
        <f t="shared" ref="T187" si="914">S187/1000</f>
        <v>-16.820861880137485</v>
      </c>
    </row>
    <row r="188" spans="1:20" x14ac:dyDescent="0.25">
      <c r="A188" s="5">
        <v>44405</v>
      </c>
      <c r="B188">
        <v>0.35658000000000001</v>
      </c>
      <c r="C188">
        <v>0.38500000000000001</v>
      </c>
      <c r="D188">
        <v>0.33106999999999998</v>
      </c>
      <c r="E188">
        <v>0.33859</v>
      </c>
      <c r="F188">
        <v>187357462</v>
      </c>
      <c r="G188">
        <v>0.33859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-0.72111997033191089</v>
      </c>
      <c r="Q188">
        <f t="shared" ref="Q188" si="916">F188*P188</f>
        <v>-135107207.43890211</v>
      </c>
      <c r="R188">
        <f t="shared" ref="R188" si="917">R189+Q188</f>
        <v>-1634962827.7276978</v>
      </c>
      <c r="S188">
        <f t="shared" ref="S188" si="918">R188/100000</f>
        <v>-16349.628277276979</v>
      </c>
      <c r="T188">
        <f t="shared" ref="T188" si="919">S188/1000</f>
        <v>-16.349628277276977</v>
      </c>
    </row>
    <row r="189" spans="1:20" x14ac:dyDescent="0.25">
      <c r="A189" s="5">
        <v>44404</v>
      </c>
      <c r="B189">
        <v>0.32629000000000002</v>
      </c>
      <c r="C189">
        <v>0.40949999999999998</v>
      </c>
      <c r="D189">
        <v>0.3019</v>
      </c>
      <c r="E189">
        <v>0.35636000000000001</v>
      </c>
      <c r="F189">
        <v>350633203.30000001</v>
      </c>
      <c r="G189">
        <v>0.35636000000000001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1.2267657992565462E-2</v>
      </c>
      <c r="Q189">
        <f t="shared" ref="Q189" si="921">F189*P189</f>
        <v>4301448.2189220758</v>
      </c>
      <c r="R189">
        <f t="shared" ref="R189" si="922">R190+Q189</f>
        <v>-1499855620.2887957</v>
      </c>
      <c r="S189">
        <f t="shared" ref="S189" si="923">R189/100000</f>
        <v>-14998.556202887958</v>
      </c>
      <c r="T189">
        <f t="shared" ref="T189" si="924">S189/1000</f>
        <v>-14.998556202887958</v>
      </c>
    </row>
    <row r="190" spans="1:20" x14ac:dyDescent="0.25">
      <c r="A190" s="5">
        <v>44403</v>
      </c>
      <c r="B190">
        <v>0.39701999999999998</v>
      </c>
      <c r="C190">
        <v>0.41</v>
      </c>
      <c r="D190">
        <v>0.31328</v>
      </c>
      <c r="E190">
        <v>0.32629000000000002</v>
      </c>
      <c r="F190">
        <v>239423969.90000001</v>
      </c>
      <c r="G190">
        <v>0.32629000000000002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-0.73097601323407724</v>
      </c>
      <c r="Q190">
        <f t="shared" ref="Q190" si="926">F190*P190</f>
        <v>-175013178.99017772</v>
      </c>
      <c r="R190">
        <f t="shared" ref="R190" si="927">R191+Q190</f>
        <v>-1504157068.5077178</v>
      </c>
      <c r="S190">
        <f t="shared" ref="S190" si="928">R190/100000</f>
        <v>-15041.570685077178</v>
      </c>
      <c r="T190">
        <f t="shared" ref="T190" si="929">S190/1000</f>
        <v>-15.041570685077179</v>
      </c>
    </row>
    <row r="191" spans="1:20" x14ac:dyDescent="0.25">
      <c r="A191" s="5">
        <v>44402</v>
      </c>
      <c r="B191">
        <v>0.34823999999999999</v>
      </c>
      <c r="C191">
        <v>0.41924</v>
      </c>
      <c r="D191">
        <v>0.32393</v>
      </c>
      <c r="E191">
        <v>0.39734999999999998</v>
      </c>
      <c r="F191">
        <v>382820098.89999998</v>
      </c>
      <c r="G191">
        <v>0.39734999999999998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0.54065680411289441</v>
      </c>
      <c r="Q191">
        <f t="shared" ref="Q191" si="931">F191*P191</f>
        <v>206974291.22145614</v>
      </c>
      <c r="R191">
        <f t="shared" ref="R191" si="932">R192+Q191</f>
        <v>-1329143889.5175402</v>
      </c>
      <c r="S191">
        <f t="shared" ref="S191" si="933">R191/100000</f>
        <v>-13291.438895175403</v>
      </c>
      <c r="T191">
        <f t="shared" ref="T191" si="934">S191/1000</f>
        <v>-13.291438895175403</v>
      </c>
    </row>
    <row r="192" spans="1:20" x14ac:dyDescent="0.25">
      <c r="A192" s="5">
        <v>44401</v>
      </c>
      <c r="B192">
        <v>0.33505000000000001</v>
      </c>
      <c r="C192">
        <v>0.38950000000000001</v>
      </c>
      <c r="D192">
        <v>0.32400000000000001</v>
      </c>
      <c r="E192">
        <v>0.34793000000000002</v>
      </c>
      <c r="F192">
        <v>410406583.69999999</v>
      </c>
      <c r="G192">
        <v>0.34793000000000002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-0.26931297709923646</v>
      </c>
      <c r="Q192">
        <f t="shared" ref="Q192" si="936">F192*P192</f>
        <v>-110527818.87737396</v>
      </c>
      <c r="R192">
        <f t="shared" ref="R192" si="937">R193+Q192</f>
        <v>-1536118180.7389963</v>
      </c>
      <c r="S192">
        <f t="shared" ref="S192" si="938">R192/100000</f>
        <v>-15361.181807389963</v>
      </c>
      <c r="T192">
        <f t="shared" ref="T192:T197" si="939">S192/1000</f>
        <v>-15.361181807389963</v>
      </c>
    </row>
    <row r="193" spans="1:20" x14ac:dyDescent="0.25">
      <c r="A193" s="5">
        <v>44400</v>
      </c>
      <c r="B193">
        <v>0.26878999999999997</v>
      </c>
      <c r="C193">
        <v>0.35</v>
      </c>
      <c r="D193">
        <v>0.26556000000000002</v>
      </c>
      <c r="E193">
        <v>0.33542</v>
      </c>
      <c r="F193">
        <v>376406504.19999999</v>
      </c>
      <c r="G193">
        <v>0.33542</v>
      </c>
      <c r="L193" t="s">
        <v>8</v>
      </c>
      <c r="M193" t="s">
        <v>8</v>
      </c>
      <c r="N193" t="s">
        <v>8</v>
      </c>
      <c r="P193">
        <f t="shared" ref="P193" si="940">IF(C193=D193,0,((E193-D193)-(C193-E193))/(C193-D193))</f>
        <v>0.65466603505447685</v>
      </c>
      <c r="Q193">
        <f t="shared" ref="Q193" si="941">F193*P193</f>
        <v>246420553.67333028</v>
      </c>
      <c r="R193">
        <f t="shared" ref="R193" si="942">R194+Q193</f>
        <v>-1425590361.8616223</v>
      </c>
      <c r="S193">
        <f t="shared" ref="S193" si="943">R193/100000</f>
        <v>-14255.903618616223</v>
      </c>
      <c r="T193">
        <f t="shared" si="939"/>
        <v>-14.255903618616223</v>
      </c>
    </row>
    <row r="194" spans="1:20" x14ac:dyDescent="0.25">
      <c r="A194" s="5">
        <v>44399</v>
      </c>
      <c r="B194">
        <v>0.26939000000000002</v>
      </c>
      <c r="C194">
        <v>0.31245000000000001</v>
      </c>
      <c r="D194">
        <v>0.26428000000000001</v>
      </c>
      <c r="E194">
        <v>0.26905000000000001</v>
      </c>
      <c r="F194">
        <v>320147294.30000001</v>
      </c>
      <c r="G194">
        <v>0.26905000000000001</v>
      </c>
      <c r="L194" t="s">
        <v>8</v>
      </c>
      <c r="M194" t="s">
        <v>8</v>
      </c>
      <c r="N194" t="s">
        <v>8</v>
      </c>
      <c r="P194">
        <f t="shared" ref="P194" si="944">IF(C194=D194,0,((E194-D194)-(C194-E194))/(C194-D194))</f>
        <v>-0.80195142204691727</v>
      </c>
      <c r="Q194">
        <f t="shared" ref="Q194" si="945">F194*P194</f>
        <v>-256742577.92835793</v>
      </c>
      <c r="R194">
        <f t="shared" ref="R194" si="946">R195+Q194</f>
        <v>-1672010915.5349526</v>
      </c>
      <c r="S194">
        <f t="shared" ref="S194" si="947">R194/100000</f>
        <v>-16720.109155349528</v>
      </c>
      <c r="T194">
        <f t="shared" si="939"/>
        <v>-16.72010915534953</v>
      </c>
    </row>
    <row r="195" spans="1:20" x14ac:dyDescent="0.25">
      <c r="A195" s="5">
        <v>44398</v>
      </c>
      <c r="B195">
        <v>0.24154999999999999</v>
      </c>
      <c r="C195">
        <v>0.29643999999999998</v>
      </c>
      <c r="D195">
        <v>0.23859</v>
      </c>
      <c r="E195">
        <v>0.26951999999999998</v>
      </c>
      <c r="F195">
        <v>325473246.69999999</v>
      </c>
      <c r="G195">
        <v>0.26951999999999998</v>
      </c>
      <c r="L195" t="s">
        <v>8</v>
      </c>
      <c r="M195" t="s">
        <v>8</v>
      </c>
      <c r="N195" t="s">
        <v>8</v>
      </c>
      <c r="P195">
        <f t="shared" ref="P195" si="948">IF(C195=D195,0,((E195-D195)-(C195-E195))/(C195-D195))</f>
        <v>6.9317199654278072E-2</v>
      </c>
      <c r="Q195">
        <f t="shared" ref="Q195" si="949">F195*P195</f>
        <v>22560894.023630001</v>
      </c>
      <c r="R195">
        <f t="shared" ref="R195" si="950">R196+Q195</f>
        <v>-1415268337.6065948</v>
      </c>
      <c r="S195">
        <f t="shared" ref="S195" si="951">R195/100000</f>
        <v>-14152.683376065948</v>
      </c>
      <c r="T195">
        <f t="shared" si="939"/>
        <v>-14.152683376065948</v>
      </c>
    </row>
    <row r="196" spans="1:20" x14ac:dyDescent="0.25">
      <c r="A196" s="5">
        <v>44397</v>
      </c>
      <c r="B196">
        <v>0.22731000000000001</v>
      </c>
      <c r="C196">
        <v>0.26088</v>
      </c>
      <c r="D196">
        <v>0.19717000000000001</v>
      </c>
      <c r="E196">
        <v>0.24159</v>
      </c>
      <c r="F196">
        <v>357397619.60000002</v>
      </c>
      <c r="G196">
        <v>0.24159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0.39444357243760775</v>
      </c>
      <c r="Q196">
        <f t="shared" ref="Q196" si="953">F196*P196</f>
        <v>140973193.85572118</v>
      </c>
      <c r="R196">
        <f t="shared" ref="R196" si="954">R197+Q196</f>
        <v>-1437829231.6302247</v>
      </c>
      <c r="S196">
        <f t="shared" ref="S196" si="955">R196/100000</f>
        <v>-14378.292316302248</v>
      </c>
      <c r="T196">
        <f t="shared" si="939"/>
        <v>-14.378292316302248</v>
      </c>
    </row>
    <row r="197" spans="1:20" x14ac:dyDescent="0.25">
      <c r="A197" s="5">
        <v>44396</v>
      </c>
      <c r="B197">
        <v>0.26328000000000001</v>
      </c>
      <c r="C197">
        <v>0.27544000000000002</v>
      </c>
      <c r="D197">
        <v>0.22301000000000001</v>
      </c>
      <c r="E197">
        <v>0.22753000000000001</v>
      </c>
      <c r="F197">
        <v>357217257.89999998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6">IF(C197=D197,0,((E197-D197)-(C197-E197))/(C197-D197))</f>
        <v>-0.82757962998283441</v>
      </c>
      <c r="Q197">
        <f t="shared" ref="Q197" si="957">F197*P197</f>
        <v>-295625726.11636472</v>
      </c>
      <c r="R197">
        <f t="shared" ref="R197" si="958">R198+Q197</f>
        <v>-1578802425.4859459</v>
      </c>
      <c r="S197">
        <f t="shared" ref="S197" si="959">R197/100000</f>
        <v>-15788.02425485946</v>
      </c>
      <c r="T197">
        <f t="shared" si="939"/>
        <v>-15.78802425485946</v>
      </c>
    </row>
    <row r="198" spans="1:20" x14ac:dyDescent="0.25">
      <c r="A198" s="5">
        <v>44395</v>
      </c>
      <c r="B198">
        <v>0.19703000000000001</v>
      </c>
      <c r="C198">
        <v>0.28199999999999997</v>
      </c>
      <c r="D198">
        <v>0.19581000000000001</v>
      </c>
      <c r="E198">
        <v>0.26324999999999998</v>
      </c>
      <c r="F198">
        <v>579619981.70000005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60">IF(C198=D198,0,((E198-D198)-(C198-E198))/(C198-D198))</f>
        <v>0.56491472328576409</v>
      </c>
      <c r="Q198">
        <f t="shared" ref="Q198:Q261" si="961">F198*P198</f>
        <v>327435861.57295519</v>
      </c>
      <c r="R198">
        <f t="shared" ref="R198:R261" si="962">R199+Q198</f>
        <v>-1283176699.3695812</v>
      </c>
      <c r="S198">
        <f t="shared" ref="S198:S261" si="963">R198/100000</f>
        <v>-12831.766993695812</v>
      </c>
      <c r="T198">
        <f t="shared" ref="T198:T261" si="964">S198/1000</f>
        <v>-12.831766993695812</v>
      </c>
    </row>
    <row r="199" spans="1:20" x14ac:dyDescent="0.25">
      <c r="A199" s="5">
        <v>44394</v>
      </c>
      <c r="B199">
        <v>0.21162</v>
      </c>
      <c r="C199">
        <v>0.21462000000000001</v>
      </c>
      <c r="D199">
        <v>0.19</v>
      </c>
      <c r="E199">
        <v>0.19697000000000001</v>
      </c>
      <c r="F199">
        <v>190892408.5</v>
      </c>
      <c r="G199">
        <v>0</v>
      </c>
      <c r="L199" t="s">
        <v>7</v>
      </c>
      <c r="M199" t="s">
        <v>7</v>
      </c>
      <c r="N199" t="s">
        <v>7</v>
      </c>
      <c r="P199">
        <f t="shared" si="960"/>
        <v>-0.43379366368805822</v>
      </c>
      <c r="Q199">
        <f t="shared" si="961"/>
        <v>-82807917.25345242</v>
      </c>
      <c r="R199">
        <f t="shared" si="962"/>
        <v>-1610612560.9425364</v>
      </c>
      <c r="S199">
        <f t="shared" si="963"/>
        <v>-16106.125609425364</v>
      </c>
      <c r="T199">
        <f t="shared" si="964"/>
        <v>-16.106125609425366</v>
      </c>
    </row>
    <row r="200" spans="1:20" x14ac:dyDescent="0.25">
      <c r="A200" s="5">
        <v>44393</v>
      </c>
      <c r="B200">
        <v>0.25247000000000003</v>
      </c>
      <c r="C200">
        <v>0.27151999999999998</v>
      </c>
      <c r="D200">
        <v>0.20777000000000001</v>
      </c>
      <c r="E200">
        <v>0.21153</v>
      </c>
      <c r="F200">
        <v>329097391.80000001</v>
      </c>
      <c r="G200">
        <v>0</v>
      </c>
      <c r="L200" t="s">
        <v>7</v>
      </c>
      <c r="M200" t="s">
        <v>7</v>
      </c>
      <c r="N200" t="s">
        <v>7</v>
      </c>
      <c r="P200">
        <f t="shared" si="960"/>
        <v>-0.88203921568627486</v>
      </c>
      <c r="Q200">
        <f t="shared" si="961"/>
        <v>-290276805.34767073</v>
      </c>
      <c r="R200">
        <f t="shared" si="962"/>
        <v>-1527804643.6890838</v>
      </c>
      <c r="S200">
        <f t="shared" si="963"/>
        <v>-15278.046436890838</v>
      </c>
      <c r="T200">
        <f t="shared" si="964"/>
        <v>-15.278046436890838</v>
      </c>
    </row>
    <row r="201" spans="1:20" x14ac:dyDescent="0.25">
      <c r="A201" s="5">
        <v>44392</v>
      </c>
      <c r="B201">
        <v>0.25163999999999997</v>
      </c>
      <c r="C201">
        <v>0.33837</v>
      </c>
      <c r="D201">
        <v>0.24457999999999999</v>
      </c>
      <c r="E201">
        <v>0.25276999999999999</v>
      </c>
      <c r="F201">
        <v>659955067.60000002</v>
      </c>
      <c r="G201">
        <v>0</v>
      </c>
      <c r="L201" t="s">
        <v>8</v>
      </c>
      <c r="M201" t="s">
        <v>8</v>
      </c>
      <c r="N201" t="s">
        <v>8</v>
      </c>
      <c r="P201">
        <f t="shared" si="960"/>
        <v>-0.82535451540675975</v>
      </c>
      <c r="Q201">
        <f t="shared" si="961"/>
        <v>-544696895.00923336</v>
      </c>
      <c r="R201">
        <f t="shared" si="962"/>
        <v>-1237527838.341413</v>
      </c>
      <c r="S201">
        <f t="shared" si="963"/>
        <v>-12375.27838341413</v>
      </c>
      <c r="T201">
        <f t="shared" si="964"/>
        <v>-12.37527838341413</v>
      </c>
    </row>
    <row r="202" spans="1:20" x14ac:dyDescent="0.25">
      <c r="A202" s="5">
        <v>44391</v>
      </c>
      <c r="B202">
        <v>0.20529</v>
      </c>
      <c r="C202">
        <v>0.25600000000000001</v>
      </c>
      <c r="D202">
        <v>0.18476999999999999</v>
      </c>
      <c r="E202">
        <v>0.25163999999999997</v>
      </c>
      <c r="F202">
        <v>386147340.69999999</v>
      </c>
      <c r="G202">
        <v>0</v>
      </c>
      <c r="L202" t="s">
        <v>8</v>
      </c>
      <c r="M202" t="s">
        <v>8</v>
      </c>
      <c r="N202" t="s">
        <v>8</v>
      </c>
      <c r="P202">
        <f t="shared" si="960"/>
        <v>0.87757967148673233</v>
      </c>
      <c r="Q202">
        <f t="shared" si="961"/>
        <v>338875056.3969813</v>
      </c>
      <c r="R202">
        <f t="shared" si="962"/>
        <v>-692830943.33217978</v>
      </c>
      <c r="S202">
        <f t="shared" si="963"/>
        <v>-6928.3094333217978</v>
      </c>
      <c r="T202">
        <f t="shared" si="964"/>
        <v>-6.9283094333217976</v>
      </c>
    </row>
    <row r="203" spans="1:20" x14ac:dyDescent="0.25">
      <c r="A203" s="5">
        <v>44390</v>
      </c>
      <c r="B203">
        <v>0.16464999999999999</v>
      </c>
      <c r="C203">
        <v>0.20663000000000001</v>
      </c>
      <c r="D203">
        <v>0.16172</v>
      </c>
      <c r="E203">
        <v>0.20529</v>
      </c>
      <c r="F203">
        <v>241695898.19999999</v>
      </c>
      <c r="G203">
        <v>0</v>
      </c>
      <c r="L203" t="s">
        <v>8</v>
      </c>
      <c r="M203" t="s">
        <v>8</v>
      </c>
      <c r="N203" t="s">
        <v>8</v>
      </c>
      <c r="P203">
        <f t="shared" si="960"/>
        <v>0.9403250946337115</v>
      </c>
      <c r="Q203">
        <f t="shared" si="961"/>
        <v>227272718.3474949</v>
      </c>
      <c r="R203">
        <f t="shared" si="962"/>
        <v>-1031705999.729161</v>
      </c>
      <c r="S203">
        <f t="shared" si="963"/>
        <v>-10317.05999729161</v>
      </c>
      <c r="T203">
        <f t="shared" si="964"/>
        <v>-10.31705999729161</v>
      </c>
    </row>
    <row r="204" spans="1:20" x14ac:dyDescent="0.25">
      <c r="A204" s="5">
        <v>44389</v>
      </c>
      <c r="B204">
        <v>0.17674000000000001</v>
      </c>
      <c r="C204">
        <v>0.18379000000000001</v>
      </c>
      <c r="D204">
        <v>0.1595</v>
      </c>
      <c r="E204">
        <v>0.16456000000000001</v>
      </c>
      <c r="F204">
        <v>104509721.59999999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-0.58336764100452798</v>
      </c>
      <c r="Q204">
        <f t="shared" si="961"/>
        <v>-60967589.751831964</v>
      </c>
      <c r="R204">
        <f t="shared" si="962"/>
        <v>-1258978718.0766559</v>
      </c>
      <c r="S204">
        <f t="shared" si="963"/>
        <v>-12589.787180766558</v>
      </c>
      <c r="T204">
        <f t="shared" si="964"/>
        <v>-12.589787180766558</v>
      </c>
    </row>
    <row r="205" spans="1:20" x14ac:dyDescent="0.25">
      <c r="A205" s="5">
        <v>44388</v>
      </c>
      <c r="B205">
        <v>0.18989</v>
      </c>
      <c r="C205">
        <v>0.19500000000000001</v>
      </c>
      <c r="D205">
        <v>0.17388000000000001</v>
      </c>
      <c r="E205">
        <v>0.17655000000000001</v>
      </c>
      <c r="F205">
        <v>133489304</v>
      </c>
      <c r="G205">
        <v>0</v>
      </c>
      <c r="L205" t="s">
        <v>8</v>
      </c>
      <c r="M205" t="s">
        <v>8</v>
      </c>
      <c r="N205" t="s">
        <v>8</v>
      </c>
      <c r="P205">
        <f t="shared" si="960"/>
        <v>-0.74715909090909038</v>
      </c>
      <c r="Q205">
        <f t="shared" si="961"/>
        <v>-99737747.022727206</v>
      </c>
      <c r="R205">
        <f t="shared" si="962"/>
        <v>-1198011128.3248239</v>
      </c>
      <c r="S205">
        <f t="shared" si="963"/>
        <v>-11980.111283248238</v>
      </c>
      <c r="T205">
        <f t="shared" si="964"/>
        <v>-11.980111283248238</v>
      </c>
    </row>
    <row r="206" spans="1:20" x14ac:dyDescent="0.25">
      <c r="A206" s="5">
        <v>44387</v>
      </c>
      <c r="B206">
        <v>0.15529999999999999</v>
      </c>
      <c r="C206">
        <v>0.1923</v>
      </c>
      <c r="D206">
        <v>0.15423999999999999</v>
      </c>
      <c r="E206">
        <v>0.19</v>
      </c>
      <c r="F206">
        <v>212146821.80000001</v>
      </c>
      <c r="G206">
        <v>0</v>
      </c>
      <c r="L206" t="s">
        <v>8</v>
      </c>
      <c r="M206" t="s">
        <v>8</v>
      </c>
      <c r="N206" t="s">
        <v>8</v>
      </c>
      <c r="P206">
        <f t="shared" si="960"/>
        <v>0.879138202837625</v>
      </c>
      <c r="Q206">
        <f t="shared" si="961"/>
        <v>186506375.65496591</v>
      </c>
      <c r="R206">
        <f t="shared" si="962"/>
        <v>-1098273381.3020966</v>
      </c>
      <c r="S206">
        <f t="shared" si="963"/>
        <v>-10982.733813020966</v>
      </c>
      <c r="T206">
        <f t="shared" si="964"/>
        <v>-10.982733813020966</v>
      </c>
    </row>
    <row r="207" spans="1:20" x14ac:dyDescent="0.25">
      <c r="A207" s="5">
        <v>44386</v>
      </c>
      <c r="B207">
        <v>0.15281</v>
      </c>
      <c r="C207">
        <v>0.15948000000000001</v>
      </c>
      <c r="D207">
        <v>0.14499999999999999</v>
      </c>
      <c r="E207">
        <v>0.15529000000000001</v>
      </c>
      <c r="F207">
        <v>93928438.799999997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0.42127071823204515</v>
      </c>
      <c r="Q207">
        <f t="shared" si="961"/>
        <v>39569300.875690699</v>
      </c>
      <c r="R207">
        <f t="shared" si="962"/>
        <v>-1284779756.9570625</v>
      </c>
      <c r="S207">
        <f t="shared" si="963"/>
        <v>-12847.797569570625</v>
      </c>
      <c r="T207">
        <f t="shared" si="964"/>
        <v>-12.847797569570625</v>
      </c>
    </row>
    <row r="208" spans="1:20" x14ac:dyDescent="0.25">
      <c r="A208" s="5">
        <v>44385</v>
      </c>
      <c r="B208">
        <v>0.15962000000000001</v>
      </c>
      <c r="C208">
        <v>0.185</v>
      </c>
      <c r="D208">
        <v>0.15090999999999999</v>
      </c>
      <c r="E208">
        <v>0.15279999999999999</v>
      </c>
      <c r="F208">
        <v>270807951.19999999</v>
      </c>
      <c r="G208">
        <v>0</v>
      </c>
      <c r="L208" t="s">
        <v>8</v>
      </c>
      <c r="M208" t="s">
        <v>8</v>
      </c>
      <c r="N208" t="s">
        <v>8</v>
      </c>
      <c r="P208">
        <f t="shared" si="960"/>
        <v>-0.88911704312114981</v>
      </c>
      <c r="Q208">
        <f t="shared" si="961"/>
        <v>-240779964.82464063</v>
      </c>
      <c r="R208">
        <f t="shared" si="962"/>
        <v>-1324349057.8327532</v>
      </c>
      <c r="S208">
        <f t="shared" si="963"/>
        <v>-13243.490578327532</v>
      </c>
      <c r="T208">
        <f t="shared" si="964"/>
        <v>-13.243490578327531</v>
      </c>
    </row>
    <row r="209" spans="1:20" x14ac:dyDescent="0.25">
      <c r="A209" s="5">
        <v>44384</v>
      </c>
      <c r="B209">
        <v>0.14804999999999999</v>
      </c>
      <c r="C209">
        <v>0.17222000000000001</v>
      </c>
      <c r="D209">
        <v>0.14646000000000001</v>
      </c>
      <c r="E209">
        <v>0.15972</v>
      </c>
      <c r="F209">
        <v>116487073.3</v>
      </c>
      <c r="G209">
        <v>0</v>
      </c>
      <c r="L209" t="s">
        <v>8</v>
      </c>
      <c r="M209" t="s">
        <v>8</v>
      </c>
      <c r="N209" t="s">
        <v>8</v>
      </c>
      <c r="P209">
        <f t="shared" si="960"/>
        <v>2.9503105590061442E-2</v>
      </c>
      <c r="Q209">
        <f t="shared" si="961"/>
        <v>3436730.423447127</v>
      </c>
      <c r="R209">
        <f t="shared" si="962"/>
        <v>-1083569093.0081124</v>
      </c>
      <c r="S209">
        <f t="shared" si="963"/>
        <v>-10835.690930081124</v>
      </c>
      <c r="T209">
        <f t="shared" si="964"/>
        <v>-10.835690930081125</v>
      </c>
    </row>
    <row r="210" spans="1:20" x14ac:dyDescent="0.25">
      <c r="A210" s="5">
        <v>44383</v>
      </c>
      <c r="B210">
        <v>0.14121</v>
      </c>
      <c r="C210">
        <v>0.155</v>
      </c>
      <c r="D210">
        <v>0.14113000000000001</v>
      </c>
      <c r="E210">
        <v>0.14809</v>
      </c>
      <c r="F210">
        <v>57327699.399999999</v>
      </c>
      <c r="G210">
        <v>0</v>
      </c>
      <c r="L210" t="s">
        <v>8</v>
      </c>
      <c r="M210" t="s">
        <v>8</v>
      </c>
      <c r="N210" t="s">
        <v>7</v>
      </c>
      <c r="P210">
        <f t="shared" si="960"/>
        <v>3.6049026676275788E-3</v>
      </c>
      <c r="Q210">
        <f t="shared" si="961"/>
        <v>206660.77649601194</v>
      </c>
      <c r="R210">
        <f t="shared" si="962"/>
        <v>-1087005823.4315596</v>
      </c>
      <c r="S210">
        <f t="shared" si="963"/>
        <v>-10870.058234315595</v>
      </c>
      <c r="T210">
        <f t="shared" si="964"/>
        <v>-10.870058234315595</v>
      </c>
    </row>
    <row r="211" spans="1:20" x14ac:dyDescent="0.25">
      <c r="A211" s="5">
        <v>44382</v>
      </c>
      <c r="B211">
        <v>0.15</v>
      </c>
      <c r="C211">
        <v>0.15237999999999999</v>
      </c>
      <c r="D211">
        <v>0.13675000000000001</v>
      </c>
      <c r="E211">
        <v>0.14146</v>
      </c>
      <c r="F211">
        <v>56195379.799999997</v>
      </c>
      <c r="G211">
        <v>0</v>
      </c>
      <c r="L211" t="s">
        <v>7</v>
      </c>
      <c r="M211" t="s">
        <v>8</v>
      </c>
      <c r="N211" t="s">
        <v>7</v>
      </c>
      <c r="P211">
        <f t="shared" si="960"/>
        <v>-0.397312859884837</v>
      </c>
      <c r="Q211">
        <f t="shared" si="961"/>
        <v>-22327147.060652599</v>
      </c>
      <c r="R211">
        <f t="shared" si="962"/>
        <v>-1087212484.2080555</v>
      </c>
      <c r="S211">
        <f t="shared" si="963"/>
        <v>-10872.124842080555</v>
      </c>
      <c r="T211">
        <f t="shared" si="964"/>
        <v>-10.872124842080556</v>
      </c>
    </row>
    <row r="212" spans="1:20" x14ac:dyDescent="0.25">
      <c r="A212" s="5">
        <v>44381</v>
      </c>
      <c r="B212">
        <v>0.14111000000000001</v>
      </c>
      <c r="C212">
        <v>0.16116</v>
      </c>
      <c r="D212">
        <v>0.13611000000000001</v>
      </c>
      <c r="E212">
        <v>0.15003</v>
      </c>
      <c r="F212">
        <v>113498903.8</v>
      </c>
      <c r="G212">
        <v>0</v>
      </c>
      <c r="L212" t="s">
        <v>8</v>
      </c>
      <c r="M212" t="s">
        <v>8</v>
      </c>
      <c r="N212" t="s">
        <v>7</v>
      </c>
      <c r="P212">
        <f t="shared" si="960"/>
        <v>0.11137724550898156</v>
      </c>
      <c r="Q212">
        <f t="shared" si="961"/>
        <v>12641195.27353288</v>
      </c>
      <c r="R212">
        <f t="shared" si="962"/>
        <v>-1064885337.147403</v>
      </c>
      <c r="S212">
        <f t="shared" si="963"/>
        <v>-10648.85337147403</v>
      </c>
      <c r="T212">
        <f t="shared" si="964"/>
        <v>-10.648853371474029</v>
      </c>
    </row>
    <row r="213" spans="1:20" x14ac:dyDescent="0.25">
      <c r="A213" s="5">
        <v>44380</v>
      </c>
      <c r="B213">
        <v>0.13533999999999999</v>
      </c>
      <c r="C213">
        <v>0.14419999999999999</v>
      </c>
      <c r="D213">
        <v>0.13236999999999999</v>
      </c>
      <c r="E213">
        <v>0.14105000000000001</v>
      </c>
      <c r="F213">
        <v>33013523.100000001</v>
      </c>
      <c r="G213">
        <v>0</v>
      </c>
      <c r="L213" t="s">
        <v>8</v>
      </c>
      <c r="M213" t="s">
        <v>8</v>
      </c>
      <c r="N213" t="s">
        <v>7</v>
      </c>
      <c r="P213">
        <f t="shared" si="960"/>
        <v>0.46745562130177781</v>
      </c>
      <c r="Q213">
        <f t="shared" si="961"/>
        <v>15432356.952071095</v>
      </c>
      <c r="R213">
        <f t="shared" si="962"/>
        <v>-1077526532.4209359</v>
      </c>
      <c r="S213">
        <f t="shared" si="963"/>
        <v>-10775.265324209358</v>
      </c>
      <c r="T213">
        <f t="shared" si="964"/>
        <v>-10.775265324209359</v>
      </c>
    </row>
    <row r="214" spans="1:20" x14ac:dyDescent="0.25">
      <c r="A214" s="5">
        <v>44379</v>
      </c>
      <c r="B214">
        <v>0.13621</v>
      </c>
      <c r="C214">
        <v>0.13829</v>
      </c>
      <c r="D214">
        <v>0.13006000000000001</v>
      </c>
      <c r="E214">
        <v>0.13533999999999999</v>
      </c>
      <c r="F214">
        <v>40974768.600000001</v>
      </c>
      <c r="G214">
        <v>0</v>
      </c>
      <c r="L214" t="s">
        <v>7</v>
      </c>
      <c r="M214" t="s">
        <v>8</v>
      </c>
      <c r="N214" t="s">
        <v>7</v>
      </c>
      <c r="P214">
        <f t="shared" si="960"/>
        <v>0.28311057108140641</v>
      </c>
      <c r="Q214">
        <f t="shared" si="961"/>
        <v>11600390.13827448</v>
      </c>
      <c r="R214">
        <f t="shared" si="962"/>
        <v>-1092958889.3730071</v>
      </c>
      <c r="S214">
        <f t="shared" si="963"/>
        <v>-10929.58889373007</v>
      </c>
      <c r="T214">
        <f t="shared" si="964"/>
        <v>-10.92958889373007</v>
      </c>
    </row>
    <row r="215" spans="1:20" x14ac:dyDescent="0.25">
      <c r="A215" s="5">
        <v>44378</v>
      </c>
      <c r="B215">
        <v>0.14879000000000001</v>
      </c>
      <c r="C215">
        <v>0.15028</v>
      </c>
      <c r="D215">
        <v>0.13427</v>
      </c>
      <c r="E215">
        <v>0.13635</v>
      </c>
      <c r="F215">
        <v>46592289.100000001</v>
      </c>
      <c r="G215">
        <v>0</v>
      </c>
      <c r="L215" t="s">
        <v>7</v>
      </c>
      <c r="M215" t="s">
        <v>8</v>
      </c>
      <c r="N215" t="s">
        <v>7</v>
      </c>
      <c r="P215">
        <f t="shared" si="960"/>
        <v>-0.74016239850093701</v>
      </c>
      <c r="Q215">
        <f t="shared" si="961"/>
        <v>-34485860.451905064</v>
      </c>
      <c r="R215">
        <f t="shared" si="962"/>
        <v>-1104559279.5112815</v>
      </c>
      <c r="S215">
        <f t="shared" si="963"/>
        <v>-11045.592795112814</v>
      </c>
      <c r="T215">
        <f t="shared" si="964"/>
        <v>-11.045592795112814</v>
      </c>
    </row>
    <row r="216" spans="1:20" x14ac:dyDescent="0.25">
      <c r="A216" s="5">
        <v>44377</v>
      </c>
      <c r="B216">
        <v>0.14606</v>
      </c>
      <c r="C216">
        <v>0.14968999999999999</v>
      </c>
      <c r="D216">
        <v>0.13786999999999999</v>
      </c>
      <c r="E216">
        <v>0.14877000000000001</v>
      </c>
      <c r="F216">
        <v>52983413.200000003</v>
      </c>
      <c r="G216">
        <v>0</v>
      </c>
      <c r="L216" t="s">
        <v>7</v>
      </c>
      <c r="M216" t="s">
        <v>8</v>
      </c>
      <c r="N216" t="s">
        <v>7</v>
      </c>
      <c r="P216">
        <f t="shared" si="960"/>
        <v>0.84433164128595994</v>
      </c>
      <c r="Q216">
        <f t="shared" si="961"/>
        <v>44735572.2280882</v>
      </c>
      <c r="R216">
        <f t="shared" si="962"/>
        <v>-1070073419.0593765</v>
      </c>
      <c r="S216">
        <f t="shared" si="963"/>
        <v>-10700.734190593765</v>
      </c>
      <c r="T216">
        <f t="shared" si="964"/>
        <v>-10.700734190593765</v>
      </c>
    </row>
    <row r="217" spans="1:20" x14ac:dyDescent="0.25">
      <c r="A217" s="5">
        <v>44376</v>
      </c>
      <c r="B217">
        <v>0.14485999999999999</v>
      </c>
      <c r="C217">
        <v>0.15337999999999999</v>
      </c>
      <c r="D217">
        <v>0.14393</v>
      </c>
      <c r="E217">
        <v>0.14607999999999999</v>
      </c>
      <c r="F217">
        <v>49004745.700000003</v>
      </c>
      <c r="G217">
        <v>0</v>
      </c>
      <c r="L217" t="s">
        <v>8</v>
      </c>
      <c r="M217" t="s">
        <v>8</v>
      </c>
      <c r="N217" t="s">
        <v>7</v>
      </c>
      <c r="P217">
        <f t="shared" si="960"/>
        <v>-0.54497354497354744</v>
      </c>
      <c r="Q217">
        <f t="shared" si="961"/>
        <v>-26706289.984656207</v>
      </c>
      <c r="R217">
        <f t="shared" si="962"/>
        <v>-1114808991.2874646</v>
      </c>
      <c r="S217">
        <f t="shared" si="963"/>
        <v>-11148.089912874646</v>
      </c>
      <c r="T217">
        <f t="shared" si="964"/>
        <v>-11.148089912874646</v>
      </c>
    </row>
    <row r="218" spans="1:20" x14ac:dyDescent="0.25">
      <c r="A218" s="5">
        <v>44375</v>
      </c>
      <c r="B218">
        <v>0.13758000000000001</v>
      </c>
      <c r="C218">
        <v>0.15132000000000001</v>
      </c>
      <c r="D218">
        <v>0.13507</v>
      </c>
      <c r="E218">
        <v>0.14477000000000001</v>
      </c>
      <c r="F218">
        <v>57805105.200000003</v>
      </c>
      <c r="G218">
        <v>0</v>
      </c>
      <c r="L218" t="s">
        <v>8</v>
      </c>
      <c r="M218" t="s">
        <v>8</v>
      </c>
      <c r="N218" t="s">
        <v>7</v>
      </c>
      <c r="P218">
        <f t="shared" si="960"/>
        <v>0.19384615384615453</v>
      </c>
      <c r="Q218">
        <f t="shared" si="961"/>
        <v>11205297.315692348</v>
      </c>
      <c r="R218">
        <f t="shared" si="962"/>
        <v>-1088102701.3028085</v>
      </c>
      <c r="S218">
        <f t="shared" si="963"/>
        <v>-10881.027013028086</v>
      </c>
      <c r="T218">
        <f t="shared" si="964"/>
        <v>-10.881027013028087</v>
      </c>
    </row>
    <row r="219" spans="1:20" x14ac:dyDescent="0.25">
      <c r="A219" s="5">
        <v>44374</v>
      </c>
      <c r="B219">
        <v>0.13514999999999999</v>
      </c>
      <c r="C219">
        <v>0.13780000000000001</v>
      </c>
      <c r="D219">
        <v>0.12626000000000001</v>
      </c>
      <c r="E219">
        <v>0.13753000000000001</v>
      </c>
      <c r="F219">
        <v>41837871.100000001</v>
      </c>
      <c r="G219">
        <v>0</v>
      </c>
      <c r="L219" t="s">
        <v>8</v>
      </c>
      <c r="M219" t="s">
        <v>7</v>
      </c>
      <c r="N219" t="s">
        <v>7</v>
      </c>
      <c r="P219">
        <f t="shared" si="960"/>
        <v>0.9532062391681122</v>
      </c>
      <c r="Q219">
        <f t="shared" si="961"/>
        <v>39880119.76603125</v>
      </c>
      <c r="R219">
        <f t="shared" si="962"/>
        <v>-1099307998.6185009</v>
      </c>
      <c r="S219">
        <f t="shared" si="963"/>
        <v>-10993.07998618501</v>
      </c>
      <c r="T219">
        <f t="shared" si="964"/>
        <v>-10.993079986185011</v>
      </c>
    </row>
    <row r="220" spans="1:20" x14ac:dyDescent="0.25">
      <c r="A220" s="5">
        <v>44373</v>
      </c>
      <c r="B220">
        <v>0.12814999999999999</v>
      </c>
      <c r="C220">
        <v>0.13707</v>
      </c>
      <c r="D220">
        <v>0.1217</v>
      </c>
      <c r="E220">
        <v>0.13499</v>
      </c>
      <c r="F220">
        <v>59132930.600000001</v>
      </c>
      <c r="G220">
        <v>0</v>
      </c>
      <c r="L220" t="s">
        <v>7</v>
      </c>
      <c r="M220" t="s">
        <v>7</v>
      </c>
      <c r="N220" t="s">
        <v>7</v>
      </c>
      <c r="P220">
        <f t="shared" si="960"/>
        <v>0.72934287573194545</v>
      </c>
      <c r="Q220">
        <f t="shared" si="961"/>
        <v>43128181.654261559</v>
      </c>
      <c r="R220">
        <f t="shared" si="962"/>
        <v>-1139188118.3845322</v>
      </c>
      <c r="S220">
        <f t="shared" si="963"/>
        <v>-11391.881183845322</v>
      </c>
      <c r="T220">
        <f t="shared" si="964"/>
        <v>-11.391881183845323</v>
      </c>
    </row>
    <row r="221" spans="1:20" x14ac:dyDescent="0.25">
      <c r="A221" s="5">
        <v>44372</v>
      </c>
      <c r="B221">
        <v>0.14676</v>
      </c>
      <c r="C221">
        <v>0.14893000000000001</v>
      </c>
      <c r="D221">
        <v>0.12686</v>
      </c>
      <c r="E221">
        <v>0.12825</v>
      </c>
      <c r="F221">
        <v>55686915.100000001</v>
      </c>
      <c r="G221">
        <v>0</v>
      </c>
      <c r="L221" t="s">
        <v>7</v>
      </c>
      <c r="M221" t="s">
        <v>7</v>
      </c>
      <c r="N221" t="s">
        <v>7</v>
      </c>
      <c r="P221">
        <f t="shared" si="960"/>
        <v>-0.87403715450838226</v>
      </c>
      <c r="Q221">
        <f t="shared" si="961"/>
        <v>-48672432.817353867</v>
      </c>
      <c r="R221">
        <f t="shared" si="962"/>
        <v>-1182316300.0387938</v>
      </c>
      <c r="S221">
        <f t="shared" si="963"/>
        <v>-11823.163000387938</v>
      </c>
      <c r="T221">
        <f t="shared" si="964"/>
        <v>-11.823163000387938</v>
      </c>
    </row>
    <row r="222" spans="1:20" x14ac:dyDescent="0.25">
      <c r="A222" s="5">
        <v>44371</v>
      </c>
      <c r="B222">
        <v>0.14333000000000001</v>
      </c>
      <c r="C222">
        <v>0.14878</v>
      </c>
      <c r="D222">
        <v>0.13649</v>
      </c>
      <c r="E222">
        <v>0.14668999999999999</v>
      </c>
      <c r="F222">
        <v>41967987.299999997</v>
      </c>
      <c r="G222">
        <v>0</v>
      </c>
      <c r="L222" t="s">
        <v>7</v>
      </c>
      <c r="M222" t="s">
        <v>8</v>
      </c>
      <c r="N222" t="s">
        <v>7</v>
      </c>
      <c r="P222">
        <f t="shared" si="960"/>
        <v>0.65988608624898137</v>
      </c>
      <c r="Q222">
        <f t="shared" si="961"/>
        <v>27694090.887143955</v>
      </c>
      <c r="R222">
        <f t="shared" si="962"/>
        <v>-1133643867.2214398</v>
      </c>
      <c r="S222">
        <f t="shared" si="963"/>
        <v>-11336.438672214399</v>
      </c>
      <c r="T222">
        <f t="shared" si="964"/>
        <v>-11.336438672214399</v>
      </c>
    </row>
    <row r="223" spans="1:20" x14ac:dyDescent="0.25">
      <c r="A223" s="5">
        <v>44370</v>
      </c>
      <c r="B223">
        <v>0.13277</v>
      </c>
      <c r="C223">
        <v>0.1535</v>
      </c>
      <c r="D223">
        <v>0.12844</v>
      </c>
      <c r="E223">
        <v>0.14357</v>
      </c>
      <c r="F223">
        <v>49898912.100000001</v>
      </c>
      <c r="G223">
        <v>0</v>
      </c>
      <c r="L223" t="s">
        <v>8</v>
      </c>
      <c r="M223" t="s">
        <v>8</v>
      </c>
      <c r="N223" t="s">
        <v>7</v>
      </c>
      <c r="P223">
        <f t="shared" si="960"/>
        <v>0.20750199521149285</v>
      </c>
      <c r="Q223">
        <f t="shared" si="961"/>
        <v>10354123.819632903</v>
      </c>
      <c r="R223">
        <f t="shared" si="962"/>
        <v>-1161337958.1085837</v>
      </c>
      <c r="S223">
        <f t="shared" si="963"/>
        <v>-11613.379581085837</v>
      </c>
      <c r="T223">
        <f t="shared" si="964"/>
        <v>-11.613379581085837</v>
      </c>
    </row>
    <row r="224" spans="1:20" x14ac:dyDescent="0.25">
      <c r="A224" s="5">
        <v>44369</v>
      </c>
      <c r="B224">
        <v>0.13444</v>
      </c>
      <c r="C224">
        <v>0.14394000000000001</v>
      </c>
      <c r="D224">
        <v>0.11534999999999999</v>
      </c>
      <c r="E224">
        <v>0.13275000000000001</v>
      </c>
      <c r="F224">
        <v>82208515.700000003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0.21720881427072414</v>
      </c>
      <c r="Q224">
        <f t="shared" si="961"/>
        <v>17856414.218153208</v>
      </c>
      <c r="R224">
        <f t="shared" si="962"/>
        <v>-1171692081.9282167</v>
      </c>
      <c r="S224">
        <f t="shared" si="963"/>
        <v>-11716.920819282166</v>
      </c>
      <c r="T224">
        <f t="shared" si="964"/>
        <v>-11.716920819282166</v>
      </c>
    </row>
    <row r="225" spans="1:20" x14ac:dyDescent="0.25">
      <c r="A225" s="5">
        <v>44368</v>
      </c>
      <c r="B225">
        <v>0.17413000000000001</v>
      </c>
      <c r="C225">
        <v>0.17510000000000001</v>
      </c>
      <c r="D225">
        <v>0.13381999999999999</v>
      </c>
      <c r="E225">
        <v>0.13439999999999999</v>
      </c>
      <c r="F225">
        <v>60309987.200000003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-0.97189922480620172</v>
      </c>
      <c r="Q225">
        <f t="shared" si="961"/>
        <v>-58615229.807751954</v>
      </c>
      <c r="R225">
        <f t="shared" si="962"/>
        <v>-1189548496.1463699</v>
      </c>
      <c r="S225">
        <f t="shared" si="963"/>
        <v>-11895.484961463699</v>
      </c>
      <c r="T225">
        <f t="shared" si="964"/>
        <v>-11.895484961463699</v>
      </c>
    </row>
    <row r="226" spans="1:20" x14ac:dyDescent="0.25">
      <c r="A226" s="5">
        <v>44367</v>
      </c>
      <c r="B226">
        <v>0.17201</v>
      </c>
      <c r="C226">
        <v>0.17687</v>
      </c>
      <c r="D226">
        <v>0.16059999999999999</v>
      </c>
      <c r="E226">
        <v>0.1741</v>
      </c>
      <c r="F226">
        <v>36887177.100000001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0.65949600491702598</v>
      </c>
      <c r="Q226">
        <f t="shared" si="961"/>
        <v>24326945.93011681</v>
      </c>
      <c r="R226">
        <f t="shared" si="962"/>
        <v>-1130933266.338618</v>
      </c>
      <c r="S226">
        <f t="shared" si="963"/>
        <v>-11309.33266338618</v>
      </c>
      <c r="T226">
        <f t="shared" si="964"/>
        <v>-11.309332663386179</v>
      </c>
    </row>
    <row r="227" spans="1:20" x14ac:dyDescent="0.25">
      <c r="A227" s="5">
        <v>44366</v>
      </c>
      <c r="B227">
        <v>0.17727999999999999</v>
      </c>
      <c r="C227">
        <v>0.18193999999999999</v>
      </c>
      <c r="D227">
        <v>0.1706</v>
      </c>
      <c r="E227">
        <v>0.17208999999999999</v>
      </c>
      <c r="F227">
        <v>37170125.200000003</v>
      </c>
      <c r="G227">
        <v>0</v>
      </c>
      <c r="L227" t="s">
        <v>7</v>
      </c>
      <c r="M227" t="s">
        <v>7</v>
      </c>
      <c r="N227" t="s">
        <v>8</v>
      </c>
      <c r="P227">
        <f t="shared" si="960"/>
        <v>-0.73721340388007184</v>
      </c>
      <c r="Q227">
        <f t="shared" si="961"/>
        <v>-27402314.521340437</v>
      </c>
      <c r="R227">
        <f t="shared" si="962"/>
        <v>-1155260212.2687349</v>
      </c>
      <c r="S227">
        <f t="shared" si="963"/>
        <v>-11552.602122687349</v>
      </c>
      <c r="T227">
        <f t="shared" si="964"/>
        <v>-11.552602122687349</v>
      </c>
    </row>
    <row r="228" spans="1:20" x14ac:dyDescent="0.25">
      <c r="A228" s="5">
        <v>44365</v>
      </c>
      <c r="B228">
        <v>0.19485</v>
      </c>
      <c r="C228">
        <v>0.19603000000000001</v>
      </c>
      <c r="D228">
        <v>0.17154</v>
      </c>
      <c r="E228">
        <v>0.1774</v>
      </c>
      <c r="F228">
        <v>46314476.600000001</v>
      </c>
      <c r="G228">
        <v>0</v>
      </c>
      <c r="L228" t="s">
        <v>7</v>
      </c>
      <c r="M228" t="s">
        <v>7</v>
      </c>
      <c r="N228" t="s">
        <v>8</v>
      </c>
      <c r="P228">
        <f t="shared" si="960"/>
        <v>-0.52143732135565524</v>
      </c>
      <c r="Q228">
        <f t="shared" si="961"/>
        <v>-24150096.618293177</v>
      </c>
      <c r="R228">
        <f t="shared" si="962"/>
        <v>-1127857897.7473946</v>
      </c>
      <c r="S228">
        <f t="shared" si="963"/>
        <v>-11278.578977473946</v>
      </c>
      <c r="T228">
        <f t="shared" si="964"/>
        <v>-11.278578977473947</v>
      </c>
    </row>
    <row r="229" spans="1:20" x14ac:dyDescent="0.25">
      <c r="A229" s="5">
        <v>44364</v>
      </c>
      <c r="B229">
        <v>0.20247000000000001</v>
      </c>
      <c r="C229">
        <v>0.21479999999999999</v>
      </c>
      <c r="D229">
        <v>0.19041</v>
      </c>
      <c r="E229">
        <v>0.19491</v>
      </c>
      <c r="F229">
        <v>65789530.600000001</v>
      </c>
      <c r="G229">
        <v>0</v>
      </c>
      <c r="L229" t="s">
        <v>7</v>
      </c>
      <c r="M229" t="s">
        <v>8</v>
      </c>
      <c r="N229" t="s">
        <v>8</v>
      </c>
      <c r="P229">
        <f t="shared" si="960"/>
        <v>-0.63099630996309919</v>
      </c>
      <c r="Q229">
        <f t="shared" si="961"/>
        <v>-41512951.042804398</v>
      </c>
      <c r="R229">
        <f t="shared" si="962"/>
        <v>-1103707801.1291013</v>
      </c>
      <c r="S229">
        <f t="shared" si="963"/>
        <v>-11037.078011291012</v>
      </c>
      <c r="T229">
        <f t="shared" si="964"/>
        <v>-11.037078011291012</v>
      </c>
    </row>
    <row r="230" spans="1:20" x14ac:dyDescent="0.25">
      <c r="A230" s="5">
        <v>44363</v>
      </c>
      <c r="B230">
        <v>0.19339000000000001</v>
      </c>
      <c r="C230">
        <v>0.21379000000000001</v>
      </c>
      <c r="D230">
        <v>0.18662999999999999</v>
      </c>
      <c r="E230">
        <v>0.20233000000000001</v>
      </c>
      <c r="F230">
        <v>114440928.5</v>
      </c>
      <c r="G230">
        <v>0</v>
      </c>
      <c r="L230" t="s">
        <v>8</v>
      </c>
      <c r="M230" t="s">
        <v>8</v>
      </c>
      <c r="N230" t="s">
        <v>8</v>
      </c>
      <c r="P230">
        <f t="shared" si="960"/>
        <v>0.15611192930780629</v>
      </c>
      <c r="Q230">
        <f t="shared" si="961"/>
        <v>17865594.139911715</v>
      </c>
      <c r="R230">
        <f t="shared" si="962"/>
        <v>-1062194850.0862969</v>
      </c>
      <c r="S230">
        <f t="shared" si="963"/>
        <v>-10621.948500862969</v>
      </c>
      <c r="T230">
        <f t="shared" si="964"/>
        <v>-10.621948500862969</v>
      </c>
    </row>
    <row r="231" spans="1:20" x14ac:dyDescent="0.25">
      <c r="A231" s="5">
        <v>44362</v>
      </c>
      <c r="B231">
        <v>0.19342999999999999</v>
      </c>
      <c r="C231">
        <v>0.20157</v>
      </c>
      <c r="D231">
        <v>0.18947</v>
      </c>
      <c r="E231">
        <v>0.19350000000000001</v>
      </c>
      <c r="F231">
        <v>57572502.399999999</v>
      </c>
      <c r="G231">
        <v>0</v>
      </c>
      <c r="L231" t="s">
        <v>8</v>
      </c>
      <c r="M231" t="s">
        <v>7</v>
      </c>
      <c r="N231" t="s">
        <v>8</v>
      </c>
      <c r="P231">
        <f t="shared" si="960"/>
        <v>-0.33388429752066018</v>
      </c>
      <c r="Q231">
        <f t="shared" si="961"/>
        <v>-19222554.520330522</v>
      </c>
      <c r="R231">
        <f t="shared" si="962"/>
        <v>-1080060444.2262087</v>
      </c>
      <c r="S231">
        <f t="shared" si="963"/>
        <v>-10800.604442262087</v>
      </c>
      <c r="T231">
        <f t="shared" si="964"/>
        <v>-10.800604442262086</v>
      </c>
    </row>
    <row r="232" spans="1:20" x14ac:dyDescent="0.25">
      <c r="A232" s="5">
        <v>44361</v>
      </c>
      <c r="B232">
        <v>0.19200999999999999</v>
      </c>
      <c r="C232">
        <v>0.19652</v>
      </c>
      <c r="D232">
        <v>0.18693000000000001</v>
      </c>
      <c r="E232">
        <v>0.19342999999999999</v>
      </c>
      <c r="F232">
        <v>52132327.100000001</v>
      </c>
      <c r="G232">
        <v>0</v>
      </c>
      <c r="L232" t="s">
        <v>7</v>
      </c>
      <c r="M232" t="s">
        <v>7</v>
      </c>
      <c r="N232" t="s">
        <v>8</v>
      </c>
      <c r="P232">
        <f t="shared" si="960"/>
        <v>0.35557872784149874</v>
      </c>
      <c r="Q232">
        <f t="shared" si="961"/>
        <v>18537146.549634889</v>
      </c>
      <c r="R232">
        <f t="shared" si="962"/>
        <v>-1060837889.7058783</v>
      </c>
      <c r="S232">
        <f t="shared" si="963"/>
        <v>-10608.378897058783</v>
      </c>
      <c r="T232">
        <f t="shared" si="964"/>
        <v>-10.608378897058783</v>
      </c>
    </row>
    <row r="233" spans="1:20" x14ac:dyDescent="0.25">
      <c r="A233" s="5">
        <v>44360</v>
      </c>
      <c r="B233">
        <v>0.18026</v>
      </c>
      <c r="C233">
        <v>0.20119000000000001</v>
      </c>
      <c r="D233">
        <v>0.17504</v>
      </c>
      <c r="E233">
        <v>0.19200999999999999</v>
      </c>
      <c r="F233">
        <v>73483774.400000006</v>
      </c>
      <c r="G233">
        <v>0</v>
      </c>
      <c r="L233" t="s">
        <v>8</v>
      </c>
      <c r="M233" t="s">
        <v>7</v>
      </c>
      <c r="N233" t="s">
        <v>8</v>
      </c>
      <c r="P233">
        <f t="shared" si="960"/>
        <v>0.29789674952198708</v>
      </c>
      <c r="Q233">
        <f t="shared" si="961"/>
        <v>21890577.536367007</v>
      </c>
      <c r="R233">
        <f t="shared" si="962"/>
        <v>-1079375036.2555132</v>
      </c>
      <c r="S233">
        <f t="shared" si="963"/>
        <v>-10793.750362555133</v>
      </c>
      <c r="T233">
        <f t="shared" si="964"/>
        <v>-10.793750362555132</v>
      </c>
    </row>
    <row r="234" spans="1:20" x14ac:dyDescent="0.25">
      <c r="A234" s="5">
        <v>44359</v>
      </c>
      <c r="B234">
        <v>0.19327</v>
      </c>
      <c r="C234">
        <v>0.19627</v>
      </c>
      <c r="D234">
        <v>0.17380000000000001</v>
      </c>
      <c r="E234">
        <v>0.18035000000000001</v>
      </c>
      <c r="F234">
        <v>93219722.299999997</v>
      </c>
      <c r="G234">
        <v>0</v>
      </c>
      <c r="L234" t="s">
        <v>7</v>
      </c>
      <c r="M234" t="s">
        <v>7</v>
      </c>
      <c r="N234" t="s">
        <v>8</v>
      </c>
      <c r="P234">
        <f t="shared" si="960"/>
        <v>-0.4170004450378279</v>
      </c>
      <c r="Q234">
        <f t="shared" si="961"/>
        <v>-38872665.685402729</v>
      </c>
      <c r="R234">
        <f t="shared" si="962"/>
        <v>-1101265613.7918801</v>
      </c>
      <c r="S234">
        <f t="shared" si="963"/>
        <v>-11012.656137918801</v>
      </c>
      <c r="T234">
        <f t="shared" si="964"/>
        <v>-11.0126561379188</v>
      </c>
    </row>
    <row r="235" spans="1:20" x14ac:dyDescent="0.25">
      <c r="A235" s="5">
        <v>44358</v>
      </c>
      <c r="B235">
        <v>0.18887000000000001</v>
      </c>
      <c r="C235">
        <v>0.23</v>
      </c>
      <c r="D235">
        <v>0.18547</v>
      </c>
      <c r="E235">
        <v>0.19334000000000001</v>
      </c>
      <c r="F235">
        <v>203198683.19999999</v>
      </c>
      <c r="G235">
        <v>0</v>
      </c>
      <c r="L235" t="s">
        <v>8</v>
      </c>
      <c r="M235" t="s">
        <v>8</v>
      </c>
      <c r="N235" t="s">
        <v>8</v>
      </c>
      <c r="P235">
        <f t="shared" si="960"/>
        <v>-0.64653042892432011</v>
      </c>
      <c r="Q235">
        <f t="shared" si="961"/>
        <v>-131374131.80615303</v>
      </c>
      <c r="R235">
        <f t="shared" si="962"/>
        <v>-1062392948.1064774</v>
      </c>
      <c r="S235">
        <f t="shared" si="963"/>
        <v>-10623.929481064773</v>
      </c>
      <c r="T235">
        <f t="shared" si="964"/>
        <v>-10.623929481064774</v>
      </c>
    </row>
    <row r="236" spans="1:20" x14ac:dyDescent="0.25">
      <c r="A236" s="5">
        <v>44357</v>
      </c>
      <c r="B236">
        <v>0.18473999999999999</v>
      </c>
      <c r="C236">
        <v>0.19739000000000001</v>
      </c>
      <c r="D236">
        <v>0.17845</v>
      </c>
      <c r="E236">
        <v>0.18845999999999999</v>
      </c>
      <c r="F236">
        <v>89440951.599999994</v>
      </c>
      <c r="G236">
        <v>0</v>
      </c>
      <c r="L236" t="s">
        <v>8</v>
      </c>
      <c r="M236" t="s">
        <v>8</v>
      </c>
      <c r="N236" t="s">
        <v>7</v>
      </c>
      <c r="P236">
        <f t="shared" si="960"/>
        <v>5.7022175290389082E-2</v>
      </c>
      <c r="Q236">
        <f t="shared" si="961"/>
        <v>5100117.6202744059</v>
      </c>
      <c r="R236">
        <f t="shared" si="962"/>
        <v>-931018816.30032432</v>
      </c>
      <c r="S236">
        <f t="shared" si="963"/>
        <v>-9310.188163003244</v>
      </c>
      <c r="T236">
        <f t="shared" si="964"/>
        <v>-9.3101881630032448</v>
      </c>
    </row>
    <row r="237" spans="1:20" x14ac:dyDescent="0.25">
      <c r="A237" s="5">
        <v>44356</v>
      </c>
      <c r="B237">
        <v>0.18231</v>
      </c>
      <c r="C237">
        <v>0.18658</v>
      </c>
      <c r="D237">
        <v>0.17151</v>
      </c>
      <c r="E237">
        <v>0.18473999999999999</v>
      </c>
      <c r="F237">
        <v>73800455.400000006</v>
      </c>
      <c r="G237">
        <v>0</v>
      </c>
      <c r="L237" t="s">
        <v>8</v>
      </c>
      <c r="M237" t="s">
        <v>7</v>
      </c>
      <c r="N237" t="s">
        <v>7</v>
      </c>
      <c r="P237">
        <f t="shared" si="960"/>
        <v>0.75580623755806131</v>
      </c>
      <c r="Q237">
        <f t="shared" si="961"/>
        <v>55778844.525945514</v>
      </c>
      <c r="R237">
        <f t="shared" si="962"/>
        <v>-936118933.92059875</v>
      </c>
      <c r="S237">
        <f t="shared" si="963"/>
        <v>-9361.1893392059883</v>
      </c>
      <c r="T237">
        <f t="shared" si="964"/>
        <v>-9.3611893392059891</v>
      </c>
    </row>
    <row r="238" spans="1:20" x14ac:dyDescent="0.25">
      <c r="A238" s="5">
        <v>44355</v>
      </c>
      <c r="B238">
        <v>0.18060000000000001</v>
      </c>
      <c r="C238">
        <v>0.18956000000000001</v>
      </c>
      <c r="D238">
        <v>0.16111</v>
      </c>
      <c r="E238">
        <v>0.18229000000000001</v>
      </c>
      <c r="F238">
        <v>90702280.400000006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0.48892794376098431</v>
      </c>
      <c r="Q238">
        <f t="shared" si="961"/>
        <v>44346879.450404234</v>
      </c>
      <c r="R238">
        <f t="shared" si="962"/>
        <v>-991897778.44654429</v>
      </c>
      <c r="S238">
        <f t="shared" si="963"/>
        <v>-9918.9777844654436</v>
      </c>
      <c r="T238">
        <f t="shared" si="964"/>
        <v>-9.9189777844654436</v>
      </c>
    </row>
    <row r="239" spans="1:20" x14ac:dyDescent="0.25">
      <c r="A239" s="5">
        <v>44354</v>
      </c>
      <c r="B239">
        <v>0.20485</v>
      </c>
      <c r="C239">
        <v>0.21287</v>
      </c>
      <c r="D239">
        <v>0.17818999999999999</v>
      </c>
      <c r="E239">
        <v>0.18054999999999999</v>
      </c>
      <c r="F239">
        <v>73235631.299999997</v>
      </c>
      <c r="G239">
        <v>0</v>
      </c>
      <c r="L239" t="s">
        <v>8</v>
      </c>
      <c r="M239" t="s">
        <v>8</v>
      </c>
      <c r="N239" t="s">
        <v>7</v>
      </c>
      <c r="P239">
        <f t="shared" si="960"/>
        <v>-0.86389850057670126</v>
      </c>
      <c r="Q239">
        <f t="shared" si="961"/>
        <v>-63268152.068858124</v>
      </c>
      <c r="R239">
        <f t="shared" si="962"/>
        <v>-1036244657.8969486</v>
      </c>
      <c r="S239">
        <f t="shared" si="963"/>
        <v>-10362.446578969486</v>
      </c>
      <c r="T239">
        <f t="shared" si="964"/>
        <v>-10.362446578969486</v>
      </c>
    </row>
    <row r="240" spans="1:20" x14ac:dyDescent="0.25">
      <c r="A240" s="5">
        <v>44353</v>
      </c>
      <c r="B240">
        <v>0.18976000000000001</v>
      </c>
      <c r="C240">
        <v>0.20696000000000001</v>
      </c>
      <c r="D240">
        <v>0.18761</v>
      </c>
      <c r="E240">
        <v>0.20463999999999999</v>
      </c>
      <c r="F240">
        <v>49672822.799999997</v>
      </c>
      <c r="G240">
        <v>0</v>
      </c>
      <c r="L240" t="s">
        <v>8</v>
      </c>
      <c r="M240" t="s">
        <v>7</v>
      </c>
      <c r="N240" t="s">
        <v>7</v>
      </c>
      <c r="P240">
        <f t="shared" si="960"/>
        <v>0.76020671834625164</v>
      </c>
      <c r="Q240">
        <f t="shared" si="961"/>
        <v>37761613.611782864</v>
      </c>
      <c r="R240">
        <f t="shared" si="962"/>
        <v>-972976505.82809043</v>
      </c>
      <c r="S240">
        <f t="shared" si="963"/>
        <v>-9729.7650582809038</v>
      </c>
      <c r="T240">
        <f t="shared" si="964"/>
        <v>-9.7297650582809041</v>
      </c>
    </row>
    <row r="241" spans="1:20" x14ac:dyDescent="0.25">
      <c r="A241" s="5">
        <v>44352</v>
      </c>
      <c r="B241">
        <v>0.20366000000000001</v>
      </c>
      <c r="C241">
        <v>0.21532999999999999</v>
      </c>
      <c r="D241">
        <v>0.17978</v>
      </c>
      <c r="E241">
        <v>0.18959999999999999</v>
      </c>
      <c r="F241">
        <v>54170484.700000003</v>
      </c>
      <c r="G241">
        <v>0</v>
      </c>
      <c r="L241" t="s">
        <v>7</v>
      </c>
      <c r="M241" t="s">
        <v>7</v>
      </c>
      <c r="N241" t="s">
        <v>7</v>
      </c>
      <c r="P241">
        <f t="shared" si="960"/>
        <v>-0.447538677918425</v>
      </c>
      <c r="Q241">
        <f t="shared" si="961"/>
        <v>-24243387.104838271</v>
      </c>
      <c r="R241">
        <f t="shared" si="962"/>
        <v>-1010738119.4398733</v>
      </c>
      <c r="S241">
        <f t="shared" si="963"/>
        <v>-10107.381194398733</v>
      </c>
      <c r="T241">
        <f t="shared" si="964"/>
        <v>-10.107381194398734</v>
      </c>
    </row>
    <row r="242" spans="1:20" x14ac:dyDescent="0.25">
      <c r="A242" s="5">
        <v>44351</v>
      </c>
      <c r="B242">
        <v>0.222</v>
      </c>
      <c r="C242">
        <v>0.22323000000000001</v>
      </c>
      <c r="D242">
        <v>0.18978</v>
      </c>
      <c r="E242">
        <v>0.20402999999999999</v>
      </c>
      <c r="F242">
        <v>73110515</v>
      </c>
      <c r="G242">
        <v>0</v>
      </c>
      <c r="L242" t="s">
        <v>7</v>
      </c>
      <c r="M242" t="s">
        <v>7</v>
      </c>
      <c r="N242" t="s">
        <v>7</v>
      </c>
      <c r="P242">
        <f t="shared" si="960"/>
        <v>-0.14798206278027015</v>
      </c>
      <c r="Q242">
        <f t="shared" si="961"/>
        <v>-10819044.820627883</v>
      </c>
      <c r="R242">
        <f t="shared" si="962"/>
        <v>-986494732.33503509</v>
      </c>
      <c r="S242">
        <f t="shared" si="963"/>
        <v>-9864.9473233503504</v>
      </c>
      <c r="T242">
        <f t="shared" si="964"/>
        <v>-9.86494732335035</v>
      </c>
    </row>
    <row r="243" spans="1:20" x14ac:dyDescent="0.25">
      <c r="A243" s="5">
        <v>44350</v>
      </c>
      <c r="B243">
        <v>0.21879000000000001</v>
      </c>
      <c r="C243">
        <v>0.23677999999999999</v>
      </c>
      <c r="D243">
        <v>0.21426000000000001</v>
      </c>
      <c r="E243">
        <v>0.22231999999999999</v>
      </c>
      <c r="F243">
        <v>69197427.700000003</v>
      </c>
      <c r="G243">
        <v>0</v>
      </c>
      <c r="L243" t="s">
        <v>8</v>
      </c>
      <c r="M243" t="s">
        <v>8</v>
      </c>
      <c r="N243" t="s">
        <v>7</v>
      </c>
      <c r="P243">
        <f t="shared" si="960"/>
        <v>-0.28419182948490324</v>
      </c>
      <c r="Q243">
        <f t="shared" si="961"/>
        <v>-19665343.573712319</v>
      </c>
      <c r="R243">
        <f t="shared" si="962"/>
        <v>-975675687.51440716</v>
      </c>
      <c r="S243">
        <f t="shared" si="963"/>
        <v>-9756.7568751440722</v>
      </c>
      <c r="T243">
        <f t="shared" si="964"/>
        <v>-9.7567568751440721</v>
      </c>
    </row>
    <row r="244" spans="1:20" x14ac:dyDescent="0.25">
      <c r="A244" s="5">
        <v>44349</v>
      </c>
      <c r="B244">
        <v>0.20366000000000001</v>
      </c>
      <c r="C244">
        <v>0.23372000000000001</v>
      </c>
      <c r="D244">
        <v>0.19647000000000001</v>
      </c>
      <c r="E244">
        <v>0.21881</v>
      </c>
      <c r="F244">
        <v>81225859.5</v>
      </c>
      <c r="G244">
        <v>0</v>
      </c>
      <c r="L244" t="s">
        <v>8</v>
      </c>
      <c r="M244" t="s">
        <v>8</v>
      </c>
      <c r="N244" t="s">
        <v>7</v>
      </c>
      <c r="P244">
        <f t="shared" si="960"/>
        <v>0.1994630872483219</v>
      </c>
      <c r="Q244">
        <f t="shared" si="961"/>
        <v>16201560.700268436</v>
      </c>
      <c r="R244">
        <f t="shared" si="962"/>
        <v>-956010343.94069481</v>
      </c>
      <c r="S244">
        <f t="shared" si="963"/>
        <v>-9560.1034394069484</v>
      </c>
      <c r="T244">
        <f t="shared" si="964"/>
        <v>-9.560103439406948</v>
      </c>
    </row>
    <row r="245" spans="1:20" x14ac:dyDescent="0.25">
      <c r="A245" s="5">
        <v>44348</v>
      </c>
      <c r="B245">
        <v>0.21229000000000001</v>
      </c>
      <c r="C245">
        <v>0.22164</v>
      </c>
      <c r="D245">
        <v>0.19452</v>
      </c>
      <c r="E245">
        <v>0.20382</v>
      </c>
      <c r="F245">
        <v>78147320.299999997</v>
      </c>
      <c r="G245">
        <v>0</v>
      </c>
      <c r="L245" t="s">
        <v>7</v>
      </c>
      <c r="M245" t="s">
        <v>8</v>
      </c>
      <c r="N245" t="s">
        <v>7</v>
      </c>
      <c r="P245">
        <f t="shared" si="960"/>
        <v>-0.31415929203539816</v>
      </c>
      <c r="Q245">
        <f t="shared" si="961"/>
        <v>-24550706.819911499</v>
      </c>
      <c r="R245">
        <f t="shared" si="962"/>
        <v>-972211904.6409632</v>
      </c>
      <c r="S245">
        <f t="shared" si="963"/>
        <v>-9722.1190464096326</v>
      </c>
      <c r="T245">
        <f t="shared" si="964"/>
        <v>-9.7221190464096328</v>
      </c>
    </row>
    <row r="246" spans="1:20" x14ac:dyDescent="0.25">
      <c r="A246" s="5">
        <v>44347</v>
      </c>
      <c r="B246">
        <v>0.18665000000000001</v>
      </c>
      <c r="C246">
        <v>0.22</v>
      </c>
      <c r="D246">
        <v>0.17018</v>
      </c>
      <c r="E246">
        <v>0.21228</v>
      </c>
      <c r="F246">
        <v>115608726.5</v>
      </c>
      <c r="G246">
        <v>0</v>
      </c>
      <c r="L246" t="s">
        <v>8</v>
      </c>
      <c r="M246" t="s">
        <v>8</v>
      </c>
      <c r="N246" t="s">
        <v>7</v>
      </c>
      <c r="P246">
        <f t="shared" si="960"/>
        <v>0.6900843034925731</v>
      </c>
      <c r="Q246">
        <f t="shared" si="961"/>
        <v>79779767.504415885</v>
      </c>
      <c r="R246">
        <f t="shared" si="962"/>
        <v>-947661197.82105172</v>
      </c>
      <c r="S246">
        <f t="shared" si="963"/>
        <v>-9476.6119782105179</v>
      </c>
      <c r="T246">
        <f t="shared" si="964"/>
        <v>-9.4766119782105172</v>
      </c>
    </row>
    <row r="247" spans="1:20" x14ac:dyDescent="0.25">
      <c r="A247" s="5">
        <v>44346</v>
      </c>
      <c r="B247">
        <v>0.17953</v>
      </c>
      <c r="C247">
        <v>0.19608</v>
      </c>
      <c r="D247">
        <v>0.16814999999999999</v>
      </c>
      <c r="E247">
        <v>0.18665000000000001</v>
      </c>
      <c r="F247">
        <v>59091853.5</v>
      </c>
      <c r="G247">
        <v>0</v>
      </c>
      <c r="L247" t="s">
        <v>7</v>
      </c>
      <c r="M247" t="s">
        <v>7</v>
      </c>
      <c r="N247" t="s">
        <v>7</v>
      </c>
      <c r="P247">
        <f t="shared" si="960"/>
        <v>0.32474042248478407</v>
      </c>
      <c r="Q247">
        <f t="shared" si="961"/>
        <v>19189513.470998965</v>
      </c>
      <c r="R247">
        <f t="shared" si="962"/>
        <v>-1027440965.3254676</v>
      </c>
      <c r="S247">
        <f t="shared" si="963"/>
        <v>-10274.409653254676</v>
      </c>
      <c r="T247">
        <f t="shared" si="964"/>
        <v>-10.274409653254676</v>
      </c>
    </row>
    <row r="248" spans="1:20" x14ac:dyDescent="0.25">
      <c r="A248" s="5">
        <v>44345</v>
      </c>
      <c r="B248">
        <v>0.19328000000000001</v>
      </c>
      <c r="C248">
        <v>0.20934</v>
      </c>
      <c r="D248">
        <v>0.16950000000000001</v>
      </c>
      <c r="E248">
        <v>0.17971000000000001</v>
      </c>
      <c r="F248">
        <v>81157744.700000003</v>
      </c>
      <c r="G248">
        <v>0</v>
      </c>
      <c r="L248" t="s">
        <v>7</v>
      </c>
      <c r="M248" t="s">
        <v>7</v>
      </c>
      <c r="N248" t="s">
        <v>7</v>
      </c>
      <c r="P248">
        <f t="shared" si="960"/>
        <v>-0.48744979919678716</v>
      </c>
      <c r="Q248">
        <f t="shared" si="961"/>
        <v>-39560326.357279122</v>
      </c>
      <c r="R248">
        <f t="shared" si="962"/>
        <v>-1046630478.7964666</v>
      </c>
      <c r="S248">
        <f t="shared" si="963"/>
        <v>-10466.304787964666</v>
      </c>
      <c r="T248">
        <f t="shared" si="964"/>
        <v>-10.466304787964665</v>
      </c>
    </row>
    <row r="249" spans="1:20" x14ac:dyDescent="0.25">
      <c r="A249" s="5">
        <v>44344</v>
      </c>
      <c r="B249">
        <v>0.22464000000000001</v>
      </c>
      <c r="C249">
        <v>0.24099000000000001</v>
      </c>
      <c r="D249">
        <v>0.18185000000000001</v>
      </c>
      <c r="E249">
        <v>0.19353000000000001</v>
      </c>
      <c r="F249">
        <v>130399843.90000001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-0.60500507270882664</v>
      </c>
      <c r="Q249">
        <f t="shared" si="961"/>
        <v>-78892567.03993915</v>
      </c>
      <c r="R249">
        <f t="shared" si="962"/>
        <v>-1007070152.4391875</v>
      </c>
      <c r="S249">
        <f t="shared" si="963"/>
        <v>-10070.701524391876</v>
      </c>
      <c r="T249">
        <f t="shared" si="964"/>
        <v>-10.070701524391875</v>
      </c>
    </row>
    <row r="250" spans="1:20" x14ac:dyDescent="0.25">
      <c r="A250" s="5">
        <v>44343</v>
      </c>
      <c r="B250">
        <v>0.23308999999999999</v>
      </c>
      <c r="C250">
        <v>0.25679999999999997</v>
      </c>
      <c r="D250">
        <v>0.21060000000000001</v>
      </c>
      <c r="E250">
        <v>0.22445999999999999</v>
      </c>
      <c r="F250">
        <v>162066510.80000001</v>
      </c>
      <c r="G250">
        <v>0</v>
      </c>
      <c r="L250" t="s">
        <v>8</v>
      </c>
      <c r="M250" t="s">
        <v>8</v>
      </c>
      <c r="N250" t="s">
        <v>8</v>
      </c>
      <c r="P250">
        <f t="shared" si="960"/>
        <v>-0.40000000000000024</v>
      </c>
      <c r="Q250">
        <f t="shared" si="961"/>
        <v>-64826604.320000045</v>
      </c>
      <c r="R250">
        <f t="shared" si="962"/>
        <v>-928177585.39924836</v>
      </c>
      <c r="S250">
        <f t="shared" si="963"/>
        <v>-9281.7758539924835</v>
      </c>
      <c r="T250">
        <f t="shared" si="964"/>
        <v>-9.2817758539924835</v>
      </c>
    </row>
    <row r="251" spans="1:20" x14ac:dyDescent="0.25">
      <c r="A251" s="5">
        <v>44342</v>
      </c>
      <c r="B251">
        <v>0.22366</v>
      </c>
      <c r="C251">
        <v>0.23444999999999999</v>
      </c>
      <c r="D251">
        <v>0.20405000000000001</v>
      </c>
      <c r="E251">
        <v>0.23271</v>
      </c>
      <c r="F251">
        <v>170305997.90000001</v>
      </c>
      <c r="G251">
        <v>0</v>
      </c>
      <c r="L251" t="s">
        <v>7</v>
      </c>
      <c r="M251" t="s">
        <v>7</v>
      </c>
      <c r="N251" t="s">
        <v>8</v>
      </c>
      <c r="P251">
        <f t="shared" si="960"/>
        <v>0.88552631578947416</v>
      </c>
      <c r="Q251">
        <f t="shared" si="961"/>
        <v>150810442.87723693</v>
      </c>
      <c r="R251">
        <f t="shared" si="962"/>
        <v>-863350981.07924831</v>
      </c>
      <c r="S251">
        <f t="shared" si="963"/>
        <v>-8633.5098107924823</v>
      </c>
      <c r="T251">
        <f t="shared" si="964"/>
        <v>-8.6335098107924821</v>
      </c>
    </row>
    <row r="252" spans="1:20" x14ac:dyDescent="0.25">
      <c r="A252" s="5">
        <v>44341</v>
      </c>
      <c r="B252">
        <v>0.16797000000000001</v>
      </c>
      <c r="C252">
        <v>0.255</v>
      </c>
      <c r="D252">
        <v>0.16369</v>
      </c>
      <c r="E252">
        <v>0.22352</v>
      </c>
      <c r="F252">
        <v>457779320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0.31048077976125271</v>
      </c>
      <c r="Q252">
        <f t="shared" si="961"/>
        <v>142131680.23217604</v>
      </c>
      <c r="R252">
        <f t="shared" si="962"/>
        <v>-1014161423.9564853</v>
      </c>
      <c r="S252">
        <f t="shared" si="963"/>
        <v>-10141.614239564853</v>
      </c>
      <c r="T252">
        <f t="shared" si="964"/>
        <v>-10.141614239564854</v>
      </c>
    </row>
    <row r="253" spans="1:20" x14ac:dyDescent="0.25">
      <c r="A253" s="5">
        <v>44340</v>
      </c>
      <c r="B253">
        <v>0.13643</v>
      </c>
      <c r="C253">
        <v>0.16924</v>
      </c>
      <c r="D253">
        <v>0.13202</v>
      </c>
      <c r="E253">
        <v>0.16788</v>
      </c>
      <c r="F253">
        <v>112468043.7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0.92692101020956474</v>
      </c>
      <c r="Q253">
        <f t="shared" si="961"/>
        <v>104248992.68269747</v>
      </c>
      <c r="R253">
        <f t="shared" si="962"/>
        <v>-1156293104.1886613</v>
      </c>
      <c r="S253">
        <f t="shared" si="963"/>
        <v>-11562.931041886613</v>
      </c>
      <c r="T253">
        <f t="shared" si="964"/>
        <v>-11.562931041886614</v>
      </c>
    </row>
    <row r="254" spans="1:20" x14ac:dyDescent="0.25">
      <c r="A254" s="5">
        <v>44339</v>
      </c>
      <c r="B254">
        <v>0.16619</v>
      </c>
      <c r="C254">
        <v>0.17347000000000001</v>
      </c>
      <c r="D254">
        <v>0.10953</v>
      </c>
      <c r="E254">
        <v>0.13635</v>
      </c>
      <c r="F254">
        <v>127762103.09999999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-0.16108852048795771</v>
      </c>
      <c r="Q254">
        <f t="shared" si="961"/>
        <v>-20581008.162808914</v>
      </c>
      <c r="R254">
        <f t="shared" si="962"/>
        <v>-1260542096.8713589</v>
      </c>
      <c r="S254">
        <f t="shared" si="963"/>
        <v>-12605.420968713588</v>
      </c>
      <c r="T254">
        <f t="shared" si="964"/>
        <v>-12.605420968713588</v>
      </c>
    </row>
    <row r="255" spans="1:20" x14ac:dyDescent="0.25">
      <c r="A255" s="5">
        <v>44338</v>
      </c>
      <c r="B255">
        <v>0.17882000000000001</v>
      </c>
      <c r="C255">
        <v>0.18765000000000001</v>
      </c>
      <c r="D255">
        <v>0.15526999999999999</v>
      </c>
      <c r="E255">
        <v>0.1661</v>
      </c>
      <c r="F255">
        <v>84006331.400000006</v>
      </c>
      <c r="G255">
        <v>0</v>
      </c>
      <c r="L255" t="s">
        <v>8</v>
      </c>
      <c r="M255" t="s">
        <v>8</v>
      </c>
      <c r="N255" t="s">
        <v>7</v>
      </c>
      <c r="P255">
        <f t="shared" si="960"/>
        <v>-0.33106856084002473</v>
      </c>
      <c r="Q255">
        <f t="shared" si="961"/>
        <v>-27811855.238048181</v>
      </c>
      <c r="R255">
        <f t="shared" si="962"/>
        <v>-1239961088.70855</v>
      </c>
      <c r="S255">
        <f t="shared" si="963"/>
        <v>-12399.610887085501</v>
      </c>
      <c r="T255">
        <f t="shared" si="964"/>
        <v>-12.399610887085501</v>
      </c>
    </row>
    <row r="256" spans="1:20" x14ac:dyDescent="0.25">
      <c r="A256" s="5">
        <v>44337</v>
      </c>
      <c r="B256">
        <v>0.21299999999999999</v>
      </c>
      <c r="C256">
        <v>0.23277</v>
      </c>
      <c r="D256">
        <v>0.15148</v>
      </c>
      <c r="E256">
        <v>0.17882999999999999</v>
      </c>
      <c r="F256">
        <v>128801176.3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-0.32710050436708121</v>
      </c>
      <c r="Q256">
        <f t="shared" si="961"/>
        <v>-42130929.730803348</v>
      </c>
      <c r="R256">
        <f t="shared" si="962"/>
        <v>-1212149233.4705019</v>
      </c>
      <c r="S256">
        <f t="shared" si="963"/>
        <v>-12121.492334705019</v>
      </c>
      <c r="T256">
        <f t="shared" si="964"/>
        <v>-12.121492334705019</v>
      </c>
    </row>
    <row r="257" spans="1:20" x14ac:dyDescent="0.25">
      <c r="A257" s="5">
        <v>44336</v>
      </c>
      <c r="B257">
        <v>0.17995</v>
      </c>
      <c r="C257">
        <v>0.2586</v>
      </c>
      <c r="D257">
        <v>0.16</v>
      </c>
      <c r="E257">
        <v>0.21339</v>
      </c>
      <c r="F257">
        <v>179170030.09999999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8.2961460446247401E-2</v>
      </c>
      <c r="Q257">
        <f t="shared" si="961"/>
        <v>14864207.365294106</v>
      </c>
      <c r="R257">
        <f t="shared" si="962"/>
        <v>-1170018303.7396986</v>
      </c>
      <c r="S257">
        <f t="shared" si="963"/>
        <v>-11700.183037396986</v>
      </c>
      <c r="T257">
        <f t="shared" si="964"/>
        <v>-11.700183037396986</v>
      </c>
    </row>
    <row r="258" spans="1:20" x14ac:dyDescent="0.25">
      <c r="A258" s="5">
        <v>44335</v>
      </c>
      <c r="B258">
        <v>0.29216999999999999</v>
      </c>
      <c r="C258">
        <v>0.29781999999999997</v>
      </c>
      <c r="D258">
        <v>0.13652</v>
      </c>
      <c r="E258">
        <v>0.17965999999999999</v>
      </c>
      <c r="F258">
        <v>172646059.30000001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-0.46509609423434606</v>
      </c>
      <c r="Q258">
        <f t="shared" si="961"/>
        <v>-80297007.8653813</v>
      </c>
      <c r="R258">
        <f t="shared" si="962"/>
        <v>-1184882511.1049929</v>
      </c>
      <c r="S258">
        <f t="shared" si="963"/>
        <v>-11848.82511104993</v>
      </c>
      <c r="T258">
        <f t="shared" si="964"/>
        <v>-11.84882511104993</v>
      </c>
    </row>
    <row r="259" spans="1:20" x14ac:dyDescent="0.25">
      <c r="A259" s="5">
        <v>44334</v>
      </c>
      <c r="B259">
        <v>0.29553000000000001</v>
      </c>
      <c r="C259">
        <v>0.31747999999999998</v>
      </c>
      <c r="D259">
        <v>0.28377000000000002</v>
      </c>
      <c r="E259">
        <v>0.29237999999999997</v>
      </c>
      <c r="F259">
        <v>57497273.200000003</v>
      </c>
      <c r="G259">
        <v>0</v>
      </c>
      <c r="L259" t="s">
        <v>8</v>
      </c>
      <c r="M259" t="s">
        <v>8</v>
      </c>
      <c r="N259" t="s">
        <v>8</v>
      </c>
      <c r="P259">
        <f t="shared" si="960"/>
        <v>-0.48917235241768253</v>
      </c>
      <c r="Q259">
        <f t="shared" si="961"/>
        <v>-28126076.388846174</v>
      </c>
      <c r="R259">
        <f t="shared" si="962"/>
        <v>-1104585503.2396116</v>
      </c>
      <c r="S259">
        <f t="shared" si="963"/>
        <v>-11045.855032396115</v>
      </c>
      <c r="T259">
        <f t="shared" si="964"/>
        <v>-11.045855032396116</v>
      </c>
    </row>
    <row r="260" spans="1:20" x14ac:dyDescent="0.25">
      <c r="A260" s="5">
        <v>44333</v>
      </c>
      <c r="B260">
        <v>0.30599999999999999</v>
      </c>
      <c r="C260">
        <v>0.31001000000000001</v>
      </c>
      <c r="D260">
        <v>0.26500000000000001</v>
      </c>
      <c r="E260">
        <v>0.29522999999999999</v>
      </c>
      <c r="F260">
        <v>86083082.900000006</v>
      </c>
      <c r="G260">
        <v>0</v>
      </c>
      <c r="L260" t="s">
        <v>7</v>
      </c>
      <c r="M260" t="s">
        <v>7</v>
      </c>
      <c r="N260" t="s">
        <v>8</v>
      </c>
      <c r="P260">
        <f t="shared" si="960"/>
        <v>0.34325705398800188</v>
      </c>
      <c r="Q260">
        <f t="shared" si="961"/>
        <v>29548625.434458945</v>
      </c>
      <c r="R260">
        <f t="shared" si="962"/>
        <v>-1076459426.8507655</v>
      </c>
      <c r="S260">
        <f t="shared" si="963"/>
        <v>-10764.594268507655</v>
      </c>
      <c r="T260">
        <f t="shared" si="964"/>
        <v>-10.764594268507656</v>
      </c>
    </row>
    <row r="261" spans="1:20" x14ac:dyDescent="0.25">
      <c r="A261" s="5">
        <v>44332</v>
      </c>
      <c r="B261">
        <v>0.30975000000000003</v>
      </c>
      <c r="C261">
        <v>0.35</v>
      </c>
      <c r="D261">
        <v>0.28408</v>
      </c>
      <c r="E261">
        <v>0.30599999999999999</v>
      </c>
      <c r="F261">
        <v>92677404.099999994</v>
      </c>
      <c r="G261">
        <v>0</v>
      </c>
      <c r="L261" t="s">
        <v>7</v>
      </c>
      <c r="M261" t="s">
        <v>7</v>
      </c>
      <c r="N261" t="s">
        <v>8</v>
      </c>
      <c r="P261">
        <f t="shared" si="960"/>
        <v>-0.33495145631067957</v>
      </c>
      <c r="Q261">
        <f t="shared" si="961"/>
        <v>-31042431.470388345</v>
      </c>
      <c r="R261">
        <f t="shared" si="962"/>
        <v>-1106008052.2852244</v>
      </c>
      <c r="S261">
        <f t="shared" si="963"/>
        <v>-11060.080522852244</v>
      </c>
      <c r="T261">
        <f t="shared" si="964"/>
        <v>-11.060080522852244</v>
      </c>
    </row>
    <row r="262" spans="1:20" x14ac:dyDescent="0.25">
      <c r="A262" s="5">
        <v>44331</v>
      </c>
      <c r="B262">
        <v>0.33472000000000002</v>
      </c>
      <c r="C262">
        <v>0.35499999999999998</v>
      </c>
      <c r="D262">
        <v>0.30554999999999999</v>
      </c>
      <c r="E262">
        <v>0.31006</v>
      </c>
      <c r="F262">
        <v>109163223.90000001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5">IF(C262=D262,0,((E262-D262)-(C262-E262))/(C262-D262))</f>
        <v>-0.81759352881698621</v>
      </c>
      <c r="Q262">
        <f t="shared" ref="Q262:Q325" si="966">F262*P262</f>
        <v>-89251145.445439771</v>
      </c>
      <c r="R262">
        <f t="shared" ref="R262:R325" si="967">R263+Q262</f>
        <v>-1074965620.814836</v>
      </c>
      <c r="S262">
        <f t="shared" ref="S262:S325" si="968">R262/100000</f>
        <v>-10749.656208148361</v>
      </c>
      <c r="T262">
        <f t="shared" ref="T262:T325" si="969">S262/1000</f>
        <v>-10.749656208148361</v>
      </c>
    </row>
    <row r="263" spans="1:20" x14ac:dyDescent="0.25">
      <c r="A263" s="5">
        <v>44330</v>
      </c>
      <c r="B263">
        <v>0.31925999999999999</v>
      </c>
      <c r="C263">
        <v>0.37426999999999999</v>
      </c>
      <c r="D263">
        <v>0.31413000000000002</v>
      </c>
      <c r="E263">
        <v>0.33472000000000002</v>
      </c>
      <c r="F263">
        <v>149076096.09999999</v>
      </c>
      <c r="G263">
        <v>0</v>
      </c>
      <c r="L263" t="s">
        <v>7</v>
      </c>
      <c r="M263" t="s">
        <v>7</v>
      </c>
      <c r="N263" t="s">
        <v>8</v>
      </c>
      <c r="P263">
        <f t="shared" si="965"/>
        <v>-0.31526438310608557</v>
      </c>
      <c r="Q263">
        <f t="shared" si="966"/>
        <v>-46998383.472830027</v>
      </c>
      <c r="R263">
        <f t="shared" si="967"/>
        <v>-985714475.36939621</v>
      </c>
      <c r="S263">
        <f t="shared" si="968"/>
        <v>-9857.1447536939613</v>
      </c>
      <c r="T263">
        <f t="shared" si="969"/>
        <v>-9.8571447536939605</v>
      </c>
    </row>
    <row r="264" spans="1:20" x14ac:dyDescent="0.25">
      <c r="A264" s="5">
        <v>44329</v>
      </c>
      <c r="B264">
        <v>0.27500999999999998</v>
      </c>
      <c r="C264">
        <v>0.40359</v>
      </c>
      <c r="D264">
        <v>0.25750000000000001</v>
      </c>
      <c r="E264">
        <v>0.31902999999999998</v>
      </c>
      <c r="F264">
        <v>383202735.5</v>
      </c>
      <c r="G264">
        <v>0</v>
      </c>
      <c r="L264" t="s">
        <v>8</v>
      </c>
      <c r="M264" t="s">
        <v>8</v>
      </c>
      <c r="N264" t="s">
        <v>7</v>
      </c>
      <c r="P264">
        <f t="shared" si="965"/>
        <v>-0.15764254911356049</v>
      </c>
      <c r="Q264">
        <f t="shared" si="966"/>
        <v>-60409056.051509477</v>
      </c>
      <c r="R264">
        <f t="shared" si="967"/>
        <v>-938716091.89656615</v>
      </c>
      <c r="S264">
        <f t="shared" si="968"/>
        <v>-9387.160918965661</v>
      </c>
      <c r="T264">
        <f t="shared" si="969"/>
        <v>-9.3871609189656606</v>
      </c>
    </row>
    <row r="265" spans="1:20" x14ac:dyDescent="0.25">
      <c r="A265" s="5">
        <v>44328</v>
      </c>
      <c r="B265">
        <v>0.32586999999999999</v>
      </c>
      <c r="C265">
        <v>0.35880000000000001</v>
      </c>
      <c r="D265">
        <v>0.26627000000000001</v>
      </c>
      <c r="E265">
        <v>0.27584999999999998</v>
      </c>
      <c r="F265">
        <v>141609647.40000001</v>
      </c>
      <c r="G265">
        <v>0</v>
      </c>
      <c r="L265" t="s">
        <v>8</v>
      </c>
      <c r="M265" t="s">
        <v>8</v>
      </c>
      <c r="N265" t="s">
        <v>7</v>
      </c>
      <c r="P265">
        <f t="shared" si="965"/>
        <v>-0.79293202204690416</v>
      </c>
      <c r="Q265">
        <f t="shared" si="966"/>
        <v>-112286824.05423112</v>
      </c>
      <c r="R265">
        <f t="shared" si="967"/>
        <v>-878307035.84505665</v>
      </c>
      <c r="S265">
        <f t="shared" si="968"/>
        <v>-8783.0703584505663</v>
      </c>
      <c r="T265">
        <f t="shared" si="969"/>
        <v>-8.7830703584505656</v>
      </c>
    </row>
    <row r="266" spans="1:20" x14ac:dyDescent="0.25">
      <c r="A266" s="5">
        <v>44327</v>
      </c>
      <c r="B266">
        <v>0.29654000000000003</v>
      </c>
      <c r="C266">
        <v>0.33524999999999999</v>
      </c>
      <c r="D266">
        <v>0.28517999999999999</v>
      </c>
      <c r="E266">
        <v>0.32586999999999999</v>
      </c>
      <c r="F266">
        <v>71326126.200000003</v>
      </c>
      <c r="G266">
        <v>0</v>
      </c>
      <c r="L266" t="s">
        <v>8</v>
      </c>
      <c r="M266" t="s">
        <v>8</v>
      </c>
      <c r="N266" t="s">
        <v>7</v>
      </c>
      <c r="P266">
        <f t="shared" si="965"/>
        <v>0.62532454563610951</v>
      </c>
      <c r="Q266">
        <f t="shared" si="966"/>
        <v>44601977.457998805</v>
      </c>
      <c r="R266">
        <f t="shared" si="967"/>
        <v>-766020211.79082549</v>
      </c>
      <c r="S266">
        <f t="shared" si="968"/>
        <v>-7660.2021179082549</v>
      </c>
      <c r="T266">
        <f t="shared" si="969"/>
        <v>-7.6602021179082547</v>
      </c>
    </row>
    <row r="267" spans="1:20" x14ac:dyDescent="0.25">
      <c r="A267" s="5">
        <v>44326</v>
      </c>
      <c r="B267">
        <v>0.33038000000000001</v>
      </c>
      <c r="C267">
        <v>0.37</v>
      </c>
      <c r="D267">
        <v>0.27490999999999999</v>
      </c>
      <c r="E267">
        <v>0.29624</v>
      </c>
      <c r="F267">
        <v>127882703.90000001</v>
      </c>
      <c r="G267">
        <v>0</v>
      </c>
      <c r="L267" t="s">
        <v>7</v>
      </c>
      <c r="M267" t="s">
        <v>7</v>
      </c>
      <c r="N267" t="s">
        <v>7</v>
      </c>
      <c r="P267">
        <f t="shared" si="965"/>
        <v>-0.55137238405720868</v>
      </c>
      <c r="Q267">
        <f t="shared" si="966"/>
        <v>-70510991.329025105</v>
      </c>
      <c r="R267">
        <f t="shared" si="967"/>
        <v>-810622189.24882424</v>
      </c>
      <c r="S267">
        <f t="shared" si="968"/>
        <v>-8106.2218924882427</v>
      </c>
      <c r="T267">
        <f t="shared" si="969"/>
        <v>-8.106221892488243</v>
      </c>
    </row>
    <row r="268" spans="1:20" x14ac:dyDescent="0.25">
      <c r="A268" s="5">
        <v>44325</v>
      </c>
      <c r="B268">
        <v>0.34499999999999997</v>
      </c>
      <c r="C268">
        <v>0.34827000000000002</v>
      </c>
      <c r="D268">
        <v>0.31622</v>
      </c>
      <c r="E268">
        <v>0.33037</v>
      </c>
      <c r="F268">
        <v>68030763</v>
      </c>
      <c r="G268">
        <v>0</v>
      </c>
      <c r="L268" t="s">
        <v>7</v>
      </c>
      <c r="M268" t="s">
        <v>7</v>
      </c>
      <c r="N268" t="s">
        <v>7</v>
      </c>
      <c r="P268">
        <f t="shared" si="965"/>
        <v>-0.11700468018720837</v>
      </c>
      <c r="Q268">
        <f t="shared" si="966"/>
        <v>-7959917.667706769</v>
      </c>
      <c r="R268">
        <f t="shared" si="967"/>
        <v>-740111197.91979909</v>
      </c>
      <c r="S268">
        <f t="shared" si="968"/>
        <v>-7401.1119791979909</v>
      </c>
      <c r="T268">
        <f t="shared" si="969"/>
        <v>-7.4011119791979905</v>
      </c>
    </row>
    <row r="269" spans="1:20" x14ac:dyDescent="0.25">
      <c r="A269" s="5">
        <v>44324</v>
      </c>
      <c r="B269">
        <v>0.35047</v>
      </c>
      <c r="C269">
        <v>0.36699999999999999</v>
      </c>
      <c r="D269">
        <v>0.33701999999999999</v>
      </c>
      <c r="E269">
        <v>0.34506999999999999</v>
      </c>
      <c r="F269">
        <v>69155397.900000006</v>
      </c>
      <c r="G269">
        <v>0</v>
      </c>
      <c r="L269" t="s">
        <v>7</v>
      </c>
      <c r="M269" t="s">
        <v>7</v>
      </c>
      <c r="N269" t="s">
        <v>7</v>
      </c>
      <c r="P269">
        <f t="shared" si="965"/>
        <v>-0.46297531687791865</v>
      </c>
      <c r="Q269">
        <f t="shared" si="966"/>
        <v>-32017242.256571054</v>
      </c>
      <c r="R269">
        <f t="shared" si="967"/>
        <v>-732151280.25209236</v>
      </c>
      <c r="S269">
        <f t="shared" si="968"/>
        <v>-7321.5128025209233</v>
      </c>
      <c r="T269">
        <f t="shared" si="969"/>
        <v>-7.3215128025209228</v>
      </c>
    </row>
    <row r="270" spans="1:20" x14ac:dyDescent="0.25">
      <c r="A270" s="5">
        <v>44323</v>
      </c>
      <c r="B270">
        <v>0.34587000000000001</v>
      </c>
      <c r="C270">
        <v>0.38694000000000001</v>
      </c>
      <c r="D270">
        <v>0.33073000000000002</v>
      </c>
      <c r="E270">
        <v>0.35045999999999999</v>
      </c>
      <c r="F270">
        <v>105085675.59999999</v>
      </c>
      <c r="G270">
        <v>0</v>
      </c>
      <c r="L270" t="s">
        <v>8</v>
      </c>
      <c r="M270" t="s">
        <v>7</v>
      </c>
      <c r="N270" t="s">
        <v>7</v>
      </c>
      <c r="P270">
        <f t="shared" si="965"/>
        <v>-0.29798968155132621</v>
      </c>
      <c r="Q270">
        <f t="shared" si="966"/>
        <v>-31314447.007649969</v>
      </c>
      <c r="R270">
        <f t="shared" si="967"/>
        <v>-700134037.99552131</v>
      </c>
      <c r="S270">
        <f t="shared" si="968"/>
        <v>-7001.3403799552134</v>
      </c>
      <c r="T270">
        <f t="shared" si="969"/>
        <v>-7.001340379955213</v>
      </c>
    </row>
    <row r="271" spans="1:20" x14ac:dyDescent="0.25">
      <c r="A271" s="5">
        <v>44322</v>
      </c>
      <c r="B271">
        <v>0.36235000000000001</v>
      </c>
      <c r="C271">
        <v>0.37490000000000001</v>
      </c>
      <c r="D271">
        <v>0.33017999999999997</v>
      </c>
      <c r="E271">
        <v>0.3458</v>
      </c>
      <c r="F271">
        <v>88982883.799999997</v>
      </c>
      <c r="G271">
        <v>0</v>
      </c>
      <c r="L271" t="s">
        <v>7</v>
      </c>
      <c r="M271" t="s">
        <v>7</v>
      </c>
      <c r="N271" t="s">
        <v>7</v>
      </c>
      <c r="P271">
        <f t="shared" si="965"/>
        <v>-0.30143112701252195</v>
      </c>
      <c r="Q271">
        <f t="shared" si="966"/>
        <v>-26822210.94865828</v>
      </c>
      <c r="R271">
        <f t="shared" si="967"/>
        <v>-668819590.98787129</v>
      </c>
      <c r="S271">
        <f t="shared" si="968"/>
        <v>-6688.1959098787129</v>
      </c>
      <c r="T271">
        <f t="shared" si="969"/>
        <v>-6.6881959098787132</v>
      </c>
    </row>
    <row r="272" spans="1:20" x14ac:dyDescent="0.25">
      <c r="A272" s="5">
        <v>44321</v>
      </c>
      <c r="B272">
        <v>0.35426999999999997</v>
      </c>
      <c r="C272">
        <v>0.39</v>
      </c>
      <c r="D272">
        <v>0.35</v>
      </c>
      <c r="E272">
        <v>0.36196</v>
      </c>
      <c r="F272">
        <v>94839425.599999994</v>
      </c>
      <c r="G272">
        <v>0</v>
      </c>
      <c r="L272" t="s">
        <v>8</v>
      </c>
      <c r="M272" t="s">
        <v>7</v>
      </c>
      <c r="N272" t="s">
        <v>7</v>
      </c>
      <c r="P272">
        <f t="shared" si="965"/>
        <v>-0.40199999999999925</v>
      </c>
      <c r="Q272">
        <f t="shared" si="966"/>
        <v>-38125449.091199927</v>
      </c>
      <c r="R272">
        <f t="shared" si="967"/>
        <v>-641997380.03921306</v>
      </c>
      <c r="S272">
        <f t="shared" si="968"/>
        <v>-6419.9738003921302</v>
      </c>
      <c r="T272">
        <f t="shared" si="969"/>
        <v>-6.4199738003921301</v>
      </c>
    </row>
    <row r="273" spans="1:20" x14ac:dyDescent="0.25">
      <c r="A273" s="5">
        <v>44320</v>
      </c>
      <c r="B273">
        <v>0.39746999999999999</v>
      </c>
      <c r="C273">
        <v>0.39940999999999999</v>
      </c>
      <c r="D273">
        <v>0.34499999999999997</v>
      </c>
      <c r="E273">
        <v>0.35442000000000001</v>
      </c>
      <c r="F273">
        <v>158666500.40000001</v>
      </c>
      <c r="G273">
        <v>0</v>
      </c>
      <c r="L273" t="s">
        <v>7</v>
      </c>
      <c r="M273" t="s">
        <v>7</v>
      </c>
      <c r="N273" t="s">
        <v>7</v>
      </c>
      <c r="P273">
        <f t="shared" si="965"/>
        <v>-0.65374012130123005</v>
      </c>
      <c r="Q273">
        <f t="shared" si="966"/>
        <v>-103726657.21793766</v>
      </c>
      <c r="R273">
        <f t="shared" si="967"/>
        <v>-603871930.94801319</v>
      </c>
      <c r="S273">
        <f t="shared" si="968"/>
        <v>-6038.7193094801314</v>
      </c>
      <c r="T273">
        <f t="shared" si="969"/>
        <v>-6.0387193094801317</v>
      </c>
    </row>
    <row r="274" spans="1:20" x14ac:dyDescent="0.25">
      <c r="A274" s="5">
        <v>44319</v>
      </c>
      <c r="B274">
        <v>0.42581999999999998</v>
      </c>
      <c r="C274">
        <v>0.45700000000000002</v>
      </c>
      <c r="D274">
        <v>0.39410000000000001</v>
      </c>
      <c r="E274">
        <v>0.39750000000000002</v>
      </c>
      <c r="F274">
        <v>134862348</v>
      </c>
      <c r="G274">
        <v>0</v>
      </c>
      <c r="L274" t="s">
        <v>8</v>
      </c>
      <c r="M274" t="s">
        <v>7</v>
      </c>
      <c r="N274" t="s">
        <v>8</v>
      </c>
      <c r="P274">
        <f t="shared" si="965"/>
        <v>-0.89189189189189144</v>
      </c>
      <c r="Q274">
        <f t="shared" si="966"/>
        <v>-120282634.70270264</v>
      </c>
      <c r="R274">
        <f t="shared" si="967"/>
        <v>-500145273.73007554</v>
      </c>
      <c r="S274">
        <f t="shared" si="968"/>
        <v>-5001.452737300755</v>
      </c>
      <c r="T274">
        <f t="shared" si="969"/>
        <v>-5.0014527373007551</v>
      </c>
    </row>
    <row r="275" spans="1:20" x14ac:dyDescent="0.25">
      <c r="A275" s="5">
        <v>44318</v>
      </c>
      <c r="B275">
        <v>0.43065999999999999</v>
      </c>
      <c r="C275">
        <v>0.46400000000000002</v>
      </c>
      <c r="D275">
        <v>0.38544</v>
      </c>
      <c r="E275">
        <v>0.42584</v>
      </c>
      <c r="F275">
        <v>228576114.40000001</v>
      </c>
      <c r="G275">
        <v>0</v>
      </c>
      <c r="L275" t="s">
        <v>7</v>
      </c>
      <c r="M275" t="s">
        <v>7</v>
      </c>
      <c r="N275" t="s">
        <v>8</v>
      </c>
      <c r="P275">
        <f t="shared" si="965"/>
        <v>2.8513238289205239E-2</v>
      </c>
      <c r="Q275">
        <f t="shared" si="966"/>
        <v>6517445.2171078371</v>
      </c>
      <c r="R275">
        <f t="shared" si="967"/>
        <v>-379862639.0273729</v>
      </c>
      <c r="S275">
        <f t="shared" si="968"/>
        <v>-3798.6263902737292</v>
      </c>
      <c r="T275">
        <f t="shared" si="969"/>
        <v>-3.7986263902737289</v>
      </c>
    </row>
    <row r="276" spans="1:20" x14ac:dyDescent="0.25">
      <c r="A276" s="5">
        <v>44317</v>
      </c>
      <c r="B276">
        <v>0.35594999999999999</v>
      </c>
      <c r="C276">
        <v>0.46777000000000002</v>
      </c>
      <c r="D276">
        <v>0.34734999999999999</v>
      </c>
      <c r="E276">
        <v>0.4304</v>
      </c>
      <c r="F276">
        <v>350890112.80000001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0.37933898023584112</v>
      </c>
      <c r="Q276">
        <f t="shared" si="966"/>
        <v>133106297.56439127</v>
      </c>
      <c r="R276">
        <f t="shared" si="967"/>
        <v>-386380084.24448073</v>
      </c>
      <c r="S276">
        <f t="shared" si="968"/>
        <v>-3863.8008424448071</v>
      </c>
      <c r="T276">
        <f t="shared" si="969"/>
        <v>-3.8638008424448071</v>
      </c>
    </row>
    <row r="277" spans="1:20" x14ac:dyDescent="0.25">
      <c r="A277" s="5">
        <v>44316</v>
      </c>
      <c r="B277">
        <v>0.37494</v>
      </c>
      <c r="C277">
        <v>0.37669000000000002</v>
      </c>
      <c r="D277">
        <v>0.34100000000000003</v>
      </c>
      <c r="E277">
        <v>0.35629</v>
      </c>
      <c r="F277">
        <v>127913098.3</v>
      </c>
      <c r="G277">
        <v>0</v>
      </c>
      <c r="L277" t="s">
        <v>7</v>
      </c>
      <c r="M277" t="s">
        <v>8</v>
      </c>
      <c r="N277" t="s">
        <v>8</v>
      </c>
      <c r="P277">
        <f t="shared" si="965"/>
        <v>-0.14317736060521319</v>
      </c>
      <c r="Q277">
        <f t="shared" si="966"/>
        <v>-18314259.801429182</v>
      </c>
      <c r="R277">
        <f t="shared" si="967"/>
        <v>-519486381.80887198</v>
      </c>
      <c r="S277">
        <f t="shared" si="968"/>
        <v>-5194.8638180887201</v>
      </c>
      <c r="T277">
        <f t="shared" si="969"/>
        <v>-5.1948638180887201</v>
      </c>
    </row>
    <row r="278" spans="1:20" x14ac:dyDescent="0.25">
      <c r="A278" s="5">
        <v>44315</v>
      </c>
      <c r="B278">
        <v>0.30075000000000002</v>
      </c>
      <c r="C278">
        <v>0.38500000000000001</v>
      </c>
      <c r="D278">
        <v>0.29061999999999999</v>
      </c>
      <c r="E278">
        <v>0.37464999999999998</v>
      </c>
      <c r="F278">
        <v>278235645.60000002</v>
      </c>
      <c r="G278">
        <v>0</v>
      </c>
      <c r="L278" t="s">
        <v>8</v>
      </c>
      <c r="M278" t="s">
        <v>8</v>
      </c>
      <c r="N278" t="s">
        <v>8</v>
      </c>
      <c r="P278">
        <f t="shared" si="965"/>
        <v>0.78067387158296198</v>
      </c>
      <c r="Q278">
        <f t="shared" si="966"/>
        <v>217211298.66293693</v>
      </c>
      <c r="R278">
        <f t="shared" si="967"/>
        <v>-501172122.00744283</v>
      </c>
      <c r="S278">
        <f t="shared" si="968"/>
        <v>-5011.7212200744279</v>
      </c>
      <c r="T278">
        <f t="shared" si="969"/>
        <v>-5.0117212200744277</v>
      </c>
    </row>
    <row r="279" spans="1:20" x14ac:dyDescent="0.25">
      <c r="A279" s="5">
        <v>44314</v>
      </c>
      <c r="B279">
        <v>0.31746999999999997</v>
      </c>
      <c r="C279">
        <v>0.34165000000000001</v>
      </c>
      <c r="D279">
        <v>0.28658</v>
      </c>
      <c r="E279">
        <v>0.30062</v>
      </c>
      <c r="F279">
        <v>141030249.80000001</v>
      </c>
      <c r="G279">
        <v>0</v>
      </c>
      <c r="L279" t="s">
        <v>8</v>
      </c>
      <c r="M279" t="s">
        <v>8</v>
      </c>
      <c r="N279" t="s">
        <v>8</v>
      </c>
      <c r="P279">
        <f t="shared" si="965"/>
        <v>-0.49010350463047048</v>
      </c>
      <c r="Q279">
        <f t="shared" si="966"/>
        <v>-69119419.685890719</v>
      </c>
      <c r="R279">
        <f t="shared" si="967"/>
        <v>-718383420.67037976</v>
      </c>
      <c r="S279">
        <f t="shared" si="968"/>
        <v>-7183.8342067037975</v>
      </c>
      <c r="T279">
        <f t="shared" si="969"/>
        <v>-7.1838342067037972</v>
      </c>
    </row>
    <row r="280" spans="1:20" x14ac:dyDescent="0.25">
      <c r="A280" s="5">
        <v>44313</v>
      </c>
      <c r="B280">
        <v>0.29178999999999999</v>
      </c>
      <c r="C280">
        <v>0.31849</v>
      </c>
      <c r="D280">
        <v>0.28199999999999997</v>
      </c>
      <c r="E280">
        <v>0.31757999999999997</v>
      </c>
      <c r="F280">
        <v>135499083.69999999</v>
      </c>
      <c r="G280">
        <v>0</v>
      </c>
      <c r="L280" t="s">
        <v>8</v>
      </c>
      <c r="M280" t="s">
        <v>8</v>
      </c>
      <c r="N280" t="s">
        <v>8</v>
      </c>
      <c r="P280">
        <f t="shared" si="965"/>
        <v>0.95012332145793255</v>
      </c>
      <c r="Q280">
        <f t="shared" si="966"/>
        <v>128740839.4595504</v>
      </c>
      <c r="R280">
        <f t="shared" si="967"/>
        <v>-649264000.98448908</v>
      </c>
      <c r="S280">
        <f t="shared" si="968"/>
        <v>-6492.6400098448912</v>
      </c>
      <c r="T280">
        <f t="shared" si="969"/>
        <v>-6.4926400098448909</v>
      </c>
    </row>
    <row r="281" spans="1:20" x14ac:dyDescent="0.25">
      <c r="A281" s="5">
        <v>44312</v>
      </c>
      <c r="B281">
        <v>0.23132</v>
      </c>
      <c r="C281">
        <v>0.29786000000000001</v>
      </c>
      <c r="D281">
        <v>0.22795000000000001</v>
      </c>
      <c r="E281">
        <v>0.29178999999999999</v>
      </c>
      <c r="F281">
        <v>191509584.30000001</v>
      </c>
      <c r="G281">
        <v>0</v>
      </c>
      <c r="L281" t="s">
        <v>8</v>
      </c>
      <c r="M281" t="s">
        <v>8</v>
      </c>
      <c r="N281" t="s">
        <v>8</v>
      </c>
      <c r="P281">
        <f t="shared" si="965"/>
        <v>0.82634816192247118</v>
      </c>
      <c r="Q281">
        <f t="shared" si="966"/>
        <v>158253592.97684157</v>
      </c>
      <c r="R281">
        <f t="shared" si="967"/>
        <v>-778004840.44403946</v>
      </c>
      <c r="S281">
        <f t="shared" si="968"/>
        <v>-7780.0484044403947</v>
      </c>
      <c r="T281">
        <f t="shared" si="969"/>
        <v>-7.7800484044403948</v>
      </c>
    </row>
    <row r="282" spans="1:20" x14ac:dyDescent="0.25">
      <c r="A282" s="5">
        <v>44311</v>
      </c>
      <c r="B282">
        <v>0.24693999999999999</v>
      </c>
      <c r="C282">
        <v>0.25914999999999999</v>
      </c>
      <c r="D282">
        <v>0.21132000000000001</v>
      </c>
      <c r="E282">
        <v>0.23130000000000001</v>
      </c>
      <c r="F282">
        <v>133894218.5</v>
      </c>
      <c r="G282">
        <v>0</v>
      </c>
      <c r="L282" t="s">
        <v>7</v>
      </c>
      <c r="M282" t="s">
        <v>7</v>
      </c>
      <c r="N282" t="s">
        <v>8</v>
      </c>
      <c r="P282">
        <f t="shared" si="965"/>
        <v>-0.16454108300229961</v>
      </c>
      <c r="Q282">
        <f t="shared" si="966"/>
        <v>-22031099.719736539</v>
      </c>
      <c r="R282">
        <f t="shared" si="967"/>
        <v>-936258433.42088103</v>
      </c>
      <c r="S282">
        <f t="shared" si="968"/>
        <v>-9362.5843342088101</v>
      </c>
      <c r="T282">
        <f t="shared" si="969"/>
        <v>-9.36258433420881</v>
      </c>
    </row>
    <row r="283" spans="1:20" x14ac:dyDescent="0.25">
      <c r="A283" s="5">
        <v>44310</v>
      </c>
      <c r="B283">
        <v>0.22370000000000001</v>
      </c>
      <c r="C283">
        <v>0.27716000000000002</v>
      </c>
      <c r="D283">
        <v>0.20319000000000001</v>
      </c>
      <c r="E283">
        <v>0.24737000000000001</v>
      </c>
      <c r="F283">
        <v>285106654.39999998</v>
      </c>
      <c r="G283">
        <v>0</v>
      </c>
      <c r="L283" t="s">
        <v>8</v>
      </c>
      <c r="M283" t="s">
        <v>8</v>
      </c>
      <c r="N283" t="s">
        <v>8</v>
      </c>
      <c r="P283">
        <f t="shared" si="965"/>
        <v>0.19453832634851947</v>
      </c>
      <c r="Q283">
        <f t="shared" si="966"/>
        <v>55464171.377801754</v>
      </c>
      <c r="R283">
        <f t="shared" si="967"/>
        <v>-914227333.70114446</v>
      </c>
      <c r="S283">
        <f t="shared" si="968"/>
        <v>-9142.2733370114438</v>
      </c>
      <c r="T283">
        <f t="shared" si="969"/>
        <v>-9.142273337011444</v>
      </c>
    </row>
    <row r="284" spans="1:20" x14ac:dyDescent="0.25">
      <c r="A284" s="5">
        <v>44309</v>
      </c>
      <c r="B284">
        <v>0.23765</v>
      </c>
      <c r="C284">
        <v>0.24340000000000001</v>
      </c>
      <c r="D284">
        <v>0.16929</v>
      </c>
      <c r="E284">
        <v>0.22375999999999999</v>
      </c>
      <c r="F284">
        <v>168607217.09999999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0.46997706112535376</v>
      </c>
      <c r="Q284">
        <f t="shared" si="966"/>
        <v>79241524.377182484</v>
      </c>
      <c r="R284">
        <f t="shared" si="967"/>
        <v>-969691505.07894623</v>
      </c>
      <c r="S284">
        <f t="shared" si="968"/>
        <v>-9696.9150507894628</v>
      </c>
      <c r="T284">
        <f t="shared" si="969"/>
        <v>-9.6969150507894621</v>
      </c>
    </row>
    <row r="285" spans="1:20" x14ac:dyDescent="0.25">
      <c r="A285" s="5">
        <v>44308</v>
      </c>
      <c r="B285">
        <v>0.27653</v>
      </c>
      <c r="C285">
        <v>0.28497</v>
      </c>
      <c r="D285">
        <v>0.223</v>
      </c>
      <c r="E285">
        <v>0.23787</v>
      </c>
      <c r="F285">
        <v>119223508.7</v>
      </c>
      <c r="G285">
        <v>0</v>
      </c>
      <c r="L285" t="s">
        <v>7</v>
      </c>
      <c r="M285" t="s">
        <v>7</v>
      </c>
      <c r="N285" t="s">
        <v>7</v>
      </c>
      <c r="P285">
        <f t="shared" si="965"/>
        <v>-0.52009036630627736</v>
      </c>
      <c r="Q285">
        <f t="shared" si="966"/>
        <v>-62006998.312102646</v>
      </c>
      <c r="R285">
        <f t="shared" si="967"/>
        <v>-1048933029.4561287</v>
      </c>
      <c r="S285">
        <f t="shared" si="968"/>
        <v>-10489.330294561287</v>
      </c>
      <c r="T285">
        <f t="shared" si="969"/>
        <v>-10.489330294561286</v>
      </c>
    </row>
    <row r="286" spans="1:20" x14ac:dyDescent="0.25">
      <c r="A286" s="5">
        <v>44307</v>
      </c>
      <c r="B286">
        <v>0.29808000000000001</v>
      </c>
      <c r="C286">
        <v>0.30989</v>
      </c>
      <c r="D286">
        <v>0.27309</v>
      </c>
      <c r="E286">
        <v>0.27594999999999997</v>
      </c>
      <c r="F286">
        <v>126027911.09999999</v>
      </c>
      <c r="G286">
        <v>0</v>
      </c>
      <c r="L286" t="s">
        <v>8</v>
      </c>
      <c r="M286" t="s">
        <v>8</v>
      </c>
      <c r="N286" t="s">
        <v>7</v>
      </c>
      <c r="P286">
        <f t="shared" si="965"/>
        <v>-0.84456521739130574</v>
      </c>
      <c r="Q286">
        <f t="shared" si="966"/>
        <v>-106438790.13554364</v>
      </c>
      <c r="R286">
        <f t="shared" si="967"/>
        <v>-986926031.14402604</v>
      </c>
      <c r="S286">
        <f t="shared" si="968"/>
        <v>-9869.2603114402609</v>
      </c>
      <c r="T286">
        <f t="shared" si="969"/>
        <v>-9.8692603114402608</v>
      </c>
    </row>
    <row r="287" spans="1:20" x14ac:dyDescent="0.25">
      <c r="A287" s="5">
        <v>44306</v>
      </c>
      <c r="B287">
        <v>0.28277999999999998</v>
      </c>
      <c r="C287">
        <v>0.30276999999999998</v>
      </c>
      <c r="D287">
        <v>0.24811</v>
      </c>
      <c r="E287">
        <v>0.29831999999999997</v>
      </c>
      <c r="F287">
        <v>177479152.30000001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0.83717526527625286</v>
      </c>
      <c r="Q287">
        <f t="shared" si="966"/>
        <v>148581156.40775698</v>
      </c>
      <c r="R287">
        <f t="shared" si="967"/>
        <v>-880487241.00848246</v>
      </c>
      <c r="S287">
        <f t="shared" si="968"/>
        <v>-8804.8724100848249</v>
      </c>
      <c r="T287">
        <f t="shared" si="969"/>
        <v>-8.8048724100848244</v>
      </c>
    </row>
    <row r="288" spans="1:20" x14ac:dyDescent="0.25">
      <c r="A288" s="5">
        <v>44305</v>
      </c>
      <c r="B288">
        <v>0.32356000000000001</v>
      </c>
      <c r="C288">
        <v>0.34</v>
      </c>
      <c r="D288">
        <v>0.27800000000000002</v>
      </c>
      <c r="E288">
        <v>0.28266000000000002</v>
      </c>
      <c r="F288">
        <v>145082123.59999999</v>
      </c>
      <c r="G288">
        <v>0</v>
      </c>
      <c r="L288" t="s">
        <v>8</v>
      </c>
      <c r="M288" t="s">
        <v>8</v>
      </c>
      <c r="N288" t="s">
        <v>7</v>
      </c>
      <c r="P288">
        <f t="shared" si="965"/>
        <v>-0.84967741935483876</v>
      </c>
      <c r="Q288">
        <f t="shared" si="966"/>
        <v>-123273004.37496774</v>
      </c>
      <c r="R288">
        <f t="shared" si="967"/>
        <v>-1029068397.4162394</v>
      </c>
      <c r="S288">
        <f t="shared" si="968"/>
        <v>-10290.683974162393</v>
      </c>
      <c r="T288">
        <f t="shared" si="969"/>
        <v>-10.290683974162393</v>
      </c>
    </row>
    <row r="289" spans="1:20" x14ac:dyDescent="0.25">
      <c r="A289" s="5">
        <v>44304</v>
      </c>
      <c r="B289">
        <v>0.39922000000000002</v>
      </c>
      <c r="C289">
        <v>0.40733999999999998</v>
      </c>
      <c r="D289">
        <v>0.27255000000000001</v>
      </c>
      <c r="E289">
        <v>0.3236</v>
      </c>
      <c r="F289">
        <v>222356502.40000001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-0.24252540989687665</v>
      </c>
      <c r="Q289">
        <f t="shared" si="966"/>
        <v>-53927101.887795836</v>
      </c>
      <c r="R289">
        <f t="shared" si="967"/>
        <v>-905795393.04127169</v>
      </c>
      <c r="S289">
        <f t="shared" si="968"/>
        <v>-9057.9539304127175</v>
      </c>
      <c r="T289">
        <f t="shared" si="969"/>
        <v>-9.057953930412717</v>
      </c>
    </row>
    <row r="290" spans="1:20" x14ac:dyDescent="0.25">
      <c r="A290" s="5">
        <v>44303</v>
      </c>
      <c r="B290">
        <v>0.43564999999999998</v>
      </c>
      <c r="C290">
        <v>0.44934000000000002</v>
      </c>
      <c r="D290">
        <v>0.38140000000000002</v>
      </c>
      <c r="E290">
        <v>0.39917999999999998</v>
      </c>
      <c r="F290">
        <v>176354208.90000001</v>
      </c>
      <c r="G290">
        <v>0</v>
      </c>
      <c r="L290" t="s">
        <v>7</v>
      </c>
      <c r="M290" t="s">
        <v>7</v>
      </c>
      <c r="N290" t="s">
        <v>8</v>
      </c>
      <c r="P290">
        <f t="shared" si="965"/>
        <v>-0.47659699735060457</v>
      </c>
      <c r="Q290">
        <f t="shared" si="966"/>
        <v>-84049886.431881264</v>
      </c>
      <c r="R290">
        <f t="shared" si="967"/>
        <v>-851868291.15347588</v>
      </c>
      <c r="S290">
        <f t="shared" si="968"/>
        <v>-8518.6829115347591</v>
      </c>
      <c r="T290">
        <f t="shared" si="969"/>
        <v>-8.5186829115347589</v>
      </c>
    </row>
    <row r="291" spans="1:20" x14ac:dyDescent="0.25">
      <c r="A291" s="5">
        <v>44302</v>
      </c>
      <c r="B291">
        <v>0.36488999999999999</v>
      </c>
      <c r="C291">
        <v>0.47959000000000002</v>
      </c>
      <c r="D291">
        <v>0.35799999999999998</v>
      </c>
      <c r="E291">
        <v>0.43552000000000002</v>
      </c>
      <c r="F291">
        <v>436813211.60000002</v>
      </c>
      <c r="G291">
        <v>0</v>
      </c>
      <c r="L291" t="s">
        <v>8</v>
      </c>
      <c r="M291" t="s">
        <v>8</v>
      </c>
      <c r="N291" t="s">
        <v>8</v>
      </c>
      <c r="P291">
        <f t="shared" si="965"/>
        <v>0.27510486059708877</v>
      </c>
      <c r="Q291">
        <f t="shared" si="966"/>
        <v>120169437.68418464</v>
      </c>
      <c r="R291">
        <f t="shared" si="967"/>
        <v>-767818404.72159457</v>
      </c>
      <c r="S291">
        <f t="shared" si="968"/>
        <v>-7678.1840472159456</v>
      </c>
      <c r="T291">
        <f t="shared" si="969"/>
        <v>-7.6781840472159457</v>
      </c>
    </row>
    <row r="292" spans="1:20" x14ac:dyDescent="0.25">
      <c r="A292" s="5">
        <v>44301</v>
      </c>
      <c r="B292">
        <v>0.34178999999999998</v>
      </c>
      <c r="C292">
        <v>0.38500000000000001</v>
      </c>
      <c r="D292">
        <v>0.34156999999999998</v>
      </c>
      <c r="E292">
        <v>0.36453000000000002</v>
      </c>
      <c r="F292">
        <v>142155217.5</v>
      </c>
      <c r="G292">
        <v>0</v>
      </c>
      <c r="L292" t="s">
        <v>8</v>
      </c>
      <c r="M292" t="s">
        <v>8</v>
      </c>
      <c r="N292" t="s">
        <v>8</v>
      </c>
      <c r="P292">
        <f t="shared" si="965"/>
        <v>5.7333640340779334E-2</v>
      </c>
      <c r="Q292">
        <f t="shared" si="966"/>
        <v>8150276.1127102599</v>
      </c>
      <c r="R292">
        <f t="shared" si="967"/>
        <v>-887987842.40577924</v>
      </c>
      <c r="S292">
        <f t="shared" si="968"/>
        <v>-8879.8784240577916</v>
      </c>
      <c r="T292">
        <f t="shared" si="969"/>
        <v>-8.8798784240577913</v>
      </c>
    </row>
    <row r="293" spans="1:20" x14ac:dyDescent="0.25">
      <c r="A293" s="5">
        <v>44300</v>
      </c>
      <c r="B293">
        <v>0.33946999999999999</v>
      </c>
      <c r="C293">
        <v>0.34899999999999998</v>
      </c>
      <c r="D293">
        <v>0.30654999999999999</v>
      </c>
      <c r="E293">
        <v>0.34143000000000001</v>
      </c>
      <c r="F293">
        <v>109192910.7</v>
      </c>
      <c r="G293">
        <v>0</v>
      </c>
      <c r="L293" t="s">
        <v>7</v>
      </c>
      <c r="M293" t="s">
        <v>7</v>
      </c>
      <c r="N293" t="s">
        <v>8</v>
      </c>
      <c r="P293">
        <f t="shared" si="965"/>
        <v>0.64334511189635013</v>
      </c>
      <c r="Q293">
        <f t="shared" si="966"/>
        <v>70248725.352579668</v>
      </c>
      <c r="R293">
        <f t="shared" si="967"/>
        <v>-896138118.51848948</v>
      </c>
      <c r="S293">
        <f t="shared" si="968"/>
        <v>-8961.381185184895</v>
      </c>
      <c r="T293">
        <f t="shared" si="969"/>
        <v>-8.9613811851848943</v>
      </c>
    </row>
    <row r="294" spans="1:20" x14ac:dyDescent="0.25">
      <c r="A294" s="5">
        <v>44299</v>
      </c>
      <c r="B294">
        <v>0.36481999999999998</v>
      </c>
      <c r="C294">
        <v>0.375</v>
      </c>
      <c r="D294">
        <v>0.33123000000000002</v>
      </c>
      <c r="E294">
        <v>0.33943000000000001</v>
      </c>
      <c r="F294">
        <v>99440838.599999994</v>
      </c>
      <c r="G294">
        <v>0</v>
      </c>
      <c r="L294" t="s">
        <v>7</v>
      </c>
      <c r="M294" t="s">
        <v>7</v>
      </c>
      <c r="N294" t="s">
        <v>8</v>
      </c>
      <c r="P294">
        <f t="shared" si="965"/>
        <v>-0.62531414210646608</v>
      </c>
      <c r="Q294">
        <f t="shared" si="966"/>
        <v>-62181762.679506555</v>
      </c>
      <c r="R294">
        <f t="shared" si="967"/>
        <v>-966386843.87106919</v>
      </c>
      <c r="S294">
        <f t="shared" si="968"/>
        <v>-9663.8684387106914</v>
      </c>
      <c r="T294">
        <f t="shared" si="969"/>
        <v>-9.6638684387106917</v>
      </c>
    </row>
    <row r="295" spans="1:20" x14ac:dyDescent="0.25">
      <c r="A295" s="5">
        <v>44298</v>
      </c>
      <c r="B295">
        <v>0.34554000000000001</v>
      </c>
      <c r="C295">
        <v>0.37419999999999998</v>
      </c>
      <c r="D295">
        <v>0.32429000000000002</v>
      </c>
      <c r="E295">
        <v>0.36453999999999998</v>
      </c>
      <c r="F295">
        <v>106329143</v>
      </c>
      <c r="G295">
        <v>0</v>
      </c>
      <c r="L295" t="s">
        <v>8</v>
      </c>
      <c r="M295" t="s">
        <v>7</v>
      </c>
      <c r="N295" t="s">
        <v>8</v>
      </c>
      <c r="P295">
        <f t="shared" si="965"/>
        <v>0.61290322580645118</v>
      </c>
      <c r="Q295">
        <f t="shared" si="966"/>
        <v>65169474.741935439</v>
      </c>
      <c r="R295">
        <f t="shared" si="967"/>
        <v>-904205081.19156265</v>
      </c>
      <c r="S295">
        <f t="shared" si="968"/>
        <v>-9042.0508119156257</v>
      </c>
      <c r="T295">
        <f t="shared" si="969"/>
        <v>-9.042050811915626</v>
      </c>
    </row>
    <row r="296" spans="1:20" x14ac:dyDescent="0.25">
      <c r="A296" s="5">
        <v>44297</v>
      </c>
      <c r="B296">
        <v>0.33611999999999997</v>
      </c>
      <c r="C296">
        <v>0.35393000000000002</v>
      </c>
      <c r="D296">
        <v>0.32124999999999998</v>
      </c>
      <c r="E296">
        <v>0.34627000000000002</v>
      </c>
      <c r="F296">
        <v>73993510.099999994</v>
      </c>
      <c r="G296">
        <v>0</v>
      </c>
      <c r="L296" t="s">
        <v>7</v>
      </c>
      <c r="M296" t="s">
        <v>7</v>
      </c>
      <c r="N296" t="s">
        <v>8</v>
      </c>
      <c r="P296">
        <f t="shared" si="965"/>
        <v>0.5312117503059981</v>
      </c>
      <c r="Q296">
        <f t="shared" si="966"/>
        <v>39306222.011505544</v>
      </c>
      <c r="R296">
        <f t="shared" si="967"/>
        <v>-969374555.93349814</v>
      </c>
      <c r="S296">
        <f t="shared" si="968"/>
        <v>-9693.7455593349823</v>
      </c>
      <c r="T296">
        <f t="shared" si="969"/>
        <v>-9.6937455593349817</v>
      </c>
    </row>
    <row r="297" spans="1:20" x14ac:dyDescent="0.25">
      <c r="A297" s="5">
        <v>44296</v>
      </c>
      <c r="B297">
        <v>0.35868</v>
      </c>
      <c r="C297">
        <v>0.36886000000000002</v>
      </c>
      <c r="D297">
        <v>0.32802999999999999</v>
      </c>
      <c r="E297">
        <v>0.33629999999999999</v>
      </c>
      <c r="F297">
        <v>79610365.599999994</v>
      </c>
      <c r="G297">
        <v>0</v>
      </c>
      <c r="L297" t="s">
        <v>7</v>
      </c>
      <c r="M297" t="s">
        <v>8</v>
      </c>
      <c r="N297" t="s">
        <v>8</v>
      </c>
      <c r="P297">
        <f t="shared" si="965"/>
        <v>-0.59490570658829323</v>
      </c>
      <c r="Q297">
        <f t="shared" si="966"/>
        <v>-47360660.79902035</v>
      </c>
      <c r="R297">
        <f t="shared" si="967"/>
        <v>-1008680777.9450037</v>
      </c>
      <c r="S297">
        <f t="shared" si="968"/>
        <v>-10086.807779450037</v>
      </c>
      <c r="T297">
        <f t="shared" si="969"/>
        <v>-10.086807779450037</v>
      </c>
    </row>
    <row r="298" spans="1:20" x14ac:dyDescent="0.25">
      <c r="A298" s="5">
        <v>44295</v>
      </c>
      <c r="B298">
        <v>0.35182999999999998</v>
      </c>
      <c r="C298">
        <v>0.39</v>
      </c>
      <c r="D298">
        <v>0.33295999999999998</v>
      </c>
      <c r="E298">
        <v>0.35859999999999997</v>
      </c>
      <c r="F298">
        <v>181947925</v>
      </c>
      <c r="G298">
        <v>0</v>
      </c>
      <c r="L298" t="s">
        <v>8</v>
      </c>
      <c r="M298" t="s">
        <v>8</v>
      </c>
      <c r="N298" t="s">
        <v>8</v>
      </c>
      <c r="P298">
        <f t="shared" si="965"/>
        <v>-0.10098176718092636</v>
      </c>
      <c r="Q298">
        <f t="shared" si="966"/>
        <v>-18373423.00140265</v>
      </c>
      <c r="R298">
        <f t="shared" si="967"/>
        <v>-961320117.14598346</v>
      </c>
      <c r="S298">
        <f t="shared" si="968"/>
        <v>-9613.2011714598339</v>
      </c>
      <c r="T298">
        <f t="shared" si="969"/>
        <v>-9.6132011714598331</v>
      </c>
    </row>
    <row r="299" spans="1:20" x14ac:dyDescent="0.25">
      <c r="A299" s="5">
        <v>44294</v>
      </c>
      <c r="B299">
        <v>0.31034</v>
      </c>
      <c r="C299">
        <v>0.37980000000000003</v>
      </c>
      <c r="D299">
        <v>0.30642000000000003</v>
      </c>
      <c r="E299">
        <v>0.35199000000000003</v>
      </c>
      <c r="F299">
        <v>150997191.09999999</v>
      </c>
      <c r="G299">
        <v>0</v>
      </c>
      <c r="L299" t="s">
        <v>8</v>
      </c>
      <c r="M299" t="s">
        <v>8</v>
      </c>
      <c r="N299" t="s">
        <v>7</v>
      </c>
      <c r="P299">
        <f t="shared" si="965"/>
        <v>0.24202780049059686</v>
      </c>
      <c r="Q299">
        <f t="shared" si="966"/>
        <v>36545518.042191327</v>
      </c>
      <c r="R299">
        <f t="shared" si="967"/>
        <v>-942946694.14458084</v>
      </c>
      <c r="S299">
        <f t="shared" si="968"/>
        <v>-9429.4669414458076</v>
      </c>
      <c r="T299">
        <f t="shared" si="969"/>
        <v>-9.4294669414458081</v>
      </c>
    </row>
    <row r="300" spans="1:20" x14ac:dyDescent="0.25">
      <c r="A300" s="5">
        <v>44293</v>
      </c>
      <c r="B300">
        <v>0.33806999999999998</v>
      </c>
      <c r="C300">
        <v>0.33961000000000002</v>
      </c>
      <c r="D300">
        <v>0.28200999999999998</v>
      </c>
      <c r="E300">
        <v>0.31030000000000002</v>
      </c>
      <c r="F300">
        <v>75415229</v>
      </c>
      <c r="G300">
        <v>0</v>
      </c>
      <c r="L300" t="s">
        <v>7</v>
      </c>
      <c r="M300" t="s">
        <v>7</v>
      </c>
      <c r="N300" t="s">
        <v>7</v>
      </c>
      <c r="P300">
        <f t="shared" si="965"/>
        <v>-1.7708333333332719E-2</v>
      </c>
      <c r="Q300">
        <f t="shared" si="966"/>
        <v>-1335478.0135416202</v>
      </c>
      <c r="R300">
        <f t="shared" si="967"/>
        <v>-979492212.18677223</v>
      </c>
      <c r="S300">
        <f t="shared" si="968"/>
        <v>-9794.922121867723</v>
      </c>
      <c r="T300">
        <f t="shared" si="969"/>
        <v>-9.7949221218677227</v>
      </c>
    </row>
    <row r="301" spans="1:20" x14ac:dyDescent="0.25">
      <c r="A301" s="5">
        <v>44292</v>
      </c>
      <c r="B301">
        <v>0.34977000000000003</v>
      </c>
      <c r="C301">
        <v>0.36163000000000001</v>
      </c>
      <c r="D301">
        <v>0.31719000000000003</v>
      </c>
      <c r="E301">
        <v>0.33805000000000002</v>
      </c>
      <c r="F301">
        <v>67816203</v>
      </c>
      <c r="G301">
        <v>0</v>
      </c>
      <c r="L301" t="s">
        <v>7</v>
      </c>
      <c r="M301" t="s">
        <v>7</v>
      </c>
      <c r="N301" t="s">
        <v>7</v>
      </c>
      <c r="P301">
        <f t="shared" si="965"/>
        <v>-6.1206120612061238E-2</v>
      </c>
      <c r="Q301">
        <f t="shared" si="966"/>
        <v>-4150766.7002700293</v>
      </c>
      <c r="R301">
        <f t="shared" si="967"/>
        <v>-978156734.17323065</v>
      </c>
      <c r="S301">
        <f t="shared" si="968"/>
        <v>-9781.5673417323069</v>
      </c>
      <c r="T301">
        <f t="shared" si="969"/>
        <v>-9.7815673417323072</v>
      </c>
    </row>
    <row r="302" spans="1:20" x14ac:dyDescent="0.25">
      <c r="A302" s="5">
        <v>44291</v>
      </c>
      <c r="B302">
        <v>0.35993999999999998</v>
      </c>
      <c r="C302">
        <v>0.37</v>
      </c>
      <c r="D302">
        <v>0.34183000000000002</v>
      </c>
      <c r="E302">
        <v>0.34977000000000003</v>
      </c>
      <c r="F302">
        <v>73371973.099999994</v>
      </c>
      <c r="G302">
        <v>0</v>
      </c>
      <c r="L302" t="s">
        <v>8</v>
      </c>
      <c r="M302" t="s">
        <v>7</v>
      </c>
      <c r="N302" t="s">
        <v>7</v>
      </c>
      <c r="P302">
        <f t="shared" si="965"/>
        <v>-0.43627973020944194</v>
      </c>
      <c r="Q302">
        <f t="shared" si="966"/>
        <v>-32010704.62900243</v>
      </c>
      <c r="R302">
        <f t="shared" si="967"/>
        <v>-974005967.47296059</v>
      </c>
      <c r="S302">
        <f t="shared" si="968"/>
        <v>-9740.0596747296058</v>
      </c>
      <c r="T302">
        <f t="shared" si="969"/>
        <v>-9.740059674729606</v>
      </c>
    </row>
    <row r="303" spans="1:20" x14ac:dyDescent="0.25">
      <c r="A303" s="5">
        <v>44290</v>
      </c>
      <c r="B303">
        <v>0.33705000000000002</v>
      </c>
      <c r="C303">
        <v>0.39</v>
      </c>
      <c r="D303">
        <v>0.32318999999999998</v>
      </c>
      <c r="E303">
        <v>0.35997000000000001</v>
      </c>
      <c r="F303">
        <v>109734039.09999999</v>
      </c>
      <c r="G303">
        <v>0</v>
      </c>
      <c r="L303" t="s">
        <v>7</v>
      </c>
      <c r="M303" t="s">
        <v>7</v>
      </c>
      <c r="N303" t="s">
        <v>7</v>
      </c>
      <c r="P303">
        <f t="shared" si="965"/>
        <v>0.1010327795240238</v>
      </c>
      <c r="Q303">
        <f t="shared" si="966"/>
        <v>11086734.978670906</v>
      </c>
      <c r="R303">
        <f t="shared" si="967"/>
        <v>-941995262.84395814</v>
      </c>
      <c r="S303">
        <f t="shared" si="968"/>
        <v>-9419.9526284395815</v>
      </c>
      <c r="T303">
        <f t="shared" si="969"/>
        <v>-9.4199526284395816</v>
      </c>
    </row>
    <row r="304" spans="1:20" x14ac:dyDescent="0.25">
      <c r="A304" s="5">
        <v>44289</v>
      </c>
      <c r="B304">
        <v>0.38045000000000001</v>
      </c>
      <c r="C304">
        <v>0.38957999999999998</v>
      </c>
      <c r="D304">
        <v>0.32845999999999997</v>
      </c>
      <c r="E304">
        <v>0.33700000000000002</v>
      </c>
      <c r="F304">
        <v>90069886.400000006</v>
      </c>
      <c r="G304">
        <v>0</v>
      </c>
      <c r="L304" t="s">
        <v>7</v>
      </c>
      <c r="M304" t="s">
        <v>7</v>
      </c>
      <c r="N304" t="s">
        <v>7</v>
      </c>
      <c r="P304">
        <f t="shared" si="965"/>
        <v>-0.72054973821989377</v>
      </c>
      <c r="Q304">
        <f t="shared" si="966"/>
        <v>-64899833.067015573</v>
      </c>
      <c r="R304">
        <f t="shared" si="967"/>
        <v>-953081997.82262909</v>
      </c>
      <c r="S304">
        <f t="shared" si="968"/>
        <v>-9530.8199782262909</v>
      </c>
      <c r="T304">
        <f t="shared" si="969"/>
        <v>-9.5308199782262903</v>
      </c>
    </row>
    <row r="305" spans="1:20" x14ac:dyDescent="0.25">
      <c r="A305" s="5">
        <v>44288</v>
      </c>
      <c r="B305">
        <v>0.38950000000000001</v>
      </c>
      <c r="C305">
        <v>0.40579999999999999</v>
      </c>
      <c r="D305">
        <v>0.37331999999999999</v>
      </c>
      <c r="E305">
        <v>0.38</v>
      </c>
      <c r="F305">
        <v>71331399.299999997</v>
      </c>
      <c r="G305">
        <v>0</v>
      </c>
      <c r="L305" t="s">
        <v>7</v>
      </c>
      <c r="M305" t="s">
        <v>7</v>
      </c>
      <c r="N305" t="s">
        <v>8</v>
      </c>
      <c r="P305">
        <f t="shared" si="965"/>
        <v>-0.58866995073891515</v>
      </c>
      <c r="Q305">
        <f t="shared" si="966"/>
        <v>-41990651.312068887</v>
      </c>
      <c r="R305">
        <f t="shared" si="967"/>
        <v>-888182164.75561357</v>
      </c>
      <c r="S305">
        <f t="shared" si="968"/>
        <v>-8881.8216475561348</v>
      </c>
      <c r="T305">
        <f t="shared" si="969"/>
        <v>-8.8818216475561353</v>
      </c>
    </row>
    <row r="306" spans="1:20" x14ac:dyDescent="0.25">
      <c r="A306" s="5">
        <v>44287</v>
      </c>
      <c r="B306">
        <v>0.41321000000000002</v>
      </c>
      <c r="C306">
        <v>0.42499999999999999</v>
      </c>
      <c r="D306">
        <v>0.38252000000000003</v>
      </c>
      <c r="E306">
        <v>0.38933000000000001</v>
      </c>
      <c r="F306">
        <v>76285109.400000006</v>
      </c>
      <c r="G306">
        <v>0</v>
      </c>
      <c r="L306" t="s">
        <v>8</v>
      </c>
      <c r="M306" t="s">
        <v>7</v>
      </c>
      <c r="N306" t="s">
        <v>8</v>
      </c>
      <c r="P306">
        <f t="shared" si="965"/>
        <v>-0.67937853107344681</v>
      </c>
      <c r="Q306">
        <f t="shared" si="966"/>
        <v>-51826465.566949196</v>
      </c>
      <c r="R306">
        <f t="shared" si="967"/>
        <v>-846191513.44354463</v>
      </c>
      <c r="S306">
        <f t="shared" si="968"/>
        <v>-8461.9151344354468</v>
      </c>
      <c r="T306">
        <f t="shared" si="969"/>
        <v>-8.4619151344354471</v>
      </c>
    </row>
    <row r="307" spans="1:20" x14ac:dyDescent="0.25">
      <c r="A307" s="5">
        <v>44286</v>
      </c>
      <c r="B307">
        <v>0.44584000000000001</v>
      </c>
      <c r="C307">
        <v>0.46177000000000001</v>
      </c>
      <c r="D307">
        <v>0.38035999999999998</v>
      </c>
      <c r="E307">
        <v>0.41326000000000002</v>
      </c>
      <c r="F307">
        <v>140452565.80000001</v>
      </c>
      <c r="G307">
        <v>0</v>
      </c>
      <c r="L307" t="s">
        <v>7</v>
      </c>
      <c r="M307" t="s">
        <v>7</v>
      </c>
      <c r="N307" t="s">
        <v>8</v>
      </c>
      <c r="P307">
        <f t="shared" si="965"/>
        <v>-0.19174548581255313</v>
      </c>
      <c r="Q307">
        <f t="shared" si="966"/>
        <v>-26931145.462940589</v>
      </c>
      <c r="R307">
        <f t="shared" si="967"/>
        <v>-794365047.87659538</v>
      </c>
      <c r="S307">
        <f t="shared" si="968"/>
        <v>-7943.6504787659542</v>
      </c>
      <c r="T307">
        <f t="shared" si="969"/>
        <v>-7.9436504787659539</v>
      </c>
    </row>
    <row r="308" spans="1:20" x14ac:dyDescent="0.25">
      <c r="A308" s="5">
        <v>44285</v>
      </c>
      <c r="B308">
        <v>0.40660000000000002</v>
      </c>
      <c r="C308">
        <v>0.47989999999999999</v>
      </c>
      <c r="D308">
        <v>0.37703999999999999</v>
      </c>
      <c r="E308">
        <v>0.44650000000000001</v>
      </c>
      <c r="F308">
        <v>197061895.19999999</v>
      </c>
      <c r="G308">
        <v>0</v>
      </c>
      <c r="L308" t="s">
        <v>8</v>
      </c>
      <c r="M308" t="s">
        <v>8</v>
      </c>
      <c r="N308" t="s">
        <v>8</v>
      </c>
      <c r="P308">
        <f t="shared" si="965"/>
        <v>0.35057359517791203</v>
      </c>
      <c r="Q308">
        <f t="shared" si="966"/>
        <v>69084697.072836921</v>
      </c>
      <c r="R308">
        <f t="shared" si="967"/>
        <v>-767433902.4136548</v>
      </c>
      <c r="S308">
        <f t="shared" si="968"/>
        <v>-7674.3390241365478</v>
      </c>
      <c r="T308">
        <f t="shared" si="969"/>
        <v>-7.6743390241365477</v>
      </c>
    </row>
    <row r="309" spans="1:20" x14ac:dyDescent="0.25">
      <c r="A309" s="5">
        <v>44284</v>
      </c>
      <c r="B309">
        <v>0.38063000000000002</v>
      </c>
      <c r="C309">
        <v>0.438</v>
      </c>
      <c r="D309">
        <v>0.37206</v>
      </c>
      <c r="E309">
        <v>0.40660000000000002</v>
      </c>
      <c r="F309">
        <v>144651122.09999999</v>
      </c>
      <c r="G309">
        <v>0</v>
      </c>
      <c r="L309" t="s">
        <v>8</v>
      </c>
      <c r="M309" t="s">
        <v>8</v>
      </c>
      <c r="N309" t="s">
        <v>8</v>
      </c>
      <c r="P309">
        <f t="shared" si="965"/>
        <v>4.7619047619048102E-2</v>
      </c>
      <c r="Q309">
        <f t="shared" si="966"/>
        <v>6888148.6714286413</v>
      </c>
      <c r="R309">
        <f t="shared" si="967"/>
        <v>-836518599.48649168</v>
      </c>
      <c r="S309">
        <f t="shared" si="968"/>
        <v>-8365.1859948649162</v>
      </c>
      <c r="T309">
        <f t="shared" si="969"/>
        <v>-8.3651859948649161</v>
      </c>
    </row>
    <row r="310" spans="1:20" x14ac:dyDescent="0.25">
      <c r="A310" s="5">
        <v>44283</v>
      </c>
      <c r="B310">
        <v>0.36851</v>
      </c>
      <c r="C310">
        <v>0.40433999999999998</v>
      </c>
      <c r="D310">
        <v>0.35459000000000002</v>
      </c>
      <c r="E310">
        <v>0.38079000000000002</v>
      </c>
      <c r="F310">
        <v>112912163.40000001</v>
      </c>
      <c r="G310">
        <v>0</v>
      </c>
      <c r="L310" t="s">
        <v>7</v>
      </c>
      <c r="M310" t="s">
        <v>7</v>
      </c>
      <c r="N310" t="s">
        <v>8</v>
      </c>
      <c r="P310">
        <f t="shared" si="965"/>
        <v>5.326633165829233E-2</v>
      </c>
      <c r="Q310">
        <f t="shared" si="966"/>
        <v>6014416.7439196967</v>
      </c>
      <c r="R310">
        <f t="shared" si="967"/>
        <v>-843406748.15792036</v>
      </c>
      <c r="S310">
        <f t="shared" si="968"/>
        <v>-8434.0674815792045</v>
      </c>
      <c r="T310">
        <f t="shared" si="969"/>
        <v>-8.4340674815792038</v>
      </c>
    </row>
    <row r="311" spans="1:20" x14ac:dyDescent="0.25">
      <c r="A311" s="5">
        <v>44282</v>
      </c>
      <c r="B311">
        <v>0.39800999999999997</v>
      </c>
      <c r="C311">
        <v>0.40336</v>
      </c>
      <c r="D311">
        <v>0.36412</v>
      </c>
      <c r="E311">
        <v>0.36885000000000001</v>
      </c>
      <c r="F311">
        <v>132368020.5</v>
      </c>
      <c r="G311">
        <v>0</v>
      </c>
      <c r="L311" t="s">
        <v>7</v>
      </c>
      <c r="M311" t="s">
        <v>7</v>
      </c>
      <c r="N311" t="s">
        <v>8</v>
      </c>
      <c r="P311">
        <f t="shared" si="965"/>
        <v>-0.75891946992864356</v>
      </c>
      <c r="Q311">
        <f t="shared" si="966"/>
        <v>-100456667.95336382</v>
      </c>
      <c r="R311">
        <f t="shared" si="967"/>
        <v>-849421164.90184009</v>
      </c>
      <c r="S311">
        <f t="shared" si="968"/>
        <v>-8494.2116490184017</v>
      </c>
      <c r="T311">
        <f t="shared" si="969"/>
        <v>-8.4942116490184016</v>
      </c>
    </row>
    <row r="312" spans="1:20" x14ac:dyDescent="0.25">
      <c r="A312" s="5">
        <v>44281</v>
      </c>
      <c r="B312">
        <v>0.28689999999999999</v>
      </c>
      <c r="C312">
        <v>0.44900000000000001</v>
      </c>
      <c r="D312">
        <v>0.28660000000000002</v>
      </c>
      <c r="E312">
        <v>0.39789999999999998</v>
      </c>
      <c r="F312">
        <v>434645521</v>
      </c>
      <c r="G312">
        <v>0</v>
      </c>
      <c r="L312" t="s">
        <v>8</v>
      </c>
      <c r="M312" t="s">
        <v>8</v>
      </c>
      <c r="N312" t="s">
        <v>8</v>
      </c>
      <c r="P312">
        <f t="shared" si="965"/>
        <v>0.37068965517241331</v>
      </c>
      <c r="Q312">
        <f t="shared" si="966"/>
        <v>161118598.30172393</v>
      </c>
      <c r="R312">
        <f t="shared" si="967"/>
        <v>-748964496.94847631</v>
      </c>
      <c r="S312">
        <f t="shared" si="968"/>
        <v>-7489.6449694847634</v>
      </c>
      <c r="T312">
        <f t="shared" si="969"/>
        <v>-7.4896449694847638</v>
      </c>
    </row>
    <row r="313" spans="1:20" x14ac:dyDescent="0.25">
      <c r="A313" s="5">
        <v>44280</v>
      </c>
      <c r="B313">
        <v>0.30152000000000001</v>
      </c>
      <c r="C313">
        <v>0.30764000000000002</v>
      </c>
      <c r="D313">
        <v>0.26959</v>
      </c>
      <c r="E313">
        <v>0.28676000000000001</v>
      </c>
      <c r="F313">
        <v>90933453.400000006</v>
      </c>
      <c r="G313">
        <v>0</v>
      </c>
      <c r="L313" t="s">
        <v>7</v>
      </c>
      <c r="M313" t="s">
        <v>7</v>
      </c>
      <c r="N313" t="s">
        <v>7</v>
      </c>
      <c r="P313">
        <f t="shared" si="965"/>
        <v>-9.7503285151116642E-2</v>
      </c>
      <c r="Q313">
        <f t="shared" si="966"/>
        <v>-8866310.4366359785</v>
      </c>
      <c r="R313">
        <f t="shared" si="967"/>
        <v>-910083095.25020027</v>
      </c>
      <c r="S313">
        <f t="shared" si="968"/>
        <v>-9100.8309525020031</v>
      </c>
      <c r="T313">
        <f t="shared" si="969"/>
        <v>-9.1008309525020028</v>
      </c>
    </row>
    <row r="314" spans="1:20" x14ac:dyDescent="0.25">
      <c r="A314" s="5">
        <v>44279</v>
      </c>
      <c r="B314">
        <v>0.32819999999999999</v>
      </c>
      <c r="C314">
        <v>0.36223</v>
      </c>
      <c r="D314">
        <v>0.28621999999999997</v>
      </c>
      <c r="E314">
        <v>0.30176999999999998</v>
      </c>
      <c r="F314">
        <v>97204682.5</v>
      </c>
      <c r="G314">
        <v>0</v>
      </c>
      <c r="L314" t="s">
        <v>7</v>
      </c>
      <c r="M314" t="s">
        <v>7</v>
      </c>
      <c r="N314" t="s">
        <v>7</v>
      </c>
      <c r="P314">
        <f t="shared" si="965"/>
        <v>-0.5908433100907774</v>
      </c>
      <c r="Q314">
        <f t="shared" si="966"/>
        <v>-57432736.364623062</v>
      </c>
      <c r="R314">
        <f t="shared" si="967"/>
        <v>-901216784.8135643</v>
      </c>
      <c r="S314">
        <f t="shared" si="968"/>
        <v>-9012.167848135643</v>
      </c>
      <c r="T314">
        <f t="shared" si="969"/>
        <v>-9.0121678481356433</v>
      </c>
    </row>
    <row r="315" spans="1:20" x14ac:dyDescent="0.25">
      <c r="A315" s="5">
        <v>44278</v>
      </c>
      <c r="B315">
        <v>0.37559999999999999</v>
      </c>
      <c r="C315">
        <v>0.38601000000000002</v>
      </c>
      <c r="D315">
        <v>0.32623000000000002</v>
      </c>
      <c r="E315">
        <v>0.32819999999999999</v>
      </c>
      <c r="F315">
        <v>108931974.59999999</v>
      </c>
      <c r="G315">
        <v>0</v>
      </c>
      <c r="L315" t="s">
        <v>7</v>
      </c>
      <c r="M315" t="s">
        <v>7</v>
      </c>
      <c r="N315" t="s">
        <v>7</v>
      </c>
      <c r="P315">
        <f t="shared" si="965"/>
        <v>-0.93409166945466804</v>
      </c>
      <c r="Q315">
        <f t="shared" si="966"/>
        <v>-101752450.01110749</v>
      </c>
      <c r="R315">
        <f t="shared" si="967"/>
        <v>-843784048.44894123</v>
      </c>
      <c r="S315">
        <f t="shared" si="968"/>
        <v>-8437.8404844894121</v>
      </c>
      <c r="T315">
        <f t="shared" si="969"/>
        <v>-8.4378404844894117</v>
      </c>
    </row>
    <row r="316" spans="1:20" x14ac:dyDescent="0.25">
      <c r="A316" s="5">
        <v>44277</v>
      </c>
      <c r="B316">
        <v>0.40017000000000003</v>
      </c>
      <c r="C316">
        <v>0.42499999999999999</v>
      </c>
      <c r="D316">
        <v>0.36299999999999999</v>
      </c>
      <c r="E316">
        <v>0.37485000000000002</v>
      </c>
      <c r="F316">
        <v>120057442.59999999</v>
      </c>
      <c r="G316">
        <v>0</v>
      </c>
      <c r="L316" t="s">
        <v>7</v>
      </c>
      <c r="M316" t="s">
        <v>8</v>
      </c>
      <c r="N316" t="s">
        <v>7</v>
      </c>
      <c r="P316">
        <f t="shared" si="965"/>
        <v>-0.61774193548387013</v>
      </c>
      <c r="Q316">
        <f t="shared" si="966"/>
        <v>-74164516.960967645</v>
      </c>
      <c r="R316">
        <f t="shared" si="967"/>
        <v>-742031598.43783379</v>
      </c>
      <c r="S316">
        <f t="shared" si="968"/>
        <v>-7420.3159843783378</v>
      </c>
      <c r="T316">
        <f t="shared" si="969"/>
        <v>-7.4203159843783375</v>
      </c>
    </row>
    <row r="317" spans="1:20" x14ac:dyDescent="0.25">
      <c r="A317" s="5">
        <v>44276</v>
      </c>
      <c r="B317">
        <v>0.38181999999999999</v>
      </c>
      <c r="C317">
        <v>0.42099999999999999</v>
      </c>
      <c r="D317">
        <v>0.37087999999999999</v>
      </c>
      <c r="E317">
        <v>0.40037</v>
      </c>
      <c r="F317">
        <v>110922016.40000001</v>
      </c>
      <c r="G317">
        <v>0</v>
      </c>
      <c r="L317" t="s">
        <v>7</v>
      </c>
      <c r="M317" t="s">
        <v>8</v>
      </c>
      <c r="N317" t="s">
        <v>7</v>
      </c>
      <c r="P317">
        <f t="shared" si="965"/>
        <v>0.1767757382282529</v>
      </c>
      <c r="Q317">
        <f t="shared" si="966"/>
        <v>19608321.334876377</v>
      </c>
      <c r="R317">
        <f t="shared" si="967"/>
        <v>-667867081.47686613</v>
      </c>
      <c r="S317">
        <f t="shared" si="968"/>
        <v>-6678.6708147686613</v>
      </c>
      <c r="T317">
        <f t="shared" si="969"/>
        <v>-6.6786708147686618</v>
      </c>
    </row>
    <row r="318" spans="1:20" x14ac:dyDescent="0.25">
      <c r="A318" s="5">
        <v>44275</v>
      </c>
      <c r="B318">
        <v>0.39774999999999999</v>
      </c>
      <c r="C318">
        <v>0.42749999999999999</v>
      </c>
      <c r="D318">
        <v>0.38007999999999997</v>
      </c>
      <c r="E318">
        <v>0.38128000000000001</v>
      </c>
      <c r="F318">
        <v>131554188.40000001</v>
      </c>
      <c r="G318">
        <v>0</v>
      </c>
      <c r="L318" t="s">
        <v>8</v>
      </c>
      <c r="M318" t="s">
        <v>8</v>
      </c>
      <c r="N318" t="s">
        <v>7</v>
      </c>
      <c r="P318">
        <f t="shared" si="965"/>
        <v>-0.94938844369464215</v>
      </c>
      <c r="Q318">
        <f t="shared" si="966"/>
        <v>-124896026.18658775</v>
      </c>
      <c r="R318">
        <f t="shared" si="967"/>
        <v>-687475402.81174254</v>
      </c>
      <c r="S318">
        <f t="shared" si="968"/>
        <v>-6874.7540281174252</v>
      </c>
      <c r="T318">
        <f t="shared" si="969"/>
        <v>-6.8747540281174251</v>
      </c>
    </row>
    <row r="319" spans="1:20" x14ac:dyDescent="0.25">
      <c r="A319" s="5">
        <v>44274</v>
      </c>
      <c r="B319">
        <v>0.39012000000000002</v>
      </c>
      <c r="C319">
        <v>0.42770000000000002</v>
      </c>
      <c r="D319">
        <v>0.37069000000000002</v>
      </c>
      <c r="E319">
        <v>0.39785999999999999</v>
      </c>
      <c r="F319">
        <v>134800668.5</v>
      </c>
      <c r="G319">
        <v>0</v>
      </c>
      <c r="L319" t="s">
        <v>7</v>
      </c>
      <c r="M319" t="s">
        <v>8</v>
      </c>
      <c r="N319" t="s">
        <v>7</v>
      </c>
      <c r="P319">
        <f t="shared" si="965"/>
        <v>-4.6833888791441167E-2</v>
      </c>
      <c r="Q319">
        <f t="shared" si="966"/>
        <v>-6313239.5175409261</v>
      </c>
      <c r="R319">
        <f t="shared" si="967"/>
        <v>-562579376.62515473</v>
      </c>
      <c r="S319">
        <f t="shared" si="968"/>
        <v>-5625.7937662515469</v>
      </c>
      <c r="T319">
        <f t="shared" si="969"/>
        <v>-5.6257937662515465</v>
      </c>
    </row>
    <row r="320" spans="1:20" x14ac:dyDescent="0.25">
      <c r="A320" s="5">
        <v>44273</v>
      </c>
      <c r="B320">
        <v>0.41305999999999998</v>
      </c>
      <c r="C320">
        <v>0.43308999999999997</v>
      </c>
      <c r="D320">
        <v>0.38</v>
      </c>
      <c r="E320">
        <v>0.39019999999999999</v>
      </c>
      <c r="F320">
        <v>186573114.19999999</v>
      </c>
      <c r="G320">
        <v>0</v>
      </c>
      <c r="L320" t="s">
        <v>8</v>
      </c>
      <c r="M320" t="s">
        <v>8</v>
      </c>
      <c r="N320" t="s">
        <v>7</v>
      </c>
      <c r="P320">
        <f t="shared" si="965"/>
        <v>-0.61574684498022259</v>
      </c>
      <c r="Q320">
        <f t="shared" si="966"/>
        <v>-114881806.42678475</v>
      </c>
      <c r="R320">
        <f t="shared" si="967"/>
        <v>-556266137.1076138</v>
      </c>
      <c r="S320">
        <f t="shared" si="968"/>
        <v>-5562.6613710761376</v>
      </c>
      <c r="T320">
        <f t="shared" si="969"/>
        <v>-5.5626613710761372</v>
      </c>
    </row>
    <row r="321" spans="1:20" x14ac:dyDescent="0.25">
      <c r="A321" s="5">
        <v>44272</v>
      </c>
      <c r="B321">
        <v>0.39516000000000001</v>
      </c>
      <c r="C321">
        <v>0.44800000000000001</v>
      </c>
      <c r="D321">
        <v>0.34799999999999998</v>
      </c>
      <c r="E321">
        <v>0.41310000000000002</v>
      </c>
      <c r="F321">
        <v>283010924.39999998</v>
      </c>
      <c r="G321">
        <v>0</v>
      </c>
      <c r="L321" t="s">
        <v>7</v>
      </c>
      <c r="M321" t="s">
        <v>7</v>
      </c>
      <c r="N321" t="s">
        <v>7</v>
      </c>
      <c r="P321">
        <f t="shared" si="965"/>
        <v>0.30200000000000049</v>
      </c>
      <c r="Q321">
        <f t="shared" si="966"/>
        <v>85469299.16880013</v>
      </c>
      <c r="R321">
        <f t="shared" si="967"/>
        <v>-441384330.68082905</v>
      </c>
      <c r="S321">
        <f t="shared" si="968"/>
        <v>-4413.8433068082904</v>
      </c>
      <c r="T321">
        <f t="shared" si="969"/>
        <v>-4.4138433068082907</v>
      </c>
    </row>
    <row r="322" spans="1:20" x14ac:dyDescent="0.25">
      <c r="A322" s="5">
        <v>44271</v>
      </c>
      <c r="B322">
        <v>0.48258000000000001</v>
      </c>
      <c r="C322">
        <v>0.49407000000000001</v>
      </c>
      <c r="D322">
        <v>0.37087999999999999</v>
      </c>
      <c r="E322">
        <v>0.39505000000000001</v>
      </c>
      <c r="F322">
        <v>225134157.09999999</v>
      </c>
      <c r="G322">
        <v>0</v>
      </c>
      <c r="L322" t="s">
        <v>7</v>
      </c>
      <c r="M322" t="s">
        <v>7</v>
      </c>
      <c r="N322" t="s">
        <v>7</v>
      </c>
      <c r="P322">
        <f t="shared" si="965"/>
        <v>-0.60759801931974966</v>
      </c>
      <c r="Q322">
        <f t="shared" si="966"/>
        <v>-136791067.93518135</v>
      </c>
      <c r="R322">
        <f t="shared" si="967"/>
        <v>-526853629.84962916</v>
      </c>
      <c r="S322">
        <f t="shared" si="968"/>
        <v>-5268.5362984962912</v>
      </c>
      <c r="T322">
        <f t="shared" si="969"/>
        <v>-5.2685362984962909</v>
      </c>
    </row>
    <row r="323" spans="1:20" x14ac:dyDescent="0.25">
      <c r="A323" s="5">
        <v>44270</v>
      </c>
      <c r="B323">
        <v>0.50943000000000005</v>
      </c>
      <c r="C323">
        <v>0.55000000000000004</v>
      </c>
      <c r="D323">
        <v>0.45073000000000002</v>
      </c>
      <c r="E323">
        <v>0.48254000000000002</v>
      </c>
      <c r="F323">
        <v>277470922.39999998</v>
      </c>
      <c r="G323">
        <v>0</v>
      </c>
      <c r="L323" t="s">
        <v>7</v>
      </c>
      <c r="M323" t="s">
        <v>7</v>
      </c>
      <c r="N323" t="s">
        <v>7</v>
      </c>
      <c r="P323">
        <f t="shared" si="965"/>
        <v>-0.35912158758940271</v>
      </c>
      <c r="Q323">
        <f t="shared" si="966"/>
        <v>-99645798.162183955</v>
      </c>
      <c r="R323">
        <f t="shared" si="967"/>
        <v>-390062561.91444778</v>
      </c>
      <c r="S323">
        <f t="shared" si="968"/>
        <v>-3900.6256191444777</v>
      </c>
      <c r="T323">
        <f t="shared" si="969"/>
        <v>-3.9006256191444777</v>
      </c>
    </row>
    <row r="324" spans="1:20" x14ac:dyDescent="0.25">
      <c r="A324" s="5">
        <v>44269</v>
      </c>
      <c r="B324">
        <v>0.50099000000000005</v>
      </c>
      <c r="C324">
        <v>0.62775000000000003</v>
      </c>
      <c r="D324">
        <v>0.48</v>
      </c>
      <c r="E324">
        <v>0.50931000000000004</v>
      </c>
      <c r="F324">
        <v>321605842.30000001</v>
      </c>
      <c r="G324">
        <v>0</v>
      </c>
      <c r="L324" t="s">
        <v>7</v>
      </c>
      <c r="M324" t="s">
        <v>7</v>
      </c>
      <c r="N324" t="s">
        <v>7</v>
      </c>
      <c r="P324">
        <f t="shared" si="965"/>
        <v>-0.6032487309644663</v>
      </c>
      <c r="Q324">
        <f t="shared" si="966"/>
        <v>-194008316.23823327</v>
      </c>
      <c r="R324">
        <f t="shared" si="967"/>
        <v>-290416763.75226384</v>
      </c>
      <c r="S324">
        <f t="shared" si="968"/>
        <v>-2904.1676375226384</v>
      </c>
      <c r="T324">
        <f t="shared" si="969"/>
        <v>-2.9041676375226384</v>
      </c>
    </row>
    <row r="325" spans="1:20" x14ac:dyDescent="0.25">
      <c r="A325" s="5">
        <v>44268</v>
      </c>
      <c r="B325">
        <v>0.57084999999999997</v>
      </c>
      <c r="C325">
        <v>0.76661999999999997</v>
      </c>
      <c r="D325">
        <v>0.50009000000000003</v>
      </c>
      <c r="E325">
        <v>0.501</v>
      </c>
      <c r="F325">
        <v>756082055.5</v>
      </c>
      <c r="G325">
        <v>0</v>
      </c>
      <c r="L325" t="s">
        <v>8</v>
      </c>
      <c r="M325" t="s">
        <v>8</v>
      </c>
      <c r="N325" t="s">
        <v>8</v>
      </c>
      <c r="P325">
        <f t="shared" si="965"/>
        <v>-0.99317150039395219</v>
      </c>
      <c r="Q325">
        <f t="shared" si="966"/>
        <v>-750919149.4818784</v>
      </c>
      <c r="R325">
        <f t="shared" si="967"/>
        <v>-96408447.514030576</v>
      </c>
      <c r="S325">
        <f t="shared" si="968"/>
        <v>-964.08447514030581</v>
      </c>
      <c r="T325">
        <f t="shared" si="969"/>
        <v>-0.96408447514030582</v>
      </c>
    </row>
    <row r="326" spans="1:20" x14ac:dyDescent="0.25">
      <c r="A326" s="5">
        <v>44267</v>
      </c>
      <c r="B326">
        <v>0.43763000000000002</v>
      </c>
      <c r="C326">
        <v>0.63100000000000001</v>
      </c>
      <c r="D326">
        <v>0.43</v>
      </c>
      <c r="E326">
        <v>0.57081000000000004</v>
      </c>
      <c r="F326">
        <v>1111096353.4000001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70">IF(C326=D326,0,((E326-D326)-(C326-E326))/(C326-D326))</f>
        <v>0.40109452736318446</v>
      </c>
      <c r="Q326">
        <f t="shared" ref="Q326:Q389" si="971">F326*P326</f>
        <v>445654666.7219308</v>
      </c>
      <c r="R326">
        <f t="shared" ref="R326:R389" si="972">R327+Q326</f>
        <v>654510701.96784782</v>
      </c>
      <c r="S326">
        <f t="shared" ref="S326:S389" si="973">R326/100000</f>
        <v>6545.1070196784785</v>
      </c>
      <c r="T326">
        <f t="shared" ref="T326:T389" si="974">S326/1000</f>
        <v>6.5451070196784782</v>
      </c>
    </row>
    <row r="327" spans="1:20" x14ac:dyDescent="0.25">
      <c r="A327" s="5">
        <v>44266</v>
      </c>
      <c r="B327">
        <v>0.29809000000000002</v>
      </c>
      <c r="C327">
        <v>0.66740999999999995</v>
      </c>
      <c r="D327">
        <v>0.29687000000000002</v>
      </c>
      <c r="E327">
        <v>0.43884000000000001</v>
      </c>
      <c r="F327">
        <v>2027213397.2</v>
      </c>
      <c r="G327">
        <v>0</v>
      </c>
      <c r="L327" t="s">
        <v>8</v>
      </c>
      <c r="M327" t="s">
        <v>8</v>
      </c>
      <c r="N327" t="s">
        <v>8</v>
      </c>
      <c r="P327">
        <f t="shared" si="970"/>
        <v>-0.23371295946456516</v>
      </c>
      <c r="Q327">
        <f t="shared" si="971"/>
        <v>-473786042.52582705</v>
      </c>
      <c r="R327">
        <f t="shared" si="972"/>
        <v>208856035.24591696</v>
      </c>
      <c r="S327">
        <f t="shared" si="973"/>
        <v>2088.5603524591697</v>
      </c>
      <c r="T327">
        <f t="shared" si="974"/>
        <v>2.0885603524591696</v>
      </c>
    </row>
    <row r="328" spans="1:20" x14ac:dyDescent="0.25">
      <c r="A328" s="5">
        <v>44265</v>
      </c>
      <c r="B328">
        <v>0.22054000000000001</v>
      </c>
      <c r="C328">
        <v>0.34250000000000003</v>
      </c>
      <c r="D328">
        <v>0.19972999999999999</v>
      </c>
      <c r="E328">
        <v>0.29803000000000002</v>
      </c>
      <c r="F328">
        <v>906182880.60000002</v>
      </c>
      <c r="G328">
        <v>0</v>
      </c>
      <c r="L328" t="s">
        <v>8</v>
      </c>
      <c r="M328" t="s">
        <v>8</v>
      </c>
      <c r="N328" t="s">
        <v>8</v>
      </c>
      <c r="P328">
        <f t="shared" si="970"/>
        <v>0.37703999439658192</v>
      </c>
      <c r="Q328">
        <f t="shared" si="971"/>
        <v>341667188.22370249</v>
      </c>
      <c r="R328">
        <f t="shared" si="972"/>
        <v>682642077.77174401</v>
      </c>
      <c r="S328">
        <f t="shared" si="973"/>
        <v>6826.4207777174397</v>
      </c>
      <c r="T328">
        <f t="shared" si="974"/>
        <v>6.8264207777174395</v>
      </c>
    </row>
    <row r="329" spans="1:20" x14ac:dyDescent="0.25">
      <c r="A329" s="5">
        <v>44264</v>
      </c>
      <c r="B329">
        <v>0.12978999999999999</v>
      </c>
      <c r="C329">
        <v>0.25688</v>
      </c>
      <c r="D329">
        <v>0.12469</v>
      </c>
      <c r="E329">
        <v>0.22097</v>
      </c>
      <c r="F329">
        <v>1545779383.7</v>
      </c>
      <c r="G329">
        <v>0</v>
      </c>
      <c r="L329" t="s">
        <v>8</v>
      </c>
      <c r="M329" t="s">
        <v>8</v>
      </c>
      <c r="N329" t="s">
        <v>8</v>
      </c>
      <c r="P329">
        <f t="shared" si="970"/>
        <v>0.45669112640895687</v>
      </c>
      <c r="Q329">
        <f t="shared" si="971"/>
        <v>705943727.92169619</v>
      </c>
      <c r="R329">
        <f t="shared" si="972"/>
        <v>340974889.54804146</v>
      </c>
      <c r="S329">
        <f t="shared" si="973"/>
        <v>3409.7488954804148</v>
      </c>
      <c r="T329">
        <f t="shared" si="974"/>
        <v>3.4097488954804147</v>
      </c>
    </row>
    <row r="330" spans="1:20" x14ac:dyDescent="0.25">
      <c r="A330" s="5">
        <v>44263</v>
      </c>
      <c r="B330">
        <v>8.3419999999999994E-2</v>
      </c>
      <c r="C330">
        <v>0.13700000000000001</v>
      </c>
      <c r="D330">
        <v>8.2930000000000004E-2</v>
      </c>
      <c r="E330">
        <v>0.1298</v>
      </c>
      <c r="F330">
        <v>495360726.30000001</v>
      </c>
      <c r="G330">
        <v>0</v>
      </c>
      <c r="L330" t="s">
        <v>8</v>
      </c>
      <c r="M330" t="s">
        <v>8</v>
      </c>
      <c r="N330" t="s">
        <v>8</v>
      </c>
      <c r="P330">
        <f t="shared" si="970"/>
        <v>0.73367856482337668</v>
      </c>
      <c r="Q330">
        <f t="shared" si="971"/>
        <v>363435546.74164951</v>
      </c>
      <c r="R330">
        <f t="shared" si="972"/>
        <v>-364968838.37365472</v>
      </c>
      <c r="S330">
        <f t="shared" si="973"/>
        <v>-3649.6883837365472</v>
      </c>
      <c r="T330">
        <f t="shared" si="974"/>
        <v>-3.6496883837365472</v>
      </c>
    </row>
    <row r="331" spans="1:20" x14ac:dyDescent="0.25">
      <c r="A331" s="5">
        <v>44262</v>
      </c>
      <c r="B331">
        <v>7.1959999999999996E-2</v>
      </c>
      <c r="C331">
        <v>8.4099999999999994E-2</v>
      </c>
      <c r="D331">
        <v>7.0050000000000001E-2</v>
      </c>
      <c r="E331">
        <v>8.3430000000000004E-2</v>
      </c>
      <c r="F331">
        <v>142782411.5</v>
      </c>
      <c r="G331">
        <v>0</v>
      </c>
      <c r="L331" t="s">
        <v>8</v>
      </c>
      <c r="M331" t="s">
        <v>8</v>
      </c>
      <c r="N331" t="s">
        <v>7</v>
      </c>
      <c r="P331">
        <f t="shared" si="970"/>
        <v>0.9046263345195743</v>
      </c>
      <c r="Q331">
        <f t="shared" si="971"/>
        <v>129164729.54911052</v>
      </c>
      <c r="R331">
        <f t="shared" si="972"/>
        <v>-728404385.11530423</v>
      </c>
      <c r="S331">
        <f t="shared" si="973"/>
        <v>-7284.0438511530419</v>
      </c>
      <c r="T331">
        <f t="shared" si="974"/>
        <v>-7.2840438511530419</v>
      </c>
    </row>
    <row r="332" spans="1:20" x14ac:dyDescent="0.25">
      <c r="A332" s="5">
        <v>44261</v>
      </c>
      <c r="B332">
        <v>7.3980000000000004E-2</v>
      </c>
      <c r="C332">
        <v>7.5689999999999993E-2</v>
      </c>
      <c r="D332">
        <v>6.6320000000000004E-2</v>
      </c>
      <c r="E332">
        <v>7.1959999999999996E-2</v>
      </c>
      <c r="F332">
        <v>90750720.099999994</v>
      </c>
      <c r="G332">
        <v>0</v>
      </c>
      <c r="L332" t="s">
        <v>7</v>
      </c>
      <c r="M332" t="s">
        <v>7</v>
      </c>
      <c r="N332" t="s">
        <v>7</v>
      </c>
      <c r="P332">
        <f t="shared" si="970"/>
        <v>0.20384204909284923</v>
      </c>
      <c r="Q332">
        <f t="shared" si="971"/>
        <v>18498812.741835617</v>
      </c>
      <c r="R332">
        <f t="shared" si="972"/>
        <v>-857569114.66441476</v>
      </c>
      <c r="S332">
        <f t="shared" si="973"/>
        <v>-8575.691146644147</v>
      </c>
      <c r="T332">
        <f t="shared" si="974"/>
        <v>-8.5756911466441466</v>
      </c>
    </row>
    <row r="333" spans="1:20" x14ac:dyDescent="0.25">
      <c r="A333" s="5">
        <v>44260</v>
      </c>
      <c r="B333">
        <v>8.6190000000000003E-2</v>
      </c>
      <c r="C333">
        <v>8.6730000000000002E-2</v>
      </c>
      <c r="D333">
        <v>6.9690000000000002E-2</v>
      </c>
      <c r="E333">
        <v>7.3810000000000001E-2</v>
      </c>
      <c r="F333">
        <v>177871699.80000001</v>
      </c>
      <c r="G333">
        <v>0</v>
      </c>
      <c r="L333" t="s">
        <v>7</v>
      </c>
      <c r="M333" t="s">
        <v>7</v>
      </c>
      <c r="N333" t="s">
        <v>8</v>
      </c>
      <c r="P333">
        <f t="shared" si="970"/>
        <v>-0.51643192488262923</v>
      </c>
      <c r="Q333">
        <f t="shared" si="971"/>
        <v>-91858624.309859186</v>
      </c>
      <c r="R333">
        <f t="shared" si="972"/>
        <v>-876067927.40625036</v>
      </c>
      <c r="S333">
        <f t="shared" si="973"/>
        <v>-8760.6792740625042</v>
      </c>
      <c r="T333">
        <f t="shared" si="974"/>
        <v>-8.7606792740625039</v>
      </c>
    </row>
    <row r="334" spans="1:20" x14ac:dyDescent="0.25">
      <c r="A334" s="5">
        <v>44259</v>
      </c>
      <c r="B334">
        <v>6.7979999999999999E-2</v>
      </c>
      <c r="C334">
        <v>0.1</v>
      </c>
      <c r="D334">
        <v>6.5000000000000002E-2</v>
      </c>
      <c r="E334">
        <v>8.616E-2</v>
      </c>
      <c r="F334">
        <v>567302973.29999995</v>
      </c>
      <c r="G334">
        <v>0</v>
      </c>
      <c r="L334" t="s">
        <v>8</v>
      </c>
      <c r="M334" t="s">
        <v>8</v>
      </c>
      <c r="N334" t="s">
        <v>8</v>
      </c>
      <c r="P334">
        <f t="shared" si="970"/>
        <v>0.20914285714285694</v>
      </c>
      <c r="Q334">
        <f t="shared" si="971"/>
        <v>118647364.70159987</v>
      </c>
      <c r="R334">
        <f t="shared" si="972"/>
        <v>-784209303.0963912</v>
      </c>
      <c r="S334">
        <f t="shared" si="973"/>
        <v>-7842.0930309639116</v>
      </c>
      <c r="T334">
        <f t="shared" si="974"/>
        <v>-7.8420930309639116</v>
      </c>
    </row>
    <row r="335" spans="1:20" x14ac:dyDescent="0.25">
      <c r="A335" s="5">
        <v>44258</v>
      </c>
      <c r="B335">
        <v>5.5440000000000003E-2</v>
      </c>
      <c r="C335">
        <v>7.0999999999999994E-2</v>
      </c>
      <c r="D335">
        <v>5.5120000000000002E-2</v>
      </c>
      <c r="E335">
        <v>6.7979999999999999E-2</v>
      </c>
      <c r="F335">
        <v>100516741</v>
      </c>
      <c r="G335">
        <v>0</v>
      </c>
      <c r="L335" t="s">
        <v>8</v>
      </c>
      <c r="M335" t="s">
        <v>8</v>
      </c>
      <c r="N335" t="s">
        <v>8</v>
      </c>
      <c r="P335">
        <f t="shared" si="970"/>
        <v>0.61964735516372837</v>
      </c>
      <c r="Q335">
        <f t="shared" si="971"/>
        <v>62284932.710327499</v>
      </c>
      <c r="R335">
        <f t="shared" si="972"/>
        <v>-902856667.79799104</v>
      </c>
      <c r="S335">
        <f t="shared" si="973"/>
        <v>-9028.5666779799103</v>
      </c>
      <c r="T335">
        <f t="shared" si="974"/>
        <v>-9.0285666779799101</v>
      </c>
    </row>
    <row r="336" spans="1:20" x14ac:dyDescent="0.25">
      <c r="A336" s="5">
        <v>44257</v>
      </c>
      <c r="B336">
        <v>5.5059999999999998E-2</v>
      </c>
      <c r="C336">
        <v>5.8259999999999999E-2</v>
      </c>
      <c r="D336">
        <v>5.2569999999999999E-2</v>
      </c>
      <c r="E336">
        <v>5.5460000000000002E-2</v>
      </c>
      <c r="F336">
        <v>31896442.699999999</v>
      </c>
      <c r="G336">
        <v>0</v>
      </c>
      <c r="L336" t="s">
        <v>8</v>
      </c>
      <c r="M336" t="s">
        <v>7</v>
      </c>
      <c r="N336" t="s">
        <v>8</v>
      </c>
      <c r="P336">
        <f t="shared" si="970"/>
        <v>1.5817223198595208E-2</v>
      </c>
      <c r="Q336">
        <f t="shared" si="971"/>
        <v>504513.15342710278</v>
      </c>
      <c r="R336">
        <f t="shared" si="972"/>
        <v>-965141600.50831854</v>
      </c>
      <c r="S336">
        <f t="shared" si="973"/>
        <v>-9651.4160050831852</v>
      </c>
      <c r="T336">
        <f t="shared" si="974"/>
        <v>-9.6514160050831848</v>
      </c>
    </row>
    <row r="337" spans="1:20" x14ac:dyDescent="0.25">
      <c r="A337" s="5">
        <v>44256</v>
      </c>
      <c r="B337">
        <v>5.0229999999999997E-2</v>
      </c>
      <c r="C337">
        <v>5.679E-2</v>
      </c>
      <c r="D337">
        <v>5.0049999999999997E-2</v>
      </c>
      <c r="E337">
        <v>5.5030000000000003E-2</v>
      </c>
      <c r="F337">
        <v>44088316.299999997</v>
      </c>
      <c r="G337">
        <v>0</v>
      </c>
      <c r="L337" t="s">
        <v>7</v>
      </c>
      <c r="M337" t="s">
        <v>7</v>
      </c>
      <c r="N337" t="s">
        <v>8</v>
      </c>
      <c r="P337">
        <f t="shared" si="970"/>
        <v>0.47774480712166262</v>
      </c>
      <c r="Q337">
        <f t="shared" si="971"/>
        <v>21062964.167062353</v>
      </c>
      <c r="R337">
        <f t="shared" si="972"/>
        <v>-965646113.66174567</v>
      </c>
      <c r="S337">
        <f t="shared" si="973"/>
        <v>-9656.4611366174558</v>
      </c>
      <c r="T337">
        <f t="shared" si="974"/>
        <v>-9.6564611366174553</v>
      </c>
    </row>
    <row r="338" spans="1:20" x14ac:dyDescent="0.25">
      <c r="A338" s="5">
        <v>44255</v>
      </c>
      <c r="B338">
        <v>5.5820000000000002E-2</v>
      </c>
      <c r="C338">
        <v>6.3799999999999996E-2</v>
      </c>
      <c r="D338">
        <v>4.87E-2</v>
      </c>
      <c r="E338">
        <v>5.0299999999999997E-2</v>
      </c>
      <c r="F338">
        <v>125927815.59999999</v>
      </c>
      <c r="G338">
        <v>0</v>
      </c>
      <c r="L338" t="s">
        <v>8</v>
      </c>
      <c r="M338" t="s">
        <v>8</v>
      </c>
      <c r="N338" t="s">
        <v>8</v>
      </c>
      <c r="P338">
        <f t="shared" si="970"/>
        <v>-0.78807947019867575</v>
      </c>
      <c r="Q338">
        <f t="shared" si="971"/>
        <v>-99241126.201324537</v>
      </c>
      <c r="R338">
        <f t="shared" si="972"/>
        <v>-986709077.82880807</v>
      </c>
      <c r="S338">
        <f t="shared" si="973"/>
        <v>-9867.0907782880804</v>
      </c>
      <c r="T338">
        <f t="shared" si="974"/>
        <v>-9.8670907782880803</v>
      </c>
    </row>
    <row r="339" spans="1:20" x14ac:dyDescent="0.25">
      <c r="A339" s="5">
        <v>44254</v>
      </c>
      <c r="B339">
        <v>4.888E-2</v>
      </c>
      <c r="C339">
        <v>6.089E-2</v>
      </c>
      <c r="D339">
        <v>4.8800000000000003E-2</v>
      </c>
      <c r="E339">
        <v>5.5820000000000002E-2</v>
      </c>
      <c r="F339">
        <v>68313791</v>
      </c>
      <c r="G339">
        <v>0</v>
      </c>
      <c r="L339" t="s">
        <v>8</v>
      </c>
      <c r="M339" t="s">
        <v>8</v>
      </c>
      <c r="N339" t="s">
        <v>8</v>
      </c>
      <c r="P339">
        <f t="shared" si="970"/>
        <v>0.16129032258064524</v>
      </c>
      <c r="Q339">
        <f t="shared" si="971"/>
        <v>11018353.387096779</v>
      </c>
      <c r="R339">
        <f t="shared" si="972"/>
        <v>-887467951.62748349</v>
      </c>
      <c r="S339">
        <f t="shared" si="973"/>
        <v>-8874.6795162748349</v>
      </c>
      <c r="T339">
        <f t="shared" si="974"/>
        <v>-8.8746795162748349</v>
      </c>
    </row>
    <row r="340" spans="1:20" x14ac:dyDescent="0.25">
      <c r="A340" s="5">
        <v>44253</v>
      </c>
      <c r="B340">
        <v>5.0560000000000001E-2</v>
      </c>
      <c r="C340">
        <v>5.2850000000000001E-2</v>
      </c>
      <c r="D340">
        <v>4.5839999999999999E-2</v>
      </c>
      <c r="E340">
        <v>4.8800000000000003E-2</v>
      </c>
      <c r="F340">
        <v>21727394.800000001</v>
      </c>
      <c r="G340">
        <v>0</v>
      </c>
      <c r="L340" t="s">
        <v>7</v>
      </c>
      <c r="M340" t="s">
        <v>7</v>
      </c>
      <c r="N340" t="s">
        <v>8</v>
      </c>
      <c r="P340">
        <f t="shared" si="970"/>
        <v>-0.15549215406561959</v>
      </c>
      <c r="Q340">
        <f t="shared" si="971"/>
        <v>-3378439.4196861419</v>
      </c>
      <c r="R340">
        <f t="shared" si="972"/>
        <v>-898486305.01458025</v>
      </c>
      <c r="S340">
        <f t="shared" si="973"/>
        <v>-8984.8630501458028</v>
      </c>
      <c r="T340">
        <f t="shared" si="974"/>
        <v>-8.9848630501458029</v>
      </c>
    </row>
    <row r="341" spans="1:20" x14ac:dyDescent="0.25">
      <c r="A341" s="5">
        <v>44252</v>
      </c>
      <c r="B341">
        <v>5.3420000000000002E-2</v>
      </c>
      <c r="C341">
        <v>5.799E-2</v>
      </c>
      <c r="D341">
        <v>5.0090000000000003E-2</v>
      </c>
      <c r="E341">
        <v>5.0220000000000001E-2</v>
      </c>
      <c r="F341">
        <v>39592676.399999999</v>
      </c>
      <c r="G341">
        <v>0</v>
      </c>
      <c r="L341" t="s">
        <v>8</v>
      </c>
      <c r="M341" t="s">
        <v>8</v>
      </c>
      <c r="N341" t="s">
        <v>8</v>
      </c>
      <c r="P341">
        <f t="shared" si="970"/>
        <v>-0.9670886075949372</v>
      </c>
      <c r="Q341">
        <f t="shared" si="971"/>
        <v>-38289626.290632926</v>
      </c>
      <c r="R341">
        <f t="shared" si="972"/>
        <v>-895107865.59489405</v>
      </c>
      <c r="S341">
        <f t="shared" si="973"/>
        <v>-8951.0786559489406</v>
      </c>
      <c r="T341">
        <f t="shared" si="974"/>
        <v>-8.9510786559489404</v>
      </c>
    </row>
    <row r="342" spans="1:20" x14ac:dyDescent="0.25">
      <c r="A342" s="5">
        <v>44251</v>
      </c>
      <c r="B342">
        <v>5.0209999999999998E-2</v>
      </c>
      <c r="C342">
        <v>5.5629999999999999E-2</v>
      </c>
      <c r="D342">
        <v>4.6850000000000003E-2</v>
      </c>
      <c r="E342">
        <v>5.323E-2</v>
      </c>
      <c r="F342">
        <v>53813467.899999999</v>
      </c>
      <c r="G342">
        <v>0</v>
      </c>
      <c r="L342" t="s">
        <v>8</v>
      </c>
      <c r="M342" t="s">
        <v>8</v>
      </c>
      <c r="N342" t="s">
        <v>7</v>
      </c>
      <c r="P342">
        <f t="shared" si="970"/>
        <v>0.4533029612756263</v>
      </c>
      <c r="Q342">
        <f t="shared" si="971"/>
        <v>24393804.355580859</v>
      </c>
      <c r="R342">
        <f t="shared" si="972"/>
        <v>-856818239.30426109</v>
      </c>
      <c r="S342">
        <f t="shared" si="973"/>
        <v>-8568.1823930426108</v>
      </c>
      <c r="T342">
        <f t="shared" si="974"/>
        <v>-8.5681823930426102</v>
      </c>
    </row>
    <row r="343" spans="1:20" x14ac:dyDescent="0.25">
      <c r="A343" s="5">
        <v>44250</v>
      </c>
      <c r="B343">
        <v>6.0420000000000001E-2</v>
      </c>
      <c r="C343">
        <v>6.2050000000000001E-2</v>
      </c>
      <c r="D343">
        <v>3.977E-2</v>
      </c>
      <c r="E343">
        <v>5.0310000000000001E-2</v>
      </c>
      <c r="F343">
        <v>62620759.399999999</v>
      </c>
      <c r="G343">
        <v>0</v>
      </c>
      <c r="L343" t="s">
        <v>7</v>
      </c>
      <c r="M343" t="s">
        <v>7</v>
      </c>
      <c r="N343" t="s">
        <v>7</v>
      </c>
      <c r="P343">
        <f t="shared" si="970"/>
        <v>-5.3859964093357256E-2</v>
      </c>
      <c r="Q343">
        <f t="shared" si="971"/>
        <v>-3372751.8527827635</v>
      </c>
      <c r="R343">
        <f t="shared" si="972"/>
        <v>-881212043.6598419</v>
      </c>
      <c r="S343">
        <f t="shared" si="973"/>
        <v>-8812.1204365984195</v>
      </c>
      <c r="T343">
        <f t="shared" si="974"/>
        <v>-8.8121204365984198</v>
      </c>
    </row>
    <row r="344" spans="1:20" x14ac:dyDescent="0.25">
      <c r="A344" s="5">
        <v>44249</v>
      </c>
      <c r="B344">
        <v>6.5170000000000006E-2</v>
      </c>
      <c r="C344">
        <v>6.9900000000000004E-2</v>
      </c>
      <c r="D344">
        <v>5.0299999999999997E-2</v>
      </c>
      <c r="E344">
        <v>6.0109999999999997E-2</v>
      </c>
      <c r="F344">
        <v>72785228.599999994</v>
      </c>
      <c r="G344">
        <v>0</v>
      </c>
      <c r="L344" t="s">
        <v>7</v>
      </c>
      <c r="M344" t="s">
        <v>7</v>
      </c>
      <c r="N344" t="s">
        <v>7</v>
      </c>
      <c r="P344">
        <f t="shared" si="970"/>
        <v>1.0204081632649103E-3</v>
      </c>
      <c r="Q344">
        <f t="shared" si="971"/>
        <v>74270.641428542614</v>
      </c>
      <c r="R344">
        <f t="shared" si="972"/>
        <v>-877839291.80705917</v>
      </c>
      <c r="S344">
        <f t="shared" si="973"/>
        <v>-8778.3929180705909</v>
      </c>
      <c r="T344">
        <f t="shared" si="974"/>
        <v>-8.7783929180705904</v>
      </c>
    </row>
    <row r="345" spans="1:20" x14ac:dyDescent="0.25">
      <c r="A345" s="5">
        <v>44248</v>
      </c>
      <c r="B345">
        <v>5.9889999999999999E-2</v>
      </c>
      <c r="C345">
        <v>7.0690000000000003E-2</v>
      </c>
      <c r="D345">
        <v>5.9310000000000002E-2</v>
      </c>
      <c r="E345">
        <v>6.5159999999999996E-2</v>
      </c>
      <c r="F345">
        <v>79387989.599999994</v>
      </c>
      <c r="G345">
        <v>0</v>
      </c>
      <c r="L345" t="s">
        <v>8</v>
      </c>
      <c r="M345" t="s">
        <v>8</v>
      </c>
      <c r="N345" t="s">
        <v>7</v>
      </c>
      <c r="P345">
        <f t="shared" si="970"/>
        <v>2.8119507908610449E-2</v>
      </c>
      <c r="Q345">
        <f t="shared" si="971"/>
        <v>2232351.2014058838</v>
      </c>
      <c r="R345">
        <f t="shared" si="972"/>
        <v>-877913562.44848776</v>
      </c>
      <c r="S345">
        <f t="shared" si="973"/>
        <v>-8779.1356244848776</v>
      </c>
      <c r="T345">
        <f t="shared" si="974"/>
        <v>-8.7791356244848782</v>
      </c>
    </row>
    <row r="346" spans="1:20" x14ac:dyDescent="0.25">
      <c r="A346" s="5">
        <v>44247</v>
      </c>
      <c r="B346">
        <v>6.1699999999999998E-2</v>
      </c>
      <c r="C346">
        <v>6.5000000000000002E-2</v>
      </c>
      <c r="D346">
        <v>5.8999999999999997E-2</v>
      </c>
      <c r="E346">
        <v>5.9889999999999999E-2</v>
      </c>
      <c r="F346">
        <v>52853321.299999997</v>
      </c>
      <c r="G346">
        <v>0</v>
      </c>
      <c r="L346" t="s">
        <v>7</v>
      </c>
      <c r="M346" t="s">
        <v>7</v>
      </c>
      <c r="N346" t="s">
        <v>7</v>
      </c>
      <c r="P346">
        <f t="shared" si="970"/>
        <v>-0.70333333333333292</v>
      </c>
      <c r="Q346">
        <f t="shared" si="971"/>
        <v>-37173502.647666641</v>
      </c>
      <c r="R346">
        <f t="shared" si="972"/>
        <v>-880145913.64989364</v>
      </c>
      <c r="S346">
        <f t="shared" si="973"/>
        <v>-8801.4591364989355</v>
      </c>
      <c r="T346">
        <f t="shared" si="974"/>
        <v>-8.8014591364989361</v>
      </c>
    </row>
    <row r="347" spans="1:20" x14ac:dyDescent="0.25">
      <c r="A347" s="5">
        <v>44246</v>
      </c>
      <c r="B347">
        <v>6.5790000000000001E-2</v>
      </c>
      <c r="C347">
        <v>6.8400000000000002E-2</v>
      </c>
      <c r="D347">
        <v>5.9240000000000001E-2</v>
      </c>
      <c r="E347">
        <v>6.1859999999999998E-2</v>
      </c>
      <c r="F347">
        <v>54525259.200000003</v>
      </c>
      <c r="G347">
        <v>0</v>
      </c>
      <c r="L347" t="s">
        <v>8</v>
      </c>
      <c r="M347" t="s">
        <v>8</v>
      </c>
      <c r="N347" t="s">
        <v>7</v>
      </c>
      <c r="P347">
        <f t="shared" si="970"/>
        <v>-0.42794759825327577</v>
      </c>
      <c r="Q347">
        <f t="shared" si="971"/>
        <v>-23333953.718777329</v>
      </c>
      <c r="R347">
        <f t="shared" si="972"/>
        <v>-842972411.00222695</v>
      </c>
      <c r="S347">
        <f t="shared" si="973"/>
        <v>-8429.7241100222691</v>
      </c>
      <c r="T347">
        <f t="shared" si="974"/>
        <v>-8.4297241100222688</v>
      </c>
    </row>
    <row r="348" spans="1:20" x14ac:dyDescent="0.25">
      <c r="A348" s="5">
        <v>44245</v>
      </c>
      <c r="B348">
        <v>6.0690000000000001E-2</v>
      </c>
      <c r="C348">
        <v>6.7320000000000005E-2</v>
      </c>
      <c r="D348">
        <v>5.8860000000000003E-2</v>
      </c>
      <c r="E348">
        <v>6.5549999999999997E-2</v>
      </c>
      <c r="F348">
        <v>44963242.5</v>
      </c>
      <c r="G348">
        <v>0</v>
      </c>
      <c r="L348" t="s">
        <v>8</v>
      </c>
      <c r="M348" t="s">
        <v>8</v>
      </c>
      <c r="N348" t="s">
        <v>7</v>
      </c>
      <c r="P348">
        <f t="shared" si="970"/>
        <v>0.58156028368794155</v>
      </c>
      <c r="Q348">
        <f t="shared" si="971"/>
        <v>26148836.063829709</v>
      </c>
      <c r="R348">
        <f t="shared" si="972"/>
        <v>-819638457.28344965</v>
      </c>
      <c r="S348">
        <f t="shared" si="973"/>
        <v>-8196.3845728344968</v>
      </c>
      <c r="T348">
        <f t="shared" si="974"/>
        <v>-8.1963845728344964</v>
      </c>
    </row>
    <row r="349" spans="1:20" x14ac:dyDescent="0.25">
      <c r="A349" s="5">
        <v>44244</v>
      </c>
      <c r="B349">
        <v>5.7160000000000002E-2</v>
      </c>
      <c r="C349">
        <v>6.3100000000000003E-2</v>
      </c>
      <c r="D349">
        <v>5.4800000000000001E-2</v>
      </c>
      <c r="E349">
        <v>6.0949999999999997E-2</v>
      </c>
      <c r="F349">
        <v>47343712.299999997</v>
      </c>
      <c r="G349">
        <v>0</v>
      </c>
      <c r="L349" t="s">
        <v>7</v>
      </c>
      <c r="M349" t="s">
        <v>8</v>
      </c>
      <c r="N349" t="s">
        <v>7</v>
      </c>
      <c r="P349">
        <f t="shared" si="970"/>
        <v>0.48192771084337216</v>
      </c>
      <c r="Q349">
        <f t="shared" si="971"/>
        <v>22816246.891566202</v>
      </c>
      <c r="R349">
        <f t="shared" si="972"/>
        <v>-845787293.34727931</v>
      </c>
      <c r="S349">
        <f t="shared" si="973"/>
        <v>-8457.8729334727923</v>
      </c>
      <c r="T349">
        <f t="shared" si="974"/>
        <v>-8.4578729334727925</v>
      </c>
    </row>
    <row r="350" spans="1:20" x14ac:dyDescent="0.25">
      <c r="A350" s="5">
        <v>44243</v>
      </c>
      <c r="B350">
        <v>6.021E-2</v>
      </c>
      <c r="C350">
        <v>6.4780000000000004E-2</v>
      </c>
      <c r="D350">
        <v>5.5030000000000003E-2</v>
      </c>
      <c r="E350">
        <v>5.7149999999999999E-2</v>
      </c>
      <c r="F350">
        <v>42188614.5</v>
      </c>
      <c r="G350">
        <v>0</v>
      </c>
      <c r="L350" t="s">
        <v>8</v>
      </c>
      <c r="M350" t="s">
        <v>8</v>
      </c>
      <c r="N350" t="s">
        <v>7</v>
      </c>
      <c r="P350">
        <f t="shared" si="970"/>
        <v>-0.56512820512820583</v>
      </c>
      <c r="Q350">
        <f t="shared" si="971"/>
        <v>-23841975.9892308</v>
      </c>
      <c r="R350">
        <f t="shared" si="972"/>
        <v>-868603540.23884547</v>
      </c>
      <c r="S350">
        <f t="shared" si="973"/>
        <v>-8686.0354023884538</v>
      </c>
      <c r="T350">
        <f t="shared" si="974"/>
        <v>-8.6860354023884536</v>
      </c>
    </row>
    <row r="351" spans="1:20" x14ac:dyDescent="0.25">
      <c r="A351" s="5">
        <v>44242</v>
      </c>
      <c r="B351">
        <v>6.3390000000000002E-2</v>
      </c>
      <c r="C351">
        <v>6.5839999999999996E-2</v>
      </c>
      <c r="D351">
        <v>5.2999999999999999E-2</v>
      </c>
      <c r="E351">
        <v>6.0220000000000003E-2</v>
      </c>
      <c r="F351">
        <v>51779529.700000003</v>
      </c>
      <c r="G351">
        <v>0</v>
      </c>
      <c r="L351" t="s">
        <v>7</v>
      </c>
      <c r="M351" t="s">
        <v>7</v>
      </c>
      <c r="N351" t="s">
        <v>7</v>
      </c>
      <c r="P351">
        <f t="shared" si="970"/>
        <v>0.12461059190031241</v>
      </c>
      <c r="Q351">
        <f t="shared" si="971"/>
        <v>6452277.844236806</v>
      </c>
      <c r="R351">
        <f t="shared" si="972"/>
        <v>-844761564.24961472</v>
      </c>
      <c r="S351">
        <f t="shared" si="973"/>
        <v>-8447.6156424961464</v>
      </c>
      <c r="T351">
        <f t="shared" si="974"/>
        <v>-8.4476156424961459</v>
      </c>
    </row>
    <row r="352" spans="1:20" x14ac:dyDescent="0.25">
      <c r="A352" s="5">
        <v>44241</v>
      </c>
      <c r="B352">
        <v>6.6919999999999993E-2</v>
      </c>
      <c r="C352">
        <v>7.0300000000000001E-2</v>
      </c>
      <c r="D352">
        <v>5.867E-2</v>
      </c>
      <c r="E352">
        <v>6.3299999999999995E-2</v>
      </c>
      <c r="F352">
        <v>74009217.799999997</v>
      </c>
      <c r="G352">
        <v>0</v>
      </c>
      <c r="L352" t="s">
        <v>7</v>
      </c>
      <c r="M352" t="s">
        <v>7</v>
      </c>
      <c r="N352" t="s">
        <v>7</v>
      </c>
      <c r="P352">
        <f t="shared" si="970"/>
        <v>-0.20378331900258045</v>
      </c>
      <c r="Q352">
        <f t="shared" si="971"/>
        <v>-15081844.040068856</v>
      </c>
      <c r="R352">
        <f t="shared" si="972"/>
        <v>-851213842.09385157</v>
      </c>
      <c r="S352">
        <f t="shared" si="973"/>
        <v>-8512.138420938516</v>
      </c>
      <c r="T352">
        <f t="shared" si="974"/>
        <v>-8.5121384209385162</v>
      </c>
    </row>
    <row r="353" spans="1:20" x14ac:dyDescent="0.25">
      <c r="A353" s="5">
        <v>44240</v>
      </c>
      <c r="B353">
        <v>6.4449999999999993E-2</v>
      </c>
      <c r="C353">
        <v>7.0000000000000007E-2</v>
      </c>
      <c r="D353">
        <v>6.1109999999999998E-2</v>
      </c>
      <c r="E353">
        <v>6.6930000000000003E-2</v>
      </c>
      <c r="F353">
        <v>56750409.700000003</v>
      </c>
      <c r="G353">
        <v>0</v>
      </c>
      <c r="L353" t="s">
        <v>8</v>
      </c>
      <c r="M353" t="s">
        <v>7</v>
      </c>
      <c r="N353" t="s">
        <v>7</v>
      </c>
      <c r="P353">
        <f t="shared" si="970"/>
        <v>0.30933633295838014</v>
      </c>
      <c r="Q353">
        <f t="shared" si="971"/>
        <v>17554963.630483687</v>
      </c>
      <c r="R353">
        <f t="shared" si="972"/>
        <v>-836131998.0537827</v>
      </c>
      <c r="S353">
        <f t="shared" si="973"/>
        <v>-8361.3199805378263</v>
      </c>
      <c r="T353">
        <f t="shared" si="974"/>
        <v>-8.3613199805378269</v>
      </c>
    </row>
    <row r="354" spans="1:20" x14ac:dyDescent="0.25">
      <c r="A354" s="5">
        <v>44239</v>
      </c>
      <c r="B354">
        <v>6.2659999999999993E-2</v>
      </c>
      <c r="C354">
        <v>6.7000000000000004E-2</v>
      </c>
      <c r="D354">
        <v>5.9279999999999999E-2</v>
      </c>
      <c r="E354">
        <v>6.4449999999999993E-2</v>
      </c>
      <c r="F354">
        <v>77968893.599999994</v>
      </c>
      <c r="G354">
        <v>0</v>
      </c>
      <c r="L354" t="s">
        <v>7</v>
      </c>
      <c r="M354" t="s">
        <v>7</v>
      </c>
      <c r="N354" t="s">
        <v>7</v>
      </c>
      <c r="P354">
        <f t="shared" si="970"/>
        <v>0.33937823834196656</v>
      </c>
      <c r="Q354">
        <f t="shared" si="971"/>
        <v>26460945.755440228</v>
      </c>
      <c r="R354">
        <f t="shared" si="972"/>
        <v>-853686961.68426633</v>
      </c>
      <c r="S354">
        <f t="shared" si="973"/>
        <v>-8536.8696168426632</v>
      </c>
      <c r="T354">
        <f t="shared" si="974"/>
        <v>-8.5368696168426634</v>
      </c>
    </row>
    <row r="355" spans="1:20" x14ac:dyDescent="0.25">
      <c r="A355" s="5">
        <v>44238</v>
      </c>
      <c r="B355">
        <v>6.5430000000000002E-2</v>
      </c>
      <c r="C355">
        <v>7.5999999999999998E-2</v>
      </c>
      <c r="D355">
        <v>6.1170000000000002E-2</v>
      </c>
      <c r="E355">
        <v>6.2659999999999993E-2</v>
      </c>
      <c r="F355">
        <v>167126643.09999999</v>
      </c>
      <c r="G355">
        <v>0</v>
      </c>
      <c r="L355" t="s">
        <v>7</v>
      </c>
      <c r="M355" t="s">
        <v>7</v>
      </c>
      <c r="N355" t="s">
        <v>7</v>
      </c>
      <c r="P355">
        <f t="shared" si="970"/>
        <v>-0.7990559676331771</v>
      </c>
      <c r="Q355">
        <f t="shared" si="971"/>
        <v>-133543541.51955514</v>
      </c>
      <c r="R355">
        <f t="shared" si="972"/>
        <v>-880147907.43970656</v>
      </c>
      <c r="S355">
        <f t="shared" si="973"/>
        <v>-8801.4790743970661</v>
      </c>
      <c r="T355">
        <f t="shared" si="974"/>
        <v>-8.8014790743970668</v>
      </c>
    </row>
    <row r="356" spans="1:20" x14ac:dyDescent="0.25">
      <c r="A356" s="5">
        <v>44237</v>
      </c>
      <c r="B356">
        <v>5.092E-2</v>
      </c>
      <c r="C356">
        <v>8.9770000000000003E-2</v>
      </c>
      <c r="D356">
        <v>4.897E-2</v>
      </c>
      <c r="E356">
        <v>6.5420000000000006E-2</v>
      </c>
      <c r="F356">
        <v>451299766.60000002</v>
      </c>
      <c r="G356">
        <v>0</v>
      </c>
      <c r="L356" t="s">
        <v>8</v>
      </c>
      <c r="M356" t="s">
        <v>8</v>
      </c>
      <c r="N356" t="s">
        <v>8</v>
      </c>
      <c r="P356">
        <f t="shared" si="970"/>
        <v>-0.19362745098039191</v>
      </c>
      <c r="Q356">
        <f t="shared" si="971"/>
        <v>-87384023.434803814</v>
      </c>
      <c r="R356">
        <f t="shared" si="972"/>
        <v>-746604365.92015147</v>
      </c>
      <c r="S356">
        <f t="shared" si="973"/>
        <v>-7466.0436592015149</v>
      </c>
      <c r="T356">
        <f t="shared" si="974"/>
        <v>-7.4660436592015147</v>
      </c>
    </row>
    <row r="357" spans="1:20" x14ac:dyDescent="0.25">
      <c r="A357" s="5">
        <v>44236</v>
      </c>
      <c r="B357">
        <v>4.2320000000000003E-2</v>
      </c>
      <c r="C357">
        <v>5.4480000000000001E-2</v>
      </c>
      <c r="D357">
        <v>4.1500000000000002E-2</v>
      </c>
      <c r="E357">
        <v>5.0799999999999998E-2</v>
      </c>
      <c r="F357">
        <v>152713441.19999999</v>
      </c>
      <c r="G357">
        <v>0</v>
      </c>
      <c r="L357" t="s">
        <v>8</v>
      </c>
      <c r="M357" t="s">
        <v>8</v>
      </c>
      <c r="N357" t="s">
        <v>8</v>
      </c>
      <c r="P357">
        <f t="shared" si="970"/>
        <v>0.43297380585516132</v>
      </c>
      <c r="Q357">
        <f t="shared" si="971"/>
        <v>66120919.841602392</v>
      </c>
      <c r="R357">
        <f t="shared" si="972"/>
        <v>-659220342.48534763</v>
      </c>
      <c r="S357">
        <f t="shared" si="973"/>
        <v>-6592.2034248534765</v>
      </c>
      <c r="T357">
        <f t="shared" si="974"/>
        <v>-6.5922034248534764</v>
      </c>
    </row>
    <row r="358" spans="1:20" x14ac:dyDescent="0.25">
      <c r="A358" s="5">
        <v>44235</v>
      </c>
      <c r="B358">
        <v>3.9019999999999999E-2</v>
      </c>
      <c r="C358">
        <v>4.5100000000000001E-2</v>
      </c>
      <c r="D358">
        <v>3.8399999999999997E-2</v>
      </c>
      <c r="E358">
        <v>4.2029999999999998E-2</v>
      </c>
      <c r="F358">
        <v>54184141.299999997</v>
      </c>
      <c r="G358">
        <v>0</v>
      </c>
      <c r="L358" t="s">
        <v>8</v>
      </c>
      <c r="M358" t="s">
        <v>8</v>
      </c>
      <c r="N358" t="s">
        <v>8</v>
      </c>
      <c r="P358">
        <f t="shared" si="970"/>
        <v>8.3582089552238448E-2</v>
      </c>
      <c r="Q358">
        <f t="shared" si="971"/>
        <v>4528823.7504477417</v>
      </c>
      <c r="R358">
        <f t="shared" si="972"/>
        <v>-725341262.32695007</v>
      </c>
      <c r="S358">
        <f t="shared" si="973"/>
        <v>-7253.4126232695007</v>
      </c>
      <c r="T358">
        <f t="shared" si="974"/>
        <v>-7.2534126232695009</v>
      </c>
    </row>
    <row r="359" spans="1:20" x14ac:dyDescent="0.25">
      <c r="A359" s="5">
        <v>44234</v>
      </c>
      <c r="B359">
        <v>4.0910000000000002E-2</v>
      </c>
      <c r="C359">
        <v>4.2500000000000003E-2</v>
      </c>
      <c r="D359">
        <v>3.5619999999999999E-2</v>
      </c>
      <c r="E359">
        <v>3.9059999999999997E-2</v>
      </c>
      <c r="F359">
        <v>41002440.399999999</v>
      </c>
      <c r="G359">
        <v>0</v>
      </c>
      <c r="L359" t="s">
        <v>7</v>
      </c>
      <c r="M359" t="s">
        <v>7</v>
      </c>
      <c r="N359" t="s">
        <v>8</v>
      </c>
      <c r="P359">
        <f t="shared" si="970"/>
        <v>-1.0085601604516315E-15</v>
      </c>
      <c r="Q359">
        <f t="shared" si="971"/>
        <v>-4.1353427868732456E-8</v>
      </c>
      <c r="R359">
        <f t="shared" si="972"/>
        <v>-729870086.07739782</v>
      </c>
      <c r="S359">
        <f t="shared" si="973"/>
        <v>-7298.7008607739781</v>
      </c>
      <c r="T359">
        <f t="shared" si="974"/>
        <v>-7.2987008607739785</v>
      </c>
    </row>
    <row r="360" spans="1:20" x14ac:dyDescent="0.25">
      <c r="A360" s="5">
        <v>44233</v>
      </c>
      <c r="B360">
        <v>4.2959999999999998E-2</v>
      </c>
      <c r="C360">
        <v>4.4119999999999999E-2</v>
      </c>
      <c r="D360">
        <v>3.8249999999999999E-2</v>
      </c>
      <c r="E360">
        <v>4.0899999999999999E-2</v>
      </c>
      <c r="F360">
        <v>47561825.5</v>
      </c>
      <c r="G360">
        <v>0</v>
      </c>
      <c r="L360" t="s">
        <v>7</v>
      </c>
      <c r="M360" t="s">
        <v>8</v>
      </c>
      <c r="N360" t="s">
        <v>8</v>
      </c>
      <c r="P360">
        <f t="shared" si="970"/>
        <v>-9.7103918228279559E-2</v>
      </c>
      <c r="Q360">
        <f t="shared" si="971"/>
        <v>-4618439.6141397012</v>
      </c>
      <c r="R360">
        <f t="shared" si="972"/>
        <v>-729870086.07739782</v>
      </c>
      <c r="S360">
        <f t="shared" si="973"/>
        <v>-7298.7008607739781</v>
      </c>
      <c r="T360">
        <f t="shared" si="974"/>
        <v>-7.2987008607739785</v>
      </c>
    </row>
    <row r="361" spans="1:20" x14ac:dyDescent="0.25">
      <c r="A361" s="5">
        <v>44232</v>
      </c>
      <c r="B361">
        <v>3.95E-2</v>
      </c>
      <c r="C361">
        <v>4.4560000000000002E-2</v>
      </c>
      <c r="D361">
        <v>3.9350000000000003E-2</v>
      </c>
      <c r="E361">
        <v>4.2959999999999998E-2</v>
      </c>
      <c r="F361">
        <v>59550421.5</v>
      </c>
      <c r="G361">
        <v>0</v>
      </c>
      <c r="L361" t="s">
        <v>8</v>
      </c>
      <c r="M361" t="s">
        <v>8</v>
      </c>
      <c r="N361" t="s">
        <v>8</v>
      </c>
      <c r="P361">
        <f t="shared" si="970"/>
        <v>0.38579654510556455</v>
      </c>
      <c r="Q361">
        <f t="shared" si="971"/>
        <v>22974346.874280132</v>
      </c>
      <c r="R361">
        <f t="shared" si="972"/>
        <v>-725251646.46325815</v>
      </c>
      <c r="S361">
        <f t="shared" si="973"/>
        <v>-7252.5164646325811</v>
      </c>
      <c r="T361">
        <f t="shared" si="974"/>
        <v>-7.2525164646325813</v>
      </c>
    </row>
    <row r="362" spans="1:20" x14ac:dyDescent="0.25">
      <c r="A362" s="5">
        <v>44231</v>
      </c>
      <c r="B362">
        <v>3.9E-2</v>
      </c>
      <c r="C362">
        <v>3.9960000000000002E-2</v>
      </c>
      <c r="D362">
        <v>3.6540000000000003E-2</v>
      </c>
      <c r="E362">
        <v>3.9489999999999997E-2</v>
      </c>
      <c r="F362">
        <v>37073471.700000003</v>
      </c>
      <c r="G362">
        <v>0</v>
      </c>
      <c r="L362" t="s">
        <v>8</v>
      </c>
      <c r="M362" t="s">
        <v>8</v>
      </c>
      <c r="N362" t="s">
        <v>8</v>
      </c>
      <c r="P362">
        <f t="shared" si="970"/>
        <v>0.72514619883040632</v>
      </c>
      <c r="Q362">
        <f t="shared" si="971"/>
        <v>26883687.080701645</v>
      </c>
      <c r="R362">
        <f t="shared" si="972"/>
        <v>-748225993.33753824</v>
      </c>
      <c r="S362">
        <f t="shared" si="973"/>
        <v>-7482.2599333753824</v>
      </c>
      <c r="T362">
        <f t="shared" si="974"/>
        <v>-7.4822599333753823</v>
      </c>
    </row>
    <row r="363" spans="1:20" x14ac:dyDescent="0.25">
      <c r="A363" s="5">
        <v>44230</v>
      </c>
      <c r="B363">
        <v>3.6269999999999997E-2</v>
      </c>
      <c r="C363">
        <v>3.9140000000000001E-2</v>
      </c>
      <c r="D363">
        <v>3.5839999999999997E-2</v>
      </c>
      <c r="E363">
        <v>3.9019999999999999E-2</v>
      </c>
      <c r="F363">
        <v>35916917.899999999</v>
      </c>
      <c r="G363">
        <v>0</v>
      </c>
      <c r="L363" t="s">
        <v>8</v>
      </c>
      <c r="M363" t="s">
        <v>8</v>
      </c>
      <c r="N363" t="s">
        <v>8</v>
      </c>
      <c r="P363">
        <f t="shared" si="970"/>
        <v>0.92727272727272614</v>
      </c>
      <c r="Q363">
        <f t="shared" si="971"/>
        <v>33304778.416363593</v>
      </c>
      <c r="R363">
        <f t="shared" si="972"/>
        <v>-775109680.41823983</v>
      </c>
      <c r="S363">
        <f t="shared" si="973"/>
        <v>-7751.096804182398</v>
      </c>
      <c r="T363">
        <f t="shared" si="974"/>
        <v>-7.7510968041823984</v>
      </c>
    </row>
    <row r="364" spans="1:20" x14ac:dyDescent="0.25">
      <c r="A364" s="5">
        <v>44229</v>
      </c>
      <c r="B364">
        <v>3.6609999999999997E-2</v>
      </c>
      <c r="C364">
        <v>3.7780000000000001E-2</v>
      </c>
      <c r="D364">
        <v>3.5560000000000001E-2</v>
      </c>
      <c r="E364">
        <v>3.6310000000000002E-2</v>
      </c>
      <c r="F364">
        <v>29349116.100000001</v>
      </c>
      <c r="G364">
        <v>0</v>
      </c>
      <c r="L364" t="s">
        <v>8</v>
      </c>
      <c r="M364" t="s">
        <v>8</v>
      </c>
      <c r="N364" t="s">
        <v>8</v>
      </c>
      <c r="P364">
        <f t="shared" si="970"/>
        <v>-0.32432432432432368</v>
      </c>
      <c r="Q364">
        <f t="shared" si="971"/>
        <v>-9518632.2486486305</v>
      </c>
      <c r="R364">
        <f t="shared" si="972"/>
        <v>-808414458.83460343</v>
      </c>
      <c r="S364">
        <f t="shared" si="973"/>
        <v>-8084.1445883460347</v>
      </c>
      <c r="T364">
        <f t="shared" si="974"/>
        <v>-8.0841445883460352</v>
      </c>
    </row>
    <row r="365" spans="1:20" x14ac:dyDescent="0.25">
      <c r="A365" s="5">
        <v>44228</v>
      </c>
      <c r="B365">
        <v>3.7280000000000001E-2</v>
      </c>
      <c r="C365">
        <v>3.8850000000000003E-2</v>
      </c>
      <c r="D365">
        <v>3.4169999999999999E-2</v>
      </c>
      <c r="E365">
        <v>3.6650000000000002E-2</v>
      </c>
      <c r="F365">
        <v>40551265.799999997</v>
      </c>
      <c r="G365">
        <v>0</v>
      </c>
      <c r="L365" t="s">
        <v>7</v>
      </c>
      <c r="M365" t="s">
        <v>8</v>
      </c>
      <c r="N365" t="s">
        <v>8</v>
      </c>
      <c r="P365">
        <f t="shared" si="970"/>
        <v>5.982905982906031E-2</v>
      </c>
      <c r="Q365">
        <f t="shared" si="971"/>
        <v>2426144.1076923269</v>
      </c>
      <c r="R365">
        <f t="shared" si="972"/>
        <v>-798895826.58595479</v>
      </c>
      <c r="S365">
        <f t="shared" si="973"/>
        <v>-7988.9582658595482</v>
      </c>
      <c r="T365">
        <f t="shared" si="974"/>
        <v>-7.9889582658595479</v>
      </c>
    </row>
    <row r="366" spans="1:20" x14ac:dyDescent="0.25">
      <c r="A366" s="5">
        <v>44227</v>
      </c>
      <c r="B366">
        <v>3.2989999999999998E-2</v>
      </c>
      <c r="C366">
        <v>3.909E-2</v>
      </c>
      <c r="D366">
        <v>3.2779999999999997E-2</v>
      </c>
      <c r="E366">
        <v>3.73E-2</v>
      </c>
      <c r="F366">
        <v>106507547.8</v>
      </c>
      <c r="G366">
        <v>0</v>
      </c>
      <c r="L366" t="s">
        <v>8</v>
      </c>
      <c r="M366" t="s">
        <v>8</v>
      </c>
      <c r="N366" t="s">
        <v>8</v>
      </c>
      <c r="P366">
        <f t="shared" si="970"/>
        <v>0.43264659270998446</v>
      </c>
      <c r="Q366">
        <f t="shared" si="971"/>
        <v>46080127.653565802</v>
      </c>
      <c r="R366">
        <f t="shared" si="972"/>
        <v>-801321970.69364715</v>
      </c>
      <c r="S366">
        <f t="shared" si="973"/>
        <v>-8013.2197069364711</v>
      </c>
      <c r="T366">
        <f t="shared" si="974"/>
        <v>-8.0132197069364715</v>
      </c>
    </row>
    <row r="367" spans="1:20" x14ac:dyDescent="0.25">
      <c r="A367" s="5">
        <v>44226</v>
      </c>
      <c r="B367">
        <v>3.3529999999999997E-2</v>
      </c>
      <c r="C367">
        <v>3.4090000000000002E-2</v>
      </c>
      <c r="D367">
        <v>3.1910000000000001E-2</v>
      </c>
      <c r="E367">
        <v>3.2989999999999998E-2</v>
      </c>
      <c r="F367">
        <v>27631018.399999999</v>
      </c>
      <c r="G367">
        <v>0</v>
      </c>
      <c r="L367" t="s">
        <v>7</v>
      </c>
      <c r="M367" t="s">
        <v>8</v>
      </c>
      <c r="N367" t="s">
        <v>8</v>
      </c>
      <c r="P367">
        <f t="shared" si="970"/>
        <v>-9.1743119266083084E-3</v>
      </c>
      <c r="Q367">
        <f t="shared" si="971"/>
        <v>-253495.5816514536</v>
      </c>
      <c r="R367">
        <f t="shared" si="972"/>
        <v>-847402098.34721291</v>
      </c>
      <c r="S367">
        <f t="shared" si="973"/>
        <v>-8474.02098347213</v>
      </c>
      <c r="T367">
        <f t="shared" si="974"/>
        <v>-8.4740209834721298</v>
      </c>
    </row>
    <row r="368" spans="1:20" x14ac:dyDescent="0.25">
      <c r="A368" s="5">
        <v>44225</v>
      </c>
      <c r="B368">
        <v>3.372E-2</v>
      </c>
      <c r="C368">
        <v>3.5299999999999998E-2</v>
      </c>
      <c r="D368">
        <v>3.211E-2</v>
      </c>
      <c r="E368">
        <v>3.3349999999999998E-2</v>
      </c>
      <c r="F368">
        <v>49581724.399999999</v>
      </c>
      <c r="G368">
        <v>0</v>
      </c>
      <c r="L368" t="s">
        <v>7</v>
      </c>
      <c r="M368" t="s">
        <v>8</v>
      </c>
      <c r="N368" t="s">
        <v>8</v>
      </c>
      <c r="P368">
        <f t="shared" si="970"/>
        <v>-0.22257053291536133</v>
      </c>
      <c r="Q368">
        <f t="shared" si="971"/>
        <v>-11035430.822570574</v>
      </c>
      <c r="R368">
        <f t="shared" si="972"/>
        <v>-847148602.76556146</v>
      </c>
      <c r="S368">
        <f t="shared" si="973"/>
        <v>-8471.4860276556137</v>
      </c>
      <c r="T368">
        <f t="shared" si="974"/>
        <v>-8.4714860276556134</v>
      </c>
    </row>
    <row r="369" spans="1:20" x14ac:dyDescent="0.25">
      <c r="A369" s="5">
        <v>44224</v>
      </c>
      <c r="B369">
        <v>3.5099999999999999E-2</v>
      </c>
      <c r="C369">
        <v>3.6799999999999999E-2</v>
      </c>
      <c r="D369">
        <v>3.2739999999999998E-2</v>
      </c>
      <c r="E369">
        <v>3.3709999999999997E-2</v>
      </c>
      <c r="F369">
        <v>65667897</v>
      </c>
      <c r="G369">
        <v>0</v>
      </c>
      <c r="L369" t="s">
        <v>7</v>
      </c>
      <c r="M369" t="s">
        <v>8</v>
      </c>
      <c r="N369" t="s">
        <v>8</v>
      </c>
      <c r="P369">
        <f t="shared" si="970"/>
        <v>-0.52216748768472987</v>
      </c>
      <c r="Q369">
        <f t="shared" si="971"/>
        <v>-34289640.798029609</v>
      </c>
      <c r="R369">
        <f t="shared" si="972"/>
        <v>-836113171.9429909</v>
      </c>
      <c r="S369">
        <f t="shared" si="973"/>
        <v>-8361.1317194299081</v>
      </c>
      <c r="T369">
        <f t="shared" si="974"/>
        <v>-8.361131719429908</v>
      </c>
    </row>
    <row r="370" spans="1:20" x14ac:dyDescent="0.25">
      <c r="A370" s="5">
        <v>44223</v>
      </c>
      <c r="B370">
        <v>3.168E-2</v>
      </c>
      <c r="C370">
        <v>3.6799999999999999E-2</v>
      </c>
      <c r="D370">
        <v>2.8809999999999999E-2</v>
      </c>
      <c r="E370">
        <v>3.5060000000000001E-2</v>
      </c>
      <c r="F370">
        <v>68470888</v>
      </c>
      <c r="G370">
        <v>0</v>
      </c>
      <c r="L370" t="s">
        <v>8</v>
      </c>
      <c r="M370" t="s">
        <v>8</v>
      </c>
      <c r="N370" t="s">
        <v>8</v>
      </c>
      <c r="P370">
        <f t="shared" si="970"/>
        <v>0.56445556946182773</v>
      </c>
      <c r="Q370">
        <f t="shared" si="971"/>
        <v>38648774.07759703</v>
      </c>
      <c r="R370">
        <f t="shared" si="972"/>
        <v>-801823531.14496124</v>
      </c>
      <c r="S370">
        <f t="shared" si="973"/>
        <v>-8018.2353114496127</v>
      </c>
      <c r="T370">
        <f t="shared" si="974"/>
        <v>-8.0182353114496134</v>
      </c>
    </row>
    <row r="371" spans="1:20" x14ac:dyDescent="0.25">
      <c r="A371" s="5">
        <v>44222</v>
      </c>
      <c r="B371">
        <v>2.9860000000000001E-2</v>
      </c>
      <c r="C371">
        <v>3.236E-2</v>
      </c>
      <c r="D371">
        <v>2.8850000000000001E-2</v>
      </c>
      <c r="E371">
        <v>3.1640000000000001E-2</v>
      </c>
      <c r="F371">
        <v>30965212.399999999</v>
      </c>
      <c r="G371">
        <v>0</v>
      </c>
      <c r="L371" t="s">
        <v>7</v>
      </c>
      <c r="M371" t="s">
        <v>7</v>
      </c>
      <c r="N371" t="s">
        <v>8</v>
      </c>
      <c r="P371">
        <f t="shared" si="970"/>
        <v>0.58974358974359053</v>
      </c>
      <c r="Q371">
        <f t="shared" si="971"/>
        <v>18261535.517948743</v>
      </c>
      <c r="R371">
        <f t="shared" si="972"/>
        <v>-840472305.22255826</v>
      </c>
      <c r="S371">
        <f t="shared" si="973"/>
        <v>-8404.7230522255832</v>
      </c>
      <c r="T371">
        <f t="shared" si="974"/>
        <v>-8.4047230522255827</v>
      </c>
    </row>
    <row r="372" spans="1:20" x14ac:dyDescent="0.25">
      <c r="A372" s="5">
        <v>44221</v>
      </c>
      <c r="B372">
        <v>3.1130000000000001E-2</v>
      </c>
      <c r="C372">
        <v>3.2410000000000001E-2</v>
      </c>
      <c r="D372">
        <v>2.989E-2</v>
      </c>
      <c r="E372">
        <v>2.989E-2</v>
      </c>
      <c r="F372">
        <v>29679792.199999999</v>
      </c>
      <c r="G372">
        <v>0</v>
      </c>
      <c r="L372" t="s">
        <v>8</v>
      </c>
      <c r="M372" t="s">
        <v>7</v>
      </c>
      <c r="N372" t="s">
        <v>8</v>
      </c>
      <c r="P372">
        <f t="shared" si="970"/>
        <v>-1</v>
      </c>
      <c r="Q372">
        <f t="shared" si="971"/>
        <v>-29679792.199999999</v>
      </c>
      <c r="R372">
        <f t="shared" si="972"/>
        <v>-858733840.74050701</v>
      </c>
      <c r="S372">
        <f t="shared" si="973"/>
        <v>-8587.33840740507</v>
      </c>
      <c r="T372">
        <f t="shared" si="974"/>
        <v>-8.5873384074050705</v>
      </c>
    </row>
    <row r="373" spans="1:20" x14ac:dyDescent="0.25">
      <c r="A373" s="5">
        <v>44220</v>
      </c>
      <c r="B373">
        <v>3.3119999999999997E-2</v>
      </c>
      <c r="C373">
        <v>3.3270000000000001E-2</v>
      </c>
      <c r="D373">
        <v>2.98E-2</v>
      </c>
      <c r="E373">
        <v>3.1220000000000001E-2</v>
      </c>
      <c r="F373">
        <v>37354247.799999997</v>
      </c>
      <c r="G373">
        <v>0</v>
      </c>
      <c r="L373" t="s">
        <v>7</v>
      </c>
      <c r="M373" t="s">
        <v>7</v>
      </c>
      <c r="N373" t="s">
        <v>8</v>
      </c>
      <c r="P373">
        <f t="shared" si="970"/>
        <v>-0.18155619596541742</v>
      </c>
      <c r="Q373">
        <f t="shared" si="971"/>
        <v>-6781895.1337175621</v>
      </c>
      <c r="R373">
        <f t="shared" si="972"/>
        <v>-829054048.54050696</v>
      </c>
      <c r="S373">
        <f t="shared" si="973"/>
        <v>-8290.5404854050703</v>
      </c>
      <c r="T373">
        <f t="shared" si="974"/>
        <v>-8.2905404854050708</v>
      </c>
    </row>
    <row r="374" spans="1:20" x14ac:dyDescent="0.25">
      <c r="A374" s="5">
        <v>44219</v>
      </c>
      <c r="B374">
        <v>3.0099999999999998E-2</v>
      </c>
      <c r="C374">
        <v>3.5000000000000003E-2</v>
      </c>
      <c r="D374">
        <v>2.955E-2</v>
      </c>
      <c r="E374">
        <v>3.3119999999999997E-2</v>
      </c>
      <c r="F374">
        <v>36999554.299999997</v>
      </c>
      <c r="G374">
        <v>0</v>
      </c>
      <c r="L374" t="s">
        <v>8</v>
      </c>
      <c r="M374" t="s">
        <v>8</v>
      </c>
      <c r="N374" t="s">
        <v>8</v>
      </c>
      <c r="P374">
        <f t="shared" si="970"/>
        <v>0.31009174311926402</v>
      </c>
      <c r="Q374">
        <f t="shared" si="971"/>
        <v>11473256.28752286</v>
      </c>
      <c r="R374">
        <f t="shared" si="972"/>
        <v>-822272153.40678942</v>
      </c>
      <c r="S374">
        <f t="shared" si="973"/>
        <v>-8222.721534067894</v>
      </c>
      <c r="T374">
        <f t="shared" si="974"/>
        <v>-8.2227215340678939</v>
      </c>
    </row>
    <row r="375" spans="1:20" x14ac:dyDescent="0.25">
      <c r="A375" s="5">
        <v>44218</v>
      </c>
      <c r="B375">
        <v>3.1140000000000001E-2</v>
      </c>
      <c r="C375">
        <v>3.1189999999999999E-2</v>
      </c>
      <c r="D375">
        <v>2.751E-2</v>
      </c>
      <c r="E375">
        <v>3.0079999999999999E-2</v>
      </c>
      <c r="F375">
        <v>27762552.600000001</v>
      </c>
      <c r="G375">
        <v>0</v>
      </c>
      <c r="L375" t="s">
        <v>7</v>
      </c>
      <c r="M375" t="s">
        <v>7</v>
      </c>
      <c r="N375" t="s">
        <v>8</v>
      </c>
      <c r="P375">
        <f t="shared" si="970"/>
        <v>0.39673913043478254</v>
      </c>
      <c r="Q375">
        <f t="shared" si="971"/>
        <v>11014490.977173911</v>
      </c>
      <c r="R375">
        <f t="shared" si="972"/>
        <v>-833745409.69431233</v>
      </c>
      <c r="S375">
        <f t="shared" si="973"/>
        <v>-8337.4540969431237</v>
      </c>
      <c r="T375">
        <f t="shared" si="974"/>
        <v>-8.337454096943123</v>
      </c>
    </row>
    <row r="376" spans="1:20" x14ac:dyDescent="0.25">
      <c r="A376" s="5">
        <v>44217</v>
      </c>
      <c r="B376">
        <v>3.3590000000000002E-2</v>
      </c>
      <c r="C376">
        <v>3.5139999999999998E-2</v>
      </c>
      <c r="D376">
        <v>2.9489999999999999E-2</v>
      </c>
      <c r="E376">
        <v>3.1350000000000003E-2</v>
      </c>
      <c r="F376">
        <v>43561421.399999999</v>
      </c>
      <c r="G376">
        <v>0</v>
      </c>
      <c r="L376" t="s">
        <v>7</v>
      </c>
      <c r="M376" t="s">
        <v>7</v>
      </c>
      <c r="N376" t="s">
        <v>8</v>
      </c>
      <c r="P376">
        <f t="shared" si="970"/>
        <v>-0.34159292035398076</v>
      </c>
      <c r="Q376">
        <f t="shared" si="971"/>
        <v>-14880273.150796393</v>
      </c>
      <c r="R376">
        <f t="shared" si="972"/>
        <v>-844759900.67148626</v>
      </c>
      <c r="S376">
        <f t="shared" si="973"/>
        <v>-8447.5990067148632</v>
      </c>
      <c r="T376">
        <f t="shared" si="974"/>
        <v>-8.4475990067148636</v>
      </c>
    </row>
    <row r="377" spans="1:20" x14ac:dyDescent="0.25">
      <c r="A377" s="5">
        <v>44216</v>
      </c>
      <c r="B377">
        <v>3.2759999999999997E-2</v>
      </c>
      <c r="C377">
        <v>3.6179999999999997E-2</v>
      </c>
      <c r="D377">
        <v>3.0089999999999999E-2</v>
      </c>
      <c r="E377">
        <v>3.3610000000000001E-2</v>
      </c>
      <c r="F377">
        <v>79271781.900000006</v>
      </c>
      <c r="G377">
        <v>0</v>
      </c>
      <c r="L377" t="s">
        <v>8</v>
      </c>
      <c r="M377" t="s">
        <v>8</v>
      </c>
      <c r="N377" t="s">
        <v>8</v>
      </c>
      <c r="P377">
        <f t="shared" si="970"/>
        <v>0.15599343185550191</v>
      </c>
      <c r="Q377">
        <f t="shared" si="971"/>
        <v>12365877.30788186</v>
      </c>
      <c r="R377">
        <f t="shared" si="972"/>
        <v>-829879627.52068985</v>
      </c>
      <c r="S377">
        <f t="shared" si="973"/>
        <v>-8298.7962752068979</v>
      </c>
      <c r="T377">
        <f t="shared" si="974"/>
        <v>-8.2987962752068984</v>
      </c>
    </row>
    <row r="378" spans="1:20" x14ac:dyDescent="0.25">
      <c r="A378" s="5">
        <v>44215</v>
      </c>
      <c r="B378">
        <v>2.963E-2</v>
      </c>
      <c r="C378">
        <v>3.5770000000000003E-2</v>
      </c>
      <c r="D378">
        <v>2.8709999999999999E-2</v>
      </c>
      <c r="E378">
        <v>3.2779999999999997E-2</v>
      </c>
      <c r="F378">
        <v>122486233.90000001</v>
      </c>
      <c r="G378">
        <v>0</v>
      </c>
      <c r="L378" t="s">
        <v>8</v>
      </c>
      <c r="M378" t="s">
        <v>8</v>
      </c>
      <c r="N378" t="s">
        <v>8</v>
      </c>
      <c r="P378">
        <f t="shared" si="970"/>
        <v>0.15297450424929038</v>
      </c>
      <c r="Q378">
        <f t="shared" si="971"/>
        <v>18737270.908215124</v>
      </c>
      <c r="R378">
        <f t="shared" si="972"/>
        <v>-842245504.82857168</v>
      </c>
      <c r="S378">
        <f t="shared" si="973"/>
        <v>-8422.4550482857176</v>
      </c>
      <c r="T378">
        <f t="shared" si="974"/>
        <v>-8.4224550482857179</v>
      </c>
    </row>
    <row r="379" spans="1:20" x14ac:dyDescent="0.25">
      <c r="A379" s="5">
        <v>44214</v>
      </c>
      <c r="B379">
        <v>2.733E-2</v>
      </c>
      <c r="C379">
        <v>2.989E-2</v>
      </c>
      <c r="D379">
        <v>2.6249999999999999E-2</v>
      </c>
      <c r="E379">
        <v>2.9510000000000002E-2</v>
      </c>
      <c r="F379">
        <v>42596276.100000001</v>
      </c>
      <c r="G379">
        <v>0</v>
      </c>
      <c r="L379" t="s">
        <v>8</v>
      </c>
      <c r="M379" t="s">
        <v>8</v>
      </c>
      <c r="N379" t="s">
        <v>8</v>
      </c>
      <c r="P379">
        <f t="shared" si="970"/>
        <v>0.79120879120879217</v>
      </c>
      <c r="Q379">
        <f t="shared" si="971"/>
        <v>33702548.123076968</v>
      </c>
      <c r="R379">
        <f t="shared" si="972"/>
        <v>-860982775.73678684</v>
      </c>
      <c r="S379">
        <f t="shared" si="973"/>
        <v>-8609.8277573678679</v>
      </c>
      <c r="T379">
        <f t="shared" si="974"/>
        <v>-8.6098277573678672</v>
      </c>
    </row>
    <row r="380" spans="1:20" x14ac:dyDescent="0.25">
      <c r="A380" s="5">
        <v>44213</v>
      </c>
      <c r="B380">
        <v>2.615E-2</v>
      </c>
      <c r="C380">
        <v>2.8150000000000001E-2</v>
      </c>
      <c r="D380">
        <v>2.4E-2</v>
      </c>
      <c r="E380">
        <v>2.733E-2</v>
      </c>
      <c r="F380">
        <v>52478237.200000003</v>
      </c>
      <c r="G380">
        <v>0</v>
      </c>
      <c r="L380" t="s">
        <v>7</v>
      </c>
      <c r="M380" t="s">
        <v>8</v>
      </c>
      <c r="N380" t="s">
        <v>8</v>
      </c>
      <c r="P380">
        <f t="shared" si="970"/>
        <v>0.6048192771084332</v>
      </c>
      <c r="Q380">
        <f t="shared" si="971"/>
        <v>31739849.487228889</v>
      </c>
      <c r="R380">
        <f t="shared" si="972"/>
        <v>-894685323.85986376</v>
      </c>
      <c r="S380">
        <f t="shared" si="973"/>
        <v>-8946.8532385986382</v>
      </c>
      <c r="T380">
        <f t="shared" si="974"/>
        <v>-8.9468532385986386</v>
      </c>
    </row>
    <row r="381" spans="1:20" x14ac:dyDescent="0.25">
      <c r="A381" s="5">
        <v>44212</v>
      </c>
      <c r="B381">
        <v>2.435E-2</v>
      </c>
      <c r="C381">
        <v>2.7890000000000002E-2</v>
      </c>
      <c r="D381">
        <v>2.4199999999999999E-2</v>
      </c>
      <c r="E381">
        <v>2.615E-2</v>
      </c>
      <c r="F381">
        <v>54904608.700000003</v>
      </c>
      <c r="G381">
        <v>0</v>
      </c>
      <c r="L381" t="s">
        <v>8</v>
      </c>
      <c r="M381" t="s">
        <v>8</v>
      </c>
      <c r="N381" t="s">
        <v>8</v>
      </c>
      <c r="P381">
        <f t="shared" si="970"/>
        <v>5.6910569105690582E-2</v>
      </c>
      <c r="Q381">
        <f t="shared" si="971"/>
        <v>3124652.5276422505</v>
      </c>
      <c r="R381">
        <f t="shared" si="972"/>
        <v>-926425173.34709263</v>
      </c>
      <c r="S381">
        <f t="shared" si="973"/>
        <v>-9264.2517334709264</v>
      </c>
      <c r="T381">
        <f t="shared" si="974"/>
        <v>-9.2642517334709265</v>
      </c>
    </row>
    <row r="382" spans="1:20" x14ac:dyDescent="0.25">
      <c r="A382" s="5">
        <v>44211</v>
      </c>
      <c r="B382">
        <v>2.5190000000000001E-2</v>
      </c>
      <c r="C382">
        <v>2.5829999999999999E-2</v>
      </c>
      <c r="D382">
        <v>2.2720000000000001E-2</v>
      </c>
      <c r="E382">
        <v>2.4400000000000002E-2</v>
      </c>
      <c r="F382">
        <v>32008718.300000001</v>
      </c>
      <c r="G382">
        <v>0</v>
      </c>
      <c r="L382" t="s">
        <v>8</v>
      </c>
      <c r="M382" t="s">
        <v>8</v>
      </c>
      <c r="N382" t="s">
        <v>7</v>
      </c>
      <c r="P382">
        <f t="shared" si="970"/>
        <v>8.0385852090033391E-2</v>
      </c>
      <c r="Q382">
        <f t="shared" si="971"/>
        <v>2573048.0948553453</v>
      </c>
      <c r="R382">
        <f t="shared" si="972"/>
        <v>-929549825.87473488</v>
      </c>
      <c r="S382">
        <f t="shared" si="973"/>
        <v>-9295.4982587473496</v>
      </c>
      <c r="T382">
        <f t="shared" si="974"/>
        <v>-9.2954982587473491</v>
      </c>
    </row>
    <row r="383" spans="1:20" x14ac:dyDescent="0.25">
      <c r="A383" s="5">
        <v>44210</v>
      </c>
      <c r="B383">
        <v>2.4E-2</v>
      </c>
      <c r="C383">
        <v>2.546E-2</v>
      </c>
      <c r="D383">
        <v>2.342E-2</v>
      </c>
      <c r="E383">
        <v>2.5170000000000001E-2</v>
      </c>
      <c r="F383">
        <v>26172473.5</v>
      </c>
      <c r="G383">
        <v>0</v>
      </c>
      <c r="L383" t="s">
        <v>8</v>
      </c>
      <c r="M383" t="s">
        <v>8</v>
      </c>
      <c r="N383" t="s">
        <v>7</v>
      </c>
      <c r="P383">
        <f t="shared" si="970"/>
        <v>0.71568627450980538</v>
      </c>
      <c r="Q383">
        <f t="shared" si="971"/>
        <v>18731280.053921606</v>
      </c>
      <c r="R383">
        <f t="shared" si="972"/>
        <v>-932122873.96959019</v>
      </c>
      <c r="S383">
        <f t="shared" si="973"/>
        <v>-9321.2287396959018</v>
      </c>
      <c r="T383">
        <f t="shared" si="974"/>
        <v>-9.3212287396959024</v>
      </c>
    </row>
    <row r="384" spans="1:20" x14ac:dyDescent="0.25">
      <c r="A384" s="5">
        <v>44209</v>
      </c>
      <c r="B384">
        <v>2.3029999999999998E-2</v>
      </c>
      <c r="C384">
        <v>2.477E-2</v>
      </c>
      <c r="D384">
        <v>2.223E-2</v>
      </c>
      <c r="E384">
        <v>2.4E-2</v>
      </c>
      <c r="F384">
        <v>22939066.800000001</v>
      </c>
      <c r="G384">
        <v>0</v>
      </c>
      <c r="L384" t="s">
        <v>8</v>
      </c>
      <c r="M384" t="s">
        <v>8</v>
      </c>
      <c r="N384" t="s">
        <v>7</v>
      </c>
      <c r="P384">
        <f t="shared" si="970"/>
        <v>0.39370078740157505</v>
      </c>
      <c r="Q384">
        <f t="shared" si="971"/>
        <v>9031128.6614173278</v>
      </c>
      <c r="R384">
        <f t="shared" si="972"/>
        <v>-950854154.02351177</v>
      </c>
      <c r="S384">
        <f t="shared" si="973"/>
        <v>-9508.5415402351173</v>
      </c>
      <c r="T384">
        <f t="shared" si="974"/>
        <v>-9.5085415402351181</v>
      </c>
    </row>
    <row r="385" spans="1:20" x14ac:dyDescent="0.25">
      <c r="A385" s="5">
        <v>44208</v>
      </c>
      <c r="B385">
        <v>2.342E-2</v>
      </c>
      <c r="C385">
        <v>2.4459999999999999E-2</v>
      </c>
      <c r="D385">
        <v>2.129E-2</v>
      </c>
      <c r="E385">
        <v>2.3040000000000001E-2</v>
      </c>
      <c r="F385">
        <v>23099015.399999999</v>
      </c>
      <c r="G385">
        <v>0</v>
      </c>
      <c r="L385" t="s">
        <v>8</v>
      </c>
      <c r="M385" t="s">
        <v>8</v>
      </c>
      <c r="N385" t="s">
        <v>7</v>
      </c>
      <c r="P385">
        <f t="shared" si="970"/>
        <v>0.104100946372241</v>
      </c>
      <c r="Q385">
        <f t="shared" si="971"/>
        <v>2404629.3634069688</v>
      </c>
      <c r="R385">
        <f t="shared" si="972"/>
        <v>-959885282.68492913</v>
      </c>
      <c r="S385">
        <f t="shared" si="973"/>
        <v>-9598.8528268492919</v>
      </c>
      <c r="T385">
        <f t="shared" si="974"/>
        <v>-9.5988528268492921</v>
      </c>
    </row>
    <row r="386" spans="1:20" x14ac:dyDescent="0.25">
      <c r="A386" s="5">
        <v>44207</v>
      </c>
      <c r="B386">
        <v>2.6950000000000002E-2</v>
      </c>
      <c r="C386">
        <v>2.6970000000000001E-2</v>
      </c>
      <c r="D386">
        <v>2.0080000000000001E-2</v>
      </c>
      <c r="E386">
        <v>2.35E-2</v>
      </c>
      <c r="F386">
        <v>43894018.899999999</v>
      </c>
      <c r="G386">
        <v>0</v>
      </c>
      <c r="L386" t="s">
        <v>7</v>
      </c>
      <c r="M386" t="s">
        <v>7</v>
      </c>
      <c r="N386" t="s">
        <v>7</v>
      </c>
      <c r="P386">
        <f t="shared" si="970"/>
        <v>-7.256894049347087E-3</v>
      </c>
      <c r="Q386">
        <f t="shared" si="971"/>
        <v>-318534.24455733853</v>
      </c>
      <c r="R386">
        <f t="shared" si="972"/>
        <v>-962289912.04833615</v>
      </c>
      <c r="S386">
        <f t="shared" si="973"/>
        <v>-9622.8991204833619</v>
      </c>
      <c r="T386">
        <f t="shared" si="974"/>
        <v>-9.6228991204833623</v>
      </c>
    </row>
    <row r="387" spans="1:20" x14ac:dyDescent="0.25">
      <c r="A387" s="5">
        <v>44206</v>
      </c>
      <c r="B387">
        <v>2.9479999999999999E-2</v>
      </c>
      <c r="C387">
        <v>3.0360000000000002E-2</v>
      </c>
      <c r="D387">
        <v>2.4500000000000001E-2</v>
      </c>
      <c r="E387">
        <v>2.6950000000000002E-2</v>
      </c>
      <c r="F387">
        <v>50102560.299999997</v>
      </c>
      <c r="G387">
        <v>0</v>
      </c>
      <c r="L387" t="s">
        <v>7</v>
      </c>
      <c r="M387" t="s">
        <v>7</v>
      </c>
      <c r="N387" t="s">
        <v>8</v>
      </c>
      <c r="P387">
        <f t="shared" si="970"/>
        <v>-0.16382252559726945</v>
      </c>
      <c r="Q387">
        <f t="shared" si="971"/>
        <v>-8207927.967235486</v>
      </c>
      <c r="R387">
        <f t="shared" si="972"/>
        <v>-961971377.80377877</v>
      </c>
      <c r="S387">
        <f t="shared" si="973"/>
        <v>-9619.7137780377871</v>
      </c>
      <c r="T387">
        <f t="shared" si="974"/>
        <v>-9.6197137780377879</v>
      </c>
    </row>
    <row r="388" spans="1:20" x14ac:dyDescent="0.25">
      <c r="A388" s="5">
        <v>44205</v>
      </c>
      <c r="B388">
        <v>2.5069999999999999E-2</v>
      </c>
      <c r="C388">
        <v>3.1350000000000003E-2</v>
      </c>
      <c r="D388">
        <v>2.4660000000000001E-2</v>
      </c>
      <c r="E388">
        <v>2.947E-2</v>
      </c>
      <c r="F388">
        <v>81101150.5</v>
      </c>
      <c r="G388">
        <v>0</v>
      </c>
      <c r="L388" t="s">
        <v>8</v>
      </c>
      <c r="M388" t="s">
        <v>8</v>
      </c>
      <c r="N388" t="s">
        <v>8</v>
      </c>
      <c r="P388">
        <f t="shared" si="970"/>
        <v>0.43796711509715913</v>
      </c>
      <c r="Q388">
        <f t="shared" si="971"/>
        <v>35519636.915545523</v>
      </c>
      <c r="R388">
        <f t="shared" si="972"/>
        <v>-953763449.83654332</v>
      </c>
      <c r="S388">
        <f t="shared" si="973"/>
        <v>-9537.6344983654326</v>
      </c>
      <c r="T388">
        <f t="shared" si="974"/>
        <v>-9.5376344983654331</v>
      </c>
    </row>
    <row r="389" spans="1:20" x14ac:dyDescent="0.25">
      <c r="A389" s="5">
        <v>44204</v>
      </c>
      <c r="B389">
        <v>2.4299999999999999E-2</v>
      </c>
      <c r="C389">
        <v>2.5999999999999999E-2</v>
      </c>
      <c r="D389">
        <v>2.2669999999999999E-2</v>
      </c>
      <c r="E389">
        <v>2.5069999999999999E-2</v>
      </c>
      <c r="F389">
        <v>36746834.100000001</v>
      </c>
      <c r="G389">
        <v>0</v>
      </c>
      <c r="L389" t="s">
        <v>7</v>
      </c>
      <c r="M389" t="s">
        <v>7</v>
      </c>
      <c r="N389" t="s">
        <v>8</v>
      </c>
      <c r="P389">
        <f t="shared" si="970"/>
        <v>0.44144144144144121</v>
      </c>
      <c r="Q389">
        <f t="shared" si="971"/>
        <v>16221575.413513506</v>
      </c>
      <c r="R389">
        <f t="shared" si="972"/>
        <v>-989283086.7520889</v>
      </c>
      <c r="S389">
        <f t="shared" si="973"/>
        <v>-9892.8308675208882</v>
      </c>
      <c r="T389">
        <f t="shared" si="974"/>
        <v>-9.8928308675208889</v>
      </c>
    </row>
    <row r="390" spans="1:20" x14ac:dyDescent="0.25">
      <c r="A390" s="5">
        <v>44203</v>
      </c>
      <c r="B390">
        <v>2.6040000000000001E-2</v>
      </c>
      <c r="C390">
        <v>2.707E-2</v>
      </c>
      <c r="D390">
        <v>2.3199999999999998E-2</v>
      </c>
      <c r="E390">
        <v>2.427E-2</v>
      </c>
      <c r="F390">
        <v>50508399.700000003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5">IF(C390=D390,0,((E390-D390)-(C390-E390))/(C390-D390))</f>
        <v>-0.44702842377260932</v>
      </c>
      <c r="Q390">
        <f t="shared" ref="Q390:Q453" si="976">F390*P390</f>
        <v>-22578690.305167936</v>
      </c>
      <c r="R390">
        <f t="shared" ref="R390:R453" si="977">R391+Q390</f>
        <v>-1005504662.1656024</v>
      </c>
      <c r="S390">
        <f t="shared" ref="S390:S453" si="978">R390/100000</f>
        <v>-10055.046621656025</v>
      </c>
      <c r="T390">
        <f t="shared" ref="T390:T453" si="979">S390/1000</f>
        <v>-10.055046621656025</v>
      </c>
    </row>
    <row r="391" spans="1:20" x14ac:dyDescent="0.25">
      <c r="A391" s="5">
        <v>44202</v>
      </c>
      <c r="B391">
        <v>2.291E-2</v>
      </c>
      <c r="C391">
        <v>2.7E-2</v>
      </c>
      <c r="D391">
        <v>2.2610000000000002E-2</v>
      </c>
      <c r="E391">
        <v>2.6040000000000001E-2</v>
      </c>
      <c r="F391">
        <v>64796696.799999997</v>
      </c>
      <c r="G391">
        <v>0</v>
      </c>
      <c r="L391" t="s">
        <v>8</v>
      </c>
      <c r="M391" t="s">
        <v>8</v>
      </c>
      <c r="N391" t="s">
        <v>8</v>
      </c>
      <c r="P391">
        <f t="shared" si="975"/>
        <v>0.56264236902050135</v>
      </c>
      <c r="Q391">
        <f t="shared" si="976"/>
        <v>36457366.992255136</v>
      </c>
      <c r="R391">
        <f t="shared" si="977"/>
        <v>-982925971.86043453</v>
      </c>
      <c r="S391">
        <f t="shared" si="978"/>
        <v>-9829.2597186043458</v>
      </c>
      <c r="T391">
        <f t="shared" si="979"/>
        <v>-9.8292597186043462</v>
      </c>
    </row>
    <row r="392" spans="1:20" x14ac:dyDescent="0.25">
      <c r="A392" s="5">
        <v>44201</v>
      </c>
      <c r="B392">
        <v>2.2780000000000002E-2</v>
      </c>
      <c r="C392">
        <v>2.4039999999999999E-2</v>
      </c>
      <c r="D392">
        <v>2.1579999999999998E-2</v>
      </c>
      <c r="E392">
        <v>2.2960000000000001E-2</v>
      </c>
      <c r="F392">
        <v>19462151.800000001</v>
      </c>
      <c r="G392">
        <v>0</v>
      </c>
      <c r="L392" t="s">
        <v>7</v>
      </c>
      <c r="M392" t="s">
        <v>7</v>
      </c>
      <c r="N392" t="s">
        <v>7</v>
      </c>
      <c r="P392">
        <f t="shared" si="975"/>
        <v>0.12195121951219719</v>
      </c>
      <c r="Q392">
        <f t="shared" si="976"/>
        <v>2373433.1463415036</v>
      </c>
      <c r="R392">
        <f t="shared" si="977"/>
        <v>-1019383338.8526896</v>
      </c>
      <c r="S392">
        <f t="shared" si="978"/>
        <v>-10193.833388526897</v>
      </c>
      <c r="T392">
        <f t="shared" si="979"/>
        <v>-10.193833388526897</v>
      </c>
    </row>
    <row r="393" spans="1:20" x14ac:dyDescent="0.25">
      <c r="A393" s="5">
        <v>44200</v>
      </c>
      <c r="B393">
        <v>2.2100000000000002E-2</v>
      </c>
      <c r="C393">
        <v>2.4799999999999999E-2</v>
      </c>
      <c r="D393">
        <v>2.0740000000000001E-2</v>
      </c>
      <c r="E393">
        <v>2.2769999999999999E-2</v>
      </c>
      <c r="F393">
        <v>44789046.899999999</v>
      </c>
      <c r="G393">
        <v>0</v>
      </c>
      <c r="L393" t="s">
        <v>8</v>
      </c>
      <c r="M393" t="s">
        <v>7</v>
      </c>
      <c r="N393" t="s">
        <v>7</v>
      </c>
      <c r="P393">
        <f t="shared" si="975"/>
        <v>-8.5454358422502859E-16</v>
      </c>
      <c r="Q393">
        <f t="shared" si="976"/>
        <v>-3.8274192671948905E-8</v>
      </c>
      <c r="R393">
        <f t="shared" si="977"/>
        <v>-1021756771.9990312</v>
      </c>
      <c r="S393">
        <f t="shared" si="978"/>
        <v>-10217.567719990311</v>
      </c>
      <c r="T393">
        <f t="shared" si="979"/>
        <v>-10.217567719990312</v>
      </c>
    </row>
    <row r="394" spans="1:20" x14ac:dyDescent="0.25">
      <c r="A394" s="5">
        <v>44199</v>
      </c>
      <c r="B394">
        <v>2.1839999999999998E-2</v>
      </c>
      <c r="C394">
        <v>2.2790000000000001E-2</v>
      </c>
      <c r="D394">
        <v>2.1600000000000001E-2</v>
      </c>
      <c r="E394">
        <v>2.2069999999999999E-2</v>
      </c>
      <c r="F394">
        <v>19495786.399999999</v>
      </c>
      <c r="G394">
        <v>0</v>
      </c>
      <c r="L394" t="s">
        <v>8</v>
      </c>
      <c r="M394" t="s">
        <v>8</v>
      </c>
      <c r="N394" t="s">
        <v>7</v>
      </c>
      <c r="P394">
        <f t="shared" si="975"/>
        <v>-0.21008403361344846</v>
      </c>
      <c r="Q394">
        <f t="shared" si="976"/>
        <v>-4095753.4453782109</v>
      </c>
      <c r="R394">
        <f t="shared" si="977"/>
        <v>-1021756771.9990312</v>
      </c>
      <c r="S394">
        <f t="shared" si="978"/>
        <v>-10217.567719990311</v>
      </c>
      <c r="T394">
        <f t="shared" si="979"/>
        <v>-10.217567719990312</v>
      </c>
    </row>
    <row r="395" spans="1:20" x14ac:dyDescent="0.25">
      <c r="A395" s="5">
        <v>44198</v>
      </c>
      <c r="B395">
        <v>2.291E-2</v>
      </c>
      <c r="C395">
        <v>2.3369999999999998E-2</v>
      </c>
      <c r="D395">
        <v>2.1299999999999999E-2</v>
      </c>
      <c r="E395">
        <v>2.181E-2</v>
      </c>
      <c r="F395">
        <v>23583744.199999999</v>
      </c>
      <c r="G395">
        <v>0</v>
      </c>
      <c r="L395" t="s">
        <v>7</v>
      </c>
      <c r="M395" t="s">
        <v>8</v>
      </c>
      <c r="N395" t="s">
        <v>7</v>
      </c>
      <c r="P395">
        <f t="shared" si="975"/>
        <v>-0.5072463768115939</v>
      </c>
      <c r="Q395">
        <f t="shared" si="976"/>
        <v>-11962768.797101442</v>
      </c>
      <c r="R395">
        <f t="shared" si="977"/>
        <v>-1017661018.553653</v>
      </c>
      <c r="S395">
        <f t="shared" si="978"/>
        <v>-10176.61018553653</v>
      </c>
      <c r="T395">
        <f t="shared" si="979"/>
        <v>-10.17661018553653</v>
      </c>
    </row>
    <row r="396" spans="1:20" x14ac:dyDescent="0.25">
      <c r="A396" s="5">
        <v>44197</v>
      </c>
      <c r="B396">
        <v>2.1329999999999998E-2</v>
      </c>
      <c r="C396">
        <v>2.5190000000000001E-2</v>
      </c>
      <c r="D396">
        <v>2.1219999999999999E-2</v>
      </c>
      <c r="E396">
        <v>2.3099999999999999E-2</v>
      </c>
      <c r="F396">
        <v>46366098.100000001</v>
      </c>
      <c r="G396">
        <v>0</v>
      </c>
      <c r="L396" t="s">
        <v>8</v>
      </c>
      <c r="M396" t="s">
        <v>8</v>
      </c>
      <c r="N396" t="s">
        <v>7</v>
      </c>
      <c r="P396">
        <f t="shared" si="975"/>
        <v>-5.2896725440806494E-2</v>
      </c>
      <c r="Q396">
        <f t="shared" si="976"/>
        <v>-2452614.7609571996</v>
      </c>
      <c r="R396">
        <f t="shared" si="977"/>
        <v>-1005698249.7565515</v>
      </c>
      <c r="S396">
        <f t="shared" si="978"/>
        <v>-10056.982497565516</v>
      </c>
      <c r="T396">
        <f t="shared" si="979"/>
        <v>-10.056982497565516</v>
      </c>
    </row>
    <row r="397" spans="1:20" x14ac:dyDescent="0.25">
      <c r="A397" s="5">
        <v>44196</v>
      </c>
      <c r="B397">
        <v>2.0879999999999999E-2</v>
      </c>
      <c r="C397">
        <v>2.1669999999999998E-2</v>
      </c>
      <c r="D397">
        <v>1.9959999999999999E-2</v>
      </c>
      <c r="E397">
        <v>2.1329999999999998E-2</v>
      </c>
      <c r="F397">
        <v>12832303.699999999</v>
      </c>
      <c r="G397">
        <v>0</v>
      </c>
      <c r="L397" t="s">
        <v>8</v>
      </c>
      <c r="M397" t="s">
        <v>7</v>
      </c>
      <c r="N397" t="s">
        <v>7</v>
      </c>
      <c r="P397">
        <f t="shared" si="975"/>
        <v>0.60233918128654962</v>
      </c>
      <c r="Q397">
        <f t="shared" si="976"/>
        <v>7729399.3046783609</v>
      </c>
      <c r="R397">
        <f t="shared" si="977"/>
        <v>-1003245634.9955943</v>
      </c>
      <c r="S397">
        <f t="shared" si="978"/>
        <v>-10032.456349955943</v>
      </c>
      <c r="T397">
        <f t="shared" si="979"/>
        <v>-10.032456349955943</v>
      </c>
    </row>
    <row r="398" spans="1:20" x14ac:dyDescent="0.25">
      <c r="A398" s="5">
        <v>44195</v>
      </c>
      <c r="B398">
        <v>2.1739999999999999E-2</v>
      </c>
      <c r="C398">
        <v>2.179E-2</v>
      </c>
      <c r="D398">
        <v>2.0119999999999999E-2</v>
      </c>
      <c r="E398">
        <v>2.085E-2</v>
      </c>
      <c r="F398">
        <v>22631126.300000001</v>
      </c>
      <c r="G398">
        <v>0</v>
      </c>
      <c r="L398" t="s">
        <v>7</v>
      </c>
      <c r="M398" t="s">
        <v>7</v>
      </c>
      <c r="N398" t="s">
        <v>7</v>
      </c>
      <c r="P398">
        <f t="shared" si="975"/>
        <v>-0.12574850299401091</v>
      </c>
      <c r="Q398">
        <f t="shared" si="976"/>
        <v>-2845830.253293389</v>
      </c>
      <c r="R398">
        <f t="shared" si="977"/>
        <v>-1010975034.3002726</v>
      </c>
      <c r="S398">
        <f t="shared" si="978"/>
        <v>-10109.750343002726</v>
      </c>
      <c r="T398">
        <f t="shared" si="979"/>
        <v>-10.109750343002727</v>
      </c>
    </row>
    <row r="399" spans="1:20" x14ac:dyDescent="0.25">
      <c r="A399" s="5">
        <v>44194</v>
      </c>
      <c r="B399">
        <v>2.222E-2</v>
      </c>
      <c r="C399">
        <v>2.367E-2</v>
      </c>
      <c r="D399">
        <v>2.111E-2</v>
      </c>
      <c r="E399">
        <v>2.1700000000000001E-2</v>
      </c>
      <c r="F399">
        <v>26957085.800000001</v>
      </c>
      <c r="G399">
        <v>0</v>
      </c>
      <c r="L399" t="s">
        <v>8</v>
      </c>
      <c r="M399" t="s">
        <v>8</v>
      </c>
      <c r="N399" t="s">
        <v>7</v>
      </c>
      <c r="P399">
        <f t="shared" si="975"/>
        <v>-0.53906249999999978</v>
      </c>
      <c r="Q399">
        <f t="shared" si="976"/>
        <v>-14531554.064062495</v>
      </c>
      <c r="R399">
        <f t="shared" si="977"/>
        <v>-1008129204.0469792</v>
      </c>
      <c r="S399">
        <f t="shared" si="978"/>
        <v>-10081.292040469792</v>
      </c>
      <c r="T399">
        <f t="shared" si="979"/>
        <v>-10.081292040469792</v>
      </c>
    </row>
    <row r="400" spans="1:20" x14ac:dyDescent="0.25">
      <c r="A400" s="5">
        <v>44193</v>
      </c>
      <c r="B400">
        <v>2.1329999999999998E-2</v>
      </c>
      <c r="C400">
        <v>2.3210000000000001E-2</v>
      </c>
      <c r="D400">
        <v>2.1080000000000002E-2</v>
      </c>
      <c r="E400">
        <v>2.223E-2</v>
      </c>
      <c r="F400">
        <v>21929486.5</v>
      </c>
      <c r="G400">
        <v>0</v>
      </c>
      <c r="L400" t="s">
        <v>8</v>
      </c>
      <c r="M400" t="s">
        <v>8</v>
      </c>
      <c r="N400" t="s">
        <v>7</v>
      </c>
      <c r="P400">
        <f t="shared" si="975"/>
        <v>7.9812206572768329E-2</v>
      </c>
      <c r="Q400">
        <f t="shared" si="976"/>
        <v>1750240.7065727343</v>
      </c>
      <c r="R400">
        <f t="shared" si="977"/>
        <v>-993597649.98291671</v>
      </c>
      <c r="S400">
        <f t="shared" si="978"/>
        <v>-9935.9764998291666</v>
      </c>
      <c r="T400">
        <f t="shared" si="979"/>
        <v>-9.9359764998291666</v>
      </c>
    </row>
    <row r="401" spans="1:20" x14ac:dyDescent="0.25">
      <c r="A401" s="5">
        <v>44192</v>
      </c>
      <c r="B401">
        <v>2.1690000000000001E-2</v>
      </c>
      <c r="C401">
        <v>2.2700000000000001E-2</v>
      </c>
      <c r="D401">
        <v>2.0709999999999999E-2</v>
      </c>
      <c r="E401">
        <v>2.1299999999999999E-2</v>
      </c>
      <c r="F401">
        <v>16708143.6</v>
      </c>
      <c r="G401">
        <v>0</v>
      </c>
      <c r="L401" t="s">
        <v>7</v>
      </c>
      <c r="M401" t="s">
        <v>8</v>
      </c>
      <c r="N401" t="s">
        <v>7</v>
      </c>
      <c r="P401">
        <f t="shared" si="975"/>
        <v>-0.40703517587939742</v>
      </c>
      <c r="Q401">
        <f t="shared" si="976"/>
        <v>-6800802.1688442277</v>
      </c>
      <c r="R401">
        <f t="shared" si="977"/>
        <v>-995347890.68948948</v>
      </c>
      <c r="S401">
        <f t="shared" si="978"/>
        <v>-9953.478906894894</v>
      </c>
      <c r="T401">
        <f t="shared" si="979"/>
        <v>-9.9534789068948939</v>
      </c>
    </row>
    <row r="402" spans="1:20" x14ac:dyDescent="0.25">
      <c r="A402" s="5">
        <v>44191</v>
      </c>
      <c r="B402">
        <v>2.1989999999999999E-2</v>
      </c>
      <c r="C402">
        <v>2.2700000000000001E-2</v>
      </c>
      <c r="D402">
        <v>2.1260000000000001E-2</v>
      </c>
      <c r="E402">
        <v>2.163E-2</v>
      </c>
      <c r="F402">
        <v>11247497.800000001</v>
      </c>
      <c r="G402">
        <v>0</v>
      </c>
      <c r="L402" t="s">
        <v>7</v>
      </c>
      <c r="M402" t="s">
        <v>8</v>
      </c>
      <c r="N402" t="s">
        <v>7</v>
      </c>
      <c r="P402">
        <f t="shared" si="975"/>
        <v>-0.48611111111111288</v>
      </c>
      <c r="Q402">
        <f t="shared" si="976"/>
        <v>-5467533.6527777985</v>
      </c>
      <c r="R402">
        <f t="shared" si="977"/>
        <v>-988547088.52064526</v>
      </c>
      <c r="S402">
        <f t="shared" si="978"/>
        <v>-9885.4708852064523</v>
      </c>
      <c r="T402">
        <f t="shared" si="979"/>
        <v>-9.8854708852064519</v>
      </c>
    </row>
    <row r="403" spans="1:20" x14ac:dyDescent="0.25">
      <c r="A403" s="5">
        <v>44190</v>
      </c>
      <c r="B403">
        <v>2.2419999999999999E-2</v>
      </c>
      <c r="C403">
        <v>2.298E-2</v>
      </c>
      <c r="D403">
        <v>2.1069999999999998E-2</v>
      </c>
      <c r="E403">
        <v>2.1999999999999999E-2</v>
      </c>
      <c r="F403">
        <v>17076636.699999999</v>
      </c>
      <c r="G403">
        <v>0</v>
      </c>
      <c r="L403" t="s">
        <v>8</v>
      </c>
      <c r="M403" t="s">
        <v>8</v>
      </c>
      <c r="N403" t="s">
        <v>7</v>
      </c>
      <c r="P403">
        <f t="shared" si="975"/>
        <v>-2.617801047120491E-2</v>
      </c>
      <c r="Q403">
        <f t="shared" si="976"/>
        <v>-447032.37434556201</v>
      </c>
      <c r="R403">
        <f t="shared" si="977"/>
        <v>-983079554.86786747</v>
      </c>
      <c r="S403">
        <f t="shared" si="978"/>
        <v>-9830.7955486786741</v>
      </c>
      <c r="T403">
        <f t="shared" si="979"/>
        <v>-9.8307955486786742</v>
      </c>
    </row>
    <row r="404" spans="1:20" x14ac:dyDescent="0.25">
      <c r="A404" s="5">
        <v>44189</v>
      </c>
      <c r="B404">
        <v>2.0379999999999999E-2</v>
      </c>
      <c r="C404">
        <v>2.2749999999999999E-2</v>
      </c>
      <c r="D404">
        <v>1.8780000000000002E-2</v>
      </c>
      <c r="E404">
        <v>2.2380000000000001E-2</v>
      </c>
      <c r="F404">
        <v>21965682.899999999</v>
      </c>
      <c r="G404">
        <v>0</v>
      </c>
      <c r="L404" t="s">
        <v>7</v>
      </c>
      <c r="M404" t="s">
        <v>7</v>
      </c>
      <c r="N404" t="s">
        <v>7</v>
      </c>
      <c r="P404">
        <f t="shared" si="975"/>
        <v>0.81360201511335062</v>
      </c>
      <c r="Q404">
        <f t="shared" si="976"/>
        <v>17871323.870780867</v>
      </c>
      <c r="R404">
        <f t="shared" si="977"/>
        <v>-982632522.49352193</v>
      </c>
      <c r="S404">
        <f t="shared" si="978"/>
        <v>-9826.325224935219</v>
      </c>
      <c r="T404">
        <f t="shared" si="979"/>
        <v>-9.8263252249352195</v>
      </c>
    </row>
    <row r="405" spans="1:20" x14ac:dyDescent="0.25">
      <c r="A405" s="5">
        <v>44188</v>
      </c>
      <c r="B405">
        <v>2.5069999999999999E-2</v>
      </c>
      <c r="C405">
        <v>2.512E-2</v>
      </c>
      <c r="D405">
        <v>1.9359999999999999E-2</v>
      </c>
      <c r="E405">
        <v>2.0389999999999998E-2</v>
      </c>
      <c r="F405">
        <v>35401834.799999997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-0.64236111111111127</v>
      </c>
      <c r="Q405">
        <f t="shared" si="976"/>
        <v>-22740761.937500004</v>
      </c>
      <c r="R405">
        <f t="shared" si="977"/>
        <v>-1000503846.3643028</v>
      </c>
      <c r="S405">
        <f t="shared" si="978"/>
        <v>-10005.038463643028</v>
      </c>
      <c r="T405">
        <f t="shared" si="979"/>
        <v>-10.005038463643029</v>
      </c>
    </row>
    <row r="406" spans="1:20" x14ac:dyDescent="0.25">
      <c r="A406" s="5">
        <v>44187</v>
      </c>
      <c r="B406">
        <v>2.5989999999999999E-2</v>
      </c>
      <c r="C406">
        <v>2.6159999999999999E-2</v>
      </c>
      <c r="D406">
        <v>2.317E-2</v>
      </c>
      <c r="E406">
        <v>2.5049999999999999E-2</v>
      </c>
      <c r="F406">
        <v>28119672.5</v>
      </c>
      <c r="G406">
        <v>0</v>
      </c>
      <c r="L406" t="s">
        <v>7</v>
      </c>
      <c r="M406" t="s">
        <v>7</v>
      </c>
      <c r="N406" t="s">
        <v>8</v>
      </c>
      <c r="P406">
        <f t="shared" si="975"/>
        <v>0.25752508361204013</v>
      </c>
      <c r="Q406">
        <f t="shared" si="976"/>
        <v>7241521.0117056854</v>
      </c>
      <c r="R406">
        <f t="shared" si="977"/>
        <v>-977763084.42680275</v>
      </c>
      <c r="S406">
        <f t="shared" si="978"/>
        <v>-9777.6308442680274</v>
      </c>
      <c r="T406">
        <f t="shared" si="979"/>
        <v>-9.7776308442680282</v>
      </c>
    </row>
    <row r="407" spans="1:20" x14ac:dyDescent="0.25">
      <c r="A407" s="5">
        <v>44186</v>
      </c>
      <c r="B407">
        <v>2.8060000000000002E-2</v>
      </c>
      <c r="C407">
        <v>2.8289999999999999E-2</v>
      </c>
      <c r="D407">
        <v>2.4559999999999998E-2</v>
      </c>
      <c r="E407">
        <v>2.5989999999999999E-2</v>
      </c>
      <c r="F407">
        <v>28775426.399999999</v>
      </c>
      <c r="G407">
        <v>0</v>
      </c>
      <c r="L407" t="s">
        <v>7</v>
      </c>
      <c r="M407" t="s">
        <v>8</v>
      </c>
      <c r="N407" t="s">
        <v>8</v>
      </c>
      <c r="P407">
        <f t="shared" si="975"/>
        <v>-0.233243967828418</v>
      </c>
      <c r="Q407">
        <f t="shared" si="976"/>
        <v>-6711694.6294906093</v>
      </c>
      <c r="R407">
        <f t="shared" si="977"/>
        <v>-985004605.43850839</v>
      </c>
      <c r="S407">
        <f t="shared" si="978"/>
        <v>-9850.0460543850841</v>
      </c>
      <c r="T407">
        <f t="shared" si="979"/>
        <v>-9.8500460543850838</v>
      </c>
    </row>
    <row r="408" spans="1:20" x14ac:dyDescent="0.25">
      <c r="A408" s="5">
        <v>44185</v>
      </c>
      <c r="B408">
        <v>2.649E-2</v>
      </c>
      <c r="C408">
        <v>2.8570000000000002E-2</v>
      </c>
      <c r="D408">
        <v>2.5770000000000001E-2</v>
      </c>
      <c r="E408">
        <v>2.809E-2</v>
      </c>
      <c r="F408">
        <v>39698705.5</v>
      </c>
      <c r="G408">
        <v>0</v>
      </c>
      <c r="L408" t="s">
        <v>8</v>
      </c>
      <c r="M408" t="s">
        <v>8</v>
      </c>
      <c r="N408" t="s">
        <v>8</v>
      </c>
      <c r="P408">
        <f t="shared" si="975"/>
        <v>0.65714285714285625</v>
      </c>
      <c r="Q408">
        <f t="shared" si="976"/>
        <v>26087720.757142823</v>
      </c>
      <c r="R408">
        <f t="shared" si="977"/>
        <v>-978292910.80901778</v>
      </c>
      <c r="S408">
        <f t="shared" si="978"/>
        <v>-9782.9291080901785</v>
      </c>
      <c r="T408">
        <f t="shared" si="979"/>
        <v>-9.7829291080901779</v>
      </c>
    </row>
    <row r="409" spans="1:20" x14ac:dyDescent="0.25">
      <c r="A409" s="5">
        <v>44184</v>
      </c>
      <c r="B409">
        <v>2.681E-2</v>
      </c>
      <c r="C409">
        <v>2.7980000000000001E-2</v>
      </c>
      <c r="D409">
        <v>2.6249999999999999E-2</v>
      </c>
      <c r="E409">
        <v>2.6499999999999999E-2</v>
      </c>
      <c r="F409">
        <v>25187603.800000001</v>
      </c>
      <c r="G409">
        <v>0</v>
      </c>
      <c r="L409" t="s">
        <v>8</v>
      </c>
      <c r="M409" t="s">
        <v>7</v>
      </c>
      <c r="N409" t="s">
        <v>8</v>
      </c>
      <c r="P409">
        <f t="shared" si="975"/>
        <v>-0.71098265895953772</v>
      </c>
      <c r="Q409">
        <f t="shared" si="976"/>
        <v>-17907949.522543356</v>
      </c>
      <c r="R409">
        <f t="shared" si="977"/>
        <v>-1004380631.5661606</v>
      </c>
      <c r="S409">
        <f t="shared" si="978"/>
        <v>-10043.806315661606</v>
      </c>
      <c r="T409">
        <f t="shared" si="979"/>
        <v>-10.043806315661607</v>
      </c>
    </row>
    <row r="410" spans="1:20" x14ac:dyDescent="0.25">
      <c r="A410" s="5">
        <v>44183</v>
      </c>
      <c r="B410">
        <v>2.5909999999999999E-2</v>
      </c>
      <c r="C410">
        <v>2.7269999999999999E-2</v>
      </c>
      <c r="D410">
        <v>2.562E-2</v>
      </c>
      <c r="E410">
        <v>2.681E-2</v>
      </c>
      <c r="F410">
        <v>15667244.199999999</v>
      </c>
      <c r="G410">
        <v>0</v>
      </c>
      <c r="L410" t="s">
        <v>8</v>
      </c>
      <c r="M410" t="s">
        <v>7</v>
      </c>
      <c r="N410" t="s">
        <v>8</v>
      </c>
      <c r="P410">
        <f t="shared" si="975"/>
        <v>0.44242424242424366</v>
      </c>
      <c r="Q410">
        <f t="shared" si="976"/>
        <v>6931568.6460606251</v>
      </c>
      <c r="R410">
        <f t="shared" si="977"/>
        <v>-986472682.04361725</v>
      </c>
      <c r="S410">
        <f t="shared" si="978"/>
        <v>-9864.7268204361717</v>
      </c>
      <c r="T410">
        <f t="shared" si="979"/>
        <v>-9.8647268204361716</v>
      </c>
    </row>
    <row r="411" spans="1:20" x14ac:dyDescent="0.25">
      <c r="A411" s="5">
        <v>44182</v>
      </c>
      <c r="B411">
        <v>2.707E-2</v>
      </c>
      <c r="C411">
        <v>2.7779999999999999E-2</v>
      </c>
      <c r="D411">
        <v>2.5010000000000001E-2</v>
      </c>
      <c r="E411">
        <v>2.5899999999999999E-2</v>
      </c>
      <c r="F411">
        <v>42505809</v>
      </c>
      <c r="G411">
        <v>0</v>
      </c>
      <c r="L411" t="s">
        <v>7</v>
      </c>
      <c r="M411" t="s">
        <v>7</v>
      </c>
      <c r="N411" t="s">
        <v>8</v>
      </c>
      <c r="P411">
        <f t="shared" si="975"/>
        <v>-0.35740072202166134</v>
      </c>
      <c r="Q411">
        <f t="shared" si="976"/>
        <v>-15191606.82671483</v>
      </c>
      <c r="R411">
        <f t="shared" si="977"/>
        <v>-993404250.68967783</v>
      </c>
      <c r="S411">
        <f t="shared" si="978"/>
        <v>-9934.0425068967779</v>
      </c>
      <c r="T411">
        <f t="shared" si="979"/>
        <v>-9.9340425068967786</v>
      </c>
    </row>
    <row r="412" spans="1:20" x14ac:dyDescent="0.25">
      <c r="A412" s="5">
        <v>44181</v>
      </c>
      <c r="B412">
        <v>2.6700000000000002E-2</v>
      </c>
      <c r="C412">
        <v>2.777E-2</v>
      </c>
      <c r="D412">
        <v>2.6290000000000001E-2</v>
      </c>
      <c r="E412">
        <v>2.707E-2</v>
      </c>
      <c r="F412">
        <v>29640024.100000001</v>
      </c>
      <c r="G412">
        <v>0</v>
      </c>
      <c r="L412" t="s">
        <v>8</v>
      </c>
      <c r="M412" t="s">
        <v>7</v>
      </c>
      <c r="N412" t="s">
        <v>8</v>
      </c>
      <c r="P412">
        <f t="shared" si="975"/>
        <v>5.4054054054054244E-2</v>
      </c>
      <c r="Q412">
        <f t="shared" si="976"/>
        <v>1602163.4648648705</v>
      </c>
      <c r="R412">
        <f t="shared" si="977"/>
        <v>-978212643.86296296</v>
      </c>
      <c r="S412">
        <f t="shared" si="978"/>
        <v>-9782.1264386296298</v>
      </c>
      <c r="T412">
        <f t="shared" si="979"/>
        <v>-9.7821264386296303</v>
      </c>
    </row>
    <row r="413" spans="1:20" x14ac:dyDescent="0.25">
      <c r="A413" s="5">
        <v>44180</v>
      </c>
      <c r="B413">
        <v>2.7109999999999999E-2</v>
      </c>
      <c r="C413">
        <v>2.81E-2</v>
      </c>
      <c r="D413">
        <v>2.63E-2</v>
      </c>
      <c r="E413">
        <v>2.6749999999999999E-2</v>
      </c>
      <c r="F413">
        <v>14235115.6</v>
      </c>
      <c r="G413">
        <v>0</v>
      </c>
      <c r="L413" t="s">
        <v>8</v>
      </c>
      <c r="M413" t="s">
        <v>7</v>
      </c>
      <c r="N413" t="s">
        <v>8</v>
      </c>
      <c r="P413">
        <f t="shared" si="975"/>
        <v>-0.500000000000001</v>
      </c>
      <c r="Q413">
        <f t="shared" si="976"/>
        <v>-7117557.8000000138</v>
      </c>
      <c r="R413">
        <f t="shared" si="977"/>
        <v>-979814807.32782781</v>
      </c>
      <c r="S413">
        <f t="shared" si="978"/>
        <v>-9798.1480732782784</v>
      </c>
      <c r="T413">
        <f t="shared" si="979"/>
        <v>-9.7981480732782789</v>
      </c>
    </row>
    <row r="414" spans="1:20" x14ac:dyDescent="0.25">
      <c r="A414" s="5">
        <v>44179</v>
      </c>
      <c r="B414">
        <v>2.6780000000000002E-2</v>
      </c>
      <c r="C414">
        <v>2.7490000000000001E-2</v>
      </c>
      <c r="D414">
        <v>2.614E-2</v>
      </c>
      <c r="E414">
        <v>2.7130000000000001E-2</v>
      </c>
      <c r="F414">
        <v>10923610.1</v>
      </c>
      <c r="G414">
        <v>0</v>
      </c>
      <c r="L414" t="s">
        <v>8</v>
      </c>
      <c r="M414" t="s">
        <v>7</v>
      </c>
      <c r="N414" t="s">
        <v>8</v>
      </c>
      <c r="P414">
        <f t="shared" si="975"/>
        <v>0.46666666666666806</v>
      </c>
      <c r="Q414">
        <f t="shared" si="976"/>
        <v>5097684.7133333487</v>
      </c>
      <c r="R414">
        <f t="shared" si="977"/>
        <v>-972697249.52782774</v>
      </c>
      <c r="S414">
        <f t="shared" si="978"/>
        <v>-9726.9724952782781</v>
      </c>
      <c r="T414">
        <f t="shared" si="979"/>
        <v>-9.7269724952782788</v>
      </c>
    </row>
    <row r="415" spans="1:20" x14ac:dyDescent="0.25">
      <c r="A415" s="5">
        <v>44178</v>
      </c>
      <c r="B415">
        <v>2.673E-2</v>
      </c>
      <c r="C415">
        <v>2.7629999999999998E-2</v>
      </c>
      <c r="D415">
        <v>2.6040000000000001E-2</v>
      </c>
      <c r="E415">
        <v>2.6839999999999999E-2</v>
      </c>
      <c r="F415">
        <v>9935079.1999999993</v>
      </c>
      <c r="G415">
        <v>0</v>
      </c>
      <c r="L415" t="s">
        <v>8</v>
      </c>
      <c r="M415" t="s">
        <v>7</v>
      </c>
      <c r="N415" t="s">
        <v>8</v>
      </c>
      <c r="P415">
        <f t="shared" si="975"/>
        <v>6.2893081761003821E-3</v>
      </c>
      <c r="Q415">
        <f t="shared" si="976"/>
        <v>62484.77484276484</v>
      </c>
      <c r="R415">
        <f t="shared" si="977"/>
        <v>-977794934.24116111</v>
      </c>
      <c r="S415">
        <f t="shared" si="978"/>
        <v>-9777.9493424116117</v>
      </c>
      <c r="T415">
        <f t="shared" si="979"/>
        <v>-9.7779493424116115</v>
      </c>
    </row>
    <row r="416" spans="1:20" x14ac:dyDescent="0.25">
      <c r="A416" s="5">
        <v>44177</v>
      </c>
      <c r="B416">
        <v>2.5770000000000001E-2</v>
      </c>
      <c r="C416">
        <v>2.741E-2</v>
      </c>
      <c r="D416">
        <v>2.5700000000000001E-2</v>
      </c>
      <c r="E416">
        <v>2.6720000000000001E-2</v>
      </c>
      <c r="F416">
        <v>9860180.4000000004</v>
      </c>
      <c r="G416">
        <v>0</v>
      </c>
      <c r="L416" t="s">
        <v>8</v>
      </c>
      <c r="M416" t="s">
        <v>7</v>
      </c>
      <c r="N416" t="s">
        <v>8</v>
      </c>
      <c r="P416">
        <f t="shared" si="975"/>
        <v>0.19298245614035117</v>
      </c>
      <c r="Q416">
        <f t="shared" si="976"/>
        <v>1902841.8315789504</v>
      </c>
      <c r="R416">
        <f t="shared" si="977"/>
        <v>-977857419.01600385</v>
      </c>
      <c r="S416">
        <f t="shared" si="978"/>
        <v>-9778.5741901600377</v>
      </c>
      <c r="T416">
        <f t="shared" si="979"/>
        <v>-9.7785741901600378</v>
      </c>
    </row>
    <row r="417" spans="1:20" x14ac:dyDescent="0.25">
      <c r="A417" s="5">
        <v>44176</v>
      </c>
      <c r="B417">
        <v>2.7300000000000001E-2</v>
      </c>
      <c r="C417">
        <v>2.7380000000000002E-2</v>
      </c>
      <c r="D417">
        <v>2.452E-2</v>
      </c>
      <c r="E417">
        <v>2.5770000000000001E-2</v>
      </c>
      <c r="F417">
        <v>23678714.5</v>
      </c>
      <c r="G417">
        <v>0</v>
      </c>
      <c r="L417" t="s">
        <v>7</v>
      </c>
      <c r="M417" t="s">
        <v>7</v>
      </c>
      <c r="N417" t="s">
        <v>8</v>
      </c>
      <c r="P417">
        <f t="shared" si="975"/>
        <v>-0.12587412587412553</v>
      </c>
      <c r="Q417">
        <f t="shared" si="976"/>
        <v>-2980537.4895104812</v>
      </c>
      <c r="R417">
        <f t="shared" si="977"/>
        <v>-979760260.84758282</v>
      </c>
      <c r="S417">
        <f t="shared" si="978"/>
        <v>-9797.6026084758287</v>
      </c>
      <c r="T417">
        <f t="shared" si="979"/>
        <v>-9.7976026084758292</v>
      </c>
    </row>
    <row r="418" spans="1:20" x14ac:dyDescent="0.25">
      <c r="A418" s="5">
        <v>44175</v>
      </c>
      <c r="B418">
        <v>2.7689999999999999E-2</v>
      </c>
      <c r="C418">
        <v>2.9929999999999998E-2</v>
      </c>
      <c r="D418">
        <v>2.6419999999999999E-2</v>
      </c>
      <c r="E418">
        <v>2.7269999999999999E-2</v>
      </c>
      <c r="F418">
        <v>55597107.200000003</v>
      </c>
      <c r="G418">
        <v>0</v>
      </c>
      <c r="L418" t="s">
        <v>8</v>
      </c>
      <c r="M418" t="s">
        <v>8</v>
      </c>
      <c r="N418" t="s">
        <v>8</v>
      </c>
      <c r="P418">
        <f t="shared" si="975"/>
        <v>-0.51566951566951558</v>
      </c>
      <c r="Q418">
        <f t="shared" si="976"/>
        <v>-28669733.342450138</v>
      </c>
      <c r="R418">
        <f t="shared" si="977"/>
        <v>-976779723.35807228</v>
      </c>
      <c r="S418">
        <f t="shared" si="978"/>
        <v>-9767.7972335807226</v>
      </c>
      <c r="T418">
        <f t="shared" si="979"/>
        <v>-9.7677972335807226</v>
      </c>
    </row>
    <row r="419" spans="1:20" x14ac:dyDescent="0.25">
      <c r="A419" s="5">
        <v>44174</v>
      </c>
      <c r="B419">
        <v>2.547E-2</v>
      </c>
      <c r="C419">
        <v>2.9350000000000001E-2</v>
      </c>
      <c r="D419">
        <v>2.3460000000000002E-2</v>
      </c>
      <c r="E419">
        <v>2.7779999999999999E-2</v>
      </c>
      <c r="F419">
        <v>29984411.800000001</v>
      </c>
      <c r="G419">
        <v>0</v>
      </c>
      <c r="L419" t="s">
        <v>8</v>
      </c>
      <c r="M419" t="s">
        <v>7</v>
      </c>
      <c r="N419" t="s">
        <v>8</v>
      </c>
      <c r="P419">
        <f t="shared" si="975"/>
        <v>0.46689303904923529</v>
      </c>
      <c r="Q419">
        <f t="shared" si="976"/>
        <v>13999513.149405751</v>
      </c>
      <c r="R419">
        <f t="shared" si="977"/>
        <v>-948109990.01562214</v>
      </c>
      <c r="S419">
        <f t="shared" si="978"/>
        <v>-9481.0999001562213</v>
      </c>
      <c r="T419">
        <f t="shared" si="979"/>
        <v>-9.4810999001562219</v>
      </c>
    </row>
    <row r="420" spans="1:20" x14ac:dyDescent="0.25">
      <c r="A420" s="5">
        <v>44173</v>
      </c>
      <c r="B420">
        <v>2.775E-2</v>
      </c>
      <c r="C420">
        <v>2.8729999999999999E-2</v>
      </c>
      <c r="D420">
        <v>2.5270000000000001E-2</v>
      </c>
      <c r="E420">
        <v>2.547E-2</v>
      </c>
      <c r="F420">
        <v>21374653.899999999</v>
      </c>
      <c r="G420">
        <v>0</v>
      </c>
      <c r="L420" t="s">
        <v>8</v>
      </c>
      <c r="M420" t="s">
        <v>7</v>
      </c>
      <c r="N420" t="s">
        <v>8</v>
      </c>
      <c r="P420">
        <f t="shared" si="975"/>
        <v>-0.88439306358381564</v>
      </c>
      <c r="Q420">
        <f t="shared" si="976"/>
        <v>-18903595.645664752</v>
      </c>
      <c r="R420">
        <f t="shared" si="977"/>
        <v>-962109503.16502786</v>
      </c>
      <c r="S420">
        <f t="shared" si="978"/>
        <v>-9621.0950316502785</v>
      </c>
      <c r="T420">
        <f t="shared" si="979"/>
        <v>-9.6210950316502792</v>
      </c>
    </row>
    <row r="421" spans="1:20" x14ac:dyDescent="0.25">
      <c r="A421" s="5">
        <v>44172</v>
      </c>
      <c r="B421">
        <v>2.6610000000000002E-2</v>
      </c>
      <c r="C421">
        <v>2.809E-2</v>
      </c>
      <c r="D421">
        <v>2.571E-2</v>
      </c>
      <c r="E421">
        <v>2.7660000000000001E-2</v>
      </c>
      <c r="F421">
        <v>17722033.699999999</v>
      </c>
      <c r="G421">
        <v>0</v>
      </c>
      <c r="L421" t="s">
        <v>8</v>
      </c>
      <c r="M421" t="s">
        <v>7</v>
      </c>
      <c r="N421" t="s">
        <v>8</v>
      </c>
      <c r="P421">
        <f t="shared" si="975"/>
        <v>0.63865546218487412</v>
      </c>
      <c r="Q421">
        <f t="shared" si="976"/>
        <v>11318273.623529414</v>
      </c>
      <c r="R421">
        <f t="shared" si="977"/>
        <v>-943205907.51936316</v>
      </c>
      <c r="S421">
        <f t="shared" si="978"/>
        <v>-9432.0590751936325</v>
      </c>
      <c r="T421">
        <f t="shared" si="979"/>
        <v>-9.4320590751936333</v>
      </c>
    </row>
    <row r="422" spans="1:20" x14ac:dyDescent="0.25">
      <c r="A422" s="5">
        <v>44171</v>
      </c>
      <c r="B422">
        <v>2.7470000000000001E-2</v>
      </c>
      <c r="C422">
        <v>2.7810000000000001E-2</v>
      </c>
      <c r="D422">
        <v>2.5850000000000001E-2</v>
      </c>
      <c r="E422">
        <v>2.6610000000000002E-2</v>
      </c>
      <c r="F422">
        <v>18210559</v>
      </c>
      <c r="G422">
        <v>0</v>
      </c>
      <c r="L422" t="s">
        <v>7</v>
      </c>
      <c r="M422" t="s">
        <v>7</v>
      </c>
      <c r="N422" t="s">
        <v>8</v>
      </c>
      <c r="P422">
        <f t="shared" si="975"/>
        <v>-0.22448979591836707</v>
      </c>
      <c r="Q422">
        <f t="shared" si="976"/>
        <v>-4088084.6734693828</v>
      </c>
      <c r="R422">
        <f t="shared" si="977"/>
        <v>-954524181.1428926</v>
      </c>
      <c r="S422">
        <f t="shared" si="978"/>
        <v>-9545.2418114289267</v>
      </c>
      <c r="T422">
        <f t="shared" si="979"/>
        <v>-9.5452418114289266</v>
      </c>
    </row>
    <row r="423" spans="1:20" x14ac:dyDescent="0.25">
      <c r="A423" s="5">
        <v>44170</v>
      </c>
      <c r="B423">
        <v>2.6020000000000001E-2</v>
      </c>
      <c r="C423">
        <v>2.7969999999999998E-2</v>
      </c>
      <c r="D423">
        <v>2.5579999999999999E-2</v>
      </c>
      <c r="E423">
        <v>2.7470000000000001E-2</v>
      </c>
      <c r="F423">
        <v>8025726.7999999998</v>
      </c>
      <c r="G423">
        <v>0</v>
      </c>
      <c r="L423" t="s">
        <v>8</v>
      </c>
      <c r="M423" t="s">
        <v>7</v>
      </c>
      <c r="N423" t="s">
        <v>8</v>
      </c>
      <c r="P423">
        <f t="shared" si="975"/>
        <v>0.58158995815899828</v>
      </c>
      <c r="Q423">
        <f t="shared" si="976"/>
        <v>4667682.1138075506</v>
      </c>
      <c r="R423">
        <f t="shared" si="977"/>
        <v>-950436096.46942317</v>
      </c>
      <c r="S423">
        <f t="shared" si="978"/>
        <v>-9504.3609646942314</v>
      </c>
      <c r="T423">
        <f t="shared" si="979"/>
        <v>-9.5043609646942322</v>
      </c>
    </row>
    <row r="424" spans="1:20" x14ac:dyDescent="0.25">
      <c r="A424" s="5">
        <v>44169</v>
      </c>
      <c r="B424">
        <v>2.904E-2</v>
      </c>
      <c r="C424">
        <v>0.03</v>
      </c>
      <c r="D424">
        <v>2.5559999999999999E-2</v>
      </c>
      <c r="E424">
        <v>2.5940000000000001E-2</v>
      </c>
      <c r="F424">
        <v>34417651.899999999</v>
      </c>
      <c r="G424">
        <v>0</v>
      </c>
      <c r="L424" t="s">
        <v>7</v>
      </c>
      <c r="M424" t="s">
        <v>7</v>
      </c>
      <c r="N424" t="s">
        <v>8</v>
      </c>
      <c r="P424">
        <f t="shared" si="975"/>
        <v>-0.82882882882882802</v>
      </c>
      <c r="Q424">
        <f t="shared" si="976"/>
        <v>-28526342.115315285</v>
      </c>
      <c r="R424">
        <f t="shared" si="977"/>
        <v>-955103778.58323073</v>
      </c>
      <c r="S424">
        <f t="shared" si="978"/>
        <v>-9551.0377858323081</v>
      </c>
      <c r="T424">
        <f t="shared" si="979"/>
        <v>-9.5510377858323086</v>
      </c>
    </row>
    <row r="425" spans="1:20" x14ac:dyDescent="0.25">
      <c r="A425" s="5">
        <v>44168</v>
      </c>
      <c r="B425">
        <v>2.9250000000000002E-2</v>
      </c>
      <c r="C425">
        <v>3.0429999999999999E-2</v>
      </c>
      <c r="D425">
        <v>2.8199999999999999E-2</v>
      </c>
      <c r="E425">
        <v>2.9069999999999999E-2</v>
      </c>
      <c r="F425">
        <v>35602543.600000001</v>
      </c>
      <c r="G425">
        <v>0</v>
      </c>
      <c r="L425" t="s">
        <v>8</v>
      </c>
      <c r="M425" t="s">
        <v>8</v>
      </c>
      <c r="N425" t="s">
        <v>8</v>
      </c>
      <c r="P425">
        <f t="shared" si="975"/>
        <v>-0.21973094170403631</v>
      </c>
      <c r="Q425">
        <f t="shared" si="976"/>
        <v>-7822980.4322870113</v>
      </c>
      <c r="R425">
        <f t="shared" si="977"/>
        <v>-926577436.46791542</v>
      </c>
      <c r="S425">
        <f t="shared" si="978"/>
        <v>-9265.774364679155</v>
      </c>
      <c r="T425">
        <f t="shared" si="979"/>
        <v>-9.2657743646791548</v>
      </c>
    </row>
    <row r="426" spans="1:20" x14ac:dyDescent="0.25">
      <c r="A426" s="5">
        <v>44167</v>
      </c>
      <c r="B426">
        <v>2.6120000000000001E-2</v>
      </c>
      <c r="C426">
        <v>2.9389999999999999E-2</v>
      </c>
      <c r="D426">
        <v>2.5600000000000001E-2</v>
      </c>
      <c r="E426">
        <v>2.9139999999999999E-2</v>
      </c>
      <c r="F426">
        <v>13022547</v>
      </c>
      <c r="G426">
        <v>0</v>
      </c>
      <c r="L426" t="s">
        <v>8</v>
      </c>
      <c r="M426" t="s">
        <v>8</v>
      </c>
      <c r="N426" t="s">
        <v>7</v>
      </c>
      <c r="P426">
        <f t="shared" si="975"/>
        <v>0.86807387862796814</v>
      </c>
      <c r="Q426">
        <f t="shared" si="976"/>
        <v>11304532.88390501</v>
      </c>
      <c r="R426">
        <f t="shared" si="977"/>
        <v>-918754456.03562844</v>
      </c>
      <c r="S426">
        <f t="shared" si="978"/>
        <v>-9187.5445603562839</v>
      </c>
      <c r="T426">
        <f t="shared" si="979"/>
        <v>-9.1875445603562831</v>
      </c>
    </row>
    <row r="427" spans="1:20" x14ac:dyDescent="0.25">
      <c r="A427" s="5">
        <v>44166</v>
      </c>
      <c r="B427">
        <v>2.7550000000000002E-2</v>
      </c>
      <c r="C427">
        <v>2.8490000000000001E-2</v>
      </c>
      <c r="D427">
        <v>2.4559999999999998E-2</v>
      </c>
      <c r="E427">
        <v>2.623E-2</v>
      </c>
      <c r="F427">
        <v>20228293.100000001</v>
      </c>
      <c r="G427">
        <v>0</v>
      </c>
      <c r="L427" t="s">
        <v>7</v>
      </c>
      <c r="M427" t="s">
        <v>8</v>
      </c>
      <c r="N427" t="s">
        <v>7</v>
      </c>
      <c r="P427">
        <f t="shared" si="975"/>
        <v>-0.15012722646310428</v>
      </c>
      <c r="Q427">
        <f t="shared" si="976"/>
        <v>-3036817.5391857498</v>
      </c>
      <c r="R427">
        <f t="shared" si="977"/>
        <v>-930058988.91953349</v>
      </c>
      <c r="S427">
        <f t="shared" si="978"/>
        <v>-9300.5898891953348</v>
      </c>
      <c r="T427">
        <f t="shared" si="979"/>
        <v>-9.3005898891953347</v>
      </c>
    </row>
    <row r="428" spans="1:20" x14ac:dyDescent="0.25">
      <c r="A428" s="5">
        <v>44165</v>
      </c>
      <c r="B428">
        <v>2.7150000000000001E-2</v>
      </c>
      <c r="C428">
        <v>2.8379999999999999E-2</v>
      </c>
      <c r="D428">
        <v>2.6440000000000002E-2</v>
      </c>
      <c r="E428">
        <v>2.7380000000000002E-2</v>
      </c>
      <c r="F428">
        <v>14727040.699999999</v>
      </c>
      <c r="G428">
        <v>0</v>
      </c>
      <c r="L428" t="s">
        <v>8</v>
      </c>
      <c r="M428" t="s">
        <v>8</v>
      </c>
      <c r="N428" t="s">
        <v>7</v>
      </c>
      <c r="P428">
        <f t="shared" si="975"/>
        <v>-3.0927835051545175E-2</v>
      </c>
      <c r="Q428">
        <f t="shared" si="976"/>
        <v>-455475.48556699237</v>
      </c>
      <c r="R428">
        <f t="shared" si="977"/>
        <v>-927022171.38034773</v>
      </c>
      <c r="S428">
        <f t="shared" si="978"/>
        <v>-9270.2217138034775</v>
      </c>
      <c r="T428">
        <f t="shared" si="979"/>
        <v>-9.2702217138034779</v>
      </c>
    </row>
    <row r="429" spans="1:20" x14ac:dyDescent="0.25">
      <c r="A429" s="5">
        <v>44164</v>
      </c>
      <c r="B429">
        <v>2.6380000000000001E-2</v>
      </c>
      <c r="C429">
        <v>2.8150000000000001E-2</v>
      </c>
      <c r="D429">
        <v>2.5600000000000001E-2</v>
      </c>
      <c r="E429">
        <v>2.7060000000000001E-2</v>
      </c>
      <c r="F429">
        <v>13219396.1</v>
      </c>
      <c r="G429">
        <v>0</v>
      </c>
      <c r="L429" t="s">
        <v>8</v>
      </c>
      <c r="M429" t="s">
        <v>8</v>
      </c>
      <c r="N429" t="s">
        <v>7</v>
      </c>
      <c r="P429">
        <f t="shared" si="975"/>
        <v>0.14509803921568579</v>
      </c>
      <c r="Q429">
        <f t="shared" si="976"/>
        <v>1918108.4537254837</v>
      </c>
      <c r="R429">
        <f t="shared" si="977"/>
        <v>-926566695.89478076</v>
      </c>
      <c r="S429">
        <f t="shared" si="978"/>
        <v>-9265.6669589478079</v>
      </c>
      <c r="T429">
        <f t="shared" si="979"/>
        <v>-9.2656669589478078</v>
      </c>
    </row>
    <row r="430" spans="1:20" x14ac:dyDescent="0.25">
      <c r="A430" s="5">
        <v>44163</v>
      </c>
      <c r="B430">
        <v>2.6579999999999999E-2</v>
      </c>
      <c r="C430">
        <v>2.7369999999999998E-2</v>
      </c>
      <c r="D430">
        <v>2.5420000000000002E-2</v>
      </c>
      <c r="E430">
        <v>2.6509999999999999E-2</v>
      </c>
      <c r="F430">
        <v>12913795.800000001</v>
      </c>
      <c r="G430">
        <v>0</v>
      </c>
      <c r="L430" t="s">
        <v>8</v>
      </c>
      <c r="M430" t="s">
        <v>8</v>
      </c>
      <c r="N430" t="s">
        <v>7</v>
      </c>
      <c r="P430">
        <f t="shared" si="975"/>
        <v>0.11794871794871689</v>
      </c>
      <c r="Q430">
        <f t="shared" si="976"/>
        <v>1523165.6584615249</v>
      </c>
      <c r="R430">
        <f t="shared" si="977"/>
        <v>-928484804.34850621</v>
      </c>
      <c r="S430">
        <f t="shared" si="978"/>
        <v>-9284.8480434850626</v>
      </c>
      <c r="T430">
        <f t="shared" si="979"/>
        <v>-9.2848480434850629</v>
      </c>
    </row>
    <row r="431" spans="1:20" x14ac:dyDescent="0.25">
      <c r="A431" s="5">
        <v>44162</v>
      </c>
      <c r="B431">
        <v>2.4989999999999998E-2</v>
      </c>
      <c r="C431">
        <v>2.7150000000000001E-2</v>
      </c>
      <c r="D431">
        <v>2.453E-2</v>
      </c>
      <c r="E431">
        <v>2.6509999999999999E-2</v>
      </c>
      <c r="F431">
        <v>21776782.800000001</v>
      </c>
      <c r="G431">
        <v>0</v>
      </c>
      <c r="L431" t="s">
        <v>8</v>
      </c>
      <c r="M431" t="s">
        <v>8</v>
      </c>
      <c r="N431" t="s">
        <v>7</v>
      </c>
      <c r="P431">
        <f t="shared" si="975"/>
        <v>0.51145038167938817</v>
      </c>
      <c r="Q431">
        <f t="shared" si="976"/>
        <v>11137743.874809137</v>
      </c>
      <c r="R431">
        <f t="shared" si="977"/>
        <v>-930007970.00696778</v>
      </c>
      <c r="S431">
        <f t="shared" si="978"/>
        <v>-9300.0797000696784</v>
      </c>
      <c r="T431">
        <f t="shared" si="979"/>
        <v>-9.3000797000696789</v>
      </c>
    </row>
    <row r="432" spans="1:20" x14ac:dyDescent="0.25">
      <c r="A432" s="5">
        <v>44161</v>
      </c>
      <c r="B432">
        <v>3.0210000000000001E-2</v>
      </c>
      <c r="C432">
        <v>3.124E-2</v>
      </c>
      <c r="D432">
        <v>2.2069999999999999E-2</v>
      </c>
      <c r="E432">
        <v>2.4989999999999998E-2</v>
      </c>
      <c r="F432">
        <v>40370797.700000003</v>
      </c>
      <c r="G432">
        <v>0</v>
      </c>
      <c r="L432" t="s">
        <v>7</v>
      </c>
      <c r="M432" t="s">
        <v>7</v>
      </c>
      <c r="N432" t="s">
        <v>7</v>
      </c>
      <c r="P432">
        <f t="shared" si="975"/>
        <v>-0.36314067611777567</v>
      </c>
      <c r="Q432">
        <f t="shared" si="976"/>
        <v>-14660278.772191944</v>
      </c>
      <c r="R432">
        <f t="shared" si="977"/>
        <v>-941145713.88177693</v>
      </c>
      <c r="S432">
        <f t="shared" si="978"/>
        <v>-9411.4571388177701</v>
      </c>
      <c r="T432">
        <f t="shared" si="979"/>
        <v>-9.4114571388177701</v>
      </c>
    </row>
    <row r="433" spans="1:20" x14ac:dyDescent="0.25">
      <c r="A433" s="5">
        <v>44160</v>
      </c>
      <c r="B433">
        <v>2.9180000000000001E-2</v>
      </c>
      <c r="C433">
        <v>3.2960000000000003E-2</v>
      </c>
      <c r="D433">
        <v>2.8590000000000001E-2</v>
      </c>
      <c r="E433">
        <v>3.0210000000000001E-2</v>
      </c>
      <c r="F433">
        <v>43302469.5</v>
      </c>
      <c r="G433">
        <v>0</v>
      </c>
      <c r="L433" t="s">
        <v>8</v>
      </c>
      <c r="M433" t="s">
        <v>8</v>
      </c>
      <c r="N433" t="s">
        <v>8</v>
      </c>
      <c r="P433">
        <f t="shared" si="975"/>
        <v>-0.25858123569794095</v>
      </c>
      <c r="Q433">
        <f t="shared" si="976"/>
        <v>-11197206.072082398</v>
      </c>
      <c r="R433">
        <f t="shared" si="977"/>
        <v>-926485435.10958493</v>
      </c>
      <c r="S433">
        <f t="shared" si="978"/>
        <v>-9264.8543510958498</v>
      </c>
      <c r="T433">
        <f t="shared" si="979"/>
        <v>-9.264854351095849</v>
      </c>
    </row>
    <row r="434" spans="1:20" x14ac:dyDescent="0.25">
      <c r="A434" s="5">
        <v>44159</v>
      </c>
      <c r="B434">
        <v>2.8479999999999998E-2</v>
      </c>
      <c r="C434">
        <v>3.0759999999999999E-2</v>
      </c>
      <c r="D434">
        <v>2.792E-2</v>
      </c>
      <c r="E434">
        <v>2.9190000000000001E-2</v>
      </c>
      <c r="F434">
        <v>27683037.100000001</v>
      </c>
      <c r="G434">
        <v>0</v>
      </c>
      <c r="L434" t="s">
        <v>8</v>
      </c>
      <c r="M434" t="s">
        <v>8</v>
      </c>
      <c r="N434" t="s">
        <v>8</v>
      </c>
      <c r="P434">
        <f t="shared" si="975"/>
        <v>-0.10563380281690081</v>
      </c>
      <c r="Q434">
        <f t="shared" si="976"/>
        <v>-2924264.4823943498</v>
      </c>
      <c r="R434">
        <f t="shared" si="977"/>
        <v>-915288229.03750253</v>
      </c>
      <c r="S434">
        <f t="shared" si="978"/>
        <v>-9152.8822903750261</v>
      </c>
      <c r="T434">
        <f t="shared" si="979"/>
        <v>-9.1528822903750253</v>
      </c>
    </row>
    <row r="435" spans="1:20" x14ac:dyDescent="0.25">
      <c r="A435" s="5">
        <v>44158</v>
      </c>
      <c r="B435">
        <v>2.6610000000000002E-2</v>
      </c>
      <c r="C435">
        <v>2.981E-2</v>
      </c>
      <c r="D435">
        <v>2.6120000000000001E-2</v>
      </c>
      <c r="E435">
        <v>2.8629999999999999E-2</v>
      </c>
      <c r="F435">
        <v>28907057.600000001</v>
      </c>
      <c r="G435">
        <v>0</v>
      </c>
      <c r="L435" t="s">
        <v>8</v>
      </c>
      <c r="M435" t="s">
        <v>8</v>
      </c>
      <c r="N435" t="s">
        <v>8</v>
      </c>
      <c r="P435">
        <f t="shared" si="975"/>
        <v>0.36043360433604288</v>
      </c>
      <c r="Q435">
        <f t="shared" si="976"/>
        <v>10419074.961517602</v>
      </c>
      <c r="R435">
        <f t="shared" si="977"/>
        <v>-912363964.55510819</v>
      </c>
      <c r="S435">
        <f t="shared" si="978"/>
        <v>-9123.6396455510821</v>
      </c>
      <c r="T435">
        <f t="shared" si="979"/>
        <v>-9.1236396455510818</v>
      </c>
    </row>
    <row r="436" spans="1:20" x14ac:dyDescent="0.25">
      <c r="A436" s="5">
        <v>44157</v>
      </c>
      <c r="B436">
        <v>2.7660000000000001E-2</v>
      </c>
      <c r="C436">
        <v>2.7789999999999999E-2</v>
      </c>
      <c r="D436">
        <v>2.4750000000000001E-2</v>
      </c>
      <c r="E436">
        <v>2.6589999999999999E-2</v>
      </c>
      <c r="F436">
        <v>18662062.100000001</v>
      </c>
      <c r="G436">
        <v>0</v>
      </c>
      <c r="L436" t="s">
        <v>7</v>
      </c>
      <c r="M436" t="s">
        <v>7</v>
      </c>
      <c r="N436" t="s">
        <v>8</v>
      </c>
      <c r="P436">
        <f t="shared" si="975"/>
        <v>0.21052631578947326</v>
      </c>
      <c r="Q436">
        <f t="shared" si="976"/>
        <v>3928855.1789473607</v>
      </c>
      <c r="R436">
        <f t="shared" si="977"/>
        <v>-922783039.51662576</v>
      </c>
      <c r="S436">
        <f t="shared" si="978"/>
        <v>-9227.8303951662583</v>
      </c>
      <c r="T436">
        <f t="shared" si="979"/>
        <v>-9.2278303951662579</v>
      </c>
    </row>
    <row r="437" spans="1:20" x14ac:dyDescent="0.25">
      <c r="A437" s="5">
        <v>44156</v>
      </c>
      <c r="B437">
        <v>2.589E-2</v>
      </c>
      <c r="C437">
        <v>2.8000000000000001E-2</v>
      </c>
      <c r="D437">
        <v>2.537E-2</v>
      </c>
      <c r="E437">
        <v>2.751E-2</v>
      </c>
      <c r="F437">
        <v>19266048</v>
      </c>
      <c r="G437">
        <v>0</v>
      </c>
      <c r="L437" t="s">
        <v>8</v>
      </c>
      <c r="M437" t="s">
        <v>7</v>
      </c>
      <c r="N437" t="s">
        <v>8</v>
      </c>
      <c r="P437">
        <f t="shared" si="975"/>
        <v>0.62737642585551268</v>
      </c>
      <c r="Q437">
        <f t="shared" si="976"/>
        <v>12087064.334600748</v>
      </c>
      <c r="R437">
        <f t="shared" si="977"/>
        <v>-926711894.69557309</v>
      </c>
      <c r="S437">
        <f t="shared" si="978"/>
        <v>-9267.1189469557303</v>
      </c>
      <c r="T437">
        <f t="shared" si="979"/>
        <v>-9.2671189469557298</v>
      </c>
    </row>
    <row r="438" spans="1:20" x14ac:dyDescent="0.25">
      <c r="A438" s="5">
        <v>44155</v>
      </c>
      <c r="B438">
        <v>2.5340000000000001E-2</v>
      </c>
      <c r="C438">
        <v>2.725E-2</v>
      </c>
      <c r="D438">
        <v>2.52E-2</v>
      </c>
      <c r="E438">
        <v>2.5700000000000001E-2</v>
      </c>
      <c r="F438">
        <v>19726647</v>
      </c>
      <c r="G438">
        <v>0</v>
      </c>
      <c r="L438" t="s">
        <v>8</v>
      </c>
      <c r="M438" t="s">
        <v>7</v>
      </c>
      <c r="N438" t="s">
        <v>8</v>
      </c>
      <c r="P438">
        <f t="shared" si="975"/>
        <v>-0.51219512195121897</v>
      </c>
      <c r="Q438">
        <f t="shared" si="976"/>
        <v>-10103892.365853649</v>
      </c>
      <c r="R438">
        <f t="shared" si="977"/>
        <v>-938798959.0301739</v>
      </c>
      <c r="S438">
        <f t="shared" si="978"/>
        <v>-9387.9895903017386</v>
      </c>
      <c r="T438">
        <f t="shared" si="979"/>
        <v>-9.3879895903017392</v>
      </c>
    </row>
    <row r="439" spans="1:20" x14ac:dyDescent="0.25">
      <c r="A439" s="5">
        <v>44154</v>
      </c>
      <c r="B439">
        <v>2.5669999999999998E-2</v>
      </c>
      <c r="C439">
        <v>2.6349999999999998E-2</v>
      </c>
      <c r="D439">
        <v>2.4830000000000001E-2</v>
      </c>
      <c r="E439">
        <v>2.5340000000000001E-2</v>
      </c>
      <c r="F439">
        <v>13172322</v>
      </c>
      <c r="G439">
        <v>0</v>
      </c>
      <c r="L439" t="s">
        <v>8</v>
      </c>
      <c r="M439" t="s">
        <v>7</v>
      </c>
      <c r="N439" t="s">
        <v>8</v>
      </c>
      <c r="P439">
        <f t="shared" si="975"/>
        <v>-0.32894736842105127</v>
      </c>
      <c r="Q439">
        <f t="shared" si="976"/>
        <v>-4333000.6578947185</v>
      </c>
      <c r="R439">
        <f t="shared" si="977"/>
        <v>-928695066.66432023</v>
      </c>
      <c r="S439">
        <f t="shared" si="978"/>
        <v>-9286.9506666432026</v>
      </c>
      <c r="T439">
        <f t="shared" si="979"/>
        <v>-9.286950666643202</v>
      </c>
    </row>
    <row r="440" spans="1:20" x14ac:dyDescent="0.25">
      <c r="A440" s="5">
        <v>44153</v>
      </c>
      <c r="B440">
        <v>2.6540000000000001E-2</v>
      </c>
      <c r="C440">
        <v>2.7519999999999999E-2</v>
      </c>
      <c r="D440">
        <v>2.4379999999999999E-2</v>
      </c>
      <c r="E440">
        <v>2.571E-2</v>
      </c>
      <c r="F440">
        <v>20996775.100000001</v>
      </c>
      <c r="G440">
        <v>0</v>
      </c>
      <c r="L440" t="s">
        <v>7</v>
      </c>
      <c r="M440" t="s">
        <v>7</v>
      </c>
      <c r="N440" t="s">
        <v>8</v>
      </c>
      <c r="P440">
        <f t="shared" si="975"/>
        <v>-0.15286624203821583</v>
      </c>
      <c r="Q440">
        <f t="shared" si="976"/>
        <v>-3209698.1044585835</v>
      </c>
      <c r="R440">
        <f t="shared" si="977"/>
        <v>-924362066.0064255</v>
      </c>
      <c r="S440">
        <f t="shared" si="978"/>
        <v>-9243.6206600642545</v>
      </c>
      <c r="T440">
        <f t="shared" si="979"/>
        <v>-9.2436206600642539</v>
      </c>
    </row>
    <row r="441" spans="1:20" x14ac:dyDescent="0.25">
      <c r="A441" s="5">
        <v>44152</v>
      </c>
      <c r="B441">
        <v>2.597E-2</v>
      </c>
      <c r="C441">
        <v>2.674E-2</v>
      </c>
      <c r="D441">
        <v>2.5100000000000001E-2</v>
      </c>
      <c r="E441">
        <v>2.6450000000000001E-2</v>
      </c>
      <c r="F441">
        <v>13158415.800000001</v>
      </c>
      <c r="G441">
        <v>0</v>
      </c>
      <c r="L441" t="s">
        <v>7</v>
      </c>
      <c r="M441" t="s">
        <v>8</v>
      </c>
      <c r="N441" t="s">
        <v>8</v>
      </c>
      <c r="P441">
        <f t="shared" si="975"/>
        <v>0.64634146341463572</v>
      </c>
      <c r="Q441">
        <f t="shared" si="976"/>
        <v>8504829.7243902646</v>
      </c>
      <c r="R441">
        <f t="shared" si="977"/>
        <v>-921152367.90196693</v>
      </c>
      <c r="S441">
        <f t="shared" si="978"/>
        <v>-9211.5236790196686</v>
      </c>
      <c r="T441">
        <f t="shared" si="979"/>
        <v>-9.2115236790196686</v>
      </c>
    </row>
    <row r="442" spans="1:20" x14ac:dyDescent="0.25">
      <c r="A442" s="5">
        <v>44151</v>
      </c>
      <c r="B442">
        <v>2.5659999999999999E-2</v>
      </c>
      <c r="C442">
        <v>2.7089999999999999E-2</v>
      </c>
      <c r="D442">
        <v>2.5190000000000001E-2</v>
      </c>
      <c r="E442">
        <v>2.5989999999999999E-2</v>
      </c>
      <c r="F442">
        <v>13110746.300000001</v>
      </c>
      <c r="G442">
        <v>0</v>
      </c>
      <c r="L442" t="s">
        <v>7</v>
      </c>
      <c r="M442" t="s">
        <v>8</v>
      </c>
      <c r="N442" t="s">
        <v>8</v>
      </c>
      <c r="P442">
        <f t="shared" si="975"/>
        <v>-0.15789473684210623</v>
      </c>
      <c r="Q442">
        <f t="shared" si="976"/>
        <v>-2070117.8368421181</v>
      </c>
      <c r="R442">
        <f t="shared" si="977"/>
        <v>-929657197.6263572</v>
      </c>
      <c r="S442">
        <f t="shared" si="978"/>
        <v>-9296.5719762635727</v>
      </c>
      <c r="T442">
        <f t="shared" si="979"/>
        <v>-9.2965719762635732</v>
      </c>
    </row>
    <row r="443" spans="1:20" x14ac:dyDescent="0.25">
      <c r="A443" s="5">
        <v>44150</v>
      </c>
      <c r="B443">
        <v>2.7490000000000001E-2</v>
      </c>
      <c r="C443">
        <v>2.8840000000000001E-2</v>
      </c>
      <c r="D443">
        <v>2.521E-2</v>
      </c>
      <c r="E443">
        <v>2.5749999999999999E-2</v>
      </c>
      <c r="F443">
        <v>18659902.5</v>
      </c>
      <c r="G443">
        <v>0</v>
      </c>
      <c r="L443" t="s">
        <v>7</v>
      </c>
      <c r="M443" t="s">
        <v>8</v>
      </c>
      <c r="N443" t="s">
        <v>8</v>
      </c>
      <c r="P443">
        <f t="shared" si="975"/>
        <v>-0.70247933884297598</v>
      </c>
      <c r="Q443">
        <f t="shared" si="976"/>
        <v>-13108195.971074395</v>
      </c>
      <c r="R443">
        <f t="shared" si="977"/>
        <v>-927587079.78951514</v>
      </c>
      <c r="S443">
        <f t="shared" si="978"/>
        <v>-9275.8707978951516</v>
      </c>
      <c r="T443">
        <f t="shared" si="979"/>
        <v>-9.275870797895152</v>
      </c>
    </row>
    <row r="444" spans="1:20" x14ac:dyDescent="0.25">
      <c r="A444" s="5">
        <v>44149</v>
      </c>
      <c r="B444">
        <v>2.6249999999999999E-2</v>
      </c>
      <c r="C444">
        <v>2.9000000000000001E-2</v>
      </c>
      <c r="D444">
        <v>2.461E-2</v>
      </c>
      <c r="E444">
        <v>2.7529999999999999E-2</v>
      </c>
      <c r="F444">
        <v>37768267.299999997</v>
      </c>
      <c r="G444">
        <v>0</v>
      </c>
      <c r="L444" t="s">
        <v>8</v>
      </c>
      <c r="M444" t="s">
        <v>8</v>
      </c>
      <c r="N444" t="s">
        <v>8</v>
      </c>
      <c r="P444">
        <f t="shared" si="975"/>
        <v>0.33029612756264143</v>
      </c>
      <c r="Q444">
        <f t="shared" si="976"/>
        <v>12474712.433940738</v>
      </c>
      <c r="R444">
        <f t="shared" si="977"/>
        <v>-914478883.81844079</v>
      </c>
      <c r="S444">
        <f t="shared" si="978"/>
        <v>-9144.7888381844077</v>
      </c>
      <c r="T444">
        <f t="shared" si="979"/>
        <v>-9.1447888381844074</v>
      </c>
    </row>
    <row r="445" spans="1:20" x14ac:dyDescent="0.25">
      <c r="A445" s="5">
        <v>44148</v>
      </c>
      <c r="B445">
        <v>2.5389999999999999E-2</v>
      </c>
      <c r="C445">
        <v>2.853E-2</v>
      </c>
      <c r="D445">
        <v>2.436E-2</v>
      </c>
      <c r="E445">
        <v>2.6249999999999999E-2</v>
      </c>
      <c r="F445">
        <v>23255509.100000001</v>
      </c>
      <c r="G445">
        <v>0</v>
      </c>
      <c r="L445" t="s">
        <v>8</v>
      </c>
      <c r="M445" t="s">
        <v>8</v>
      </c>
      <c r="N445" t="s">
        <v>8</v>
      </c>
      <c r="P445">
        <f t="shared" si="975"/>
        <v>-9.3525179856115456E-2</v>
      </c>
      <c r="Q445">
        <f t="shared" si="976"/>
        <v>-2174975.67122303</v>
      </c>
      <c r="R445">
        <f t="shared" si="977"/>
        <v>-926953596.25238156</v>
      </c>
      <c r="S445">
        <f t="shared" si="978"/>
        <v>-9269.5359625238161</v>
      </c>
      <c r="T445">
        <f t="shared" si="979"/>
        <v>-9.2695359625238165</v>
      </c>
    </row>
    <row r="446" spans="1:20" x14ac:dyDescent="0.25">
      <c r="A446" s="5">
        <v>44147</v>
      </c>
      <c r="B446">
        <v>2.6349999999999998E-2</v>
      </c>
      <c r="C446">
        <v>2.6380000000000001E-2</v>
      </c>
      <c r="D446">
        <v>2.3980000000000001E-2</v>
      </c>
      <c r="E446">
        <v>2.53E-2</v>
      </c>
      <c r="F446">
        <v>27713338.600000001</v>
      </c>
      <c r="G446">
        <v>0</v>
      </c>
      <c r="L446" t="s">
        <v>7</v>
      </c>
      <c r="M446" t="s">
        <v>7</v>
      </c>
      <c r="N446" t="s">
        <v>8</v>
      </c>
      <c r="P446">
        <f t="shared" si="975"/>
        <v>9.999999999999884E-2</v>
      </c>
      <c r="Q446">
        <f t="shared" si="976"/>
        <v>2771333.8599999682</v>
      </c>
      <c r="R446">
        <f t="shared" si="977"/>
        <v>-924778620.58115852</v>
      </c>
      <c r="S446">
        <f t="shared" si="978"/>
        <v>-9247.7862058115843</v>
      </c>
      <c r="T446">
        <f t="shared" si="979"/>
        <v>-9.2477862058115843</v>
      </c>
    </row>
    <row r="447" spans="1:20" x14ac:dyDescent="0.25">
      <c r="A447" s="5">
        <v>44146</v>
      </c>
      <c r="B447">
        <v>2.7969999999999998E-2</v>
      </c>
      <c r="C447">
        <v>2.9170000000000001E-2</v>
      </c>
      <c r="D447">
        <v>2.5989999999999999E-2</v>
      </c>
      <c r="E447">
        <v>2.6429999999999999E-2</v>
      </c>
      <c r="F447">
        <v>18665752.699999999</v>
      </c>
      <c r="G447">
        <v>0</v>
      </c>
      <c r="L447" t="s">
        <v>7</v>
      </c>
      <c r="M447" t="s">
        <v>8</v>
      </c>
      <c r="N447" t="s">
        <v>8</v>
      </c>
      <c r="P447">
        <f t="shared" si="975"/>
        <v>-0.72327044025157294</v>
      </c>
      <c r="Q447">
        <f t="shared" si="976"/>
        <v>-13500387.172955986</v>
      </c>
      <c r="R447">
        <f t="shared" si="977"/>
        <v>-927549954.44115853</v>
      </c>
      <c r="S447">
        <f t="shared" si="978"/>
        <v>-9275.4995444115848</v>
      </c>
      <c r="T447">
        <f t="shared" si="979"/>
        <v>-9.2754995444115842</v>
      </c>
    </row>
    <row r="448" spans="1:20" x14ac:dyDescent="0.25">
      <c r="A448" s="5">
        <v>44145</v>
      </c>
      <c r="B448">
        <v>2.4070000000000001E-2</v>
      </c>
      <c r="C448">
        <v>3.0890000000000001E-2</v>
      </c>
      <c r="D448">
        <v>2.3879999999999998E-2</v>
      </c>
      <c r="E448">
        <v>2.793E-2</v>
      </c>
      <c r="F448">
        <v>24358064.300000001</v>
      </c>
      <c r="G448">
        <v>0</v>
      </c>
      <c r="L448" t="s">
        <v>8</v>
      </c>
      <c r="M448" t="s">
        <v>8</v>
      </c>
      <c r="N448" t="s">
        <v>8</v>
      </c>
      <c r="P448">
        <f t="shared" si="975"/>
        <v>0.15549215406562059</v>
      </c>
      <c r="Q448">
        <f t="shared" si="976"/>
        <v>3787487.886875893</v>
      </c>
      <c r="R448">
        <f t="shared" si="977"/>
        <v>-914049567.26820254</v>
      </c>
      <c r="S448">
        <f t="shared" si="978"/>
        <v>-9140.4956726820255</v>
      </c>
      <c r="T448">
        <f t="shared" si="979"/>
        <v>-9.1404956726820252</v>
      </c>
    </row>
    <row r="449" spans="1:20" x14ac:dyDescent="0.25">
      <c r="A449" s="5">
        <v>44144</v>
      </c>
      <c r="B449">
        <v>2.4910000000000002E-2</v>
      </c>
      <c r="C449">
        <v>2.5399999999999999E-2</v>
      </c>
      <c r="D449">
        <v>2.2939999999999999E-2</v>
      </c>
      <c r="E449">
        <v>2.4109999999999999E-2</v>
      </c>
      <c r="F449">
        <v>15572906.300000001</v>
      </c>
      <c r="G449">
        <v>0</v>
      </c>
      <c r="L449" t="s">
        <v>8</v>
      </c>
      <c r="M449" t="s">
        <v>8</v>
      </c>
      <c r="N449" t="s">
        <v>7</v>
      </c>
      <c r="P449">
        <f t="shared" si="975"/>
        <v>-4.8780487804877461E-2</v>
      </c>
      <c r="Q449">
        <f t="shared" si="976"/>
        <v>-759653.96585364942</v>
      </c>
      <c r="R449">
        <f t="shared" si="977"/>
        <v>-917837055.15507841</v>
      </c>
      <c r="S449">
        <f t="shared" si="978"/>
        <v>-9178.3705515507845</v>
      </c>
      <c r="T449">
        <f t="shared" si="979"/>
        <v>-9.1783705515507847</v>
      </c>
    </row>
    <row r="450" spans="1:20" x14ac:dyDescent="0.25">
      <c r="A450" s="5">
        <v>44143</v>
      </c>
      <c r="B450">
        <v>2.3089999999999999E-2</v>
      </c>
      <c r="C450">
        <v>2.58E-2</v>
      </c>
      <c r="D450">
        <v>2.2800000000000001E-2</v>
      </c>
      <c r="E450">
        <v>2.494E-2</v>
      </c>
      <c r="F450">
        <v>12543464.1</v>
      </c>
      <c r="G450">
        <v>0</v>
      </c>
      <c r="L450" t="s">
        <v>7</v>
      </c>
      <c r="M450" t="s">
        <v>8</v>
      </c>
      <c r="N450" t="s">
        <v>7</v>
      </c>
      <c r="P450">
        <f t="shared" si="975"/>
        <v>0.42666666666666675</v>
      </c>
      <c r="Q450">
        <f t="shared" si="976"/>
        <v>5351878.0160000008</v>
      </c>
      <c r="R450">
        <f t="shared" si="977"/>
        <v>-917077401.18922472</v>
      </c>
      <c r="S450">
        <f t="shared" si="978"/>
        <v>-9170.7740118922466</v>
      </c>
      <c r="T450">
        <f t="shared" si="979"/>
        <v>-9.1707740118922469</v>
      </c>
    </row>
    <row r="451" spans="1:20" x14ac:dyDescent="0.25">
      <c r="A451" s="5">
        <v>44142</v>
      </c>
      <c r="B451">
        <v>2.52E-2</v>
      </c>
      <c r="C451">
        <v>2.648E-2</v>
      </c>
      <c r="D451">
        <v>2.1860000000000001E-2</v>
      </c>
      <c r="E451">
        <v>2.3109999999999999E-2</v>
      </c>
      <c r="F451">
        <v>18336454.5</v>
      </c>
      <c r="G451">
        <v>0</v>
      </c>
      <c r="L451" t="s">
        <v>8</v>
      </c>
      <c r="M451" t="s">
        <v>7</v>
      </c>
      <c r="N451" t="s">
        <v>7</v>
      </c>
      <c r="P451">
        <f t="shared" si="975"/>
        <v>-0.45887445887445977</v>
      </c>
      <c r="Q451">
        <f t="shared" si="976"/>
        <v>-8414130.6363636535</v>
      </c>
      <c r="R451">
        <f t="shared" si="977"/>
        <v>-922429279.20522475</v>
      </c>
      <c r="S451">
        <f t="shared" si="978"/>
        <v>-9224.292792052247</v>
      </c>
      <c r="T451">
        <f t="shared" si="979"/>
        <v>-9.2242927920522462</v>
      </c>
    </row>
    <row r="452" spans="1:20" x14ac:dyDescent="0.25">
      <c r="A452" s="5">
        <v>44141</v>
      </c>
      <c r="B452">
        <v>2.1899999999999999E-2</v>
      </c>
      <c r="C452">
        <v>2.5989999999999999E-2</v>
      </c>
      <c r="D452">
        <v>2.1760000000000002E-2</v>
      </c>
      <c r="E452">
        <v>2.5190000000000001E-2</v>
      </c>
      <c r="F452">
        <v>23496755.699999999</v>
      </c>
      <c r="G452">
        <v>0</v>
      </c>
      <c r="L452" t="s">
        <v>8</v>
      </c>
      <c r="M452" t="s">
        <v>8</v>
      </c>
      <c r="N452" t="s">
        <v>7</v>
      </c>
      <c r="P452">
        <f t="shared" si="975"/>
        <v>0.62174940898345199</v>
      </c>
      <c r="Q452">
        <f t="shared" si="976"/>
        <v>14609093.969503555</v>
      </c>
      <c r="R452">
        <f t="shared" si="977"/>
        <v>-914015148.56886113</v>
      </c>
      <c r="S452">
        <f t="shared" si="978"/>
        <v>-9140.1514856886115</v>
      </c>
      <c r="T452">
        <f t="shared" si="979"/>
        <v>-9.1401514856886124</v>
      </c>
    </row>
    <row r="453" spans="1:20" x14ac:dyDescent="0.25">
      <c r="A453" s="5">
        <v>44140</v>
      </c>
      <c r="B453">
        <v>2.06E-2</v>
      </c>
      <c r="C453">
        <v>2.1999999999999999E-2</v>
      </c>
      <c r="D453">
        <v>2.0400000000000001E-2</v>
      </c>
      <c r="E453">
        <v>2.1899999999999999E-2</v>
      </c>
      <c r="F453">
        <v>13814929.9</v>
      </c>
      <c r="G453">
        <v>0</v>
      </c>
      <c r="L453" t="s">
        <v>8</v>
      </c>
      <c r="M453" t="s">
        <v>7</v>
      </c>
      <c r="N453" t="s">
        <v>7</v>
      </c>
      <c r="P453">
        <f t="shared" si="975"/>
        <v>0.87500000000000056</v>
      </c>
      <c r="Q453">
        <f t="shared" si="976"/>
        <v>12088063.662500007</v>
      </c>
      <c r="R453">
        <f t="shared" si="977"/>
        <v>-928624242.53836465</v>
      </c>
      <c r="S453">
        <f t="shared" si="978"/>
        <v>-9286.2424253836471</v>
      </c>
      <c r="T453">
        <f t="shared" si="979"/>
        <v>-9.2862424253836462</v>
      </c>
    </row>
    <row r="454" spans="1:20" x14ac:dyDescent="0.25">
      <c r="A454" s="5">
        <v>44139</v>
      </c>
      <c r="B454">
        <v>2.0760000000000001E-2</v>
      </c>
      <c r="C454">
        <v>2.1389999999999999E-2</v>
      </c>
      <c r="D454">
        <v>1.9689999999999999E-2</v>
      </c>
      <c r="E454">
        <v>2.0549999999999999E-2</v>
      </c>
      <c r="F454">
        <v>7619640.5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80">IF(C454=D454,0,((E454-D454)-(C454-E454))/(C454-D454))</f>
        <v>1.176470588235246E-2</v>
      </c>
      <c r="Q454">
        <f t="shared" ref="Q454:Q517" si="981">F454*P454</f>
        <v>89642.829411761049</v>
      </c>
      <c r="R454">
        <f t="shared" ref="R454:R517" si="982">R455+Q454</f>
        <v>-940712306.20086467</v>
      </c>
      <c r="S454">
        <f t="shared" ref="S454:S517" si="983">R454/100000</f>
        <v>-9407.1230620086462</v>
      </c>
      <c r="T454">
        <f t="shared" ref="T454:T517" si="984">S454/1000</f>
        <v>-9.4071230620086457</v>
      </c>
    </row>
    <row r="455" spans="1:20" x14ac:dyDescent="0.25">
      <c r="A455" s="5">
        <v>44138</v>
      </c>
      <c r="B455">
        <v>2.1989999999999999E-2</v>
      </c>
      <c r="C455">
        <v>2.2100000000000002E-2</v>
      </c>
      <c r="D455">
        <v>2.0240000000000001E-2</v>
      </c>
      <c r="E455">
        <v>2.069E-2</v>
      </c>
      <c r="F455">
        <v>25468225.600000001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-0.51612903225806572</v>
      </c>
      <c r="Q455">
        <f t="shared" si="981"/>
        <v>-13144890.632258097</v>
      </c>
      <c r="R455">
        <f t="shared" si="982"/>
        <v>-940801949.03027642</v>
      </c>
      <c r="S455">
        <f t="shared" si="983"/>
        <v>-9408.0194903027641</v>
      </c>
      <c r="T455">
        <f t="shared" si="984"/>
        <v>-9.408019490302765</v>
      </c>
    </row>
    <row r="456" spans="1:20" x14ac:dyDescent="0.25">
      <c r="A456" s="5">
        <v>44137</v>
      </c>
      <c r="B456">
        <v>2.401E-2</v>
      </c>
      <c r="C456">
        <v>2.4330000000000001E-2</v>
      </c>
      <c r="D456">
        <v>2.1999999999999999E-2</v>
      </c>
      <c r="E456">
        <v>2.1999999999999999E-2</v>
      </c>
      <c r="F456">
        <v>8121969.7000000002</v>
      </c>
      <c r="G456">
        <v>0</v>
      </c>
      <c r="L456" t="s">
        <v>7</v>
      </c>
      <c r="M456" t="s">
        <v>7</v>
      </c>
      <c r="N456" t="s">
        <v>7</v>
      </c>
      <c r="P456">
        <f t="shared" si="980"/>
        <v>-1</v>
      </c>
      <c r="Q456">
        <f t="shared" si="981"/>
        <v>-8121969.7000000002</v>
      </c>
      <c r="R456">
        <f t="shared" si="982"/>
        <v>-927657058.39801836</v>
      </c>
      <c r="S456">
        <f t="shared" si="983"/>
        <v>-9276.5705839801831</v>
      </c>
      <c r="T456">
        <f t="shared" si="984"/>
        <v>-9.2765705839801829</v>
      </c>
    </row>
    <row r="457" spans="1:20" x14ac:dyDescent="0.25">
      <c r="A457" s="5">
        <v>44136</v>
      </c>
      <c r="B457">
        <v>2.359E-2</v>
      </c>
      <c r="C457">
        <v>2.5999999999999999E-2</v>
      </c>
      <c r="D457">
        <v>2.3179999999999999E-2</v>
      </c>
      <c r="E457">
        <v>2.3980000000000001E-2</v>
      </c>
      <c r="F457">
        <v>16662177</v>
      </c>
      <c r="G457">
        <v>0</v>
      </c>
      <c r="L457" t="s">
        <v>8</v>
      </c>
      <c r="M457" t="s">
        <v>8</v>
      </c>
      <c r="N457" t="s">
        <v>7</v>
      </c>
      <c r="P457">
        <f t="shared" si="980"/>
        <v>-0.43262411347517571</v>
      </c>
      <c r="Q457">
        <f t="shared" si="981"/>
        <v>-7208459.5531914625</v>
      </c>
      <c r="R457">
        <f t="shared" si="982"/>
        <v>-919535088.69801831</v>
      </c>
      <c r="S457">
        <f t="shared" si="983"/>
        <v>-9195.3508869801826</v>
      </c>
      <c r="T457">
        <f t="shared" si="984"/>
        <v>-9.195350886980183</v>
      </c>
    </row>
    <row r="458" spans="1:20" x14ac:dyDescent="0.25">
      <c r="A458" s="5">
        <v>44135</v>
      </c>
      <c r="B458">
        <v>2.308E-2</v>
      </c>
      <c r="C458">
        <v>2.4119999999999999E-2</v>
      </c>
      <c r="D458">
        <v>2.2530000000000001E-2</v>
      </c>
      <c r="E458">
        <v>2.359E-2</v>
      </c>
      <c r="F458">
        <v>7898554.2999999998</v>
      </c>
      <c r="G458">
        <v>0</v>
      </c>
      <c r="L458" t="s">
        <v>8</v>
      </c>
      <c r="M458" t="s">
        <v>7</v>
      </c>
      <c r="N458" t="s">
        <v>7</v>
      </c>
      <c r="P458">
        <f t="shared" si="980"/>
        <v>0.33333333333333331</v>
      </c>
      <c r="Q458">
        <f t="shared" si="981"/>
        <v>2632851.4333333331</v>
      </c>
      <c r="R458">
        <f t="shared" si="982"/>
        <v>-912326629.14482689</v>
      </c>
      <c r="S458">
        <f t="shared" si="983"/>
        <v>-9123.266291448268</v>
      </c>
      <c r="T458">
        <f t="shared" si="984"/>
        <v>-9.1232662914482674</v>
      </c>
    </row>
    <row r="459" spans="1:20" x14ac:dyDescent="0.25">
      <c r="A459" s="5">
        <v>44134</v>
      </c>
      <c r="B459">
        <v>2.3120000000000002E-2</v>
      </c>
      <c r="C459">
        <v>2.3470000000000001E-2</v>
      </c>
      <c r="D459">
        <v>2.0930000000000001E-2</v>
      </c>
      <c r="E459">
        <v>2.3089999999999999E-2</v>
      </c>
      <c r="F459">
        <v>11999019.9</v>
      </c>
      <c r="G459">
        <v>0</v>
      </c>
      <c r="L459" t="s">
        <v>7</v>
      </c>
      <c r="M459" t="s">
        <v>7</v>
      </c>
      <c r="N459" t="s">
        <v>7</v>
      </c>
      <c r="P459">
        <f t="shared" si="980"/>
        <v>0.70078740157480179</v>
      </c>
      <c r="Q459">
        <f t="shared" si="981"/>
        <v>8408761.9771653377</v>
      </c>
      <c r="R459">
        <f t="shared" si="982"/>
        <v>-914959480.57816017</v>
      </c>
      <c r="S459">
        <f t="shared" si="983"/>
        <v>-9149.5948057816022</v>
      </c>
      <c r="T459">
        <f t="shared" si="984"/>
        <v>-9.1495948057816019</v>
      </c>
    </row>
    <row r="460" spans="1:20" x14ac:dyDescent="0.25">
      <c r="A460" s="5">
        <v>44133</v>
      </c>
      <c r="B460">
        <v>2.4750000000000001E-2</v>
      </c>
      <c r="C460">
        <v>2.487E-2</v>
      </c>
      <c r="D460">
        <v>2.283E-2</v>
      </c>
      <c r="E460">
        <v>2.308E-2</v>
      </c>
      <c r="F460">
        <v>16229302.699999999</v>
      </c>
      <c r="G460">
        <v>0</v>
      </c>
      <c r="L460" t="s">
        <v>7</v>
      </c>
      <c r="M460" t="s">
        <v>7</v>
      </c>
      <c r="N460" t="s">
        <v>7</v>
      </c>
      <c r="P460">
        <f t="shared" si="980"/>
        <v>-0.75490196078431349</v>
      </c>
      <c r="Q460">
        <f t="shared" si="981"/>
        <v>-12251532.430392152</v>
      </c>
      <c r="R460">
        <f t="shared" si="982"/>
        <v>-923368242.55532551</v>
      </c>
      <c r="S460">
        <f t="shared" si="983"/>
        <v>-9233.6824255532556</v>
      </c>
      <c r="T460">
        <f t="shared" si="984"/>
        <v>-9.2336824255532548</v>
      </c>
    </row>
    <row r="461" spans="1:20" x14ac:dyDescent="0.25">
      <c r="A461" s="5">
        <v>44132</v>
      </c>
      <c r="B461">
        <v>2.741E-2</v>
      </c>
      <c r="C461">
        <v>2.7900000000000001E-2</v>
      </c>
      <c r="D461">
        <v>2.4129999999999999E-2</v>
      </c>
      <c r="E461">
        <v>2.4760000000000001E-2</v>
      </c>
      <c r="F461">
        <v>25638566.100000001</v>
      </c>
      <c r="G461">
        <v>0</v>
      </c>
      <c r="L461" t="s">
        <v>7</v>
      </c>
      <c r="M461" t="s">
        <v>7</v>
      </c>
      <c r="N461" t="s">
        <v>7</v>
      </c>
      <c r="P461">
        <f t="shared" si="980"/>
        <v>-0.66578249336869944</v>
      </c>
      <c r="Q461">
        <f t="shared" si="981"/>
        <v>-17069708.464456212</v>
      </c>
      <c r="R461">
        <f t="shared" si="982"/>
        <v>-911116710.12493336</v>
      </c>
      <c r="S461">
        <f t="shared" si="983"/>
        <v>-9111.1671012493334</v>
      </c>
      <c r="T461">
        <f t="shared" si="984"/>
        <v>-9.1111671012493343</v>
      </c>
    </row>
    <row r="462" spans="1:20" x14ac:dyDescent="0.25">
      <c r="A462" s="5">
        <v>44131</v>
      </c>
      <c r="B462">
        <v>2.8629999999999999E-2</v>
      </c>
      <c r="C462">
        <v>2.9080000000000002E-2</v>
      </c>
      <c r="D462">
        <v>2.6939999999999999E-2</v>
      </c>
      <c r="E462">
        <v>2.742E-2</v>
      </c>
      <c r="F462">
        <v>77909501.799999997</v>
      </c>
      <c r="G462">
        <v>0</v>
      </c>
      <c r="L462" t="s">
        <v>7</v>
      </c>
      <c r="M462" t="s">
        <v>7</v>
      </c>
      <c r="N462" t="s">
        <v>8</v>
      </c>
      <c r="P462">
        <f t="shared" si="980"/>
        <v>-0.55140186915887801</v>
      </c>
      <c r="Q462">
        <f t="shared" si="981"/>
        <v>-42959444.917756967</v>
      </c>
      <c r="R462">
        <f t="shared" si="982"/>
        <v>-894047001.66047716</v>
      </c>
      <c r="S462">
        <f t="shared" si="983"/>
        <v>-8940.4700166047714</v>
      </c>
      <c r="T462">
        <f t="shared" si="984"/>
        <v>-8.9404700166047721</v>
      </c>
    </row>
    <row r="463" spans="1:20" x14ac:dyDescent="0.25">
      <c r="A463" s="5">
        <v>44130</v>
      </c>
      <c r="B463">
        <v>2.9700000000000001E-2</v>
      </c>
      <c r="C463">
        <v>3.2039999999999999E-2</v>
      </c>
      <c r="D463">
        <v>2.776E-2</v>
      </c>
      <c r="E463">
        <v>2.862E-2</v>
      </c>
      <c r="F463">
        <v>310380356</v>
      </c>
      <c r="G463">
        <v>0</v>
      </c>
      <c r="L463" t="s">
        <v>7</v>
      </c>
      <c r="M463" t="s">
        <v>7</v>
      </c>
      <c r="N463" t="s">
        <v>8</v>
      </c>
      <c r="P463">
        <f t="shared" si="980"/>
        <v>-0.59813084112149539</v>
      </c>
      <c r="Q463">
        <f t="shared" si="981"/>
        <v>-185648063.40186918</v>
      </c>
      <c r="R463">
        <f t="shared" si="982"/>
        <v>-851087556.74272025</v>
      </c>
      <c r="S463">
        <f t="shared" si="983"/>
        <v>-8510.8755674272034</v>
      </c>
      <c r="T463">
        <f t="shared" si="984"/>
        <v>-8.5108755674272025</v>
      </c>
    </row>
    <row r="464" spans="1:20" x14ac:dyDescent="0.25">
      <c r="A464" s="5">
        <v>44129</v>
      </c>
      <c r="B464">
        <v>2.964E-2</v>
      </c>
      <c r="C464">
        <v>3.0280000000000001E-2</v>
      </c>
      <c r="D464">
        <v>2.9219999999999999E-2</v>
      </c>
      <c r="E464">
        <v>2.9690000000000001E-2</v>
      </c>
      <c r="F464">
        <v>91399708.200000003</v>
      </c>
      <c r="G464">
        <v>0</v>
      </c>
      <c r="L464" t="s">
        <v>7</v>
      </c>
      <c r="M464" t="s">
        <v>7</v>
      </c>
      <c r="N464" t="s">
        <v>8</v>
      </c>
      <c r="P464">
        <f t="shared" si="980"/>
        <v>-0.11320754716980978</v>
      </c>
      <c r="Q464">
        <f t="shared" si="981"/>
        <v>-10347136.777358351</v>
      </c>
      <c r="R464">
        <f t="shared" si="982"/>
        <v>-665439493.34085107</v>
      </c>
      <c r="S464">
        <f t="shared" si="983"/>
        <v>-6654.394933408511</v>
      </c>
      <c r="T464">
        <f t="shared" si="984"/>
        <v>-6.6543949334085113</v>
      </c>
    </row>
    <row r="465" spans="1:20" x14ac:dyDescent="0.25">
      <c r="A465" s="5">
        <v>44128</v>
      </c>
      <c r="B465">
        <v>2.9850000000000002E-2</v>
      </c>
      <c r="C465">
        <v>3.031E-2</v>
      </c>
      <c r="D465">
        <v>2.9559999999999999E-2</v>
      </c>
      <c r="E465">
        <v>2.9649999999999999E-2</v>
      </c>
      <c r="F465">
        <v>83271943.200000003</v>
      </c>
      <c r="G465">
        <v>0</v>
      </c>
      <c r="L465" t="s">
        <v>7</v>
      </c>
      <c r="M465" t="s">
        <v>7</v>
      </c>
      <c r="N465" t="s">
        <v>8</v>
      </c>
      <c r="P465">
        <f t="shared" si="980"/>
        <v>-0.76000000000000079</v>
      </c>
      <c r="Q465">
        <f t="shared" si="981"/>
        <v>-63286676.832000069</v>
      </c>
      <c r="R465">
        <f t="shared" si="982"/>
        <v>-655092356.56349277</v>
      </c>
      <c r="S465">
        <f t="shared" si="983"/>
        <v>-6550.9235656349274</v>
      </c>
      <c r="T465">
        <f t="shared" si="984"/>
        <v>-6.5509235656349274</v>
      </c>
    </row>
    <row r="466" spans="1:20" x14ac:dyDescent="0.25">
      <c r="A466" s="5">
        <v>44127</v>
      </c>
      <c r="B466">
        <v>3.1050000000000001E-2</v>
      </c>
      <c r="C466">
        <v>3.1419999999999997E-2</v>
      </c>
      <c r="D466">
        <v>2.9530000000000001E-2</v>
      </c>
      <c r="E466">
        <v>2.9850000000000002E-2</v>
      </c>
      <c r="F466">
        <v>75665560.299999997</v>
      </c>
      <c r="G466">
        <v>0</v>
      </c>
      <c r="L466" t="s">
        <v>7</v>
      </c>
      <c r="M466" t="s">
        <v>7</v>
      </c>
      <c r="N466" t="s">
        <v>8</v>
      </c>
      <c r="P466">
        <f t="shared" si="980"/>
        <v>-0.66137566137565973</v>
      </c>
      <c r="Q466">
        <f t="shared" si="981"/>
        <v>-50043359.986772358</v>
      </c>
      <c r="R466">
        <f t="shared" si="982"/>
        <v>-591805679.73149276</v>
      </c>
      <c r="S466">
        <f t="shared" si="983"/>
        <v>-5918.0567973149273</v>
      </c>
      <c r="T466">
        <f t="shared" si="984"/>
        <v>-5.918056797314927</v>
      </c>
    </row>
    <row r="467" spans="1:20" x14ac:dyDescent="0.25">
      <c r="A467" s="5">
        <v>44126</v>
      </c>
      <c r="B467">
        <v>3.0460000000000001E-2</v>
      </c>
      <c r="C467">
        <v>3.177E-2</v>
      </c>
      <c r="D467">
        <v>3.0290000000000001E-2</v>
      </c>
      <c r="E467">
        <v>3.1050000000000001E-2</v>
      </c>
      <c r="F467">
        <v>61449401.5</v>
      </c>
      <c r="G467">
        <v>0</v>
      </c>
      <c r="L467" t="s">
        <v>8</v>
      </c>
      <c r="M467" t="s">
        <v>7</v>
      </c>
      <c r="N467" t="s">
        <v>8</v>
      </c>
      <c r="P467">
        <f t="shared" si="980"/>
        <v>2.7027027027028295E-2</v>
      </c>
      <c r="Q467">
        <f t="shared" si="981"/>
        <v>1660794.6351352131</v>
      </c>
      <c r="R467">
        <f t="shared" si="982"/>
        <v>-541762319.74472034</v>
      </c>
      <c r="S467">
        <f t="shared" si="983"/>
        <v>-5417.623197447203</v>
      </c>
      <c r="T467">
        <f t="shared" si="984"/>
        <v>-5.4176231974472033</v>
      </c>
    </row>
    <row r="468" spans="1:20" x14ac:dyDescent="0.25">
      <c r="A468" s="5">
        <v>44125</v>
      </c>
      <c r="B468">
        <v>2.8930000000000001E-2</v>
      </c>
      <c r="C468">
        <v>3.1899999999999998E-2</v>
      </c>
      <c r="D468">
        <v>2.8740000000000002E-2</v>
      </c>
      <c r="E468">
        <v>3.0450000000000001E-2</v>
      </c>
      <c r="F468">
        <v>63517256</v>
      </c>
      <c r="G468">
        <v>0</v>
      </c>
      <c r="L468" t="s">
        <v>8</v>
      </c>
      <c r="M468" t="s">
        <v>7</v>
      </c>
      <c r="N468" t="s">
        <v>8</v>
      </c>
      <c r="P468">
        <f t="shared" si="980"/>
        <v>8.2278481012659374E-2</v>
      </c>
      <c r="Q468">
        <f t="shared" si="981"/>
        <v>5226103.3417722248</v>
      </c>
      <c r="R468">
        <f t="shared" si="982"/>
        <v>-543423114.37985551</v>
      </c>
      <c r="S468">
        <f t="shared" si="983"/>
        <v>-5434.2311437985554</v>
      </c>
      <c r="T468">
        <f t="shared" si="984"/>
        <v>-5.4342311437985558</v>
      </c>
    </row>
    <row r="469" spans="1:20" x14ac:dyDescent="0.25">
      <c r="A469" s="5">
        <v>44124</v>
      </c>
      <c r="B469">
        <v>2.9989999999999999E-2</v>
      </c>
      <c r="C469">
        <v>3.2770000000000001E-2</v>
      </c>
      <c r="D469">
        <v>2.844E-2</v>
      </c>
      <c r="E469">
        <v>2.8930000000000001E-2</v>
      </c>
      <c r="F469">
        <v>18997616.399999999</v>
      </c>
      <c r="G469">
        <v>0</v>
      </c>
      <c r="L469" t="s">
        <v>7</v>
      </c>
      <c r="M469" t="s">
        <v>7</v>
      </c>
      <c r="N469" t="s">
        <v>8</v>
      </c>
      <c r="P469">
        <f t="shared" si="980"/>
        <v>-0.77367205542725137</v>
      </c>
      <c r="Q469">
        <f t="shared" si="981"/>
        <v>-14697924.928406458</v>
      </c>
      <c r="R469">
        <f t="shared" si="982"/>
        <v>-548649217.72162771</v>
      </c>
      <c r="S469">
        <f t="shared" si="983"/>
        <v>-5486.492177216277</v>
      </c>
      <c r="T469">
        <f t="shared" si="984"/>
        <v>-5.4864921772162774</v>
      </c>
    </row>
    <row r="470" spans="1:20" x14ac:dyDescent="0.25">
      <c r="A470" s="5">
        <v>44123</v>
      </c>
      <c r="B470">
        <v>3.1980000000000001E-2</v>
      </c>
      <c r="C470">
        <v>3.2199999999999999E-2</v>
      </c>
      <c r="D470">
        <v>2.972E-2</v>
      </c>
      <c r="E470">
        <v>3.007E-2</v>
      </c>
      <c r="F470">
        <v>9606805.0999999996</v>
      </c>
      <c r="G470">
        <v>0</v>
      </c>
      <c r="L470" t="s">
        <v>7</v>
      </c>
      <c r="M470" t="s">
        <v>7</v>
      </c>
      <c r="N470" t="s">
        <v>8</v>
      </c>
      <c r="P470">
        <f t="shared" si="980"/>
        <v>-0.71774193548387122</v>
      </c>
      <c r="Q470">
        <f t="shared" si="981"/>
        <v>-6895206.8862903249</v>
      </c>
      <c r="R470">
        <f t="shared" si="982"/>
        <v>-533951292.79322129</v>
      </c>
      <c r="S470">
        <f t="shared" si="983"/>
        <v>-5339.5129279322127</v>
      </c>
      <c r="T470">
        <f t="shared" si="984"/>
        <v>-5.3395129279322129</v>
      </c>
    </row>
    <row r="471" spans="1:20" x14ac:dyDescent="0.25">
      <c r="A471" s="5">
        <v>44122</v>
      </c>
      <c r="B471">
        <v>3.1820000000000001E-2</v>
      </c>
      <c r="C471">
        <v>3.3180000000000001E-2</v>
      </c>
      <c r="D471">
        <v>3.1570000000000001E-2</v>
      </c>
      <c r="E471">
        <v>3.2140000000000002E-2</v>
      </c>
      <c r="F471">
        <v>5467239.4000000004</v>
      </c>
      <c r="G471">
        <v>0</v>
      </c>
      <c r="L471" t="s">
        <v>8</v>
      </c>
      <c r="M471" t="s">
        <v>8</v>
      </c>
      <c r="N471" t="s">
        <v>8</v>
      </c>
      <c r="P471">
        <f t="shared" si="980"/>
        <v>-0.29192546583850815</v>
      </c>
      <c r="Q471">
        <f t="shared" si="981"/>
        <v>-1596026.4086956459</v>
      </c>
      <c r="R471">
        <f t="shared" si="982"/>
        <v>-527056085.90693098</v>
      </c>
      <c r="S471">
        <f t="shared" si="983"/>
        <v>-5270.56085906931</v>
      </c>
      <c r="T471">
        <f t="shared" si="984"/>
        <v>-5.2705608590693096</v>
      </c>
    </row>
    <row r="472" spans="1:20" x14ac:dyDescent="0.25">
      <c r="A472" s="5">
        <v>44121</v>
      </c>
      <c r="B472">
        <v>3.1809999999999998E-2</v>
      </c>
      <c r="C472">
        <v>3.3119999999999997E-2</v>
      </c>
      <c r="D472">
        <v>3.1289999999999998E-2</v>
      </c>
      <c r="E472">
        <v>3.1820000000000001E-2</v>
      </c>
      <c r="F472">
        <v>11150428.4</v>
      </c>
      <c r="G472">
        <v>0</v>
      </c>
      <c r="L472" t="s">
        <v>8</v>
      </c>
      <c r="M472" t="s">
        <v>8</v>
      </c>
      <c r="N472" t="s">
        <v>8</v>
      </c>
      <c r="P472">
        <f t="shared" si="980"/>
        <v>-0.4207650273224009</v>
      </c>
      <c r="Q472">
        <f t="shared" si="981"/>
        <v>-4691710.3103824751</v>
      </c>
      <c r="R472">
        <f t="shared" si="982"/>
        <v>-525460059.49823534</v>
      </c>
      <c r="S472">
        <f t="shared" si="983"/>
        <v>-5254.6005949823539</v>
      </c>
      <c r="T472">
        <f t="shared" si="984"/>
        <v>-5.254600594982354</v>
      </c>
    </row>
    <row r="473" spans="1:20" x14ac:dyDescent="0.25">
      <c r="A473" s="5">
        <v>44120</v>
      </c>
      <c r="B473">
        <v>2.946E-2</v>
      </c>
      <c r="C473">
        <v>3.499E-2</v>
      </c>
      <c r="D473">
        <v>2.7189999999999999E-2</v>
      </c>
      <c r="E473">
        <v>3.1690000000000003E-2</v>
      </c>
      <c r="F473">
        <v>41532632.299999997</v>
      </c>
      <c r="G473">
        <v>0</v>
      </c>
      <c r="L473" t="s">
        <v>7</v>
      </c>
      <c r="M473" t="s">
        <v>8</v>
      </c>
      <c r="N473" t="s">
        <v>8</v>
      </c>
      <c r="P473">
        <f t="shared" si="980"/>
        <v>0.15384615384615466</v>
      </c>
      <c r="Q473">
        <f t="shared" si="981"/>
        <v>6389635.7384615717</v>
      </c>
      <c r="R473">
        <f t="shared" si="982"/>
        <v>-520768349.18785286</v>
      </c>
      <c r="S473">
        <f t="shared" si="983"/>
        <v>-5207.6834918785289</v>
      </c>
      <c r="T473">
        <f t="shared" si="984"/>
        <v>-5.2076834918785293</v>
      </c>
    </row>
    <row r="474" spans="1:20" x14ac:dyDescent="0.25">
      <c r="A474" s="5">
        <v>44119</v>
      </c>
      <c r="B474">
        <v>3.1289999999999998E-2</v>
      </c>
      <c r="C474">
        <v>3.2779999999999997E-2</v>
      </c>
      <c r="D474">
        <v>2.8799999999999999E-2</v>
      </c>
      <c r="E474">
        <v>2.946E-2</v>
      </c>
      <c r="F474">
        <v>16168787.199999999</v>
      </c>
      <c r="G474">
        <v>0</v>
      </c>
      <c r="L474" t="s">
        <v>7</v>
      </c>
      <c r="M474" t="s">
        <v>8</v>
      </c>
      <c r="N474" t="s">
        <v>8</v>
      </c>
      <c r="P474">
        <f t="shared" si="980"/>
        <v>-0.66834170854271291</v>
      </c>
      <c r="Q474">
        <f t="shared" si="981"/>
        <v>-10806274.862311546</v>
      </c>
      <c r="R474">
        <f t="shared" si="982"/>
        <v>-527157984.92631441</v>
      </c>
      <c r="S474">
        <f t="shared" si="983"/>
        <v>-5271.5798492631438</v>
      </c>
      <c r="T474">
        <f t="shared" si="984"/>
        <v>-5.2715798492631443</v>
      </c>
    </row>
    <row r="475" spans="1:20" x14ac:dyDescent="0.25">
      <c r="A475" s="5">
        <v>44118</v>
      </c>
      <c r="B475">
        <v>2.9409999999999999E-2</v>
      </c>
      <c r="C475">
        <v>3.2629999999999999E-2</v>
      </c>
      <c r="D475">
        <v>2.9409999999999999E-2</v>
      </c>
      <c r="E475">
        <v>3.1179999999999999E-2</v>
      </c>
      <c r="F475">
        <v>18806362.800000001</v>
      </c>
      <c r="G475">
        <v>0</v>
      </c>
      <c r="L475" t="s">
        <v>8</v>
      </c>
      <c r="M475" t="s">
        <v>8</v>
      </c>
      <c r="N475" t="s">
        <v>8</v>
      </c>
      <c r="P475">
        <f t="shared" si="980"/>
        <v>9.9378881987577883E-2</v>
      </c>
      <c r="Q475">
        <f t="shared" si="981"/>
        <v>1868955.3093167748</v>
      </c>
      <c r="R475">
        <f t="shared" si="982"/>
        <v>-516351710.06400287</v>
      </c>
      <c r="S475">
        <f t="shared" si="983"/>
        <v>-5163.5171006400287</v>
      </c>
      <c r="T475">
        <f t="shared" si="984"/>
        <v>-5.1635171006400284</v>
      </c>
    </row>
    <row r="476" spans="1:20" x14ac:dyDescent="0.25">
      <c r="A476" s="5">
        <v>44117</v>
      </c>
      <c r="B476">
        <v>2.9229999999999999E-2</v>
      </c>
      <c r="C476">
        <v>3.0599999999999999E-2</v>
      </c>
      <c r="D476">
        <v>2.862E-2</v>
      </c>
      <c r="E476">
        <v>2.9409999999999999E-2</v>
      </c>
      <c r="F476">
        <v>8740029.5999999996</v>
      </c>
      <c r="G476">
        <v>0</v>
      </c>
      <c r="L476" t="s">
        <v>8</v>
      </c>
      <c r="M476" t="s">
        <v>8</v>
      </c>
      <c r="N476" t="s">
        <v>7</v>
      </c>
      <c r="P476">
        <f t="shared" si="980"/>
        <v>-0.20202020202020263</v>
      </c>
      <c r="Q476">
        <f t="shared" si="981"/>
        <v>-1765662.5454545508</v>
      </c>
      <c r="R476">
        <f t="shared" si="982"/>
        <v>-518220665.37331963</v>
      </c>
      <c r="S476">
        <f t="shared" si="983"/>
        <v>-5182.2066537331966</v>
      </c>
      <c r="T476">
        <f t="shared" si="984"/>
        <v>-5.1822066537331963</v>
      </c>
    </row>
    <row r="477" spans="1:20" x14ac:dyDescent="0.25">
      <c r="A477" s="5">
        <v>44116</v>
      </c>
      <c r="B477">
        <v>2.861E-2</v>
      </c>
      <c r="C477">
        <v>3.0349999999999999E-2</v>
      </c>
      <c r="D477">
        <v>2.7570000000000001E-2</v>
      </c>
      <c r="E477">
        <v>2.9260000000000001E-2</v>
      </c>
      <c r="F477">
        <v>9602796.5999999996</v>
      </c>
      <c r="G477">
        <v>0</v>
      </c>
      <c r="L477" t="s">
        <v>8</v>
      </c>
      <c r="M477" t="s">
        <v>8</v>
      </c>
      <c r="N477" t="s">
        <v>7</v>
      </c>
      <c r="P477">
        <f t="shared" si="980"/>
        <v>0.21582733812949778</v>
      </c>
      <c r="Q477">
        <f t="shared" si="981"/>
        <v>2072546.0287769916</v>
      </c>
      <c r="R477">
        <f t="shared" si="982"/>
        <v>-516455002.82786506</v>
      </c>
      <c r="S477">
        <f t="shared" si="983"/>
        <v>-5164.5500282786506</v>
      </c>
      <c r="T477">
        <f t="shared" si="984"/>
        <v>-5.1645500282786507</v>
      </c>
    </row>
    <row r="478" spans="1:20" x14ac:dyDescent="0.25">
      <c r="A478" s="5">
        <v>44115</v>
      </c>
      <c r="B478">
        <v>2.775E-2</v>
      </c>
      <c r="C478">
        <v>2.8879999999999999E-2</v>
      </c>
      <c r="D478">
        <v>2.7179999999999999E-2</v>
      </c>
      <c r="E478">
        <v>2.8469999999999999E-2</v>
      </c>
      <c r="F478">
        <v>5659750</v>
      </c>
      <c r="G478">
        <v>0</v>
      </c>
      <c r="L478" t="s">
        <v>8</v>
      </c>
      <c r="M478" t="s">
        <v>8</v>
      </c>
      <c r="N478" t="s">
        <v>7</v>
      </c>
      <c r="P478">
        <f t="shared" si="980"/>
        <v>0.51764705882352868</v>
      </c>
      <c r="Q478">
        <f t="shared" si="981"/>
        <v>2929752.9411764666</v>
      </c>
      <c r="R478">
        <f t="shared" si="982"/>
        <v>-518527548.85664207</v>
      </c>
      <c r="S478">
        <f t="shared" si="983"/>
        <v>-5185.2754885664208</v>
      </c>
      <c r="T478">
        <f t="shared" si="984"/>
        <v>-5.185275488566421</v>
      </c>
    </row>
    <row r="479" spans="1:20" x14ac:dyDescent="0.25">
      <c r="A479" s="5">
        <v>44114</v>
      </c>
      <c r="B479">
        <v>2.7640000000000001E-2</v>
      </c>
      <c r="C479">
        <v>2.8799999999999999E-2</v>
      </c>
      <c r="D479">
        <v>2.6040000000000001E-2</v>
      </c>
      <c r="E479">
        <v>2.7789999999999999E-2</v>
      </c>
      <c r="F479">
        <v>12806556.1</v>
      </c>
      <c r="G479">
        <v>0</v>
      </c>
      <c r="L479" t="s">
        <v>8</v>
      </c>
      <c r="M479" t="s">
        <v>8</v>
      </c>
      <c r="N479" t="s">
        <v>7</v>
      </c>
      <c r="P479">
        <f t="shared" si="980"/>
        <v>0.26811594202898476</v>
      </c>
      <c r="Q479">
        <f t="shared" si="981"/>
        <v>3433641.8528985409</v>
      </c>
      <c r="R479">
        <f t="shared" si="982"/>
        <v>-521457301.79781854</v>
      </c>
      <c r="S479">
        <f t="shared" si="983"/>
        <v>-5214.5730179781858</v>
      </c>
      <c r="T479">
        <f t="shared" si="984"/>
        <v>-5.2145730179781857</v>
      </c>
    </row>
    <row r="480" spans="1:20" x14ac:dyDescent="0.25">
      <c r="A480" s="5">
        <v>44113</v>
      </c>
      <c r="B480">
        <v>2.5489999999999999E-2</v>
      </c>
      <c r="C480">
        <v>2.75E-2</v>
      </c>
      <c r="D480">
        <v>2.5069999999999999E-2</v>
      </c>
      <c r="E480">
        <v>2.743E-2</v>
      </c>
      <c r="F480">
        <v>10652134.800000001</v>
      </c>
      <c r="G480">
        <v>0</v>
      </c>
      <c r="L480" t="s">
        <v>8</v>
      </c>
      <c r="M480" t="s">
        <v>8</v>
      </c>
      <c r="N480" t="s">
        <v>7</v>
      </c>
      <c r="P480">
        <f t="shared" si="980"/>
        <v>0.94238683127571965</v>
      </c>
      <c r="Q480">
        <f t="shared" si="981"/>
        <v>10038431.560493823</v>
      </c>
      <c r="R480">
        <f t="shared" si="982"/>
        <v>-524890943.65071708</v>
      </c>
      <c r="S480">
        <f t="shared" si="983"/>
        <v>-5248.9094365071705</v>
      </c>
      <c r="T480">
        <f t="shared" si="984"/>
        <v>-5.2489094365071702</v>
      </c>
    </row>
    <row r="481" spans="1:20" x14ac:dyDescent="0.25">
      <c r="A481" s="5">
        <v>44112</v>
      </c>
      <c r="B481">
        <v>2.4680000000000001E-2</v>
      </c>
      <c r="C481">
        <v>2.571E-2</v>
      </c>
      <c r="D481">
        <v>2.2960000000000001E-2</v>
      </c>
      <c r="E481">
        <v>2.5499999999999998E-2</v>
      </c>
      <c r="F481">
        <v>5064282.5</v>
      </c>
      <c r="G481">
        <v>0</v>
      </c>
      <c r="L481" t="s">
        <v>8</v>
      </c>
      <c r="M481" t="s">
        <v>7</v>
      </c>
      <c r="N481" t="s">
        <v>7</v>
      </c>
      <c r="P481">
        <f t="shared" si="980"/>
        <v>0.84727272727272585</v>
      </c>
      <c r="Q481">
        <f t="shared" si="981"/>
        <v>4290828.4454545379</v>
      </c>
      <c r="R481">
        <f t="shared" si="982"/>
        <v>-534929375.21121091</v>
      </c>
      <c r="S481">
        <f t="shared" si="983"/>
        <v>-5349.2937521121094</v>
      </c>
      <c r="T481">
        <f t="shared" si="984"/>
        <v>-5.3492937521121098</v>
      </c>
    </row>
    <row r="482" spans="1:20" x14ac:dyDescent="0.25">
      <c r="A482" s="5">
        <v>44111</v>
      </c>
      <c r="B482">
        <v>2.5059999999999999E-2</v>
      </c>
      <c r="C482">
        <v>2.5329999999999998E-2</v>
      </c>
      <c r="D482">
        <v>2.29E-2</v>
      </c>
      <c r="E482">
        <v>2.4660000000000001E-2</v>
      </c>
      <c r="F482">
        <v>8460093.1999999993</v>
      </c>
      <c r="G482">
        <v>0</v>
      </c>
      <c r="L482" t="s">
        <v>7</v>
      </c>
      <c r="M482" t="s">
        <v>7</v>
      </c>
      <c r="N482" t="s">
        <v>7</v>
      </c>
      <c r="P482">
        <f t="shared" si="980"/>
        <v>0.44855967078189507</v>
      </c>
      <c r="Q482">
        <f t="shared" si="981"/>
        <v>3794856.6205761489</v>
      </c>
      <c r="R482">
        <f t="shared" si="982"/>
        <v>-539220203.65666544</v>
      </c>
      <c r="S482">
        <f t="shared" si="983"/>
        <v>-5392.2020365666549</v>
      </c>
      <c r="T482">
        <f t="shared" si="984"/>
        <v>-5.3922020365666548</v>
      </c>
    </row>
    <row r="483" spans="1:20" x14ac:dyDescent="0.25">
      <c r="A483" s="5">
        <v>44110</v>
      </c>
      <c r="B483">
        <v>2.9989999999999999E-2</v>
      </c>
      <c r="C483">
        <v>3.0009999999999998E-2</v>
      </c>
      <c r="D483">
        <v>2.4500000000000001E-2</v>
      </c>
      <c r="E483">
        <v>2.5059999999999999E-2</v>
      </c>
      <c r="F483">
        <v>13306011.4</v>
      </c>
      <c r="G483">
        <v>0</v>
      </c>
      <c r="L483" t="s">
        <v>7</v>
      </c>
      <c r="M483" t="s">
        <v>7</v>
      </c>
      <c r="N483" t="s">
        <v>7</v>
      </c>
      <c r="P483">
        <f t="shared" si="980"/>
        <v>-0.79673321234119843</v>
      </c>
      <c r="Q483">
        <f t="shared" si="981"/>
        <v>-10601341.206170607</v>
      </c>
      <c r="R483">
        <f t="shared" si="982"/>
        <v>-543015060.27724159</v>
      </c>
      <c r="S483">
        <f t="shared" si="983"/>
        <v>-5430.1506027724163</v>
      </c>
      <c r="T483">
        <f t="shared" si="984"/>
        <v>-5.4301506027724162</v>
      </c>
    </row>
    <row r="484" spans="1:20" x14ac:dyDescent="0.25">
      <c r="A484" s="5">
        <v>44109</v>
      </c>
      <c r="B484">
        <v>3.0030000000000001E-2</v>
      </c>
      <c r="C484">
        <v>3.0720000000000001E-2</v>
      </c>
      <c r="D484">
        <v>2.9309999999999999E-2</v>
      </c>
      <c r="E484">
        <v>2.988E-2</v>
      </c>
      <c r="F484">
        <v>7183050.9000000004</v>
      </c>
      <c r="G484">
        <v>0</v>
      </c>
      <c r="L484" t="s">
        <v>7</v>
      </c>
      <c r="M484" t="s">
        <v>7</v>
      </c>
      <c r="N484" t="s">
        <v>7</v>
      </c>
      <c r="P484">
        <f t="shared" si="980"/>
        <v>-0.19148936170212702</v>
      </c>
      <c r="Q484">
        <f t="shared" si="981"/>
        <v>-1375477.8319148892</v>
      </c>
      <c r="R484">
        <f t="shared" si="982"/>
        <v>-532413719.07107103</v>
      </c>
      <c r="S484">
        <f t="shared" si="983"/>
        <v>-5324.1371907107105</v>
      </c>
      <c r="T484">
        <f t="shared" si="984"/>
        <v>-5.3241371907107107</v>
      </c>
    </row>
    <row r="485" spans="1:20" x14ac:dyDescent="0.25">
      <c r="A485" s="5">
        <v>44108</v>
      </c>
      <c r="B485">
        <v>3.0880000000000001E-2</v>
      </c>
      <c r="C485">
        <v>3.124E-2</v>
      </c>
      <c r="D485">
        <v>2.9430000000000001E-2</v>
      </c>
      <c r="E485">
        <v>3.006E-2</v>
      </c>
      <c r="F485">
        <v>4066370.8</v>
      </c>
      <c r="G485">
        <v>0</v>
      </c>
      <c r="L485" t="s">
        <v>7</v>
      </c>
      <c r="M485" t="s">
        <v>7</v>
      </c>
      <c r="N485" t="s">
        <v>7</v>
      </c>
      <c r="P485">
        <f t="shared" si="980"/>
        <v>-0.30386740331491829</v>
      </c>
      <c r="Q485">
        <f t="shared" si="981"/>
        <v>-1235637.5359116069</v>
      </c>
      <c r="R485">
        <f t="shared" si="982"/>
        <v>-531038241.23915613</v>
      </c>
      <c r="S485">
        <f t="shared" si="983"/>
        <v>-5310.382412391561</v>
      </c>
      <c r="T485">
        <f t="shared" si="984"/>
        <v>-5.3103824123915606</v>
      </c>
    </row>
    <row r="486" spans="1:20" x14ac:dyDescent="0.25">
      <c r="A486" s="5">
        <v>44107</v>
      </c>
      <c r="B486">
        <v>2.9899999999999999E-2</v>
      </c>
      <c r="C486">
        <v>3.1699999999999999E-2</v>
      </c>
      <c r="D486">
        <v>2.929E-2</v>
      </c>
      <c r="E486">
        <v>3.0880000000000001E-2</v>
      </c>
      <c r="F486">
        <v>20584618.300000001</v>
      </c>
      <c r="G486">
        <v>0</v>
      </c>
      <c r="L486" t="s">
        <v>7</v>
      </c>
      <c r="M486" t="s">
        <v>7</v>
      </c>
      <c r="N486" t="s">
        <v>7</v>
      </c>
      <c r="P486">
        <f t="shared" si="980"/>
        <v>0.31950207468879821</v>
      </c>
      <c r="Q486">
        <f t="shared" si="981"/>
        <v>6576828.2535270024</v>
      </c>
      <c r="R486">
        <f t="shared" si="982"/>
        <v>-529802603.70324451</v>
      </c>
      <c r="S486">
        <f t="shared" si="983"/>
        <v>-5298.0260370324449</v>
      </c>
      <c r="T486">
        <f t="shared" si="984"/>
        <v>-5.2980260370324448</v>
      </c>
    </row>
    <row r="487" spans="1:20" x14ac:dyDescent="0.25">
      <c r="A487" s="5">
        <v>44106</v>
      </c>
      <c r="B487">
        <v>3.075E-2</v>
      </c>
      <c r="C487">
        <v>3.1980000000000001E-2</v>
      </c>
      <c r="D487">
        <v>2.8469999999999999E-2</v>
      </c>
      <c r="E487">
        <v>2.997E-2</v>
      </c>
      <c r="F487">
        <v>13882857</v>
      </c>
      <c r="G487">
        <v>0</v>
      </c>
      <c r="L487" t="s">
        <v>8</v>
      </c>
      <c r="M487" t="s">
        <v>7</v>
      </c>
      <c r="N487" t="s">
        <v>7</v>
      </c>
      <c r="P487">
        <f t="shared" si="980"/>
        <v>-0.1452991452991452</v>
      </c>
      <c r="Q487">
        <f t="shared" si="981"/>
        <v>-2017167.2564102551</v>
      </c>
      <c r="R487">
        <f t="shared" si="982"/>
        <v>-536379431.95677149</v>
      </c>
      <c r="S487">
        <f t="shared" si="983"/>
        <v>-5363.7943195677153</v>
      </c>
      <c r="T487">
        <f t="shared" si="984"/>
        <v>-5.3637943195677149</v>
      </c>
    </row>
    <row r="488" spans="1:20" x14ac:dyDescent="0.25">
      <c r="A488" s="5">
        <v>44105</v>
      </c>
      <c r="B488">
        <v>3.4139999999999997E-2</v>
      </c>
      <c r="C488">
        <v>3.526E-2</v>
      </c>
      <c r="D488">
        <v>2.8139999999999998E-2</v>
      </c>
      <c r="E488">
        <v>3.0859999999999999E-2</v>
      </c>
      <c r="F488">
        <v>24057763</v>
      </c>
      <c r="G488">
        <v>0</v>
      </c>
      <c r="L488" t="s">
        <v>7</v>
      </c>
      <c r="M488" t="s">
        <v>7</v>
      </c>
      <c r="N488" t="s">
        <v>7</v>
      </c>
      <c r="P488">
        <f t="shared" si="980"/>
        <v>-0.23595505617977536</v>
      </c>
      <c r="Q488">
        <f t="shared" si="981"/>
        <v>-5676550.820224721</v>
      </c>
      <c r="R488">
        <f t="shared" si="982"/>
        <v>-534362264.70036125</v>
      </c>
      <c r="S488">
        <f t="shared" si="983"/>
        <v>-5343.6226470036127</v>
      </c>
      <c r="T488">
        <f t="shared" si="984"/>
        <v>-5.3436226470036123</v>
      </c>
    </row>
    <row r="489" spans="1:20" x14ac:dyDescent="0.25">
      <c r="A489" s="5">
        <v>44104</v>
      </c>
      <c r="B489">
        <v>3.3759999999999998E-2</v>
      </c>
      <c r="C489">
        <v>3.4500000000000003E-2</v>
      </c>
      <c r="D489">
        <v>3.236E-2</v>
      </c>
      <c r="E489">
        <v>3.4000000000000002E-2</v>
      </c>
      <c r="F489">
        <v>7291798.4000000004</v>
      </c>
      <c r="G489">
        <v>0</v>
      </c>
      <c r="L489" t="s">
        <v>7</v>
      </c>
      <c r="M489" t="s">
        <v>8</v>
      </c>
      <c r="N489" t="s">
        <v>7</v>
      </c>
      <c r="P489">
        <f t="shared" si="980"/>
        <v>0.53271028037383206</v>
      </c>
      <c r="Q489">
        <f t="shared" si="981"/>
        <v>3884415.9700934603</v>
      </c>
      <c r="R489">
        <f t="shared" si="982"/>
        <v>-528685713.88013655</v>
      </c>
      <c r="S489">
        <f t="shared" si="983"/>
        <v>-5286.8571388013652</v>
      </c>
      <c r="T489">
        <f t="shared" si="984"/>
        <v>-5.2868571388013654</v>
      </c>
    </row>
    <row r="490" spans="1:20" x14ac:dyDescent="0.25">
      <c r="A490" s="5">
        <v>44103</v>
      </c>
      <c r="B490">
        <v>3.4500000000000003E-2</v>
      </c>
      <c r="C490">
        <v>3.6170000000000001E-2</v>
      </c>
      <c r="D490">
        <v>3.2169999999999997E-2</v>
      </c>
      <c r="E490">
        <v>3.3799999999999997E-2</v>
      </c>
      <c r="F490">
        <v>9912535.3000000007</v>
      </c>
      <c r="G490">
        <v>0</v>
      </c>
      <c r="L490" t="s">
        <v>7</v>
      </c>
      <c r="M490" t="s">
        <v>8</v>
      </c>
      <c r="N490" t="s">
        <v>7</v>
      </c>
      <c r="P490">
        <f t="shared" si="980"/>
        <v>-0.18500000000000097</v>
      </c>
      <c r="Q490">
        <f t="shared" si="981"/>
        <v>-1833819.0305000097</v>
      </c>
      <c r="R490">
        <f t="shared" si="982"/>
        <v>-532570129.85023004</v>
      </c>
      <c r="S490">
        <f t="shared" si="983"/>
        <v>-5325.7012985023002</v>
      </c>
      <c r="T490">
        <f t="shared" si="984"/>
        <v>-5.3257012985023007</v>
      </c>
    </row>
    <row r="491" spans="1:20" x14ac:dyDescent="0.25">
      <c r="A491" s="5">
        <v>44102</v>
      </c>
      <c r="B491">
        <v>3.3189999999999997E-2</v>
      </c>
      <c r="C491">
        <v>3.7170000000000002E-2</v>
      </c>
      <c r="D491">
        <v>3.3189999999999997E-2</v>
      </c>
      <c r="E491">
        <v>3.456E-2</v>
      </c>
      <c r="F491">
        <v>17930887.899999999</v>
      </c>
      <c r="G491">
        <v>0</v>
      </c>
      <c r="L491" t="s">
        <v>8</v>
      </c>
      <c r="M491" t="s">
        <v>8</v>
      </c>
      <c r="N491" t="s">
        <v>7</v>
      </c>
      <c r="P491">
        <f t="shared" si="980"/>
        <v>-0.3115577889447228</v>
      </c>
      <c r="Q491">
        <f t="shared" si="981"/>
        <v>-5586507.7879396835</v>
      </c>
      <c r="R491">
        <f t="shared" si="982"/>
        <v>-530736310.81973004</v>
      </c>
      <c r="S491">
        <f t="shared" si="983"/>
        <v>-5307.3631081973008</v>
      </c>
      <c r="T491">
        <f t="shared" si="984"/>
        <v>-5.3073631081973005</v>
      </c>
    </row>
    <row r="492" spans="1:20" x14ac:dyDescent="0.25">
      <c r="A492" s="5">
        <v>44101</v>
      </c>
      <c r="B492">
        <v>3.3730000000000003E-2</v>
      </c>
      <c r="C492">
        <v>3.4259999999999999E-2</v>
      </c>
      <c r="D492">
        <v>3.1859999999999999E-2</v>
      </c>
      <c r="E492">
        <v>3.3230000000000003E-2</v>
      </c>
      <c r="F492">
        <v>9988296.9000000004</v>
      </c>
      <c r="G492">
        <v>0</v>
      </c>
      <c r="L492" t="s">
        <v>7</v>
      </c>
      <c r="M492" t="s">
        <v>8</v>
      </c>
      <c r="N492" t="s">
        <v>7</v>
      </c>
      <c r="P492">
        <f t="shared" si="980"/>
        <v>0.14166666666666961</v>
      </c>
      <c r="Q492">
        <f t="shared" si="981"/>
        <v>1415008.7275000294</v>
      </c>
      <c r="R492">
        <f t="shared" si="982"/>
        <v>-525149803.03179038</v>
      </c>
      <c r="S492">
        <f t="shared" si="983"/>
        <v>-5251.4980303179036</v>
      </c>
      <c r="T492">
        <f t="shared" si="984"/>
        <v>-5.2514980303179035</v>
      </c>
    </row>
    <row r="493" spans="1:20" x14ac:dyDescent="0.25">
      <c r="A493" s="5">
        <v>44100</v>
      </c>
      <c r="B493">
        <v>3.3910000000000003E-2</v>
      </c>
      <c r="C493">
        <v>3.6089999999999997E-2</v>
      </c>
      <c r="D493">
        <v>3.3309999999999999E-2</v>
      </c>
      <c r="E493">
        <v>3.3750000000000002E-2</v>
      </c>
      <c r="F493">
        <v>17930708.699999999</v>
      </c>
      <c r="G493">
        <v>0</v>
      </c>
      <c r="L493" t="s">
        <v>8</v>
      </c>
      <c r="M493" t="s">
        <v>8</v>
      </c>
      <c r="N493" t="s">
        <v>7</v>
      </c>
      <c r="P493">
        <f t="shared" si="980"/>
        <v>-0.68345323741006958</v>
      </c>
      <c r="Q493">
        <f t="shared" si="981"/>
        <v>-12254800.9100719</v>
      </c>
      <c r="R493">
        <f t="shared" si="982"/>
        <v>-526564811.7592904</v>
      </c>
      <c r="S493">
        <f t="shared" si="983"/>
        <v>-5265.6481175929039</v>
      </c>
      <c r="T493">
        <f t="shared" si="984"/>
        <v>-5.265648117592904</v>
      </c>
    </row>
    <row r="494" spans="1:20" x14ac:dyDescent="0.25">
      <c r="A494" s="5">
        <v>44099</v>
      </c>
      <c r="B494">
        <v>3.2840000000000001E-2</v>
      </c>
      <c r="C494">
        <v>3.4590000000000003E-2</v>
      </c>
      <c r="D494">
        <v>3.1140000000000001E-2</v>
      </c>
      <c r="E494">
        <v>3.3910000000000003E-2</v>
      </c>
      <c r="F494">
        <v>17181553.600000001</v>
      </c>
      <c r="G494">
        <v>0</v>
      </c>
      <c r="L494" t="s">
        <v>8</v>
      </c>
      <c r="M494" t="s">
        <v>8</v>
      </c>
      <c r="N494" t="s">
        <v>7</v>
      </c>
      <c r="P494">
        <f t="shared" si="980"/>
        <v>0.60579710144927557</v>
      </c>
      <c r="Q494">
        <f t="shared" si="981"/>
        <v>10408535.369275367</v>
      </c>
      <c r="R494">
        <f t="shared" si="982"/>
        <v>-514310010.84921849</v>
      </c>
      <c r="S494">
        <f t="shared" si="983"/>
        <v>-5143.1001084921845</v>
      </c>
      <c r="T494">
        <f t="shared" si="984"/>
        <v>-5.1431001084921846</v>
      </c>
    </row>
    <row r="495" spans="1:20" x14ac:dyDescent="0.25">
      <c r="A495" s="5">
        <v>44098</v>
      </c>
      <c r="B495">
        <v>2.9190000000000001E-2</v>
      </c>
      <c r="C495">
        <v>3.4049999999999997E-2</v>
      </c>
      <c r="D495">
        <v>2.862E-2</v>
      </c>
      <c r="E495">
        <v>3.286E-2</v>
      </c>
      <c r="F495">
        <v>12144190.800000001</v>
      </c>
      <c r="G495">
        <v>0</v>
      </c>
      <c r="L495" t="s">
        <v>8</v>
      </c>
      <c r="M495" t="s">
        <v>7</v>
      </c>
      <c r="N495" t="s">
        <v>7</v>
      </c>
      <c r="P495">
        <f t="shared" si="980"/>
        <v>0.56169429097605994</v>
      </c>
      <c r="Q495">
        <f t="shared" si="981"/>
        <v>6821322.6408839906</v>
      </c>
      <c r="R495">
        <f t="shared" si="982"/>
        <v>-524718546.21849388</v>
      </c>
      <c r="S495">
        <f t="shared" si="983"/>
        <v>-5247.1854621849388</v>
      </c>
      <c r="T495">
        <f t="shared" si="984"/>
        <v>-5.2471854621849392</v>
      </c>
    </row>
    <row r="496" spans="1:20" x14ac:dyDescent="0.25">
      <c r="A496" s="5">
        <v>44097</v>
      </c>
      <c r="B496">
        <v>3.2039999999999999E-2</v>
      </c>
      <c r="C496">
        <v>3.2960000000000003E-2</v>
      </c>
      <c r="D496">
        <v>2.8590000000000001E-2</v>
      </c>
      <c r="E496">
        <v>2.904E-2</v>
      </c>
      <c r="F496">
        <v>10450256.300000001</v>
      </c>
      <c r="G496">
        <v>0</v>
      </c>
      <c r="L496" t="s">
        <v>7</v>
      </c>
      <c r="M496" t="s">
        <v>7</v>
      </c>
      <c r="N496" t="s">
        <v>7</v>
      </c>
      <c r="P496">
        <f t="shared" si="980"/>
        <v>-0.79405034324942847</v>
      </c>
      <c r="Q496">
        <f t="shared" si="981"/>
        <v>-8298029.6020595031</v>
      </c>
      <c r="R496">
        <f t="shared" si="982"/>
        <v>-531539868.85937786</v>
      </c>
      <c r="S496">
        <f t="shared" si="983"/>
        <v>-5315.3986885937784</v>
      </c>
      <c r="T496">
        <f t="shared" si="984"/>
        <v>-5.3153986885937785</v>
      </c>
    </row>
    <row r="497" spans="1:20" x14ac:dyDescent="0.25">
      <c r="A497" s="5">
        <v>44096</v>
      </c>
      <c r="B497">
        <v>3.2219999999999999E-2</v>
      </c>
      <c r="C497">
        <v>3.3410000000000002E-2</v>
      </c>
      <c r="D497">
        <v>3.0679999999999999E-2</v>
      </c>
      <c r="E497">
        <v>3.2030000000000003E-2</v>
      </c>
      <c r="F497">
        <v>8543060.5999999996</v>
      </c>
      <c r="G497">
        <v>0</v>
      </c>
      <c r="L497" t="s">
        <v>8</v>
      </c>
      <c r="M497" t="s">
        <v>7</v>
      </c>
      <c r="N497" t="s">
        <v>7</v>
      </c>
      <c r="P497">
        <f t="shared" si="980"/>
        <v>-1.0989010989009257E-2</v>
      </c>
      <c r="Q497">
        <f t="shared" si="981"/>
        <v>-93879.786813172017</v>
      </c>
      <c r="R497">
        <f t="shared" si="982"/>
        <v>-523241839.25731838</v>
      </c>
      <c r="S497">
        <f t="shared" si="983"/>
        <v>-5232.4183925731841</v>
      </c>
      <c r="T497">
        <f t="shared" si="984"/>
        <v>-5.2324183925731838</v>
      </c>
    </row>
    <row r="498" spans="1:20" x14ac:dyDescent="0.25">
      <c r="A498" s="5">
        <v>44095</v>
      </c>
      <c r="B498">
        <v>3.7100000000000001E-2</v>
      </c>
      <c r="C498">
        <v>3.7949999999999998E-2</v>
      </c>
      <c r="D498">
        <v>3.0640000000000001E-2</v>
      </c>
      <c r="E498">
        <v>3.2230000000000002E-2</v>
      </c>
      <c r="F498">
        <v>19655238</v>
      </c>
      <c r="G498">
        <v>0</v>
      </c>
      <c r="L498" t="s">
        <v>7</v>
      </c>
      <c r="M498" t="s">
        <v>7</v>
      </c>
      <c r="N498" t="s">
        <v>7</v>
      </c>
      <c r="P498">
        <f t="shared" si="980"/>
        <v>-0.56497948016415822</v>
      </c>
      <c r="Q498">
        <f t="shared" si="981"/>
        <v>-11104806.14774281</v>
      </c>
      <c r="R498">
        <f t="shared" si="982"/>
        <v>-523147959.47050518</v>
      </c>
      <c r="S498">
        <f t="shared" si="983"/>
        <v>-5231.4795947050516</v>
      </c>
      <c r="T498">
        <f t="shared" si="984"/>
        <v>-5.2314795947050516</v>
      </c>
    </row>
    <row r="499" spans="1:20" x14ac:dyDescent="0.25">
      <c r="A499" s="5">
        <v>44094</v>
      </c>
      <c r="B499">
        <v>3.8920000000000003E-2</v>
      </c>
      <c r="C499">
        <v>3.9690000000000003E-2</v>
      </c>
      <c r="D499">
        <v>3.6089999999999997E-2</v>
      </c>
      <c r="E499">
        <v>3.7269999999999998E-2</v>
      </c>
      <c r="F499">
        <v>8894154</v>
      </c>
      <c r="G499">
        <v>0</v>
      </c>
      <c r="L499" t="s">
        <v>7</v>
      </c>
      <c r="M499" t="s">
        <v>7</v>
      </c>
      <c r="N499" t="s">
        <v>7</v>
      </c>
      <c r="P499">
        <f t="shared" si="980"/>
        <v>-0.34444444444444527</v>
      </c>
      <c r="Q499">
        <f t="shared" si="981"/>
        <v>-3063541.9333333406</v>
      </c>
      <c r="R499">
        <f t="shared" si="982"/>
        <v>-512043153.32276237</v>
      </c>
      <c r="S499">
        <f t="shared" si="983"/>
        <v>-5120.4315332276237</v>
      </c>
      <c r="T499">
        <f t="shared" si="984"/>
        <v>-5.1204315332276238</v>
      </c>
    </row>
    <row r="500" spans="1:20" x14ac:dyDescent="0.25">
      <c r="A500" s="5">
        <v>44093</v>
      </c>
      <c r="B500">
        <v>3.8010000000000002E-2</v>
      </c>
      <c r="C500">
        <v>3.9640000000000002E-2</v>
      </c>
      <c r="D500">
        <v>3.755E-2</v>
      </c>
      <c r="E500">
        <v>3.8699999999999998E-2</v>
      </c>
      <c r="F500">
        <v>8865184.3000000007</v>
      </c>
      <c r="G500">
        <v>0</v>
      </c>
      <c r="L500" t="s">
        <v>7</v>
      </c>
      <c r="M500" t="s">
        <v>7</v>
      </c>
      <c r="N500" t="s">
        <v>7</v>
      </c>
      <c r="P500">
        <f t="shared" si="980"/>
        <v>0.10047846889951902</v>
      </c>
      <c r="Q500">
        <f t="shared" si="981"/>
        <v>890760.14497605432</v>
      </c>
      <c r="R500">
        <f t="shared" si="982"/>
        <v>-508979611.38942903</v>
      </c>
      <c r="S500">
        <f t="shared" si="983"/>
        <v>-5089.7961138942901</v>
      </c>
      <c r="T500">
        <f t="shared" si="984"/>
        <v>-5.0897961138942902</v>
      </c>
    </row>
    <row r="501" spans="1:20" x14ac:dyDescent="0.25">
      <c r="A501" s="5">
        <v>44092</v>
      </c>
      <c r="B501">
        <v>3.9649999999999998E-2</v>
      </c>
      <c r="C501">
        <v>4.1099999999999998E-2</v>
      </c>
      <c r="D501">
        <v>3.737E-2</v>
      </c>
      <c r="E501">
        <v>3.8010000000000002E-2</v>
      </c>
      <c r="F501">
        <v>15473452.199999999</v>
      </c>
      <c r="G501">
        <v>0</v>
      </c>
      <c r="L501" t="s">
        <v>7</v>
      </c>
      <c r="M501" t="s">
        <v>7</v>
      </c>
      <c r="N501" t="s">
        <v>7</v>
      </c>
      <c r="P501">
        <f t="shared" si="980"/>
        <v>-0.65683646112600425</v>
      </c>
      <c r="Q501">
        <f t="shared" si="981"/>
        <v>-10163527.584450385</v>
      </c>
      <c r="R501">
        <f t="shared" si="982"/>
        <v>-509870371.53440511</v>
      </c>
      <c r="S501">
        <f t="shared" si="983"/>
        <v>-5098.7037153440515</v>
      </c>
      <c r="T501">
        <f t="shared" si="984"/>
        <v>-5.0987037153440511</v>
      </c>
    </row>
    <row r="502" spans="1:20" x14ac:dyDescent="0.25">
      <c r="A502" s="5">
        <v>44091</v>
      </c>
      <c r="B502">
        <v>4.0099999999999997E-2</v>
      </c>
      <c r="C502">
        <v>4.1869999999999997E-2</v>
      </c>
      <c r="D502">
        <v>3.8210000000000001E-2</v>
      </c>
      <c r="E502">
        <v>3.9649999999999998E-2</v>
      </c>
      <c r="F502">
        <v>12079888.300000001</v>
      </c>
      <c r="G502">
        <v>0</v>
      </c>
      <c r="L502" t="s">
        <v>8</v>
      </c>
      <c r="M502" t="s">
        <v>7</v>
      </c>
      <c r="N502" t="s">
        <v>7</v>
      </c>
      <c r="P502">
        <f t="shared" si="980"/>
        <v>-0.21311475409836164</v>
      </c>
      <c r="Q502">
        <f t="shared" si="981"/>
        <v>-2574402.424590176</v>
      </c>
      <c r="R502">
        <f t="shared" si="982"/>
        <v>-499706843.94995475</v>
      </c>
      <c r="S502">
        <f t="shared" si="983"/>
        <v>-4997.0684394995478</v>
      </c>
      <c r="T502">
        <f t="shared" si="984"/>
        <v>-4.9970684394995475</v>
      </c>
    </row>
    <row r="503" spans="1:20" x14ac:dyDescent="0.25">
      <c r="A503" s="5">
        <v>44090</v>
      </c>
      <c r="B503">
        <v>4.079E-2</v>
      </c>
      <c r="C503">
        <v>4.0849999999999997E-2</v>
      </c>
      <c r="D503">
        <v>3.771E-2</v>
      </c>
      <c r="E503">
        <v>4.0149999999999998E-2</v>
      </c>
      <c r="F503">
        <v>11859771.5</v>
      </c>
      <c r="G503">
        <v>0</v>
      </c>
      <c r="L503" t="s">
        <v>7</v>
      </c>
      <c r="M503" t="s">
        <v>7</v>
      </c>
      <c r="N503" t="s">
        <v>7</v>
      </c>
      <c r="P503">
        <f t="shared" si="980"/>
        <v>0.55414012738853513</v>
      </c>
      <c r="Q503">
        <f t="shared" si="981"/>
        <v>6571975.2898089187</v>
      </c>
      <c r="R503">
        <f t="shared" si="982"/>
        <v>-497132441.52536458</v>
      </c>
      <c r="S503">
        <f t="shared" si="983"/>
        <v>-4971.3244152536454</v>
      </c>
      <c r="T503">
        <f t="shared" si="984"/>
        <v>-4.9713244152536458</v>
      </c>
    </row>
    <row r="504" spans="1:20" x14ac:dyDescent="0.25">
      <c r="A504" s="5">
        <v>44089</v>
      </c>
      <c r="B504">
        <v>4.4979999999999999E-2</v>
      </c>
      <c r="C504">
        <v>4.5600000000000002E-2</v>
      </c>
      <c r="D504">
        <v>4.079E-2</v>
      </c>
      <c r="E504">
        <v>4.0989999999999999E-2</v>
      </c>
      <c r="F504">
        <v>17044456.199999999</v>
      </c>
      <c r="G504">
        <v>0</v>
      </c>
      <c r="L504" t="s">
        <v>7</v>
      </c>
      <c r="M504" t="s">
        <v>7</v>
      </c>
      <c r="N504" t="s">
        <v>7</v>
      </c>
      <c r="P504">
        <f t="shared" si="980"/>
        <v>-0.91683991683991739</v>
      </c>
      <c r="Q504">
        <f t="shared" si="981"/>
        <v>-15627037.804989614</v>
      </c>
      <c r="R504">
        <f t="shared" si="982"/>
        <v>-503704416.81517351</v>
      </c>
      <c r="S504">
        <f t="shared" si="983"/>
        <v>-5037.044168151735</v>
      </c>
      <c r="T504">
        <f t="shared" si="984"/>
        <v>-5.0370441681517351</v>
      </c>
    </row>
    <row r="505" spans="1:20" x14ac:dyDescent="0.25">
      <c r="A505" s="5">
        <v>44088</v>
      </c>
      <c r="B505">
        <v>4.5440000000000001E-2</v>
      </c>
      <c r="C505">
        <v>4.6219999999999997E-2</v>
      </c>
      <c r="D505">
        <v>4.3529999999999999E-2</v>
      </c>
      <c r="E505">
        <v>4.4909999999999999E-2</v>
      </c>
      <c r="F505">
        <v>19253746</v>
      </c>
      <c r="G505">
        <v>0</v>
      </c>
      <c r="L505" t="s">
        <v>7</v>
      </c>
      <c r="M505" t="s">
        <v>7</v>
      </c>
      <c r="N505" t="s">
        <v>8</v>
      </c>
      <c r="P505">
        <f t="shared" si="980"/>
        <v>2.6022304832714005E-2</v>
      </c>
      <c r="Q505">
        <f t="shared" si="981"/>
        <v>501026.84758364793</v>
      </c>
      <c r="R505">
        <f t="shared" si="982"/>
        <v>-488077379.01018387</v>
      </c>
      <c r="S505">
        <f t="shared" si="983"/>
        <v>-4880.773790101839</v>
      </c>
      <c r="T505">
        <f t="shared" si="984"/>
        <v>-4.8807737901018386</v>
      </c>
    </row>
    <row r="506" spans="1:20" x14ac:dyDescent="0.25">
      <c r="A506" s="5">
        <v>44087</v>
      </c>
      <c r="B506">
        <v>4.9250000000000002E-2</v>
      </c>
      <c r="C506">
        <v>4.9959999999999997E-2</v>
      </c>
      <c r="D506">
        <v>4.3459999999999999E-2</v>
      </c>
      <c r="E506">
        <v>4.5370000000000001E-2</v>
      </c>
      <c r="F506">
        <v>27437946.300000001</v>
      </c>
      <c r="G506">
        <v>0</v>
      </c>
      <c r="L506" t="s">
        <v>7</v>
      </c>
      <c r="M506" t="s">
        <v>7</v>
      </c>
      <c r="N506" t="s">
        <v>8</v>
      </c>
      <c r="P506">
        <f t="shared" si="980"/>
        <v>-0.4123076923076916</v>
      </c>
      <c r="Q506">
        <f t="shared" si="981"/>
        <v>-11312876.320615366</v>
      </c>
      <c r="R506">
        <f t="shared" si="982"/>
        <v>-488578405.85776752</v>
      </c>
      <c r="S506">
        <f t="shared" si="983"/>
        <v>-4885.7840585776748</v>
      </c>
      <c r="T506">
        <f t="shared" si="984"/>
        <v>-4.8857840585776753</v>
      </c>
    </row>
    <row r="507" spans="1:20" x14ac:dyDescent="0.25">
      <c r="A507" s="5">
        <v>44086</v>
      </c>
      <c r="B507">
        <v>4.9959999999999997E-2</v>
      </c>
      <c r="C507">
        <v>5.4399999999999997E-2</v>
      </c>
      <c r="D507">
        <v>4.9070000000000003E-2</v>
      </c>
      <c r="E507">
        <v>4.9250000000000002E-2</v>
      </c>
      <c r="F507">
        <v>19402077.100000001</v>
      </c>
      <c r="G507">
        <v>0</v>
      </c>
      <c r="L507" t="s">
        <v>8</v>
      </c>
      <c r="M507" t="s">
        <v>8</v>
      </c>
      <c r="N507" t="s">
        <v>8</v>
      </c>
      <c r="P507">
        <f t="shared" si="980"/>
        <v>-0.9324577861163228</v>
      </c>
      <c r="Q507">
        <f t="shared" si="981"/>
        <v>-18091617.858724207</v>
      </c>
      <c r="R507">
        <f t="shared" si="982"/>
        <v>-477265529.53715217</v>
      </c>
      <c r="S507">
        <f t="shared" si="983"/>
        <v>-4772.6552953715218</v>
      </c>
      <c r="T507">
        <f t="shared" si="984"/>
        <v>-4.7726552953715222</v>
      </c>
    </row>
    <row r="508" spans="1:20" x14ac:dyDescent="0.25">
      <c r="A508" s="5">
        <v>44085</v>
      </c>
      <c r="B508">
        <v>5.0540000000000002E-2</v>
      </c>
      <c r="C508">
        <v>5.0930000000000003E-2</v>
      </c>
      <c r="D508">
        <v>4.7640000000000002E-2</v>
      </c>
      <c r="E508">
        <v>4.9959999999999997E-2</v>
      </c>
      <c r="F508">
        <v>6404758.2000000002</v>
      </c>
      <c r="G508">
        <v>0</v>
      </c>
      <c r="L508" t="s">
        <v>7</v>
      </c>
      <c r="M508" t="s">
        <v>7</v>
      </c>
      <c r="N508" t="s">
        <v>8</v>
      </c>
      <c r="P508">
        <f t="shared" si="980"/>
        <v>0.41033434650455608</v>
      </c>
      <c r="Q508">
        <f t="shared" si="981"/>
        <v>2628092.2705166969</v>
      </c>
      <c r="R508">
        <f t="shared" si="982"/>
        <v>-459173911.67842793</v>
      </c>
      <c r="S508">
        <f t="shared" si="983"/>
        <v>-4591.7391167842798</v>
      </c>
      <c r="T508">
        <f t="shared" si="984"/>
        <v>-4.5917391167842796</v>
      </c>
    </row>
    <row r="509" spans="1:20" x14ac:dyDescent="0.25">
      <c r="A509" s="5">
        <v>44084</v>
      </c>
      <c r="B509">
        <v>4.8809999999999999E-2</v>
      </c>
      <c r="C509">
        <v>5.2639999999999999E-2</v>
      </c>
      <c r="D509">
        <v>4.8520000000000001E-2</v>
      </c>
      <c r="E509">
        <v>5.0470000000000001E-2</v>
      </c>
      <c r="F509">
        <v>17825400.800000001</v>
      </c>
      <c r="G509">
        <v>0</v>
      </c>
      <c r="L509" t="s">
        <v>8</v>
      </c>
      <c r="M509" t="s">
        <v>7</v>
      </c>
      <c r="N509" t="s">
        <v>8</v>
      </c>
      <c r="P509">
        <f t="shared" si="980"/>
        <v>-5.339805825242671E-2</v>
      </c>
      <c r="Q509">
        <f t="shared" si="981"/>
        <v>-951841.79029125371</v>
      </c>
      <c r="R509">
        <f t="shared" si="982"/>
        <v>-461802003.94894463</v>
      </c>
      <c r="S509">
        <f t="shared" si="983"/>
        <v>-4618.0200394894464</v>
      </c>
      <c r="T509">
        <f t="shared" si="984"/>
        <v>-4.6180200394894459</v>
      </c>
    </row>
    <row r="510" spans="1:20" x14ac:dyDescent="0.25">
      <c r="A510" s="5">
        <v>44083</v>
      </c>
      <c r="B510">
        <v>4.8980000000000003E-2</v>
      </c>
      <c r="C510">
        <v>5.0689999999999999E-2</v>
      </c>
      <c r="D510">
        <v>4.5429999999999998E-2</v>
      </c>
      <c r="E510">
        <v>4.8750000000000002E-2</v>
      </c>
      <c r="F510">
        <v>21605095.399999999</v>
      </c>
      <c r="G510">
        <v>0</v>
      </c>
      <c r="L510" t="s">
        <v>7</v>
      </c>
      <c r="M510" t="s">
        <v>7</v>
      </c>
      <c r="N510" t="s">
        <v>8</v>
      </c>
      <c r="P510">
        <f t="shared" si="980"/>
        <v>0.26235741444867033</v>
      </c>
      <c r="Q510">
        <f t="shared" si="981"/>
        <v>5668256.9680608604</v>
      </c>
      <c r="R510">
        <f t="shared" si="982"/>
        <v>-460850162.15865338</v>
      </c>
      <c r="S510">
        <f t="shared" si="983"/>
        <v>-4608.5016215865335</v>
      </c>
      <c r="T510">
        <f t="shared" si="984"/>
        <v>-4.6085016215865338</v>
      </c>
    </row>
    <row r="511" spans="1:20" x14ac:dyDescent="0.25">
      <c r="A511" s="5">
        <v>44082</v>
      </c>
      <c r="B511">
        <v>4.9970000000000001E-2</v>
      </c>
      <c r="C511">
        <v>5.1270000000000003E-2</v>
      </c>
      <c r="D511">
        <v>4.6050000000000001E-2</v>
      </c>
      <c r="E511">
        <v>4.8800000000000003E-2</v>
      </c>
      <c r="F511">
        <v>33900328.799999997</v>
      </c>
      <c r="G511">
        <v>0</v>
      </c>
      <c r="L511" t="s">
        <v>7</v>
      </c>
      <c r="M511" t="s">
        <v>7</v>
      </c>
      <c r="N511" t="s">
        <v>8</v>
      </c>
      <c r="P511">
        <f t="shared" si="980"/>
        <v>5.3639846743295465E-2</v>
      </c>
      <c r="Q511">
        <f t="shared" si="981"/>
        <v>1818408.4413793252</v>
      </c>
      <c r="R511">
        <f t="shared" si="982"/>
        <v>-466518419.12671423</v>
      </c>
      <c r="S511">
        <f t="shared" si="983"/>
        <v>-4665.1841912671425</v>
      </c>
      <c r="T511">
        <f t="shared" si="984"/>
        <v>-4.6651841912671426</v>
      </c>
    </row>
    <row r="512" spans="1:20" x14ac:dyDescent="0.25">
      <c r="A512" s="5">
        <v>44081</v>
      </c>
      <c r="B512">
        <v>4.9209999999999997E-2</v>
      </c>
      <c r="C512">
        <v>5.8959999999999999E-2</v>
      </c>
      <c r="D512">
        <v>4.8000000000000001E-2</v>
      </c>
      <c r="E512">
        <v>4.999E-2</v>
      </c>
      <c r="F512">
        <v>122873282.3</v>
      </c>
      <c r="G512">
        <v>0</v>
      </c>
      <c r="L512" t="s">
        <v>8</v>
      </c>
      <c r="M512" t="s">
        <v>8</v>
      </c>
      <c r="N512" t="s">
        <v>8</v>
      </c>
      <c r="P512">
        <f t="shared" si="980"/>
        <v>-0.63686131386861333</v>
      </c>
      <c r="Q512">
        <f t="shared" si="981"/>
        <v>-78253240.004927024</v>
      </c>
      <c r="R512">
        <f t="shared" si="982"/>
        <v>-468336827.56809354</v>
      </c>
      <c r="S512">
        <f t="shared" si="983"/>
        <v>-4683.3682756809358</v>
      </c>
      <c r="T512">
        <f t="shared" si="984"/>
        <v>-4.6833682756809356</v>
      </c>
    </row>
    <row r="513" spans="1:20" x14ac:dyDescent="0.25">
      <c r="A513" s="5">
        <v>44080</v>
      </c>
      <c r="B513">
        <v>3.9309999999999998E-2</v>
      </c>
      <c r="C513">
        <v>5.0349999999999999E-2</v>
      </c>
      <c r="D513">
        <v>3.7060000000000003E-2</v>
      </c>
      <c r="E513">
        <v>4.9189999999999998E-2</v>
      </c>
      <c r="F513">
        <v>34142548.799999997</v>
      </c>
      <c r="G513">
        <v>0</v>
      </c>
      <c r="L513" t="s">
        <v>8</v>
      </c>
      <c r="M513" t="s">
        <v>8</v>
      </c>
      <c r="N513" t="s">
        <v>8</v>
      </c>
      <c r="P513">
        <f t="shared" si="980"/>
        <v>0.82543265613243011</v>
      </c>
      <c r="Q513">
        <f t="shared" si="981"/>
        <v>28182374.743115112</v>
      </c>
      <c r="R513">
        <f t="shared" si="982"/>
        <v>-390083587.5631665</v>
      </c>
      <c r="S513">
        <f t="shared" si="983"/>
        <v>-3900.8358756316652</v>
      </c>
      <c r="T513">
        <f t="shared" si="984"/>
        <v>-3.9008358756316652</v>
      </c>
    </row>
    <row r="514" spans="1:20" x14ac:dyDescent="0.25">
      <c r="A514" s="5">
        <v>44079</v>
      </c>
      <c r="B514">
        <v>4.8669999999999998E-2</v>
      </c>
      <c r="C514">
        <v>4.9669999999999999E-2</v>
      </c>
      <c r="D514">
        <v>3.5009999999999999E-2</v>
      </c>
      <c r="E514">
        <v>3.9280000000000002E-2</v>
      </c>
      <c r="F514">
        <v>25697917.5</v>
      </c>
      <c r="G514">
        <v>0</v>
      </c>
      <c r="L514" t="s">
        <v>7</v>
      </c>
      <c r="M514" t="s">
        <v>7</v>
      </c>
      <c r="N514" t="s">
        <v>7</v>
      </c>
      <c r="P514">
        <f t="shared" si="980"/>
        <v>-0.41746248294679356</v>
      </c>
      <c r="Q514">
        <f t="shared" si="981"/>
        <v>-10727916.446111858</v>
      </c>
      <c r="R514">
        <f t="shared" si="982"/>
        <v>-418265962.30628163</v>
      </c>
      <c r="S514">
        <f t="shared" si="983"/>
        <v>-4182.6596230628165</v>
      </c>
      <c r="T514">
        <f t="shared" si="984"/>
        <v>-4.1826596230628166</v>
      </c>
    </row>
    <row r="515" spans="1:20" x14ac:dyDescent="0.25">
      <c r="A515" s="5">
        <v>44078</v>
      </c>
      <c r="B515">
        <v>4.4819999999999999E-2</v>
      </c>
      <c r="C515">
        <v>5.1529999999999999E-2</v>
      </c>
      <c r="D515">
        <v>4.0989999999999999E-2</v>
      </c>
      <c r="E515">
        <v>4.8489999999999998E-2</v>
      </c>
      <c r="F515">
        <v>42710977.600000001</v>
      </c>
      <c r="G515">
        <v>0</v>
      </c>
      <c r="L515" t="s">
        <v>7</v>
      </c>
      <c r="M515" t="s">
        <v>7</v>
      </c>
      <c r="N515" t="s">
        <v>7</v>
      </c>
      <c r="P515">
        <f t="shared" si="980"/>
        <v>0.4231499051233395</v>
      </c>
      <c r="Q515">
        <f t="shared" si="981"/>
        <v>18073146.119165078</v>
      </c>
      <c r="R515">
        <f t="shared" si="982"/>
        <v>-407538045.86016977</v>
      </c>
      <c r="S515">
        <f t="shared" si="983"/>
        <v>-4075.3804586016977</v>
      </c>
      <c r="T515">
        <f t="shared" si="984"/>
        <v>-4.075380458601698</v>
      </c>
    </row>
    <row r="516" spans="1:20" x14ac:dyDescent="0.25">
      <c r="A516" s="5">
        <v>44077</v>
      </c>
      <c r="B516">
        <v>5.9990000000000002E-2</v>
      </c>
      <c r="C516">
        <v>6.0949999999999997E-2</v>
      </c>
      <c r="D516">
        <v>4.3779999999999999E-2</v>
      </c>
      <c r="E516">
        <v>4.4639999999999999E-2</v>
      </c>
      <c r="F516">
        <v>35202631.100000001</v>
      </c>
      <c r="G516">
        <v>0</v>
      </c>
      <c r="L516" t="s">
        <v>7</v>
      </c>
      <c r="M516" t="s">
        <v>7</v>
      </c>
      <c r="N516" t="s">
        <v>7</v>
      </c>
      <c r="P516">
        <f t="shared" si="980"/>
        <v>-0.89982527664531164</v>
      </c>
      <c r="Q516">
        <f t="shared" si="981"/>
        <v>-31676217.268200353</v>
      </c>
      <c r="R516">
        <f t="shared" si="982"/>
        <v>-425611191.97933483</v>
      </c>
      <c r="S516">
        <f t="shared" si="983"/>
        <v>-4256.1119197933485</v>
      </c>
      <c r="T516">
        <f t="shared" si="984"/>
        <v>-4.2561119197933488</v>
      </c>
    </row>
    <row r="517" spans="1:20" x14ac:dyDescent="0.25">
      <c r="A517" s="5">
        <v>44076</v>
      </c>
      <c r="B517">
        <v>6.1159999999999999E-2</v>
      </c>
      <c r="C517">
        <v>6.1890000000000001E-2</v>
      </c>
      <c r="D517">
        <v>5.6070000000000002E-2</v>
      </c>
      <c r="E517">
        <v>5.9889999999999999E-2</v>
      </c>
      <c r="F517">
        <v>20644846.899999999</v>
      </c>
      <c r="G517">
        <v>0</v>
      </c>
      <c r="L517" t="s">
        <v>7</v>
      </c>
      <c r="M517" t="s">
        <v>7</v>
      </c>
      <c r="N517" t="s">
        <v>7</v>
      </c>
      <c r="P517">
        <f t="shared" si="980"/>
        <v>0.31271477663230163</v>
      </c>
      <c r="Q517">
        <f t="shared" si="981"/>
        <v>6455948.6869415641</v>
      </c>
      <c r="R517">
        <f t="shared" si="982"/>
        <v>-393934974.71113449</v>
      </c>
      <c r="S517">
        <f t="shared" si="983"/>
        <v>-3939.3497471113451</v>
      </c>
      <c r="T517">
        <f t="shared" si="984"/>
        <v>-3.9393497471113452</v>
      </c>
    </row>
    <row r="518" spans="1:20" x14ac:dyDescent="0.25">
      <c r="A518" s="5">
        <v>44075</v>
      </c>
      <c r="B518">
        <v>6.4769999999999994E-2</v>
      </c>
      <c r="C518">
        <v>6.4769999999999994E-2</v>
      </c>
      <c r="D518">
        <v>6.0389999999999999E-2</v>
      </c>
      <c r="E518">
        <v>6.1379999999999997E-2</v>
      </c>
      <c r="F518">
        <v>24609844.600000001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5">IF(C518=D518,0,((E518-D518)-(C518-E518))/(C518-D518))</f>
        <v>-0.54794520547945258</v>
      </c>
      <c r="Q518">
        <f t="shared" ref="Q518:Q581" si="986">F518*P518</f>
        <v>-13484846.356164398</v>
      </c>
      <c r="R518">
        <f t="shared" ref="R518:R581" si="987">R519+Q518</f>
        <v>-400390923.39807606</v>
      </c>
      <c r="S518">
        <f t="shared" ref="S518:S581" si="988">R518/100000</f>
        <v>-4003.9092339807607</v>
      </c>
      <c r="T518">
        <f t="shared" ref="T518:T581" si="989">S518/1000</f>
        <v>-4.0039092339807612</v>
      </c>
    </row>
    <row r="519" spans="1:20" x14ac:dyDescent="0.25">
      <c r="A519" s="5">
        <v>44074</v>
      </c>
      <c r="B519">
        <v>6.6369999999999998E-2</v>
      </c>
      <c r="C519">
        <v>6.7250000000000004E-2</v>
      </c>
      <c r="D519">
        <v>6.3020000000000007E-2</v>
      </c>
      <c r="E519">
        <v>6.479E-2</v>
      </c>
      <c r="F519">
        <v>17286325.399999999</v>
      </c>
      <c r="G519">
        <v>0</v>
      </c>
      <c r="L519" t="s">
        <v>7</v>
      </c>
      <c r="M519" t="s">
        <v>8</v>
      </c>
      <c r="N519" t="s">
        <v>7</v>
      </c>
      <c r="P519">
        <f t="shared" si="985"/>
        <v>-0.16312056737588898</v>
      </c>
      <c r="Q519">
        <f t="shared" si="986"/>
        <v>-2819755.2070922409</v>
      </c>
      <c r="R519">
        <f t="shared" si="987"/>
        <v>-386906077.04191166</v>
      </c>
      <c r="S519">
        <f t="shared" si="988"/>
        <v>-3869.0607704191166</v>
      </c>
      <c r="T519">
        <f t="shared" si="989"/>
        <v>-3.8690607704191167</v>
      </c>
    </row>
    <row r="520" spans="1:20" x14ac:dyDescent="0.25">
      <c r="A520" s="5">
        <v>44073</v>
      </c>
      <c r="B520">
        <v>6.7150000000000001E-2</v>
      </c>
      <c r="C520">
        <v>6.9440000000000002E-2</v>
      </c>
      <c r="D520">
        <v>6.5619999999999998E-2</v>
      </c>
      <c r="E520">
        <v>6.6390000000000005E-2</v>
      </c>
      <c r="F520">
        <v>25537566.5</v>
      </c>
      <c r="G520">
        <v>0</v>
      </c>
      <c r="L520" t="s">
        <v>8</v>
      </c>
      <c r="M520" t="s">
        <v>8</v>
      </c>
      <c r="N520" t="s">
        <v>7</v>
      </c>
      <c r="P520">
        <f t="shared" si="985"/>
        <v>-0.59685863874345235</v>
      </c>
      <c r="Q520">
        <f t="shared" si="986"/>
        <v>-15242317.178010391</v>
      </c>
      <c r="R520">
        <f t="shared" si="987"/>
        <v>-384086321.83481944</v>
      </c>
      <c r="S520">
        <f t="shared" si="988"/>
        <v>-3840.8632183481946</v>
      </c>
      <c r="T520">
        <f t="shared" si="989"/>
        <v>-3.8408632183481943</v>
      </c>
    </row>
    <row r="521" spans="1:20" x14ac:dyDescent="0.25">
      <c r="A521" s="5">
        <v>44072</v>
      </c>
      <c r="B521">
        <v>6.6070000000000004E-2</v>
      </c>
      <c r="C521">
        <v>7.0819999999999994E-2</v>
      </c>
      <c r="D521">
        <v>6.3769999999999993E-2</v>
      </c>
      <c r="E521">
        <v>6.7169999999999994E-2</v>
      </c>
      <c r="F521">
        <v>35475311.899999999</v>
      </c>
      <c r="G521">
        <v>0</v>
      </c>
      <c r="L521" t="s">
        <v>7</v>
      </c>
      <c r="M521" t="s">
        <v>8</v>
      </c>
      <c r="N521" t="s">
        <v>7</v>
      </c>
      <c r="P521">
        <f t="shared" si="985"/>
        <v>-3.5460992907801449E-2</v>
      </c>
      <c r="Q521">
        <f t="shared" si="986"/>
        <v>-1257989.7836879443</v>
      </c>
      <c r="R521">
        <f t="shared" si="987"/>
        <v>-368844004.65680903</v>
      </c>
      <c r="S521">
        <f t="shared" si="988"/>
        <v>-3688.4400465680901</v>
      </c>
      <c r="T521">
        <f t="shared" si="989"/>
        <v>-3.6884400465680902</v>
      </c>
    </row>
    <row r="522" spans="1:20" x14ac:dyDescent="0.25">
      <c r="A522" s="5">
        <v>44071</v>
      </c>
      <c r="B522">
        <v>5.7939999999999998E-2</v>
      </c>
      <c r="C522">
        <v>7.195E-2</v>
      </c>
      <c r="D522">
        <v>5.6529999999999997E-2</v>
      </c>
      <c r="E522">
        <v>6.5799999999999997E-2</v>
      </c>
      <c r="F522">
        <v>71844958</v>
      </c>
      <c r="G522">
        <v>0</v>
      </c>
      <c r="L522" t="s">
        <v>8</v>
      </c>
      <c r="M522" t="s">
        <v>8</v>
      </c>
      <c r="N522" t="s">
        <v>7</v>
      </c>
      <c r="P522">
        <f t="shared" si="985"/>
        <v>0.20233463035019436</v>
      </c>
      <c r="Q522">
        <f t="shared" si="986"/>
        <v>14536723.019455239</v>
      </c>
      <c r="R522">
        <f t="shared" si="987"/>
        <v>-367586014.87312108</v>
      </c>
      <c r="S522">
        <f t="shared" si="988"/>
        <v>-3675.8601487312108</v>
      </c>
      <c r="T522">
        <f t="shared" si="989"/>
        <v>-3.6758601487312106</v>
      </c>
    </row>
    <row r="523" spans="1:20" x14ac:dyDescent="0.25">
      <c r="A523" s="5">
        <v>44070</v>
      </c>
      <c r="B523">
        <v>6.1289999999999997E-2</v>
      </c>
      <c r="C523">
        <v>6.2080000000000003E-2</v>
      </c>
      <c r="D523">
        <v>5.4670000000000003E-2</v>
      </c>
      <c r="E523">
        <v>5.7669999999999999E-2</v>
      </c>
      <c r="F523">
        <v>19218106</v>
      </c>
      <c r="G523">
        <v>0</v>
      </c>
      <c r="L523" t="s">
        <v>7</v>
      </c>
      <c r="M523" t="s">
        <v>7</v>
      </c>
      <c r="N523" t="s">
        <v>7</v>
      </c>
      <c r="P523">
        <f t="shared" si="985"/>
        <v>-0.19028340080971776</v>
      </c>
      <c r="Q523">
        <f t="shared" si="986"/>
        <v>-3656886.5668016416</v>
      </c>
      <c r="R523">
        <f t="shared" si="987"/>
        <v>-382122737.89257634</v>
      </c>
      <c r="S523">
        <f t="shared" si="988"/>
        <v>-3821.2273789257633</v>
      </c>
      <c r="T523">
        <f t="shared" si="989"/>
        <v>-3.8212273789257631</v>
      </c>
    </row>
    <row r="524" spans="1:20" x14ac:dyDescent="0.25">
      <c r="A524" s="5">
        <v>44069</v>
      </c>
      <c r="B524">
        <v>6.2770000000000006E-2</v>
      </c>
      <c r="C524">
        <v>6.3589999999999994E-2</v>
      </c>
      <c r="D524">
        <v>5.9520000000000003E-2</v>
      </c>
      <c r="E524">
        <v>6.1019999999999998E-2</v>
      </c>
      <c r="F524">
        <v>14650112.1</v>
      </c>
      <c r="G524">
        <v>0</v>
      </c>
      <c r="L524" t="s">
        <v>8</v>
      </c>
      <c r="M524" t="s">
        <v>7</v>
      </c>
      <c r="N524" t="s">
        <v>7</v>
      </c>
      <c r="P524">
        <f t="shared" si="985"/>
        <v>-0.26289926289926391</v>
      </c>
      <c r="Q524">
        <f t="shared" si="986"/>
        <v>-3851503.6724815872</v>
      </c>
      <c r="R524">
        <f t="shared" si="987"/>
        <v>-378465851.32577467</v>
      </c>
      <c r="S524">
        <f t="shared" si="988"/>
        <v>-3784.6585132577466</v>
      </c>
      <c r="T524">
        <f t="shared" si="989"/>
        <v>-3.7846585132577464</v>
      </c>
    </row>
    <row r="525" spans="1:20" x14ac:dyDescent="0.25">
      <c r="A525" s="5">
        <v>44068</v>
      </c>
      <c r="B525">
        <v>6.9739999999999996E-2</v>
      </c>
      <c r="C525">
        <v>6.9940000000000002E-2</v>
      </c>
      <c r="D525">
        <v>5.7570000000000003E-2</v>
      </c>
      <c r="E525">
        <v>6.3089999999999993E-2</v>
      </c>
      <c r="F525">
        <v>25563529.899999999</v>
      </c>
      <c r="G525">
        <v>0</v>
      </c>
      <c r="L525" t="s">
        <v>7</v>
      </c>
      <c r="M525" t="s">
        <v>7</v>
      </c>
      <c r="N525" t="s">
        <v>7</v>
      </c>
      <c r="P525">
        <f t="shared" si="985"/>
        <v>-0.10751818916734186</v>
      </c>
      <c r="Q525">
        <f t="shared" si="986"/>
        <v>-2748544.4435731997</v>
      </c>
      <c r="R525">
        <f t="shared" si="987"/>
        <v>-374614347.65329307</v>
      </c>
      <c r="S525">
        <f t="shared" si="988"/>
        <v>-3746.1434765329309</v>
      </c>
      <c r="T525">
        <f t="shared" si="989"/>
        <v>-3.7461434765329309</v>
      </c>
    </row>
    <row r="526" spans="1:20" x14ac:dyDescent="0.25">
      <c r="A526" s="5">
        <v>44067</v>
      </c>
      <c r="B526">
        <v>6.4229999999999995E-2</v>
      </c>
      <c r="C526">
        <v>6.9919999999999996E-2</v>
      </c>
      <c r="D526">
        <v>6.3600000000000004E-2</v>
      </c>
      <c r="E526">
        <v>6.9750000000000006E-2</v>
      </c>
      <c r="F526">
        <v>18594394.100000001</v>
      </c>
      <c r="G526">
        <v>0</v>
      </c>
      <c r="L526" t="s">
        <v>8</v>
      </c>
      <c r="M526" t="s">
        <v>8</v>
      </c>
      <c r="N526" t="s">
        <v>7</v>
      </c>
      <c r="P526">
        <f t="shared" si="985"/>
        <v>0.94620253164557289</v>
      </c>
      <c r="Q526">
        <f t="shared" si="986"/>
        <v>17594062.771835506</v>
      </c>
      <c r="R526">
        <f t="shared" si="987"/>
        <v>-371865803.2097199</v>
      </c>
      <c r="S526">
        <f t="shared" si="988"/>
        <v>-3718.6580320971989</v>
      </c>
      <c r="T526">
        <f t="shared" si="989"/>
        <v>-3.7186580320971987</v>
      </c>
    </row>
    <row r="527" spans="1:20" x14ac:dyDescent="0.25">
      <c r="A527" s="5">
        <v>44066</v>
      </c>
      <c r="B527">
        <v>6.3E-2</v>
      </c>
      <c r="C527">
        <v>6.5000000000000002E-2</v>
      </c>
      <c r="D527">
        <v>6.0999999999999999E-2</v>
      </c>
      <c r="E527">
        <v>6.4449999999999993E-2</v>
      </c>
      <c r="F527">
        <v>13540510.6</v>
      </c>
      <c r="G527">
        <v>0</v>
      </c>
      <c r="L527" t="s">
        <v>8</v>
      </c>
      <c r="M527" t="s">
        <v>7</v>
      </c>
      <c r="N527" t="s">
        <v>7</v>
      </c>
      <c r="P527">
        <f t="shared" si="985"/>
        <v>0.72499999999999587</v>
      </c>
      <c r="Q527">
        <f t="shared" si="986"/>
        <v>9816870.1849999446</v>
      </c>
      <c r="R527">
        <f t="shared" si="987"/>
        <v>-389459865.9815554</v>
      </c>
      <c r="S527">
        <f t="shared" si="988"/>
        <v>-3894.5986598155541</v>
      </c>
      <c r="T527">
        <f t="shared" si="989"/>
        <v>-3.894598659815554</v>
      </c>
    </row>
    <row r="528" spans="1:20" x14ac:dyDescent="0.25">
      <c r="A528" s="5">
        <v>44065</v>
      </c>
      <c r="B528">
        <v>6.0879999999999997E-2</v>
      </c>
      <c r="C528">
        <v>6.3880000000000006E-2</v>
      </c>
      <c r="D528">
        <v>5.5109999999999999E-2</v>
      </c>
      <c r="E528">
        <v>6.2850000000000003E-2</v>
      </c>
      <c r="F528">
        <v>22124329.300000001</v>
      </c>
      <c r="G528">
        <v>0</v>
      </c>
      <c r="L528" t="s">
        <v>7</v>
      </c>
      <c r="M528" t="s">
        <v>7</v>
      </c>
      <c r="N528" t="s">
        <v>7</v>
      </c>
      <c r="P528">
        <f t="shared" si="985"/>
        <v>0.76510832383124239</v>
      </c>
      <c r="Q528">
        <f t="shared" si="986"/>
        <v>16927508.506613445</v>
      </c>
      <c r="R528">
        <f t="shared" si="987"/>
        <v>-399276736.16655535</v>
      </c>
      <c r="S528">
        <f t="shared" si="988"/>
        <v>-3992.7673616655534</v>
      </c>
      <c r="T528">
        <f t="shared" si="989"/>
        <v>-3.9927673616655532</v>
      </c>
    </row>
    <row r="529" spans="1:20" x14ac:dyDescent="0.25">
      <c r="A529" s="5">
        <v>44064</v>
      </c>
      <c r="B529">
        <v>6.6250000000000003E-2</v>
      </c>
      <c r="C529">
        <v>7.0999999999999994E-2</v>
      </c>
      <c r="D529">
        <v>0.06</v>
      </c>
      <c r="E529">
        <v>6.0650000000000003E-2</v>
      </c>
      <c r="F529">
        <v>32071511.199999999</v>
      </c>
      <c r="G529">
        <v>0</v>
      </c>
      <c r="L529" t="s">
        <v>8</v>
      </c>
      <c r="M529" t="s">
        <v>7</v>
      </c>
      <c r="N529" t="s">
        <v>7</v>
      </c>
      <c r="P529">
        <f t="shared" si="985"/>
        <v>-0.88181818181818095</v>
      </c>
      <c r="Q529">
        <f t="shared" si="986"/>
        <v>-28281241.694545425</v>
      </c>
      <c r="R529">
        <f t="shared" si="987"/>
        <v>-416204244.67316878</v>
      </c>
      <c r="S529">
        <f t="shared" si="988"/>
        <v>-4162.042446731688</v>
      </c>
      <c r="T529">
        <f t="shared" si="989"/>
        <v>-4.1620424467316877</v>
      </c>
    </row>
    <row r="530" spans="1:20" x14ac:dyDescent="0.25">
      <c r="A530" s="5">
        <v>44063</v>
      </c>
      <c r="B530">
        <v>6.1740000000000003E-2</v>
      </c>
      <c r="C530">
        <v>6.7000000000000004E-2</v>
      </c>
      <c r="D530">
        <v>6.1699999999999998E-2</v>
      </c>
      <c r="E530">
        <v>6.6290000000000002E-2</v>
      </c>
      <c r="F530">
        <v>15319315.5</v>
      </c>
      <c r="G530">
        <v>0</v>
      </c>
      <c r="L530" t="s">
        <v>8</v>
      </c>
      <c r="M530" t="s">
        <v>7</v>
      </c>
      <c r="N530" t="s">
        <v>7</v>
      </c>
      <c r="P530">
        <f t="shared" si="985"/>
        <v>0.7320754716981126</v>
      </c>
      <c r="Q530">
        <f t="shared" si="986"/>
        <v>11214895.120754708</v>
      </c>
      <c r="R530">
        <f t="shared" si="987"/>
        <v>-387923002.97862333</v>
      </c>
      <c r="S530">
        <f t="shared" si="988"/>
        <v>-3879.2300297862334</v>
      </c>
      <c r="T530">
        <f t="shared" si="989"/>
        <v>-3.8792300297862337</v>
      </c>
    </row>
    <row r="531" spans="1:20" x14ac:dyDescent="0.25">
      <c r="A531" s="5">
        <v>44062</v>
      </c>
      <c r="B531">
        <v>6.9029999999999994E-2</v>
      </c>
      <c r="C531">
        <v>6.9629999999999997E-2</v>
      </c>
      <c r="D531">
        <v>0.06</v>
      </c>
      <c r="E531">
        <v>6.1870000000000001E-2</v>
      </c>
      <c r="F531">
        <v>25267651.699999999</v>
      </c>
      <c r="G531">
        <v>0</v>
      </c>
      <c r="L531" t="s">
        <v>7</v>
      </c>
      <c r="M531" t="s">
        <v>7</v>
      </c>
      <c r="N531" t="s">
        <v>7</v>
      </c>
      <c r="P531">
        <f t="shared" si="985"/>
        <v>-0.611630321910695</v>
      </c>
      <c r="Q531">
        <f t="shared" si="986"/>
        <v>-15454461.94319832</v>
      </c>
      <c r="R531">
        <f t="shared" si="987"/>
        <v>-399137898.09937805</v>
      </c>
      <c r="S531">
        <f t="shared" si="988"/>
        <v>-3991.3789809937807</v>
      </c>
      <c r="T531">
        <f t="shared" si="989"/>
        <v>-3.9913789809937805</v>
      </c>
    </row>
    <row r="532" spans="1:20" x14ac:dyDescent="0.25">
      <c r="A532" s="5">
        <v>44061</v>
      </c>
      <c r="B532">
        <v>6.9699999999999998E-2</v>
      </c>
      <c r="C532">
        <v>7.4109999999999995E-2</v>
      </c>
      <c r="D532">
        <v>6.7339999999999997E-2</v>
      </c>
      <c r="E532">
        <v>6.8909999999999999E-2</v>
      </c>
      <c r="F532">
        <v>26918329</v>
      </c>
      <c r="G532">
        <v>0</v>
      </c>
      <c r="L532" t="s">
        <v>7</v>
      </c>
      <c r="M532" t="s">
        <v>7</v>
      </c>
      <c r="N532" t="s">
        <v>8</v>
      </c>
      <c r="P532">
        <f t="shared" si="985"/>
        <v>-0.53618906942392841</v>
      </c>
      <c r="Q532">
        <f t="shared" si="986"/>
        <v>-14433313.776957145</v>
      </c>
      <c r="R532">
        <f t="shared" si="987"/>
        <v>-383683436.15617973</v>
      </c>
      <c r="S532">
        <f t="shared" si="988"/>
        <v>-3836.8343615617973</v>
      </c>
      <c r="T532">
        <f t="shared" si="989"/>
        <v>-3.8368343615617975</v>
      </c>
    </row>
    <row r="533" spans="1:20" x14ac:dyDescent="0.25">
      <c r="A533" s="5">
        <v>44060</v>
      </c>
      <c r="B533">
        <v>7.5149999999999995E-2</v>
      </c>
      <c r="C533">
        <v>7.6240000000000002E-2</v>
      </c>
      <c r="D533">
        <v>6.8000000000000005E-2</v>
      </c>
      <c r="E533">
        <v>6.9699999999999998E-2</v>
      </c>
      <c r="F533">
        <v>38933136.600000001</v>
      </c>
      <c r="G533">
        <v>0</v>
      </c>
      <c r="L533" t="s">
        <v>7</v>
      </c>
      <c r="M533" t="s">
        <v>7</v>
      </c>
      <c r="N533" t="s">
        <v>8</v>
      </c>
      <c r="P533">
        <f t="shared" si="985"/>
        <v>-0.58737864077670054</v>
      </c>
      <c r="Q533">
        <f t="shared" si="986"/>
        <v>-22868492.857281614</v>
      </c>
      <c r="R533">
        <f t="shared" si="987"/>
        <v>-369250122.37922257</v>
      </c>
      <c r="S533">
        <f t="shared" si="988"/>
        <v>-3692.5012237922256</v>
      </c>
      <c r="T533">
        <f t="shared" si="989"/>
        <v>-3.6925012237922257</v>
      </c>
    </row>
    <row r="534" spans="1:20" x14ac:dyDescent="0.25">
      <c r="A534" s="5">
        <v>44059</v>
      </c>
      <c r="B534">
        <v>7.51E-2</v>
      </c>
      <c r="C534">
        <v>7.689E-2</v>
      </c>
      <c r="D534">
        <v>7.3010000000000005E-2</v>
      </c>
      <c r="E534">
        <v>7.5179999999999997E-2</v>
      </c>
      <c r="F534">
        <v>18465464.300000001</v>
      </c>
      <c r="G534">
        <v>0</v>
      </c>
      <c r="L534" t="s">
        <v>7</v>
      </c>
      <c r="M534" t="s">
        <v>8</v>
      </c>
      <c r="N534" t="s">
        <v>8</v>
      </c>
      <c r="P534">
        <f t="shared" si="985"/>
        <v>0.11855670103092496</v>
      </c>
      <c r="Q534">
        <f t="shared" si="986"/>
        <v>2189204.5304123182</v>
      </c>
      <c r="R534">
        <f t="shared" si="987"/>
        <v>-346381629.52194095</v>
      </c>
      <c r="S534">
        <f t="shared" si="988"/>
        <v>-3463.8162952194093</v>
      </c>
      <c r="T534">
        <f t="shared" si="989"/>
        <v>-3.4638162952194094</v>
      </c>
    </row>
    <row r="535" spans="1:20" x14ac:dyDescent="0.25">
      <c r="A535" s="5">
        <v>44058</v>
      </c>
      <c r="B535">
        <v>7.3069999999999996E-2</v>
      </c>
      <c r="C535">
        <v>8.2000000000000003E-2</v>
      </c>
      <c r="D535">
        <v>7.1499999999999994E-2</v>
      </c>
      <c r="E535">
        <v>7.5050000000000006E-2</v>
      </c>
      <c r="F535">
        <v>45056303.100000001</v>
      </c>
      <c r="G535">
        <v>0</v>
      </c>
      <c r="L535" t="s">
        <v>8</v>
      </c>
      <c r="M535" t="s">
        <v>8</v>
      </c>
      <c r="N535" t="s">
        <v>8</v>
      </c>
      <c r="P535">
        <f t="shared" si="985"/>
        <v>-0.32380952380952222</v>
      </c>
      <c r="Q535">
        <f t="shared" si="986"/>
        <v>-14589660.051428501</v>
      </c>
      <c r="R535">
        <f t="shared" si="987"/>
        <v>-348570834.05235326</v>
      </c>
      <c r="S535">
        <f t="shared" si="988"/>
        <v>-3485.7083405235326</v>
      </c>
      <c r="T535">
        <f t="shared" si="989"/>
        <v>-3.4857083405235327</v>
      </c>
    </row>
    <row r="536" spans="1:20" x14ac:dyDescent="0.25">
      <c r="A536" s="5">
        <v>44057</v>
      </c>
      <c r="B536">
        <v>7.2840000000000002E-2</v>
      </c>
      <c r="C536">
        <v>7.7369999999999994E-2</v>
      </c>
      <c r="D536">
        <v>7.0379999999999998E-2</v>
      </c>
      <c r="E536">
        <v>7.3069999999999996E-2</v>
      </c>
      <c r="F536">
        <v>28062739.600000001</v>
      </c>
      <c r="G536">
        <v>0</v>
      </c>
      <c r="L536" t="s">
        <v>7</v>
      </c>
      <c r="M536" t="s">
        <v>8</v>
      </c>
      <c r="N536" t="s">
        <v>8</v>
      </c>
      <c r="P536">
        <f t="shared" si="985"/>
        <v>-0.23032904148783995</v>
      </c>
      <c r="Q536">
        <f t="shared" si="986"/>
        <v>-6463663.9135908494</v>
      </c>
      <c r="R536">
        <f t="shared" si="987"/>
        <v>-333981174.00092477</v>
      </c>
      <c r="S536">
        <f t="shared" si="988"/>
        <v>-3339.8117400092478</v>
      </c>
      <c r="T536">
        <f t="shared" si="989"/>
        <v>-3.3398117400092477</v>
      </c>
    </row>
    <row r="537" spans="1:20" x14ac:dyDescent="0.25">
      <c r="A537" s="5">
        <v>44056</v>
      </c>
      <c r="B537">
        <v>7.4130000000000001E-2</v>
      </c>
      <c r="C537">
        <v>0.08</v>
      </c>
      <c r="D537">
        <v>6.6589999999999996E-2</v>
      </c>
      <c r="E537">
        <v>7.2730000000000003E-2</v>
      </c>
      <c r="F537">
        <v>66800492.700000003</v>
      </c>
      <c r="G537">
        <v>0</v>
      </c>
      <c r="L537" t="s">
        <v>8</v>
      </c>
      <c r="M537" t="s">
        <v>8</v>
      </c>
      <c r="N537" t="s">
        <v>8</v>
      </c>
      <c r="P537">
        <f t="shared" si="985"/>
        <v>-8.4265473527217874E-2</v>
      </c>
      <c r="Q537">
        <f t="shared" si="986"/>
        <v>-5628975.1492169611</v>
      </c>
      <c r="R537">
        <f t="shared" si="987"/>
        <v>-327517510.08733392</v>
      </c>
      <c r="S537">
        <f t="shared" si="988"/>
        <v>-3275.175100873339</v>
      </c>
      <c r="T537">
        <f t="shared" si="989"/>
        <v>-3.275175100873339</v>
      </c>
    </row>
    <row r="538" spans="1:20" x14ac:dyDescent="0.25">
      <c r="A538" s="5">
        <v>44055</v>
      </c>
      <c r="B538">
        <v>7.1179999999999993E-2</v>
      </c>
      <c r="C538">
        <v>7.8E-2</v>
      </c>
      <c r="D538">
        <v>6.5000000000000002E-2</v>
      </c>
      <c r="E538">
        <v>7.4139999999999998E-2</v>
      </c>
      <c r="F538">
        <v>62138400.299999997</v>
      </c>
      <c r="G538">
        <v>0</v>
      </c>
      <c r="L538" t="s">
        <v>7</v>
      </c>
      <c r="M538" t="s">
        <v>7</v>
      </c>
      <c r="N538" t="s">
        <v>8</v>
      </c>
      <c r="P538">
        <f t="shared" si="985"/>
        <v>0.4061538461538457</v>
      </c>
      <c r="Q538">
        <f t="shared" si="986"/>
        <v>25237750.275692277</v>
      </c>
      <c r="R538">
        <f t="shared" si="987"/>
        <v>-321888534.93811697</v>
      </c>
      <c r="S538">
        <f t="shared" si="988"/>
        <v>-3218.8853493811698</v>
      </c>
      <c r="T538">
        <f t="shared" si="989"/>
        <v>-3.21888534938117</v>
      </c>
    </row>
    <row r="539" spans="1:20" x14ac:dyDescent="0.25">
      <c r="A539" s="5">
        <v>44054</v>
      </c>
      <c r="B539">
        <v>8.1199999999999994E-2</v>
      </c>
      <c r="C539">
        <v>9.0999999999999998E-2</v>
      </c>
      <c r="D539">
        <v>6.7680000000000004E-2</v>
      </c>
      <c r="E539">
        <v>7.1400000000000005E-2</v>
      </c>
      <c r="F539">
        <v>118653690.3</v>
      </c>
      <c r="G539">
        <v>0</v>
      </c>
      <c r="L539" t="s">
        <v>8</v>
      </c>
      <c r="M539" t="s">
        <v>8</v>
      </c>
      <c r="N539" t="s">
        <v>8</v>
      </c>
      <c r="P539">
        <f t="shared" si="985"/>
        <v>-0.68096054888507696</v>
      </c>
      <c r="Q539">
        <f t="shared" si="986"/>
        <v>-80798482.073927924</v>
      </c>
      <c r="R539">
        <f t="shared" si="987"/>
        <v>-347126285.21380925</v>
      </c>
      <c r="S539">
        <f t="shared" si="988"/>
        <v>-3471.2628521380925</v>
      </c>
      <c r="T539">
        <f t="shared" si="989"/>
        <v>-3.4712628521380924</v>
      </c>
    </row>
    <row r="540" spans="1:20" x14ac:dyDescent="0.25">
      <c r="A540" s="5">
        <v>44053</v>
      </c>
      <c r="B540">
        <v>7.4099999999999999E-2</v>
      </c>
      <c r="C540">
        <v>8.1280000000000005E-2</v>
      </c>
      <c r="D540">
        <v>6.6159999999999997E-2</v>
      </c>
      <c r="E540">
        <v>8.1199999999999994E-2</v>
      </c>
      <c r="F540">
        <v>77327380.099999994</v>
      </c>
      <c r="G540">
        <v>0</v>
      </c>
      <c r="L540" t="s">
        <v>8</v>
      </c>
      <c r="M540" t="s">
        <v>8</v>
      </c>
      <c r="N540" t="s">
        <v>8</v>
      </c>
      <c r="P540">
        <f t="shared" si="985"/>
        <v>0.98941798941798798</v>
      </c>
      <c r="Q540">
        <f t="shared" si="986"/>
        <v>76509100.945502535</v>
      </c>
      <c r="R540">
        <f t="shared" si="987"/>
        <v>-266327803.13988131</v>
      </c>
      <c r="S540">
        <f t="shared" si="988"/>
        <v>-2663.2780313988133</v>
      </c>
      <c r="T540">
        <f t="shared" si="989"/>
        <v>-2.6632780313988134</v>
      </c>
    </row>
    <row r="541" spans="1:20" x14ac:dyDescent="0.25">
      <c r="A541" s="5">
        <v>44052</v>
      </c>
      <c r="B541">
        <v>6.3519999999999993E-2</v>
      </c>
      <c r="C541">
        <v>7.4099999999999999E-2</v>
      </c>
      <c r="D541">
        <v>6.2420000000000003E-2</v>
      </c>
      <c r="E541">
        <v>7.4099999999999999E-2</v>
      </c>
      <c r="F541">
        <v>40225720.399999999</v>
      </c>
      <c r="G541">
        <v>0</v>
      </c>
      <c r="L541" t="s">
        <v>8</v>
      </c>
      <c r="M541" t="s">
        <v>8</v>
      </c>
      <c r="N541" t="s">
        <v>8</v>
      </c>
      <c r="P541">
        <f t="shared" si="985"/>
        <v>1</v>
      </c>
      <c r="Q541">
        <f t="shared" si="986"/>
        <v>40225720.399999999</v>
      </c>
      <c r="R541">
        <f t="shared" si="987"/>
        <v>-342836904.08538383</v>
      </c>
      <c r="S541">
        <f t="shared" si="988"/>
        <v>-3428.3690408538382</v>
      </c>
      <c r="T541">
        <f t="shared" si="989"/>
        <v>-3.4283690408538381</v>
      </c>
    </row>
    <row r="542" spans="1:20" x14ac:dyDescent="0.25">
      <c r="A542" s="5">
        <v>44051</v>
      </c>
      <c r="B542">
        <v>5.9330000000000001E-2</v>
      </c>
      <c r="C542">
        <v>6.5320000000000003E-2</v>
      </c>
      <c r="D542">
        <v>5.8250000000000003E-2</v>
      </c>
      <c r="E542">
        <v>6.3600000000000004E-2</v>
      </c>
      <c r="F542">
        <v>42132396.600000001</v>
      </c>
      <c r="G542">
        <v>0</v>
      </c>
      <c r="L542" t="s">
        <v>8</v>
      </c>
      <c r="M542" t="s">
        <v>8</v>
      </c>
      <c r="N542" t="s">
        <v>8</v>
      </c>
      <c r="P542">
        <f t="shared" si="985"/>
        <v>0.51343705799151362</v>
      </c>
      <c r="Q542">
        <f t="shared" si="986"/>
        <v>21632333.756435651</v>
      </c>
      <c r="R542">
        <f t="shared" si="987"/>
        <v>-383062624.48538381</v>
      </c>
      <c r="S542">
        <f t="shared" si="988"/>
        <v>-3830.6262448538382</v>
      </c>
      <c r="T542">
        <f t="shared" si="989"/>
        <v>-3.8306262448538382</v>
      </c>
    </row>
    <row r="543" spans="1:20" x14ac:dyDescent="0.25">
      <c r="A543" s="5">
        <v>44050</v>
      </c>
      <c r="B543">
        <v>5.638E-2</v>
      </c>
      <c r="C543">
        <v>6.4000000000000001E-2</v>
      </c>
      <c r="D543">
        <v>5.6000000000000001E-2</v>
      </c>
      <c r="E543">
        <v>5.9330000000000001E-2</v>
      </c>
      <c r="F543">
        <v>54735277.100000001</v>
      </c>
      <c r="G543">
        <v>0</v>
      </c>
      <c r="L543" t="s">
        <v>8</v>
      </c>
      <c r="M543" t="s">
        <v>8</v>
      </c>
      <c r="N543" t="s">
        <v>8</v>
      </c>
      <c r="P543">
        <f t="shared" si="985"/>
        <v>-0.16750000000000012</v>
      </c>
      <c r="Q543">
        <f t="shared" si="986"/>
        <v>-9168158.9142500069</v>
      </c>
      <c r="R543">
        <f t="shared" si="987"/>
        <v>-404694958.24181944</v>
      </c>
      <c r="S543">
        <f t="shared" si="988"/>
        <v>-4046.9495824181945</v>
      </c>
      <c r="T543">
        <f t="shared" si="989"/>
        <v>-4.0469495824181942</v>
      </c>
    </row>
    <row r="544" spans="1:20" x14ac:dyDescent="0.25">
      <c r="A544" s="5">
        <v>44049</v>
      </c>
      <c r="B544">
        <v>5.3760000000000002E-2</v>
      </c>
      <c r="C544">
        <v>5.7770000000000002E-2</v>
      </c>
      <c r="D544">
        <v>5.3440000000000001E-2</v>
      </c>
      <c r="E544">
        <v>5.6439999999999997E-2</v>
      </c>
      <c r="F544">
        <v>31011229.5</v>
      </c>
      <c r="G544">
        <v>0</v>
      </c>
      <c r="L544" t="s">
        <v>8</v>
      </c>
      <c r="M544" t="s">
        <v>8</v>
      </c>
      <c r="N544" t="s">
        <v>7</v>
      </c>
      <c r="P544">
        <f t="shared" si="985"/>
        <v>0.38568129330253825</v>
      </c>
      <c r="Q544">
        <f t="shared" si="986"/>
        <v>11960451.100461828</v>
      </c>
      <c r="R544">
        <f t="shared" si="987"/>
        <v>-395526799.32756943</v>
      </c>
      <c r="S544">
        <f t="shared" si="988"/>
        <v>-3955.2679932756942</v>
      </c>
      <c r="T544">
        <f t="shared" si="989"/>
        <v>-3.9552679932756942</v>
      </c>
    </row>
    <row r="545" spans="1:20" x14ac:dyDescent="0.25">
      <c r="A545" s="5">
        <v>44048</v>
      </c>
      <c r="B545">
        <v>5.441E-2</v>
      </c>
      <c r="C545">
        <v>5.5820000000000002E-2</v>
      </c>
      <c r="D545">
        <v>5.2880000000000003E-2</v>
      </c>
      <c r="E545">
        <v>5.3650000000000003E-2</v>
      </c>
      <c r="F545">
        <v>24473787.399999999</v>
      </c>
      <c r="G545">
        <v>0</v>
      </c>
      <c r="L545" t="s">
        <v>7</v>
      </c>
      <c r="M545" t="s">
        <v>8</v>
      </c>
      <c r="N545" t="s">
        <v>7</v>
      </c>
      <c r="P545">
        <f t="shared" si="985"/>
        <v>-0.47619047619047594</v>
      </c>
      <c r="Q545">
        <f t="shared" si="986"/>
        <v>-11654184.47619047</v>
      </c>
      <c r="R545">
        <f t="shared" si="987"/>
        <v>-407487250.42803127</v>
      </c>
      <c r="S545">
        <f t="shared" si="988"/>
        <v>-4074.8725042803126</v>
      </c>
      <c r="T545">
        <f t="shared" si="989"/>
        <v>-4.0748725042803127</v>
      </c>
    </row>
    <row r="546" spans="1:20" x14ac:dyDescent="0.25">
      <c r="A546" s="5">
        <v>44047</v>
      </c>
      <c r="B546">
        <v>5.2569999999999999E-2</v>
      </c>
      <c r="C546">
        <v>5.806E-2</v>
      </c>
      <c r="D546">
        <v>5.237E-2</v>
      </c>
      <c r="E546">
        <v>5.4210000000000001E-2</v>
      </c>
      <c r="F546">
        <v>39164480.600000001</v>
      </c>
      <c r="G546">
        <v>0</v>
      </c>
      <c r="L546" t="s">
        <v>8</v>
      </c>
      <c r="M546" t="s">
        <v>8</v>
      </c>
      <c r="N546" t="s">
        <v>7</v>
      </c>
      <c r="P546">
        <f t="shared" si="985"/>
        <v>-0.35325131810193283</v>
      </c>
      <c r="Q546">
        <f t="shared" si="986"/>
        <v>-13834904.394727578</v>
      </c>
      <c r="R546">
        <f t="shared" si="987"/>
        <v>-395833065.95184082</v>
      </c>
      <c r="S546">
        <f t="shared" si="988"/>
        <v>-3958.3306595184081</v>
      </c>
      <c r="T546">
        <f t="shared" si="989"/>
        <v>-3.958330659518408</v>
      </c>
    </row>
    <row r="547" spans="1:20" x14ac:dyDescent="0.25">
      <c r="A547" s="5">
        <v>44046</v>
      </c>
      <c r="B547">
        <v>5.5199999999999999E-2</v>
      </c>
      <c r="C547">
        <v>5.772E-2</v>
      </c>
      <c r="D547">
        <v>5.1119999999999999E-2</v>
      </c>
      <c r="E547">
        <v>5.2400000000000002E-2</v>
      </c>
      <c r="F547">
        <v>51206334.299999997</v>
      </c>
      <c r="G547">
        <v>0</v>
      </c>
      <c r="L547" t="s">
        <v>8</v>
      </c>
      <c r="M547" t="s">
        <v>8</v>
      </c>
      <c r="N547" t="s">
        <v>7</v>
      </c>
      <c r="P547">
        <f t="shared" si="985"/>
        <v>-0.61212121212121118</v>
      </c>
      <c r="Q547">
        <f t="shared" si="986"/>
        <v>-31344483.41999995</v>
      </c>
      <c r="R547">
        <f t="shared" si="987"/>
        <v>-381998161.55711323</v>
      </c>
      <c r="S547">
        <f t="shared" si="988"/>
        <v>-3819.9816155711324</v>
      </c>
      <c r="T547">
        <f t="shared" si="989"/>
        <v>-3.8199816155711321</v>
      </c>
    </row>
    <row r="548" spans="1:20" x14ac:dyDescent="0.25">
      <c r="A548" s="5">
        <v>44045</v>
      </c>
      <c r="B548">
        <v>5.389E-2</v>
      </c>
      <c r="C548">
        <v>5.5989999999999998E-2</v>
      </c>
      <c r="D548">
        <v>4.5900000000000003E-2</v>
      </c>
      <c r="E548">
        <v>5.5160000000000001E-2</v>
      </c>
      <c r="F548">
        <v>62001349.399999999</v>
      </c>
      <c r="G548">
        <v>0</v>
      </c>
      <c r="L548" t="s">
        <v>7</v>
      </c>
      <c r="M548" t="s">
        <v>7</v>
      </c>
      <c r="N548" t="s">
        <v>7</v>
      </c>
      <c r="P548">
        <f t="shared" si="985"/>
        <v>0.83548067393458914</v>
      </c>
      <c r="Q548">
        <f t="shared" si="986"/>
        <v>51800929.181565933</v>
      </c>
      <c r="R548">
        <f t="shared" si="987"/>
        <v>-350653678.13711327</v>
      </c>
      <c r="S548">
        <f t="shared" si="988"/>
        <v>-3506.5367813711327</v>
      </c>
      <c r="T548">
        <f t="shared" si="989"/>
        <v>-3.5065367813711328</v>
      </c>
    </row>
    <row r="549" spans="1:20" x14ac:dyDescent="0.25">
      <c r="A549" s="5">
        <v>44044</v>
      </c>
      <c r="B549">
        <v>6.0499999999999998E-2</v>
      </c>
      <c r="C549">
        <v>6.0810000000000003E-2</v>
      </c>
      <c r="D549">
        <v>5.3879999999999997E-2</v>
      </c>
      <c r="E549">
        <v>5.389E-2</v>
      </c>
      <c r="F549">
        <v>37344812.5</v>
      </c>
      <c r="G549">
        <v>0</v>
      </c>
      <c r="L549" t="s">
        <v>7</v>
      </c>
      <c r="M549" t="s">
        <v>7</v>
      </c>
      <c r="N549" t="s">
        <v>7</v>
      </c>
      <c r="P549">
        <f t="shared" si="985"/>
        <v>-0.99711399711399629</v>
      </c>
      <c r="Q549">
        <f t="shared" si="986"/>
        <v>-37237035.26334773</v>
      </c>
      <c r="R549">
        <f t="shared" si="987"/>
        <v>-402454607.31867921</v>
      </c>
      <c r="S549">
        <f t="shared" si="988"/>
        <v>-4024.546073186792</v>
      </c>
      <c r="T549">
        <f t="shared" si="989"/>
        <v>-4.0245460731867917</v>
      </c>
    </row>
    <row r="550" spans="1:20" x14ac:dyDescent="0.25">
      <c r="A550" s="5">
        <v>44043</v>
      </c>
      <c r="B550">
        <v>6.5610000000000002E-2</v>
      </c>
      <c r="C550">
        <v>6.7680000000000004E-2</v>
      </c>
      <c r="D550">
        <v>5.8229999999999997E-2</v>
      </c>
      <c r="E550">
        <v>6.0699999999999997E-2</v>
      </c>
      <c r="F550">
        <v>81399761.700000003</v>
      </c>
      <c r="G550">
        <v>0</v>
      </c>
      <c r="L550" t="s">
        <v>7</v>
      </c>
      <c r="M550" t="s">
        <v>7</v>
      </c>
      <c r="N550" t="s">
        <v>7</v>
      </c>
      <c r="P550">
        <f t="shared" si="985"/>
        <v>-0.47724867724867764</v>
      </c>
      <c r="Q550">
        <f t="shared" si="986"/>
        <v>-38847928.599682577</v>
      </c>
      <c r="R550">
        <f t="shared" si="987"/>
        <v>-365217572.05533147</v>
      </c>
      <c r="S550">
        <f t="shared" si="988"/>
        <v>-3652.1757205533145</v>
      </c>
      <c r="T550">
        <f t="shared" si="989"/>
        <v>-3.6521757205533145</v>
      </c>
    </row>
    <row r="551" spans="1:20" x14ac:dyDescent="0.25">
      <c r="A551" s="5">
        <v>44042</v>
      </c>
      <c r="B551">
        <v>5.8650000000000001E-2</v>
      </c>
      <c r="C551">
        <v>6.7989999999999995E-2</v>
      </c>
      <c r="D551">
        <v>5.8529999999999999E-2</v>
      </c>
      <c r="E551">
        <v>6.5610000000000002E-2</v>
      </c>
      <c r="F551">
        <v>45311116.600000001</v>
      </c>
      <c r="G551">
        <v>0</v>
      </c>
      <c r="L551" t="s">
        <v>8</v>
      </c>
      <c r="M551" t="s">
        <v>7</v>
      </c>
      <c r="N551" t="s">
        <v>7</v>
      </c>
      <c r="P551">
        <f t="shared" si="985"/>
        <v>0.49682875264270737</v>
      </c>
      <c r="Q551">
        <f t="shared" si="986"/>
        <v>22511865.541226272</v>
      </c>
      <c r="R551">
        <f t="shared" si="987"/>
        <v>-326369643.4556489</v>
      </c>
      <c r="S551">
        <f t="shared" si="988"/>
        <v>-3263.6964345564888</v>
      </c>
      <c r="T551">
        <f t="shared" si="989"/>
        <v>-3.2636964345564889</v>
      </c>
    </row>
    <row r="552" spans="1:20" x14ac:dyDescent="0.25">
      <c r="A552" s="5">
        <v>44041</v>
      </c>
      <c r="B552">
        <v>6.1120000000000001E-2</v>
      </c>
      <c r="C552">
        <v>6.479E-2</v>
      </c>
      <c r="D552">
        <v>5.7299999999999997E-2</v>
      </c>
      <c r="E552">
        <v>5.8790000000000002E-2</v>
      </c>
      <c r="F552">
        <v>39049207.100000001</v>
      </c>
      <c r="G552">
        <v>0</v>
      </c>
      <c r="L552" t="s">
        <v>8</v>
      </c>
      <c r="M552" t="s">
        <v>7</v>
      </c>
      <c r="N552" t="s">
        <v>7</v>
      </c>
      <c r="P552">
        <f t="shared" si="985"/>
        <v>-0.60213618157543269</v>
      </c>
      <c r="Q552">
        <f t="shared" si="986"/>
        <v>-23512940.456742276</v>
      </c>
      <c r="R552">
        <f t="shared" si="987"/>
        <v>-348881508.99687517</v>
      </c>
      <c r="S552">
        <f t="shared" si="988"/>
        <v>-3488.8150899687516</v>
      </c>
      <c r="T552">
        <f t="shared" si="989"/>
        <v>-3.4888150899687518</v>
      </c>
    </row>
    <row r="553" spans="1:20" x14ac:dyDescent="0.25">
      <c r="A553" s="5">
        <v>44040</v>
      </c>
      <c r="B553">
        <v>5.7599999999999998E-2</v>
      </c>
      <c r="C553">
        <v>6.3969999999999999E-2</v>
      </c>
      <c r="D553">
        <v>5.6579999999999998E-2</v>
      </c>
      <c r="E553">
        <v>6.1100000000000002E-2</v>
      </c>
      <c r="F553">
        <v>44842868.100000001</v>
      </c>
      <c r="G553">
        <v>0</v>
      </c>
      <c r="L553" t="s">
        <v>7</v>
      </c>
      <c r="M553" t="s">
        <v>7</v>
      </c>
      <c r="N553" t="s">
        <v>7</v>
      </c>
      <c r="P553">
        <f t="shared" si="985"/>
        <v>0.22327469553450682</v>
      </c>
      <c r="Q553">
        <f t="shared" si="986"/>
        <v>10012277.721921548</v>
      </c>
      <c r="R553">
        <f t="shared" si="987"/>
        <v>-325368568.54013288</v>
      </c>
      <c r="S553">
        <f t="shared" si="988"/>
        <v>-3253.685685401329</v>
      </c>
      <c r="T553">
        <f t="shared" si="989"/>
        <v>-3.253685685401329</v>
      </c>
    </row>
    <row r="554" spans="1:20" x14ac:dyDescent="0.25">
      <c r="A554" s="5">
        <v>44039</v>
      </c>
      <c r="B554">
        <v>6.8919999999999995E-2</v>
      </c>
      <c r="C554">
        <v>7.979E-2</v>
      </c>
      <c r="D554">
        <v>5.5E-2</v>
      </c>
      <c r="E554">
        <v>5.7599999999999998E-2</v>
      </c>
      <c r="F554">
        <v>142864702.5</v>
      </c>
      <c r="G554">
        <v>0</v>
      </c>
      <c r="L554" t="s">
        <v>8</v>
      </c>
      <c r="M554" t="s">
        <v>8</v>
      </c>
      <c r="N554" t="s">
        <v>8</v>
      </c>
      <c r="P554">
        <f t="shared" si="985"/>
        <v>-0.79023799919322324</v>
      </c>
      <c r="Q554">
        <f t="shared" si="986"/>
        <v>-112897116.65893508</v>
      </c>
      <c r="R554">
        <f t="shared" si="987"/>
        <v>-335380846.26205444</v>
      </c>
      <c r="S554">
        <f t="shared" si="988"/>
        <v>-3353.8084626205446</v>
      </c>
      <c r="T554">
        <f t="shared" si="989"/>
        <v>-3.3538084626205444</v>
      </c>
    </row>
    <row r="555" spans="1:20" x14ac:dyDescent="0.25">
      <c r="A555" s="5">
        <v>44038</v>
      </c>
      <c r="B555">
        <v>6.2239999999999997E-2</v>
      </c>
      <c r="C555">
        <v>7.4639999999999998E-2</v>
      </c>
      <c r="D555">
        <v>5.9929999999999997E-2</v>
      </c>
      <c r="E555">
        <v>6.8919999999999995E-2</v>
      </c>
      <c r="F555">
        <v>60173594.899999999</v>
      </c>
      <c r="G555">
        <v>0</v>
      </c>
      <c r="L555" t="s">
        <v>8</v>
      </c>
      <c r="M555" t="s">
        <v>8</v>
      </c>
      <c r="N555" t="s">
        <v>8</v>
      </c>
      <c r="P555">
        <f t="shared" si="985"/>
        <v>0.22229775662814377</v>
      </c>
      <c r="Q555">
        <f t="shared" si="986"/>
        <v>13376455.154520713</v>
      </c>
      <c r="R555">
        <f t="shared" si="987"/>
        <v>-222483729.60311937</v>
      </c>
      <c r="S555">
        <f t="shared" si="988"/>
        <v>-2224.8372960311935</v>
      </c>
      <c r="T555">
        <f t="shared" si="989"/>
        <v>-2.2248372960311937</v>
      </c>
    </row>
    <row r="556" spans="1:20" x14ac:dyDescent="0.25">
      <c r="A556" s="5">
        <v>44037</v>
      </c>
      <c r="B556">
        <v>6.1550000000000001E-2</v>
      </c>
      <c r="C556">
        <v>6.4000000000000001E-2</v>
      </c>
      <c r="D556">
        <v>5.8819999999999997E-2</v>
      </c>
      <c r="E556">
        <v>6.2170000000000003E-2</v>
      </c>
      <c r="F556">
        <v>29608922.5</v>
      </c>
      <c r="G556">
        <v>0</v>
      </c>
      <c r="L556" t="s">
        <v>8</v>
      </c>
      <c r="M556" t="s">
        <v>7</v>
      </c>
      <c r="N556" t="s">
        <v>8</v>
      </c>
      <c r="P556">
        <f t="shared" si="985"/>
        <v>0.29343629343629463</v>
      </c>
      <c r="Q556">
        <f t="shared" si="986"/>
        <v>8688332.4710425064</v>
      </c>
      <c r="R556">
        <f t="shared" si="987"/>
        <v>-235860184.75764009</v>
      </c>
      <c r="S556">
        <f t="shared" si="988"/>
        <v>-2358.6018475764008</v>
      </c>
      <c r="T556">
        <f t="shared" si="989"/>
        <v>-2.3586018475764008</v>
      </c>
    </row>
    <row r="557" spans="1:20" x14ac:dyDescent="0.25">
      <c r="A557" s="5">
        <v>44036</v>
      </c>
      <c r="B557">
        <v>5.7099999999999998E-2</v>
      </c>
      <c r="C557">
        <v>6.4369999999999997E-2</v>
      </c>
      <c r="D557">
        <v>5.3789999999999998E-2</v>
      </c>
      <c r="E557">
        <v>6.1550000000000001E-2</v>
      </c>
      <c r="F557">
        <v>56482828.899999999</v>
      </c>
      <c r="G557">
        <v>0</v>
      </c>
      <c r="L557" t="s">
        <v>7</v>
      </c>
      <c r="M557" t="s">
        <v>7</v>
      </c>
      <c r="N557" t="s">
        <v>8</v>
      </c>
      <c r="P557">
        <f t="shared" si="985"/>
        <v>0.46691871455576628</v>
      </c>
      <c r="Q557">
        <f t="shared" si="986"/>
        <v>26372889.864461284</v>
      </c>
      <c r="R557">
        <f t="shared" si="987"/>
        <v>-244548517.22868261</v>
      </c>
      <c r="S557">
        <f t="shared" si="988"/>
        <v>-2445.4851722868261</v>
      </c>
      <c r="T557">
        <f t="shared" si="989"/>
        <v>-2.4454851722868263</v>
      </c>
    </row>
    <row r="558" spans="1:20" x14ac:dyDescent="0.25">
      <c r="A558" s="5">
        <v>44035</v>
      </c>
      <c r="B558">
        <v>6.3689999999999997E-2</v>
      </c>
      <c r="C558">
        <v>6.7460000000000006E-2</v>
      </c>
      <c r="D558">
        <v>5.6050000000000003E-2</v>
      </c>
      <c r="E558">
        <v>5.7099999999999998E-2</v>
      </c>
      <c r="F558">
        <v>52427025.899999999</v>
      </c>
      <c r="G558">
        <v>0</v>
      </c>
      <c r="L558" t="s">
        <v>7</v>
      </c>
      <c r="M558" t="s">
        <v>7</v>
      </c>
      <c r="N558" t="s">
        <v>8</v>
      </c>
      <c r="P558">
        <f t="shared" si="985"/>
        <v>-0.81595092024539961</v>
      </c>
      <c r="Q558">
        <f t="shared" si="986"/>
        <v>-42777880.028834395</v>
      </c>
      <c r="R558">
        <f t="shared" si="987"/>
        <v>-270921407.09314388</v>
      </c>
      <c r="S558">
        <f t="shared" si="988"/>
        <v>-2709.214070931439</v>
      </c>
      <c r="T558">
        <f t="shared" si="989"/>
        <v>-2.7092140709314392</v>
      </c>
    </row>
    <row r="559" spans="1:20" x14ac:dyDescent="0.25">
      <c r="A559" s="5">
        <v>44034</v>
      </c>
      <c r="B559">
        <v>5.7230000000000003E-2</v>
      </c>
      <c r="C559">
        <v>6.7900000000000002E-2</v>
      </c>
      <c r="D559">
        <v>5.6219999999999999E-2</v>
      </c>
      <c r="E559">
        <v>6.3829999999999998E-2</v>
      </c>
      <c r="F559">
        <v>81318606.799999997</v>
      </c>
      <c r="G559">
        <v>0</v>
      </c>
      <c r="L559" t="s">
        <v>8</v>
      </c>
      <c r="M559" t="s">
        <v>8</v>
      </c>
      <c r="N559" t="s">
        <v>8</v>
      </c>
      <c r="P559">
        <f t="shared" si="985"/>
        <v>0.30308219178082135</v>
      </c>
      <c r="Q559">
        <f t="shared" si="986"/>
        <v>24646221.581506804</v>
      </c>
      <c r="R559">
        <f t="shared" si="987"/>
        <v>-228143527.06430948</v>
      </c>
      <c r="S559">
        <f t="shared" si="988"/>
        <v>-2281.4352706430946</v>
      </c>
      <c r="T559">
        <f t="shared" si="989"/>
        <v>-2.2814352706430947</v>
      </c>
    </row>
    <row r="560" spans="1:20" x14ac:dyDescent="0.25">
      <c r="A560" s="5">
        <v>44033</v>
      </c>
      <c r="B560">
        <v>5.0500000000000003E-2</v>
      </c>
      <c r="C560">
        <v>6.2359999999999999E-2</v>
      </c>
      <c r="D560">
        <v>4.768E-2</v>
      </c>
      <c r="E560">
        <v>5.7239999999999999E-2</v>
      </c>
      <c r="F560">
        <v>88035574.599999994</v>
      </c>
      <c r="G560">
        <v>0</v>
      </c>
      <c r="L560" t="s">
        <v>8</v>
      </c>
      <c r="M560" t="s">
        <v>8</v>
      </c>
      <c r="N560" t="s">
        <v>8</v>
      </c>
      <c r="P560">
        <f t="shared" si="985"/>
        <v>0.30245231607629425</v>
      </c>
      <c r="Q560">
        <f t="shared" si="986"/>
        <v>26626563.434877381</v>
      </c>
      <c r="R560">
        <f t="shared" si="987"/>
        <v>-252789748.64581627</v>
      </c>
      <c r="S560">
        <f t="shared" si="988"/>
        <v>-2527.8974864581628</v>
      </c>
      <c r="T560">
        <f t="shared" si="989"/>
        <v>-2.5278974864581629</v>
      </c>
    </row>
    <row r="561" spans="1:104" x14ac:dyDescent="0.25">
      <c r="A561" s="5">
        <v>44032</v>
      </c>
      <c r="B561">
        <v>4.0640000000000003E-2</v>
      </c>
      <c r="C561">
        <v>5.6460000000000003E-2</v>
      </c>
      <c r="D561">
        <v>3.9480000000000001E-2</v>
      </c>
      <c r="E561">
        <v>5.0500000000000003E-2</v>
      </c>
      <c r="F561">
        <v>162522793.19999999</v>
      </c>
      <c r="G561">
        <v>0</v>
      </c>
      <c r="L561" t="s">
        <v>8</v>
      </c>
      <c r="M561" t="s">
        <v>8</v>
      </c>
      <c r="N561" t="s">
        <v>8</v>
      </c>
      <c r="P561">
        <f t="shared" si="985"/>
        <v>0.297997644287397</v>
      </c>
      <c r="Q561">
        <f t="shared" si="986"/>
        <v>48431409.516607784</v>
      </c>
      <c r="R561">
        <f t="shared" si="987"/>
        <v>-279416312.08069366</v>
      </c>
      <c r="S561">
        <f t="shared" si="988"/>
        <v>-2794.1631208069366</v>
      </c>
      <c r="T561">
        <f t="shared" si="989"/>
        <v>-2.7941631208069366</v>
      </c>
      <c r="CZ561" t="s">
        <v>7</v>
      </c>
    </row>
    <row r="562" spans="1:104" x14ac:dyDescent="0.25">
      <c r="A562" s="5">
        <v>44031</v>
      </c>
      <c r="B562">
        <v>3.6679999999999997E-2</v>
      </c>
      <c r="C562">
        <v>4.0869999999999997E-2</v>
      </c>
      <c r="D562">
        <v>3.6639999999999999E-2</v>
      </c>
      <c r="E562">
        <v>4.0710000000000003E-2</v>
      </c>
      <c r="F562">
        <v>35128761.299999997</v>
      </c>
      <c r="G562">
        <v>0</v>
      </c>
      <c r="L562" t="s">
        <v>8</v>
      </c>
      <c r="M562" t="s">
        <v>8</v>
      </c>
      <c r="N562" t="s">
        <v>8</v>
      </c>
      <c r="P562">
        <f t="shared" si="985"/>
        <v>0.92434988179669331</v>
      </c>
      <c r="Q562">
        <f t="shared" si="986"/>
        <v>32471266.35531925</v>
      </c>
      <c r="R562">
        <f t="shared" si="987"/>
        <v>-327847721.59730142</v>
      </c>
      <c r="S562">
        <f t="shared" si="988"/>
        <v>-3278.4772159730142</v>
      </c>
      <c r="T562">
        <f t="shared" si="989"/>
        <v>-3.2784772159730142</v>
      </c>
      <c r="CZ562" t="s">
        <v>7</v>
      </c>
    </row>
    <row r="563" spans="1:104" x14ac:dyDescent="0.25">
      <c r="A563" s="5">
        <v>44030</v>
      </c>
      <c r="B563">
        <v>3.4529999999999998E-2</v>
      </c>
      <c r="C563">
        <v>3.7159999999999999E-2</v>
      </c>
      <c r="D563">
        <v>3.3820000000000003E-2</v>
      </c>
      <c r="E563">
        <v>3.669E-2</v>
      </c>
      <c r="F563">
        <v>20850312.699999999</v>
      </c>
      <c r="G563">
        <v>0</v>
      </c>
      <c r="L563" t="s">
        <v>8</v>
      </c>
      <c r="M563" t="s">
        <v>7</v>
      </c>
      <c r="N563" t="s">
        <v>8</v>
      </c>
      <c r="P563">
        <f t="shared" si="985"/>
        <v>0.71856287425149767</v>
      </c>
      <c r="Q563">
        <f t="shared" si="986"/>
        <v>14982260.622754505</v>
      </c>
      <c r="R563">
        <f t="shared" si="987"/>
        <v>-360318987.95262069</v>
      </c>
      <c r="S563">
        <f t="shared" si="988"/>
        <v>-3603.1898795262068</v>
      </c>
      <c r="T563">
        <f t="shared" si="989"/>
        <v>-3.603189879526207</v>
      </c>
      <c r="CZ563" t="s">
        <v>7</v>
      </c>
    </row>
    <row r="564" spans="1:104" x14ac:dyDescent="0.25">
      <c r="A564" s="5">
        <v>44029</v>
      </c>
      <c r="B564">
        <v>3.4750000000000003E-2</v>
      </c>
      <c r="C564">
        <v>3.6020000000000003E-2</v>
      </c>
      <c r="D564">
        <v>3.4110000000000001E-2</v>
      </c>
      <c r="E564">
        <v>3.4450000000000001E-2</v>
      </c>
      <c r="F564">
        <v>22015091.300000001</v>
      </c>
      <c r="G564">
        <v>0</v>
      </c>
      <c r="L564" t="s">
        <v>8</v>
      </c>
      <c r="M564" t="s">
        <v>7</v>
      </c>
      <c r="N564" t="s">
        <v>8</v>
      </c>
      <c r="P564">
        <f t="shared" si="985"/>
        <v>-0.64397905759162333</v>
      </c>
      <c r="Q564">
        <f t="shared" si="986"/>
        <v>-14177257.748167546</v>
      </c>
      <c r="R564">
        <f t="shared" si="987"/>
        <v>-375301248.5753752</v>
      </c>
      <c r="S564">
        <f t="shared" si="988"/>
        <v>-3753.0124857537521</v>
      </c>
      <c r="T564">
        <f t="shared" si="989"/>
        <v>-3.7530124857537519</v>
      </c>
    </row>
    <row r="565" spans="1:104" x14ac:dyDescent="0.25">
      <c r="A565" s="5">
        <v>44028</v>
      </c>
      <c r="B565">
        <v>3.6729999999999999E-2</v>
      </c>
      <c r="C565">
        <v>3.7920000000000002E-2</v>
      </c>
      <c r="D565">
        <v>3.3270000000000001E-2</v>
      </c>
      <c r="E565">
        <v>3.4700000000000002E-2</v>
      </c>
      <c r="F565">
        <v>40631905.700000003</v>
      </c>
      <c r="G565">
        <v>0</v>
      </c>
      <c r="L565" t="s">
        <v>7</v>
      </c>
      <c r="M565" t="s">
        <v>7</v>
      </c>
      <c r="N565" t="s">
        <v>8</v>
      </c>
      <c r="P565">
        <f t="shared" si="985"/>
        <v>-0.38494623655913968</v>
      </c>
      <c r="Q565">
        <f t="shared" si="986"/>
        <v>-15641099.183440857</v>
      </c>
      <c r="R565">
        <f t="shared" si="987"/>
        <v>-361123990.82720762</v>
      </c>
      <c r="S565">
        <f t="shared" si="988"/>
        <v>-3611.2399082720763</v>
      </c>
      <c r="T565">
        <f t="shared" si="989"/>
        <v>-3.6112399082720761</v>
      </c>
    </row>
    <row r="566" spans="1:104" x14ac:dyDescent="0.25">
      <c r="A566" s="5">
        <v>44027</v>
      </c>
      <c r="B566">
        <v>3.6130000000000002E-2</v>
      </c>
      <c r="C566">
        <v>4.3499999999999997E-2</v>
      </c>
      <c r="D566">
        <v>3.5839999999999997E-2</v>
      </c>
      <c r="E566">
        <v>3.6729999999999999E-2</v>
      </c>
      <c r="F566">
        <v>89427343.599999994</v>
      </c>
      <c r="G566">
        <v>0</v>
      </c>
      <c r="L566" t="s">
        <v>8</v>
      </c>
      <c r="M566" t="s">
        <v>8</v>
      </c>
      <c r="N566" t="s">
        <v>8</v>
      </c>
      <c r="P566">
        <f t="shared" si="985"/>
        <v>-0.76762402088772796</v>
      </c>
      <c r="Q566">
        <f t="shared" si="986"/>
        <v>-68646577.071540415</v>
      </c>
      <c r="R566">
        <f t="shared" si="987"/>
        <v>-345482891.64376676</v>
      </c>
      <c r="S566">
        <f t="shared" si="988"/>
        <v>-3454.8289164376674</v>
      </c>
      <c r="T566">
        <f t="shared" si="989"/>
        <v>-3.4548289164376675</v>
      </c>
    </row>
    <row r="567" spans="1:104" x14ac:dyDescent="0.25">
      <c r="A567" s="5">
        <v>44026</v>
      </c>
      <c r="B567">
        <v>3.422E-2</v>
      </c>
      <c r="C567">
        <v>3.705E-2</v>
      </c>
      <c r="D567">
        <v>3.3169999999999998E-2</v>
      </c>
      <c r="E567">
        <v>3.6139999999999999E-2</v>
      </c>
      <c r="F567">
        <v>24187045</v>
      </c>
      <c r="G567">
        <v>0</v>
      </c>
      <c r="L567" t="s">
        <v>7</v>
      </c>
      <c r="M567" t="s">
        <v>8</v>
      </c>
      <c r="N567" t="s">
        <v>8</v>
      </c>
      <c r="P567">
        <f t="shared" si="985"/>
        <v>0.53092783505154606</v>
      </c>
      <c r="Q567">
        <f t="shared" si="986"/>
        <v>12841575.438144322</v>
      </c>
      <c r="R567">
        <f t="shared" si="987"/>
        <v>-276836314.57222635</v>
      </c>
      <c r="S567">
        <f t="shared" si="988"/>
        <v>-2768.3631457222637</v>
      </c>
      <c r="T567">
        <f t="shared" si="989"/>
        <v>-2.7683631457222635</v>
      </c>
    </row>
    <row r="568" spans="1:104" x14ac:dyDescent="0.25">
      <c r="A568" s="5">
        <v>44025</v>
      </c>
      <c r="B568">
        <v>3.5090000000000003E-2</v>
      </c>
      <c r="C568">
        <v>3.6999999999999998E-2</v>
      </c>
      <c r="D568">
        <v>3.32E-2</v>
      </c>
      <c r="E568">
        <v>3.4279999999999998E-2</v>
      </c>
      <c r="F568">
        <v>30997434.899999999</v>
      </c>
      <c r="G568">
        <v>0</v>
      </c>
      <c r="L568" t="s">
        <v>7</v>
      </c>
      <c r="M568" t="s">
        <v>8</v>
      </c>
      <c r="N568" t="s">
        <v>8</v>
      </c>
      <c r="P568">
        <f t="shared" si="985"/>
        <v>-0.43157894736842195</v>
      </c>
      <c r="Q568">
        <f t="shared" si="986"/>
        <v>-13377840.325263185</v>
      </c>
      <c r="R568">
        <f t="shared" si="987"/>
        <v>-289677890.01037067</v>
      </c>
      <c r="S568">
        <f t="shared" si="988"/>
        <v>-2896.7789001037067</v>
      </c>
      <c r="T568">
        <f t="shared" si="989"/>
        <v>-2.8967789001037065</v>
      </c>
    </row>
    <row r="569" spans="1:104" x14ac:dyDescent="0.25">
      <c r="A569" s="5">
        <v>44024</v>
      </c>
      <c r="B569">
        <v>3.5000000000000003E-2</v>
      </c>
      <c r="C569">
        <v>3.737E-2</v>
      </c>
      <c r="D569">
        <v>3.3709999999999997E-2</v>
      </c>
      <c r="E569">
        <v>3.5040000000000002E-2</v>
      </c>
      <c r="F569">
        <v>31020317.100000001</v>
      </c>
      <c r="G569">
        <v>0</v>
      </c>
      <c r="L569" t="s">
        <v>8</v>
      </c>
      <c r="M569" t="s">
        <v>8</v>
      </c>
      <c r="N569" t="s">
        <v>8</v>
      </c>
      <c r="P569">
        <f t="shared" si="985"/>
        <v>-0.27322404371584508</v>
      </c>
      <c r="Q569">
        <f t="shared" si="986"/>
        <v>-8475496.4754097778</v>
      </c>
      <c r="R569">
        <f t="shared" si="987"/>
        <v>-276300049.68510747</v>
      </c>
      <c r="S569">
        <f t="shared" si="988"/>
        <v>-2763.0004968510748</v>
      </c>
      <c r="T569">
        <f t="shared" si="989"/>
        <v>-2.7630004968510748</v>
      </c>
    </row>
    <row r="570" spans="1:104" x14ac:dyDescent="0.25">
      <c r="A570" s="5">
        <v>44023</v>
      </c>
      <c r="B570">
        <v>3.3009999999999998E-2</v>
      </c>
      <c r="C570">
        <v>3.6119999999999999E-2</v>
      </c>
      <c r="D570">
        <v>3.3009999999999998E-2</v>
      </c>
      <c r="E570">
        <v>3.4970000000000001E-2</v>
      </c>
      <c r="F570">
        <v>34058605.799999997</v>
      </c>
      <c r="G570">
        <v>0</v>
      </c>
      <c r="L570" t="s">
        <v>8</v>
      </c>
      <c r="M570" t="s">
        <v>8</v>
      </c>
      <c r="N570" t="s">
        <v>8</v>
      </c>
      <c r="P570">
        <f t="shared" si="985"/>
        <v>0.26045016077170569</v>
      </c>
      <c r="Q570">
        <f t="shared" si="986"/>
        <v>8870569.3562701475</v>
      </c>
      <c r="R570">
        <f t="shared" si="987"/>
        <v>-267824553.20969766</v>
      </c>
      <c r="S570">
        <f t="shared" si="988"/>
        <v>-2678.2455320969766</v>
      </c>
      <c r="T570">
        <f t="shared" si="989"/>
        <v>-2.6782455320969767</v>
      </c>
    </row>
    <row r="571" spans="1:104" x14ac:dyDescent="0.25">
      <c r="A571" s="5">
        <v>44022</v>
      </c>
      <c r="B571">
        <v>3.2250000000000001E-2</v>
      </c>
      <c r="C571">
        <v>3.3770000000000001E-2</v>
      </c>
      <c r="D571">
        <v>3.0700000000000002E-2</v>
      </c>
      <c r="E571">
        <v>3.3000000000000002E-2</v>
      </c>
      <c r="F571">
        <v>30093898.399999999</v>
      </c>
      <c r="G571">
        <v>0</v>
      </c>
      <c r="L571" t="s">
        <v>8</v>
      </c>
      <c r="M571" t="s">
        <v>8</v>
      </c>
      <c r="N571" t="s">
        <v>8</v>
      </c>
      <c r="P571">
        <f t="shared" si="985"/>
        <v>0.49837133550488605</v>
      </c>
      <c r="Q571">
        <f t="shared" si="986"/>
        <v>14997936.336156353</v>
      </c>
      <c r="R571">
        <f t="shared" si="987"/>
        <v>-276695122.5659678</v>
      </c>
      <c r="S571">
        <f t="shared" si="988"/>
        <v>-2766.9512256596781</v>
      </c>
      <c r="T571">
        <f t="shared" si="989"/>
        <v>-2.7669512256596782</v>
      </c>
    </row>
    <row r="572" spans="1:104" x14ac:dyDescent="0.25">
      <c r="A572" s="5">
        <v>44021</v>
      </c>
      <c r="B572">
        <v>3.4180000000000002E-2</v>
      </c>
      <c r="C572">
        <v>3.4290000000000001E-2</v>
      </c>
      <c r="D572">
        <v>3.1109999999999999E-2</v>
      </c>
      <c r="E572">
        <v>3.2289999999999999E-2</v>
      </c>
      <c r="F572">
        <v>25280417.199999999</v>
      </c>
      <c r="G572">
        <v>0</v>
      </c>
      <c r="L572" t="s">
        <v>7</v>
      </c>
      <c r="M572" t="s">
        <v>8</v>
      </c>
      <c r="N572" t="s">
        <v>8</v>
      </c>
      <c r="P572">
        <f t="shared" si="985"/>
        <v>-0.25786163522012601</v>
      </c>
      <c r="Q572">
        <f t="shared" si="986"/>
        <v>-6518849.7182389991</v>
      </c>
      <c r="R572">
        <f t="shared" si="987"/>
        <v>-291693058.90212417</v>
      </c>
      <c r="S572">
        <f t="shared" si="988"/>
        <v>-2916.9305890212418</v>
      </c>
      <c r="T572">
        <f t="shared" si="989"/>
        <v>-2.9169305890212418</v>
      </c>
    </row>
    <row r="573" spans="1:104" x14ac:dyDescent="0.25">
      <c r="A573" s="5">
        <v>44020</v>
      </c>
      <c r="B573">
        <v>3.3410000000000002E-2</v>
      </c>
      <c r="C573">
        <v>3.5040000000000002E-2</v>
      </c>
      <c r="D573">
        <v>3.1879999999999999E-2</v>
      </c>
      <c r="E573">
        <v>3.4110000000000001E-2</v>
      </c>
      <c r="F573">
        <v>41237811.600000001</v>
      </c>
      <c r="G573">
        <v>0</v>
      </c>
      <c r="L573" t="s">
        <v>8</v>
      </c>
      <c r="M573" t="s">
        <v>8</v>
      </c>
      <c r="N573" t="s">
        <v>8</v>
      </c>
      <c r="P573">
        <f t="shared" si="985"/>
        <v>0.41139240506329156</v>
      </c>
      <c r="Q573">
        <f t="shared" si="986"/>
        <v>16964922.493670903</v>
      </c>
      <c r="R573">
        <f t="shared" si="987"/>
        <v>-285174209.18388516</v>
      </c>
      <c r="S573">
        <f t="shared" si="988"/>
        <v>-2851.7420918388516</v>
      </c>
      <c r="T573">
        <f t="shared" si="989"/>
        <v>-2.8517420918388514</v>
      </c>
    </row>
    <row r="574" spans="1:104" x14ac:dyDescent="0.25">
      <c r="A574" s="5">
        <v>44019</v>
      </c>
      <c r="B574">
        <v>3.245E-2</v>
      </c>
      <c r="C574">
        <v>3.4000000000000002E-2</v>
      </c>
      <c r="D574">
        <v>3.0939999999999999E-2</v>
      </c>
      <c r="E574">
        <v>3.3439999999999998E-2</v>
      </c>
      <c r="F574">
        <v>219311510.40000001</v>
      </c>
      <c r="G574">
        <v>0</v>
      </c>
      <c r="L574" t="s">
        <v>8</v>
      </c>
      <c r="M574" t="s">
        <v>8</v>
      </c>
      <c r="N574" t="s">
        <v>8</v>
      </c>
      <c r="P574">
        <f t="shared" si="985"/>
        <v>0.63398692810457236</v>
      </c>
      <c r="Q574">
        <f t="shared" si="986"/>
        <v>139040630.77646998</v>
      </c>
      <c r="R574">
        <f t="shared" si="987"/>
        <v>-302139131.67755604</v>
      </c>
      <c r="S574">
        <f t="shared" si="988"/>
        <v>-3021.3913167755604</v>
      </c>
      <c r="T574">
        <f t="shared" si="989"/>
        <v>-3.0213913167755604</v>
      </c>
    </row>
    <row r="575" spans="1:104" x14ac:dyDescent="0.25">
      <c r="A575" s="5">
        <v>44018</v>
      </c>
      <c r="B575">
        <v>2.9899999999999999E-2</v>
      </c>
      <c r="C575">
        <v>3.3000000000000002E-2</v>
      </c>
      <c r="D575">
        <v>2.9850000000000002E-2</v>
      </c>
      <c r="E575">
        <v>3.2500000000000001E-2</v>
      </c>
      <c r="F575">
        <v>286989071.39999998</v>
      </c>
      <c r="G575">
        <v>0</v>
      </c>
      <c r="L575" t="s">
        <v>8</v>
      </c>
      <c r="M575" t="s">
        <v>8</v>
      </c>
      <c r="N575" t="s">
        <v>8</v>
      </c>
      <c r="P575">
        <f t="shared" si="985"/>
        <v>0.68253968253968222</v>
      </c>
      <c r="Q575">
        <f t="shared" si="986"/>
        <v>195881429.68571419</v>
      </c>
      <c r="R575">
        <f t="shared" si="987"/>
        <v>-441179762.45402604</v>
      </c>
      <c r="S575">
        <f t="shared" si="988"/>
        <v>-4411.7976245402606</v>
      </c>
      <c r="T575">
        <f t="shared" si="989"/>
        <v>-4.4117976245402604</v>
      </c>
    </row>
    <row r="576" spans="1:104" x14ac:dyDescent="0.25">
      <c r="A576" s="5">
        <v>44017</v>
      </c>
      <c r="B576">
        <v>2.9590000000000002E-2</v>
      </c>
      <c r="C576">
        <v>3.0599999999999999E-2</v>
      </c>
      <c r="D576">
        <v>2.913E-2</v>
      </c>
      <c r="E576">
        <v>2.9909999999999999E-2</v>
      </c>
      <c r="F576">
        <v>259428587.19999999</v>
      </c>
      <c r="G576">
        <v>0</v>
      </c>
      <c r="L576" t="s">
        <v>8</v>
      </c>
      <c r="M576" t="s">
        <v>7</v>
      </c>
      <c r="N576" t="s">
        <v>8</v>
      </c>
      <c r="P576">
        <f t="shared" si="985"/>
        <v>6.1224489795918269E-2</v>
      </c>
      <c r="Q576">
        <f t="shared" si="986"/>
        <v>15883382.889795892</v>
      </c>
      <c r="R576">
        <f t="shared" si="987"/>
        <v>-637061192.13974023</v>
      </c>
      <c r="S576">
        <f t="shared" si="988"/>
        <v>-6370.6119213974025</v>
      </c>
      <c r="T576">
        <f t="shared" si="989"/>
        <v>-6.3706119213974022</v>
      </c>
    </row>
    <row r="577" spans="1:20" x14ac:dyDescent="0.25">
      <c r="A577" s="5">
        <v>44016</v>
      </c>
      <c r="B577">
        <v>2.997E-2</v>
      </c>
      <c r="C577">
        <v>3.083E-2</v>
      </c>
      <c r="D577">
        <v>2.9170000000000001E-2</v>
      </c>
      <c r="E577">
        <v>2.9590000000000002E-2</v>
      </c>
      <c r="F577">
        <v>129248234</v>
      </c>
      <c r="G577">
        <v>0</v>
      </c>
      <c r="L577" t="s">
        <v>8</v>
      </c>
      <c r="M577" t="s">
        <v>7</v>
      </c>
      <c r="N577" t="s">
        <v>8</v>
      </c>
      <c r="P577">
        <f t="shared" si="985"/>
        <v>-0.49397590361445703</v>
      </c>
      <c r="Q577">
        <f t="shared" si="986"/>
        <v>-63845513.180722788</v>
      </c>
      <c r="R577">
        <f t="shared" si="987"/>
        <v>-652944575.02953613</v>
      </c>
      <c r="S577">
        <f t="shared" si="988"/>
        <v>-6529.445750295361</v>
      </c>
      <c r="T577">
        <f t="shared" si="989"/>
        <v>-6.5294457502953609</v>
      </c>
    </row>
    <row r="578" spans="1:20" x14ac:dyDescent="0.25">
      <c r="A578" s="5">
        <v>44015</v>
      </c>
      <c r="B578">
        <v>2.912E-2</v>
      </c>
      <c r="C578">
        <v>3.0519999999999999E-2</v>
      </c>
      <c r="D578">
        <v>2.8819999999999998E-2</v>
      </c>
      <c r="E578">
        <v>2.998E-2</v>
      </c>
      <c r="F578">
        <v>91180728.200000003</v>
      </c>
      <c r="G578">
        <v>0</v>
      </c>
      <c r="L578" t="s">
        <v>8</v>
      </c>
      <c r="M578" t="s">
        <v>7</v>
      </c>
      <c r="N578" t="s">
        <v>8</v>
      </c>
      <c r="P578">
        <f t="shared" si="985"/>
        <v>0.3647058823529426</v>
      </c>
      <c r="Q578">
        <f t="shared" si="986"/>
        <v>33254147.931764837</v>
      </c>
      <c r="R578">
        <f t="shared" si="987"/>
        <v>-589099061.8488133</v>
      </c>
      <c r="S578">
        <f t="shared" si="988"/>
        <v>-5890.9906184881329</v>
      </c>
      <c r="T578">
        <f t="shared" si="989"/>
        <v>-5.8909906184881331</v>
      </c>
    </row>
    <row r="579" spans="1:20" x14ac:dyDescent="0.25">
      <c r="A579" s="5">
        <v>44014</v>
      </c>
      <c r="B579">
        <v>3.107E-2</v>
      </c>
      <c r="C579">
        <v>3.2250000000000001E-2</v>
      </c>
      <c r="D579">
        <v>2.7709999999999999E-2</v>
      </c>
      <c r="E579">
        <v>2.913E-2</v>
      </c>
      <c r="F579">
        <v>134603546.19999999</v>
      </c>
      <c r="G579">
        <v>0</v>
      </c>
      <c r="L579" t="s">
        <v>7</v>
      </c>
      <c r="M579" t="s">
        <v>7</v>
      </c>
      <c r="N579" t="s">
        <v>8</v>
      </c>
      <c r="P579">
        <f t="shared" si="985"/>
        <v>-0.37444933920704832</v>
      </c>
      <c r="Q579">
        <f t="shared" si="986"/>
        <v>-50402208.929515392</v>
      </c>
      <c r="R579">
        <f t="shared" si="987"/>
        <v>-622353209.78057814</v>
      </c>
      <c r="S579">
        <f t="shared" si="988"/>
        <v>-6223.5320978057816</v>
      </c>
      <c r="T579">
        <f t="shared" si="989"/>
        <v>-6.2235320978057818</v>
      </c>
    </row>
    <row r="580" spans="1:20" x14ac:dyDescent="0.25">
      <c r="A580" s="5">
        <v>44013</v>
      </c>
      <c r="B580">
        <v>3.3230000000000003E-2</v>
      </c>
      <c r="C580">
        <v>3.6380000000000003E-2</v>
      </c>
      <c r="D580">
        <v>3.09E-2</v>
      </c>
      <c r="E580">
        <v>3.107E-2</v>
      </c>
      <c r="F580">
        <v>117945185</v>
      </c>
      <c r="G580">
        <v>0</v>
      </c>
      <c r="L580" t="s">
        <v>8</v>
      </c>
      <c r="M580" t="s">
        <v>8</v>
      </c>
      <c r="N580" t="s">
        <v>8</v>
      </c>
      <c r="P580">
        <f t="shared" si="985"/>
        <v>-0.93795620437956206</v>
      </c>
      <c r="Q580">
        <f t="shared" si="986"/>
        <v>-110627418.04744525</v>
      </c>
      <c r="R580">
        <f t="shared" si="987"/>
        <v>-571951000.85106277</v>
      </c>
      <c r="S580">
        <f t="shared" si="988"/>
        <v>-5719.5100085106278</v>
      </c>
      <c r="T580">
        <f t="shared" si="989"/>
        <v>-5.7195100085106274</v>
      </c>
    </row>
    <row r="581" spans="1:20" x14ac:dyDescent="0.25">
      <c r="A581" s="5">
        <v>44012</v>
      </c>
      <c r="B581">
        <v>3.0370000000000001E-2</v>
      </c>
      <c r="C581">
        <v>3.4799999999999998E-2</v>
      </c>
      <c r="D581">
        <v>3.0370000000000001E-2</v>
      </c>
      <c r="E581">
        <v>3.3239999999999999E-2</v>
      </c>
      <c r="F581">
        <v>79477278.700000003</v>
      </c>
      <c r="G581">
        <v>0</v>
      </c>
      <c r="L581" t="s">
        <v>8</v>
      </c>
      <c r="M581" t="s">
        <v>8</v>
      </c>
      <c r="N581" t="s">
        <v>7</v>
      </c>
      <c r="P581">
        <f t="shared" si="985"/>
        <v>0.29571106094808119</v>
      </c>
      <c r="Q581">
        <f t="shared" si="986"/>
        <v>23502310.405643336</v>
      </c>
      <c r="R581">
        <f t="shared" si="987"/>
        <v>-461323582.80361754</v>
      </c>
      <c r="S581">
        <f t="shared" si="988"/>
        <v>-4613.235828036175</v>
      </c>
      <c r="T581">
        <f t="shared" si="989"/>
        <v>-4.6132358280361752</v>
      </c>
    </row>
    <row r="582" spans="1:20" x14ac:dyDescent="0.25">
      <c r="A582" s="5">
        <v>44011</v>
      </c>
      <c r="B582">
        <v>2.7689999999999999E-2</v>
      </c>
      <c r="C582">
        <v>3.1350000000000003E-2</v>
      </c>
      <c r="D582">
        <v>2.7140000000000001E-2</v>
      </c>
      <c r="E582">
        <v>3.0280000000000001E-2</v>
      </c>
      <c r="F582">
        <v>27166271.100000001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90">IF(C582=D582,0,((E582-D582)-(C582-E582))/(C582-D582))</f>
        <v>0.49168646080760048</v>
      </c>
      <c r="Q582">
        <f t="shared" ref="Q582:Q645" si="991">F582*P582</f>
        <v>13357287.690498801</v>
      </c>
      <c r="R582">
        <f t="shared" ref="R582:R645" si="992">R583+Q582</f>
        <v>-484825893.20926088</v>
      </c>
      <c r="S582">
        <f t="shared" ref="S582:S645" si="993">R582/100000</f>
        <v>-4848.258932092609</v>
      </c>
      <c r="T582">
        <f t="shared" ref="T582:T645" si="994">S582/1000</f>
        <v>-4.8482589320926088</v>
      </c>
    </row>
    <row r="583" spans="1:20" x14ac:dyDescent="0.25">
      <c r="A583" s="5">
        <v>44010</v>
      </c>
      <c r="B583">
        <v>2.504E-2</v>
      </c>
      <c r="C583">
        <v>3.0890000000000001E-2</v>
      </c>
      <c r="D583">
        <v>2.4459999999999999E-2</v>
      </c>
      <c r="E583">
        <v>2.7820000000000001E-2</v>
      </c>
      <c r="F583">
        <v>35466694</v>
      </c>
      <c r="G583">
        <v>0</v>
      </c>
      <c r="L583" t="s">
        <v>7</v>
      </c>
      <c r="M583" t="s">
        <v>7</v>
      </c>
      <c r="N583" t="s">
        <v>7</v>
      </c>
      <c r="P583">
        <f t="shared" si="990"/>
        <v>4.5101088646967651E-2</v>
      </c>
      <c r="Q583">
        <f t="shared" si="991"/>
        <v>1599586.5101088756</v>
      </c>
      <c r="R583">
        <f t="shared" si="992"/>
        <v>-498183180.89975971</v>
      </c>
      <c r="S583">
        <f t="shared" si="993"/>
        <v>-4981.8318089975974</v>
      </c>
      <c r="T583">
        <f t="shared" si="994"/>
        <v>-4.9818318089975975</v>
      </c>
    </row>
    <row r="584" spans="1:20" x14ac:dyDescent="0.25">
      <c r="A584" s="5">
        <v>44009</v>
      </c>
      <c r="B584">
        <v>2.7300000000000001E-2</v>
      </c>
      <c r="C584">
        <v>2.742E-2</v>
      </c>
      <c r="D584">
        <v>2.4850000000000001E-2</v>
      </c>
      <c r="E584">
        <v>2.504E-2</v>
      </c>
      <c r="F584">
        <v>16947430.699999999</v>
      </c>
      <c r="G584">
        <v>0</v>
      </c>
      <c r="L584" t="s">
        <v>7</v>
      </c>
      <c r="M584" t="s">
        <v>7</v>
      </c>
      <c r="N584" t="s">
        <v>7</v>
      </c>
      <c r="P584">
        <f t="shared" si="990"/>
        <v>-0.85214007782101231</v>
      </c>
      <c r="Q584">
        <f t="shared" si="991"/>
        <v>-14441584.915564213</v>
      </c>
      <c r="R584">
        <f t="shared" si="992"/>
        <v>-499782767.4098686</v>
      </c>
      <c r="S584">
        <f t="shared" si="993"/>
        <v>-4997.8276740986857</v>
      </c>
      <c r="T584">
        <f t="shared" si="994"/>
        <v>-4.9978276740986853</v>
      </c>
    </row>
    <row r="585" spans="1:20" x14ac:dyDescent="0.25">
      <c r="A585" s="5">
        <v>44008</v>
      </c>
      <c r="B585">
        <v>2.8559999999999999E-2</v>
      </c>
      <c r="C585">
        <v>2.9090000000000001E-2</v>
      </c>
      <c r="D585">
        <v>2.691E-2</v>
      </c>
      <c r="E585">
        <v>2.7300000000000001E-2</v>
      </c>
      <c r="F585">
        <v>15285900.6</v>
      </c>
      <c r="G585">
        <v>0</v>
      </c>
      <c r="L585" t="s">
        <v>7</v>
      </c>
      <c r="M585" t="s">
        <v>7</v>
      </c>
      <c r="N585" t="s">
        <v>7</v>
      </c>
      <c r="P585">
        <f t="shared" si="990"/>
        <v>-0.64220183486238425</v>
      </c>
      <c r="Q585">
        <f t="shared" si="991"/>
        <v>-9816633.4128440209</v>
      </c>
      <c r="R585">
        <f t="shared" si="992"/>
        <v>-485341182.49430436</v>
      </c>
      <c r="S585">
        <f t="shared" si="993"/>
        <v>-4853.4118249430439</v>
      </c>
      <c r="T585">
        <f t="shared" si="994"/>
        <v>-4.853411824943044</v>
      </c>
    </row>
    <row r="586" spans="1:20" x14ac:dyDescent="0.25">
      <c r="A586" s="5">
        <v>44007</v>
      </c>
      <c r="B586">
        <v>2.971E-2</v>
      </c>
      <c r="C586">
        <v>3.0169999999999999E-2</v>
      </c>
      <c r="D586">
        <v>2.8000000000000001E-2</v>
      </c>
      <c r="E586">
        <v>2.8570000000000002E-2</v>
      </c>
      <c r="F586">
        <v>20010521</v>
      </c>
      <c r="G586">
        <v>0</v>
      </c>
      <c r="L586" t="s">
        <v>7</v>
      </c>
      <c r="M586" t="s">
        <v>7</v>
      </c>
      <c r="N586" t="s">
        <v>7</v>
      </c>
      <c r="P586">
        <f t="shared" si="990"/>
        <v>-0.47465437788018294</v>
      </c>
      <c r="Q586">
        <f t="shared" si="991"/>
        <v>-9498081.3963133357</v>
      </c>
      <c r="R586">
        <f t="shared" si="992"/>
        <v>-475524549.08146036</v>
      </c>
      <c r="S586">
        <f t="shared" si="993"/>
        <v>-4755.2454908146037</v>
      </c>
      <c r="T586">
        <f t="shared" si="994"/>
        <v>-4.7552454908146036</v>
      </c>
    </row>
    <row r="587" spans="1:20" x14ac:dyDescent="0.25">
      <c r="A587" s="5">
        <v>44006</v>
      </c>
      <c r="B587">
        <v>3.2730000000000002E-2</v>
      </c>
      <c r="C587">
        <v>3.3119999999999997E-2</v>
      </c>
      <c r="D587">
        <v>2.894E-2</v>
      </c>
      <c r="E587">
        <v>2.971E-2</v>
      </c>
      <c r="F587">
        <v>20254344.699999999</v>
      </c>
      <c r="G587">
        <v>0</v>
      </c>
      <c r="L587" t="s">
        <v>7</v>
      </c>
      <c r="M587" t="s">
        <v>7</v>
      </c>
      <c r="N587" t="s">
        <v>7</v>
      </c>
      <c r="P587">
        <f t="shared" si="990"/>
        <v>-0.6315789473684208</v>
      </c>
      <c r="Q587">
        <f t="shared" si="991"/>
        <v>-12792217.705263153</v>
      </c>
      <c r="R587">
        <f t="shared" si="992"/>
        <v>-466026467.68514705</v>
      </c>
      <c r="S587">
        <f t="shared" si="993"/>
        <v>-4660.2646768514705</v>
      </c>
      <c r="T587">
        <f t="shared" si="994"/>
        <v>-4.6602646768514706</v>
      </c>
    </row>
    <row r="588" spans="1:20" x14ac:dyDescent="0.25">
      <c r="A588" s="5">
        <v>44005</v>
      </c>
      <c r="B588">
        <v>3.3360000000000001E-2</v>
      </c>
      <c r="C588">
        <v>3.3360000000000001E-2</v>
      </c>
      <c r="D588">
        <v>3.141E-2</v>
      </c>
      <c r="E588">
        <v>3.2719999999999999E-2</v>
      </c>
      <c r="F588">
        <v>17496462</v>
      </c>
      <c r="G588">
        <v>0</v>
      </c>
      <c r="L588" t="s">
        <v>7</v>
      </c>
      <c r="M588" t="s">
        <v>7</v>
      </c>
      <c r="N588" t="s">
        <v>7</v>
      </c>
      <c r="P588">
        <f t="shared" si="990"/>
        <v>0.34358974358974198</v>
      </c>
      <c r="Q588">
        <f t="shared" si="991"/>
        <v>6011604.8923076643</v>
      </c>
      <c r="R588">
        <f t="shared" si="992"/>
        <v>-453234249.97988391</v>
      </c>
      <c r="S588">
        <f t="shared" si="993"/>
        <v>-4532.3424997988395</v>
      </c>
      <c r="T588">
        <f t="shared" si="994"/>
        <v>-4.5323424997988395</v>
      </c>
    </row>
    <row r="589" spans="1:20" x14ac:dyDescent="0.25">
      <c r="A589" s="5">
        <v>44004</v>
      </c>
      <c r="B589">
        <v>3.3910000000000003E-2</v>
      </c>
      <c r="C589">
        <v>3.5499999999999997E-2</v>
      </c>
      <c r="D589">
        <v>3.2039999999999999E-2</v>
      </c>
      <c r="E589">
        <v>3.3279999999999997E-2</v>
      </c>
      <c r="F589">
        <v>27493156.300000001</v>
      </c>
      <c r="G589">
        <v>0</v>
      </c>
      <c r="L589" t="s">
        <v>8</v>
      </c>
      <c r="M589" t="s">
        <v>7</v>
      </c>
      <c r="N589" t="s">
        <v>7</v>
      </c>
      <c r="P589">
        <f t="shared" si="990"/>
        <v>-0.28323699421965387</v>
      </c>
      <c r="Q589">
        <f t="shared" si="991"/>
        <v>-7787078.9520231402</v>
      </c>
      <c r="R589">
        <f t="shared" si="992"/>
        <v>-459245854.87219155</v>
      </c>
      <c r="S589">
        <f t="shared" si="993"/>
        <v>-4592.4585487219156</v>
      </c>
      <c r="T589">
        <f t="shared" si="994"/>
        <v>-4.5924585487219156</v>
      </c>
    </row>
    <row r="590" spans="1:20" x14ac:dyDescent="0.25">
      <c r="A590" s="5">
        <v>44003</v>
      </c>
      <c r="B590">
        <v>3.0769999999999999E-2</v>
      </c>
      <c r="C590">
        <v>3.4279999999999998E-2</v>
      </c>
      <c r="D590">
        <v>3.0550000000000001E-2</v>
      </c>
      <c r="E590">
        <v>3.388E-2</v>
      </c>
      <c r="F590">
        <v>26421591.699999999</v>
      </c>
      <c r="G590">
        <v>0</v>
      </c>
      <c r="L590" t="s">
        <v>8</v>
      </c>
      <c r="M590" t="s">
        <v>7</v>
      </c>
      <c r="N590" t="s">
        <v>7</v>
      </c>
      <c r="P590">
        <f t="shared" si="990"/>
        <v>0.78552278820375454</v>
      </c>
      <c r="Q590">
        <f t="shared" si="991"/>
        <v>20754762.380965177</v>
      </c>
      <c r="R590">
        <f t="shared" si="992"/>
        <v>-451458775.9201684</v>
      </c>
      <c r="S590">
        <f t="shared" si="993"/>
        <v>-4514.5877592016841</v>
      </c>
      <c r="T590">
        <f t="shared" si="994"/>
        <v>-4.5145877592016843</v>
      </c>
    </row>
    <row r="591" spans="1:20" x14ac:dyDescent="0.25">
      <c r="A591" s="5">
        <v>44002</v>
      </c>
      <c r="B591">
        <v>3.1519999999999999E-2</v>
      </c>
      <c r="C591">
        <v>3.2849999999999997E-2</v>
      </c>
      <c r="D591">
        <v>3.0360000000000002E-2</v>
      </c>
      <c r="E591">
        <v>3.0669999999999999E-2</v>
      </c>
      <c r="F591">
        <v>17164393.5</v>
      </c>
      <c r="G591">
        <v>0</v>
      </c>
      <c r="L591" t="s">
        <v>7</v>
      </c>
      <c r="M591" t="s">
        <v>7</v>
      </c>
      <c r="N591" t="s">
        <v>7</v>
      </c>
      <c r="P591">
        <f t="shared" si="990"/>
        <v>-0.75100401606425837</v>
      </c>
      <c r="Q591">
        <f t="shared" si="991"/>
        <v>-12890528.451807251</v>
      </c>
      <c r="R591">
        <f t="shared" si="992"/>
        <v>-472213538.30113357</v>
      </c>
      <c r="S591">
        <f t="shared" si="993"/>
        <v>-4722.1353830113358</v>
      </c>
      <c r="T591">
        <f t="shared" si="994"/>
        <v>-4.7221353830113362</v>
      </c>
    </row>
    <row r="592" spans="1:20" x14ac:dyDescent="0.25">
      <c r="A592" s="5">
        <v>44001</v>
      </c>
      <c r="B592">
        <v>3.3360000000000001E-2</v>
      </c>
      <c r="C592">
        <v>3.3660000000000002E-2</v>
      </c>
      <c r="D592">
        <v>3.1210000000000002E-2</v>
      </c>
      <c r="E592">
        <v>3.1579999999999997E-2</v>
      </c>
      <c r="F592">
        <v>30378543.899999999</v>
      </c>
      <c r="G592">
        <v>0</v>
      </c>
      <c r="L592" t="s">
        <v>7</v>
      </c>
      <c r="M592" t="s">
        <v>7</v>
      </c>
      <c r="N592" t="s">
        <v>7</v>
      </c>
      <c r="P592">
        <f t="shared" si="990"/>
        <v>-0.69795918367347332</v>
      </c>
      <c r="Q592">
        <f t="shared" si="991"/>
        <v>-21202983.701632772</v>
      </c>
      <c r="R592">
        <f t="shared" si="992"/>
        <v>-459323009.84932631</v>
      </c>
      <c r="S592">
        <f t="shared" si="993"/>
        <v>-4593.2300984932635</v>
      </c>
      <c r="T592">
        <f t="shared" si="994"/>
        <v>-4.5932300984932635</v>
      </c>
    </row>
    <row r="593" spans="1:20" x14ac:dyDescent="0.25">
      <c r="A593" s="5">
        <v>44000</v>
      </c>
      <c r="B593">
        <v>3.6400000000000002E-2</v>
      </c>
      <c r="C593">
        <v>3.6580000000000001E-2</v>
      </c>
      <c r="D593">
        <v>3.2660000000000002E-2</v>
      </c>
      <c r="E593">
        <v>3.3360000000000001E-2</v>
      </c>
      <c r="F593">
        <v>32606852.5</v>
      </c>
      <c r="G593">
        <v>0</v>
      </c>
      <c r="L593" t="s">
        <v>7</v>
      </c>
      <c r="M593" t="s">
        <v>7</v>
      </c>
      <c r="N593" t="s">
        <v>7</v>
      </c>
      <c r="P593">
        <f t="shared" si="990"/>
        <v>-0.64285714285714324</v>
      </c>
      <c r="Q593">
        <f t="shared" si="991"/>
        <v>-20961548.035714298</v>
      </c>
      <c r="R593">
        <f t="shared" si="992"/>
        <v>-438120026.14769351</v>
      </c>
      <c r="S593">
        <f t="shared" si="993"/>
        <v>-4381.2002614769353</v>
      </c>
      <c r="T593">
        <f t="shared" si="994"/>
        <v>-4.381200261476935</v>
      </c>
    </row>
    <row r="594" spans="1:20" x14ac:dyDescent="0.25">
      <c r="A594" s="5">
        <v>43999</v>
      </c>
      <c r="B594">
        <v>3.5650000000000001E-2</v>
      </c>
      <c r="C594">
        <v>3.9129999999999998E-2</v>
      </c>
      <c r="D594">
        <v>3.5249999999999997E-2</v>
      </c>
      <c r="E594">
        <v>3.6360000000000003E-2</v>
      </c>
      <c r="F594">
        <v>47131820.799999997</v>
      </c>
      <c r="G594">
        <v>0</v>
      </c>
      <c r="L594" t="s">
        <v>8</v>
      </c>
      <c r="M594" t="s">
        <v>8</v>
      </c>
      <c r="N594" t="s">
        <v>7</v>
      </c>
      <c r="P594">
        <f t="shared" si="990"/>
        <v>-0.42783505154638846</v>
      </c>
      <c r="Q594">
        <f t="shared" si="991"/>
        <v>-20164644.981443141</v>
      </c>
      <c r="R594">
        <f t="shared" si="992"/>
        <v>-417158478.11197925</v>
      </c>
      <c r="S594">
        <f t="shared" si="993"/>
        <v>-4171.5847811197928</v>
      </c>
      <c r="T594">
        <f t="shared" si="994"/>
        <v>-4.171584781119793</v>
      </c>
    </row>
    <row r="595" spans="1:20" x14ac:dyDescent="0.25">
      <c r="A595" s="5">
        <v>43998</v>
      </c>
      <c r="B595">
        <v>3.585E-2</v>
      </c>
      <c r="C595">
        <v>3.8490000000000003E-2</v>
      </c>
      <c r="D595">
        <v>3.456E-2</v>
      </c>
      <c r="E595">
        <v>3.5709999999999999E-2</v>
      </c>
      <c r="F595">
        <v>42747022.5</v>
      </c>
      <c r="G595">
        <v>0</v>
      </c>
      <c r="L595" t="s">
        <v>7</v>
      </c>
      <c r="M595" t="s">
        <v>8</v>
      </c>
      <c r="N595" t="s">
        <v>7</v>
      </c>
      <c r="P595">
        <f t="shared" si="990"/>
        <v>-0.4147582697201031</v>
      </c>
      <c r="Q595">
        <f t="shared" si="991"/>
        <v>-17729681.087786317</v>
      </c>
      <c r="R595">
        <f t="shared" si="992"/>
        <v>-396993833.13053608</v>
      </c>
      <c r="S595">
        <f t="shared" si="993"/>
        <v>-3969.9383313053609</v>
      </c>
      <c r="T595">
        <f t="shared" si="994"/>
        <v>-3.9699383313053609</v>
      </c>
    </row>
    <row r="596" spans="1:20" x14ac:dyDescent="0.25">
      <c r="A596" s="5">
        <v>43997</v>
      </c>
      <c r="B596">
        <v>3.3759999999999998E-2</v>
      </c>
      <c r="C596">
        <v>3.9300000000000002E-2</v>
      </c>
      <c r="D596">
        <v>3.3149999999999999E-2</v>
      </c>
      <c r="E596">
        <v>3.585E-2</v>
      </c>
      <c r="F596">
        <v>92238482.099999994</v>
      </c>
      <c r="G596">
        <v>0</v>
      </c>
      <c r="L596" t="s">
        <v>8</v>
      </c>
      <c r="M596" t="s">
        <v>8</v>
      </c>
      <c r="N596" t="s">
        <v>7</v>
      </c>
      <c r="P596">
        <f t="shared" si="990"/>
        <v>-0.12195121951219517</v>
      </c>
      <c r="Q596">
        <f t="shared" si="991"/>
        <v>-11248595.378048785</v>
      </c>
      <c r="R596">
        <f t="shared" si="992"/>
        <v>-379264152.04274976</v>
      </c>
      <c r="S596">
        <f t="shared" si="993"/>
        <v>-3792.6415204274977</v>
      </c>
      <c r="T596">
        <f t="shared" si="994"/>
        <v>-3.7926415204274977</v>
      </c>
    </row>
    <row r="597" spans="1:20" x14ac:dyDescent="0.25">
      <c r="A597" s="5">
        <v>43996</v>
      </c>
      <c r="B597">
        <v>3.44E-2</v>
      </c>
      <c r="C597">
        <v>3.6799999999999999E-2</v>
      </c>
      <c r="D597">
        <v>3.2680000000000001E-2</v>
      </c>
      <c r="E597">
        <v>3.3759999999999998E-2</v>
      </c>
      <c r="F597">
        <v>39280445.799999997</v>
      </c>
      <c r="G597">
        <v>0</v>
      </c>
      <c r="L597" t="s">
        <v>7</v>
      </c>
      <c r="M597" t="s">
        <v>7</v>
      </c>
      <c r="N597" t="s">
        <v>7</v>
      </c>
      <c r="P597">
        <f t="shared" si="990"/>
        <v>-0.47572815533980678</v>
      </c>
      <c r="Q597">
        <f t="shared" si="991"/>
        <v>-18686814.021359261</v>
      </c>
      <c r="R597">
        <f t="shared" si="992"/>
        <v>-368015556.66470098</v>
      </c>
      <c r="S597">
        <f t="shared" si="993"/>
        <v>-3680.1555666470099</v>
      </c>
      <c r="T597">
        <f t="shared" si="994"/>
        <v>-3.6801555666470098</v>
      </c>
    </row>
    <row r="598" spans="1:20" x14ac:dyDescent="0.25">
      <c r="A598" s="5">
        <v>43995</v>
      </c>
      <c r="B598">
        <v>3.4819999999999997E-2</v>
      </c>
      <c r="C598">
        <v>3.9E-2</v>
      </c>
      <c r="D598">
        <v>3.3669999999999999E-2</v>
      </c>
      <c r="E598">
        <v>3.4270000000000002E-2</v>
      </c>
      <c r="F598">
        <v>40107330.600000001</v>
      </c>
      <c r="G598">
        <v>0</v>
      </c>
      <c r="L598" t="s">
        <v>7</v>
      </c>
      <c r="M598" t="s">
        <v>7</v>
      </c>
      <c r="N598" t="s">
        <v>7</v>
      </c>
      <c r="P598">
        <f t="shared" si="990"/>
        <v>-0.77485928705440787</v>
      </c>
      <c r="Q598">
        <f t="shared" si="991"/>
        <v>-31077537.594371438</v>
      </c>
      <c r="R598">
        <f t="shared" si="992"/>
        <v>-349328742.64334172</v>
      </c>
      <c r="S598">
        <f t="shared" si="993"/>
        <v>-3493.2874264334173</v>
      </c>
      <c r="T598">
        <f t="shared" si="994"/>
        <v>-3.4932874264334175</v>
      </c>
    </row>
    <row r="599" spans="1:20" x14ac:dyDescent="0.25">
      <c r="A599" s="5">
        <v>43994</v>
      </c>
      <c r="B599">
        <v>3.739E-2</v>
      </c>
      <c r="C599">
        <v>3.9480000000000001E-2</v>
      </c>
      <c r="D599">
        <v>3.4130000000000001E-2</v>
      </c>
      <c r="E599">
        <v>3.4840000000000003E-2</v>
      </c>
      <c r="F599">
        <v>63358622.5</v>
      </c>
      <c r="G599">
        <v>0</v>
      </c>
      <c r="L599" t="s">
        <v>7</v>
      </c>
      <c r="M599" t="s">
        <v>7</v>
      </c>
      <c r="N599" t="s">
        <v>7</v>
      </c>
      <c r="P599">
        <f t="shared" si="990"/>
        <v>-0.7345794392523356</v>
      </c>
      <c r="Q599">
        <f t="shared" si="991"/>
        <v>-46541941.387850411</v>
      </c>
      <c r="R599">
        <f t="shared" si="992"/>
        <v>-318251205.04897028</v>
      </c>
      <c r="S599">
        <f t="shared" si="993"/>
        <v>-3182.5120504897027</v>
      </c>
      <c r="T599">
        <f t="shared" si="994"/>
        <v>-3.1825120504897026</v>
      </c>
    </row>
    <row r="600" spans="1:20" x14ac:dyDescent="0.25">
      <c r="A600" s="5">
        <v>43993</v>
      </c>
      <c r="B600">
        <v>3.5000000000000003E-2</v>
      </c>
      <c r="C600">
        <v>5.1520000000000003E-2</v>
      </c>
      <c r="D600">
        <v>3.1609999999999999E-2</v>
      </c>
      <c r="E600">
        <v>3.7400000000000003E-2</v>
      </c>
      <c r="F600">
        <v>294902878.5</v>
      </c>
      <c r="G600">
        <v>0</v>
      </c>
      <c r="L600" t="s">
        <v>8</v>
      </c>
      <c r="M600" t="s">
        <v>8</v>
      </c>
      <c r="N600" t="s">
        <v>8</v>
      </c>
      <c r="P600">
        <f t="shared" si="990"/>
        <v>-0.41838272225012535</v>
      </c>
      <c r="Q600">
        <f t="shared" si="991"/>
        <v>-123382269.10622796</v>
      </c>
      <c r="R600">
        <f t="shared" si="992"/>
        <v>-271709263.66111988</v>
      </c>
      <c r="S600">
        <f t="shared" si="993"/>
        <v>-2717.0926366111989</v>
      </c>
      <c r="T600">
        <f t="shared" si="994"/>
        <v>-2.7170926366111989</v>
      </c>
    </row>
    <row r="601" spans="1:20" x14ac:dyDescent="0.25">
      <c r="A601" s="5">
        <v>43992</v>
      </c>
      <c r="B601">
        <v>2.5479999999999999E-2</v>
      </c>
      <c r="C601">
        <v>3.5049999999999998E-2</v>
      </c>
      <c r="D601">
        <v>2.47E-2</v>
      </c>
      <c r="E601">
        <v>3.5000000000000003E-2</v>
      </c>
      <c r="F601">
        <v>59879345.100000001</v>
      </c>
      <c r="G601">
        <v>0</v>
      </c>
      <c r="L601" t="s">
        <v>8</v>
      </c>
      <c r="M601" t="s">
        <v>8</v>
      </c>
      <c r="N601" t="s">
        <v>8</v>
      </c>
      <c r="P601">
        <f t="shared" si="990"/>
        <v>0.9903381642512088</v>
      </c>
      <c r="Q601">
        <f t="shared" si="991"/>
        <v>59300800.702898614</v>
      </c>
      <c r="R601">
        <f t="shared" si="992"/>
        <v>-148326994.55489191</v>
      </c>
      <c r="S601">
        <f t="shared" si="993"/>
        <v>-1483.2699455489192</v>
      </c>
      <c r="T601">
        <f t="shared" si="994"/>
        <v>-1.4832699455489191</v>
      </c>
    </row>
    <row r="602" spans="1:20" x14ac:dyDescent="0.25">
      <c r="A602" s="5">
        <v>43991</v>
      </c>
      <c r="B602">
        <v>2.4639999999999999E-2</v>
      </c>
      <c r="C602">
        <v>2.5850000000000001E-2</v>
      </c>
      <c r="D602">
        <v>2.3699999999999999E-2</v>
      </c>
      <c r="E602">
        <v>2.5479999999999999E-2</v>
      </c>
      <c r="F602">
        <v>20275976.699999999</v>
      </c>
      <c r="G602">
        <v>0</v>
      </c>
      <c r="L602" t="s">
        <v>7</v>
      </c>
      <c r="M602" t="s">
        <v>7</v>
      </c>
      <c r="N602" t="s">
        <v>8</v>
      </c>
      <c r="P602">
        <f t="shared" si="990"/>
        <v>0.65581395348837035</v>
      </c>
      <c r="Q602">
        <f t="shared" si="991"/>
        <v>13297268.44046508</v>
      </c>
      <c r="R602">
        <f t="shared" si="992"/>
        <v>-207627795.25779054</v>
      </c>
      <c r="S602">
        <f t="shared" si="993"/>
        <v>-2076.2779525779056</v>
      </c>
      <c r="T602">
        <f t="shared" si="994"/>
        <v>-2.0762779525779056</v>
      </c>
    </row>
    <row r="603" spans="1:20" x14ac:dyDescent="0.25">
      <c r="A603" s="5">
        <v>43990</v>
      </c>
      <c r="B603">
        <v>2.6200000000000001E-2</v>
      </c>
      <c r="C603">
        <v>2.9860000000000001E-2</v>
      </c>
      <c r="D603">
        <v>2.3460000000000002E-2</v>
      </c>
      <c r="E603">
        <v>2.462E-2</v>
      </c>
      <c r="F603">
        <v>55810429.799999997</v>
      </c>
      <c r="G603">
        <v>0</v>
      </c>
      <c r="L603" t="s">
        <v>8</v>
      </c>
      <c r="M603" t="s">
        <v>8</v>
      </c>
      <c r="N603" t="s">
        <v>8</v>
      </c>
      <c r="P603">
        <f t="shared" si="990"/>
        <v>-0.63750000000000062</v>
      </c>
      <c r="Q603">
        <f t="shared" si="991"/>
        <v>-35579148.997500032</v>
      </c>
      <c r="R603">
        <f t="shared" si="992"/>
        <v>-220925063.69825563</v>
      </c>
      <c r="S603">
        <f t="shared" si="993"/>
        <v>-2209.2506369825564</v>
      </c>
      <c r="T603">
        <f t="shared" si="994"/>
        <v>-2.2092506369825564</v>
      </c>
    </row>
    <row r="604" spans="1:20" x14ac:dyDescent="0.25">
      <c r="A604" s="5">
        <v>43989</v>
      </c>
      <c r="B604">
        <v>2.2610000000000002E-2</v>
      </c>
      <c r="C604">
        <v>2.7009999999999999E-2</v>
      </c>
      <c r="D604">
        <v>2.189E-2</v>
      </c>
      <c r="E604">
        <v>2.6210000000000001E-2</v>
      </c>
      <c r="F604">
        <v>24745347</v>
      </c>
      <c r="G604">
        <v>0</v>
      </c>
      <c r="L604" t="s">
        <v>8</v>
      </c>
      <c r="M604" t="s">
        <v>8</v>
      </c>
      <c r="N604" t="s">
        <v>8</v>
      </c>
      <c r="P604">
        <f t="shared" si="990"/>
        <v>0.68750000000000056</v>
      </c>
      <c r="Q604">
        <f t="shared" si="991"/>
        <v>17012426.062500015</v>
      </c>
      <c r="R604">
        <f t="shared" si="992"/>
        <v>-185345914.7007556</v>
      </c>
      <c r="S604">
        <f t="shared" si="993"/>
        <v>-1853.4591470075559</v>
      </c>
      <c r="T604">
        <f t="shared" si="994"/>
        <v>-1.8534591470075559</v>
      </c>
    </row>
    <row r="605" spans="1:20" x14ac:dyDescent="0.25">
      <c r="A605" s="5">
        <v>43988</v>
      </c>
      <c r="B605">
        <v>2.1780000000000001E-2</v>
      </c>
      <c r="C605">
        <v>2.2700000000000001E-2</v>
      </c>
      <c r="D605">
        <v>2.1510000000000001E-2</v>
      </c>
      <c r="E605">
        <v>2.2589999999999999E-2</v>
      </c>
      <c r="F605">
        <v>12288137.199999999</v>
      </c>
      <c r="G605">
        <v>0</v>
      </c>
      <c r="L605" t="s">
        <v>8</v>
      </c>
      <c r="M605" t="s">
        <v>8</v>
      </c>
      <c r="N605" t="s">
        <v>8</v>
      </c>
      <c r="P605">
        <f t="shared" si="990"/>
        <v>0.81512605042016395</v>
      </c>
      <c r="Q605">
        <f t="shared" si="991"/>
        <v>10016380.742857091</v>
      </c>
      <c r="R605">
        <f t="shared" si="992"/>
        <v>-202358340.7632556</v>
      </c>
      <c r="S605">
        <f t="shared" si="993"/>
        <v>-2023.5834076325559</v>
      </c>
      <c r="T605">
        <f t="shared" si="994"/>
        <v>-2.0235834076325561</v>
      </c>
    </row>
    <row r="606" spans="1:20" x14ac:dyDescent="0.25">
      <c r="A606" s="5">
        <v>43987</v>
      </c>
      <c r="B606">
        <v>2.1749999999999999E-2</v>
      </c>
      <c r="C606">
        <v>2.1999999999999999E-2</v>
      </c>
      <c r="D606">
        <v>2.1499999999999998E-2</v>
      </c>
      <c r="E606">
        <v>2.1780000000000001E-2</v>
      </c>
      <c r="F606">
        <v>6583293.4000000004</v>
      </c>
      <c r="G606">
        <v>0</v>
      </c>
      <c r="L606" t="s">
        <v>8</v>
      </c>
      <c r="M606" t="s">
        <v>8</v>
      </c>
      <c r="N606" t="s">
        <v>8</v>
      </c>
      <c r="P606">
        <f t="shared" si="990"/>
        <v>0.12000000000000888</v>
      </c>
      <c r="Q606">
        <f t="shared" si="991"/>
        <v>789995.20800005854</v>
      </c>
      <c r="R606">
        <f t="shared" si="992"/>
        <v>-212374721.50611269</v>
      </c>
      <c r="S606">
        <f t="shared" si="993"/>
        <v>-2123.747215061127</v>
      </c>
      <c r="T606">
        <f t="shared" si="994"/>
        <v>-2.123747215061127</v>
      </c>
    </row>
    <row r="607" spans="1:20" x14ac:dyDescent="0.25">
      <c r="A607" s="5">
        <v>43986</v>
      </c>
      <c r="B607">
        <v>2.1690000000000001E-2</v>
      </c>
      <c r="C607">
        <v>2.2429999999999999E-2</v>
      </c>
      <c r="D607">
        <v>2.1520000000000001E-2</v>
      </c>
      <c r="E607">
        <v>2.1760000000000002E-2</v>
      </c>
      <c r="F607">
        <v>9038710.4000000004</v>
      </c>
      <c r="G607">
        <v>0</v>
      </c>
      <c r="L607" t="s">
        <v>8</v>
      </c>
      <c r="M607" t="s">
        <v>8</v>
      </c>
      <c r="N607" t="s">
        <v>8</v>
      </c>
      <c r="P607">
        <f t="shared" si="990"/>
        <v>-0.47252747252746974</v>
      </c>
      <c r="Q607">
        <f t="shared" si="991"/>
        <v>-4271038.9802197553</v>
      </c>
      <c r="R607">
        <f t="shared" si="992"/>
        <v>-213164716.71411276</v>
      </c>
      <c r="S607">
        <f t="shared" si="993"/>
        <v>-2131.6471671411277</v>
      </c>
      <c r="T607">
        <f t="shared" si="994"/>
        <v>-2.1316471671411277</v>
      </c>
    </row>
    <row r="608" spans="1:20" x14ac:dyDescent="0.25">
      <c r="A608" s="5">
        <v>43985</v>
      </c>
      <c r="B608">
        <v>2.1350000000000001E-2</v>
      </c>
      <c r="C608">
        <v>2.2499999999999999E-2</v>
      </c>
      <c r="D608">
        <v>2.087E-2</v>
      </c>
      <c r="E608">
        <v>2.1680000000000001E-2</v>
      </c>
      <c r="F608">
        <v>14855912</v>
      </c>
      <c r="G608">
        <v>0</v>
      </c>
      <c r="L608" t="s">
        <v>8</v>
      </c>
      <c r="M608" t="s">
        <v>8</v>
      </c>
      <c r="N608" t="s">
        <v>8</v>
      </c>
      <c r="P608">
        <f t="shared" si="990"/>
        <v>-6.1349693251509978E-3</v>
      </c>
      <c r="Q608">
        <f t="shared" si="991"/>
        <v>-91140.56441714261</v>
      </c>
      <c r="R608">
        <f t="shared" si="992"/>
        <v>-208893677.73389301</v>
      </c>
      <c r="S608">
        <f t="shared" si="993"/>
        <v>-2088.9367773389299</v>
      </c>
      <c r="T608">
        <f t="shared" si="994"/>
        <v>-2.08893677733893</v>
      </c>
    </row>
    <row r="609" spans="1:20" x14ac:dyDescent="0.25">
      <c r="A609" s="5">
        <v>43984</v>
      </c>
      <c r="B609">
        <v>2.1829999999999999E-2</v>
      </c>
      <c r="C609">
        <v>2.3130000000000001E-2</v>
      </c>
      <c r="D609">
        <v>1.5900000000000001E-2</v>
      </c>
      <c r="E609">
        <v>2.1350000000000001E-2</v>
      </c>
      <c r="F609">
        <v>27037898.600000001</v>
      </c>
      <c r="G609">
        <v>0</v>
      </c>
      <c r="L609" t="s">
        <v>7</v>
      </c>
      <c r="M609" t="s">
        <v>7</v>
      </c>
      <c r="N609" t="s">
        <v>7</v>
      </c>
      <c r="P609">
        <f t="shared" si="990"/>
        <v>0.50760719225449513</v>
      </c>
      <c r="Q609">
        <f t="shared" si="991"/>
        <v>13724631.792807745</v>
      </c>
      <c r="R609">
        <f t="shared" si="992"/>
        <v>-208802537.16947585</v>
      </c>
      <c r="S609">
        <f t="shared" si="993"/>
        <v>-2088.0253716947586</v>
      </c>
      <c r="T609">
        <f t="shared" si="994"/>
        <v>-2.0880253716947585</v>
      </c>
    </row>
    <row r="610" spans="1:20" x14ac:dyDescent="0.25">
      <c r="A610" s="5">
        <v>43983</v>
      </c>
      <c r="B610">
        <v>2.155E-2</v>
      </c>
      <c r="C610">
        <v>2.2200000000000001E-2</v>
      </c>
      <c r="D610">
        <v>2.1260000000000001E-2</v>
      </c>
      <c r="E610">
        <v>2.1749999999999999E-2</v>
      </c>
      <c r="F610">
        <v>7291081.0999999996</v>
      </c>
      <c r="G610">
        <v>0</v>
      </c>
      <c r="L610" t="s">
        <v>7</v>
      </c>
      <c r="M610" t="s">
        <v>8</v>
      </c>
      <c r="N610" t="s">
        <v>7</v>
      </c>
      <c r="P610">
        <f t="shared" si="990"/>
        <v>4.2553191489356282E-2</v>
      </c>
      <c r="Q610">
        <f t="shared" si="991"/>
        <v>310258.77021272643</v>
      </c>
      <c r="R610">
        <f t="shared" si="992"/>
        <v>-222527168.96228361</v>
      </c>
      <c r="S610">
        <f t="shared" si="993"/>
        <v>-2225.2716896228362</v>
      </c>
      <c r="T610">
        <f t="shared" si="994"/>
        <v>-2.2252716896228364</v>
      </c>
    </row>
    <row r="611" spans="1:20" x14ac:dyDescent="0.25">
      <c r="A611" s="5">
        <v>43982</v>
      </c>
      <c r="B611">
        <v>2.1999999999999999E-2</v>
      </c>
      <c r="C611">
        <v>2.248E-2</v>
      </c>
      <c r="D611">
        <v>2.1409999999999998E-2</v>
      </c>
      <c r="E611">
        <v>2.154E-2</v>
      </c>
      <c r="F611">
        <v>9224344</v>
      </c>
      <c r="G611">
        <v>0</v>
      </c>
      <c r="L611" t="s">
        <v>7</v>
      </c>
      <c r="M611" t="s">
        <v>8</v>
      </c>
      <c r="N611" t="s">
        <v>7</v>
      </c>
      <c r="P611">
        <f t="shared" si="990"/>
        <v>-0.75700934579438983</v>
      </c>
      <c r="Q611">
        <f t="shared" si="991"/>
        <v>-6982914.6168224048</v>
      </c>
      <c r="R611">
        <f t="shared" si="992"/>
        <v>-222837427.73249635</v>
      </c>
      <c r="S611">
        <f t="shared" si="993"/>
        <v>-2228.3742773249637</v>
      </c>
      <c r="T611">
        <f t="shared" si="994"/>
        <v>-2.2283742773249635</v>
      </c>
    </row>
    <row r="612" spans="1:20" x14ac:dyDescent="0.25">
      <c r="A612" s="5">
        <v>43981</v>
      </c>
      <c r="B612">
        <v>2.1260000000000001E-2</v>
      </c>
      <c r="C612">
        <v>2.3529999999999999E-2</v>
      </c>
      <c r="D612">
        <v>2.0799999999999999E-2</v>
      </c>
      <c r="E612">
        <v>2.198E-2</v>
      </c>
      <c r="F612">
        <v>20762601.300000001</v>
      </c>
      <c r="G612">
        <v>0</v>
      </c>
      <c r="L612" t="s">
        <v>8</v>
      </c>
      <c r="M612" t="s">
        <v>8</v>
      </c>
      <c r="N612" t="s">
        <v>7</v>
      </c>
      <c r="P612">
        <f t="shared" si="990"/>
        <v>-0.13553113553113511</v>
      </c>
      <c r="Q612">
        <f t="shared" si="991"/>
        <v>-2813978.9307692219</v>
      </c>
      <c r="R612">
        <f t="shared" si="992"/>
        <v>-215854513.11567396</v>
      </c>
      <c r="S612">
        <f t="shared" si="993"/>
        <v>-2158.5451311567394</v>
      </c>
      <c r="T612">
        <f t="shared" si="994"/>
        <v>-2.1585451311567394</v>
      </c>
    </row>
    <row r="613" spans="1:20" x14ac:dyDescent="0.25">
      <c r="A613" s="5">
        <v>43980</v>
      </c>
      <c r="B613">
        <v>2.0760000000000001E-2</v>
      </c>
      <c r="C613">
        <v>2.1999999999999999E-2</v>
      </c>
      <c r="D613">
        <v>2.0279999999999999E-2</v>
      </c>
      <c r="E613">
        <v>2.1260000000000001E-2</v>
      </c>
      <c r="F613">
        <v>16034711</v>
      </c>
      <c r="G613">
        <v>0</v>
      </c>
      <c r="L613" t="s">
        <v>8</v>
      </c>
      <c r="M613" t="s">
        <v>7</v>
      </c>
      <c r="N613" t="s">
        <v>7</v>
      </c>
      <c r="P613">
        <f t="shared" si="990"/>
        <v>0.13953488372093267</v>
      </c>
      <c r="Q613">
        <f t="shared" si="991"/>
        <v>2237401.5348837599</v>
      </c>
      <c r="R613">
        <f t="shared" si="992"/>
        <v>-213040534.18490472</v>
      </c>
      <c r="S613">
        <f t="shared" si="993"/>
        <v>-2130.4053418490471</v>
      </c>
      <c r="T613">
        <f t="shared" si="994"/>
        <v>-2.130405341849047</v>
      </c>
    </row>
    <row r="614" spans="1:20" x14ac:dyDescent="0.25">
      <c r="A614" s="5">
        <v>43979</v>
      </c>
      <c r="B614">
        <v>2.0449999999999999E-2</v>
      </c>
      <c r="C614">
        <v>2.1100000000000001E-2</v>
      </c>
      <c r="D614">
        <v>1.9699999999999999E-2</v>
      </c>
      <c r="E614">
        <v>2.0760000000000001E-2</v>
      </c>
      <c r="F614">
        <v>12561049.1</v>
      </c>
      <c r="G614">
        <v>0</v>
      </c>
      <c r="L614" t="s">
        <v>8</v>
      </c>
      <c r="M614" t="s">
        <v>7</v>
      </c>
      <c r="N614" t="s">
        <v>7</v>
      </c>
      <c r="P614">
        <f t="shared" si="990"/>
        <v>0.5142857142857149</v>
      </c>
      <c r="Q614">
        <f t="shared" si="991"/>
        <v>6459968.1085714363</v>
      </c>
      <c r="R614">
        <f t="shared" si="992"/>
        <v>-215277935.71978849</v>
      </c>
      <c r="S614">
        <f t="shared" si="993"/>
        <v>-2152.779357197885</v>
      </c>
      <c r="T614">
        <f t="shared" si="994"/>
        <v>-2.1527793571978848</v>
      </c>
    </row>
    <row r="615" spans="1:20" x14ac:dyDescent="0.25">
      <c r="A615" s="5">
        <v>43978</v>
      </c>
      <c r="B615">
        <v>2.077E-2</v>
      </c>
      <c r="C615">
        <v>2.1909999999999999E-2</v>
      </c>
      <c r="D615">
        <v>1.9109999999999999E-2</v>
      </c>
      <c r="E615">
        <v>2.0490000000000001E-2</v>
      </c>
      <c r="F615">
        <v>17018521</v>
      </c>
      <c r="G615">
        <v>0</v>
      </c>
      <c r="L615" t="s">
        <v>7</v>
      </c>
      <c r="M615" t="s">
        <v>7</v>
      </c>
      <c r="N615" t="s">
        <v>7</v>
      </c>
      <c r="P615">
        <f t="shared" si="990"/>
        <v>-1.4285714285712462E-2</v>
      </c>
      <c r="Q615">
        <f t="shared" si="991"/>
        <v>-243121.72857139754</v>
      </c>
      <c r="R615">
        <f t="shared" si="992"/>
        <v>-221737903.82835993</v>
      </c>
      <c r="S615">
        <f t="shared" si="993"/>
        <v>-2217.3790382835991</v>
      </c>
      <c r="T615">
        <f t="shared" si="994"/>
        <v>-2.2173790382835992</v>
      </c>
    </row>
    <row r="616" spans="1:20" x14ac:dyDescent="0.25">
      <c r="A616" s="5">
        <v>43977</v>
      </c>
      <c r="B616">
        <v>1.9900000000000001E-2</v>
      </c>
      <c r="C616">
        <v>2.1999999999999999E-2</v>
      </c>
      <c r="D616">
        <v>1.9460000000000002E-2</v>
      </c>
      <c r="E616">
        <v>2.0789999999999999E-2</v>
      </c>
      <c r="F616">
        <v>17988448.699999999</v>
      </c>
      <c r="G616">
        <v>0</v>
      </c>
      <c r="L616" t="s">
        <v>8</v>
      </c>
      <c r="M616" t="s">
        <v>7</v>
      </c>
      <c r="N616" t="s">
        <v>7</v>
      </c>
      <c r="P616">
        <f t="shared" si="990"/>
        <v>4.7244094488188469E-2</v>
      </c>
      <c r="Q616">
        <f t="shared" si="991"/>
        <v>849847.97007873096</v>
      </c>
      <c r="R616">
        <f t="shared" si="992"/>
        <v>-221494782.09978855</v>
      </c>
      <c r="S616">
        <f t="shared" si="993"/>
        <v>-2214.9478209978856</v>
      </c>
      <c r="T616">
        <f t="shared" si="994"/>
        <v>-2.2149478209978857</v>
      </c>
    </row>
    <row r="617" spans="1:20" x14ac:dyDescent="0.25">
      <c r="A617" s="5">
        <v>43976</v>
      </c>
      <c r="B617">
        <v>1.8530000000000001E-2</v>
      </c>
      <c r="C617">
        <v>2.0500000000000001E-2</v>
      </c>
      <c r="D617">
        <v>1.8339999999999999E-2</v>
      </c>
      <c r="E617">
        <v>1.9910000000000001E-2</v>
      </c>
      <c r="F617">
        <v>19154279.600000001</v>
      </c>
      <c r="G617">
        <v>0</v>
      </c>
      <c r="L617" t="s">
        <v>7</v>
      </c>
      <c r="M617" t="s">
        <v>7</v>
      </c>
      <c r="N617" t="s">
        <v>7</v>
      </c>
      <c r="P617">
        <f t="shared" si="990"/>
        <v>0.45370370370370405</v>
      </c>
      <c r="Q617">
        <f t="shared" si="991"/>
        <v>8690367.596296303</v>
      </c>
      <c r="R617">
        <f t="shared" si="992"/>
        <v>-222344630.06986728</v>
      </c>
      <c r="S617">
        <f t="shared" si="993"/>
        <v>-2223.446300698673</v>
      </c>
      <c r="T617">
        <f t="shared" si="994"/>
        <v>-2.2234463006986731</v>
      </c>
    </row>
    <row r="618" spans="1:20" x14ac:dyDescent="0.25">
      <c r="A618" s="5">
        <v>43975</v>
      </c>
      <c r="B618">
        <v>2.0879999999999999E-2</v>
      </c>
      <c r="C618">
        <v>2.24E-2</v>
      </c>
      <c r="D618">
        <v>1.8319999999999999E-2</v>
      </c>
      <c r="E618">
        <v>1.8530000000000001E-2</v>
      </c>
      <c r="F618">
        <v>37376474.700000003</v>
      </c>
      <c r="G618">
        <v>0</v>
      </c>
      <c r="L618" t="s">
        <v>8</v>
      </c>
      <c r="M618" t="s">
        <v>8</v>
      </c>
      <c r="N618" t="s">
        <v>7</v>
      </c>
      <c r="P618">
        <f t="shared" si="990"/>
        <v>-0.89705882352941091</v>
      </c>
      <c r="Q618">
        <f t="shared" si="991"/>
        <v>-33528896.422058795</v>
      </c>
      <c r="R618">
        <f t="shared" si="992"/>
        <v>-231034997.66616359</v>
      </c>
      <c r="S618">
        <f t="shared" si="993"/>
        <v>-2310.349976661636</v>
      </c>
      <c r="T618">
        <f t="shared" si="994"/>
        <v>-2.310349976661636</v>
      </c>
    </row>
    <row r="619" spans="1:20" x14ac:dyDescent="0.25">
      <c r="A619" s="5">
        <v>43974</v>
      </c>
      <c r="B619">
        <v>1.8929999999999999E-2</v>
      </c>
      <c r="C619">
        <v>2.1860000000000001E-2</v>
      </c>
      <c r="D619">
        <v>1.8069999999999999E-2</v>
      </c>
      <c r="E619">
        <v>2.0899999999999998E-2</v>
      </c>
      <c r="F619">
        <v>33256548.699999999</v>
      </c>
      <c r="G619">
        <v>0</v>
      </c>
      <c r="L619" t="s">
        <v>8</v>
      </c>
      <c r="M619" t="s">
        <v>8</v>
      </c>
      <c r="N619" t="s">
        <v>7</v>
      </c>
      <c r="P619">
        <f t="shared" si="990"/>
        <v>0.49340369393139732</v>
      </c>
      <c r="Q619">
        <f t="shared" si="991"/>
        <v>16408903.975989409</v>
      </c>
      <c r="R619">
        <f t="shared" si="992"/>
        <v>-197506101.2441048</v>
      </c>
      <c r="S619">
        <f t="shared" si="993"/>
        <v>-1975.061012441048</v>
      </c>
      <c r="T619">
        <f t="shared" si="994"/>
        <v>-1.9750610124410479</v>
      </c>
    </row>
    <row r="620" spans="1:20" x14ac:dyDescent="0.25">
      <c r="A620" s="5">
        <v>43973</v>
      </c>
      <c r="B620">
        <v>1.771E-2</v>
      </c>
      <c r="C620">
        <v>1.9369999999999998E-2</v>
      </c>
      <c r="D620">
        <v>1.729E-2</v>
      </c>
      <c r="E620">
        <v>1.8919999999999999E-2</v>
      </c>
      <c r="F620">
        <v>24020820.699999999</v>
      </c>
      <c r="G620">
        <v>0</v>
      </c>
      <c r="L620" t="s">
        <v>8</v>
      </c>
      <c r="M620" t="s">
        <v>7</v>
      </c>
      <c r="N620" t="s">
        <v>7</v>
      </c>
      <c r="P620">
        <f t="shared" si="990"/>
        <v>0.56730769230769296</v>
      </c>
      <c r="Q620">
        <f t="shared" si="991"/>
        <v>13627196.358653862</v>
      </c>
      <c r="R620">
        <f t="shared" si="992"/>
        <v>-213915005.2200942</v>
      </c>
      <c r="S620">
        <f t="shared" si="993"/>
        <v>-2139.1500522009419</v>
      </c>
      <c r="T620">
        <f t="shared" si="994"/>
        <v>-2.1391500522009421</v>
      </c>
    </row>
    <row r="621" spans="1:20" x14ac:dyDescent="0.25">
      <c r="A621" s="5">
        <v>43972</v>
      </c>
      <c r="B621">
        <v>1.8419999999999999E-2</v>
      </c>
      <c r="C621">
        <v>1.8499999999999999E-2</v>
      </c>
      <c r="D621">
        <v>1.7100000000000001E-2</v>
      </c>
      <c r="E621">
        <v>1.77E-2</v>
      </c>
      <c r="F621">
        <v>17003486.5</v>
      </c>
      <c r="G621">
        <v>0</v>
      </c>
      <c r="L621" t="s">
        <v>8</v>
      </c>
      <c r="M621" t="s">
        <v>7</v>
      </c>
      <c r="N621" t="s">
        <v>7</v>
      </c>
      <c r="P621">
        <f t="shared" si="990"/>
        <v>-0.14285714285714216</v>
      </c>
      <c r="Q621">
        <f t="shared" si="991"/>
        <v>-2429069.4999999879</v>
      </c>
      <c r="R621">
        <f t="shared" si="992"/>
        <v>-227542201.57874808</v>
      </c>
      <c r="S621">
        <f t="shared" si="993"/>
        <v>-2275.4220157874806</v>
      </c>
      <c r="T621">
        <f t="shared" si="994"/>
        <v>-2.2754220157874805</v>
      </c>
    </row>
    <row r="622" spans="1:20" x14ac:dyDescent="0.25">
      <c r="A622" s="5">
        <v>43971</v>
      </c>
      <c r="B622">
        <v>1.831E-2</v>
      </c>
      <c r="C622">
        <v>1.9380000000000001E-2</v>
      </c>
      <c r="D622">
        <v>1.6969999999999999E-2</v>
      </c>
      <c r="E622">
        <v>1.8409999999999999E-2</v>
      </c>
      <c r="F622">
        <v>19884613.899999999</v>
      </c>
      <c r="G622">
        <v>0</v>
      </c>
      <c r="L622" t="s">
        <v>7</v>
      </c>
      <c r="M622" t="s">
        <v>7</v>
      </c>
      <c r="N622" t="s">
        <v>7</v>
      </c>
      <c r="P622">
        <f t="shared" si="990"/>
        <v>0.19502074688796586</v>
      </c>
      <c r="Q622">
        <f t="shared" si="991"/>
        <v>3877912.2543568276</v>
      </c>
      <c r="R622">
        <f t="shared" si="992"/>
        <v>-225113132.07874808</v>
      </c>
      <c r="S622">
        <f t="shared" si="993"/>
        <v>-2251.1313207874809</v>
      </c>
      <c r="T622">
        <f t="shared" si="994"/>
        <v>-2.251131320787481</v>
      </c>
    </row>
    <row r="623" spans="1:20" x14ac:dyDescent="0.25">
      <c r="A623" s="5">
        <v>43970</v>
      </c>
      <c r="B623">
        <v>1.8489999999999999E-2</v>
      </c>
      <c r="C623">
        <v>1.8950000000000002E-2</v>
      </c>
      <c r="D623">
        <v>1.822E-2</v>
      </c>
      <c r="E623">
        <v>1.831E-2</v>
      </c>
      <c r="F623">
        <v>10793924.699999999</v>
      </c>
      <c r="G623">
        <v>0</v>
      </c>
      <c r="L623" t="s">
        <v>7</v>
      </c>
      <c r="M623" t="s">
        <v>7</v>
      </c>
      <c r="N623" t="s">
        <v>7</v>
      </c>
      <c r="P623">
        <f t="shared" si="990"/>
        <v>-0.75342465753424759</v>
      </c>
      <c r="Q623">
        <f t="shared" si="991"/>
        <v>-8132409.0205479553</v>
      </c>
      <c r="R623">
        <f t="shared" si="992"/>
        <v>-228991044.33310491</v>
      </c>
      <c r="S623">
        <f t="shared" si="993"/>
        <v>-2289.910443331049</v>
      </c>
      <c r="T623">
        <f t="shared" si="994"/>
        <v>-2.2899104433310491</v>
      </c>
    </row>
    <row r="624" spans="1:20" x14ac:dyDescent="0.25">
      <c r="A624" s="5">
        <v>43969</v>
      </c>
      <c r="B624">
        <v>1.8540000000000001E-2</v>
      </c>
      <c r="C624">
        <v>1.9009999999999999E-2</v>
      </c>
      <c r="D624">
        <v>1.8010000000000002E-2</v>
      </c>
      <c r="E624">
        <v>1.847E-2</v>
      </c>
      <c r="F624">
        <v>8794524.3000000007</v>
      </c>
      <c r="G624">
        <v>0</v>
      </c>
      <c r="L624" t="s">
        <v>7</v>
      </c>
      <c r="M624" t="s">
        <v>7</v>
      </c>
      <c r="N624" t="s">
        <v>7</v>
      </c>
      <c r="P624">
        <f t="shared" si="990"/>
        <v>-8.0000000000000418E-2</v>
      </c>
      <c r="Q624">
        <f t="shared" si="991"/>
        <v>-703561.94400000374</v>
      </c>
      <c r="R624">
        <f t="shared" si="992"/>
        <v>-220858635.31255695</v>
      </c>
      <c r="S624">
        <f t="shared" si="993"/>
        <v>-2208.5863531255695</v>
      </c>
      <c r="T624">
        <f t="shared" si="994"/>
        <v>-2.2085863531255696</v>
      </c>
    </row>
    <row r="625" spans="1:20" x14ac:dyDescent="0.25">
      <c r="A625" s="5">
        <v>43968</v>
      </c>
      <c r="B625">
        <v>1.8800000000000001E-2</v>
      </c>
      <c r="C625">
        <v>1.9480000000000001E-2</v>
      </c>
      <c r="D625">
        <v>1.8180000000000002E-2</v>
      </c>
      <c r="E625">
        <v>1.8380000000000001E-2</v>
      </c>
      <c r="F625">
        <v>14988245.300000001</v>
      </c>
      <c r="G625">
        <v>0</v>
      </c>
      <c r="L625" t="s">
        <v>8</v>
      </c>
      <c r="M625" t="s">
        <v>7</v>
      </c>
      <c r="N625" t="s">
        <v>7</v>
      </c>
      <c r="P625">
        <f t="shared" si="990"/>
        <v>-0.69230769230769396</v>
      </c>
      <c r="Q625">
        <f t="shared" si="991"/>
        <v>-10376477.515384641</v>
      </c>
      <c r="R625">
        <f t="shared" si="992"/>
        <v>-220155073.36855695</v>
      </c>
      <c r="S625">
        <f t="shared" si="993"/>
        <v>-2201.5507336855694</v>
      </c>
      <c r="T625">
        <f t="shared" si="994"/>
        <v>-2.2015507336855693</v>
      </c>
    </row>
    <row r="626" spans="1:20" x14ac:dyDescent="0.25">
      <c r="A626" s="5">
        <v>43967</v>
      </c>
      <c r="B626">
        <v>1.7999999999999999E-2</v>
      </c>
      <c r="C626">
        <v>1.9269999999999999E-2</v>
      </c>
      <c r="D626">
        <v>1.7819999999999999E-2</v>
      </c>
      <c r="E626">
        <v>1.8800000000000001E-2</v>
      </c>
      <c r="F626">
        <v>15638047.6</v>
      </c>
      <c r="G626">
        <v>0</v>
      </c>
      <c r="L626" t="s">
        <v>8</v>
      </c>
      <c r="M626" t="s">
        <v>7</v>
      </c>
      <c r="N626" t="s">
        <v>7</v>
      </c>
      <c r="P626">
        <f t="shared" si="990"/>
        <v>0.35172413793103691</v>
      </c>
      <c r="Q626">
        <f t="shared" si="991"/>
        <v>5500278.8110345202</v>
      </c>
      <c r="R626">
        <f t="shared" si="992"/>
        <v>-209778595.8531723</v>
      </c>
      <c r="S626">
        <f t="shared" si="993"/>
        <v>-2097.7859585317228</v>
      </c>
      <c r="T626">
        <f t="shared" si="994"/>
        <v>-2.0977859585317229</v>
      </c>
    </row>
    <row r="627" spans="1:20" x14ac:dyDescent="0.25">
      <c r="A627" s="5">
        <v>43966</v>
      </c>
      <c r="B627">
        <v>1.8450000000000001E-2</v>
      </c>
      <c r="C627">
        <v>1.8700000000000001E-2</v>
      </c>
      <c r="D627">
        <v>1.7659999999999999E-2</v>
      </c>
      <c r="E627">
        <v>1.7950000000000001E-2</v>
      </c>
      <c r="F627">
        <v>8948520.0999999996</v>
      </c>
      <c r="G627">
        <v>0</v>
      </c>
      <c r="L627" t="s">
        <v>7</v>
      </c>
      <c r="M627" t="s">
        <v>7</v>
      </c>
      <c r="N627" t="s">
        <v>7</v>
      </c>
      <c r="P627">
        <f t="shared" si="990"/>
        <v>-0.44230769230768979</v>
      </c>
      <c r="Q627">
        <f t="shared" si="991"/>
        <v>-3957999.2749999776</v>
      </c>
      <c r="R627">
        <f t="shared" si="992"/>
        <v>-215278874.66420683</v>
      </c>
      <c r="S627">
        <f t="shared" si="993"/>
        <v>-2152.7887466420684</v>
      </c>
      <c r="T627">
        <f t="shared" si="994"/>
        <v>-2.1527887466420683</v>
      </c>
    </row>
    <row r="628" spans="1:20" x14ac:dyDescent="0.25">
      <c r="A628" s="5">
        <v>43965</v>
      </c>
      <c r="B628">
        <v>1.925E-2</v>
      </c>
      <c r="C628">
        <v>1.9380000000000001E-2</v>
      </c>
      <c r="D628">
        <v>1.8020000000000001E-2</v>
      </c>
      <c r="E628">
        <v>1.8360000000000001E-2</v>
      </c>
      <c r="F628">
        <v>15117015.4</v>
      </c>
      <c r="G628">
        <v>0</v>
      </c>
      <c r="L628" t="s">
        <v>7</v>
      </c>
      <c r="M628" t="s">
        <v>7</v>
      </c>
      <c r="N628" t="s">
        <v>7</v>
      </c>
      <c r="P628">
        <f t="shared" si="990"/>
        <v>-0.5</v>
      </c>
      <c r="Q628">
        <f t="shared" si="991"/>
        <v>-7558507.7000000002</v>
      </c>
      <c r="R628">
        <f t="shared" si="992"/>
        <v>-211320875.38920686</v>
      </c>
      <c r="S628">
        <f t="shared" si="993"/>
        <v>-2113.2087538920687</v>
      </c>
      <c r="T628">
        <f t="shared" si="994"/>
        <v>-2.1132087538920685</v>
      </c>
    </row>
    <row r="629" spans="1:20" x14ac:dyDescent="0.25">
      <c r="A629" s="5">
        <v>43964</v>
      </c>
      <c r="B629">
        <v>1.823E-2</v>
      </c>
      <c r="C629">
        <v>1.959E-2</v>
      </c>
      <c r="D629">
        <v>1.8149999999999999E-2</v>
      </c>
      <c r="E629">
        <v>1.924E-2</v>
      </c>
      <c r="F629">
        <v>14745668.199999999</v>
      </c>
      <c r="G629">
        <v>0</v>
      </c>
      <c r="L629" t="s">
        <v>8</v>
      </c>
      <c r="M629" t="s">
        <v>7</v>
      </c>
      <c r="N629" t="s">
        <v>7</v>
      </c>
      <c r="P629">
        <f t="shared" si="990"/>
        <v>0.51388888888888951</v>
      </c>
      <c r="Q629">
        <f t="shared" si="991"/>
        <v>7577635.0472222306</v>
      </c>
      <c r="R629">
        <f t="shared" si="992"/>
        <v>-203762367.68920687</v>
      </c>
      <c r="S629">
        <f t="shared" si="993"/>
        <v>-2037.6236768920687</v>
      </c>
      <c r="T629">
        <f t="shared" si="994"/>
        <v>-2.0376236768920686</v>
      </c>
    </row>
    <row r="630" spans="1:20" x14ac:dyDescent="0.25">
      <c r="A630" s="5">
        <v>43963</v>
      </c>
      <c r="B630">
        <v>1.847E-2</v>
      </c>
      <c r="C630">
        <v>1.9310000000000001E-2</v>
      </c>
      <c r="D630">
        <v>1.7299999999999999E-2</v>
      </c>
      <c r="E630">
        <v>1.8290000000000001E-2</v>
      </c>
      <c r="F630">
        <v>18360166</v>
      </c>
      <c r="G630">
        <v>0</v>
      </c>
      <c r="L630" t="s">
        <v>8</v>
      </c>
      <c r="M630" t="s">
        <v>7</v>
      </c>
      <c r="N630" t="s">
        <v>7</v>
      </c>
      <c r="P630">
        <f t="shared" si="990"/>
        <v>-1.492537313432774E-2</v>
      </c>
      <c r="Q630">
        <f t="shared" si="991"/>
        <v>-274032.32835819758</v>
      </c>
      <c r="R630">
        <f t="shared" si="992"/>
        <v>-211340002.7364291</v>
      </c>
      <c r="S630">
        <f t="shared" si="993"/>
        <v>-2113.400027364291</v>
      </c>
      <c r="T630">
        <f t="shared" si="994"/>
        <v>-2.1134000273642908</v>
      </c>
    </row>
    <row r="631" spans="1:20" x14ac:dyDescent="0.25">
      <c r="A631" s="5">
        <v>43962</v>
      </c>
      <c r="B631">
        <v>1.915E-2</v>
      </c>
      <c r="C631">
        <v>1.958E-2</v>
      </c>
      <c r="D631">
        <v>1.7129999999999999E-2</v>
      </c>
      <c r="E631">
        <v>1.847E-2</v>
      </c>
      <c r="F631">
        <v>18175023.5</v>
      </c>
      <c r="G631">
        <v>0</v>
      </c>
      <c r="L631" t="s">
        <v>7</v>
      </c>
      <c r="M631" t="s">
        <v>7</v>
      </c>
      <c r="N631" t="s">
        <v>7</v>
      </c>
      <c r="P631">
        <f t="shared" si="990"/>
        <v>9.3877551020408553E-2</v>
      </c>
      <c r="Q631">
        <f t="shared" si="991"/>
        <v>1706226.6959183745</v>
      </c>
      <c r="R631">
        <f t="shared" si="992"/>
        <v>-211065970.40807089</v>
      </c>
      <c r="S631">
        <f t="shared" si="993"/>
        <v>-2110.6597040807087</v>
      </c>
      <c r="T631">
        <f t="shared" si="994"/>
        <v>-2.1106597040807089</v>
      </c>
    </row>
    <row r="632" spans="1:20" x14ac:dyDescent="0.25">
      <c r="A632" s="5">
        <v>43961</v>
      </c>
      <c r="B632">
        <v>2.3220000000000001E-2</v>
      </c>
      <c r="C632">
        <v>2.3220000000000001E-2</v>
      </c>
      <c r="D632">
        <v>1.753E-2</v>
      </c>
      <c r="E632">
        <v>1.916E-2</v>
      </c>
      <c r="F632">
        <v>23430581.100000001</v>
      </c>
      <c r="G632">
        <v>0</v>
      </c>
      <c r="L632" t="s">
        <v>7</v>
      </c>
      <c r="M632" t="s">
        <v>7</v>
      </c>
      <c r="N632" t="s">
        <v>7</v>
      </c>
      <c r="P632">
        <f t="shared" si="990"/>
        <v>-0.42706502636203891</v>
      </c>
      <c r="Q632">
        <f t="shared" si="991"/>
        <v>-10006381.735149391</v>
      </c>
      <c r="R632">
        <f t="shared" si="992"/>
        <v>-212772197.10398927</v>
      </c>
      <c r="S632">
        <f t="shared" si="993"/>
        <v>-2127.7219710398927</v>
      </c>
      <c r="T632">
        <f t="shared" si="994"/>
        <v>-2.1277219710398927</v>
      </c>
    </row>
    <row r="633" spans="1:20" x14ac:dyDescent="0.25">
      <c r="A633" s="5">
        <v>43960</v>
      </c>
      <c r="B633">
        <v>2.3820000000000001E-2</v>
      </c>
      <c r="C633">
        <v>2.4899999999999999E-2</v>
      </c>
      <c r="D633">
        <v>2.3099999999999999E-2</v>
      </c>
      <c r="E633">
        <v>2.3220000000000001E-2</v>
      </c>
      <c r="F633">
        <v>25644279.399999999</v>
      </c>
      <c r="G633">
        <v>0</v>
      </c>
      <c r="L633" t="s">
        <v>7</v>
      </c>
      <c r="M633" t="s">
        <v>7</v>
      </c>
      <c r="N633" t="s">
        <v>7</v>
      </c>
      <c r="P633">
        <f t="shared" si="990"/>
        <v>-0.86666666666666436</v>
      </c>
      <c r="Q633">
        <f t="shared" si="991"/>
        <v>-22225042.146666605</v>
      </c>
      <c r="R633">
        <f t="shared" si="992"/>
        <v>-202765815.36883989</v>
      </c>
      <c r="S633">
        <f t="shared" si="993"/>
        <v>-2027.6581536883989</v>
      </c>
      <c r="T633">
        <f t="shared" si="994"/>
        <v>-2.0276581536883991</v>
      </c>
    </row>
    <row r="634" spans="1:20" x14ac:dyDescent="0.25">
      <c r="A634" s="5">
        <v>43959</v>
      </c>
      <c r="B634">
        <v>2.4250000000000001E-2</v>
      </c>
      <c r="C634">
        <v>2.7E-2</v>
      </c>
      <c r="D634">
        <v>2.3699999999999999E-2</v>
      </c>
      <c r="E634">
        <v>2.3820000000000001E-2</v>
      </c>
      <c r="F634">
        <v>58774095.799999997</v>
      </c>
      <c r="G634">
        <v>0</v>
      </c>
      <c r="L634" t="s">
        <v>7</v>
      </c>
      <c r="M634" t="s">
        <v>7</v>
      </c>
      <c r="N634" t="s">
        <v>7</v>
      </c>
      <c r="P634">
        <f t="shared" si="990"/>
        <v>-0.92727272727272603</v>
      </c>
      <c r="Q634">
        <f t="shared" si="991"/>
        <v>-54499616.105454467</v>
      </c>
      <c r="R634">
        <f t="shared" si="992"/>
        <v>-180540773.22217327</v>
      </c>
      <c r="S634">
        <f t="shared" si="993"/>
        <v>-1805.4077322217327</v>
      </c>
      <c r="T634">
        <f t="shared" si="994"/>
        <v>-1.8054077322217326</v>
      </c>
    </row>
    <row r="635" spans="1:20" x14ac:dyDescent="0.25">
      <c r="A635" s="5">
        <v>43958</v>
      </c>
      <c r="B635">
        <v>2.7709999999999999E-2</v>
      </c>
      <c r="C635">
        <v>3.9510000000000003E-2</v>
      </c>
      <c r="D635">
        <v>2.3539999999999998E-2</v>
      </c>
      <c r="E635">
        <v>2.393E-2</v>
      </c>
      <c r="F635">
        <v>132513316.59999999</v>
      </c>
      <c r="G635">
        <v>0</v>
      </c>
      <c r="P635">
        <f t="shared" si="990"/>
        <v>-0.95115842204132728</v>
      </c>
      <c r="Q635">
        <f t="shared" si="991"/>
        <v>-126041157.11671881</v>
      </c>
      <c r="R635">
        <f t="shared" si="992"/>
        <v>-126041157.11671881</v>
      </c>
      <c r="S635">
        <f t="shared" si="993"/>
        <v>-1260.4115711671882</v>
      </c>
      <c r="T635">
        <f t="shared" si="994"/>
        <v>-1.2604115711671882</v>
      </c>
    </row>
    <row r="636" spans="1:20" x14ac:dyDescent="0.25">
      <c r="A636" s="5"/>
      <c r="C636"/>
      <c r="D636"/>
      <c r="P636">
        <f t="shared" si="990"/>
        <v>0</v>
      </c>
      <c r="Q636">
        <f t="shared" si="991"/>
        <v>0</v>
      </c>
      <c r="R636">
        <f t="shared" si="992"/>
        <v>0</v>
      </c>
      <c r="S636">
        <f t="shared" si="993"/>
        <v>0</v>
      </c>
      <c r="T636">
        <f t="shared" si="994"/>
        <v>0</v>
      </c>
    </row>
    <row r="637" spans="1:20" x14ac:dyDescent="0.25">
      <c r="A637" s="5"/>
      <c r="C637"/>
      <c r="D637"/>
      <c r="P637">
        <f t="shared" si="990"/>
        <v>0</v>
      </c>
      <c r="Q637">
        <f t="shared" si="991"/>
        <v>0</v>
      </c>
      <c r="R637">
        <f t="shared" si="992"/>
        <v>0</v>
      </c>
      <c r="S637">
        <f t="shared" si="993"/>
        <v>0</v>
      </c>
      <c r="T637">
        <f t="shared" si="994"/>
        <v>0</v>
      </c>
    </row>
    <row r="638" spans="1:20" x14ac:dyDescent="0.25">
      <c r="A638" s="5"/>
      <c r="C638"/>
      <c r="D638"/>
      <c r="P638">
        <f t="shared" si="990"/>
        <v>0</v>
      </c>
      <c r="Q638">
        <f t="shared" si="991"/>
        <v>0</v>
      </c>
      <c r="R638">
        <f t="shared" si="992"/>
        <v>0</v>
      </c>
      <c r="S638">
        <f t="shared" si="993"/>
        <v>0</v>
      </c>
      <c r="T638">
        <f t="shared" si="994"/>
        <v>0</v>
      </c>
    </row>
    <row r="639" spans="1:20" x14ac:dyDescent="0.25">
      <c r="A639" s="5"/>
      <c r="C639"/>
      <c r="D639"/>
      <c r="P639">
        <f t="shared" si="990"/>
        <v>0</v>
      </c>
      <c r="Q639">
        <f t="shared" si="991"/>
        <v>0</v>
      </c>
      <c r="R639">
        <f t="shared" si="992"/>
        <v>0</v>
      </c>
      <c r="S639">
        <f t="shared" si="993"/>
        <v>0</v>
      </c>
      <c r="T639">
        <f t="shared" si="994"/>
        <v>0</v>
      </c>
    </row>
    <row r="640" spans="1:20" x14ac:dyDescent="0.25">
      <c r="A640" s="5"/>
      <c r="C640"/>
      <c r="D640"/>
      <c r="P640">
        <f t="shared" si="990"/>
        <v>0</v>
      </c>
      <c r="Q640">
        <f t="shared" si="991"/>
        <v>0</v>
      </c>
      <c r="R640">
        <f t="shared" si="992"/>
        <v>0</v>
      </c>
      <c r="S640">
        <f t="shared" si="993"/>
        <v>0</v>
      </c>
      <c r="T640">
        <f t="shared" si="994"/>
        <v>0</v>
      </c>
    </row>
    <row r="641" spans="1:20" x14ac:dyDescent="0.25">
      <c r="A641" s="5"/>
      <c r="C641"/>
      <c r="D641"/>
      <c r="P641">
        <f t="shared" si="990"/>
        <v>0</v>
      </c>
      <c r="Q641">
        <f t="shared" si="991"/>
        <v>0</v>
      </c>
      <c r="R641">
        <f t="shared" si="992"/>
        <v>0</v>
      </c>
      <c r="S641">
        <f t="shared" si="993"/>
        <v>0</v>
      </c>
      <c r="T641">
        <f t="shared" si="994"/>
        <v>0</v>
      </c>
    </row>
    <row r="642" spans="1:20" x14ac:dyDescent="0.25">
      <c r="A642" s="5"/>
      <c r="C642"/>
      <c r="D642"/>
      <c r="P642">
        <f t="shared" si="990"/>
        <v>0</v>
      </c>
      <c r="Q642">
        <f t="shared" si="991"/>
        <v>0</v>
      </c>
      <c r="R642">
        <f t="shared" si="992"/>
        <v>0</v>
      </c>
      <c r="S642">
        <f t="shared" si="993"/>
        <v>0</v>
      </c>
      <c r="T642">
        <f t="shared" si="994"/>
        <v>0</v>
      </c>
    </row>
    <row r="643" spans="1:20" x14ac:dyDescent="0.25">
      <c r="A643" s="5"/>
      <c r="C643"/>
      <c r="D643"/>
      <c r="P643">
        <f t="shared" si="990"/>
        <v>0</v>
      </c>
      <c r="Q643">
        <f t="shared" si="991"/>
        <v>0</v>
      </c>
      <c r="R643">
        <f t="shared" si="992"/>
        <v>0</v>
      </c>
      <c r="S643">
        <f t="shared" si="993"/>
        <v>0</v>
      </c>
      <c r="T643">
        <f t="shared" si="994"/>
        <v>0</v>
      </c>
    </row>
    <row r="644" spans="1:20" x14ac:dyDescent="0.25">
      <c r="A644" s="5"/>
      <c r="C644"/>
      <c r="D644"/>
      <c r="P644">
        <f t="shared" si="990"/>
        <v>0</v>
      </c>
      <c r="Q644">
        <f t="shared" si="991"/>
        <v>0</v>
      </c>
      <c r="R644">
        <f t="shared" si="992"/>
        <v>0</v>
      </c>
      <c r="S644">
        <f t="shared" si="993"/>
        <v>0</v>
      </c>
      <c r="T644">
        <f t="shared" si="994"/>
        <v>0</v>
      </c>
    </row>
    <row r="645" spans="1:20" x14ac:dyDescent="0.25">
      <c r="A645" s="5"/>
      <c r="C645"/>
      <c r="D645"/>
      <c r="P645">
        <f t="shared" si="990"/>
        <v>0</v>
      </c>
      <c r="Q645">
        <f t="shared" si="991"/>
        <v>0</v>
      </c>
      <c r="R645">
        <f t="shared" si="992"/>
        <v>0</v>
      </c>
      <c r="S645">
        <f t="shared" si="993"/>
        <v>0</v>
      </c>
      <c r="T645">
        <f t="shared" si="994"/>
        <v>0</v>
      </c>
    </row>
    <row r="646" spans="1:20" x14ac:dyDescent="0.25">
      <c r="A646" s="5"/>
      <c r="C646"/>
      <c r="D646"/>
      <c r="P646">
        <f t="shared" ref="P646:P709" si="995">IF(C646=D646,0,((E646-D646)-(C646-E646))/(C646-D646))</f>
        <v>0</v>
      </c>
      <c r="Q646">
        <f t="shared" ref="Q646:Q709" si="996">F646*P646</f>
        <v>0</v>
      </c>
      <c r="R646">
        <f t="shared" ref="R646:R709" si="997">R647+Q646</f>
        <v>0</v>
      </c>
      <c r="S646">
        <f t="shared" ref="S646:S709" si="998">R646/100000</f>
        <v>0</v>
      </c>
      <c r="T646">
        <f t="shared" ref="T646:T709" si="999">S646/1000</f>
        <v>0</v>
      </c>
    </row>
    <row r="647" spans="1:20" x14ac:dyDescent="0.25">
      <c r="A647" s="5"/>
      <c r="C647"/>
      <c r="D647"/>
      <c r="P647">
        <f t="shared" si="995"/>
        <v>0</v>
      </c>
      <c r="Q647">
        <f t="shared" si="996"/>
        <v>0</v>
      </c>
      <c r="R647">
        <f t="shared" si="997"/>
        <v>0</v>
      </c>
      <c r="S647">
        <f t="shared" si="998"/>
        <v>0</v>
      </c>
      <c r="T647">
        <f t="shared" si="999"/>
        <v>0</v>
      </c>
    </row>
    <row r="648" spans="1:20" x14ac:dyDescent="0.25">
      <c r="A648" s="5"/>
      <c r="C648"/>
      <c r="D648"/>
      <c r="P648">
        <f t="shared" si="995"/>
        <v>0</v>
      </c>
      <c r="Q648">
        <f t="shared" si="996"/>
        <v>0</v>
      </c>
      <c r="R648">
        <f t="shared" si="997"/>
        <v>0</v>
      </c>
      <c r="S648">
        <f t="shared" si="998"/>
        <v>0</v>
      </c>
      <c r="T648">
        <f t="shared" si="999"/>
        <v>0</v>
      </c>
    </row>
    <row r="649" spans="1:20" x14ac:dyDescent="0.25">
      <c r="A649" s="5"/>
      <c r="C649"/>
      <c r="D649"/>
      <c r="P649">
        <f t="shared" si="995"/>
        <v>0</v>
      </c>
      <c r="Q649">
        <f t="shared" si="996"/>
        <v>0</v>
      </c>
      <c r="R649">
        <f t="shared" si="997"/>
        <v>0</v>
      </c>
      <c r="S649">
        <f t="shared" si="998"/>
        <v>0</v>
      </c>
      <c r="T649">
        <f t="shared" si="999"/>
        <v>0</v>
      </c>
    </row>
    <row r="650" spans="1:20" x14ac:dyDescent="0.25">
      <c r="A650" s="5"/>
      <c r="C650"/>
      <c r="D650"/>
      <c r="P650">
        <f t="shared" si="995"/>
        <v>0</v>
      </c>
      <c r="Q650">
        <f t="shared" si="996"/>
        <v>0</v>
      </c>
      <c r="R650">
        <f t="shared" si="997"/>
        <v>0</v>
      </c>
      <c r="S650">
        <f t="shared" si="998"/>
        <v>0</v>
      </c>
      <c r="T650">
        <f t="shared" si="999"/>
        <v>0</v>
      </c>
    </row>
    <row r="651" spans="1:20" x14ac:dyDescent="0.25">
      <c r="A651" s="5"/>
      <c r="C651"/>
      <c r="D651"/>
      <c r="P651">
        <f t="shared" si="995"/>
        <v>0</v>
      </c>
      <c r="Q651">
        <f t="shared" si="996"/>
        <v>0</v>
      </c>
      <c r="R651">
        <f t="shared" si="997"/>
        <v>0</v>
      </c>
      <c r="S651">
        <f t="shared" si="998"/>
        <v>0</v>
      </c>
      <c r="T651">
        <f t="shared" si="999"/>
        <v>0</v>
      </c>
    </row>
    <row r="652" spans="1:20" x14ac:dyDescent="0.25">
      <c r="A652" s="5"/>
      <c r="C652"/>
      <c r="D652"/>
      <c r="P652">
        <f t="shared" si="995"/>
        <v>0</v>
      </c>
      <c r="Q652">
        <f t="shared" si="996"/>
        <v>0</v>
      </c>
      <c r="R652">
        <f t="shared" si="997"/>
        <v>0</v>
      </c>
      <c r="S652">
        <f t="shared" si="998"/>
        <v>0</v>
      </c>
      <c r="T652">
        <f t="shared" si="999"/>
        <v>0</v>
      </c>
    </row>
    <row r="653" spans="1:20" x14ac:dyDescent="0.25">
      <c r="A653" s="5"/>
      <c r="C653"/>
      <c r="D653"/>
      <c r="P653">
        <f t="shared" si="995"/>
        <v>0</v>
      </c>
      <c r="Q653">
        <f t="shared" si="996"/>
        <v>0</v>
      </c>
      <c r="R653">
        <f t="shared" si="997"/>
        <v>0</v>
      </c>
      <c r="S653">
        <f t="shared" si="998"/>
        <v>0</v>
      </c>
      <c r="T653">
        <f t="shared" si="999"/>
        <v>0</v>
      </c>
    </row>
    <row r="654" spans="1:20" x14ac:dyDescent="0.25">
      <c r="A654" s="5"/>
      <c r="C654"/>
      <c r="D654"/>
      <c r="P654">
        <f t="shared" si="995"/>
        <v>0</v>
      </c>
      <c r="Q654">
        <f t="shared" si="996"/>
        <v>0</v>
      </c>
      <c r="R654">
        <f t="shared" si="997"/>
        <v>0</v>
      </c>
      <c r="S654">
        <f t="shared" si="998"/>
        <v>0</v>
      </c>
      <c r="T654">
        <f t="shared" si="999"/>
        <v>0</v>
      </c>
    </row>
    <row r="655" spans="1:20" x14ac:dyDescent="0.25">
      <c r="A655" s="5"/>
      <c r="C655"/>
      <c r="D655"/>
      <c r="P655">
        <f t="shared" si="995"/>
        <v>0</v>
      </c>
      <c r="Q655">
        <f t="shared" si="996"/>
        <v>0</v>
      </c>
      <c r="R655">
        <f t="shared" si="997"/>
        <v>0</v>
      </c>
      <c r="S655">
        <f t="shared" si="998"/>
        <v>0</v>
      </c>
      <c r="T655">
        <f t="shared" si="999"/>
        <v>0</v>
      </c>
    </row>
    <row r="656" spans="1:20" x14ac:dyDescent="0.25">
      <c r="A656" s="5"/>
      <c r="C656"/>
      <c r="D656"/>
      <c r="P656">
        <f t="shared" si="995"/>
        <v>0</v>
      </c>
      <c r="Q656">
        <f t="shared" si="996"/>
        <v>0</v>
      </c>
      <c r="R656">
        <f t="shared" si="997"/>
        <v>0</v>
      </c>
      <c r="S656">
        <f t="shared" si="998"/>
        <v>0</v>
      </c>
      <c r="T656">
        <f t="shared" si="999"/>
        <v>0</v>
      </c>
    </row>
    <row r="657" spans="1:20" x14ac:dyDescent="0.25">
      <c r="A657" s="5"/>
      <c r="C657"/>
      <c r="D657"/>
      <c r="P657">
        <f t="shared" si="995"/>
        <v>0</v>
      </c>
      <c r="Q657">
        <f t="shared" si="996"/>
        <v>0</v>
      </c>
      <c r="R657">
        <f t="shared" si="997"/>
        <v>0</v>
      </c>
      <c r="S657">
        <f t="shared" si="998"/>
        <v>0</v>
      </c>
      <c r="T657">
        <f t="shared" si="999"/>
        <v>0</v>
      </c>
    </row>
    <row r="658" spans="1:20" x14ac:dyDescent="0.25">
      <c r="A658" s="5"/>
      <c r="C658"/>
      <c r="D658"/>
      <c r="P658">
        <f t="shared" si="995"/>
        <v>0</v>
      </c>
      <c r="Q658">
        <f t="shared" si="996"/>
        <v>0</v>
      </c>
      <c r="R658">
        <f t="shared" si="997"/>
        <v>0</v>
      </c>
      <c r="S658">
        <f t="shared" si="998"/>
        <v>0</v>
      </c>
      <c r="T658">
        <f t="shared" si="999"/>
        <v>0</v>
      </c>
    </row>
    <row r="659" spans="1:20" x14ac:dyDescent="0.25">
      <c r="A659" s="5"/>
      <c r="C659"/>
      <c r="D659"/>
      <c r="P659">
        <f t="shared" si="995"/>
        <v>0</v>
      </c>
      <c r="Q659">
        <f t="shared" si="996"/>
        <v>0</v>
      </c>
      <c r="R659">
        <f t="shared" si="997"/>
        <v>0</v>
      </c>
      <c r="S659">
        <f t="shared" si="998"/>
        <v>0</v>
      </c>
      <c r="T659">
        <f t="shared" si="999"/>
        <v>0</v>
      </c>
    </row>
    <row r="660" spans="1:20" x14ac:dyDescent="0.25">
      <c r="A660" s="5"/>
      <c r="C660"/>
      <c r="D660"/>
      <c r="P660">
        <f t="shared" si="995"/>
        <v>0</v>
      </c>
      <c r="Q660">
        <f t="shared" si="996"/>
        <v>0</v>
      </c>
      <c r="R660">
        <f t="shared" si="997"/>
        <v>0</v>
      </c>
      <c r="S660">
        <f t="shared" si="998"/>
        <v>0</v>
      </c>
      <c r="T660">
        <f t="shared" si="999"/>
        <v>0</v>
      </c>
    </row>
    <row r="661" spans="1:20" x14ac:dyDescent="0.25">
      <c r="A661" s="5"/>
      <c r="P661">
        <f t="shared" si="995"/>
        <v>0</v>
      </c>
      <c r="Q661">
        <f t="shared" si="996"/>
        <v>0</v>
      </c>
      <c r="R661">
        <f t="shared" si="997"/>
        <v>0</v>
      </c>
      <c r="S661">
        <f t="shared" si="998"/>
        <v>0</v>
      </c>
      <c r="T661">
        <f t="shared" si="999"/>
        <v>0</v>
      </c>
    </row>
    <row r="662" spans="1:20" x14ac:dyDescent="0.25">
      <c r="A662" s="5"/>
      <c r="P662">
        <f t="shared" si="995"/>
        <v>0</v>
      </c>
      <c r="Q662">
        <f t="shared" si="996"/>
        <v>0</v>
      </c>
      <c r="R662">
        <f t="shared" si="997"/>
        <v>0</v>
      </c>
      <c r="S662">
        <f t="shared" si="998"/>
        <v>0</v>
      </c>
      <c r="T662">
        <f t="shared" si="999"/>
        <v>0</v>
      </c>
    </row>
    <row r="663" spans="1:20" x14ac:dyDescent="0.25">
      <c r="A663" s="5"/>
      <c r="P663">
        <f t="shared" si="995"/>
        <v>0</v>
      </c>
      <c r="Q663">
        <f t="shared" si="996"/>
        <v>0</v>
      </c>
      <c r="R663">
        <f t="shared" si="997"/>
        <v>0</v>
      </c>
      <c r="S663">
        <f t="shared" si="998"/>
        <v>0</v>
      </c>
      <c r="T663">
        <f t="shared" si="999"/>
        <v>0</v>
      </c>
    </row>
    <row r="664" spans="1:20" x14ac:dyDescent="0.25">
      <c r="A664" s="5"/>
      <c r="C664" s="4"/>
      <c r="D664" s="4"/>
      <c r="P664">
        <f t="shared" si="995"/>
        <v>0</v>
      </c>
      <c r="Q664">
        <f t="shared" si="996"/>
        <v>0</v>
      </c>
      <c r="R664">
        <f t="shared" si="997"/>
        <v>0</v>
      </c>
      <c r="S664">
        <f t="shared" si="998"/>
        <v>0</v>
      </c>
      <c r="T664">
        <f t="shared" si="999"/>
        <v>0</v>
      </c>
    </row>
    <row r="665" spans="1:20" x14ac:dyDescent="0.25">
      <c r="A665" s="5"/>
      <c r="C665" s="4"/>
      <c r="D665" s="4"/>
      <c r="P665">
        <f t="shared" si="995"/>
        <v>0</v>
      </c>
      <c r="Q665">
        <f t="shared" si="996"/>
        <v>0</v>
      </c>
      <c r="R665">
        <f t="shared" si="997"/>
        <v>0</v>
      </c>
      <c r="S665">
        <f t="shared" si="998"/>
        <v>0</v>
      </c>
      <c r="T665">
        <f t="shared" si="999"/>
        <v>0</v>
      </c>
    </row>
    <row r="666" spans="1:20" x14ac:dyDescent="0.25">
      <c r="A666" s="5"/>
      <c r="C666" s="4"/>
      <c r="D666" s="4"/>
      <c r="P666">
        <f t="shared" si="995"/>
        <v>0</v>
      </c>
      <c r="Q666">
        <f t="shared" si="996"/>
        <v>0</v>
      </c>
      <c r="R666">
        <f t="shared" si="997"/>
        <v>0</v>
      </c>
      <c r="S666">
        <f t="shared" si="998"/>
        <v>0</v>
      </c>
      <c r="T666">
        <f t="shared" si="999"/>
        <v>0</v>
      </c>
    </row>
    <row r="667" spans="1:20" x14ac:dyDescent="0.25">
      <c r="A667" s="5"/>
      <c r="C667" s="4"/>
      <c r="D667" s="4"/>
      <c r="P667">
        <f t="shared" si="995"/>
        <v>0</v>
      </c>
      <c r="Q667">
        <f t="shared" si="996"/>
        <v>0</v>
      </c>
      <c r="R667">
        <f t="shared" si="997"/>
        <v>0</v>
      </c>
      <c r="S667">
        <f t="shared" si="998"/>
        <v>0</v>
      </c>
      <c r="T667">
        <f t="shared" si="999"/>
        <v>0</v>
      </c>
    </row>
    <row r="668" spans="1:20" x14ac:dyDescent="0.25">
      <c r="A668" s="5"/>
      <c r="C668" s="4"/>
      <c r="D668" s="4"/>
      <c r="P668">
        <f t="shared" si="995"/>
        <v>0</v>
      </c>
      <c r="Q668">
        <f t="shared" si="996"/>
        <v>0</v>
      </c>
      <c r="R668">
        <f t="shared" si="997"/>
        <v>0</v>
      </c>
      <c r="S668">
        <f t="shared" si="998"/>
        <v>0</v>
      </c>
      <c r="T668">
        <f t="shared" si="999"/>
        <v>0</v>
      </c>
    </row>
    <row r="669" spans="1:20" x14ac:dyDescent="0.25">
      <c r="A669" s="5"/>
      <c r="C669" s="4"/>
      <c r="D669" s="4"/>
      <c r="P669">
        <f t="shared" si="995"/>
        <v>0</v>
      </c>
      <c r="Q669">
        <f t="shared" si="996"/>
        <v>0</v>
      </c>
      <c r="R669">
        <f t="shared" si="997"/>
        <v>0</v>
      </c>
      <c r="S669">
        <f t="shared" si="998"/>
        <v>0</v>
      </c>
      <c r="T669">
        <f t="shared" si="999"/>
        <v>0</v>
      </c>
    </row>
    <row r="670" spans="1:20" x14ac:dyDescent="0.25">
      <c r="A670" s="5"/>
      <c r="C670" s="4"/>
      <c r="D670" s="4"/>
      <c r="P670">
        <f t="shared" si="995"/>
        <v>0</v>
      </c>
      <c r="Q670">
        <f t="shared" si="996"/>
        <v>0</v>
      </c>
      <c r="R670">
        <f t="shared" si="997"/>
        <v>0</v>
      </c>
      <c r="S670">
        <f t="shared" si="998"/>
        <v>0</v>
      </c>
      <c r="T670">
        <f t="shared" si="999"/>
        <v>0</v>
      </c>
    </row>
    <row r="671" spans="1:20" x14ac:dyDescent="0.25">
      <c r="A671" s="5"/>
      <c r="C671" s="4"/>
      <c r="D671" s="4"/>
      <c r="P671">
        <f t="shared" si="995"/>
        <v>0</v>
      </c>
      <c r="Q671">
        <f t="shared" si="996"/>
        <v>0</v>
      </c>
      <c r="R671">
        <f t="shared" si="997"/>
        <v>0</v>
      </c>
      <c r="S671">
        <f t="shared" si="998"/>
        <v>0</v>
      </c>
      <c r="T671">
        <f t="shared" si="999"/>
        <v>0</v>
      </c>
    </row>
    <row r="672" spans="1:20" x14ac:dyDescent="0.25">
      <c r="A672" s="5"/>
      <c r="C672" s="4"/>
      <c r="D672" s="4"/>
      <c r="P672">
        <f t="shared" si="995"/>
        <v>0</v>
      </c>
      <c r="Q672">
        <f t="shared" si="996"/>
        <v>0</v>
      </c>
      <c r="R672">
        <f t="shared" si="997"/>
        <v>0</v>
      </c>
      <c r="S672">
        <f t="shared" si="998"/>
        <v>0</v>
      </c>
      <c r="T672">
        <f t="shared" si="999"/>
        <v>0</v>
      </c>
    </row>
    <row r="673" spans="1:20" x14ac:dyDescent="0.25">
      <c r="A673" s="5"/>
      <c r="C673" s="4"/>
      <c r="D673" s="4"/>
      <c r="P673">
        <f t="shared" si="995"/>
        <v>0</v>
      </c>
      <c r="Q673">
        <f t="shared" si="996"/>
        <v>0</v>
      </c>
      <c r="R673">
        <f t="shared" si="997"/>
        <v>0</v>
      </c>
      <c r="S673">
        <f t="shared" si="998"/>
        <v>0</v>
      </c>
      <c r="T673">
        <f t="shared" si="999"/>
        <v>0</v>
      </c>
    </row>
    <row r="674" spans="1:20" x14ac:dyDescent="0.25">
      <c r="A674" s="5"/>
      <c r="C674" s="4"/>
      <c r="D674" s="4"/>
      <c r="P674">
        <f t="shared" si="995"/>
        <v>0</v>
      </c>
      <c r="Q674">
        <f t="shared" si="996"/>
        <v>0</v>
      </c>
      <c r="R674">
        <f t="shared" si="997"/>
        <v>0</v>
      </c>
      <c r="S674">
        <f t="shared" si="998"/>
        <v>0</v>
      </c>
      <c r="T674">
        <f t="shared" si="999"/>
        <v>0</v>
      </c>
    </row>
    <row r="675" spans="1:20" x14ac:dyDescent="0.25">
      <c r="A675" s="5"/>
      <c r="C675" s="4"/>
      <c r="D675" s="4"/>
      <c r="P675">
        <f t="shared" si="995"/>
        <v>0</v>
      </c>
      <c r="Q675">
        <f t="shared" si="996"/>
        <v>0</v>
      </c>
      <c r="R675">
        <f t="shared" si="997"/>
        <v>0</v>
      </c>
      <c r="S675">
        <f t="shared" si="998"/>
        <v>0</v>
      </c>
      <c r="T675">
        <f t="shared" si="999"/>
        <v>0</v>
      </c>
    </row>
    <row r="676" spans="1:20" x14ac:dyDescent="0.25">
      <c r="A676" s="5"/>
      <c r="C676" s="4"/>
      <c r="D676" s="4"/>
      <c r="P676">
        <f t="shared" si="995"/>
        <v>0</v>
      </c>
      <c r="Q676">
        <f t="shared" si="996"/>
        <v>0</v>
      </c>
      <c r="R676">
        <f t="shared" si="997"/>
        <v>0</v>
      </c>
      <c r="S676">
        <f t="shared" si="998"/>
        <v>0</v>
      </c>
      <c r="T676">
        <f t="shared" si="999"/>
        <v>0</v>
      </c>
    </row>
    <row r="677" spans="1:20" x14ac:dyDescent="0.25">
      <c r="A677" s="5"/>
      <c r="C677" s="4"/>
      <c r="D677" s="4"/>
      <c r="P677">
        <f t="shared" si="995"/>
        <v>0</v>
      </c>
      <c r="Q677">
        <f t="shared" si="996"/>
        <v>0</v>
      </c>
      <c r="R677">
        <f t="shared" si="997"/>
        <v>0</v>
      </c>
      <c r="S677">
        <f t="shared" si="998"/>
        <v>0</v>
      </c>
      <c r="T677">
        <f t="shared" si="999"/>
        <v>0</v>
      </c>
    </row>
    <row r="678" spans="1:20" x14ac:dyDescent="0.25">
      <c r="A678" s="5"/>
      <c r="C678" s="4"/>
      <c r="D678" s="4"/>
      <c r="P678">
        <f t="shared" si="995"/>
        <v>0</v>
      </c>
      <c r="Q678">
        <f t="shared" si="996"/>
        <v>0</v>
      </c>
      <c r="R678">
        <f t="shared" si="997"/>
        <v>0</v>
      </c>
      <c r="S678">
        <f t="shared" si="998"/>
        <v>0</v>
      </c>
      <c r="T678">
        <f t="shared" si="999"/>
        <v>0</v>
      </c>
    </row>
    <row r="679" spans="1:20" x14ac:dyDescent="0.25">
      <c r="A679" s="5"/>
      <c r="C679" s="4"/>
      <c r="D679" s="4"/>
      <c r="P679">
        <f t="shared" si="995"/>
        <v>0</v>
      </c>
      <c r="Q679">
        <f t="shared" si="996"/>
        <v>0</v>
      </c>
      <c r="R679">
        <f t="shared" si="997"/>
        <v>0</v>
      </c>
      <c r="S679">
        <f t="shared" si="998"/>
        <v>0</v>
      </c>
      <c r="T679">
        <f t="shared" si="999"/>
        <v>0</v>
      </c>
    </row>
    <row r="680" spans="1:20" x14ac:dyDescent="0.25">
      <c r="A680" s="5"/>
      <c r="C680" s="4"/>
      <c r="D680" s="4"/>
      <c r="P680">
        <f t="shared" si="995"/>
        <v>0</v>
      </c>
      <c r="Q680">
        <f t="shared" si="996"/>
        <v>0</v>
      </c>
      <c r="R680">
        <f t="shared" si="997"/>
        <v>0</v>
      </c>
      <c r="S680">
        <f t="shared" si="998"/>
        <v>0</v>
      </c>
      <c r="T680">
        <f t="shared" si="999"/>
        <v>0</v>
      </c>
    </row>
    <row r="681" spans="1:20" x14ac:dyDescent="0.25">
      <c r="A681" s="5"/>
      <c r="C681" s="4"/>
      <c r="D681" s="4"/>
      <c r="P681">
        <f t="shared" si="995"/>
        <v>0</v>
      </c>
      <c r="Q681">
        <f t="shared" si="996"/>
        <v>0</v>
      </c>
      <c r="R681">
        <f t="shared" si="997"/>
        <v>0</v>
      </c>
      <c r="S681">
        <f t="shared" si="998"/>
        <v>0</v>
      </c>
      <c r="T681">
        <f t="shared" si="999"/>
        <v>0</v>
      </c>
    </row>
    <row r="682" spans="1:20" x14ac:dyDescent="0.25">
      <c r="A682" s="5"/>
      <c r="C682" s="4"/>
      <c r="D682" s="4"/>
      <c r="P682">
        <f t="shared" si="995"/>
        <v>0</v>
      </c>
      <c r="Q682">
        <f t="shared" si="996"/>
        <v>0</v>
      </c>
      <c r="R682">
        <f t="shared" si="997"/>
        <v>0</v>
      </c>
      <c r="S682">
        <f t="shared" si="998"/>
        <v>0</v>
      </c>
      <c r="T682">
        <f t="shared" si="999"/>
        <v>0</v>
      </c>
    </row>
    <row r="683" spans="1:20" x14ac:dyDescent="0.25">
      <c r="A683" s="5"/>
      <c r="C683" s="4"/>
      <c r="D683" s="4"/>
      <c r="P683">
        <f t="shared" si="995"/>
        <v>0</v>
      </c>
      <c r="Q683">
        <f t="shared" si="996"/>
        <v>0</v>
      </c>
      <c r="R683">
        <f t="shared" si="997"/>
        <v>0</v>
      </c>
      <c r="S683">
        <f t="shared" si="998"/>
        <v>0</v>
      </c>
      <c r="T683">
        <f t="shared" si="999"/>
        <v>0</v>
      </c>
    </row>
    <row r="684" spans="1:20" x14ac:dyDescent="0.25">
      <c r="A684" s="5"/>
      <c r="C684" s="4"/>
      <c r="D684" s="4"/>
      <c r="P684">
        <f t="shared" si="995"/>
        <v>0</v>
      </c>
      <c r="Q684">
        <f t="shared" si="996"/>
        <v>0</v>
      </c>
      <c r="R684">
        <f t="shared" si="997"/>
        <v>0</v>
      </c>
      <c r="S684">
        <f t="shared" si="998"/>
        <v>0</v>
      </c>
      <c r="T684">
        <f t="shared" si="999"/>
        <v>0</v>
      </c>
    </row>
    <row r="685" spans="1:20" x14ac:dyDescent="0.25">
      <c r="A685" s="5"/>
      <c r="C685" s="4"/>
      <c r="D685" s="4"/>
      <c r="P685">
        <f t="shared" si="995"/>
        <v>0</v>
      </c>
      <c r="Q685">
        <f t="shared" si="996"/>
        <v>0</v>
      </c>
      <c r="R685">
        <f t="shared" si="997"/>
        <v>0</v>
      </c>
      <c r="S685">
        <f t="shared" si="998"/>
        <v>0</v>
      </c>
      <c r="T685">
        <f t="shared" si="999"/>
        <v>0</v>
      </c>
    </row>
    <row r="686" spans="1:20" x14ac:dyDescent="0.25">
      <c r="A686" s="5"/>
      <c r="C686" s="4"/>
      <c r="D686" s="4"/>
      <c r="P686">
        <f t="shared" si="995"/>
        <v>0</v>
      </c>
      <c r="Q686">
        <f t="shared" si="996"/>
        <v>0</v>
      </c>
      <c r="R686">
        <f t="shared" si="997"/>
        <v>0</v>
      </c>
      <c r="S686">
        <f t="shared" si="998"/>
        <v>0</v>
      </c>
      <c r="T686">
        <f t="shared" si="999"/>
        <v>0</v>
      </c>
    </row>
    <row r="687" spans="1:20" x14ac:dyDescent="0.25">
      <c r="A687" s="5"/>
      <c r="C687" s="4"/>
      <c r="D687" s="4"/>
      <c r="P687">
        <f t="shared" si="995"/>
        <v>0</v>
      </c>
      <c r="Q687">
        <f t="shared" si="996"/>
        <v>0</v>
      </c>
      <c r="R687">
        <f t="shared" si="997"/>
        <v>0</v>
      </c>
      <c r="S687">
        <f t="shared" si="998"/>
        <v>0</v>
      </c>
      <c r="T687">
        <f t="shared" si="999"/>
        <v>0</v>
      </c>
    </row>
    <row r="688" spans="1:20" x14ac:dyDescent="0.25">
      <c r="A688" s="5"/>
      <c r="C688" s="4"/>
      <c r="D688" s="4"/>
      <c r="P688">
        <f t="shared" si="995"/>
        <v>0</v>
      </c>
      <c r="Q688">
        <f t="shared" si="996"/>
        <v>0</v>
      </c>
      <c r="R688">
        <f t="shared" si="997"/>
        <v>0</v>
      </c>
      <c r="S688">
        <f t="shared" si="998"/>
        <v>0</v>
      </c>
      <c r="T688">
        <f t="shared" si="999"/>
        <v>0</v>
      </c>
    </row>
    <row r="689" spans="1:20" x14ac:dyDescent="0.25">
      <c r="A689" s="5"/>
      <c r="C689" s="4"/>
      <c r="D689" s="4"/>
      <c r="P689">
        <f t="shared" si="995"/>
        <v>0</v>
      </c>
      <c r="Q689">
        <f t="shared" si="996"/>
        <v>0</v>
      </c>
      <c r="R689">
        <f t="shared" si="997"/>
        <v>0</v>
      </c>
      <c r="S689">
        <f t="shared" si="998"/>
        <v>0</v>
      </c>
      <c r="T689">
        <f t="shared" si="999"/>
        <v>0</v>
      </c>
    </row>
    <row r="690" spans="1:20" x14ac:dyDescent="0.25">
      <c r="A690" s="5"/>
      <c r="C690" s="4"/>
      <c r="D690" s="4"/>
      <c r="P690">
        <f t="shared" si="995"/>
        <v>0</v>
      </c>
      <c r="Q690">
        <f t="shared" si="996"/>
        <v>0</v>
      </c>
      <c r="R690">
        <f t="shared" si="997"/>
        <v>0</v>
      </c>
      <c r="S690">
        <f t="shared" si="998"/>
        <v>0</v>
      </c>
      <c r="T690">
        <f t="shared" si="999"/>
        <v>0</v>
      </c>
    </row>
    <row r="691" spans="1:20" x14ac:dyDescent="0.25">
      <c r="A691" s="5"/>
      <c r="C691" s="4"/>
      <c r="D691" s="4"/>
      <c r="P691">
        <f t="shared" si="995"/>
        <v>0</v>
      </c>
      <c r="Q691">
        <f t="shared" si="996"/>
        <v>0</v>
      </c>
      <c r="R691">
        <f t="shared" si="997"/>
        <v>0</v>
      </c>
      <c r="S691">
        <f t="shared" si="998"/>
        <v>0</v>
      </c>
      <c r="T691">
        <f t="shared" si="999"/>
        <v>0</v>
      </c>
    </row>
    <row r="692" spans="1:20" x14ac:dyDescent="0.25">
      <c r="A692" s="5"/>
      <c r="C692" s="4"/>
      <c r="D692" s="4"/>
      <c r="P692">
        <f t="shared" si="995"/>
        <v>0</v>
      </c>
      <c r="Q692">
        <f t="shared" si="996"/>
        <v>0</v>
      </c>
      <c r="R692">
        <f t="shared" si="997"/>
        <v>0</v>
      </c>
      <c r="S692">
        <f t="shared" si="998"/>
        <v>0</v>
      </c>
      <c r="T692">
        <f t="shared" si="999"/>
        <v>0</v>
      </c>
    </row>
    <row r="693" spans="1:20" x14ac:dyDescent="0.25">
      <c r="A693" s="5"/>
      <c r="C693" s="4"/>
      <c r="D693" s="4"/>
      <c r="P693">
        <f t="shared" si="995"/>
        <v>0</v>
      </c>
      <c r="Q693">
        <f t="shared" si="996"/>
        <v>0</v>
      </c>
      <c r="R693">
        <f t="shared" si="997"/>
        <v>0</v>
      </c>
      <c r="S693">
        <f t="shared" si="998"/>
        <v>0</v>
      </c>
      <c r="T693">
        <f t="shared" si="999"/>
        <v>0</v>
      </c>
    </row>
    <row r="694" spans="1:20" x14ac:dyDescent="0.25">
      <c r="A694" s="5"/>
      <c r="C694" s="4"/>
      <c r="D694" s="4"/>
      <c r="P694">
        <f t="shared" si="995"/>
        <v>0</v>
      </c>
      <c r="Q694">
        <f t="shared" si="996"/>
        <v>0</v>
      </c>
      <c r="R694">
        <f t="shared" si="997"/>
        <v>0</v>
      </c>
      <c r="S694">
        <f t="shared" si="998"/>
        <v>0</v>
      </c>
      <c r="T694">
        <f t="shared" si="999"/>
        <v>0</v>
      </c>
    </row>
    <row r="695" spans="1:20" x14ac:dyDescent="0.25">
      <c r="A695" s="5"/>
      <c r="C695" s="4"/>
      <c r="D695" s="4"/>
      <c r="P695">
        <f t="shared" si="995"/>
        <v>0</v>
      </c>
      <c r="Q695">
        <f t="shared" si="996"/>
        <v>0</v>
      </c>
      <c r="R695">
        <f t="shared" si="997"/>
        <v>0</v>
      </c>
      <c r="S695">
        <f t="shared" si="998"/>
        <v>0</v>
      </c>
      <c r="T695">
        <f t="shared" si="999"/>
        <v>0</v>
      </c>
    </row>
    <row r="696" spans="1:20" x14ac:dyDescent="0.25">
      <c r="A696" s="5"/>
      <c r="C696" s="4"/>
      <c r="D696" s="4"/>
      <c r="P696">
        <f t="shared" si="995"/>
        <v>0</v>
      </c>
      <c r="Q696">
        <f t="shared" si="996"/>
        <v>0</v>
      </c>
      <c r="R696">
        <f t="shared" si="997"/>
        <v>0</v>
      </c>
      <c r="S696">
        <f t="shared" si="998"/>
        <v>0</v>
      </c>
      <c r="T696">
        <f t="shared" si="999"/>
        <v>0</v>
      </c>
    </row>
    <row r="697" spans="1:20" x14ac:dyDescent="0.25">
      <c r="A697" s="5"/>
      <c r="C697" s="4"/>
      <c r="D697" s="4"/>
      <c r="P697">
        <f t="shared" si="995"/>
        <v>0</v>
      </c>
      <c r="Q697">
        <f t="shared" si="996"/>
        <v>0</v>
      </c>
      <c r="R697">
        <f t="shared" si="997"/>
        <v>0</v>
      </c>
      <c r="S697">
        <f t="shared" si="998"/>
        <v>0</v>
      </c>
      <c r="T697">
        <f t="shared" si="999"/>
        <v>0</v>
      </c>
    </row>
    <row r="698" spans="1:20" x14ac:dyDescent="0.25">
      <c r="A698" s="5"/>
      <c r="C698" s="4"/>
      <c r="D698" s="4"/>
      <c r="P698">
        <f t="shared" si="995"/>
        <v>0</v>
      </c>
      <c r="Q698">
        <f t="shared" si="996"/>
        <v>0</v>
      </c>
      <c r="R698">
        <f t="shared" si="997"/>
        <v>0</v>
      </c>
      <c r="S698">
        <f t="shared" si="998"/>
        <v>0</v>
      </c>
      <c r="T698">
        <f t="shared" si="999"/>
        <v>0</v>
      </c>
    </row>
    <row r="699" spans="1:20" x14ac:dyDescent="0.25">
      <c r="A699" s="5"/>
      <c r="C699" s="4"/>
      <c r="D699" s="4"/>
      <c r="P699">
        <f t="shared" si="995"/>
        <v>0</v>
      </c>
      <c r="Q699">
        <f t="shared" si="996"/>
        <v>0</v>
      </c>
      <c r="R699">
        <f t="shared" si="997"/>
        <v>0</v>
      </c>
      <c r="S699">
        <f t="shared" si="998"/>
        <v>0</v>
      </c>
      <c r="T699">
        <f t="shared" si="999"/>
        <v>0</v>
      </c>
    </row>
    <row r="700" spans="1:20" x14ac:dyDescent="0.25">
      <c r="A700" s="5"/>
      <c r="C700" s="4"/>
      <c r="D700" s="4"/>
      <c r="P700">
        <f t="shared" si="995"/>
        <v>0</v>
      </c>
      <c r="Q700">
        <f t="shared" si="996"/>
        <v>0</v>
      </c>
      <c r="R700">
        <f t="shared" si="997"/>
        <v>0</v>
      </c>
      <c r="S700">
        <f t="shared" si="998"/>
        <v>0</v>
      </c>
      <c r="T700">
        <f t="shared" si="999"/>
        <v>0</v>
      </c>
    </row>
    <row r="701" spans="1:20" x14ac:dyDescent="0.25">
      <c r="A701" s="5"/>
      <c r="C701" s="4"/>
      <c r="D701" s="4"/>
      <c r="P701">
        <f t="shared" si="995"/>
        <v>0</v>
      </c>
      <c r="Q701">
        <f t="shared" si="996"/>
        <v>0</v>
      </c>
      <c r="R701">
        <f t="shared" si="997"/>
        <v>0</v>
      </c>
      <c r="S701">
        <f t="shared" si="998"/>
        <v>0</v>
      </c>
      <c r="T701">
        <f t="shared" si="999"/>
        <v>0</v>
      </c>
    </row>
    <row r="702" spans="1:20" x14ac:dyDescent="0.25">
      <c r="A702" s="5"/>
      <c r="C702" s="4"/>
      <c r="D702" s="4"/>
      <c r="P702">
        <f t="shared" si="995"/>
        <v>0</v>
      </c>
      <c r="Q702">
        <f t="shared" si="996"/>
        <v>0</v>
      </c>
      <c r="R702">
        <f t="shared" si="997"/>
        <v>0</v>
      </c>
      <c r="S702">
        <f t="shared" si="998"/>
        <v>0</v>
      </c>
      <c r="T702">
        <f t="shared" si="999"/>
        <v>0</v>
      </c>
    </row>
    <row r="703" spans="1:20" x14ac:dyDescent="0.25">
      <c r="A703" s="5"/>
      <c r="C703" s="4"/>
      <c r="D703" s="4"/>
      <c r="P703">
        <f t="shared" si="995"/>
        <v>0</v>
      </c>
      <c r="Q703">
        <f t="shared" si="996"/>
        <v>0</v>
      </c>
      <c r="R703">
        <f t="shared" si="997"/>
        <v>0</v>
      </c>
      <c r="S703">
        <f t="shared" si="998"/>
        <v>0</v>
      </c>
      <c r="T703">
        <f t="shared" si="999"/>
        <v>0</v>
      </c>
    </row>
    <row r="704" spans="1:20" x14ac:dyDescent="0.25">
      <c r="A704" s="5"/>
      <c r="C704" s="4"/>
      <c r="D704" s="4"/>
      <c r="P704">
        <f t="shared" si="995"/>
        <v>0</v>
      </c>
      <c r="Q704">
        <f t="shared" si="996"/>
        <v>0</v>
      </c>
      <c r="R704">
        <f t="shared" si="997"/>
        <v>0</v>
      </c>
      <c r="S704">
        <f t="shared" si="998"/>
        <v>0</v>
      </c>
      <c r="T704">
        <f t="shared" si="999"/>
        <v>0</v>
      </c>
    </row>
    <row r="705" spans="1:20" x14ac:dyDescent="0.25">
      <c r="A705" s="5"/>
      <c r="C705" s="4"/>
      <c r="D705" s="4"/>
      <c r="P705">
        <f t="shared" si="995"/>
        <v>0</v>
      </c>
      <c r="Q705">
        <f t="shared" si="996"/>
        <v>0</v>
      </c>
      <c r="R705">
        <f t="shared" si="997"/>
        <v>0</v>
      </c>
      <c r="S705">
        <f t="shared" si="998"/>
        <v>0</v>
      </c>
      <c r="T705">
        <f t="shared" si="999"/>
        <v>0</v>
      </c>
    </row>
    <row r="706" spans="1:20" x14ac:dyDescent="0.25">
      <c r="A706" s="5"/>
      <c r="C706" s="4"/>
      <c r="D706" s="4"/>
      <c r="P706">
        <f t="shared" si="995"/>
        <v>0</v>
      </c>
      <c r="Q706">
        <f t="shared" si="996"/>
        <v>0</v>
      </c>
      <c r="R706">
        <f t="shared" si="997"/>
        <v>0</v>
      </c>
      <c r="S706">
        <f t="shared" si="998"/>
        <v>0</v>
      </c>
      <c r="T706">
        <f t="shared" si="999"/>
        <v>0</v>
      </c>
    </row>
    <row r="707" spans="1:20" x14ac:dyDescent="0.25">
      <c r="A707" s="5"/>
      <c r="C707" s="4"/>
      <c r="D707" s="4"/>
      <c r="P707">
        <f t="shared" si="995"/>
        <v>0</v>
      </c>
      <c r="Q707">
        <f t="shared" si="996"/>
        <v>0</v>
      </c>
      <c r="R707">
        <f t="shared" si="997"/>
        <v>0</v>
      </c>
      <c r="S707">
        <f t="shared" si="998"/>
        <v>0</v>
      </c>
      <c r="T707">
        <f t="shared" si="999"/>
        <v>0</v>
      </c>
    </row>
    <row r="708" spans="1:20" x14ac:dyDescent="0.25">
      <c r="A708" s="5"/>
      <c r="C708" s="4"/>
      <c r="D708" s="4"/>
      <c r="P708">
        <f t="shared" si="995"/>
        <v>0</v>
      </c>
      <c r="Q708">
        <f t="shared" si="996"/>
        <v>0</v>
      </c>
      <c r="R708">
        <f t="shared" si="997"/>
        <v>0</v>
      </c>
      <c r="S708">
        <f t="shared" si="998"/>
        <v>0</v>
      </c>
      <c r="T708">
        <f t="shared" si="999"/>
        <v>0</v>
      </c>
    </row>
    <row r="709" spans="1:20" x14ac:dyDescent="0.25">
      <c r="A709" s="5"/>
      <c r="C709" s="4"/>
      <c r="D709" s="4"/>
      <c r="P709">
        <f t="shared" si="995"/>
        <v>0</v>
      </c>
      <c r="Q709">
        <f t="shared" si="996"/>
        <v>0</v>
      </c>
      <c r="R709">
        <f t="shared" si="997"/>
        <v>0</v>
      </c>
      <c r="S709">
        <f t="shared" si="998"/>
        <v>0</v>
      </c>
      <c r="T709">
        <f t="shared" si="999"/>
        <v>0</v>
      </c>
    </row>
    <row r="710" spans="1:20" x14ac:dyDescent="0.25">
      <c r="A710" s="5"/>
      <c r="C710" s="4"/>
      <c r="D710" s="4"/>
      <c r="P710">
        <f t="shared" ref="P710:P766" si="1000">IF(C710=D710,0,((E710-D710)-(C710-E710))/(C710-D710))</f>
        <v>0</v>
      </c>
      <c r="Q710">
        <f t="shared" ref="Q710:Q766" si="1001">F710*P710</f>
        <v>0</v>
      </c>
      <c r="R710">
        <f t="shared" ref="R710:R766" si="1002">R711+Q710</f>
        <v>0</v>
      </c>
      <c r="S710">
        <f t="shared" ref="S710:S766" si="1003">R710/100000</f>
        <v>0</v>
      </c>
      <c r="T710">
        <f t="shared" ref="T710:T766" si="1004">S710/1000</f>
        <v>0</v>
      </c>
    </row>
    <row r="711" spans="1:20" x14ac:dyDescent="0.25">
      <c r="A711" s="5"/>
      <c r="C711" s="4"/>
      <c r="D711" s="4"/>
      <c r="P711">
        <f t="shared" si="1000"/>
        <v>0</v>
      </c>
      <c r="Q711">
        <f t="shared" si="1001"/>
        <v>0</v>
      </c>
      <c r="R711">
        <f t="shared" si="1002"/>
        <v>0</v>
      </c>
      <c r="S711">
        <f t="shared" si="1003"/>
        <v>0</v>
      </c>
      <c r="T711">
        <f t="shared" si="1004"/>
        <v>0</v>
      </c>
    </row>
    <row r="712" spans="1:20" x14ac:dyDescent="0.25">
      <c r="A712" s="5"/>
      <c r="C712" s="4"/>
      <c r="D712" s="4"/>
      <c r="P712">
        <f t="shared" si="1000"/>
        <v>0</v>
      </c>
      <c r="Q712">
        <f t="shared" si="1001"/>
        <v>0</v>
      </c>
      <c r="R712">
        <f t="shared" si="1002"/>
        <v>0</v>
      </c>
      <c r="S712">
        <f t="shared" si="1003"/>
        <v>0</v>
      </c>
      <c r="T712">
        <f t="shared" si="1004"/>
        <v>0</v>
      </c>
    </row>
    <row r="713" spans="1:20" x14ac:dyDescent="0.25">
      <c r="A713" s="5"/>
      <c r="C713" s="4"/>
      <c r="D713" s="4"/>
      <c r="P713">
        <f t="shared" si="1000"/>
        <v>0</v>
      </c>
      <c r="Q713">
        <f t="shared" si="1001"/>
        <v>0</v>
      </c>
      <c r="R713">
        <f t="shared" si="1002"/>
        <v>0</v>
      </c>
      <c r="S713">
        <f t="shared" si="1003"/>
        <v>0</v>
      </c>
      <c r="T713">
        <f t="shared" si="1004"/>
        <v>0</v>
      </c>
    </row>
    <row r="714" spans="1:20" x14ac:dyDescent="0.25">
      <c r="A714" s="5"/>
      <c r="C714" s="4"/>
      <c r="D714" s="4"/>
      <c r="P714">
        <f t="shared" si="1000"/>
        <v>0</v>
      </c>
      <c r="Q714">
        <f t="shared" si="1001"/>
        <v>0</v>
      </c>
      <c r="R714">
        <f t="shared" si="1002"/>
        <v>0</v>
      </c>
      <c r="S714">
        <f t="shared" si="1003"/>
        <v>0</v>
      </c>
      <c r="T714">
        <f t="shared" si="1004"/>
        <v>0</v>
      </c>
    </row>
    <row r="715" spans="1:20" x14ac:dyDescent="0.25">
      <c r="A715" s="5"/>
      <c r="C715" s="4"/>
      <c r="D715" s="4"/>
      <c r="P715">
        <f t="shared" si="1000"/>
        <v>0</v>
      </c>
      <c r="Q715">
        <f t="shared" si="1001"/>
        <v>0</v>
      </c>
      <c r="R715">
        <f t="shared" si="1002"/>
        <v>0</v>
      </c>
      <c r="S715">
        <f t="shared" si="1003"/>
        <v>0</v>
      </c>
      <c r="T715">
        <f t="shared" si="1004"/>
        <v>0</v>
      </c>
    </row>
    <row r="716" spans="1:20" x14ac:dyDescent="0.25">
      <c r="A716" s="5"/>
      <c r="C716" s="4"/>
      <c r="D716" s="4"/>
      <c r="P716">
        <f t="shared" si="1000"/>
        <v>0</v>
      </c>
      <c r="Q716">
        <f t="shared" si="1001"/>
        <v>0</v>
      </c>
      <c r="R716">
        <f t="shared" si="1002"/>
        <v>0</v>
      </c>
      <c r="S716">
        <f t="shared" si="1003"/>
        <v>0</v>
      </c>
      <c r="T716">
        <f t="shared" si="1004"/>
        <v>0</v>
      </c>
    </row>
    <row r="717" spans="1:20" x14ac:dyDescent="0.25">
      <c r="A717" s="5"/>
      <c r="C717" s="4"/>
      <c r="D717" s="4"/>
      <c r="P717">
        <f t="shared" si="1000"/>
        <v>0</v>
      </c>
      <c r="Q717">
        <f t="shared" si="1001"/>
        <v>0</v>
      </c>
      <c r="R717">
        <f t="shared" si="1002"/>
        <v>0</v>
      </c>
      <c r="S717">
        <f t="shared" si="1003"/>
        <v>0</v>
      </c>
      <c r="T717">
        <f t="shared" si="1004"/>
        <v>0</v>
      </c>
    </row>
    <row r="718" spans="1:20" x14ac:dyDescent="0.25">
      <c r="A718" s="5"/>
      <c r="C718" s="4"/>
      <c r="D718" s="4"/>
      <c r="P718">
        <f t="shared" si="1000"/>
        <v>0</v>
      </c>
      <c r="Q718">
        <f t="shared" si="1001"/>
        <v>0</v>
      </c>
      <c r="R718">
        <f t="shared" si="1002"/>
        <v>0</v>
      </c>
      <c r="S718">
        <f t="shared" si="1003"/>
        <v>0</v>
      </c>
      <c r="T718">
        <f t="shared" si="1004"/>
        <v>0</v>
      </c>
    </row>
    <row r="719" spans="1:20" x14ac:dyDescent="0.25">
      <c r="A719" s="5"/>
      <c r="C719" s="4"/>
      <c r="D719" s="4"/>
      <c r="P719">
        <f t="shared" si="1000"/>
        <v>0</v>
      </c>
      <c r="Q719">
        <f t="shared" si="1001"/>
        <v>0</v>
      </c>
      <c r="R719">
        <f t="shared" si="1002"/>
        <v>0</v>
      </c>
      <c r="S719">
        <f t="shared" si="1003"/>
        <v>0</v>
      </c>
      <c r="T719">
        <f t="shared" si="1004"/>
        <v>0</v>
      </c>
    </row>
    <row r="720" spans="1:20" x14ac:dyDescent="0.25">
      <c r="A720" s="5"/>
      <c r="C720" s="4"/>
      <c r="D720" s="4"/>
      <c r="P720">
        <f t="shared" si="1000"/>
        <v>0</v>
      </c>
      <c r="Q720">
        <f t="shared" si="1001"/>
        <v>0</v>
      </c>
      <c r="R720">
        <f t="shared" si="1002"/>
        <v>0</v>
      </c>
      <c r="S720">
        <f t="shared" si="1003"/>
        <v>0</v>
      </c>
      <c r="T720">
        <f t="shared" si="1004"/>
        <v>0</v>
      </c>
    </row>
    <row r="721" spans="1:20" x14ac:dyDescent="0.25">
      <c r="A721" s="5"/>
      <c r="C721" s="4"/>
      <c r="D721" s="4"/>
      <c r="P721">
        <f t="shared" si="1000"/>
        <v>0</v>
      </c>
      <c r="Q721">
        <f t="shared" si="1001"/>
        <v>0</v>
      </c>
      <c r="R721">
        <f t="shared" si="1002"/>
        <v>0</v>
      </c>
      <c r="S721">
        <f t="shared" si="1003"/>
        <v>0</v>
      </c>
      <c r="T721">
        <f t="shared" si="1004"/>
        <v>0</v>
      </c>
    </row>
    <row r="722" spans="1:20" x14ac:dyDescent="0.25">
      <c r="A722" s="5"/>
      <c r="C722" s="4"/>
      <c r="D722" s="4"/>
      <c r="P722">
        <f t="shared" si="1000"/>
        <v>0</v>
      </c>
      <c r="Q722">
        <f t="shared" si="1001"/>
        <v>0</v>
      </c>
      <c r="R722">
        <f t="shared" si="1002"/>
        <v>0</v>
      </c>
      <c r="S722">
        <f t="shared" si="1003"/>
        <v>0</v>
      </c>
      <c r="T722">
        <f t="shared" si="1004"/>
        <v>0</v>
      </c>
    </row>
    <row r="723" spans="1:20" x14ac:dyDescent="0.25">
      <c r="A723" s="5"/>
      <c r="C723" s="4"/>
      <c r="D723" s="4"/>
      <c r="P723">
        <f t="shared" si="1000"/>
        <v>0</v>
      </c>
      <c r="Q723">
        <f t="shared" si="1001"/>
        <v>0</v>
      </c>
      <c r="R723">
        <f t="shared" si="1002"/>
        <v>0</v>
      </c>
      <c r="S723">
        <f t="shared" si="1003"/>
        <v>0</v>
      </c>
      <c r="T723">
        <f t="shared" si="1004"/>
        <v>0</v>
      </c>
    </row>
    <row r="724" spans="1:20" x14ac:dyDescent="0.25">
      <c r="A724" s="5"/>
      <c r="C724" s="4"/>
      <c r="D724" s="4"/>
      <c r="P724">
        <f t="shared" si="1000"/>
        <v>0</v>
      </c>
      <c r="Q724">
        <f t="shared" si="1001"/>
        <v>0</v>
      </c>
      <c r="R724">
        <f t="shared" si="1002"/>
        <v>0</v>
      </c>
      <c r="S724">
        <f t="shared" si="1003"/>
        <v>0</v>
      </c>
      <c r="T724">
        <f t="shared" si="1004"/>
        <v>0</v>
      </c>
    </row>
    <row r="725" spans="1:20" x14ac:dyDescent="0.25">
      <c r="A725" s="5"/>
      <c r="C725" s="4"/>
      <c r="D725" s="4"/>
      <c r="P725">
        <f t="shared" si="1000"/>
        <v>0</v>
      </c>
      <c r="Q725">
        <f t="shared" si="1001"/>
        <v>0</v>
      </c>
      <c r="R725">
        <f t="shared" si="1002"/>
        <v>0</v>
      </c>
      <c r="S725">
        <f t="shared" si="1003"/>
        <v>0</v>
      </c>
      <c r="T725">
        <f t="shared" si="1004"/>
        <v>0</v>
      </c>
    </row>
    <row r="726" spans="1:20" x14ac:dyDescent="0.25">
      <c r="A726" s="5"/>
      <c r="C726" s="4"/>
      <c r="D726" s="4"/>
      <c r="P726">
        <f t="shared" si="1000"/>
        <v>0</v>
      </c>
      <c r="Q726">
        <f t="shared" si="1001"/>
        <v>0</v>
      </c>
      <c r="R726">
        <f t="shared" si="1002"/>
        <v>0</v>
      </c>
      <c r="S726">
        <f t="shared" si="1003"/>
        <v>0</v>
      </c>
      <c r="T726">
        <f t="shared" si="1004"/>
        <v>0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R621" sqref="LR62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$A$620</v>
      </c>
      <c r="D111" s="1" t="str">
        <f>ADDRESS(C121-1,D121,1,1)</f>
        <v>$LR$620</v>
      </c>
      <c r="E111"/>
    </row>
    <row r="112" spans="1:5" x14ac:dyDescent="0.25">
      <c r="A112" s="7">
        <v>12164.144957890772</v>
      </c>
      <c r="C112" s="1" t="str">
        <f>ADDRESS(C121,1,1,1)</f>
        <v>$A$621</v>
      </c>
      <c r="D112" s="1" t="str">
        <f>ADDRESS(C121,D121-1,1,1)</f>
        <v>$LQ$621</v>
      </c>
      <c r="E112"/>
    </row>
    <row r="113" spans="1:5" x14ac:dyDescent="0.25">
      <c r="A113" s="7">
        <v>11925.63231165762</v>
      </c>
      <c r="C113" s="1" t="str">
        <f>ADDRESS(C121+1,1,1,1)</f>
        <v>$A$622</v>
      </c>
      <c r="D113" s="1" t="str">
        <f>ADDRESS(C121-1,D121+1,1,1)</f>
        <v>$LS$620</v>
      </c>
    </row>
    <row r="114" spans="1:5" x14ac:dyDescent="0.25">
      <c r="A114" s="7">
        <v>11691.796383978059</v>
      </c>
      <c r="C114" s="1" t="str">
        <f>ADDRESS(C121,D121,1,1)</f>
        <v>$LR$621</v>
      </c>
      <c r="D114" s="1" t="str">
        <f>ADDRESS(C121+1,D121+1,1,1)</f>
        <v>$LS$622</v>
      </c>
    </row>
    <row r="115" spans="1:5" x14ac:dyDescent="0.25">
      <c r="A115" s="7">
        <v>11462.545474488292</v>
      </c>
      <c r="C115" s="1" t="str">
        <f>ADDRESS(C121+1,D121,1,1)</f>
        <v>$LR$622</v>
      </c>
    </row>
    <row r="116" spans="1:5" x14ac:dyDescent="0.25">
      <c r="A116" s="7">
        <v>11237.789680870874</v>
      </c>
      <c r="C116" s="1">
        <f>C117-1</f>
        <v>620</v>
      </c>
    </row>
    <row r="117" spans="1:5" x14ac:dyDescent="0.25">
      <c r="A117" s="7">
        <v>11017.440863598895</v>
      </c>
      <c r="C117" s="1">
        <f>C121</f>
        <v>621</v>
      </c>
      <c r="D117" s="1">
        <f>D121</f>
        <v>330</v>
      </c>
    </row>
    <row r="118" spans="1:5" x14ac:dyDescent="0.25">
      <c r="A118" s="7">
        <v>10801.412611371465</v>
      </c>
      <c r="C118" s="1">
        <f>C117+1</f>
        <v>622</v>
      </c>
      <c r="D118" s="1">
        <f>D117+1</f>
        <v>331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621</v>
      </c>
      <c r="D121" s="19">
        <v>330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R621</v>
      </c>
      <c r="D123" s="1" t="str">
        <f>"C"&amp;D121</f>
        <v>C330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0.51002816562648323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296" x14ac:dyDescent="0.25">
      <c r="A561" s="7">
        <v>1.6734181143540252</v>
      </c>
      <c r="B561"/>
      <c r="C561"/>
      <c r="D561"/>
      <c r="E561"/>
    </row>
    <row r="562" spans="1:296" x14ac:dyDescent="0.25">
      <c r="A562" s="7">
        <v>1.6406059944647307</v>
      </c>
      <c r="B562"/>
      <c r="C562"/>
      <c r="D562"/>
      <c r="E562"/>
    </row>
    <row r="563" spans="1:296" x14ac:dyDescent="0.25">
      <c r="A563" s="7">
        <v>1.6084372494752261</v>
      </c>
      <c r="B563"/>
      <c r="C563"/>
      <c r="D563"/>
      <c r="E563"/>
    </row>
    <row r="564" spans="1:296" x14ac:dyDescent="0.25">
      <c r="A564" s="7">
        <v>1.5768992641913981</v>
      </c>
      <c r="B564"/>
      <c r="C564"/>
      <c r="D564"/>
      <c r="E564"/>
    </row>
    <row r="565" spans="1:296" x14ac:dyDescent="0.25">
      <c r="A565" s="7">
        <v>1.5459796707758806</v>
      </c>
      <c r="B565"/>
      <c r="C565"/>
      <c r="D565"/>
      <c r="E565"/>
    </row>
    <row r="566" spans="1:296" x14ac:dyDescent="0.25">
      <c r="A566" s="7">
        <v>1.5156663438979221</v>
      </c>
      <c r="B566"/>
      <c r="C566"/>
      <c r="D566"/>
      <c r="E566"/>
    </row>
    <row r="567" spans="1:296" x14ac:dyDescent="0.25">
      <c r="A567" s="7">
        <v>1.4859473959783549</v>
      </c>
      <c r="B567"/>
      <c r="C567"/>
      <c r="D567"/>
      <c r="E567"/>
      <c r="KG567" s="27" t="s">
        <v>8</v>
      </c>
    </row>
    <row r="568" spans="1:296" x14ac:dyDescent="0.25">
      <c r="A568" s="7">
        <v>1.4568111725277988</v>
      </c>
      <c r="B568"/>
      <c r="C568"/>
      <c r="D568"/>
      <c r="E568"/>
      <c r="KG568" s="27" t="s">
        <v>8</v>
      </c>
      <c r="KH568" s="27" t="s">
        <v>7</v>
      </c>
    </row>
    <row r="569" spans="1:296" x14ac:dyDescent="0.25">
      <c r="A569" s="7">
        <v>1.4282462475762734</v>
      </c>
      <c r="B569"/>
      <c r="C569"/>
      <c r="D569"/>
      <c r="E569"/>
      <c r="JY569" s="27" t="s">
        <v>8</v>
      </c>
      <c r="KG569" s="27" t="s">
        <v>8</v>
      </c>
      <c r="KH569" s="27" t="s">
        <v>7</v>
      </c>
    </row>
    <row r="570" spans="1:296" x14ac:dyDescent="0.25">
      <c r="A570" s="7">
        <v>1.4002414191924248</v>
      </c>
      <c r="B570"/>
      <c r="C570"/>
      <c r="D570"/>
      <c r="E570"/>
      <c r="JY570" s="27" t="s">
        <v>8</v>
      </c>
      <c r="JZ570" s="27" t="s">
        <v>7</v>
      </c>
      <c r="KG570" s="27" t="s">
        <v>8</v>
      </c>
      <c r="KH570" s="27" t="s">
        <v>7</v>
      </c>
    </row>
    <row r="571" spans="1:296" x14ac:dyDescent="0.25">
      <c r="A571" s="7">
        <v>1.3727857050906125</v>
      </c>
      <c r="B571"/>
      <c r="C571"/>
      <c r="D571"/>
      <c r="E571"/>
      <c r="JY571" s="27" t="s">
        <v>8</v>
      </c>
      <c r="JZ571" s="27" t="s">
        <v>7</v>
      </c>
      <c r="KC571" s="27" t="s">
        <v>8</v>
      </c>
      <c r="KG571" s="27" t="s">
        <v>8</v>
      </c>
      <c r="KH571" s="27" t="s">
        <v>7</v>
      </c>
      <c r="KI571" s="27" t="s">
        <v>8</v>
      </c>
    </row>
    <row r="572" spans="1:296" x14ac:dyDescent="0.25">
      <c r="A572" s="7">
        <v>1.3458683383241299</v>
      </c>
      <c r="B572"/>
      <c r="C572"/>
      <c r="D572"/>
      <c r="E572"/>
      <c r="JY572" s="27" t="s">
        <v>8</v>
      </c>
      <c r="JZ572" s="27" t="s">
        <v>7</v>
      </c>
      <c r="KC572" s="27" t="s">
        <v>8</v>
      </c>
      <c r="KD572" s="27" t="s">
        <v>7</v>
      </c>
      <c r="KG572" s="27" t="s">
        <v>8</v>
      </c>
      <c r="KH572" s="27" t="s">
        <v>7</v>
      </c>
      <c r="KI572" s="27" t="s">
        <v>8</v>
      </c>
      <c r="KJ572" s="27" t="s">
        <v>7</v>
      </c>
    </row>
    <row r="573" spans="1:296" x14ac:dyDescent="0.25">
      <c r="A573" s="7">
        <v>1.3194787630628724</v>
      </c>
      <c r="B573"/>
      <c r="C573"/>
      <c r="D573"/>
      <c r="E573"/>
      <c r="JY573" s="27" t="s">
        <v>8</v>
      </c>
      <c r="JZ573" s="27" t="s">
        <v>7</v>
      </c>
      <c r="KA573" s="27" t="s">
        <v>8</v>
      </c>
      <c r="KC573" s="27" t="s">
        <v>8</v>
      </c>
      <c r="KD573" s="27" t="s">
        <v>7</v>
      </c>
      <c r="KE573" s="27" t="s">
        <v>8</v>
      </c>
      <c r="KG573" s="27" t="s">
        <v>8</v>
      </c>
      <c r="KH573" s="27" t="s">
        <v>7</v>
      </c>
      <c r="KI573" s="27" t="s">
        <v>8</v>
      </c>
      <c r="KJ573" s="27" t="s">
        <v>7</v>
      </c>
    </row>
    <row r="574" spans="1:296" x14ac:dyDescent="0.25">
      <c r="A574" s="7">
        <v>1.2936066304537963</v>
      </c>
      <c r="B574"/>
      <c r="C574"/>
      <c r="D574"/>
      <c r="E574"/>
      <c r="JY574" s="27" t="s">
        <v>8</v>
      </c>
      <c r="JZ574" s="27" t="s">
        <v>7</v>
      </c>
      <c r="KA574" s="27" t="s">
        <v>8</v>
      </c>
      <c r="KB574" s="27" t="s">
        <v>7</v>
      </c>
      <c r="KC574" s="27" t="s">
        <v>8</v>
      </c>
      <c r="KD574" s="27" t="s">
        <v>7</v>
      </c>
      <c r="KE574" s="27" t="s">
        <v>8</v>
      </c>
      <c r="KF574" s="27" t="s">
        <v>7</v>
      </c>
      <c r="KG574" s="27" t="s">
        <v>8</v>
      </c>
      <c r="KH574" s="27" t="s">
        <v>7</v>
      </c>
      <c r="KI574" s="27" t="s">
        <v>8</v>
      </c>
      <c r="KJ574" s="27" t="s">
        <v>7</v>
      </c>
    </row>
    <row r="575" spans="1:296" x14ac:dyDescent="0.25">
      <c r="A575" s="7">
        <v>1.2682417945625455</v>
      </c>
      <c r="B575"/>
      <c r="C575"/>
      <c r="D575"/>
      <c r="E575"/>
      <c r="JY575" s="27" t="s">
        <v>8</v>
      </c>
      <c r="JZ575" s="27" t="s">
        <v>7</v>
      </c>
      <c r="KA575" s="27" t="s">
        <v>8</v>
      </c>
      <c r="KB575" s="27" t="s">
        <v>7</v>
      </c>
      <c r="KC575" s="27" t="s">
        <v>8</v>
      </c>
      <c r="KD575" s="27" t="s">
        <v>7</v>
      </c>
      <c r="KE575" s="27" t="s">
        <v>8</v>
      </c>
      <c r="KF575" s="27" t="s">
        <v>7</v>
      </c>
      <c r="KG575" s="27" t="s">
        <v>8</v>
      </c>
      <c r="KH575" s="27" t="s">
        <v>7</v>
      </c>
      <c r="KI575" s="27" t="s">
        <v>8</v>
      </c>
      <c r="KJ575" s="27" t="s">
        <v>7</v>
      </c>
    </row>
    <row r="576" spans="1:296" x14ac:dyDescent="0.25">
      <c r="A576" s="7">
        <v>1.2433743083946525</v>
      </c>
      <c r="B576"/>
      <c r="C576"/>
      <c r="D576"/>
      <c r="E576"/>
      <c r="JY576" s="27" t="s">
        <v>8</v>
      </c>
      <c r="JZ576" s="27" t="s">
        <v>7</v>
      </c>
      <c r="KA576" s="27" t="s">
        <v>8</v>
      </c>
      <c r="KB576" s="27" t="s">
        <v>7</v>
      </c>
      <c r="KC576" s="27" t="s">
        <v>8</v>
      </c>
      <c r="KD576" s="27" t="s">
        <v>7</v>
      </c>
      <c r="KE576" s="27" t="s">
        <v>8</v>
      </c>
      <c r="KF576" s="27" t="s">
        <v>7</v>
      </c>
      <c r="KG576" s="27" t="s">
        <v>8</v>
      </c>
      <c r="KH576" s="27" t="s">
        <v>7</v>
      </c>
      <c r="KI576" s="27" t="s">
        <v>8</v>
      </c>
      <c r="KJ576" s="27" t="s">
        <v>7</v>
      </c>
    </row>
    <row r="577" spans="1:324" x14ac:dyDescent="0.25">
      <c r="A577" s="7">
        <v>1.2189944199947573</v>
      </c>
      <c r="B577"/>
      <c r="C577"/>
      <c r="D577"/>
      <c r="E577"/>
      <c r="JY577" s="27" t="s">
        <v>8</v>
      </c>
      <c r="JZ577" s="27" t="s">
        <v>7</v>
      </c>
      <c r="KA577" s="27" t="s">
        <v>8</v>
      </c>
      <c r="KB577" s="27" t="s">
        <v>7</v>
      </c>
      <c r="KC577" s="27" t="s">
        <v>8</v>
      </c>
      <c r="KD577" s="27" t="s">
        <v>7</v>
      </c>
      <c r="KE577" s="27" t="s">
        <v>8</v>
      </c>
      <c r="KF577" s="27" t="s">
        <v>7</v>
      </c>
      <c r="KG577" s="27" t="s">
        <v>8</v>
      </c>
      <c r="KH577" s="27" t="s">
        <v>7</v>
      </c>
      <c r="KI577" s="27" t="s">
        <v>8</v>
      </c>
      <c r="KJ577" s="27" t="s">
        <v>7</v>
      </c>
    </row>
    <row r="578" spans="1:324" x14ac:dyDescent="0.25">
      <c r="A578" s="7">
        <v>1.1950925686223111</v>
      </c>
      <c r="B578"/>
      <c r="C578"/>
      <c r="D578"/>
      <c r="E578"/>
      <c r="JY578" s="27" t="s">
        <v>8</v>
      </c>
      <c r="JZ578" s="27" t="s">
        <v>7</v>
      </c>
      <c r="KA578" s="27" t="s">
        <v>8</v>
      </c>
      <c r="KB578" s="27" t="s">
        <v>7</v>
      </c>
      <c r="KC578" s="27" t="s">
        <v>8</v>
      </c>
      <c r="KD578" s="27" t="s">
        <v>7</v>
      </c>
      <c r="KE578" s="27" t="s">
        <v>8</v>
      </c>
      <c r="KF578" s="27" t="s">
        <v>7</v>
      </c>
      <c r="KG578" s="27" t="s">
        <v>8</v>
      </c>
      <c r="KH578" s="27" t="s">
        <v>7</v>
      </c>
      <c r="KJ578" s="27" t="s">
        <v>7</v>
      </c>
    </row>
    <row r="579" spans="1:324" x14ac:dyDescent="0.25">
      <c r="A579" s="7">
        <v>1.1716593810022657</v>
      </c>
      <c r="B579"/>
      <c r="C579"/>
      <c r="D579"/>
      <c r="E579"/>
      <c r="JY579" s="27" t="s">
        <v>8</v>
      </c>
      <c r="JZ579" s="27" t="s">
        <v>7</v>
      </c>
      <c r="KA579" s="27" t="s">
        <v>8</v>
      </c>
      <c r="KB579" s="27" t="s">
        <v>7</v>
      </c>
      <c r="KC579" s="27" t="s">
        <v>8</v>
      </c>
      <c r="KD579" s="27" t="s">
        <v>7</v>
      </c>
      <c r="KE579" s="27" t="s">
        <v>8</v>
      </c>
      <c r="KF579" s="27" t="s">
        <v>7</v>
      </c>
      <c r="KG579" s="27" t="s">
        <v>8</v>
      </c>
      <c r="KJ579" s="27" t="s">
        <v>7</v>
      </c>
    </row>
    <row r="580" spans="1:324" x14ac:dyDescent="0.25">
      <c r="A580" s="7">
        <v>1.14868566764928</v>
      </c>
      <c r="B580"/>
      <c r="C580"/>
      <c r="D580"/>
      <c r="E580"/>
      <c r="JY580" s="27" t="s">
        <v>8</v>
      </c>
      <c r="JZ580" s="27" t="s">
        <v>7</v>
      </c>
      <c r="KA580" s="27" t="s">
        <v>8</v>
      </c>
      <c r="KB580" s="27" t="s">
        <v>7</v>
      </c>
      <c r="KC580" s="27" t="s">
        <v>8</v>
      </c>
      <c r="KD580" s="27" t="s">
        <v>7</v>
      </c>
      <c r="KE580" s="27" t="s">
        <v>8</v>
      </c>
      <c r="KF580" s="27" t="s">
        <v>7</v>
      </c>
      <c r="KG580" s="27" t="s">
        <v>8</v>
      </c>
      <c r="KJ580" s="27" t="s">
        <v>7</v>
      </c>
    </row>
    <row r="581" spans="1:324" x14ac:dyDescent="0.25">
      <c r="A581" s="7">
        <v>1.1261624192640001</v>
      </c>
      <c r="B581"/>
      <c r="C581"/>
      <c r="D581"/>
      <c r="E581"/>
      <c r="JY581" s="27" t="s">
        <v>8</v>
      </c>
      <c r="JZ581" s="27" t="s">
        <v>7</v>
      </c>
      <c r="KA581" s="27" t="s">
        <v>8</v>
      </c>
      <c r="KB581" s="27" t="s">
        <v>7</v>
      </c>
      <c r="KC581" s="27" t="s">
        <v>8</v>
      </c>
      <c r="KD581" s="27" t="s">
        <v>7</v>
      </c>
      <c r="KE581" s="27" t="s">
        <v>8</v>
      </c>
      <c r="KF581" s="27" t="s">
        <v>7</v>
      </c>
      <c r="KJ581" s="27" t="s">
        <v>7</v>
      </c>
    </row>
    <row r="582" spans="1:324" x14ac:dyDescent="0.25">
      <c r="A582" s="7">
        <v>1.1040808032</v>
      </c>
      <c r="B582"/>
      <c r="C582"/>
      <c r="D582"/>
      <c r="E582"/>
      <c r="JY582" s="27" t="s">
        <v>8</v>
      </c>
      <c r="JZ582" s="27" t="s">
        <v>7</v>
      </c>
      <c r="KA582" s="27" t="s">
        <v>8</v>
      </c>
      <c r="KB582" s="27" t="s">
        <v>7</v>
      </c>
      <c r="KD582" s="27" t="s">
        <v>7</v>
      </c>
      <c r="KE582" s="27" t="s">
        <v>8</v>
      </c>
      <c r="KJ582" s="27" t="s">
        <v>7</v>
      </c>
    </row>
    <row r="583" spans="1:324" x14ac:dyDescent="0.25">
      <c r="A583" s="7">
        <v>1.08243216</v>
      </c>
      <c r="B583"/>
      <c r="C583"/>
      <c r="D583"/>
      <c r="E583"/>
      <c r="JY583" s="27" t="s">
        <v>8</v>
      </c>
      <c r="JZ583" s="27" t="s">
        <v>7</v>
      </c>
      <c r="KA583" s="27" t="s">
        <v>8</v>
      </c>
      <c r="KD583" s="27" t="s">
        <v>7</v>
      </c>
      <c r="KE583" s="27" t="s">
        <v>8</v>
      </c>
      <c r="KJ583" s="27" t="s">
        <v>7</v>
      </c>
      <c r="KM583" s="27" t="s">
        <v>8</v>
      </c>
    </row>
    <row r="584" spans="1:324" x14ac:dyDescent="0.25">
      <c r="A584" s="7">
        <v>1.0612079999999999</v>
      </c>
      <c r="B584"/>
      <c r="C584"/>
      <c r="D584"/>
      <c r="E584"/>
      <c r="JY584" s="27" t="s">
        <v>8</v>
      </c>
      <c r="JZ584" s="27" t="s">
        <v>7</v>
      </c>
      <c r="KA584" s="27" t="s">
        <v>8</v>
      </c>
      <c r="KD584" s="27" t="s">
        <v>7</v>
      </c>
      <c r="KE584" s="27" t="s">
        <v>8</v>
      </c>
      <c r="KJ584" s="27" t="s">
        <v>7</v>
      </c>
      <c r="KM584" s="27" t="s">
        <v>8</v>
      </c>
      <c r="KN584" s="27" t="s">
        <v>7</v>
      </c>
    </row>
    <row r="585" spans="1:324" x14ac:dyDescent="0.25">
      <c r="A585" s="7">
        <v>1.0404</v>
      </c>
      <c r="B585"/>
      <c r="C585"/>
      <c r="D585"/>
      <c r="E585"/>
      <c r="JY585" s="27" t="s">
        <v>8</v>
      </c>
      <c r="JZ585" s="27" t="s">
        <v>7</v>
      </c>
      <c r="KA585" s="27" t="s">
        <v>8</v>
      </c>
      <c r="KD585" s="27" t="s">
        <v>7</v>
      </c>
      <c r="KE585" s="27" t="s">
        <v>8</v>
      </c>
      <c r="KJ585" s="27" t="s">
        <v>7</v>
      </c>
      <c r="KK585" s="27" t="s">
        <v>8</v>
      </c>
      <c r="KM585" s="27" t="s">
        <v>8</v>
      </c>
      <c r="KN585" s="27" t="s">
        <v>7</v>
      </c>
    </row>
    <row r="586" spans="1:324" x14ac:dyDescent="0.25">
      <c r="A586" s="7">
        <v>1.02</v>
      </c>
      <c r="B586"/>
      <c r="C586"/>
      <c r="D586"/>
      <c r="E586"/>
      <c r="JW586" s="27" t="s">
        <v>8</v>
      </c>
      <c r="JY586" s="27" t="s">
        <v>8</v>
      </c>
      <c r="JZ586" s="27" t="s">
        <v>7</v>
      </c>
      <c r="KA586" s="27" t="s">
        <v>8</v>
      </c>
      <c r="KD586" s="27" t="s">
        <v>7</v>
      </c>
      <c r="KE586" s="27" t="s">
        <v>8</v>
      </c>
      <c r="KJ586" s="27" t="s">
        <v>7</v>
      </c>
      <c r="KK586" s="27" t="s">
        <v>8</v>
      </c>
      <c r="KL586" s="27" t="s">
        <v>7</v>
      </c>
      <c r="KM586" s="27" t="s">
        <v>8</v>
      </c>
      <c r="KN586" s="27" t="s">
        <v>7</v>
      </c>
    </row>
    <row r="587" spans="1:324" x14ac:dyDescent="0.25">
      <c r="A587" s="7">
        <v>1</v>
      </c>
      <c r="B587"/>
      <c r="C587"/>
      <c r="D587"/>
      <c r="E587" s="29" t="s">
        <v>8</v>
      </c>
      <c r="JW587" s="27" t="s">
        <v>8</v>
      </c>
      <c r="JX587" s="27" t="s">
        <v>7</v>
      </c>
      <c r="JY587" s="27" t="s">
        <v>8</v>
      </c>
      <c r="JZ587" s="27" t="s">
        <v>7</v>
      </c>
      <c r="KA587" s="27" t="s">
        <v>8</v>
      </c>
      <c r="KD587" s="27" t="s">
        <v>7</v>
      </c>
      <c r="KE587" s="27" t="s">
        <v>8</v>
      </c>
      <c r="KJ587" s="27" t="s">
        <v>7</v>
      </c>
      <c r="KK587" s="27" t="s">
        <v>8</v>
      </c>
      <c r="KL587" s="27" t="s">
        <v>7</v>
      </c>
      <c r="KM587" s="27" t="s">
        <v>8</v>
      </c>
      <c r="KN587" s="27" t="s">
        <v>7</v>
      </c>
    </row>
    <row r="588" spans="1:324" x14ac:dyDescent="0.25">
      <c r="A588" s="7">
        <v>0.98039215686274506</v>
      </c>
      <c r="B588"/>
      <c r="C588"/>
      <c r="D588"/>
      <c r="E588"/>
      <c r="F588" s="27" t="s">
        <v>7</v>
      </c>
      <c r="JW588" s="27" t="s">
        <v>8</v>
      </c>
      <c r="JX588" s="27" t="s">
        <v>7</v>
      </c>
      <c r="JY588" s="27" t="s">
        <v>8</v>
      </c>
      <c r="JZ588" s="27" t="s">
        <v>7</v>
      </c>
      <c r="KD588" s="27" t="s">
        <v>7</v>
      </c>
      <c r="KJ588" s="27" t="s">
        <v>7</v>
      </c>
      <c r="KK588" s="27" t="s">
        <v>8</v>
      </c>
      <c r="KL588" s="27" t="s">
        <v>7</v>
      </c>
      <c r="KM588" s="27" t="s">
        <v>8</v>
      </c>
      <c r="KN588" s="27" t="s">
        <v>7</v>
      </c>
    </row>
    <row r="589" spans="1:324" x14ac:dyDescent="0.25">
      <c r="A589" s="7">
        <v>0.96116878123798544</v>
      </c>
      <c r="B589"/>
      <c r="C589"/>
      <c r="D589"/>
      <c r="E589"/>
      <c r="F589" s="27" t="s">
        <v>7</v>
      </c>
      <c r="JW589" s="27" t="s">
        <v>8</v>
      </c>
      <c r="JX589" s="27" t="s">
        <v>7</v>
      </c>
      <c r="JY589" s="27" t="s">
        <v>8</v>
      </c>
      <c r="KJ589" s="27" t="s">
        <v>7</v>
      </c>
      <c r="KL589" s="27" t="s">
        <v>7</v>
      </c>
      <c r="KM589" s="27" t="s">
        <v>8</v>
      </c>
      <c r="KN589" s="27" t="s">
        <v>7</v>
      </c>
      <c r="LC589" s="27" t="s">
        <v>8</v>
      </c>
    </row>
    <row r="590" spans="1:324" x14ac:dyDescent="0.25">
      <c r="A590" s="7">
        <v>0.94232233454704462</v>
      </c>
      <c r="B590"/>
      <c r="C590"/>
      <c r="D590"/>
      <c r="E590"/>
      <c r="F590" s="27" t="s">
        <v>7</v>
      </c>
      <c r="JW590" s="27" t="s">
        <v>8</v>
      </c>
      <c r="JX590" s="27" t="s">
        <v>7</v>
      </c>
      <c r="JY590" s="27" t="s">
        <v>8</v>
      </c>
      <c r="KL590" s="27" t="s">
        <v>7</v>
      </c>
      <c r="KM590" s="27" t="s">
        <v>8</v>
      </c>
      <c r="KN590" s="27" t="s">
        <v>7</v>
      </c>
      <c r="LC590" s="27" t="s">
        <v>8</v>
      </c>
      <c r="LD590" s="27" t="s">
        <v>7</v>
      </c>
      <c r="LK590" s="27" t="s">
        <v>8</v>
      </c>
    </row>
    <row r="591" spans="1:324" x14ac:dyDescent="0.25">
      <c r="A591" s="7">
        <v>0.92384542602651432</v>
      </c>
      <c r="B591"/>
      <c r="C591"/>
      <c r="D591"/>
      <c r="E591"/>
      <c r="F591" s="27" t="s">
        <v>7</v>
      </c>
      <c r="JW591" s="27" t="s">
        <v>8</v>
      </c>
      <c r="JX591" s="27" t="s">
        <v>7</v>
      </c>
      <c r="JY591" s="27" t="s">
        <v>8</v>
      </c>
      <c r="KL591" s="27" t="s">
        <v>7</v>
      </c>
      <c r="KM591" s="27" t="s">
        <v>8</v>
      </c>
      <c r="KN591" s="27" t="s">
        <v>7</v>
      </c>
      <c r="LC591" s="27" t="s">
        <v>8</v>
      </c>
      <c r="LD591" s="27" t="s">
        <v>7</v>
      </c>
      <c r="LE591" s="27" t="s">
        <v>8</v>
      </c>
      <c r="LK591" s="27" t="s">
        <v>8</v>
      </c>
      <c r="LL591" s="27" t="s">
        <v>7</v>
      </c>
    </row>
    <row r="592" spans="1:324" x14ac:dyDescent="0.25">
      <c r="A592" s="7">
        <v>0.90573080982991594</v>
      </c>
      <c r="B592"/>
      <c r="C592"/>
      <c r="D592"/>
      <c r="E592"/>
      <c r="F592" s="27" t="s">
        <v>7</v>
      </c>
      <c r="JW592" s="27" t="s">
        <v>8</v>
      </c>
      <c r="JX592" s="27" t="s">
        <v>7</v>
      </c>
      <c r="JY592" s="27" t="s">
        <v>8</v>
      </c>
      <c r="KL592" s="27" t="s">
        <v>7</v>
      </c>
      <c r="KM592" s="27" t="s">
        <v>8</v>
      </c>
      <c r="KN592" s="27" t="s">
        <v>7</v>
      </c>
      <c r="LC592" s="27" t="s">
        <v>8</v>
      </c>
      <c r="LD592" s="27" t="s">
        <v>7</v>
      </c>
      <c r="LE592" s="27" t="s">
        <v>8</v>
      </c>
      <c r="LF592" s="27" t="s">
        <v>7</v>
      </c>
      <c r="LK592" s="27" t="s">
        <v>8</v>
      </c>
      <c r="LL592" s="27" t="s">
        <v>7</v>
      </c>
    </row>
    <row r="593" spans="1:326" x14ac:dyDescent="0.25">
      <c r="A593" s="7">
        <v>0.8879713821861922</v>
      </c>
      <c r="B593"/>
      <c r="C593"/>
      <c r="D593"/>
      <c r="E593"/>
      <c r="F593" s="27" t="s">
        <v>7</v>
      </c>
      <c r="JW593" s="27" t="s">
        <v>8</v>
      </c>
      <c r="JX593" s="27" t="s">
        <v>7</v>
      </c>
      <c r="JY593" s="27" t="s">
        <v>8</v>
      </c>
      <c r="KL593" s="27" t="s">
        <v>7</v>
      </c>
      <c r="KN593" s="27" t="s">
        <v>7</v>
      </c>
      <c r="LA593" s="27" t="s">
        <v>8</v>
      </c>
      <c r="LC593" s="27" t="s">
        <v>8</v>
      </c>
      <c r="LD593" s="27" t="s">
        <v>7</v>
      </c>
      <c r="LE593" s="27" t="s">
        <v>8</v>
      </c>
      <c r="LF593" s="27" t="s">
        <v>7</v>
      </c>
      <c r="LK593" s="27" t="s">
        <v>8</v>
      </c>
      <c r="LL593" s="27" t="s">
        <v>7</v>
      </c>
    </row>
    <row r="594" spans="1:326" x14ac:dyDescent="0.25">
      <c r="A594" s="7">
        <v>0.87056017861391399</v>
      </c>
      <c r="B594"/>
      <c r="C594"/>
      <c r="D594"/>
      <c r="E594"/>
      <c r="F594" s="27" t="s">
        <v>7</v>
      </c>
      <c r="JW594" s="27" t="s">
        <v>8</v>
      </c>
      <c r="JX594" s="27" t="s">
        <v>7</v>
      </c>
      <c r="JY594" s="27" t="s">
        <v>8</v>
      </c>
      <c r="KN594" s="27" t="s">
        <v>7</v>
      </c>
      <c r="LA594" s="27" t="s">
        <v>8</v>
      </c>
      <c r="LB594" s="27" t="s">
        <v>7</v>
      </c>
      <c r="LC594" s="27" t="s">
        <v>8</v>
      </c>
      <c r="LD594" s="27" t="s">
        <v>7</v>
      </c>
      <c r="LE594" s="27" t="s">
        <v>8</v>
      </c>
      <c r="LF594" s="27" t="s">
        <v>7</v>
      </c>
      <c r="LK594" s="27" t="s">
        <v>8</v>
      </c>
      <c r="LL594" s="27" t="s">
        <v>7</v>
      </c>
      <c r="LM594" s="27" t="s">
        <v>8</v>
      </c>
    </row>
    <row r="595" spans="1:326" x14ac:dyDescent="0.25">
      <c r="A595" s="7">
        <v>0.85349037119011173</v>
      </c>
      <c r="B595"/>
      <c r="C595"/>
      <c r="D595"/>
      <c r="E595"/>
      <c r="F595" s="27" t="s">
        <v>7</v>
      </c>
      <c r="JW595" s="27" t="s">
        <v>8</v>
      </c>
      <c r="JX595" s="27" t="s">
        <v>7</v>
      </c>
      <c r="JY595" s="27" t="s">
        <v>8</v>
      </c>
      <c r="KN595" s="27" t="s">
        <v>7</v>
      </c>
      <c r="LA595" s="27" t="s">
        <v>8</v>
      </c>
      <c r="LB595" s="27" t="s">
        <v>7</v>
      </c>
      <c r="LC595" s="27" t="s">
        <v>8</v>
      </c>
      <c r="LD595" s="27" t="s">
        <v>7</v>
      </c>
      <c r="LE595" s="27" t="s">
        <v>8</v>
      </c>
      <c r="LF595" s="27" t="s">
        <v>7</v>
      </c>
      <c r="LK595" s="27" t="s">
        <v>8</v>
      </c>
      <c r="LL595" s="27" t="s">
        <v>7</v>
      </c>
      <c r="LM595" s="27" t="s">
        <v>8</v>
      </c>
      <c r="LN595" s="27" t="s">
        <v>7</v>
      </c>
    </row>
    <row r="596" spans="1:326" x14ac:dyDescent="0.25">
      <c r="A596" s="7">
        <v>0.83675526587265858</v>
      </c>
      <c r="B596"/>
      <c r="C596"/>
      <c r="D596"/>
      <c r="E596"/>
      <c r="F596" s="27" t="s">
        <v>7</v>
      </c>
      <c r="JU596" s="27" t="s">
        <v>8</v>
      </c>
      <c r="JW596" s="27" t="s">
        <v>8</v>
      </c>
      <c r="JX596" s="27" t="s">
        <v>7</v>
      </c>
      <c r="JY596" s="27" t="s">
        <v>8</v>
      </c>
      <c r="KN596" s="27" t="s">
        <v>7</v>
      </c>
      <c r="LA596" s="27" t="s">
        <v>8</v>
      </c>
      <c r="LB596" s="27" t="s">
        <v>7</v>
      </c>
      <c r="LC596" s="27" t="s">
        <v>8</v>
      </c>
      <c r="LD596" s="27" t="s">
        <v>7</v>
      </c>
      <c r="LE596" s="27" t="s">
        <v>8</v>
      </c>
      <c r="LF596" s="27" t="s">
        <v>7</v>
      </c>
      <c r="LK596" s="27" t="s">
        <v>8</v>
      </c>
      <c r="LL596" s="27" t="s">
        <v>7</v>
      </c>
      <c r="LM596" s="27" t="s">
        <v>8</v>
      </c>
      <c r="LN596" s="27" t="s">
        <v>7</v>
      </c>
    </row>
    <row r="597" spans="1:326" x14ac:dyDescent="0.25">
      <c r="A597" s="7">
        <v>0.82034829987515545</v>
      </c>
      <c r="B597"/>
      <c r="C597"/>
      <c r="D597"/>
      <c r="E597"/>
      <c r="F597" s="27" t="s">
        <v>7</v>
      </c>
      <c r="JU597" s="27" t="s">
        <v>8</v>
      </c>
      <c r="JV597" s="27" t="s">
        <v>7</v>
      </c>
      <c r="JW597" s="27" t="s">
        <v>8</v>
      </c>
      <c r="JX597" s="27" t="s">
        <v>7</v>
      </c>
      <c r="JY597" s="27" t="s">
        <v>8</v>
      </c>
      <c r="KN597" s="27" t="s">
        <v>7</v>
      </c>
      <c r="LA597" s="27" t="s">
        <v>8</v>
      </c>
      <c r="LB597" s="27" t="s">
        <v>7</v>
      </c>
      <c r="LC597" s="27" t="s">
        <v>8</v>
      </c>
      <c r="LD597" s="27" t="s">
        <v>7</v>
      </c>
      <c r="LF597" s="27" t="s">
        <v>7</v>
      </c>
      <c r="LK597" s="27" t="s">
        <v>8</v>
      </c>
      <c r="LL597" s="27" t="s">
        <v>7</v>
      </c>
      <c r="LM597" s="27" t="s">
        <v>8</v>
      </c>
      <c r="LN597" s="27" t="s">
        <v>7</v>
      </c>
    </row>
    <row r="598" spans="1:326" x14ac:dyDescent="0.25">
      <c r="A598" s="7">
        <v>0.80426303909328967</v>
      </c>
      <c r="B598"/>
      <c r="C598"/>
      <c r="D598"/>
      <c r="E598"/>
      <c r="F598" s="27" t="s">
        <v>7</v>
      </c>
      <c r="JU598" s="27" t="s">
        <v>8</v>
      </c>
      <c r="JV598" s="27" t="s">
        <v>7</v>
      </c>
      <c r="JW598" s="27" t="s">
        <v>8</v>
      </c>
      <c r="JX598" s="27" t="s">
        <v>7</v>
      </c>
      <c r="JY598" s="27" t="s">
        <v>8</v>
      </c>
      <c r="KN598" s="27" t="s">
        <v>7</v>
      </c>
      <c r="LA598" s="27" t="s">
        <v>8</v>
      </c>
      <c r="LB598" s="27" t="s">
        <v>7</v>
      </c>
      <c r="LC598" s="27" t="s">
        <v>8</v>
      </c>
      <c r="LF598" s="27" t="s">
        <v>7</v>
      </c>
      <c r="LK598" s="27" t="s">
        <v>8</v>
      </c>
      <c r="LL598" s="27" t="s">
        <v>7</v>
      </c>
      <c r="LN598" s="27" t="s">
        <v>7</v>
      </c>
    </row>
    <row r="599" spans="1:326" x14ac:dyDescent="0.25">
      <c r="A599" s="7">
        <v>0.78849317558165644</v>
      </c>
      <c r="B599"/>
      <c r="C599"/>
      <c r="D599"/>
      <c r="E599"/>
      <c r="F599" s="27" t="s">
        <v>7</v>
      </c>
      <c r="JU599" s="27" t="s">
        <v>8</v>
      </c>
      <c r="JV599" s="27" t="s">
        <v>7</v>
      </c>
      <c r="JW599" s="27" t="s">
        <v>8</v>
      </c>
      <c r="JX599" s="27" t="s">
        <v>7</v>
      </c>
      <c r="JY599" s="27" t="s">
        <v>8</v>
      </c>
      <c r="KN599" s="27" t="s">
        <v>7</v>
      </c>
      <c r="LA599" s="27" t="s">
        <v>8</v>
      </c>
      <c r="LB599" s="27" t="s">
        <v>7</v>
      </c>
      <c r="LC599" s="27" t="s">
        <v>8</v>
      </c>
      <c r="LF599" s="27" t="s">
        <v>7</v>
      </c>
      <c r="LI599" s="27" t="s">
        <v>8</v>
      </c>
      <c r="LK599" s="27" t="s">
        <v>8</v>
      </c>
      <c r="LN599" s="27" t="s">
        <v>7</v>
      </c>
    </row>
    <row r="600" spans="1:326" x14ac:dyDescent="0.25">
      <c r="A600" s="7">
        <v>0.77303252508005538</v>
      </c>
      <c r="B600"/>
      <c r="C600"/>
      <c r="D600"/>
      <c r="E600"/>
      <c r="F600" s="27" t="s">
        <v>7</v>
      </c>
      <c r="JU600" s="27" t="s">
        <v>8</v>
      </c>
      <c r="JV600" s="27" t="s">
        <v>7</v>
      </c>
      <c r="JW600" s="27" t="s">
        <v>8</v>
      </c>
      <c r="JX600" s="27" t="s">
        <v>7</v>
      </c>
      <c r="JY600" s="27" t="s">
        <v>8</v>
      </c>
      <c r="KN600" s="27" t="s">
        <v>7</v>
      </c>
      <c r="LA600" s="27" t="s">
        <v>8</v>
      </c>
      <c r="LB600" s="27" t="s">
        <v>7</v>
      </c>
      <c r="LC600" s="27" t="s">
        <v>8</v>
      </c>
      <c r="LF600" s="27" t="s">
        <v>7</v>
      </c>
      <c r="LG600" s="27" t="s">
        <v>8</v>
      </c>
      <c r="LI600" s="27" t="s">
        <v>8</v>
      </c>
      <c r="LJ600" s="27" t="s">
        <v>7</v>
      </c>
      <c r="LK600" s="27" t="s">
        <v>8</v>
      </c>
      <c r="LN600" s="27" t="s">
        <v>7</v>
      </c>
    </row>
    <row r="601" spans="1:326" x14ac:dyDescent="0.25">
      <c r="A601" s="7">
        <v>0.75787502458828959</v>
      </c>
      <c r="B601"/>
      <c r="C601"/>
      <c r="D601"/>
      <c r="E601"/>
      <c r="F601" s="27" t="s">
        <v>7</v>
      </c>
      <c r="ES601" s="27" t="s">
        <v>8</v>
      </c>
      <c r="JU601" s="27" t="s">
        <v>8</v>
      </c>
      <c r="JV601" s="27" t="s">
        <v>7</v>
      </c>
      <c r="JW601" s="27" t="s">
        <v>8</v>
      </c>
      <c r="JX601" s="27" t="s">
        <v>7</v>
      </c>
      <c r="KN601" s="27" t="s">
        <v>7</v>
      </c>
      <c r="LA601" s="27" t="s">
        <v>8</v>
      </c>
      <c r="LB601" s="27" t="s">
        <v>7</v>
      </c>
      <c r="LC601" s="27" t="s">
        <v>8</v>
      </c>
      <c r="LF601" s="27" t="s">
        <v>7</v>
      </c>
      <c r="LG601" s="27" t="s">
        <v>8</v>
      </c>
      <c r="LH601" s="27" t="s">
        <v>7</v>
      </c>
      <c r="LI601" s="27" t="s">
        <v>8</v>
      </c>
      <c r="LJ601" s="27" t="s">
        <v>7</v>
      </c>
      <c r="LK601" s="27" t="s">
        <v>8</v>
      </c>
      <c r="LN601" s="27" t="s">
        <v>7</v>
      </c>
    </row>
    <row r="602" spans="1:326" x14ac:dyDescent="0.25">
      <c r="A602" s="7">
        <v>0.74301472998851925</v>
      </c>
      <c r="B602"/>
      <c r="C602"/>
      <c r="D602"/>
      <c r="E602"/>
      <c r="F602" s="27" t="s">
        <v>7</v>
      </c>
      <c r="ES602" s="27" t="s">
        <v>8</v>
      </c>
      <c r="ET602" s="27" t="s">
        <v>7</v>
      </c>
      <c r="JU602" s="27" t="s">
        <v>8</v>
      </c>
      <c r="JV602" s="27" t="s">
        <v>7</v>
      </c>
      <c r="JW602" s="27" t="s">
        <v>8</v>
      </c>
      <c r="KN602" s="27" t="s">
        <v>7</v>
      </c>
      <c r="LA602" s="27" t="s">
        <v>8</v>
      </c>
      <c r="LB602" s="27" t="s">
        <v>7</v>
      </c>
      <c r="LC602" s="27" t="s">
        <v>8</v>
      </c>
      <c r="LF602" s="27" t="s">
        <v>7</v>
      </c>
      <c r="LG602" s="27" t="s">
        <v>8</v>
      </c>
      <c r="LH602" s="27" t="s">
        <v>7</v>
      </c>
      <c r="LI602" s="27" t="s">
        <v>8</v>
      </c>
      <c r="LJ602" s="27" t="s">
        <v>7</v>
      </c>
      <c r="LK602" s="27" t="s">
        <v>8</v>
      </c>
      <c r="LN602" s="27" t="s">
        <v>7</v>
      </c>
    </row>
    <row r="603" spans="1:326" x14ac:dyDescent="0.25">
      <c r="A603" s="7">
        <v>0.72844581371423456</v>
      </c>
      <c r="B603"/>
      <c r="C603"/>
      <c r="D603"/>
      <c r="E603"/>
      <c r="F603" s="27" t="s">
        <v>7</v>
      </c>
      <c r="ES603" s="27" t="s">
        <v>8</v>
      </c>
      <c r="ET603" s="27" t="s">
        <v>7</v>
      </c>
      <c r="JU603" s="27" t="s">
        <v>8</v>
      </c>
      <c r="JV603" s="27" t="s">
        <v>7</v>
      </c>
      <c r="JW603" s="27" t="s">
        <v>8</v>
      </c>
      <c r="KN603" s="27" t="s">
        <v>7</v>
      </c>
      <c r="LA603" s="27" t="s">
        <v>8</v>
      </c>
      <c r="LB603" s="27" t="s">
        <v>7</v>
      </c>
      <c r="LC603" s="27" t="s">
        <v>8</v>
      </c>
      <c r="LF603" s="27" t="s">
        <v>7</v>
      </c>
      <c r="LG603" s="27" t="s">
        <v>8</v>
      </c>
      <c r="LH603" s="27" t="s">
        <v>7</v>
      </c>
      <c r="LI603" s="27" t="s">
        <v>8</v>
      </c>
      <c r="LJ603" s="27" t="s">
        <v>7</v>
      </c>
      <c r="LK603" s="27" t="s">
        <v>8</v>
      </c>
      <c r="LN603" s="27" t="s">
        <v>7</v>
      </c>
    </row>
    <row r="604" spans="1:326" x14ac:dyDescent="0.25">
      <c r="A604" s="7">
        <v>0.71416256246493581</v>
      </c>
      <c r="B604"/>
      <c r="C604"/>
      <c r="D604"/>
      <c r="E604"/>
      <c r="F604" s="27" t="s">
        <v>7</v>
      </c>
      <c r="ES604" s="27" t="s">
        <v>8</v>
      </c>
      <c r="ET604" s="27" t="s">
        <v>7</v>
      </c>
      <c r="JU604" s="27" t="s">
        <v>8</v>
      </c>
      <c r="JV604" s="27" t="s">
        <v>7</v>
      </c>
      <c r="JW604" s="27" t="s">
        <v>8</v>
      </c>
      <c r="KN604" s="27" t="s">
        <v>7</v>
      </c>
      <c r="KO604" s="27" t="s">
        <v>8</v>
      </c>
      <c r="LA604" s="27" t="s">
        <v>8</v>
      </c>
      <c r="LB604" s="27" t="s">
        <v>7</v>
      </c>
      <c r="LC604" s="27" t="s">
        <v>8</v>
      </c>
      <c r="LF604" s="27" t="s">
        <v>7</v>
      </c>
      <c r="LH604" s="27" t="s">
        <v>7</v>
      </c>
      <c r="LI604" s="27" t="s">
        <v>8</v>
      </c>
      <c r="LJ604" s="27" t="s">
        <v>7</v>
      </c>
      <c r="LN604" s="27" t="s">
        <v>7</v>
      </c>
    </row>
    <row r="605" spans="1:326" x14ac:dyDescent="0.25">
      <c r="A605" s="7">
        <v>0.7001593749656233</v>
      </c>
      <c r="B605"/>
      <c r="C605"/>
      <c r="D605"/>
      <c r="E605"/>
      <c r="F605" s="27" t="s">
        <v>7</v>
      </c>
      <c r="ES605" s="27" t="s">
        <v>8</v>
      </c>
      <c r="ET605" s="27" t="s">
        <v>7</v>
      </c>
      <c r="JU605" s="27" t="s">
        <v>8</v>
      </c>
      <c r="JV605" s="27" t="s">
        <v>7</v>
      </c>
      <c r="JW605" s="27" t="s">
        <v>8</v>
      </c>
      <c r="KN605" s="27" t="s">
        <v>7</v>
      </c>
      <c r="KO605" s="27" t="s">
        <v>8</v>
      </c>
      <c r="KP605" s="27" t="s">
        <v>7</v>
      </c>
      <c r="LA605" s="27" t="s">
        <v>8</v>
      </c>
      <c r="LB605" s="27" t="s">
        <v>7</v>
      </c>
      <c r="LH605" s="27" t="s">
        <v>7</v>
      </c>
      <c r="LI605" s="27" t="s">
        <v>8</v>
      </c>
      <c r="LN605" s="27" t="s">
        <v>7</v>
      </c>
    </row>
    <row r="606" spans="1:326" x14ac:dyDescent="0.25">
      <c r="A606" s="7">
        <v>0.68643075977021883</v>
      </c>
      <c r="B606"/>
      <c r="C606"/>
      <c r="D606"/>
      <c r="E606"/>
      <c r="F606" s="27" t="s">
        <v>7</v>
      </c>
      <c r="ES606" s="27" t="s">
        <v>8</v>
      </c>
      <c r="ET606" s="27" t="s">
        <v>7</v>
      </c>
      <c r="JU606" s="27" t="s">
        <v>8</v>
      </c>
      <c r="JV606" s="27" t="s">
        <v>7</v>
      </c>
      <c r="JW606" s="27" t="s">
        <v>8</v>
      </c>
      <c r="KN606" s="27" t="s">
        <v>7</v>
      </c>
      <c r="KO606" s="27" t="s">
        <v>8</v>
      </c>
      <c r="KP606" s="27" t="s">
        <v>7</v>
      </c>
      <c r="KQ606" s="27" t="s">
        <v>8</v>
      </c>
      <c r="KS606" s="27" t="s">
        <v>8</v>
      </c>
      <c r="LA606" s="27" t="s">
        <v>8</v>
      </c>
      <c r="LH606" s="27" t="s">
        <v>7</v>
      </c>
      <c r="LI606" s="27" t="s">
        <v>8</v>
      </c>
      <c r="LN606" s="27" t="s">
        <v>7</v>
      </c>
    </row>
    <row r="607" spans="1:326" x14ac:dyDescent="0.25">
      <c r="A607" s="7">
        <v>0.67297133310805768</v>
      </c>
      <c r="B607"/>
      <c r="C607"/>
      <c r="D607"/>
      <c r="E607"/>
      <c r="F607" s="27" t="s">
        <v>7</v>
      </c>
      <c r="ES607" s="27" t="s">
        <v>8</v>
      </c>
      <c r="ET607" s="27" t="s">
        <v>7</v>
      </c>
      <c r="JU607" s="27" t="s">
        <v>8</v>
      </c>
      <c r="JV607" s="27" t="s">
        <v>7</v>
      </c>
      <c r="JW607" s="27" t="s">
        <v>8</v>
      </c>
      <c r="KN607" s="27" t="s">
        <v>7</v>
      </c>
      <c r="KO607" s="27" t="s">
        <v>8</v>
      </c>
      <c r="KP607" s="27" t="s">
        <v>7</v>
      </c>
      <c r="KQ607" s="27" t="s">
        <v>8</v>
      </c>
      <c r="KR607" s="27" t="s">
        <v>7</v>
      </c>
      <c r="KS607" s="27" t="s">
        <v>8</v>
      </c>
      <c r="KT607" s="27" t="s">
        <v>7</v>
      </c>
      <c r="LA607" s="27" t="s">
        <v>8</v>
      </c>
      <c r="LH607" s="27" t="s">
        <v>7</v>
      </c>
      <c r="LI607" s="27" t="s">
        <v>8</v>
      </c>
      <c r="LN607" s="27" t="s">
        <v>7</v>
      </c>
    </row>
    <row r="608" spans="1:326" x14ac:dyDescent="0.25">
      <c r="A608" s="7">
        <v>0.65977581677260566</v>
      </c>
      <c r="B608"/>
      <c r="C608"/>
      <c r="D608"/>
      <c r="E608"/>
      <c r="F608" s="27" t="s">
        <v>7</v>
      </c>
      <c r="EQ608" s="27" t="s">
        <v>8</v>
      </c>
      <c r="ES608" s="27" t="s">
        <v>8</v>
      </c>
      <c r="ET608" s="27" t="s">
        <v>7</v>
      </c>
      <c r="JU608" s="27" t="s">
        <v>8</v>
      </c>
      <c r="JV608" s="27" t="s">
        <v>7</v>
      </c>
      <c r="JW608" s="27" t="s">
        <v>8</v>
      </c>
      <c r="KN608" s="27" t="s">
        <v>7</v>
      </c>
      <c r="KO608" s="27" t="s">
        <v>8</v>
      </c>
      <c r="KP608" s="27" t="s">
        <v>7</v>
      </c>
      <c r="KQ608" s="27" t="s">
        <v>8</v>
      </c>
      <c r="KR608" s="27" t="s">
        <v>7</v>
      </c>
      <c r="KS608" s="27" t="s">
        <v>8</v>
      </c>
      <c r="KT608" s="27" t="s">
        <v>7</v>
      </c>
      <c r="LA608" s="27" t="s">
        <v>8</v>
      </c>
      <c r="LH608" s="27" t="s">
        <v>7</v>
      </c>
      <c r="LN608" s="27" t="s">
        <v>7</v>
      </c>
    </row>
    <row r="609" spans="1:330" x14ac:dyDescent="0.25">
      <c r="A609" s="7">
        <v>0.64683903605157422</v>
      </c>
      <c r="B609"/>
      <c r="C609"/>
      <c r="D609"/>
      <c r="E609"/>
      <c r="F609" s="27" t="s">
        <v>7</v>
      </c>
      <c r="EQ609" s="27" t="s">
        <v>8</v>
      </c>
      <c r="ER609" s="27" t="s">
        <v>7</v>
      </c>
      <c r="ES609" s="27" t="s">
        <v>8</v>
      </c>
      <c r="ET609" s="27" t="s">
        <v>7</v>
      </c>
      <c r="JU609" s="27" t="s">
        <v>8</v>
      </c>
      <c r="JV609" s="27" t="s">
        <v>7</v>
      </c>
      <c r="JW609" s="27" t="s">
        <v>8</v>
      </c>
      <c r="KN609" s="27" t="s">
        <v>7</v>
      </c>
      <c r="KO609" s="27" t="s">
        <v>8</v>
      </c>
      <c r="KP609" s="27" t="s">
        <v>7</v>
      </c>
      <c r="KQ609" s="27" t="s">
        <v>8</v>
      </c>
      <c r="KR609" s="27" t="s">
        <v>7</v>
      </c>
      <c r="KS609" s="27" t="s">
        <v>8</v>
      </c>
      <c r="KT609" s="27" t="s">
        <v>7</v>
      </c>
      <c r="KU609" s="27" t="s">
        <v>8</v>
      </c>
      <c r="LA609" s="27" t="s">
        <v>8</v>
      </c>
      <c r="LN609" s="27" t="s">
        <v>7</v>
      </c>
    </row>
    <row r="610" spans="1:330" x14ac:dyDescent="0.25">
      <c r="A610" s="7">
        <v>0.63415591769762181</v>
      </c>
      <c r="B610"/>
      <c r="C610"/>
      <c r="D610"/>
      <c r="E610"/>
      <c r="F610" s="27" t="s">
        <v>7</v>
      </c>
      <c r="EQ610" s="27" t="s">
        <v>8</v>
      </c>
      <c r="ER610" s="27" t="s">
        <v>7</v>
      </c>
      <c r="ES610" s="27" t="s">
        <v>8</v>
      </c>
      <c r="ET610" s="27" t="s">
        <v>7</v>
      </c>
      <c r="JU610" s="27" t="s">
        <v>8</v>
      </c>
      <c r="JV610" s="27" t="s">
        <v>7</v>
      </c>
      <c r="JW610" s="27" t="s">
        <v>8</v>
      </c>
      <c r="KN610" s="27" t="s">
        <v>7</v>
      </c>
      <c r="KO610" s="27" t="s">
        <v>8</v>
      </c>
      <c r="KP610" s="27" t="s">
        <v>7</v>
      </c>
      <c r="KQ610" s="27" t="s">
        <v>8</v>
      </c>
      <c r="KR610" s="27" t="s">
        <v>7</v>
      </c>
      <c r="KS610" s="27" t="s">
        <v>8</v>
      </c>
      <c r="KT610" s="27" t="s">
        <v>7</v>
      </c>
      <c r="KU610" s="27" t="s">
        <v>8</v>
      </c>
      <c r="KV610" s="27" t="s">
        <v>7</v>
      </c>
      <c r="LA610" s="27" t="s">
        <v>8</v>
      </c>
      <c r="LN610" s="27" t="s">
        <v>7</v>
      </c>
    </row>
    <row r="611" spans="1:330" x14ac:dyDescent="0.25">
      <c r="A611" s="7">
        <v>0.62172148793884496</v>
      </c>
      <c r="B611"/>
      <c r="C611"/>
      <c r="D611"/>
      <c r="E611"/>
      <c r="F611" s="27" t="s">
        <v>7</v>
      </c>
      <c r="EQ611" s="27" t="s">
        <v>8</v>
      </c>
      <c r="ER611" s="27" t="s">
        <v>7</v>
      </c>
      <c r="ES611" s="27" t="s">
        <v>8</v>
      </c>
      <c r="ET611" s="27" t="s">
        <v>7</v>
      </c>
      <c r="JU611" s="27" t="s">
        <v>8</v>
      </c>
      <c r="JV611" s="27" t="s">
        <v>7</v>
      </c>
      <c r="KN611" s="27" t="s">
        <v>7</v>
      </c>
      <c r="KO611" s="27" t="s">
        <v>8</v>
      </c>
      <c r="KP611" s="27" t="s">
        <v>7</v>
      </c>
      <c r="KQ611" s="27" t="s">
        <v>8</v>
      </c>
      <c r="KR611" s="27" t="s">
        <v>7</v>
      </c>
      <c r="KS611" s="27" t="s">
        <v>8</v>
      </c>
      <c r="KT611" s="27" t="s">
        <v>7</v>
      </c>
      <c r="KU611" s="27" t="s">
        <v>8</v>
      </c>
      <c r="KV611" s="27" t="s">
        <v>7</v>
      </c>
      <c r="KW611" s="27" t="s">
        <v>8</v>
      </c>
      <c r="LA611" s="27" t="s">
        <v>8</v>
      </c>
      <c r="LN611" s="27" t="s">
        <v>7</v>
      </c>
    </row>
    <row r="612" spans="1:330" x14ac:dyDescent="0.25">
      <c r="A612" s="7">
        <v>0.60953087052827937</v>
      </c>
      <c r="B612"/>
      <c r="C612"/>
      <c r="D612"/>
      <c r="E612"/>
      <c r="F612" s="27" t="s">
        <v>7</v>
      </c>
      <c r="EQ612" s="27" t="s">
        <v>8</v>
      </c>
      <c r="ER612" s="27" t="s">
        <v>7</v>
      </c>
      <c r="ES612" s="27" t="s">
        <v>8</v>
      </c>
      <c r="ET612" s="27" t="s">
        <v>7</v>
      </c>
      <c r="JU612" s="27" t="s">
        <v>8</v>
      </c>
      <c r="KN612" s="27" t="s">
        <v>7</v>
      </c>
      <c r="KO612" s="27" t="s">
        <v>8</v>
      </c>
      <c r="KP612" s="27" t="s">
        <v>7</v>
      </c>
      <c r="KQ612" s="27" t="s">
        <v>8</v>
      </c>
      <c r="KR612" s="27" t="s">
        <v>7</v>
      </c>
      <c r="KS612" s="27" t="s">
        <v>8</v>
      </c>
      <c r="KT612" s="27" t="s">
        <v>7</v>
      </c>
      <c r="KU612" s="27" t="s">
        <v>8</v>
      </c>
      <c r="KV612" s="27" t="s">
        <v>7</v>
      </c>
      <c r="KW612" s="27" t="s">
        <v>8</v>
      </c>
      <c r="KX612" s="27" t="s">
        <v>7</v>
      </c>
      <c r="LA612" s="27" t="s">
        <v>8</v>
      </c>
      <c r="LN612" s="27" t="s">
        <v>7</v>
      </c>
      <c r="LO612" s="27" t="s">
        <v>8</v>
      </c>
    </row>
    <row r="613" spans="1:330" x14ac:dyDescent="0.25">
      <c r="A613" s="7">
        <v>0.59757928483164646</v>
      </c>
      <c r="B613"/>
      <c r="C613"/>
      <c r="D613"/>
      <c r="E613"/>
      <c r="F613" s="27" t="s">
        <v>7</v>
      </c>
      <c r="EQ613" s="27" t="s">
        <v>8</v>
      </c>
      <c r="ER613" s="27" t="s">
        <v>7</v>
      </c>
      <c r="ES613" s="27" t="s">
        <v>8</v>
      </c>
      <c r="ET613" s="27" t="s">
        <v>7</v>
      </c>
      <c r="JU613" s="27" t="s">
        <v>8</v>
      </c>
      <c r="KN613" s="27" t="s">
        <v>7</v>
      </c>
      <c r="KO613" s="27" t="s">
        <v>8</v>
      </c>
      <c r="KP613" s="27" t="s">
        <v>7</v>
      </c>
      <c r="KQ613" s="27" t="s">
        <v>8</v>
      </c>
      <c r="KR613" s="27" t="s">
        <v>7</v>
      </c>
      <c r="KT613" s="27" t="s">
        <v>7</v>
      </c>
      <c r="KU613" s="27" t="s">
        <v>8</v>
      </c>
      <c r="KV613" s="27" t="s">
        <v>7</v>
      </c>
      <c r="KW613" s="27" t="s">
        <v>8</v>
      </c>
      <c r="KX613" s="27" t="s">
        <v>7</v>
      </c>
      <c r="KY613" s="27" t="s">
        <v>8</v>
      </c>
      <c r="LA613" s="27" t="s">
        <v>8</v>
      </c>
      <c r="LN613" s="27" t="s">
        <v>7</v>
      </c>
      <c r="LO613" s="27" t="s">
        <v>8</v>
      </c>
      <c r="LP613" s="27" t="s">
        <v>7</v>
      </c>
      <c r="LQ613" s="27" t="s">
        <v>8</v>
      </c>
    </row>
    <row r="614" spans="1:330" x14ac:dyDescent="0.25">
      <c r="A614" s="7">
        <v>0.58586204395259456</v>
      </c>
      <c r="B614"/>
      <c r="C614"/>
      <c r="D614"/>
      <c r="E614"/>
      <c r="F614" s="27" t="s">
        <v>7</v>
      </c>
      <c r="EQ614" s="27" t="s">
        <v>8</v>
      </c>
      <c r="ER614" s="27" t="s">
        <v>7</v>
      </c>
      <c r="ES614" s="27" t="s">
        <v>8</v>
      </c>
      <c r="ET614" s="27" t="s">
        <v>7</v>
      </c>
      <c r="JS614" s="27" t="s">
        <v>8</v>
      </c>
      <c r="JU614" s="27" t="s">
        <v>8</v>
      </c>
      <c r="KN614" s="27" t="s">
        <v>7</v>
      </c>
      <c r="KO614" s="27" t="s">
        <v>8</v>
      </c>
      <c r="KP614" s="27" t="s">
        <v>7</v>
      </c>
      <c r="KQ614" s="27" t="s">
        <v>8</v>
      </c>
      <c r="KT614" s="27" t="s">
        <v>7</v>
      </c>
      <c r="KU614" s="27" t="s">
        <v>8</v>
      </c>
      <c r="KV614" s="27" t="s">
        <v>7</v>
      </c>
      <c r="KW614" s="27" t="s">
        <v>8</v>
      </c>
      <c r="KX614" s="27" t="s">
        <v>7</v>
      </c>
      <c r="KY614" s="27" t="s">
        <v>8</v>
      </c>
      <c r="KZ614" s="27" t="s">
        <v>7</v>
      </c>
      <c r="LA614" s="27" t="s">
        <v>8</v>
      </c>
      <c r="LN614" s="27" t="s">
        <v>7</v>
      </c>
      <c r="LO614" s="27" t="s">
        <v>8</v>
      </c>
      <c r="LP614" s="27" t="s">
        <v>7</v>
      </c>
      <c r="LQ614" s="27" t="s">
        <v>8</v>
      </c>
      <c r="LR614" s="27" t="s">
        <v>7</v>
      </c>
    </row>
    <row r="615" spans="1:330" x14ac:dyDescent="0.25">
      <c r="A615" s="7">
        <v>0.57437455289470052</v>
      </c>
      <c r="B615"/>
      <c r="C615"/>
      <c r="D615"/>
      <c r="E615"/>
      <c r="F615" s="27" t="s">
        <v>7</v>
      </c>
      <c r="EQ615" s="27" t="s">
        <v>8</v>
      </c>
      <c r="ER615" s="27" t="s">
        <v>7</v>
      </c>
      <c r="ES615" s="27" t="s">
        <v>8</v>
      </c>
      <c r="ET615" s="27" t="s">
        <v>7</v>
      </c>
      <c r="JS615" s="27" t="s">
        <v>8</v>
      </c>
      <c r="JT615" s="27" t="s">
        <v>7</v>
      </c>
      <c r="JU615" s="27" t="s">
        <v>8</v>
      </c>
      <c r="KN615" s="27" t="s">
        <v>7</v>
      </c>
      <c r="KO615" s="27" t="s">
        <v>8</v>
      </c>
      <c r="KP615" s="27" t="s">
        <v>7</v>
      </c>
      <c r="KQ615" s="27" t="s">
        <v>8</v>
      </c>
      <c r="KT615" s="27" t="s">
        <v>7</v>
      </c>
      <c r="KU615" s="27" t="s">
        <v>8</v>
      </c>
      <c r="KV615" s="27" t="s">
        <v>7</v>
      </c>
      <c r="KW615" s="27" t="s">
        <v>8</v>
      </c>
      <c r="KX615" s="27" t="s">
        <v>7</v>
      </c>
      <c r="KY615" s="27" t="s">
        <v>8</v>
      </c>
      <c r="KZ615" s="27" t="s">
        <v>7</v>
      </c>
      <c r="LA615" s="27" t="s">
        <v>8</v>
      </c>
      <c r="LN615" s="27" t="s">
        <v>7</v>
      </c>
      <c r="LO615" s="27" t="s">
        <v>8</v>
      </c>
      <c r="LP615" s="27" t="s">
        <v>7</v>
      </c>
      <c r="LQ615" s="27" t="s">
        <v>8</v>
      </c>
      <c r="LR615" s="27" t="s">
        <v>7</v>
      </c>
    </row>
    <row r="616" spans="1:330" x14ac:dyDescent="0.25">
      <c r="A616" s="7">
        <v>0.56311230675951029</v>
      </c>
      <c r="B616"/>
      <c r="C616"/>
      <c r="D616"/>
      <c r="E616"/>
      <c r="F616" s="27" t="s">
        <v>7</v>
      </c>
      <c r="EQ616" s="27" t="s">
        <v>8</v>
      </c>
      <c r="ER616" s="27" t="s">
        <v>7</v>
      </c>
      <c r="ES616" s="27" t="s">
        <v>8</v>
      </c>
      <c r="ET616" s="27" t="s">
        <v>7</v>
      </c>
      <c r="JS616" s="27" t="s">
        <v>8</v>
      </c>
      <c r="JT616" s="27" t="s">
        <v>7</v>
      </c>
      <c r="JU616" s="27" t="s">
        <v>8</v>
      </c>
      <c r="KN616" s="27" t="s">
        <v>7</v>
      </c>
      <c r="KO616" s="27" t="s">
        <v>8</v>
      </c>
      <c r="KP616" s="27" t="s">
        <v>7</v>
      </c>
      <c r="KQ616" s="27" t="s">
        <v>8</v>
      </c>
      <c r="KT616" s="27" t="s">
        <v>7</v>
      </c>
      <c r="KU616" s="27" t="s">
        <v>8</v>
      </c>
      <c r="KV616" s="27" t="s">
        <v>7</v>
      </c>
      <c r="KW616" s="27" t="s">
        <v>8</v>
      </c>
      <c r="KX616" s="27" t="s">
        <v>7</v>
      </c>
      <c r="KY616" s="27" t="s">
        <v>8</v>
      </c>
      <c r="KZ616" s="27" t="s">
        <v>7</v>
      </c>
      <c r="LA616" s="27" t="s">
        <v>8</v>
      </c>
      <c r="LN616" s="27" t="s">
        <v>7</v>
      </c>
      <c r="LO616" s="27" t="s">
        <v>8</v>
      </c>
      <c r="LP616" s="27" t="s">
        <v>7</v>
      </c>
      <c r="LQ616" s="27" t="s">
        <v>8</v>
      </c>
      <c r="LR616" s="27" t="s">
        <v>7</v>
      </c>
    </row>
    <row r="617" spans="1:330" x14ac:dyDescent="0.25">
      <c r="A617" s="7">
        <v>0.55207088897991208</v>
      </c>
      <c r="B617"/>
      <c r="C617"/>
      <c r="D617"/>
      <c r="E617"/>
      <c r="F617" s="27" t="s">
        <v>7</v>
      </c>
      <c r="EQ617" s="27" t="s">
        <v>8</v>
      </c>
      <c r="ER617" s="27" t="s">
        <v>7</v>
      </c>
      <c r="ES617" s="27" t="s">
        <v>8</v>
      </c>
      <c r="ET617" s="27" t="s">
        <v>7</v>
      </c>
      <c r="JS617" s="27" t="s">
        <v>8</v>
      </c>
      <c r="JT617" s="27" t="s">
        <v>7</v>
      </c>
      <c r="JU617" s="27" t="s">
        <v>8</v>
      </c>
      <c r="KN617" s="27" t="s">
        <v>7</v>
      </c>
      <c r="KO617" s="27" t="s">
        <v>8</v>
      </c>
      <c r="KP617" s="27" t="s">
        <v>7</v>
      </c>
      <c r="KT617" s="27" t="s">
        <v>7</v>
      </c>
      <c r="KU617" s="27" t="s">
        <v>8</v>
      </c>
      <c r="KV617" s="27" t="s">
        <v>7</v>
      </c>
      <c r="KW617" s="27" t="s">
        <v>8</v>
      </c>
      <c r="KX617" s="27" t="s">
        <v>7</v>
      </c>
      <c r="KZ617" s="27" t="s">
        <v>7</v>
      </c>
      <c r="LA617" s="27" t="s">
        <v>8</v>
      </c>
      <c r="LN617" s="27" t="s">
        <v>7</v>
      </c>
      <c r="LO617" s="27" t="s">
        <v>8</v>
      </c>
      <c r="LP617" s="27" t="s">
        <v>7</v>
      </c>
      <c r="LQ617" s="27" t="s">
        <v>8</v>
      </c>
      <c r="LR617" s="27" t="s">
        <v>7</v>
      </c>
    </row>
    <row r="618" spans="1:330" x14ac:dyDescent="0.25">
      <c r="A618" s="7">
        <v>0.54124596958814908</v>
      </c>
      <c r="B618"/>
      <c r="C618"/>
      <c r="D618"/>
      <c r="E618"/>
      <c r="F618" s="27" t="s">
        <v>7</v>
      </c>
      <c r="EQ618" s="27" t="s">
        <v>8</v>
      </c>
      <c r="ER618" s="27" t="s">
        <v>7</v>
      </c>
      <c r="ES618" s="27" t="s">
        <v>8</v>
      </c>
      <c r="ET618" s="27" t="s">
        <v>7</v>
      </c>
      <c r="JS618" s="27" t="s">
        <v>8</v>
      </c>
      <c r="JT618" s="27" t="s">
        <v>7</v>
      </c>
      <c r="JU618" s="27" t="s">
        <v>8</v>
      </c>
      <c r="KN618" s="27" t="s">
        <v>7</v>
      </c>
      <c r="KO618" s="27" t="s">
        <v>8</v>
      </c>
      <c r="KT618" s="27" t="s">
        <v>7</v>
      </c>
      <c r="KV618" s="27" t="s">
        <v>7</v>
      </c>
      <c r="KW618" s="27" t="s">
        <v>8</v>
      </c>
      <c r="KZ618" s="27" t="s">
        <v>7</v>
      </c>
      <c r="LA618" s="27" t="s">
        <v>8</v>
      </c>
      <c r="LN618" s="27" t="s">
        <v>7</v>
      </c>
      <c r="LO618" s="27" t="s">
        <v>8</v>
      </c>
      <c r="LP618" s="27" t="s">
        <v>7</v>
      </c>
      <c r="LQ618" s="27" t="s">
        <v>8</v>
      </c>
      <c r="LR618" s="27" t="s">
        <v>7</v>
      </c>
    </row>
    <row r="619" spans="1:330" x14ac:dyDescent="0.25">
      <c r="A619" s="7">
        <v>0.53063330351779314</v>
      </c>
      <c r="B619"/>
      <c r="C619"/>
      <c r="D619"/>
      <c r="E619"/>
      <c r="F619" s="27" t="s">
        <v>7</v>
      </c>
      <c r="EQ619" s="27" t="s">
        <v>8</v>
      </c>
      <c r="ER619" s="27" t="s">
        <v>7</v>
      </c>
      <c r="ES619" s="27" t="s">
        <v>8</v>
      </c>
      <c r="ET619" s="27" t="s">
        <v>7</v>
      </c>
      <c r="IO619" s="27" t="s">
        <v>8</v>
      </c>
      <c r="JS619" s="27" t="s">
        <v>8</v>
      </c>
      <c r="JT619" s="27" t="s">
        <v>7</v>
      </c>
      <c r="JU619" s="27" t="s">
        <v>8</v>
      </c>
      <c r="KN619" s="27" t="s">
        <v>7</v>
      </c>
      <c r="KO619" s="27" t="s">
        <v>8</v>
      </c>
      <c r="KV619" s="27" t="s">
        <v>7</v>
      </c>
      <c r="KW619" s="27" t="s">
        <v>8</v>
      </c>
      <c r="KZ619" s="27" t="s">
        <v>7</v>
      </c>
      <c r="LN619" s="27" t="s">
        <v>7</v>
      </c>
      <c r="LO619" s="27" t="s">
        <v>8</v>
      </c>
      <c r="LP619" s="27" t="s">
        <v>7</v>
      </c>
      <c r="LQ619" s="27" t="s">
        <v>8</v>
      </c>
      <c r="LR619" s="27" t="s">
        <v>7</v>
      </c>
    </row>
    <row r="620" spans="1:330" x14ac:dyDescent="0.25">
      <c r="A620" s="7">
        <v>0.52022872893901284</v>
      </c>
      <c r="B620"/>
      <c r="C620"/>
      <c r="D620"/>
      <c r="E620"/>
      <c r="F620" s="27" t="s">
        <v>7</v>
      </c>
      <c r="EQ620" s="27" t="s">
        <v>8</v>
      </c>
      <c r="ER620" s="27" t="s">
        <v>7</v>
      </c>
      <c r="ES620" s="27" t="s">
        <v>8</v>
      </c>
      <c r="ET620" s="27" t="s">
        <v>7</v>
      </c>
      <c r="IO620" s="27" t="s">
        <v>8</v>
      </c>
      <c r="IP620" s="27" t="s">
        <v>7</v>
      </c>
      <c r="JS620" s="27" t="s">
        <v>8</v>
      </c>
      <c r="JT620" s="27" t="s">
        <v>7</v>
      </c>
      <c r="JU620" s="27" t="s">
        <v>8</v>
      </c>
      <c r="KN620" s="27" t="s">
        <v>7</v>
      </c>
      <c r="KO620" s="27" t="s">
        <v>8</v>
      </c>
      <c r="KV620" s="27" t="s">
        <v>7</v>
      </c>
      <c r="KW620" s="27" t="s">
        <v>8</v>
      </c>
      <c r="LN620" s="27" t="s">
        <v>7</v>
      </c>
      <c r="LO620" s="27" t="s">
        <v>8</v>
      </c>
      <c r="LP620" s="27" t="s">
        <v>7</v>
      </c>
      <c r="LQ620" s="27" t="s">
        <v>8</v>
      </c>
      <c r="LR620" s="27" t="s">
        <v>7</v>
      </c>
    </row>
    <row r="621" spans="1:330" x14ac:dyDescent="0.25">
      <c r="A621" s="7">
        <v>0.51002816562648323</v>
      </c>
      <c r="B621"/>
      <c r="C621"/>
      <c r="D621"/>
      <c r="E621"/>
      <c r="F621" s="27" t="s">
        <v>7</v>
      </c>
      <c r="EQ621" s="27" t="s">
        <v>8</v>
      </c>
      <c r="ER621" s="27" t="s">
        <v>7</v>
      </c>
      <c r="ES621" s="27" t="s">
        <v>8</v>
      </c>
      <c r="ET621" s="27" t="s">
        <v>7</v>
      </c>
      <c r="IO621" s="27" t="s">
        <v>8</v>
      </c>
      <c r="IP621" s="27" t="s">
        <v>7</v>
      </c>
      <c r="JS621" s="27" t="s">
        <v>8</v>
      </c>
      <c r="JT621" s="27" t="s">
        <v>7</v>
      </c>
      <c r="JU621" s="27" t="s">
        <v>8</v>
      </c>
      <c r="KN621" s="27" t="s">
        <v>7</v>
      </c>
      <c r="KO621" s="27" t="s">
        <v>8</v>
      </c>
      <c r="KV621" s="27" t="s">
        <v>7</v>
      </c>
      <c r="LN621" s="27" t="s">
        <v>7</v>
      </c>
      <c r="LP621" s="27" t="s">
        <v>7</v>
      </c>
      <c r="LQ621" s="27" t="s">
        <v>8</v>
      </c>
      <c r="LR621" s="27" t="s">
        <v>7</v>
      </c>
    </row>
    <row r="622" spans="1:330" x14ac:dyDescent="0.25">
      <c r="A622" s="7">
        <v>0.50002761335929735</v>
      </c>
      <c r="B622"/>
      <c r="C622"/>
      <c r="D622"/>
      <c r="E622"/>
      <c r="F622" s="27" t="s">
        <v>7</v>
      </c>
      <c r="EQ622" s="27" t="s">
        <v>8</v>
      </c>
      <c r="ER622" s="27" t="s">
        <v>7</v>
      </c>
      <c r="ES622" s="27" t="s">
        <v>8</v>
      </c>
      <c r="ET622" s="27" t="s">
        <v>7</v>
      </c>
      <c r="IO622" s="27" t="s">
        <v>8</v>
      </c>
      <c r="IP622" s="27" t="s">
        <v>7</v>
      </c>
      <c r="JS622" s="27" t="s">
        <v>8</v>
      </c>
      <c r="JT622" s="27" t="s">
        <v>7</v>
      </c>
      <c r="JU622" s="27" t="s">
        <v>8</v>
      </c>
      <c r="KN622" s="27" t="s">
        <v>7</v>
      </c>
      <c r="KO622" s="27" t="s">
        <v>8</v>
      </c>
      <c r="LP622" s="27" t="s">
        <v>7</v>
      </c>
      <c r="LQ622" s="27" t="s">
        <v>8</v>
      </c>
    </row>
    <row r="623" spans="1:330" x14ac:dyDescent="0.25">
      <c r="A623" s="7">
        <v>0.49022315035225228</v>
      </c>
      <c r="B623"/>
      <c r="C623"/>
      <c r="D623"/>
      <c r="E623"/>
      <c r="F623" s="27" t="s">
        <v>7</v>
      </c>
      <c r="EQ623" s="27" t="s">
        <v>8</v>
      </c>
      <c r="ER623" s="27" t="s">
        <v>7</v>
      </c>
      <c r="ES623" s="27" t="s">
        <v>8</v>
      </c>
      <c r="ET623" s="27" t="s">
        <v>7</v>
      </c>
      <c r="IE623" s="27" t="s">
        <v>8</v>
      </c>
      <c r="IO623" s="27" t="s">
        <v>8</v>
      </c>
      <c r="IP623" s="27" t="s">
        <v>7</v>
      </c>
      <c r="JS623" s="27" t="s">
        <v>8</v>
      </c>
      <c r="JT623" s="27" t="s">
        <v>7</v>
      </c>
      <c r="JU623" s="27" t="s">
        <v>8</v>
      </c>
      <c r="KN623" s="27" t="s">
        <v>7</v>
      </c>
      <c r="KO623" s="27" t="s">
        <v>8</v>
      </c>
      <c r="LP623" s="27" t="s">
        <v>7</v>
      </c>
      <c r="LQ623" s="27" t="s">
        <v>8</v>
      </c>
    </row>
    <row r="624" spans="1:330" x14ac:dyDescent="0.25">
      <c r="A624" s="7">
        <v>0.48061093171789437</v>
      </c>
      <c r="B624"/>
      <c r="C624"/>
      <c r="D624"/>
      <c r="E624"/>
      <c r="F624" s="27" t="s">
        <v>7</v>
      </c>
      <c r="EQ624" s="27" t="s">
        <v>8</v>
      </c>
      <c r="ER624" s="27" t="s">
        <v>7</v>
      </c>
      <c r="ES624" s="27" t="s">
        <v>8</v>
      </c>
      <c r="ET624" s="27" t="s">
        <v>7</v>
      </c>
      <c r="IE624" s="27" t="s">
        <v>8</v>
      </c>
      <c r="IF624" s="27" t="s">
        <v>7</v>
      </c>
      <c r="IO624" s="27" t="s">
        <v>8</v>
      </c>
      <c r="IP624" s="27" t="s">
        <v>7</v>
      </c>
      <c r="JS624" s="27" t="s">
        <v>8</v>
      </c>
      <c r="JT624" s="27" t="s">
        <v>7</v>
      </c>
      <c r="JU624" s="27" t="s">
        <v>8</v>
      </c>
      <c r="KN624" s="27" t="s">
        <v>7</v>
      </c>
      <c r="KO624" s="27" t="s">
        <v>8</v>
      </c>
      <c r="LP624" s="27" t="s">
        <v>7</v>
      </c>
      <c r="LQ624" s="27" t="s">
        <v>8</v>
      </c>
    </row>
    <row r="625" spans="1:329" x14ac:dyDescent="0.25">
      <c r="A625" s="7">
        <v>0.47118718795871994</v>
      </c>
      <c r="B625"/>
      <c r="C625"/>
      <c r="D625"/>
      <c r="E625"/>
      <c r="F625" s="27" t="s">
        <v>7</v>
      </c>
      <c r="EQ625" s="27" t="s">
        <v>8</v>
      </c>
      <c r="ER625" s="27" t="s">
        <v>7</v>
      </c>
      <c r="ES625" s="27" t="s">
        <v>8</v>
      </c>
      <c r="ET625" s="27" t="s">
        <v>7</v>
      </c>
      <c r="FA625" s="27" t="s">
        <v>8</v>
      </c>
      <c r="FK625" s="27" t="s">
        <v>8</v>
      </c>
      <c r="IE625" s="27" t="s">
        <v>8</v>
      </c>
      <c r="IF625" s="27" t="s">
        <v>7</v>
      </c>
      <c r="IM625" s="27" t="s">
        <v>8</v>
      </c>
      <c r="IO625" s="27" t="s">
        <v>8</v>
      </c>
      <c r="IP625" s="27" t="s">
        <v>7</v>
      </c>
      <c r="JS625" s="27" t="s">
        <v>8</v>
      </c>
      <c r="JT625" s="27" t="s">
        <v>7</v>
      </c>
      <c r="JU625" s="27" t="s">
        <v>8</v>
      </c>
      <c r="KN625" s="27" t="s">
        <v>7</v>
      </c>
      <c r="LP625" s="27" t="s">
        <v>7</v>
      </c>
      <c r="LQ625" s="27" t="s">
        <v>8</v>
      </c>
    </row>
    <row r="626" spans="1:329" x14ac:dyDescent="0.25">
      <c r="A626" s="7">
        <v>0.46194822348894116</v>
      </c>
      <c r="B626"/>
      <c r="C626"/>
      <c r="D626"/>
      <c r="E626"/>
      <c r="F626" s="27" t="s">
        <v>7</v>
      </c>
      <c r="EQ626" s="27" t="s">
        <v>8</v>
      </c>
      <c r="ER626" s="27" t="s">
        <v>7</v>
      </c>
      <c r="ES626" s="27" t="s">
        <v>8</v>
      </c>
      <c r="ET626" s="27" t="s">
        <v>7</v>
      </c>
      <c r="FA626" s="27" t="s">
        <v>8</v>
      </c>
      <c r="FB626" s="27" t="s">
        <v>7</v>
      </c>
      <c r="FK626" s="27" t="s">
        <v>8</v>
      </c>
      <c r="FL626" s="27" t="s">
        <v>7</v>
      </c>
      <c r="FU626" s="27" t="s">
        <v>8</v>
      </c>
      <c r="IE626" s="27" t="s">
        <v>8</v>
      </c>
      <c r="IF626" s="27" t="s">
        <v>7</v>
      </c>
      <c r="II626" s="27" t="s">
        <v>8</v>
      </c>
      <c r="IM626" s="27" t="s">
        <v>8</v>
      </c>
      <c r="IN626" s="27" t="s">
        <v>7</v>
      </c>
      <c r="IO626" s="27" t="s">
        <v>8</v>
      </c>
      <c r="IP626" s="27" t="s">
        <v>7</v>
      </c>
      <c r="IS626" s="27" t="s">
        <v>8</v>
      </c>
      <c r="JS626" s="27" t="s">
        <v>8</v>
      </c>
      <c r="JT626" s="27" t="s">
        <v>7</v>
      </c>
      <c r="JU626" s="27" t="s">
        <v>8</v>
      </c>
      <c r="LP626" s="27" t="s">
        <v>7</v>
      </c>
    </row>
    <row r="627" spans="1:329" x14ac:dyDescent="0.25">
      <c r="A627" s="7">
        <v>0.45289041518523643</v>
      </c>
      <c r="B627"/>
      <c r="C627"/>
      <c r="D627"/>
      <c r="E627"/>
      <c r="F627" s="27" t="s">
        <v>7</v>
      </c>
      <c r="EQ627" s="27" t="s">
        <v>8</v>
      </c>
      <c r="ER627" s="27" t="s">
        <v>7</v>
      </c>
      <c r="ES627" s="27" t="s">
        <v>8</v>
      </c>
      <c r="ET627" s="27" t="s">
        <v>7</v>
      </c>
      <c r="FA627" s="27" t="s">
        <v>8</v>
      </c>
      <c r="FB627" s="27" t="s">
        <v>7</v>
      </c>
      <c r="FK627" s="27" t="s">
        <v>8</v>
      </c>
      <c r="FL627" s="27" t="s">
        <v>7</v>
      </c>
      <c r="FU627" s="27" t="s">
        <v>8</v>
      </c>
      <c r="FV627" s="27" t="s">
        <v>7</v>
      </c>
      <c r="FW627" s="27" t="s">
        <v>8</v>
      </c>
      <c r="IE627" s="27" t="s">
        <v>8</v>
      </c>
      <c r="IF627" s="27" t="s">
        <v>7</v>
      </c>
      <c r="II627" s="27" t="s">
        <v>8</v>
      </c>
      <c r="IJ627" s="27" t="s">
        <v>7</v>
      </c>
      <c r="IM627" s="27" t="s">
        <v>8</v>
      </c>
      <c r="IN627" s="27" t="s">
        <v>7</v>
      </c>
      <c r="IO627" s="27" t="s">
        <v>8</v>
      </c>
      <c r="IP627" s="27" t="s">
        <v>7</v>
      </c>
      <c r="IQ627" s="27" t="s">
        <v>8</v>
      </c>
      <c r="IS627" s="27" t="s">
        <v>8</v>
      </c>
      <c r="IT627" s="27" t="s">
        <v>7</v>
      </c>
      <c r="JS627" s="27" t="s">
        <v>8</v>
      </c>
      <c r="JT627" s="27" t="s">
        <v>7</v>
      </c>
      <c r="JU627" s="27" t="s">
        <v>8</v>
      </c>
    </row>
    <row r="628" spans="1:329" x14ac:dyDescent="0.25">
      <c r="A628" s="7">
        <v>0.44401021096591808</v>
      </c>
      <c r="B628"/>
      <c r="C628"/>
      <c r="D628"/>
      <c r="E628"/>
      <c r="F628" s="27" t="s">
        <v>7</v>
      </c>
      <c r="EQ628" s="27" t="s">
        <v>8</v>
      </c>
      <c r="ER628" s="27" t="s">
        <v>7</v>
      </c>
      <c r="ES628" s="27" t="s">
        <v>8</v>
      </c>
      <c r="ET628" s="27" t="s">
        <v>7</v>
      </c>
      <c r="EY628" s="27" t="s">
        <v>8</v>
      </c>
      <c r="FA628" s="27" t="s">
        <v>8</v>
      </c>
      <c r="FB628" s="27" t="s">
        <v>7</v>
      </c>
      <c r="FK628" s="27" t="s">
        <v>8</v>
      </c>
      <c r="FL628" s="27" t="s">
        <v>7</v>
      </c>
      <c r="FU628" s="27" t="s">
        <v>8</v>
      </c>
      <c r="FV628" s="27" t="s">
        <v>7</v>
      </c>
      <c r="FW628" s="27" t="s">
        <v>8</v>
      </c>
      <c r="FX628" s="27" t="s">
        <v>7</v>
      </c>
      <c r="IE628" s="27" t="s">
        <v>8</v>
      </c>
      <c r="IF628" s="27" t="s">
        <v>7</v>
      </c>
      <c r="II628" s="27" t="s">
        <v>8</v>
      </c>
      <c r="IJ628" s="27" t="s">
        <v>7</v>
      </c>
      <c r="IM628" s="27" t="s">
        <v>8</v>
      </c>
      <c r="IN628" s="27" t="s">
        <v>7</v>
      </c>
      <c r="IO628" s="27" t="s">
        <v>8</v>
      </c>
      <c r="IP628" s="27" t="s">
        <v>7</v>
      </c>
      <c r="IQ628" s="27" t="s">
        <v>8</v>
      </c>
      <c r="IR628" s="27" t="s">
        <v>7</v>
      </c>
      <c r="IS628" s="27" t="s">
        <v>8</v>
      </c>
      <c r="IT628" s="27" t="s">
        <v>7</v>
      </c>
      <c r="JS628" s="27" t="s">
        <v>8</v>
      </c>
      <c r="JT628" s="27" t="s">
        <v>7</v>
      </c>
      <c r="JU628" s="27" t="s">
        <v>8</v>
      </c>
    </row>
    <row r="629" spans="1:329" x14ac:dyDescent="0.25">
      <c r="A629" s="7">
        <v>0.4353041283979589</v>
      </c>
      <c r="B629"/>
      <c r="C629"/>
      <c r="D629"/>
      <c r="E629"/>
      <c r="F629" s="27" t="s">
        <v>7</v>
      </c>
      <c r="EQ629" s="27" t="s">
        <v>8</v>
      </c>
      <c r="ER629" s="27" t="s">
        <v>7</v>
      </c>
      <c r="ET629" s="27" t="s">
        <v>7</v>
      </c>
      <c r="EY629" s="27" t="s">
        <v>8</v>
      </c>
      <c r="EZ629" s="27" t="s">
        <v>7</v>
      </c>
      <c r="FA629" s="27" t="s">
        <v>8</v>
      </c>
      <c r="FB629" s="27" t="s">
        <v>7</v>
      </c>
      <c r="FK629" s="27" t="s">
        <v>8</v>
      </c>
      <c r="FL629" s="27" t="s">
        <v>7</v>
      </c>
      <c r="FU629" s="27" t="s">
        <v>8</v>
      </c>
      <c r="FV629" s="27" t="s">
        <v>7</v>
      </c>
      <c r="FW629" s="27" t="s">
        <v>8</v>
      </c>
      <c r="FX629" s="27" t="s">
        <v>7</v>
      </c>
      <c r="IE629" s="27" t="s">
        <v>8</v>
      </c>
      <c r="IF629" s="27" t="s">
        <v>7</v>
      </c>
      <c r="II629" s="27" t="s">
        <v>8</v>
      </c>
      <c r="IJ629" s="27" t="s">
        <v>7</v>
      </c>
      <c r="IM629" s="27" t="s">
        <v>8</v>
      </c>
      <c r="IN629" s="27" t="s">
        <v>7</v>
      </c>
      <c r="IO629" s="27" t="s">
        <v>8</v>
      </c>
      <c r="IP629" s="27" t="s">
        <v>7</v>
      </c>
      <c r="IQ629" s="27" t="s">
        <v>8</v>
      </c>
      <c r="IR629" s="27" t="s">
        <v>7</v>
      </c>
      <c r="IS629" s="27" t="s">
        <v>8</v>
      </c>
      <c r="IT629" s="27" t="s">
        <v>7</v>
      </c>
      <c r="JS629" s="27" t="s">
        <v>8</v>
      </c>
      <c r="JT629" s="27" t="s">
        <v>7</v>
      </c>
      <c r="JU629" s="27" t="s">
        <v>8</v>
      </c>
    </row>
    <row r="630" spans="1:329" x14ac:dyDescent="0.25">
      <c r="A630" s="7">
        <v>0.4267687533313323</v>
      </c>
      <c r="B630"/>
      <c r="C630"/>
      <c r="D630"/>
      <c r="E630"/>
      <c r="F630" s="27" t="s">
        <v>7</v>
      </c>
      <c r="EQ630" s="27" t="s">
        <v>8</v>
      </c>
      <c r="ET630" s="27" t="s">
        <v>7</v>
      </c>
      <c r="EU630" s="27" t="s">
        <v>8</v>
      </c>
      <c r="EW630" s="27" t="s">
        <v>8</v>
      </c>
      <c r="EY630" s="27" t="s">
        <v>8</v>
      </c>
      <c r="EZ630" s="27" t="s">
        <v>7</v>
      </c>
      <c r="FA630" s="27" t="s">
        <v>8</v>
      </c>
      <c r="FB630" s="27" t="s">
        <v>7</v>
      </c>
      <c r="FK630" s="27" t="s">
        <v>8</v>
      </c>
      <c r="FL630" s="27" t="s">
        <v>7</v>
      </c>
      <c r="FU630" s="27" t="s">
        <v>8</v>
      </c>
      <c r="FV630" s="27" t="s">
        <v>7</v>
      </c>
      <c r="FW630" s="27" t="s">
        <v>8</v>
      </c>
      <c r="FX630" s="27" t="s">
        <v>7</v>
      </c>
      <c r="IE630" s="27" t="s">
        <v>8</v>
      </c>
      <c r="IF630" s="27" t="s">
        <v>7</v>
      </c>
      <c r="II630" s="27" t="s">
        <v>8</v>
      </c>
      <c r="IJ630" s="27" t="s">
        <v>7</v>
      </c>
      <c r="IK630" s="27" t="s">
        <v>8</v>
      </c>
      <c r="IM630" s="27" t="s">
        <v>8</v>
      </c>
      <c r="IN630" s="27" t="s">
        <v>7</v>
      </c>
      <c r="IO630" s="27" t="s">
        <v>8</v>
      </c>
      <c r="IP630" s="27" t="s">
        <v>7</v>
      </c>
      <c r="IQ630" s="27" t="s">
        <v>8</v>
      </c>
      <c r="IR630" s="27" t="s">
        <v>7</v>
      </c>
      <c r="IS630" s="27" t="s">
        <v>8</v>
      </c>
      <c r="IT630" s="27" t="s">
        <v>7</v>
      </c>
      <c r="JS630" s="27" t="s">
        <v>8</v>
      </c>
      <c r="JT630" s="27" t="s">
        <v>7</v>
      </c>
    </row>
    <row r="631" spans="1:329" x14ac:dyDescent="0.25">
      <c r="A631" s="7">
        <v>0.41840073856012971</v>
      </c>
      <c r="B631"/>
      <c r="C631"/>
      <c r="D631"/>
      <c r="E631"/>
      <c r="F631" s="27" t="s">
        <v>7</v>
      </c>
      <c r="EQ631" s="27" t="s">
        <v>8</v>
      </c>
      <c r="ET631" s="27" t="s">
        <v>7</v>
      </c>
      <c r="EU631" s="27" t="s">
        <v>8</v>
      </c>
      <c r="EV631" s="27" t="s">
        <v>7</v>
      </c>
      <c r="EW631" s="27" t="s">
        <v>8</v>
      </c>
      <c r="EX631" s="27" t="s">
        <v>7</v>
      </c>
      <c r="EY631" s="27" t="s">
        <v>8</v>
      </c>
      <c r="EZ631" s="27" t="s">
        <v>7</v>
      </c>
      <c r="FA631" s="27" t="s">
        <v>8</v>
      </c>
      <c r="FB631" s="27" t="s">
        <v>7</v>
      </c>
      <c r="FC631" s="27" t="s">
        <v>8</v>
      </c>
      <c r="FK631" s="27" t="s">
        <v>8</v>
      </c>
      <c r="FL631" s="27" t="s">
        <v>7</v>
      </c>
      <c r="FU631" s="27" t="s">
        <v>8</v>
      </c>
      <c r="FV631" s="27" t="s">
        <v>7</v>
      </c>
      <c r="FW631" s="27" t="s">
        <v>8</v>
      </c>
      <c r="FX631" s="27" t="s">
        <v>7</v>
      </c>
      <c r="HO631" s="27" t="s">
        <v>8</v>
      </c>
      <c r="IE631" s="27" t="s">
        <v>8</v>
      </c>
      <c r="IF631" s="27" t="s">
        <v>7</v>
      </c>
      <c r="II631" s="27" t="s">
        <v>8</v>
      </c>
      <c r="IJ631" s="27" t="s">
        <v>7</v>
      </c>
      <c r="IK631" s="27" t="s">
        <v>8</v>
      </c>
      <c r="IL631" s="27" t="s">
        <v>7</v>
      </c>
      <c r="IM631" s="27" t="s">
        <v>8</v>
      </c>
      <c r="IN631" s="27" t="s">
        <v>7</v>
      </c>
      <c r="IO631" s="27" t="s">
        <v>8</v>
      </c>
      <c r="IP631" s="27" t="s">
        <v>7</v>
      </c>
      <c r="IQ631" s="27" t="s">
        <v>8</v>
      </c>
      <c r="IR631" s="27" t="s">
        <v>7</v>
      </c>
      <c r="IT631" s="27" t="s">
        <v>7</v>
      </c>
      <c r="JM631" s="27" t="s">
        <v>8</v>
      </c>
      <c r="JS631" s="27" t="s">
        <v>8</v>
      </c>
    </row>
    <row r="632" spans="1:329" x14ac:dyDescent="0.25">
      <c r="A632" s="7">
        <v>0.41019680250993112</v>
      </c>
      <c r="B632"/>
      <c r="C632"/>
      <c r="D632"/>
      <c r="E632"/>
      <c r="F632" s="27" t="s">
        <v>7</v>
      </c>
      <c r="EQ632" s="27" t="s">
        <v>8</v>
      </c>
      <c r="ET632" s="27" t="s">
        <v>7</v>
      </c>
      <c r="EU632" s="27" t="s">
        <v>8</v>
      </c>
      <c r="EV632" s="27" t="s">
        <v>7</v>
      </c>
      <c r="EW632" s="27" t="s">
        <v>8</v>
      </c>
      <c r="EX632" s="27" t="s">
        <v>7</v>
      </c>
      <c r="EY632" s="27" t="s">
        <v>8</v>
      </c>
      <c r="EZ632" s="27" t="s">
        <v>7</v>
      </c>
      <c r="FA632" s="27" t="s">
        <v>8</v>
      </c>
      <c r="FB632" s="27" t="s">
        <v>7</v>
      </c>
      <c r="FC632" s="27" t="s">
        <v>8</v>
      </c>
      <c r="FD632" s="27" t="s">
        <v>7</v>
      </c>
      <c r="FK632" s="27" t="s">
        <v>8</v>
      </c>
      <c r="FL632" s="27" t="s">
        <v>7</v>
      </c>
      <c r="FU632" s="27" t="s">
        <v>8</v>
      </c>
      <c r="FV632" s="27" t="s">
        <v>7</v>
      </c>
      <c r="FW632" s="27" t="s">
        <v>8</v>
      </c>
      <c r="FX632" s="27" t="s">
        <v>7</v>
      </c>
      <c r="HO632" s="27" t="s">
        <v>8</v>
      </c>
      <c r="HP632" s="27" t="s">
        <v>7</v>
      </c>
      <c r="IE632" s="27" t="s">
        <v>8</v>
      </c>
      <c r="IF632" s="27" t="s">
        <v>7</v>
      </c>
      <c r="II632" s="27" t="s">
        <v>8</v>
      </c>
      <c r="IJ632" s="27" t="s">
        <v>7</v>
      </c>
      <c r="IK632" s="27" t="s">
        <v>8</v>
      </c>
      <c r="IL632" s="27" t="s">
        <v>7</v>
      </c>
      <c r="IM632" s="27" t="s">
        <v>8</v>
      </c>
      <c r="IN632" s="27" t="s">
        <v>7</v>
      </c>
      <c r="IO632" s="27" t="s">
        <v>8</v>
      </c>
      <c r="IP632" s="27" t="s">
        <v>7</v>
      </c>
      <c r="IT632" s="27" t="s">
        <v>7</v>
      </c>
      <c r="JM632" s="27" t="s">
        <v>8</v>
      </c>
      <c r="JN632" s="27" t="s">
        <v>7</v>
      </c>
      <c r="JS632" s="27" t="s">
        <v>8</v>
      </c>
    </row>
    <row r="633" spans="1:329" x14ac:dyDescent="0.25">
      <c r="A633" s="7">
        <v>0.40215372795091286</v>
      </c>
      <c r="B633"/>
      <c r="C633"/>
      <c r="D633"/>
      <c r="E633"/>
      <c r="F633" s="27" t="s">
        <v>7</v>
      </c>
      <c r="EQ633" s="27" t="s">
        <v>8</v>
      </c>
      <c r="ET633" s="27" t="s">
        <v>7</v>
      </c>
      <c r="EU633" s="27" t="s">
        <v>8</v>
      </c>
      <c r="EV633" s="27" t="s">
        <v>7</v>
      </c>
      <c r="EW633" s="27" t="s">
        <v>8</v>
      </c>
      <c r="EX633" s="27" t="s">
        <v>7</v>
      </c>
      <c r="EY633" s="27" t="s">
        <v>8</v>
      </c>
      <c r="EZ633" s="27" t="s">
        <v>7</v>
      </c>
      <c r="FA633" s="27" t="s">
        <v>8</v>
      </c>
      <c r="FB633" s="27" t="s">
        <v>7</v>
      </c>
      <c r="FC633" s="27" t="s">
        <v>8</v>
      </c>
      <c r="FD633" s="27" t="s">
        <v>7</v>
      </c>
      <c r="FK633" s="27" t="s">
        <v>8</v>
      </c>
      <c r="FL633" s="27" t="s">
        <v>7</v>
      </c>
      <c r="FU633" s="27" t="s">
        <v>8</v>
      </c>
      <c r="FV633" s="27" t="s">
        <v>7</v>
      </c>
      <c r="FW633" s="27" t="s">
        <v>8</v>
      </c>
      <c r="FX633" s="27" t="s">
        <v>7</v>
      </c>
      <c r="GC633" s="27" t="s">
        <v>8</v>
      </c>
      <c r="HO633" s="27" t="s">
        <v>8</v>
      </c>
      <c r="HP633" s="27" t="s">
        <v>7</v>
      </c>
      <c r="IE633" s="27" t="s">
        <v>8</v>
      </c>
      <c r="IF633" s="27" t="s">
        <v>7</v>
      </c>
      <c r="II633" s="27" t="s">
        <v>8</v>
      </c>
      <c r="IJ633" s="27" t="s">
        <v>7</v>
      </c>
      <c r="IL633" s="27" t="s">
        <v>7</v>
      </c>
      <c r="IM633" s="27" t="s">
        <v>8</v>
      </c>
      <c r="IN633" s="27" t="s">
        <v>7</v>
      </c>
      <c r="IO633" s="27" t="s">
        <v>8</v>
      </c>
      <c r="IT633" s="27" t="s">
        <v>7</v>
      </c>
      <c r="JM633" s="27" t="s">
        <v>8</v>
      </c>
      <c r="JN633" s="27" t="s">
        <v>7</v>
      </c>
      <c r="JS633" s="27" t="s">
        <v>8</v>
      </c>
    </row>
    <row r="634" spans="1:329" x14ac:dyDescent="0.25">
      <c r="A634" s="7">
        <v>0.39426836073618904</v>
      </c>
      <c r="B634"/>
      <c r="C634"/>
      <c r="D634"/>
      <c r="E634"/>
      <c r="F634" s="27" t="s">
        <v>7</v>
      </c>
      <c r="EQ634" s="27" t="s">
        <v>8</v>
      </c>
      <c r="ET634" s="27" t="s">
        <v>7</v>
      </c>
      <c r="EU634" s="27" t="s">
        <v>8</v>
      </c>
      <c r="EV634" s="27" t="s">
        <v>7</v>
      </c>
      <c r="EW634" s="27" t="s">
        <v>8</v>
      </c>
      <c r="EX634" s="27" t="s">
        <v>7</v>
      </c>
      <c r="EY634" s="27" t="s">
        <v>8</v>
      </c>
      <c r="EZ634" s="27" t="s">
        <v>7</v>
      </c>
      <c r="FA634" s="27" t="s">
        <v>8</v>
      </c>
      <c r="FB634" s="27" t="s">
        <v>7</v>
      </c>
      <c r="FC634" s="27" t="s">
        <v>8</v>
      </c>
      <c r="FD634" s="27" t="s">
        <v>7</v>
      </c>
      <c r="FK634" s="27" t="s">
        <v>8</v>
      </c>
      <c r="FL634" s="27" t="s">
        <v>7</v>
      </c>
      <c r="FU634" s="27" t="s">
        <v>8</v>
      </c>
      <c r="FV634" s="27" t="s">
        <v>7</v>
      </c>
      <c r="FW634" s="27" t="s">
        <v>8</v>
      </c>
      <c r="FX634" s="27" t="s">
        <v>7</v>
      </c>
      <c r="GC634" s="27" t="s">
        <v>8</v>
      </c>
      <c r="GD634" s="27" t="s">
        <v>7</v>
      </c>
      <c r="HO634" s="27" t="s">
        <v>8</v>
      </c>
      <c r="HP634" s="27" t="s">
        <v>7</v>
      </c>
      <c r="IE634" s="27" t="s">
        <v>8</v>
      </c>
      <c r="IF634" s="27" t="s">
        <v>7</v>
      </c>
      <c r="II634" s="27" t="s">
        <v>8</v>
      </c>
      <c r="IL634" s="27" t="s">
        <v>7</v>
      </c>
      <c r="IM634" s="27" t="s">
        <v>8</v>
      </c>
      <c r="IN634" s="27" t="s">
        <v>7</v>
      </c>
      <c r="IO634" s="27" t="s">
        <v>8</v>
      </c>
      <c r="IT634" s="27" t="s">
        <v>7</v>
      </c>
      <c r="JM634" s="27" t="s">
        <v>8</v>
      </c>
      <c r="JN634" s="27" t="s">
        <v>7</v>
      </c>
      <c r="JS634" s="27" t="s">
        <v>8</v>
      </c>
    </row>
    <row r="635" spans="1:329" x14ac:dyDescent="0.25">
      <c r="A635" s="7">
        <v>0.38653760856489122</v>
      </c>
      <c r="B635"/>
      <c r="C635"/>
      <c r="D635"/>
      <c r="E635"/>
      <c r="F635" s="27" t="s">
        <v>7</v>
      </c>
      <c r="EQ635" s="27" t="s">
        <v>8</v>
      </c>
      <c r="ET635" s="27" t="s">
        <v>7</v>
      </c>
      <c r="EU635" s="27" t="s">
        <v>8</v>
      </c>
      <c r="EV635" s="27" t="s">
        <v>7</v>
      </c>
      <c r="EW635" s="27" t="s">
        <v>8</v>
      </c>
      <c r="EX635" s="27" t="s">
        <v>7</v>
      </c>
      <c r="EY635" s="27" t="s">
        <v>8</v>
      </c>
      <c r="EZ635" s="27" t="s">
        <v>7</v>
      </c>
      <c r="FA635" s="27" t="s">
        <v>8</v>
      </c>
      <c r="FB635" s="27" t="s">
        <v>7</v>
      </c>
      <c r="FD635" s="27" t="s">
        <v>7</v>
      </c>
      <c r="FG635" s="27" t="s">
        <v>8</v>
      </c>
      <c r="FK635" s="27" t="s">
        <v>8</v>
      </c>
      <c r="FL635" s="27" t="s">
        <v>7</v>
      </c>
      <c r="FU635" s="27" t="s">
        <v>8</v>
      </c>
      <c r="FV635" s="27" t="s">
        <v>7</v>
      </c>
      <c r="FX635" s="27" t="s">
        <v>7</v>
      </c>
      <c r="FY635" s="27" t="s">
        <v>8</v>
      </c>
      <c r="GA635" s="27" t="s">
        <v>8</v>
      </c>
      <c r="GC635" s="27" t="s">
        <v>8</v>
      </c>
      <c r="GD635" s="27" t="s">
        <v>7</v>
      </c>
      <c r="HO635" s="27" t="s">
        <v>8</v>
      </c>
      <c r="HP635" s="27" t="s">
        <v>7</v>
      </c>
      <c r="IE635" s="27" t="s">
        <v>8</v>
      </c>
      <c r="IF635" s="27" t="s">
        <v>7</v>
      </c>
      <c r="IG635" s="27" t="s">
        <v>8</v>
      </c>
      <c r="II635" s="27" t="s">
        <v>8</v>
      </c>
      <c r="IL635" s="27" t="s">
        <v>7</v>
      </c>
      <c r="IM635" s="27" t="s">
        <v>8</v>
      </c>
      <c r="IN635" s="27" t="s">
        <v>7</v>
      </c>
      <c r="IO635" s="27" t="s">
        <v>8</v>
      </c>
      <c r="IT635" s="27" t="s">
        <v>7</v>
      </c>
      <c r="JK635" s="27" t="s">
        <v>8</v>
      </c>
      <c r="JM635" s="27" t="s">
        <v>8</v>
      </c>
      <c r="JN635" s="27" t="s">
        <v>7</v>
      </c>
      <c r="JO635" s="27" t="s">
        <v>8</v>
      </c>
      <c r="JS635" s="27" t="s">
        <v>8</v>
      </c>
    </row>
    <row r="636" spans="1:329" x14ac:dyDescent="0.25">
      <c r="A636" s="7">
        <v>0.37895843976950117</v>
      </c>
      <c r="B636"/>
      <c r="C636"/>
      <c r="D636"/>
      <c r="E636"/>
      <c r="F636" s="27" t="s">
        <v>7</v>
      </c>
      <c r="EQ636" s="27" t="s">
        <v>8</v>
      </c>
      <c r="ET636" s="27" t="s">
        <v>7</v>
      </c>
      <c r="EU636" s="27" t="s">
        <v>8</v>
      </c>
      <c r="EV636" s="27" t="s">
        <v>7</v>
      </c>
      <c r="EW636" s="27" t="s">
        <v>8</v>
      </c>
      <c r="EX636" s="27" t="s">
        <v>7</v>
      </c>
      <c r="EY636" s="27" t="s">
        <v>8</v>
      </c>
      <c r="EZ636" s="27" t="s">
        <v>7</v>
      </c>
      <c r="FA636" s="27" t="s">
        <v>8</v>
      </c>
      <c r="FD636" s="27" t="s">
        <v>7</v>
      </c>
      <c r="FG636" s="27" t="s">
        <v>8</v>
      </c>
      <c r="FH636" s="27" t="s">
        <v>7</v>
      </c>
      <c r="FK636" s="27" t="s">
        <v>8</v>
      </c>
      <c r="FL636" s="27" t="s">
        <v>7</v>
      </c>
      <c r="FS636" s="27" t="s">
        <v>8</v>
      </c>
      <c r="FU636" s="27" t="s">
        <v>8</v>
      </c>
      <c r="FX636" s="27" t="s">
        <v>7</v>
      </c>
      <c r="FY636" s="27" t="s">
        <v>8</v>
      </c>
      <c r="FZ636" s="27" t="s">
        <v>7</v>
      </c>
      <c r="GA636" s="27" t="s">
        <v>8</v>
      </c>
      <c r="GB636" s="27" t="s">
        <v>7</v>
      </c>
      <c r="GC636" s="27" t="s">
        <v>8</v>
      </c>
      <c r="GD636" s="27" t="s">
        <v>7</v>
      </c>
      <c r="HO636" s="27" t="s">
        <v>8</v>
      </c>
      <c r="HP636" s="27" t="s">
        <v>7</v>
      </c>
      <c r="HQ636" s="27" t="s">
        <v>8</v>
      </c>
      <c r="IE636" s="27" t="s">
        <v>8</v>
      </c>
      <c r="IF636" s="27" t="s">
        <v>7</v>
      </c>
      <c r="IG636" s="27" t="s">
        <v>8</v>
      </c>
      <c r="IH636" s="27" t="s">
        <v>7</v>
      </c>
      <c r="II636" s="27" t="s">
        <v>8</v>
      </c>
      <c r="IL636" s="27" t="s">
        <v>7</v>
      </c>
      <c r="IM636" s="27" t="s">
        <v>8</v>
      </c>
      <c r="IN636" s="27" t="s">
        <v>7</v>
      </c>
      <c r="IO636" s="27" t="s">
        <v>8</v>
      </c>
      <c r="IT636" s="27" t="s">
        <v>7</v>
      </c>
      <c r="JK636" s="27" t="s">
        <v>8</v>
      </c>
      <c r="JL636" s="27" t="s">
        <v>7</v>
      </c>
      <c r="JM636" s="27" t="s">
        <v>8</v>
      </c>
      <c r="JN636" s="27" t="s">
        <v>7</v>
      </c>
      <c r="JO636" s="27" t="s">
        <v>8</v>
      </c>
      <c r="JP636" s="27" t="s">
        <v>7</v>
      </c>
      <c r="JQ636" s="27" t="s">
        <v>8</v>
      </c>
      <c r="JS636" s="27" t="s">
        <v>8</v>
      </c>
    </row>
    <row r="637" spans="1:329" x14ac:dyDescent="0.25">
      <c r="A637" s="7">
        <v>0.37152788212696197</v>
      </c>
      <c r="B637"/>
      <c r="C637"/>
      <c r="D637"/>
      <c r="E637"/>
      <c r="F637" s="27" t="s">
        <v>7</v>
      </c>
      <c r="EQ637" s="27" t="s">
        <v>8</v>
      </c>
      <c r="ET637" s="27" t="s">
        <v>7</v>
      </c>
      <c r="EU637" s="27" t="s">
        <v>8</v>
      </c>
      <c r="EV637" s="27" t="s">
        <v>7</v>
      </c>
      <c r="EX637" s="27" t="s">
        <v>7</v>
      </c>
      <c r="EY637" s="27" t="s">
        <v>8</v>
      </c>
      <c r="EZ637" s="27" t="s">
        <v>7</v>
      </c>
      <c r="FA637" s="27" t="s">
        <v>8</v>
      </c>
      <c r="FD637" s="27" t="s">
        <v>7</v>
      </c>
      <c r="FG637" s="27" t="s">
        <v>8</v>
      </c>
      <c r="FH637" s="27" t="s">
        <v>7</v>
      </c>
      <c r="FI637" s="27" t="s">
        <v>8</v>
      </c>
      <c r="FK637" s="27" t="s">
        <v>8</v>
      </c>
      <c r="FL637" s="27" t="s">
        <v>7</v>
      </c>
      <c r="FS637" s="27" t="s">
        <v>8</v>
      </c>
      <c r="FT637" s="27" t="s">
        <v>7</v>
      </c>
      <c r="FU637" s="27" t="s">
        <v>8</v>
      </c>
      <c r="FX637" s="27" t="s">
        <v>7</v>
      </c>
      <c r="FY637" s="27" t="s">
        <v>8</v>
      </c>
      <c r="FZ637" s="27" t="s">
        <v>7</v>
      </c>
      <c r="GA637" s="27" t="s">
        <v>8</v>
      </c>
      <c r="GB637" s="27" t="s">
        <v>7</v>
      </c>
      <c r="GC637" s="27" t="s">
        <v>8</v>
      </c>
      <c r="GD637" s="27" t="s">
        <v>7</v>
      </c>
      <c r="HO637" s="27" t="s">
        <v>8</v>
      </c>
      <c r="HP637" s="27" t="s">
        <v>7</v>
      </c>
      <c r="HQ637" s="27" t="s">
        <v>8</v>
      </c>
      <c r="HR637" s="27" t="s">
        <v>7</v>
      </c>
      <c r="IE637" s="27" t="s">
        <v>8</v>
      </c>
      <c r="IF637" s="27" t="s">
        <v>7</v>
      </c>
      <c r="IG637" s="27" t="s">
        <v>8</v>
      </c>
      <c r="IH637" s="27" t="s">
        <v>7</v>
      </c>
      <c r="II637" s="27" t="s">
        <v>8</v>
      </c>
      <c r="IL637" s="27" t="s">
        <v>7</v>
      </c>
      <c r="IM637" s="27" t="s">
        <v>8</v>
      </c>
      <c r="IN637" s="27" t="s">
        <v>7</v>
      </c>
      <c r="IO637" s="27" t="s">
        <v>8</v>
      </c>
      <c r="IT637" s="27" t="s">
        <v>7</v>
      </c>
      <c r="IU637" s="27" t="s">
        <v>8</v>
      </c>
      <c r="IW637" s="27" t="s">
        <v>8</v>
      </c>
      <c r="JK637" s="27" t="s">
        <v>8</v>
      </c>
      <c r="JL637" s="27" t="s">
        <v>7</v>
      </c>
      <c r="JM637" s="27" t="s">
        <v>8</v>
      </c>
      <c r="JN637" s="27" t="s">
        <v>7</v>
      </c>
      <c r="JO637" s="27" t="s">
        <v>8</v>
      </c>
      <c r="JP637" s="27" t="s">
        <v>7</v>
      </c>
      <c r="JQ637" s="27" t="s">
        <v>8</v>
      </c>
      <c r="JR637" s="27" t="s">
        <v>7</v>
      </c>
      <c r="JS637" s="27" t="s">
        <v>8</v>
      </c>
    </row>
    <row r="638" spans="1:329" x14ac:dyDescent="0.25">
      <c r="A638" s="7">
        <v>0.36424302169310002</v>
      </c>
      <c r="B638"/>
      <c r="C638"/>
      <c r="D638"/>
      <c r="E638"/>
      <c r="F638" s="27" t="s">
        <v>7</v>
      </c>
      <c r="EQ638" s="27" t="s">
        <v>8</v>
      </c>
      <c r="ET638" s="27" t="s">
        <v>7</v>
      </c>
      <c r="EU638" s="27" t="s">
        <v>8</v>
      </c>
      <c r="EX638" s="27" t="s">
        <v>7</v>
      </c>
      <c r="EY638" s="27" t="s">
        <v>8</v>
      </c>
      <c r="EZ638" s="27" t="s">
        <v>7</v>
      </c>
      <c r="FA638" s="27" t="s">
        <v>8</v>
      </c>
      <c r="FD638" s="27" t="s">
        <v>7</v>
      </c>
      <c r="FE638" s="27" t="s">
        <v>8</v>
      </c>
      <c r="FG638" s="27" t="s">
        <v>8</v>
      </c>
      <c r="FH638" s="27" t="s">
        <v>7</v>
      </c>
      <c r="FI638" s="27" t="s">
        <v>8</v>
      </c>
      <c r="FJ638" s="27" t="s">
        <v>7</v>
      </c>
      <c r="FK638" s="27" t="s">
        <v>8</v>
      </c>
      <c r="FL638" s="27" t="s">
        <v>7</v>
      </c>
      <c r="FS638" s="27" t="s">
        <v>8</v>
      </c>
      <c r="FT638" s="27" t="s">
        <v>7</v>
      </c>
      <c r="FU638" s="27" t="s">
        <v>8</v>
      </c>
      <c r="FX638" s="27" t="s">
        <v>7</v>
      </c>
      <c r="FY638" s="27" t="s">
        <v>8</v>
      </c>
      <c r="FZ638" s="27" t="s">
        <v>7</v>
      </c>
      <c r="GA638" s="27" t="s">
        <v>8</v>
      </c>
      <c r="GB638" s="27" t="s">
        <v>7</v>
      </c>
      <c r="GC638" s="27" t="s">
        <v>8</v>
      </c>
      <c r="GD638" s="27" t="s">
        <v>7</v>
      </c>
      <c r="HO638" s="27" t="s">
        <v>8</v>
      </c>
      <c r="HP638" s="27" t="s">
        <v>7</v>
      </c>
      <c r="HQ638" s="27" t="s">
        <v>8</v>
      </c>
      <c r="HR638" s="27" t="s">
        <v>7</v>
      </c>
      <c r="IE638" s="27" t="s">
        <v>8</v>
      </c>
      <c r="IF638" s="27" t="s">
        <v>7</v>
      </c>
      <c r="IG638" s="27" t="s">
        <v>8</v>
      </c>
      <c r="IH638" s="27" t="s">
        <v>7</v>
      </c>
      <c r="IL638" s="27" t="s">
        <v>7</v>
      </c>
      <c r="IM638" s="27" t="s">
        <v>8</v>
      </c>
      <c r="IN638" s="27" t="s">
        <v>7</v>
      </c>
      <c r="IO638" s="27" t="s">
        <v>8</v>
      </c>
      <c r="IT638" s="27" t="s">
        <v>7</v>
      </c>
      <c r="IU638" s="27" t="s">
        <v>8</v>
      </c>
      <c r="IV638" s="27" t="s">
        <v>7</v>
      </c>
      <c r="IW638" s="27" t="s">
        <v>8</v>
      </c>
      <c r="IX638" s="27" t="s">
        <v>7</v>
      </c>
      <c r="JG638" s="27" t="s">
        <v>8</v>
      </c>
      <c r="JK638" s="27" t="s">
        <v>8</v>
      </c>
      <c r="JL638" s="27" t="s">
        <v>7</v>
      </c>
      <c r="JM638" s="27" t="s">
        <v>8</v>
      </c>
      <c r="JN638" s="27" t="s">
        <v>7</v>
      </c>
      <c r="JO638" s="27" t="s">
        <v>8</v>
      </c>
      <c r="JP638" s="27" t="s">
        <v>7</v>
      </c>
      <c r="JQ638" s="27" t="s">
        <v>8</v>
      </c>
      <c r="JR638" s="27" t="s">
        <v>7</v>
      </c>
      <c r="JS638" s="27" t="s">
        <v>8</v>
      </c>
    </row>
    <row r="639" spans="1:329" x14ac:dyDescent="0.25">
      <c r="A639" s="7">
        <v>0.35710100165990194</v>
      </c>
      <c r="B639"/>
      <c r="C639"/>
      <c r="D639"/>
      <c r="E639"/>
      <c r="F639" s="27" t="s">
        <v>7</v>
      </c>
      <c r="EQ639" s="27" t="s">
        <v>8</v>
      </c>
      <c r="ET639" s="27" t="s">
        <v>7</v>
      </c>
      <c r="EU639" s="27" t="s">
        <v>8</v>
      </c>
      <c r="EX639" s="27" t="s">
        <v>7</v>
      </c>
      <c r="EY639" s="27" t="s">
        <v>8</v>
      </c>
      <c r="EZ639" s="27" t="s">
        <v>7</v>
      </c>
      <c r="FD639" s="27" t="s">
        <v>7</v>
      </c>
      <c r="FE639" s="27" t="s">
        <v>8</v>
      </c>
      <c r="FF639" s="27" t="s">
        <v>7</v>
      </c>
      <c r="FG639" s="27" t="s">
        <v>8</v>
      </c>
      <c r="FH639" s="27" t="s">
        <v>7</v>
      </c>
      <c r="FI639" s="27" t="s">
        <v>8</v>
      </c>
      <c r="FJ639" s="27" t="s">
        <v>7</v>
      </c>
      <c r="FK639" s="27" t="s">
        <v>8</v>
      </c>
      <c r="FL639" s="27" t="s">
        <v>7</v>
      </c>
      <c r="FS639" s="27" t="s">
        <v>8</v>
      </c>
      <c r="FT639" s="27" t="s">
        <v>7</v>
      </c>
      <c r="FU639" s="27" t="s">
        <v>8</v>
      </c>
      <c r="FX639" s="27" t="s">
        <v>7</v>
      </c>
      <c r="FY639" s="27" t="s">
        <v>8</v>
      </c>
      <c r="FZ639" s="27" t="s">
        <v>7</v>
      </c>
      <c r="GA639" s="27" t="s">
        <v>8</v>
      </c>
      <c r="GB639" s="27" t="s">
        <v>7</v>
      </c>
      <c r="GC639" s="27" t="s">
        <v>8</v>
      </c>
      <c r="GD639" s="27" t="s">
        <v>7</v>
      </c>
      <c r="HO639" s="27" t="s">
        <v>8</v>
      </c>
      <c r="HP639" s="27" t="s">
        <v>7</v>
      </c>
      <c r="HQ639" s="27" t="s">
        <v>8</v>
      </c>
      <c r="HR639" s="27" t="s">
        <v>7</v>
      </c>
      <c r="IA639" s="27" t="s">
        <v>8</v>
      </c>
      <c r="IE639" s="27" t="s">
        <v>8</v>
      </c>
      <c r="IF639" s="27" t="s">
        <v>7</v>
      </c>
      <c r="IG639" s="27" t="s">
        <v>8</v>
      </c>
      <c r="IL639" s="27" t="s">
        <v>7</v>
      </c>
      <c r="IN639" s="27" t="s">
        <v>7</v>
      </c>
      <c r="IT639" s="27" t="s">
        <v>7</v>
      </c>
      <c r="IU639" s="27" t="s">
        <v>8</v>
      </c>
      <c r="IV639" s="27" t="s">
        <v>7</v>
      </c>
      <c r="IW639" s="27" t="s">
        <v>8</v>
      </c>
      <c r="IX639" s="27" t="s">
        <v>7</v>
      </c>
      <c r="JG639" s="27" t="s">
        <v>8</v>
      </c>
      <c r="JH639" s="27" t="s">
        <v>7</v>
      </c>
      <c r="JI639" s="27" t="s">
        <v>8</v>
      </c>
      <c r="JK639" s="27" t="s">
        <v>8</v>
      </c>
      <c r="JL639" s="27" t="s">
        <v>7</v>
      </c>
      <c r="JM639" s="27" t="s">
        <v>8</v>
      </c>
      <c r="JN639" s="27" t="s">
        <v>7</v>
      </c>
      <c r="JO639" s="27" t="s">
        <v>8</v>
      </c>
      <c r="JP639" s="27" t="s">
        <v>7</v>
      </c>
      <c r="JQ639" s="27" t="s">
        <v>8</v>
      </c>
      <c r="JR639" s="27" t="s">
        <v>7</v>
      </c>
      <c r="JS639" s="27" t="s">
        <v>8</v>
      </c>
    </row>
    <row r="640" spans="1:329" x14ac:dyDescent="0.25">
      <c r="A640" s="7">
        <v>0.35009902123519804</v>
      </c>
      <c r="B640"/>
      <c r="C640"/>
      <c r="D640"/>
      <c r="E640"/>
      <c r="F640" s="27" t="s">
        <v>7</v>
      </c>
      <c r="EQ640" s="27" t="s">
        <v>8</v>
      </c>
      <c r="ET640" s="27" t="s">
        <v>7</v>
      </c>
      <c r="EX640" s="27" t="s">
        <v>7</v>
      </c>
      <c r="EY640" s="27" t="s">
        <v>8</v>
      </c>
      <c r="FD640" s="27" t="s">
        <v>7</v>
      </c>
      <c r="FE640" s="27" t="s">
        <v>8</v>
      </c>
      <c r="FF640" s="27" t="s">
        <v>7</v>
      </c>
      <c r="FG640" s="27" t="s">
        <v>8</v>
      </c>
      <c r="FH640" s="27" t="s">
        <v>7</v>
      </c>
      <c r="FI640" s="27" t="s">
        <v>8</v>
      </c>
      <c r="FJ640" s="27" t="s">
        <v>7</v>
      </c>
      <c r="FK640" s="27" t="s">
        <v>8</v>
      </c>
      <c r="FL640" s="27" t="s">
        <v>7</v>
      </c>
      <c r="FS640" s="27" t="s">
        <v>8</v>
      </c>
      <c r="FT640" s="27" t="s">
        <v>7</v>
      </c>
      <c r="FU640" s="27" t="s">
        <v>8</v>
      </c>
      <c r="FX640" s="27" t="s">
        <v>7</v>
      </c>
      <c r="FZ640" s="27" t="s">
        <v>7</v>
      </c>
      <c r="GA640" s="27" t="s">
        <v>8</v>
      </c>
      <c r="GB640" s="27" t="s">
        <v>7</v>
      </c>
      <c r="GC640" s="27" t="s">
        <v>8</v>
      </c>
      <c r="GD640" s="27" t="s">
        <v>7</v>
      </c>
      <c r="HO640" s="27" t="s">
        <v>8</v>
      </c>
      <c r="HP640" s="27" t="s">
        <v>7</v>
      </c>
      <c r="HQ640" s="27" t="s">
        <v>8</v>
      </c>
      <c r="HR640" s="27" t="s">
        <v>7</v>
      </c>
      <c r="IA640" s="27" t="s">
        <v>8</v>
      </c>
      <c r="IB640" s="27" t="s">
        <v>7</v>
      </c>
      <c r="IE640" s="27" t="s">
        <v>8</v>
      </c>
      <c r="IF640" s="27" t="s">
        <v>7</v>
      </c>
      <c r="IG640" s="27" t="s">
        <v>8</v>
      </c>
      <c r="IT640" s="27" t="s">
        <v>7</v>
      </c>
      <c r="IU640" s="27" t="s">
        <v>8</v>
      </c>
      <c r="IV640" s="27" t="s">
        <v>7</v>
      </c>
      <c r="IW640" s="27" t="s">
        <v>8</v>
      </c>
      <c r="IX640" s="27" t="s">
        <v>7</v>
      </c>
      <c r="JG640" s="27" t="s">
        <v>8</v>
      </c>
      <c r="JH640" s="27" t="s">
        <v>7</v>
      </c>
      <c r="JI640" s="27" t="s">
        <v>8</v>
      </c>
      <c r="JJ640" s="27" t="s">
        <v>7</v>
      </c>
      <c r="JK640" s="27" t="s">
        <v>8</v>
      </c>
      <c r="JL640" s="27" t="s">
        <v>7</v>
      </c>
      <c r="JM640" s="27" t="s">
        <v>8</v>
      </c>
      <c r="JN640" s="27" t="s">
        <v>7</v>
      </c>
      <c r="JO640" s="27" t="s">
        <v>8</v>
      </c>
      <c r="JP640" s="27" t="s">
        <v>7</v>
      </c>
      <c r="JQ640" s="27" t="s">
        <v>8</v>
      </c>
      <c r="JR640" s="27" t="s">
        <v>7</v>
      </c>
      <c r="JS640" s="27" t="s">
        <v>8</v>
      </c>
    </row>
    <row r="641" spans="1:279" x14ac:dyDescent="0.25">
      <c r="A641" s="7">
        <v>0.34323433454431179</v>
      </c>
      <c r="B641"/>
      <c r="C641"/>
      <c r="D641"/>
      <c r="E641"/>
      <c r="F641" s="27" t="s">
        <v>7</v>
      </c>
      <c r="EQ641" s="27" t="s">
        <v>8</v>
      </c>
      <c r="EX641" s="27" t="s">
        <v>7</v>
      </c>
      <c r="EY641" s="27" t="s">
        <v>8</v>
      </c>
      <c r="FD641" s="27" t="s">
        <v>7</v>
      </c>
      <c r="FE641" s="27" t="s">
        <v>8</v>
      </c>
      <c r="FF641" s="27" t="s">
        <v>7</v>
      </c>
      <c r="FG641" s="27" t="s">
        <v>8</v>
      </c>
      <c r="FH641" s="27" t="s">
        <v>7</v>
      </c>
      <c r="FI641" s="27" t="s">
        <v>8</v>
      </c>
      <c r="FJ641" s="27" t="s">
        <v>7</v>
      </c>
      <c r="FK641" s="27" t="s">
        <v>8</v>
      </c>
      <c r="FL641" s="27" t="s">
        <v>7</v>
      </c>
      <c r="FS641" s="27" t="s">
        <v>8</v>
      </c>
      <c r="FT641" s="27" t="s">
        <v>7</v>
      </c>
      <c r="FZ641" s="27" t="s">
        <v>7</v>
      </c>
      <c r="GA641" s="27" t="s">
        <v>8</v>
      </c>
      <c r="GB641" s="27" t="s">
        <v>7</v>
      </c>
      <c r="GC641" s="27" t="s">
        <v>8</v>
      </c>
      <c r="GD641" s="27" t="s">
        <v>7</v>
      </c>
      <c r="HO641" s="27" t="s">
        <v>8</v>
      </c>
      <c r="HP641" s="27" t="s">
        <v>7</v>
      </c>
      <c r="HQ641" s="27" t="s">
        <v>8</v>
      </c>
      <c r="HR641" s="27" t="s">
        <v>7</v>
      </c>
      <c r="IA641" s="27" t="s">
        <v>8</v>
      </c>
      <c r="IB641" s="27" t="s">
        <v>7</v>
      </c>
      <c r="IC641" s="27" t="s">
        <v>8</v>
      </c>
      <c r="IE641" s="27" t="s">
        <v>8</v>
      </c>
      <c r="IF641" s="27" t="s">
        <v>7</v>
      </c>
      <c r="IG641" s="27" t="s">
        <v>8</v>
      </c>
      <c r="IT641" s="27" t="s">
        <v>7</v>
      </c>
      <c r="IU641" s="27" t="s">
        <v>8</v>
      </c>
      <c r="IV641" s="27" t="s">
        <v>7</v>
      </c>
      <c r="IW641" s="27" t="s">
        <v>8</v>
      </c>
      <c r="IX641" s="27" t="s">
        <v>7</v>
      </c>
      <c r="JG641" s="27" t="s">
        <v>8</v>
      </c>
      <c r="JH641" s="27" t="s">
        <v>7</v>
      </c>
      <c r="JI641" s="27" t="s">
        <v>8</v>
      </c>
      <c r="JJ641" s="27" t="s">
        <v>7</v>
      </c>
      <c r="JK641" s="27" t="s">
        <v>8</v>
      </c>
      <c r="JL641" s="27" t="s">
        <v>7</v>
      </c>
      <c r="JM641" s="27" t="s">
        <v>8</v>
      </c>
      <c r="JN641" s="27" t="s">
        <v>7</v>
      </c>
      <c r="JO641" s="27" t="s">
        <v>8</v>
      </c>
      <c r="JP641" s="27" t="s">
        <v>7</v>
      </c>
      <c r="JR641" s="27" t="s">
        <v>7</v>
      </c>
      <c r="JS641" s="27" t="s">
        <v>8</v>
      </c>
    </row>
    <row r="642" spans="1:279" x14ac:dyDescent="0.25">
      <c r="A642" s="7">
        <v>0.33650424955324681</v>
      </c>
      <c r="B642"/>
      <c r="C642"/>
      <c r="D642"/>
      <c r="E642"/>
      <c r="F642" s="27" t="s">
        <v>7</v>
      </c>
      <c r="EQ642" s="27" t="s">
        <v>8</v>
      </c>
      <c r="EX642" s="27" t="s">
        <v>7</v>
      </c>
      <c r="EY642" s="27" t="s">
        <v>8</v>
      </c>
      <c r="FD642" s="27" t="s">
        <v>7</v>
      </c>
      <c r="FE642" s="27" t="s">
        <v>8</v>
      </c>
      <c r="FF642" s="27" t="s">
        <v>7</v>
      </c>
      <c r="FG642" s="27" t="s">
        <v>8</v>
      </c>
      <c r="FH642" s="27" t="s">
        <v>7</v>
      </c>
      <c r="FI642" s="27" t="s">
        <v>8</v>
      </c>
      <c r="FJ642" s="27" t="s">
        <v>7</v>
      </c>
      <c r="FK642" s="27" t="s">
        <v>8</v>
      </c>
      <c r="FL642" s="27" t="s">
        <v>7</v>
      </c>
      <c r="FM642" s="27" t="s">
        <v>8</v>
      </c>
      <c r="FS642" s="27" t="s">
        <v>8</v>
      </c>
      <c r="FZ642" s="27" t="s">
        <v>7</v>
      </c>
      <c r="GB642" s="27" t="s">
        <v>7</v>
      </c>
      <c r="GC642" s="27" t="s">
        <v>8</v>
      </c>
      <c r="GD642" s="27" t="s">
        <v>7</v>
      </c>
      <c r="HK642" s="27" t="s">
        <v>8</v>
      </c>
      <c r="HO642" s="27" t="s">
        <v>8</v>
      </c>
      <c r="HP642" s="27" t="s">
        <v>7</v>
      </c>
      <c r="HQ642" s="27" t="s">
        <v>8</v>
      </c>
      <c r="HR642" s="27" t="s">
        <v>7</v>
      </c>
      <c r="HS642" s="27" t="s">
        <v>8</v>
      </c>
      <c r="HU642" s="27" t="s">
        <v>8</v>
      </c>
      <c r="HY642" s="27" t="s">
        <v>8</v>
      </c>
      <c r="IA642" s="27" t="s">
        <v>8</v>
      </c>
      <c r="IB642" s="27" t="s">
        <v>7</v>
      </c>
      <c r="IC642" s="27" t="s">
        <v>8</v>
      </c>
      <c r="ID642" s="27" t="s">
        <v>7</v>
      </c>
      <c r="IE642" s="27" t="s">
        <v>8</v>
      </c>
      <c r="IF642" s="27" t="s">
        <v>7</v>
      </c>
      <c r="IT642" s="27" t="s">
        <v>7</v>
      </c>
      <c r="IU642" s="27" t="s">
        <v>8</v>
      </c>
      <c r="IV642" s="27" t="s">
        <v>7</v>
      </c>
      <c r="IW642" s="27" t="s">
        <v>8</v>
      </c>
      <c r="IX642" s="27" t="s">
        <v>7</v>
      </c>
      <c r="JE642" s="27" t="s">
        <v>8</v>
      </c>
      <c r="JG642" s="27" t="s">
        <v>8</v>
      </c>
      <c r="JH642" s="27" t="s">
        <v>7</v>
      </c>
      <c r="JI642" s="27" t="s">
        <v>8</v>
      </c>
      <c r="JJ642" s="27" t="s">
        <v>7</v>
      </c>
      <c r="JK642" s="27" t="s">
        <v>8</v>
      </c>
      <c r="JL642" s="27" t="s">
        <v>7</v>
      </c>
      <c r="JM642" s="27" t="s">
        <v>8</v>
      </c>
      <c r="JN642" s="27" t="s">
        <v>7</v>
      </c>
      <c r="JR642" s="27" t="s">
        <v>7</v>
      </c>
      <c r="JS642" s="27" t="s">
        <v>8</v>
      </c>
    </row>
    <row r="643" spans="1:279" x14ac:dyDescent="0.25">
      <c r="A643" s="7">
        <v>0.3299061270129871</v>
      </c>
      <c r="B643"/>
      <c r="C643"/>
      <c r="D643"/>
      <c r="E643"/>
      <c r="F643" s="27" t="s">
        <v>7</v>
      </c>
      <c r="EQ643" s="27" t="s">
        <v>8</v>
      </c>
      <c r="EX643" s="27" t="s">
        <v>7</v>
      </c>
      <c r="EY643" s="27" t="s">
        <v>8</v>
      </c>
      <c r="FD643" s="27" t="s">
        <v>7</v>
      </c>
      <c r="FE643" s="27" t="s">
        <v>8</v>
      </c>
      <c r="FF643" s="27" t="s">
        <v>7</v>
      </c>
      <c r="FG643" s="27" t="s">
        <v>8</v>
      </c>
      <c r="FH643" s="27" t="s">
        <v>7</v>
      </c>
      <c r="FI643" s="27" t="s">
        <v>8</v>
      </c>
      <c r="FJ643" s="27" t="s">
        <v>7</v>
      </c>
      <c r="FK643" s="27" t="s">
        <v>8</v>
      </c>
      <c r="FL643" s="27" t="s">
        <v>7</v>
      </c>
      <c r="FM643" s="27" t="s">
        <v>8</v>
      </c>
      <c r="FN643" s="27" t="s">
        <v>7</v>
      </c>
      <c r="FS643" s="27" t="s">
        <v>8</v>
      </c>
      <c r="GB643" s="27" t="s">
        <v>7</v>
      </c>
      <c r="GC643" s="27" t="s">
        <v>8</v>
      </c>
      <c r="GD643" s="27" t="s">
        <v>7</v>
      </c>
      <c r="HK643" s="27" t="s">
        <v>8</v>
      </c>
      <c r="HL643" s="27" t="s">
        <v>7</v>
      </c>
      <c r="HO643" s="27" t="s">
        <v>8</v>
      </c>
      <c r="HP643" s="27" t="s">
        <v>7</v>
      </c>
      <c r="HQ643" s="27" t="s">
        <v>8</v>
      </c>
      <c r="HR643" s="27" t="s">
        <v>7</v>
      </c>
      <c r="HS643" s="27" t="s">
        <v>8</v>
      </c>
      <c r="HT643" s="27" t="s">
        <v>7</v>
      </c>
      <c r="HU643" s="27" t="s">
        <v>8</v>
      </c>
      <c r="HV643" s="27" t="s">
        <v>7</v>
      </c>
      <c r="HY643" s="27" t="s">
        <v>8</v>
      </c>
      <c r="HZ643" s="27" t="s">
        <v>7</v>
      </c>
      <c r="IA643" s="27" t="s">
        <v>8</v>
      </c>
      <c r="IB643" s="27" t="s">
        <v>7</v>
      </c>
      <c r="IC643" s="27" t="s">
        <v>8</v>
      </c>
      <c r="ID643" s="27" t="s">
        <v>7</v>
      </c>
      <c r="IE643" s="27" t="s">
        <v>8</v>
      </c>
      <c r="IT643" s="27" t="s">
        <v>7</v>
      </c>
      <c r="IU643" s="27" t="s">
        <v>8</v>
      </c>
      <c r="IV643" s="27" t="s">
        <v>7</v>
      </c>
      <c r="IW643" s="27" t="s">
        <v>8</v>
      </c>
      <c r="IX643" s="27" t="s">
        <v>7</v>
      </c>
      <c r="JE643" s="27" t="s">
        <v>8</v>
      </c>
      <c r="JF643" s="27" t="s">
        <v>7</v>
      </c>
      <c r="JG643" s="27" t="s">
        <v>8</v>
      </c>
      <c r="JH643" s="27" t="s">
        <v>7</v>
      </c>
      <c r="JI643" s="27" t="s">
        <v>8</v>
      </c>
      <c r="JJ643" s="27" t="s">
        <v>7</v>
      </c>
      <c r="JL643" s="27" t="s">
        <v>7</v>
      </c>
      <c r="JM643" s="27" t="s">
        <v>8</v>
      </c>
      <c r="JR643" s="27" t="s">
        <v>7</v>
      </c>
      <c r="JS643" s="27" t="s">
        <v>8</v>
      </c>
    </row>
    <row r="644" spans="1:279" x14ac:dyDescent="0.25">
      <c r="A644" s="7">
        <v>0.32343737942449713</v>
      </c>
      <c r="B644"/>
      <c r="C644"/>
      <c r="D644"/>
      <c r="E644"/>
      <c r="F644" s="27" t="s">
        <v>7</v>
      </c>
      <c r="EQ644" s="27" t="s">
        <v>8</v>
      </c>
      <c r="EX644" s="27" t="s">
        <v>7</v>
      </c>
      <c r="EY644" s="27" t="s">
        <v>8</v>
      </c>
      <c r="FD644" s="27" t="s">
        <v>7</v>
      </c>
      <c r="FF644" s="27" t="s">
        <v>7</v>
      </c>
      <c r="FG644" s="27" t="s">
        <v>8</v>
      </c>
      <c r="FH644" s="27" t="s">
        <v>7</v>
      </c>
      <c r="FJ644" s="27" t="s">
        <v>7</v>
      </c>
      <c r="FK644" s="27" t="s">
        <v>8</v>
      </c>
      <c r="FL644" s="27" t="s">
        <v>7</v>
      </c>
      <c r="FM644" s="27" t="s">
        <v>8</v>
      </c>
      <c r="FN644" s="27" t="s">
        <v>7</v>
      </c>
      <c r="FS644" s="27" t="s">
        <v>8</v>
      </c>
      <c r="GB644" s="27" t="s">
        <v>7</v>
      </c>
      <c r="GC644" s="27" t="s">
        <v>8</v>
      </c>
      <c r="GD644" s="27" t="s">
        <v>7</v>
      </c>
      <c r="HK644" s="27" t="s">
        <v>8</v>
      </c>
      <c r="HL644" s="27" t="s">
        <v>7</v>
      </c>
      <c r="HO644" s="27" t="s">
        <v>8</v>
      </c>
      <c r="HP644" s="27" t="s">
        <v>7</v>
      </c>
      <c r="HQ644" s="27" t="s">
        <v>8</v>
      </c>
      <c r="HR644" s="27" t="s">
        <v>7</v>
      </c>
      <c r="HS644" s="27" t="s">
        <v>8</v>
      </c>
      <c r="HT644" s="27" t="s">
        <v>7</v>
      </c>
      <c r="HU644" s="27" t="s">
        <v>8</v>
      </c>
      <c r="HV644" s="27" t="s">
        <v>7</v>
      </c>
      <c r="HW644" s="27" t="s">
        <v>8</v>
      </c>
      <c r="HY644" s="27" t="s">
        <v>8</v>
      </c>
      <c r="HZ644" s="27" t="s">
        <v>7</v>
      </c>
      <c r="IA644" s="27" t="s">
        <v>8</v>
      </c>
      <c r="IB644" s="27" t="s">
        <v>7</v>
      </c>
      <c r="IC644" s="27" t="s">
        <v>8</v>
      </c>
      <c r="ID644" s="27" t="s">
        <v>7</v>
      </c>
      <c r="IE644" s="27" t="s">
        <v>8</v>
      </c>
      <c r="IT644" s="27" t="s">
        <v>7</v>
      </c>
      <c r="IU644" s="27" t="s">
        <v>8</v>
      </c>
      <c r="IV644" s="27" t="s">
        <v>7</v>
      </c>
      <c r="IW644" s="27" t="s">
        <v>8</v>
      </c>
      <c r="IX644" s="27" t="s">
        <v>7</v>
      </c>
      <c r="JE644" s="27" t="s">
        <v>8</v>
      </c>
      <c r="JF644" s="27" t="s">
        <v>7</v>
      </c>
      <c r="JG644" s="27" t="s">
        <v>8</v>
      </c>
      <c r="JH644" s="27" t="s">
        <v>7</v>
      </c>
      <c r="JL644" s="27" t="s">
        <v>7</v>
      </c>
      <c r="JM644" s="27" t="s">
        <v>8</v>
      </c>
      <c r="JR644" s="27" t="s">
        <v>7</v>
      </c>
      <c r="JS644" s="27" t="s">
        <v>8</v>
      </c>
    </row>
    <row r="645" spans="1:279" x14ac:dyDescent="0.25">
      <c r="A645" s="7">
        <v>0.31709547002401678</v>
      </c>
      <c r="B645"/>
      <c r="C645"/>
      <c r="D645"/>
      <c r="E645"/>
      <c r="F645" s="27" t="s">
        <v>7</v>
      </c>
      <c r="EQ645" s="27" t="s">
        <v>8</v>
      </c>
      <c r="EX645" s="27" t="s">
        <v>7</v>
      </c>
      <c r="EY645" s="27" t="s">
        <v>8</v>
      </c>
      <c r="FF645" s="27" t="s">
        <v>7</v>
      </c>
      <c r="FG645" s="27" t="s">
        <v>8</v>
      </c>
      <c r="FJ645" s="27" t="s">
        <v>7</v>
      </c>
      <c r="FK645" s="27" t="s">
        <v>8</v>
      </c>
      <c r="FL645" s="27" t="s">
        <v>7</v>
      </c>
      <c r="FM645" s="27" t="s">
        <v>8</v>
      </c>
      <c r="FN645" s="27" t="s">
        <v>7</v>
      </c>
      <c r="FS645" s="27" t="s">
        <v>8</v>
      </c>
      <c r="GB645" s="27" t="s">
        <v>7</v>
      </c>
      <c r="GC645" s="27" t="s">
        <v>8</v>
      </c>
      <c r="GD645" s="27" t="s">
        <v>7</v>
      </c>
      <c r="GE645" s="27" t="s">
        <v>8</v>
      </c>
      <c r="HK645" s="27" t="s">
        <v>8</v>
      </c>
      <c r="HL645" s="27" t="s">
        <v>7</v>
      </c>
      <c r="HO645" s="27" t="s">
        <v>8</v>
      </c>
      <c r="HP645" s="27" t="s">
        <v>7</v>
      </c>
      <c r="HQ645" s="27" t="s">
        <v>8</v>
      </c>
      <c r="HR645" s="27" t="s">
        <v>7</v>
      </c>
      <c r="HS645" s="27" t="s">
        <v>8</v>
      </c>
      <c r="HT645" s="27" t="s">
        <v>7</v>
      </c>
      <c r="HU645" s="27" t="s">
        <v>8</v>
      </c>
      <c r="HV645" s="27" t="s">
        <v>7</v>
      </c>
      <c r="HW645" s="27" t="s">
        <v>8</v>
      </c>
      <c r="HX645" s="27" t="s">
        <v>7</v>
      </c>
      <c r="HY645" s="27" t="s">
        <v>8</v>
      </c>
      <c r="HZ645" s="27" t="s">
        <v>7</v>
      </c>
      <c r="IA645" s="27" t="s">
        <v>8</v>
      </c>
      <c r="IB645" s="27" t="s">
        <v>7</v>
      </c>
      <c r="IC645" s="27" t="s">
        <v>8</v>
      </c>
      <c r="ID645" s="27" t="s">
        <v>7</v>
      </c>
      <c r="IT645" s="27" t="s">
        <v>7</v>
      </c>
      <c r="IU645" s="27" t="s">
        <v>8</v>
      </c>
      <c r="IV645" s="27" t="s">
        <v>7</v>
      </c>
      <c r="IW645" s="27" t="s">
        <v>8</v>
      </c>
      <c r="IX645" s="27" t="s">
        <v>7</v>
      </c>
      <c r="IY645" s="27" t="s">
        <v>8</v>
      </c>
      <c r="JE645" s="27" t="s">
        <v>8</v>
      </c>
      <c r="JF645" s="27" t="s">
        <v>7</v>
      </c>
      <c r="JL645" s="27" t="s">
        <v>7</v>
      </c>
      <c r="JM645" s="27" t="s">
        <v>8</v>
      </c>
      <c r="JR645" s="27" t="s">
        <v>7</v>
      </c>
    </row>
    <row r="646" spans="1:279" x14ac:dyDescent="0.25">
      <c r="A646" s="7">
        <v>0.31087791178825175</v>
      </c>
      <c r="B646"/>
      <c r="C646"/>
      <c r="D646"/>
      <c r="E646"/>
      <c r="F646" s="27" t="s">
        <v>7</v>
      </c>
      <c r="EQ646" s="27" t="s">
        <v>8</v>
      </c>
      <c r="EX646" s="27" t="s">
        <v>7</v>
      </c>
      <c r="EY646" s="27" t="s">
        <v>8</v>
      </c>
      <c r="FF646" s="27" t="s">
        <v>7</v>
      </c>
      <c r="FG646" s="27" t="s">
        <v>8</v>
      </c>
      <c r="FJ646" s="27" t="s">
        <v>7</v>
      </c>
      <c r="FL646" s="27" t="s">
        <v>7</v>
      </c>
      <c r="FM646" s="27" t="s">
        <v>8</v>
      </c>
      <c r="FN646" s="27" t="s">
        <v>7</v>
      </c>
      <c r="FS646" s="27" t="s">
        <v>8</v>
      </c>
      <c r="GB646" s="27" t="s">
        <v>7</v>
      </c>
      <c r="GC646" s="27" t="s">
        <v>8</v>
      </c>
      <c r="GD646" s="27" t="s">
        <v>7</v>
      </c>
      <c r="GE646" s="27" t="s">
        <v>8</v>
      </c>
      <c r="GF646" s="27" t="s">
        <v>7</v>
      </c>
      <c r="HK646" s="27" t="s">
        <v>8</v>
      </c>
      <c r="HL646" s="27" t="s">
        <v>7</v>
      </c>
      <c r="HO646" s="27" t="s">
        <v>8</v>
      </c>
      <c r="HP646" s="27" t="s">
        <v>7</v>
      </c>
      <c r="HQ646" s="27" t="s">
        <v>8</v>
      </c>
      <c r="HR646" s="27" t="s">
        <v>7</v>
      </c>
      <c r="HT646" s="27" t="s">
        <v>7</v>
      </c>
      <c r="HU646" s="27" t="s">
        <v>8</v>
      </c>
      <c r="HV646" s="27" t="s">
        <v>7</v>
      </c>
      <c r="HW646" s="27" t="s">
        <v>8</v>
      </c>
      <c r="HX646" s="27" t="s">
        <v>7</v>
      </c>
      <c r="HY646" s="27" t="s">
        <v>8</v>
      </c>
      <c r="HZ646" s="27" t="s">
        <v>7</v>
      </c>
      <c r="IA646" s="27" t="s">
        <v>8</v>
      </c>
      <c r="IB646" s="27" t="s">
        <v>7</v>
      </c>
      <c r="IC646" s="27" t="s">
        <v>8</v>
      </c>
      <c r="IT646" s="27" t="s">
        <v>7</v>
      </c>
      <c r="IU646" s="27" t="s">
        <v>8</v>
      </c>
      <c r="IV646" s="27" t="s">
        <v>7</v>
      </c>
      <c r="IW646" s="27" t="s">
        <v>8</v>
      </c>
      <c r="IX646" s="27" t="s">
        <v>7</v>
      </c>
      <c r="IY646" s="27" t="s">
        <v>8</v>
      </c>
      <c r="IZ646" s="27" t="s">
        <v>7</v>
      </c>
      <c r="JE646" s="27" t="s">
        <v>8</v>
      </c>
      <c r="JL646" s="27" t="s">
        <v>7</v>
      </c>
      <c r="JM646" s="27" t="s">
        <v>8</v>
      </c>
    </row>
    <row r="647" spans="1:279" x14ac:dyDescent="0.25">
      <c r="A647" s="7">
        <v>0.30478226645907036</v>
      </c>
      <c r="B647"/>
      <c r="C647"/>
      <c r="D647"/>
      <c r="E647"/>
      <c r="F647" s="27" t="s">
        <v>7</v>
      </c>
      <c r="EQ647" s="27" t="s">
        <v>8</v>
      </c>
      <c r="EX647" s="27" t="s">
        <v>7</v>
      </c>
      <c r="EY647" s="27" t="s">
        <v>8</v>
      </c>
      <c r="FF647" s="27" t="s">
        <v>7</v>
      </c>
      <c r="FG647" s="27" t="s">
        <v>8</v>
      </c>
      <c r="FL647" s="27" t="s">
        <v>7</v>
      </c>
      <c r="FM647" s="27" t="s">
        <v>8</v>
      </c>
      <c r="FN647" s="27" t="s">
        <v>7</v>
      </c>
      <c r="FO647" s="27" t="s">
        <v>8</v>
      </c>
      <c r="FS647" s="27" t="s">
        <v>8</v>
      </c>
      <c r="GB647" s="27" t="s">
        <v>7</v>
      </c>
      <c r="GC647" s="27" t="s">
        <v>8</v>
      </c>
      <c r="GD647" s="27" t="s">
        <v>7</v>
      </c>
      <c r="GE647" s="27" t="s">
        <v>8</v>
      </c>
      <c r="GF647" s="27" t="s">
        <v>7</v>
      </c>
      <c r="HK647" s="27" t="s">
        <v>8</v>
      </c>
      <c r="HL647" s="27" t="s">
        <v>7</v>
      </c>
      <c r="HO647" s="27" t="s">
        <v>8</v>
      </c>
      <c r="HP647" s="27" t="s">
        <v>7</v>
      </c>
      <c r="HT647" s="27" t="s">
        <v>7</v>
      </c>
      <c r="HU647" s="27" t="s">
        <v>8</v>
      </c>
      <c r="HV647" s="27" t="s">
        <v>7</v>
      </c>
      <c r="HW647" s="27" t="s">
        <v>8</v>
      </c>
      <c r="HX647" s="27" t="s">
        <v>7</v>
      </c>
      <c r="HY647" s="27" t="s">
        <v>8</v>
      </c>
      <c r="HZ647" s="27" t="s">
        <v>7</v>
      </c>
      <c r="IA647" s="27" t="s">
        <v>8</v>
      </c>
      <c r="IB647" s="27" t="s">
        <v>7</v>
      </c>
      <c r="IT647" s="27" t="s">
        <v>7</v>
      </c>
      <c r="IU647" s="27" t="s">
        <v>8</v>
      </c>
      <c r="IV647" s="27" t="s">
        <v>7</v>
      </c>
      <c r="IW647" s="27" t="s">
        <v>8</v>
      </c>
      <c r="IX647" s="27" t="s">
        <v>7</v>
      </c>
      <c r="IY647" s="27" t="s">
        <v>8</v>
      </c>
      <c r="IZ647" s="27" t="s">
        <v>7</v>
      </c>
      <c r="JE647" s="27" t="s">
        <v>8</v>
      </c>
      <c r="JL647" s="27" t="s">
        <v>7</v>
      </c>
    </row>
    <row r="648" spans="1:279" x14ac:dyDescent="0.25">
      <c r="A648" s="7">
        <v>0.29880614358732388</v>
      </c>
      <c r="B648"/>
      <c r="C648"/>
      <c r="D648"/>
      <c r="E648"/>
      <c r="F648" s="27" t="s">
        <v>7</v>
      </c>
      <c r="EQ648" s="27" t="s">
        <v>8</v>
      </c>
      <c r="EX648" s="27" t="s">
        <v>7</v>
      </c>
      <c r="EY648" s="27" t="s">
        <v>8</v>
      </c>
      <c r="FF648" s="27" t="s">
        <v>7</v>
      </c>
      <c r="FG648" s="27" t="s">
        <v>8</v>
      </c>
      <c r="FL648" s="27" t="s">
        <v>7</v>
      </c>
      <c r="FM648" s="27" t="s">
        <v>8</v>
      </c>
      <c r="FN648" s="27" t="s">
        <v>7</v>
      </c>
      <c r="FO648" s="27" t="s">
        <v>8</v>
      </c>
      <c r="FP648" s="27" t="s">
        <v>7</v>
      </c>
      <c r="FS648" s="27" t="s">
        <v>8</v>
      </c>
      <c r="GB648" s="27" t="s">
        <v>7</v>
      </c>
      <c r="GC648" s="27" t="s">
        <v>8</v>
      </c>
      <c r="GD648" s="27" t="s">
        <v>7</v>
      </c>
      <c r="GE648" s="27" t="s">
        <v>8</v>
      </c>
      <c r="GF648" s="27" t="s">
        <v>7</v>
      </c>
      <c r="HK648" s="27" t="s">
        <v>8</v>
      </c>
      <c r="HL648" s="27" t="s">
        <v>7</v>
      </c>
      <c r="HO648" s="27" t="s">
        <v>8</v>
      </c>
      <c r="HT648" s="27" t="s">
        <v>7</v>
      </c>
      <c r="HV648" s="27" t="s">
        <v>7</v>
      </c>
      <c r="HW648" s="27" t="s">
        <v>8</v>
      </c>
      <c r="HX648" s="27" t="s">
        <v>7</v>
      </c>
      <c r="HZ648" s="27" t="s">
        <v>7</v>
      </c>
      <c r="IT648" s="27" t="s">
        <v>7</v>
      </c>
      <c r="IU648" s="27" t="s">
        <v>8</v>
      </c>
      <c r="IV648" s="27" t="s">
        <v>7</v>
      </c>
      <c r="IW648" s="27" t="s">
        <v>8</v>
      </c>
      <c r="IX648" s="27" t="s">
        <v>7</v>
      </c>
      <c r="IY648" s="27" t="s">
        <v>8</v>
      </c>
      <c r="IZ648" s="27" t="s">
        <v>7</v>
      </c>
      <c r="JE648" s="27" t="s">
        <v>8</v>
      </c>
    </row>
    <row r="649" spans="1:279" x14ac:dyDescent="0.25">
      <c r="A649" s="7">
        <v>0.2929471995954156</v>
      </c>
      <c r="B649"/>
      <c r="C649"/>
      <c r="D649"/>
      <c r="E649"/>
      <c r="F649" s="27" t="s">
        <v>7</v>
      </c>
      <c r="EQ649" s="27" t="s">
        <v>8</v>
      </c>
      <c r="EX649" s="27" t="s">
        <v>7</v>
      </c>
      <c r="EY649" s="27" t="s">
        <v>8</v>
      </c>
      <c r="FF649" s="27" t="s">
        <v>7</v>
      </c>
      <c r="FG649" s="27" t="s">
        <v>8</v>
      </c>
      <c r="FL649" s="27" t="s">
        <v>7</v>
      </c>
      <c r="FM649" s="27" t="s">
        <v>8</v>
      </c>
      <c r="FN649" s="27" t="s">
        <v>7</v>
      </c>
      <c r="FO649" s="27" t="s">
        <v>8</v>
      </c>
      <c r="FP649" s="27" t="s">
        <v>7</v>
      </c>
      <c r="FS649" s="27" t="s">
        <v>8</v>
      </c>
      <c r="GB649" s="27" t="s">
        <v>7</v>
      </c>
      <c r="GC649" s="27" t="s">
        <v>8</v>
      </c>
      <c r="GD649" s="27" t="s">
        <v>7</v>
      </c>
      <c r="GE649" s="27" t="s">
        <v>8</v>
      </c>
      <c r="GF649" s="27" t="s">
        <v>7</v>
      </c>
      <c r="HK649" s="27" t="s">
        <v>8</v>
      </c>
      <c r="HL649" s="27" t="s">
        <v>7</v>
      </c>
      <c r="HO649" s="27" t="s">
        <v>8</v>
      </c>
      <c r="HV649" s="27" t="s">
        <v>7</v>
      </c>
      <c r="IT649" s="27" t="s">
        <v>7</v>
      </c>
      <c r="IU649" s="27" t="s">
        <v>8</v>
      </c>
      <c r="IV649" s="27" t="s">
        <v>7</v>
      </c>
      <c r="IW649" s="27" t="s">
        <v>8</v>
      </c>
      <c r="IX649" s="27" t="s">
        <v>7</v>
      </c>
      <c r="IY649" s="27" t="s">
        <v>8</v>
      </c>
      <c r="IZ649" s="27" t="s">
        <v>7</v>
      </c>
      <c r="JA649" s="27" t="s">
        <v>8</v>
      </c>
      <c r="JE649" s="27" t="s">
        <v>8</v>
      </c>
    </row>
    <row r="650" spans="1:279" x14ac:dyDescent="0.25">
      <c r="A650" s="7">
        <v>0.28720313685825055</v>
      </c>
      <c r="B650"/>
      <c r="C650"/>
      <c r="D650"/>
      <c r="E650"/>
      <c r="F650" s="27" t="s">
        <v>7</v>
      </c>
      <c r="EQ650" s="27" t="s">
        <v>8</v>
      </c>
      <c r="EX650" s="27" t="s">
        <v>7</v>
      </c>
      <c r="EY650" s="27" t="s">
        <v>8</v>
      </c>
      <c r="FF650" s="27" t="s">
        <v>7</v>
      </c>
      <c r="FL650" s="27" t="s">
        <v>7</v>
      </c>
      <c r="FM650" s="27" t="s">
        <v>8</v>
      </c>
      <c r="FN650" s="27" t="s">
        <v>7</v>
      </c>
      <c r="FO650" s="27" t="s">
        <v>8</v>
      </c>
      <c r="FP650" s="27" t="s">
        <v>7</v>
      </c>
      <c r="FS650" s="27" t="s">
        <v>8</v>
      </c>
      <c r="GB650" s="27" t="s">
        <v>7</v>
      </c>
      <c r="GC650" s="27" t="s">
        <v>8</v>
      </c>
      <c r="GD650" s="27" t="s">
        <v>7</v>
      </c>
      <c r="GE650" s="27" t="s">
        <v>8</v>
      </c>
      <c r="GF650" s="27" t="s">
        <v>7</v>
      </c>
      <c r="HK650" s="27" t="s">
        <v>8</v>
      </c>
      <c r="HL650" s="27" t="s">
        <v>7</v>
      </c>
      <c r="HO650" s="27" t="s">
        <v>8</v>
      </c>
      <c r="IT650" s="27" t="s">
        <v>7</v>
      </c>
      <c r="IV650" s="27" t="s">
        <v>7</v>
      </c>
      <c r="IW650" s="27" t="s">
        <v>8</v>
      </c>
      <c r="IX650" s="27" t="s">
        <v>7</v>
      </c>
      <c r="IY650" s="27" t="s">
        <v>8</v>
      </c>
      <c r="IZ650" s="27" t="s">
        <v>7</v>
      </c>
      <c r="JA650" s="27" t="s">
        <v>8</v>
      </c>
      <c r="JB650" s="27" t="s">
        <v>7</v>
      </c>
      <c r="JE650" s="27" t="s">
        <v>8</v>
      </c>
    </row>
    <row r="651" spans="1:279" x14ac:dyDescent="0.25">
      <c r="A651" s="7">
        <v>0.28157170280220645</v>
      </c>
      <c r="B651"/>
      <c r="C651"/>
      <c r="D651"/>
      <c r="E651"/>
      <c r="F651" s="27" t="s">
        <v>7</v>
      </c>
      <c r="EQ651" s="27" t="s">
        <v>8</v>
      </c>
      <c r="EX651" s="27" t="s">
        <v>7</v>
      </c>
      <c r="EY651" s="27" t="s">
        <v>8</v>
      </c>
      <c r="FL651" s="27" t="s">
        <v>7</v>
      </c>
      <c r="FM651" s="27" t="s">
        <v>8</v>
      </c>
      <c r="FN651" s="27" t="s">
        <v>7</v>
      </c>
      <c r="FO651" s="27" t="s">
        <v>8</v>
      </c>
      <c r="FP651" s="27" t="s">
        <v>7</v>
      </c>
      <c r="FS651" s="27" t="s">
        <v>8</v>
      </c>
      <c r="GB651" s="27" t="s">
        <v>7</v>
      </c>
      <c r="GC651" s="27" t="s">
        <v>8</v>
      </c>
      <c r="GD651" s="27" t="s">
        <v>7</v>
      </c>
      <c r="GE651" s="27" t="s">
        <v>8</v>
      </c>
      <c r="GF651" s="27" t="s">
        <v>7</v>
      </c>
      <c r="HK651" s="27" t="s">
        <v>8</v>
      </c>
      <c r="HL651" s="27" t="s">
        <v>7</v>
      </c>
      <c r="HM651" s="27" t="s">
        <v>8</v>
      </c>
      <c r="HO651" s="27" t="s">
        <v>8</v>
      </c>
      <c r="IV651" s="27" t="s">
        <v>7</v>
      </c>
      <c r="IX651" s="27" t="s">
        <v>7</v>
      </c>
      <c r="IY651" s="27" t="s">
        <v>8</v>
      </c>
      <c r="IZ651" s="27" t="s">
        <v>7</v>
      </c>
      <c r="JA651" s="27" t="s">
        <v>8</v>
      </c>
      <c r="JB651" s="27" t="s">
        <v>7</v>
      </c>
      <c r="JC651" s="27" t="s">
        <v>8</v>
      </c>
      <c r="JE651" s="27" t="s">
        <v>8</v>
      </c>
    </row>
    <row r="652" spans="1:279" x14ac:dyDescent="0.25">
      <c r="A652" s="7">
        <v>0.27605068902177105</v>
      </c>
      <c r="B652"/>
      <c r="C652"/>
      <c r="D652"/>
      <c r="E652"/>
      <c r="F652" s="27" t="s">
        <v>7</v>
      </c>
      <c r="EQ652" s="27" t="s">
        <v>8</v>
      </c>
      <c r="EX652" s="27" t="s">
        <v>7</v>
      </c>
      <c r="EY652" s="27" t="s">
        <v>8</v>
      </c>
      <c r="FL652" s="27" t="s">
        <v>7</v>
      </c>
      <c r="FN652" s="27" t="s">
        <v>7</v>
      </c>
      <c r="FO652" s="27" t="s">
        <v>8</v>
      </c>
      <c r="FP652" s="27" t="s">
        <v>7</v>
      </c>
      <c r="FQ652" s="27" t="s">
        <v>8</v>
      </c>
      <c r="FS652" s="27" t="s">
        <v>8</v>
      </c>
      <c r="GB652" s="27" t="s">
        <v>7</v>
      </c>
      <c r="GD652" s="27" t="s">
        <v>7</v>
      </c>
      <c r="GE652" s="27" t="s">
        <v>8</v>
      </c>
      <c r="GF652" s="27" t="s">
        <v>7</v>
      </c>
      <c r="HK652" s="27" t="s">
        <v>8</v>
      </c>
      <c r="HL652" s="27" t="s">
        <v>7</v>
      </c>
      <c r="HM652" s="27" t="s">
        <v>8</v>
      </c>
      <c r="HN652" s="27" t="s">
        <v>7</v>
      </c>
      <c r="HO652" s="27" t="s">
        <v>8</v>
      </c>
      <c r="IX652" s="27" t="s">
        <v>7</v>
      </c>
      <c r="IY652" s="27" t="s">
        <v>8</v>
      </c>
      <c r="IZ652" s="27" t="s">
        <v>7</v>
      </c>
      <c r="JA652" s="27" t="s">
        <v>8</v>
      </c>
      <c r="JB652" s="27" t="s">
        <v>7</v>
      </c>
      <c r="JC652" s="27" t="s">
        <v>8</v>
      </c>
      <c r="JD652" s="27" t="s">
        <v>7</v>
      </c>
      <c r="JE652" s="27" t="s">
        <v>8</v>
      </c>
    </row>
    <row r="653" spans="1:279" x14ac:dyDescent="0.25">
      <c r="A653" s="7">
        <v>0.27063793041350104</v>
      </c>
      <c r="B653"/>
      <c r="C653"/>
      <c r="D653"/>
      <c r="E653"/>
      <c r="F653" s="27" t="s">
        <v>7</v>
      </c>
      <c r="EQ653" s="27" t="s">
        <v>8</v>
      </c>
      <c r="EX653" s="27" t="s">
        <v>7</v>
      </c>
      <c r="FN653" s="27" t="s">
        <v>7</v>
      </c>
      <c r="FO653" s="27" t="s">
        <v>8</v>
      </c>
      <c r="FP653" s="27" t="s">
        <v>7</v>
      </c>
      <c r="FQ653" s="27" t="s">
        <v>8</v>
      </c>
      <c r="FR653" s="27" t="s">
        <v>7</v>
      </c>
      <c r="FS653" s="27" t="s">
        <v>8</v>
      </c>
      <c r="GD653" s="27" t="s">
        <v>7</v>
      </c>
      <c r="GE653" s="27" t="s">
        <v>8</v>
      </c>
      <c r="GF653" s="27" t="s">
        <v>7</v>
      </c>
      <c r="HK653" s="27" t="s">
        <v>8</v>
      </c>
      <c r="HL653" s="27" t="s">
        <v>7</v>
      </c>
      <c r="HM653" s="27" t="s">
        <v>8</v>
      </c>
      <c r="HN653" s="27" t="s">
        <v>7</v>
      </c>
      <c r="HO653" s="27" t="s">
        <v>8</v>
      </c>
      <c r="IX653" s="27" t="s">
        <v>7</v>
      </c>
      <c r="IY653" s="27" t="s">
        <v>8</v>
      </c>
      <c r="IZ653" s="27" t="s">
        <v>7</v>
      </c>
      <c r="JB653" s="27" t="s">
        <v>7</v>
      </c>
      <c r="JC653" s="27" t="s">
        <v>8</v>
      </c>
      <c r="JD653" s="27" t="s">
        <v>7</v>
      </c>
      <c r="JE653" s="27" t="s">
        <v>8</v>
      </c>
    </row>
    <row r="654" spans="1:279" x14ac:dyDescent="0.25">
      <c r="A654" s="7">
        <v>0.26533130432696184</v>
      </c>
      <c r="B654"/>
      <c r="C654"/>
      <c r="D654"/>
      <c r="E654"/>
      <c r="F654" s="27" t="s">
        <v>7</v>
      </c>
      <c r="EQ654" s="27" t="s">
        <v>8</v>
      </c>
      <c r="FN654" s="27" t="s">
        <v>7</v>
      </c>
      <c r="FO654" s="27" t="s">
        <v>8</v>
      </c>
      <c r="FP654" s="27" t="s">
        <v>7</v>
      </c>
      <c r="FQ654" s="27" t="s">
        <v>8</v>
      </c>
      <c r="FR654" s="27" t="s">
        <v>7</v>
      </c>
      <c r="FS654" s="27" t="s">
        <v>8</v>
      </c>
      <c r="GD654" s="27" t="s">
        <v>7</v>
      </c>
      <c r="GF654" s="27" t="s">
        <v>7</v>
      </c>
      <c r="HK654" s="27" t="s">
        <v>8</v>
      </c>
      <c r="HL654" s="27" t="s">
        <v>7</v>
      </c>
      <c r="HM654" s="27" t="s">
        <v>8</v>
      </c>
      <c r="HN654" s="27" t="s">
        <v>7</v>
      </c>
      <c r="HO654" s="27" t="s">
        <v>8</v>
      </c>
      <c r="IX654" s="27" t="s">
        <v>7</v>
      </c>
      <c r="IY654" s="27" t="s">
        <v>8</v>
      </c>
      <c r="JB654" s="27" t="s">
        <v>7</v>
      </c>
      <c r="JC654" s="27" t="s">
        <v>8</v>
      </c>
      <c r="JD654" s="27" t="s">
        <v>7</v>
      </c>
      <c r="JE654" s="27" t="s">
        <v>8</v>
      </c>
    </row>
    <row r="655" spans="1:279" x14ac:dyDescent="0.25">
      <c r="A655" s="7">
        <v>0.26012872973231554</v>
      </c>
      <c r="B655"/>
      <c r="C655"/>
      <c r="D655"/>
      <c r="E655"/>
      <c r="F655" s="27" t="s">
        <v>7</v>
      </c>
      <c r="EQ655" s="27" t="s">
        <v>8</v>
      </c>
      <c r="FN655" s="27" t="s">
        <v>7</v>
      </c>
      <c r="FO655" s="27" t="s">
        <v>8</v>
      </c>
      <c r="FP655" s="27" t="s">
        <v>7</v>
      </c>
      <c r="FQ655" s="27" t="s">
        <v>8</v>
      </c>
      <c r="FR655" s="27" t="s">
        <v>7</v>
      </c>
      <c r="FS655" s="27" t="s">
        <v>8</v>
      </c>
      <c r="GF655" s="27" t="s">
        <v>7</v>
      </c>
      <c r="HK655" s="27" t="s">
        <v>8</v>
      </c>
      <c r="HL655" s="27" t="s">
        <v>7</v>
      </c>
      <c r="HM655" s="27" t="s">
        <v>8</v>
      </c>
      <c r="HN655" s="27" t="s">
        <v>7</v>
      </c>
      <c r="HO655" s="27" t="s">
        <v>8</v>
      </c>
      <c r="IX655" s="27" t="s">
        <v>7</v>
      </c>
      <c r="IY655" s="27" t="s">
        <v>8</v>
      </c>
      <c r="JB655" s="27" t="s">
        <v>7</v>
      </c>
      <c r="JC655" s="27" t="s">
        <v>8</v>
      </c>
      <c r="JD655" s="27" t="s">
        <v>7</v>
      </c>
      <c r="JE655" s="27" t="s">
        <v>8</v>
      </c>
    </row>
    <row r="656" spans="1:279" x14ac:dyDescent="0.25">
      <c r="A656" s="7">
        <v>0.25502816640423093</v>
      </c>
      <c r="B656"/>
      <c r="C656"/>
      <c r="D656"/>
      <c r="E656"/>
      <c r="F656" s="27" t="s">
        <v>7</v>
      </c>
      <c r="EQ656" s="27" t="s">
        <v>8</v>
      </c>
      <c r="FN656" s="27" t="s">
        <v>7</v>
      </c>
      <c r="FO656" s="27" t="s">
        <v>8</v>
      </c>
      <c r="FP656" s="27" t="s">
        <v>7</v>
      </c>
      <c r="FQ656" s="27" t="s">
        <v>8</v>
      </c>
      <c r="FR656" s="27" t="s">
        <v>7</v>
      </c>
      <c r="FS656" s="27" t="s">
        <v>8</v>
      </c>
      <c r="GF656" s="27" t="s">
        <v>7</v>
      </c>
      <c r="GG656" s="27" t="s">
        <v>8</v>
      </c>
      <c r="GM656" s="27" t="s">
        <v>8</v>
      </c>
      <c r="HK656" s="27" t="s">
        <v>8</v>
      </c>
      <c r="HL656" s="27" t="s">
        <v>7</v>
      </c>
      <c r="HM656" s="27" t="s">
        <v>8</v>
      </c>
      <c r="HN656" s="27" t="s">
        <v>7</v>
      </c>
      <c r="HO656" s="27" t="s">
        <v>8</v>
      </c>
      <c r="IX656" s="27" t="s">
        <v>7</v>
      </c>
      <c r="IY656" s="27" t="s">
        <v>8</v>
      </c>
      <c r="JB656" s="27" t="s">
        <v>7</v>
      </c>
      <c r="JC656" s="27" t="s">
        <v>8</v>
      </c>
      <c r="JD656" s="27" t="s">
        <v>7</v>
      </c>
    </row>
    <row r="657" spans="1:263" x14ac:dyDescent="0.25">
      <c r="A657" s="7">
        <v>0.25002761412179503</v>
      </c>
      <c r="B657"/>
      <c r="C657"/>
      <c r="D657"/>
      <c r="E657"/>
      <c r="F657" s="27" t="s">
        <v>7</v>
      </c>
      <c r="EQ657" s="27" t="s">
        <v>8</v>
      </c>
      <c r="FN657" s="27" t="s">
        <v>7</v>
      </c>
      <c r="FP657" s="27" t="s">
        <v>7</v>
      </c>
      <c r="FQ657" s="27" t="s">
        <v>8</v>
      </c>
      <c r="FR657" s="27" t="s">
        <v>7</v>
      </c>
      <c r="FS657" s="27" t="s">
        <v>8</v>
      </c>
      <c r="GF657" s="27" t="s">
        <v>7</v>
      </c>
      <c r="GG657" s="27" t="s">
        <v>8</v>
      </c>
      <c r="GH657" s="27" t="s">
        <v>7</v>
      </c>
      <c r="GK657" s="27" t="s">
        <v>8</v>
      </c>
      <c r="GM657" s="27" t="s">
        <v>8</v>
      </c>
      <c r="GN657" s="27" t="s">
        <v>7</v>
      </c>
      <c r="HK657" s="27" t="s">
        <v>8</v>
      </c>
      <c r="HL657" s="27" t="s">
        <v>7</v>
      </c>
      <c r="HM657" s="27" t="s">
        <v>8</v>
      </c>
      <c r="HN657" s="27" t="s">
        <v>7</v>
      </c>
      <c r="HO657" s="27" t="s">
        <v>8</v>
      </c>
      <c r="IX657" s="27" t="s">
        <v>7</v>
      </c>
      <c r="IY657" s="27" t="s">
        <v>8</v>
      </c>
      <c r="JB657" s="27" t="s">
        <v>7</v>
      </c>
      <c r="JC657" s="27" t="s">
        <v>8</v>
      </c>
    </row>
    <row r="658" spans="1:263" x14ac:dyDescent="0.25">
      <c r="A658" s="7">
        <v>0.24512511188411276</v>
      </c>
      <c r="B658"/>
      <c r="C658"/>
      <c r="D658"/>
      <c r="E658"/>
      <c r="F658" s="27" t="s">
        <v>7</v>
      </c>
      <c r="EQ658" s="27" t="s">
        <v>8</v>
      </c>
      <c r="FP658" s="27" t="s">
        <v>7</v>
      </c>
      <c r="FQ658" s="27" t="s">
        <v>8</v>
      </c>
      <c r="FR658" s="27" t="s">
        <v>7</v>
      </c>
      <c r="FS658" s="27" t="s">
        <v>8</v>
      </c>
      <c r="GF658" s="27" t="s">
        <v>7</v>
      </c>
      <c r="GG658" s="27" t="s">
        <v>8</v>
      </c>
      <c r="GH658" s="27" t="s">
        <v>7</v>
      </c>
      <c r="GK658" s="27" t="s">
        <v>8</v>
      </c>
      <c r="GL658" s="27" t="s">
        <v>7</v>
      </c>
      <c r="GM658" s="27" t="s">
        <v>8</v>
      </c>
      <c r="GN658" s="27" t="s">
        <v>7</v>
      </c>
      <c r="HK658" s="27" t="s">
        <v>8</v>
      </c>
      <c r="HL658" s="27" t="s">
        <v>7</v>
      </c>
      <c r="HM658" s="27" t="s">
        <v>8</v>
      </c>
      <c r="HN658" s="27" t="s">
        <v>7</v>
      </c>
      <c r="HO658" s="27" t="s">
        <v>8</v>
      </c>
      <c r="IX658" s="27" t="s">
        <v>7</v>
      </c>
      <c r="JB658" s="27" t="s">
        <v>7</v>
      </c>
    </row>
    <row r="659" spans="1:263" x14ac:dyDescent="0.25">
      <c r="A659" s="7">
        <v>0.24031873714128701</v>
      </c>
      <c r="B659"/>
      <c r="C659"/>
      <c r="D659"/>
      <c r="E659"/>
      <c r="F659" s="27" t="s">
        <v>7</v>
      </c>
      <c r="EQ659" s="27" t="s">
        <v>8</v>
      </c>
      <c r="FP659" s="27" t="s">
        <v>7</v>
      </c>
      <c r="FQ659" s="27" t="s">
        <v>8</v>
      </c>
      <c r="FR659" s="27" t="s">
        <v>7</v>
      </c>
      <c r="FS659" s="27" t="s">
        <v>8</v>
      </c>
      <c r="GF659" s="27" t="s">
        <v>7</v>
      </c>
      <c r="GG659" s="27" t="s">
        <v>8</v>
      </c>
      <c r="GH659" s="27" t="s">
        <v>7</v>
      </c>
      <c r="GK659" s="27" t="s">
        <v>8</v>
      </c>
      <c r="GL659" s="27" t="s">
        <v>7</v>
      </c>
      <c r="GM659" s="27" t="s">
        <v>8</v>
      </c>
      <c r="GN659" s="27" t="s">
        <v>7</v>
      </c>
      <c r="HK659" s="27" t="s">
        <v>8</v>
      </c>
      <c r="HL659" s="27" t="s">
        <v>7</v>
      </c>
      <c r="HM659" s="27" t="s">
        <v>8</v>
      </c>
      <c r="HN659" s="27" t="s">
        <v>7</v>
      </c>
      <c r="HO659" s="27" t="s">
        <v>8</v>
      </c>
    </row>
    <row r="660" spans="1:263" x14ac:dyDescent="0.25">
      <c r="A660" s="7">
        <v>0.23560660504047748</v>
      </c>
      <c r="B660"/>
      <c r="C660"/>
      <c r="D660"/>
      <c r="E660"/>
      <c r="F660" s="27" t="s">
        <v>7</v>
      </c>
      <c r="EQ660" s="27" t="s">
        <v>8</v>
      </c>
      <c r="FP660" s="27" t="s">
        <v>7</v>
      </c>
      <c r="FQ660" s="27" t="s">
        <v>8</v>
      </c>
      <c r="FR660" s="27" t="s">
        <v>7</v>
      </c>
      <c r="FS660" s="27" t="s">
        <v>8</v>
      </c>
      <c r="GF660" s="27" t="s">
        <v>7</v>
      </c>
      <c r="GG660" s="27" t="s">
        <v>8</v>
      </c>
      <c r="GH660" s="27" t="s">
        <v>7</v>
      </c>
      <c r="GK660" s="27" t="s">
        <v>8</v>
      </c>
      <c r="GL660" s="27" t="s">
        <v>7</v>
      </c>
      <c r="GM660" s="27" t="s">
        <v>8</v>
      </c>
      <c r="GN660" s="27" t="s">
        <v>7</v>
      </c>
      <c r="GQ660" s="27" t="s">
        <v>8</v>
      </c>
      <c r="HK660" s="27" t="s">
        <v>8</v>
      </c>
      <c r="HL660" s="27" t="s">
        <v>7</v>
      </c>
      <c r="HM660" s="27" t="s">
        <v>8</v>
      </c>
      <c r="HN660" s="27" t="s">
        <v>7</v>
      </c>
      <c r="HO660" s="27" t="s">
        <v>8</v>
      </c>
    </row>
    <row r="661" spans="1:263" x14ac:dyDescent="0.25">
      <c r="A661" s="7">
        <v>0.23098686768674265</v>
      </c>
      <c r="B661"/>
      <c r="C661"/>
      <c r="D661"/>
      <c r="E661"/>
      <c r="F661" s="27" t="s">
        <v>7</v>
      </c>
      <c r="EQ661" s="27" t="s">
        <v>8</v>
      </c>
      <c r="FP661" s="27" t="s">
        <v>7</v>
      </c>
      <c r="FQ661" s="27" t="s">
        <v>8</v>
      </c>
      <c r="FR661" s="27" t="s">
        <v>7</v>
      </c>
      <c r="FS661" s="27" t="s">
        <v>8</v>
      </c>
      <c r="GF661" s="27" t="s">
        <v>7</v>
      </c>
      <c r="GG661" s="27" t="s">
        <v>8</v>
      </c>
      <c r="GH661" s="27" t="s">
        <v>7</v>
      </c>
      <c r="GK661" s="27" t="s">
        <v>8</v>
      </c>
      <c r="GL661" s="27" t="s">
        <v>7</v>
      </c>
      <c r="GM661" s="27" t="s">
        <v>8</v>
      </c>
      <c r="GN661" s="27" t="s">
        <v>7</v>
      </c>
      <c r="GQ661" s="27" t="s">
        <v>8</v>
      </c>
      <c r="GR661" s="27" t="s">
        <v>7</v>
      </c>
      <c r="HK661" s="27" t="s">
        <v>8</v>
      </c>
      <c r="HL661" s="27" t="s">
        <v>7</v>
      </c>
      <c r="HM661" s="27" t="s">
        <v>8</v>
      </c>
      <c r="HN661" s="27" t="s">
        <v>7</v>
      </c>
      <c r="HO661" s="27" t="s">
        <v>8</v>
      </c>
    </row>
    <row r="662" spans="1:263" x14ac:dyDescent="0.25">
      <c r="A662" s="7">
        <v>0.22645771341837515</v>
      </c>
      <c r="B662"/>
      <c r="C662"/>
      <c r="D662"/>
      <c r="E662"/>
      <c r="F662" s="27" t="s">
        <v>7</v>
      </c>
      <c r="EQ662" s="27" t="s">
        <v>8</v>
      </c>
      <c r="FP662" s="27" t="s">
        <v>7</v>
      </c>
      <c r="FQ662" s="27" t="s">
        <v>8</v>
      </c>
      <c r="FR662" s="27" t="s">
        <v>7</v>
      </c>
      <c r="FS662" s="27" t="s">
        <v>8</v>
      </c>
      <c r="GF662" s="27" t="s">
        <v>7</v>
      </c>
      <c r="GG662" s="27" t="s">
        <v>8</v>
      </c>
      <c r="GH662" s="27" t="s">
        <v>7</v>
      </c>
      <c r="GK662" s="27" t="s">
        <v>8</v>
      </c>
      <c r="GL662" s="27" t="s">
        <v>7</v>
      </c>
      <c r="GM662" s="27" t="s">
        <v>8</v>
      </c>
      <c r="GN662" s="27" t="s">
        <v>7</v>
      </c>
      <c r="GQ662" s="27" t="s">
        <v>8</v>
      </c>
      <c r="GR662" s="27" t="s">
        <v>7</v>
      </c>
      <c r="GU662" s="27" t="s">
        <v>8</v>
      </c>
      <c r="HK662" s="27" t="s">
        <v>8</v>
      </c>
      <c r="HL662" s="27" t="s">
        <v>7</v>
      </c>
      <c r="HM662" s="27" t="s">
        <v>8</v>
      </c>
      <c r="HN662" s="18" t="s">
        <v>7</v>
      </c>
      <c r="HO662" s="27" t="s">
        <v>8</v>
      </c>
    </row>
    <row r="663" spans="1:263" x14ac:dyDescent="0.25">
      <c r="A663" s="7">
        <v>0.22201736609644623</v>
      </c>
      <c r="B663"/>
      <c r="C663"/>
      <c r="D663"/>
      <c r="E663"/>
      <c r="F663" s="27" t="s">
        <v>7</v>
      </c>
      <c r="EQ663" s="27" t="s">
        <v>8</v>
      </c>
      <c r="FP663" s="27" t="s">
        <v>7</v>
      </c>
      <c r="FQ663" s="27" t="s">
        <v>8</v>
      </c>
      <c r="FR663" s="27" t="s">
        <v>7</v>
      </c>
      <c r="FS663" s="27" t="s">
        <v>8</v>
      </c>
      <c r="GF663" s="27" t="s">
        <v>7</v>
      </c>
      <c r="GG663" s="27" t="s">
        <v>8</v>
      </c>
      <c r="GH663" s="27" t="s">
        <v>7</v>
      </c>
      <c r="GK663" s="27" t="s">
        <v>8</v>
      </c>
      <c r="GL663" s="27" t="s">
        <v>7</v>
      </c>
      <c r="GM663" s="27" t="s">
        <v>8</v>
      </c>
      <c r="GN663" s="27" t="s">
        <v>7</v>
      </c>
      <c r="GQ663" s="27" t="s">
        <v>8</v>
      </c>
      <c r="GR663" s="27" t="s">
        <v>7</v>
      </c>
      <c r="GU663" s="27" t="s">
        <v>8</v>
      </c>
      <c r="GV663" s="27" t="s">
        <v>7</v>
      </c>
      <c r="HK663" s="27" t="s">
        <v>8</v>
      </c>
      <c r="HL663" s="27" t="s">
        <v>7</v>
      </c>
      <c r="HM663" s="27" t="s">
        <v>8</v>
      </c>
      <c r="HN663" s="27" t="s">
        <v>7</v>
      </c>
      <c r="HO663" s="27" t="s">
        <v>8</v>
      </c>
    </row>
    <row r="664" spans="1:263" x14ac:dyDescent="0.25">
      <c r="A664" s="7">
        <v>0.21766408440828061</v>
      </c>
      <c r="B664"/>
      <c r="C664"/>
      <c r="D664"/>
      <c r="E664"/>
      <c r="F664" s="27" t="s">
        <v>7</v>
      </c>
      <c r="EQ664" s="27" t="s">
        <v>8</v>
      </c>
      <c r="FP664" s="27" t="s">
        <v>7</v>
      </c>
      <c r="FQ664" s="27" t="s">
        <v>8</v>
      </c>
      <c r="FR664" s="27" t="s">
        <v>7</v>
      </c>
      <c r="FS664" s="27" t="s">
        <v>8</v>
      </c>
      <c r="GF664" s="27" t="s">
        <v>7</v>
      </c>
      <c r="GG664" s="27" t="s">
        <v>8</v>
      </c>
      <c r="GH664" s="27" t="s">
        <v>7</v>
      </c>
      <c r="GK664" s="27" t="s">
        <v>8</v>
      </c>
      <c r="GL664" s="27" t="s">
        <v>7</v>
      </c>
      <c r="GM664" s="27" t="s">
        <v>8</v>
      </c>
      <c r="GN664" s="27" t="s">
        <v>7</v>
      </c>
      <c r="GO664" s="27" t="s">
        <v>8</v>
      </c>
      <c r="GQ664" s="27" t="s">
        <v>8</v>
      </c>
      <c r="GR664" s="27" t="s">
        <v>7</v>
      </c>
      <c r="GU664" s="27" t="s">
        <v>8</v>
      </c>
      <c r="GV664" s="27" t="s">
        <v>7</v>
      </c>
      <c r="HK664" s="27" t="s">
        <v>8</v>
      </c>
      <c r="HL664" s="27" t="s">
        <v>7</v>
      </c>
      <c r="HM664" s="27" t="s">
        <v>8</v>
      </c>
      <c r="HN664" s="27" t="s">
        <v>7</v>
      </c>
      <c r="HO664" s="27" t="s">
        <v>8</v>
      </c>
    </row>
    <row r="665" spans="1:263" x14ac:dyDescent="0.25">
      <c r="A665" s="7">
        <v>0.21339616118458882</v>
      </c>
      <c r="B665"/>
      <c r="C665"/>
      <c r="D665"/>
      <c r="E665"/>
      <c r="F665" s="27" t="s">
        <v>7</v>
      </c>
      <c r="EQ665" s="27" t="s">
        <v>8</v>
      </c>
      <c r="FP665" s="27" t="s">
        <v>7</v>
      </c>
      <c r="FQ665" s="27" t="s">
        <v>8</v>
      </c>
      <c r="FR665" s="27" t="s">
        <v>7</v>
      </c>
      <c r="GF665" s="27" t="s">
        <v>7</v>
      </c>
      <c r="GG665" s="27" t="s">
        <v>8</v>
      </c>
      <c r="GH665" s="27" t="s">
        <v>7</v>
      </c>
      <c r="GK665" s="27" t="s">
        <v>8</v>
      </c>
      <c r="GL665" s="27" t="s">
        <v>7</v>
      </c>
      <c r="GM665" s="27" t="s">
        <v>8</v>
      </c>
      <c r="GN665" s="27" t="s">
        <v>7</v>
      </c>
      <c r="GO665" s="27" t="s">
        <v>8</v>
      </c>
      <c r="GP665" s="27" t="s">
        <v>7</v>
      </c>
      <c r="GQ665" s="27" t="s">
        <v>8</v>
      </c>
      <c r="GR665" s="27" t="s">
        <v>7</v>
      </c>
      <c r="GU665" s="27" t="s">
        <v>8</v>
      </c>
      <c r="GV665" s="27" t="s">
        <v>7</v>
      </c>
      <c r="GY665" s="27" t="s">
        <v>8</v>
      </c>
      <c r="HK665" s="27" t="s">
        <v>8</v>
      </c>
      <c r="HL665" s="27" t="s">
        <v>7</v>
      </c>
      <c r="HM665" s="27" t="s">
        <v>8</v>
      </c>
      <c r="HN665" s="27" t="s">
        <v>7</v>
      </c>
      <c r="HO665" s="27" t="s">
        <v>8</v>
      </c>
    </row>
    <row r="666" spans="1:263" x14ac:dyDescent="0.25">
      <c r="A666" s="7">
        <v>0.20921192272998904</v>
      </c>
      <c r="B666"/>
      <c r="C666"/>
      <c r="D666"/>
      <c r="E666"/>
      <c r="F666" s="27" t="s">
        <v>7</v>
      </c>
      <c r="EQ666" s="27" t="s">
        <v>8</v>
      </c>
      <c r="FP666" s="27" t="s">
        <v>7</v>
      </c>
      <c r="FQ666" s="27" t="s">
        <v>8</v>
      </c>
      <c r="GF666" s="27" t="s">
        <v>7</v>
      </c>
      <c r="GG666" s="27" t="s">
        <v>8</v>
      </c>
      <c r="GH666" s="27" t="s">
        <v>7</v>
      </c>
      <c r="GK666" s="27" t="s">
        <v>8</v>
      </c>
      <c r="GL666" s="27" t="s">
        <v>7</v>
      </c>
      <c r="GM666" s="27" t="s">
        <v>8</v>
      </c>
      <c r="GN666" s="27" t="s">
        <v>7</v>
      </c>
      <c r="GO666" s="27" t="s">
        <v>8</v>
      </c>
      <c r="GP666" s="27" t="s">
        <v>7</v>
      </c>
      <c r="GQ666" s="27" t="s">
        <v>8</v>
      </c>
      <c r="GR666" s="27" t="s">
        <v>7</v>
      </c>
      <c r="GS666" s="27" t="s">
        <v>8</v>
      </c>
      <c r="GU666" s="27" t="s">
        <v>8</v>
      </c>
      <c r="GV666" s="27" t="s">
        <v>7</v>
      </c>
      <c r="GY666" s="27" t="s">
        <v>8</v>
      </c>
      <c r="GZ666" s="27" t="s">
        <v>7</v>
      </c>
      <c r="HK666" s="27" t="s">
        <v>8</v>
      </c>
      <c r="HL666" s="27" t="s">
        <v>7</v>
      </c>
      <c r="HM666" s="27" t="s">
        <v>8</v>
      </c>
      <c r="HN666" s="27" t="s">
        <v>7</v>
      </c>
      <c r="HO666" s="27" t="s">
        <v>8</v>
      </c>
    </row>
    <row r="667" spans="1:263" x14ac:dyDescent="0.25">
      <c r="A667" s="7">
        <v>0.20510972816665593</v>
      </c>
      <c r="B667"/>
      <c r="C667"/>
      <c r="D667"/>
      <c r="E667"/>
      <c r="F667" s="27" t="s">
        <v>7</v>
      </c>
      <c r="EQ667" s="27" t="s">
        <v>8</v>
      </c>
      <c r="FP667" s="27" t="s">
        <v>7</v>
      </c>
      <c r="FQ667" s="27" t="s">
        <v>8</v>
      </c>
      <c r="GF667" s="27" t="s">
        <v>7</v>
      </c>
      <c r="GG667" s="27" t="s">
        <v>8</v>
      </c>
      <c r="GH667" s="27" t="s">
        <v>7</v>
      </c>
      <c r="GK667" s="27" t="s">
        <v>8</v>
      </c>
      <c r="GL667" s="27" t="s">
        <v>7</v>
      </c>
      <c r="GN667" s="27" t="s">
        <v>7</v>
      </c>
      <c r="GO667" s="27" t="s">
        <v>8</v>
      </c>
      <c r="GP667" s="27" t="s">
        <v>7</v>
      </c>
      <c r="GQ667" s="27" t="s">
        <v>8</v>
      </c>
      <c r="GR667" s="27" t="s">
        <v>7</v>
      </c>
      <c r="GS667" s="27" t="s">
        <v>8</v>
      </c>
      <c r="GT667" s="27" t="s">
        <v>7</v>
      </c>
      <c r="GU667" s="27" t="s">
        <v>8</v>
      </c>
      <c r="GV667" s="27" t="s">
        <v>7</v>
      </c>
      <c r="GY667" s="27" t="s">
        <v>8</v>
      </c>
      <c r="GZ667" s="27" t="s">
        <v>7</v>
      </c>
      <c r="HK667" s="27" t="s">
        <v>8</v>
      </c>
      <c r="HL667" s="27" t="s">
        <v>7</v>
      </c>
      <c r="HM667" s="27" t="s">
        <v>8</v>
      </c>
      <c r="HN667" s="27" t="s">
        <v>7</v>
      </c>
      <c r="HO667" s="27" t="s">
        <v>8</v>
      </c>
    </row>
    <row r="668" spans="1:263" x14ac:dyDescent="0.25">
      <c r="A668" s="7">
        <v>0.20108796879083912</v>
      </c>
      <c r="B668"/>
      <c r="C668"/>
      <c r="D668"/>
      <c r="E668"/>
      <c r="F668" s="27" t="s">
        <v>7</v>
      </c>
      <c r="EQ668" s="27" t="s">
        <v>8</v>
      </c>
      <c r="FP668" s="27" t="s">
        <v>7</v>
      </c>
      <c r="FQ668" s="27" t="s">
        <v>8</v>
      </c>
      <c r="GF668" s="27" t="s">
        <v>7</v>
      </c>
      <c r="GG668" s="27" t="s">
        <v>8</v>
      </c>
      <c r="GH668" s="27" t="s">
        <v>7</v>
      </c>
      <c r="GK668" s="27" t="s">
        <v>8</v>
      </c>
      <c r="GN668" s="27" t="s">
        <v>7</v>
      </c>
      <c r="GO668" s="27" t="s">
        <v>8</v>
      </c>
      <c r="GP668" s="27" t="s">
        <v>7</v>
      </c>
      <c r="GQ668" s="27" t="s">
        <v>8</v>
      </c>
      <c r="GR668" s="27" t="s">
        <v>7</v>
      </c>
      <c r="GS668" s="27" t="s">
        <v>8</v>
      </c>
      <c r="GT668" s="27" t="s">
        <v>7</v>
      </c>
      <c r="GU668" s="27" t="s">
        <v>8</v>
      </c>
      <c r="GV668" s="27" t="s">
        <v>7</v>
      </c>
      <c r="GW668" s="27" t="s">
        <v>8</v>
      </c>
      <c r="GY668" s="27" t="s">
        <v>8</v>
      </c>
      <c r="GZ668" s="27" t="s">
        <v>7</v>
      </c>
      <c r="HK668" s="27" t="s">
        <v>8</v>
      </c>
      <c r="HL668" s="27" t="s">
        <v>7</v>
      </c>
      <c r="HM668" s="27" t="s">
        <v>8</v>
      </c>
      <c r="HN668" s="27" t="s">
        <v>7</v>
      </c>
    </row>
    <row r="669" spans="1:263" x14ac:dyDescent="0.25">
      <c r="A669" s="7">
        <v>0.19714506744199917</v>
      </c>
      <c r="B669"/>
      <c r="C669"/>
      <c r="D669"/>
      <c r="E669"/>
      <c r="F669" s="27" t="s">
        <v>7</v>
      </c>
      <c r="EQ669" s="27" t="s">
        <v>8</v>
      </c>
      <c r="FP669" s="27" t="s">
        <v>7</v>
      </c>
      <c r="FQ669" s="27" t="s">
        <v>8</v>
      </c>
      <c r="GF669" s="27" t="s">
        <v>7</v>
      </c>
      <c r="GG669" s="27" t="s">
        <v>8</v>
      </c>
      <c r="GH669" s="27" t="s">
        <v>7</v>
      </c>
      <c r="GK669" s="27" t="s">
        <v>8</v>
      </c>
      <c r="GN669" s="27" t="s">
        <v>7</v>
      </c>
      <c r="GO669" s="27" t="s">
        <v>8</v>
      </c>
      <c r="GP669" s="27" t="s">
        <v>7</v>
      </c>
      <c r="GR669" s="27" t="s">
        <v>7</v>
      </c>
      <c r="GS669" s="27" t="s">
        <v>8</v>
      </c>
      <c r="GT669" s="27" t="s">
        <v>7</v>
      </c>
      <c r="GU669" s="27" t="s">
        <v>8</v>
      </c>
      <c r="GV669" s="27" t="s">
        <v>7</v>
      </c>
      <c r="GW669" s="27" t="s">
        <v>8</v>
      </c>
      <c r="GX669" s="27" t="s">
        <v>7</v>
      </c>
      <c r="GY669" s="27" t="s">
        <v>8</v>
      </c>
      <c r="GZ669" s="27" t="s">
        <v>7</v>
      </c>
      <c r="HK669" s="27" t="s">
        <v>8</v>
      </c>
      <c r="HL669" s="27" t="s">
        <v>7</v>
      </c>
      <c r="HM669" s="27" t="s">
        <v>8</v>
      </c>
    </row>
    <row r="670" spans="1:263" x14ac:dyDescent="0.25">
      <c r="A670" s="7">
        <v>0.19327947788431293</v>
      </c>
      <c r="B670"/>
      <c r="C670"/>
      <c r="D670"/>
      <c r="E670"/>
      <c r="F670" s="27" t="s">
        <v>7</v>
      </c>
      <c r="EQ670" s="27" t="s">
        <v>8</v>
      </c>
      <c r="FP670" s="27" t="s">
        <v>7</v>
      </c>
      <c r="FQ670" s="27" t="s">
        <v>8</v>
      </c>
      <c r="GF670" s="27" t="s">
        <v>7</v>
      </c>
      <c r="GG670" s="27" t="s">
        <v>8</v>
      </c>
      <c r="GH670" s="27" t="s">
        <v>7</v>
      </c>
      <c r="GK670" s="27" t="s">
        <v>8</v>
      </c>
      <c r="GN670" s="27" t="s">
        <v>7</v>
      </c>
      <c r="GO670" s="27" t="s">
        <v>8</v>
      </c>
      <c r="GR670" s="27" t="s">
        <v>7</v>
      </c>
      <c r="GS670" s="27" t="s">
        <v>8</v>
      </c>
      <c r="GT670" s="27" t="s">
        <v>7</v>
      </c>
      <c r="GU670" s="27" t="s">
        <v>8</v>
      </c>
      <c r="GV670" s="27" t="s">
        <v>7</v>
      </c>
      <c r="GW670" s="27" t="s">
        <v>8</v>
      </c>
      <c r="GX670" s="27" t="s">
        <v>7</v>
      </c>
      <c r="GY670" s="27" t="s">
        <v>8</v>
      </c>
      <c r="GZ670" s="27" t="s">
        <v>7</v>
      </c>
      <c r="HI670" s="27" t="s">
        <v>8</v>
      </c>
      <c r="HK670" s="27" t="s">
        <v>8</v>
      </c>
      <c r="HL670" s="27" t="s">
        <v>7</v>
      </c>
    </row>
    <row r="671" spans="1:263" x14ac:dyDescent="0.25">
      <c r="A671" s="7">
        <v>0.18948968420030682</v>
      </c>
      <c r="B671"/>
      <c r="C671"/>
      <c r="D671"/>
      <c r="E671"/>
      <c r="F671" s="27" t="s">
        <v>7</v>
      </c>
      <c r="EQ671" s="27" t="s">
        <v>8</v>
      </c>
      <c r="FP671" s="27" t="s">
        <v>7</v>
      </c>
      <c r="FQ671" s="27" t="s">
        <v>8</v>
      </c>
      <c r="GF671" s="27" t="s">
        <v>7</v>
      </c>
      <c r="GG671" s="27" t="s">
        <v>8</v>
      </c>
      <c r="GH671" s="27" t="s">
        <v>7</v>
      </c>
      <c r="GK671" s="27" t="s">
        <v>8</v>
      </c>
      <c r="GN671" s="27" t="s">
        <v>7</v>
      </c>
      <c r="GO671" s="27" t="s">
        <v>8</v>
      </c>
      <c r="GR671" s="27" t="s">
        <v>7</v>
      </c>
      <c r="GS671" s="27" t="s">
        <v>8</v>
      </c>
      <c r="GT671" s="27" t="s">
        <v>7</v>
      </c>
      <c r="GU671" s="27" t="s">
        <v>8</v>
      </c>
      <c r="GV671" s="27" t="s">
        <v>7</v>
      </c>
      <c r="GW671" s="27" t="s">
        <v>8</v>
      </c>
      <c r="GX671" s="27" t="s">
        <v>7</v>
      </c>
      <c r="GZ671" s="27" t="s">
        <v>7</v>
      </c>
      <c r="HI671" s="27" t="s">
        <v>8</v>
      </c>
      <c r="HJ671" s="27" t="s">
        <v>7</v>
      </c>
      <c r="HK671" s="27" t="s">
        <v>8</v>
      </c>
    </row>
    <row r="672" spans="1:263" x14ac:dyDescent="0.25">
      <c r="A672" s="7">
        <v>0.18577420019637925</v>
      </c>
      <c r="B672"/>
      <c r="C672"/>
      <c r="D672"/>
      <c r="E672"/>
      <c r="F672" s="27" t="s">
        <v>7</v>
      </c>
      <c r="EQ672" s="27" t="s">
        <v>8</v>
      </c>
      <c r="FP672" s="27" t="s">
        <v>7</v>
      </c>
      <c r="FQ672" s="27" t="s">
        <v>8</v>
      </c>
      <c r="GF672" s="27" t="s">
        <v>7</v>
      </c>
      <c r="GG672" s="27" t="s">
        <v>8</v>
      </c>
      <c r="GH672" s="27" t="s">
        <v>7</v>
      </c>
      <c r="GI672" s="27" t="s">
        <v>8</v>
      </c>
      <c r="GK672" s="27" t="s">
        <v>8</v>
      </c>
      <c r="GN672" s="27" t="s">
        <v>7</v>
      </c>
      <c r="GO672" s="27" t="s">
        <v>8</v>
      </c>
      <c r="GR672" s="27" t="s">
        <v>7</v>
      </c>
      <c r="GS672" s="27" t="s">
        <v>8</v>
      </c>
      <c r="GT672" s="27" t="s">
        <v>7</v>
      </c>
      <c r="GU672" s="27" t="s">
        <v>8</v>
      </c>
      <c r="GV672" s="27" t="s">
        <v>7</v>
      </c>
      <c r="GW672" s="27" t="s">
        <v>8</v>
      </c>
      <c r="GZ672" s="27" t="s">
        <v>7</v>
      </c>
      <c r="HI672" s="27" t="s">
        <v>8</v>
      </c>
      <c r="HJ672" s="27" t="s">
        <v>7</v>
      </c>
      <c r="HK672" s="27" t="s">
        <v>8</v>
      </c>
    </row>
    <row r="673" spans="1:219" x14ac:dyDescent="0.25">
      <c r="A673" s="7">
        <v>0.18213156881997963</v>
      </c>
      <c r="B673"/>
      <c r="C673"/>
      <c r="D673"/>
      <c r="E673"/>
      <c r="F673" s="27" t="s">
        <v>7</v>
      </c>
      <c r="EQ673" s="27" t="s">
        <v>8</v>
      </c>
      <c r="FP673" s="27" t="s">
        <v>7</v>
      </c>
      <c r="FQ673" s="27" t="s">
        <v>8</v>
      </c>
      <c r="GF673" s="27" t="s">
        <v>7</v>
      </c>
      <c r="GG673" s="27" t="s">
        <v>8</v>
      </c>
      <c r="GH673" s="27" t="s">
        <v>7</v>
      </c>
      <c r="GI673" s="27" t="s">
        <v>8</v>
      </c>
      <c r="GJ673" s="27" t="s">
        <v>7</v>
      </c>
      <c r="GK673" s="27" t="s">
        <v>8</v>
      </c>
      <c r="GN673" s="27" t="s">
        <v>7</v>
      </c>
      <c r="GO673" s="27" t="s">
        <v>8</v>
      </c>
      <c r="GR673" s="27" t="s">
        <v>7</v>
      </c>
      <c r="GT673" s="27" t="s">
        <v>7</v>
      </c>
      <c r="GU673" s="27" t="s">
        <v>8</v>
      </c>
      <c r="GV673" s="27" t="s">
        <v>7</v>
      </c>
      <c r="GW673" s="27" t="s">
        <v>8</v>
      </c>
      <c r="GZ673" s="27" t="s">
        <v>7</v>
      </c>
      <c r="HG673" s="27" t="s">
        <v>8</v>
      </c>
      <c r="HI673" s="27" t="s">
        <v>8</v>
      </c>
      <c r="HJ673" s="27" t="s">
        <v>7</v>
      </c>
      <c r="HK673" s="27" t="s">
        <v>8</v>
      </c>
    </row>
    <row r="674" spans="1:219" x14ac:dyDescent="0.25">
      <c r="A674" s="7">
        <v>0.17856036158821534</v>
      </c>
      <c r="B674"/>
      <c r="C674"/>
      <c r="D674"/>
      <c r="E674"/>
      <c r="F674" s="27" t="s">
        <v>7</v>
      </c>
      <c r="EQ674" s="27" t="s">
        <v>8</v>
      </c>
      <c r="FP674" s="27" t="s">
        <v>7</v>
      </c>
      <c r="FQ674" s="27" t="s">
        <v>8</v>
      </c>
      <c r="GF674" s="27" t="s">
        <v>7</v>
      </c>
      <c r="GG674" s="27" t="s">
        <v>8</v>
      </c>
      <c r="GH674" s="27" t="s">
        <v>7</v>
      </c>
      <c r="GI674" s="27" t="s">
        <v>8</v>
      </c>
      <c r="GJ674" s="27" t="s">
        <v>7</v>
      </c>
      <c r="GK674" s="27" t="s">
        <v>8</v>
      </c>
      <c r="GN674" s="27" t="s">
        <v>7</v>
      </c>
      <c r="GO674" s="27" t="s">
        <v>8</v>
      </c>
      <c r="GT674" s="27" t="s">
        <v>7</v>
      </c>
      <c r="GU674" s="27" t="s">
        <v>8</v>
      </c>
      <c r="GV674" s="27" t="s">
        <v>7</v>
      </c>
      <c r="GW674" s="27" t="s">
        <v>8</v>
      </c>
      <c r="GZ674" s="27" t="s">
        <v>7</v>
      </c>
      <c r="HG674" s="27" t="s">
        <v>8</v>
      </c>
      <c r="HH674" s="27" t="s">
        <v>7</v>
      </c>
      <c r="HI674" s="27" t="s">
        <v>8</v>
      </c>
      <c r="HJ674" s="27" t="s">
        <v>7</v>
      </c>
      <c r="HK674" s="27" t="s">
        <v>8</v>
      </c>
    </row>
    <row r="675" spans="1:219" x14ac:dyDescent="0.25">
      <c r="A675" s="7">
        <v>0.17505917802766208</v>
      </c>
      <c r="B675"/>
      <c r="C675"/>
      <c r="D675"/>
      <c r="E675"/>
      <c r="F675" s="27" t="s">
        <v>7</v>
      </c>
      <c r="EQ675" s="27" t="s">
        <v>8</v>
      </c>
      <c r="FP675" s="27" t="s">
        <v>7</v>
      </c>
      <c r="FQ675" s="27" t="s">
        <v>8</v>
      </c>
      <c r="GF675" s="27" t="s">
        <v>7</v>
      </c>
      <c r="GG675" s="27" t="s">
        <v>8</v>
      </c>
      <c r="GH675" s="27" t="s">
        <v>7</v>
      </c>
      <c r="GI675" s="27" t="s">
        <v>8</v>
      </c>
      <c r="GJ675" s="27" t="s">
        <v>7</v>
      </c>
      <c r="GK675" s="27" t="s">
        <v>8</v>
      </c>
      <c r="GN675" s="27" t="s">
        <v>7</v>
      </c>
      <c r="GO675" s="27" t="s">
        <v>8</v>
      </c>
      <c r="GT675" s="27" t="s">
        <v>7</v>
      </c>
      <c r="GU675" s="27" t="s">
        <v>8</v>
      </c>
      <c r="GV675" s="27" t="s">
        <v>7</v>
      </c>
      <c r="GZ675" s="27" t="s">
        <v>7</v>
      </c>
      <c r="HG675" s="27" t="s">
        <v>8</v>
      </c>
      <c r="HH675" s="27" t="s">
        <v>7</v>
      </c>
      <c r="HI675" s="27" t="s">
        <v>8</v>
      </c>
      <c r="HJ675" s="27" t="s">
        <v>7</v>
      </c>
      <c r="HK675" s="27" t="s">
        <v>8</v>
      </c>
    </row>
    <row r="676" spans="1:219" x14ac:dyDescent="0.25">
      <c r="A676" s="7">
        <v>0.17162664512515888</v>
      </c>
      <c r="B676"/>
      <c r="C676"/>
      <c r="D676"/>
      <c r="E676"/>
      <c r="F676" s="27" t="s">
        <v>7</v>
      </c>
      <c r="EQ676" s="27" t="s">
        <v>8</v>
      </c>
      <c r="FP676" s="27" t="s">
        <v>7</v>
      </c>
      <c r="GF676" s="27" t="s">
        <v>7</v>
      </c>
      <c r="GG676" s="27" t="s">
        <v>8</v>
      </c>
      <c r="GH676" s="27" t="s">
        <v>7</v>
      </c>
      <c r="GI676" s="27" t="s">
        <v>8</v>
      </c>
      <c r="GJ676" s="27" t="s">
        <v>7</v>
      </c>
      <c r="GK676" s="27" t="s">
        <v>8</v>
      </c>
      <c r="GN676" s="27" t="s">
        <v>7</v>
      </c>
      <c r="GO676" s="27" t="s">
        <v>8</v>
      </c>
      <c r="GT676" s="27" t="s">
        <v>7</v>
      </c>
      <c r="GU676" s="27" t="s">
        <v>8</v>
      </c>
      <c r="GZ676" s="27" t="s">
        <v>7</v>
      </c>
      <c r="HG676" s="27" t="s">
        <v>8</v>
      </c>
      <c r="HH676" s="27" t="s">
        <v>7</v>
      </c>
      <c r="HI676" s="27" t="s">
        <v>8</v>
      </c>
      <c r="HJ676" s="27" t="s">
        <v>7</v>
      </c>
      <c r="HK676" s="27" t="s">
        <v>8</v>
      </c>
    </row>
    <row r="677" spans="1:219" x14ac:dyDescent="0.25">
      <c r="A677" s="7">
        <v>0.16826141678937145</v>
      </c>
      <c r="B677"/>
      <c r="C677"/>
      <c r="D677"/>
      <c r="E677"/>
      <c r="F677" s="27" t="s">
        <v>7</v>
      </c>
      <c r="EQ677" s="27" t="s">
        <v>8</v>
      </c>
      <c r="GF677" s="27" t="s">
        <v>7</v>
      </c>
      <c r="GG677" s="27" t="s">
        <v>8</v>
      </c>
      <c r="GH677" s="27" t="s">
        <v>7</v>
      </c>
      <c r="GI677" s="27" t="s">
        <v>8</v>
      </c>
      <c r="GJ677" s="27" t="s">
        <v>7</v>
      </c>
      <c r="GK677" s="27" t="s">
        <v>8</v>
      </c>
      <c r="GN677" s="27" t="s">
        <v>7</v>
      </c>
      <c r="GT677" s="27" t="s">
        <v>7</v>
      </c>
      <c r="GU677" s="27" t="s">
        <v>8</v>
      </c>
      <c r="GZ677" s="27" t="s">
        <v>7</v>
      </c>
      <c r="HG677" s="27" t="s">
        <v>8</v>
      </c>
      <c r="HH677" s="27" t="s">
        <v>7</v>
      </c>
      <c r="HI677" s="27" t="s">
        <v>8</v>
      </c>
      <c r="HJ677" s="27" t="s">
        <v>7</v>
      </c>
      <c r="HK677" s="27" t="s">
        <v>8</v>
      </c>
    </row>
    <row r="678" spans="1:219" x14ac:dyDescent="0.25">
      <c r="A678" s="7">
        <v>0.16496217332291319</v>
      </c>
      <c r="B678"/>
      <c r="C678"/>
      <c r="D678"/>
      <c r="E678"/>
      <c r="F678" s="27" t="s">
        <v>7</v>
      </c>
      <c r="EQ678" s="27" t="s">
        <v>8</v>
      </c>
      <c r="GF678" s="27" t="s">
        <v>7</v>
      </c>
      <c r="GG678" s="27" t="s">
        <v>8</v>
      </c>
      <c r="GH678" s="27" t="s">
        <v>7</v>
      </c>
      <c r="GI678" s="27" t="s">
        <v>8</v>
      </c>
      <c r="GJ678" s="27" t="s">
        <v>7</v>
      </c>
      <c r="GK678" s="27" t="s">
        <v>8</v>
      </c>
      <c r="GT678" s="27" t="s">
        <v>7</v>
      </c>
      <c r="GU678" s="27" t="s">
        <v>8</v>
      </c>
      <c r="GZ678" s="27" t="s">
        <v>7</v>
      </c>
      <c r="HG678" s="27" t="s">
        <v>8</v>
      </c>
      <c r="HH678" s="27" t="s">
        <v>7</v>
      </c>
      <c r="HI678" s="27" t="s">
        <v>8</v>
      </c>
      <c r="HJ678" s="27" t="s">
        <v>7</v>
      </c>
      <c r="HK678" s="27" t="s">
        <v>8</v>
      </c>
    </row>
    <row r="679" spans="1:219" x14ac:dyDescent="0.25">
      <c r="A679" s="7">
        <v>0.16172762090481685</v>
      </c>
      <c r="B679"/>
      <c r="C679"/>
      <c r="D679"/>
      <c r="E679"/>
      <c r="F679" s="27" t="s">
        <v>7</v>
      </c>
      <c r="EQ679" s="27" t="s">
        <v>8</v>
      </c>
      <c r="GF679" s="27" t="s">
        <v>7</v>
      </c>
      <c r="GG679" s="27" t="s">
        <v>8</v>
      </c>
      <c r="GH679" s="27" t="s">
        <v>7</v>
      </c>
      <c r="GI679" s="27" t="s">
        <v>8</v>
      </c>
      <c r="GJ679" s="27" t="s">
        <v>7</v>
      </c>
      <c r="GK679" s="27" t="s">
        <v>8</v>
      </c>
      <c r="GT679" s="27" t="s">
        <v>7</v>
      </c>
      <c r="GZ679" s="27" t="s">
        <v>7</v>
      </c>
      <c r="HG679" s="27" t="s">
        <v>8</v>
      </c>
      <c r="HH679" s="27" t="s">
        <v>7</v>
      </c>
      <c r="HI679" s="27" t="s">
        <v>8</v>
      </c>
      <c r="HJ679" s="27" t="s">
        <v>7</v>
      </c>
    </row>
    <row r="680" spans="1:219" x14ac:dyDescent="0.25">
      <c r="A680" s="7">
        <v>0.15855649108315376</v>
      </c>
      <c r="B680"/>
      <c r="C680"/>
      <c r="D680"/>
      <c r="E680"/>
      <c r="F680" s="27" t="s">
        <v>7</v>
      </c>
      <c r="EQ680" s="27" t="s">
        <v>8</v>
      </c>
      <c r="GF680" s="27" t="s">
        <v>7</v>
      </c>
      <c r="GG680" s="27" t="s">
        <v>8</v>
      </c>
      <c r="GH680" s="27" t="s">
        <v>7</v>
      </c>
      <c r="GI680" s="27" t="s">
        <v>8</v>
      </c>
      <c r="GJ680" s="27" t="s">
        <v>7</v>
      </c>
      <c r="GK680" s="27" t="s">
        <v>8</v>
      </c>
      <c r="GZ680" s="27" t="s">
        <v>7</v>
      </c>
      <c r="HE680" s="27" t="s">
        <v>8</v>
      </c>
      <c r="HG680" s="27" t="s">
        <v>8</v>
      </c>
      <c r="HH680" s="27" t="s">
        <v>7</v>
      </c>
      <c r="HI680" s="27" t="s">
        <v>8</v>
      </c>
    </row>
    <row r="681" spans="1:219" x14ac:dyDescent="0.25">
      <c r="A681" s="7">
        <v>0.15544754027760171</v>
      </c>
      <c r="B681"/>
      <c r="C681"/>
      <c r="D681"/>
      <c r="E681"/>
      <c r="F681" s="27" t="s">
        <v>7</v>
      </c>
      <c r="EQ681" s="27" t="s">
        <v>8</v>
      </c>
      <c r="GF681" s="27" t="s">
        <v>7</v>
      </c>
      <c r="GG681" s="27" t="s">
        <v>8</v>
      </c>
      <c r="GH681" s="27" t="s">
        <v>7</v>
      </c>
      <c r="GI681" s="27" t="s">
        <v>8</v>
      </c>
      <c r="GJ681" s="27" t="s">
        <v>7</v>
      </c>
      <c r="GK681" s="27" t="s">
        <v>8</v>
      </c>
      <c r="GZ681" s="27" t="s">
        <v>7</v>
      </c>
      <c r="HE681" s="27" t="s">
        <v>8</v>
      </c>
      <c r="HF681" s="27" t="s">
        <v>7</v>
      </c>
      <c r="HG681" s="27" t="s">
        <v>8</v>
      </c>
      <c r="HH681" s="27" t="s">
        <v>7</v>
      </c>
      <c r="HI681" s="27" t="s">
        <v>8</v>
      </c>
    </row>
    <row r="682" spans="1:219" x14ac:dyDescent="0.25">
      <c r="A682" s="7">
        <v>0.15239954929176638</v>
      </c>
      <c r="B682"/>
      <c r="C682"/>
      <c r="D682"/>
      <c r="E682"/>
      <c r="F682" s="27" t="s">
        <v>7</v>
      </c>
      <c r="EQ682" s="27" t="s">
        <v>8</v>
      </c>
      <c r="GF682" s="27" t="s">
        <v>7</v>
      </c>
      <c r="GG682" s="27" t="s">
        <v>8</v>
      </c>
      <c r="GH682" s="27" t="s">
        <v>7</v>
      </c>
      <c r="GJ682" s="27" t="s">
        <v>7</v>
      </c>
      <c r="GK682" s="27" t="s">
        <v>8</v>
      </c>
      <c r="GZ682" s="27" t="s">
        <v>7</v>
      </c>
      <c r="HA682" s="27" t="s">
        <v>8</v>
      </c>
      <c r="HC682" s="27" t="s">
        <v>8</v>
      </c>
      <c r="HE682" s="27" t="s">
        <v>8</v>
      </c>
      <c r="HF682" s="27" t="s">
        <v>7</v>
      </c>
      <c r="HG682" s="27" t="s">
        <v>8</v>
      </c>
      <c r="HH682" s="27" t="s">
        <v>7</v>
      </c>
      <c r="HI682" s="27" t="s">
        <v>8</v>
      </c>
    </row>
    <row r="683" spans="1:219" x14ac:dyDescent="0.25">
      <c r="A683" s="7">
        <v>0.14941132283506509</v>
      </c>
      <c r="B683"/>
      <c r="C683"/>
      <c r="D683"/>
      <c r="E683"/>
      <c r="F683" s="27" t="s">
        <v>7</v>
      </c>
      <c r="EQ683" s="27" t="s">
        <v>8</v>
      </c>
      <c r="GF683" s="27" t="s">
        <v>7</v>
      </c>
      <c r="GG683" s="27" t="s">
        <v>8</v>
      </c>
      <c r="GJ683" s="27" t="s">
        <v>7</v>
      </c>
      <c r="GK683" s="27" t="s">
        <v>8</v>
      </c>
      <c r="GZ683" s="27" t="s">
        <v>7</v>
      </c>
      <c r="HA683" s="27" t="s">
        <v>8</v>
      </c>
      <c r="HB683" s="27" t="s">
        <v>7</v>
      </c>
      <c r="HC683" s="27" t="s">
        <v>8</v>
      </c>
      <c r="HD683" s="27" t="s">
        <v>7</v>
      </c>
      <c r="HE683" s="27" t="s">
        <v>8</v>
      </c>
      <c r="HF683" s="27" t="s">
        <v>7</v>
      </c>
      <c r="HG683" s="27" t="s">
        <v>8</v>
      </c>
      <c r="HH683" s="27" t="s">
        <v>7</v>
      </c>
      <c r="HI683" s="27" t="s">
        <v>8</v>
      </c>
    </row>
    <row r="684" spans="1:219" x14ac:dyDescent="0.25">
      <c r="A684" s="7">
        <v>0.14648168905398537</v>
      </c>
      <c r="B684"/>
      <c r="C684"/>
      <c r="D684"/>
      <c r="E684"/>
      <c r="F684" s="27" t="s">
        <v>7</v>
      </c>
      <c r="EQ684" s="27" t="s">
        <v>8</v>
      </c>
      <c r="GF684" s="27" t="s">
        <v>7</v>
      </c>
      <c r="GG684" s="27" t="s">
        <v>8</v>
      </c>
      <c r="GJ684" s="27" t="s">
        <v>7</v>
      </c>
      <c r="GK684" s="27" t="s">
        <v>8</v>
      </c>
      <c r="GZ684" s="27" t="s">
        <v>7</v>
      </c>
      <c r="HA684" s="27" t="s">
        <v>8</v>
      </c>
      <c r="HB684" s="27" t="s">
        <v>7</v>
      </c>
      <c r="HC684" s="27" t="s">
        <v>8</v>
      </c>
      <c r="HD684" s="27" t="s">
        <v>7</v>
      </c>
      <c r="HE684" s="27" t="s">
        <v>8</v>
      </c>
      <c r="HF684" s="27" t="s">
        <v>7</v>
      </c>
      <c r="HG684" s="27" t="s">
        <v>8</v>
      </c>
      <c r="HH684" s="27" t="s">
        <v>7</v>
      </c>
    </row>
    <row r="685" spans="1:219" x14ac:dyDescent="0.25">
      <c r="A685" s="7">
        <v>0.14360949907253467</v>
      </c>
      <c r="B685"/>
      <c r="C685"/>
      <c r="D685"/>
      <c r="E685"/>
      <c r="F685" s="27" t="s">
        <v>7</v>
      </c>
      <c r="EQ685" s="27" t="s">
        <v>8</v>
      </c>
      <c r="GF685" s="27" t="s">
        <v>7</v>
      </c>
      <c r="GG685" s="27" t="s">
        <v>8</v>
      </c>
      <c r="GJ685" s="27" t="s">
        <v>7</v>
      </c>
      <c r="GK685" s="27" t="s">
        <v>8</v>
      </c>
      <c r="GZ685" s="27" t="s">
        <v>7</v>
      </c>
      <c r="HA685" s="27" t="s">
        <v>8</v>
      </c>
      <c r="HB685" s="27" t="s">
        <v>7</v>
      </c>
      <c r="HC685" s="27" t="s">
        <v>8</v>
      </c>
      <c r="HD685" s="27" t="s">
        <v>7</v>
      </c>
      <c r="HE685" s="27" t="s">
        <v>8</v>
      </c>
      <c r="HF685" s="27" t="s">
        <v>7</v>
      </c>
      <c r="HG685" s="27" t="s">
        <v>8</v>
      </c>
    </row>
    <row r="686" spans="1:219" x14ac:dyDescent="0.25">
      <c r="A686" s="7">
        <v>0.14079362654170066</v>
      </c>
      <c r="B686"/>
      <c r="C686"/>
      <c r="D686"/>
      <c r="E686"/>
      <c r="F686" s="27" t="s">
        <v>7</v>
      </c>
      <c r="EQ686" s="27" t="s">
        <v>8</v>
      </c>
      <c r="GF686" s="27" t="s">
        <v>7</v>
      </c>
      <c r="GG686" s="27" t="s">
        <v>8</v>
      </c>
      <c r="GJ686" s="27" t="s">
        <v>7</v>
      </c>
      <c r="GK686" s="27" t="s">
        <v>8</v>
      </c>
      <c r="GZ686" s="27" t="s">
        <v>7</v>
      </c>
      <c r="HA686" s="27" t="s">
        <v>8</v>
      </c>
      <c r="HB686" s="27" t="s">
        <v>7</v>
      </c>
      <c r="HC686" s="27" t="s">
        <v>8</v>
      </c>
      <c r="HD686" s="27" t="s">
        <v>7</v>
      </c>
      <c r="HE686" s="27" t="s">
        <v>8</v>
      </c>
      <c r="HF686" s="27" t="s">
        <v>7</v>
      </c>
      <c r="HG686" s="27" t="s">
        <v>8</v>
      </c>
    </row>
    <row r="687" spans="1:219" x14ac:dyDescent="0.25">
      <c r="A687" s="7">
        <v>0.13803296719774574</v>
      </c>
      <c r="B687"/>
      <c r="C687"/>
      <c r="D687"/>
      <c r="E687"/>
      <c r="F687" s="27" t="s">
        <v>7</v>
      </c>
      <c r="EQ687" s="27" t="s">
        <v>8</v>
      </c>
      <c r="GF687" s="27" t="s">
        <v>7</v>
      </c>
      <c r="GJ687" s="27" t="s">
        <v>7</v>
      </c>
      <c r="GK687" s="27" t="s">
        <v>8</v>
      </c>
      <c r="GZ687" s="27" t="s">
        <v>7</v>
      </c>
      <c r="HA687" s="27" t="s">
        <v>8</v>
      </c>
      <c r="HB687" s="27" t="s">
        <v>7</v>
      </c>
      <c r="HC687" s="27" t="s">
        <v>8</v>
      </c>
      <c r="HD687" s="27" t="s">
        <v>7</v>
      </c>
      <c r="HE687" s="27" t="s">
        <v>8</v>
      </c>
      <c r="HF687" s="27" t="s">
        <v>7</v>
      </c>
    </row>
    <row r="688" spans="1:219" x14ac:dyDescent="0.25">
      <c r="A688" s="7">
        <v>0.1353264384291625</v>
      </c>
      <c r="B688"/>
      <c r="C688"/>
      <c r="D688"/>
      <c r="E688"/>
      <c r="F688" s="27" t="s">
        <v>7</v>
      </c>
      <c r="EQ688" s="27" t="s">
        <v>8</v>
      </c>
      <c r="GJ688" s="27" t="s">
        <v>7</v>
      </c>
      <c r="GK688" s="27" t="s">
        <v>8</v>
      </c>
      <c r="GZ688" s="27" t="s">
        <v>7</v>
      </c>
      <c r="HA688" s="27" t="s">
        <v>8</v>
      </c>
      <c r="HB688" s="27" t="s">
        <v>7</v>
      </c>
      <c r="HC688" s="27" t="s">
        <v>8</v>
      </c>
      <c r="HD688" s="27" t="s">
        <v>7</v>
      </c>
      <c r="HE688" s="27" t="s">
        <v>8</v>
      </c>
    </row>
    <row r="689" spans="1:213" x14ac:dyDescent="0.25">
      <c r="A689" s="7">
        <v>0.13267297885212009</v>
      </c>
      <c r="B689"/>
      <c r="C689"/>
      <c r="D689"/>
      <c r="E689"/>
      <c r="F689" s="27" t="s">
        <v>7</v>
      </c>
      <c r="EQ689" s="27" t="s">
        <v>8</v>
      </c>
      <c r="GJ689" s="27" t="s">
        <v>7</v>
      </c>
      <c r="GK689" s="27" t="s">
        <v>8</v>
      </c>
      <c r="GZ689" s="27" t="s">
        <v>7</v>
      </c>
      <c r="HA689" s="27" t="s">
        <v>8</v>
      </c>
      <c r="HB689" s="27" t="s">
        <v>7</v>
      </c>
      <c r="HC689" s="27" t="s">
        <v>8</v>
      </c>
      <c r="HD689" s="27" t="s">
        <v>7</v>
      </c>
      <c r="HE689" s="27" t="s">
        <v>8</v>
      </c>
    </row>
    <row r="690" spans="1:213" x14ac:dyDescent="0.25">
      <c r="A690" s="7">
        <v>0.13007154789423539</v>
      </c>
      <c r="B690"/>
      <c r="C690"/>
      <c r="D690"/>
      <c r="E690"/>
      <c r="F690" s="27" t="s">
        <v>7</v>
      </c>
      <c r="EQ690" s="27" t="s">
        <v>8</v>
      </c>
      <c r="GJ690" s="27" t="s">
        <v>7</v>
      </c>
      <c r="GK690" s="27" t="s">
        <v>8</v>
      </c>
      <c r="GZ690" s="27" t="s">
        <v>7</v>
      </c>
      <c r="HA690" s="27" t="s">
        <v>8</v>
      </c>
      <c r="HB690" s="27" t="s">
        <v>7</v>
      </c>
      <c r="HC690" s="27" t="s">
        <v>8</v>
      </c>
      <c r="HD690" s="27" t="s">
        <v>7</v>
      </c>
    </row>
    <row r="691" spans="1:213" x14ac:dyDescent="0.25">
      <c r="A691" s="7">
        <v>0.12752112538650529</v>
      </c>
      <c r="B691"/>
      <c r="C691"/>
      <c r="D691"/>
      <c r="E691"/>
      <c r="F691" s="27" t="s">
        <v>7</v>
      </c>
      <c r="EQ691" s="27" t="s">
        <v>8</v>
      </c>
      <c r="GJ691" s="27" t="s">
        <v>7</v>
      </c>
      <c r="GK691" s="27" t="s">
        <v>8</v>
      </c>
      <c r="GZ691" s="27" t="s">
        <v>7</v>
      </c>
      <c r="HA691" s="27" t="s">
        <v>8</v>
      </c>
      <c r="HB691" s="27" t="s">
        <v>7</v>
      </c>
      <c r="HC691" s="27" t="s">
        <v>8</v>
      </c>
    </row>
    <row r="692" spans="1:213" x14ac:dyDescent="0.25">
      <c r="A692" s="7">
        <v>0.12502071116324048</v>
      </c>
      <c r="B692"/>
      <c r="C692"/>
      <c r="D692"/>
      <c r="E692"/>
      <c r="F692" s="27" t="s">
        <v>7</v>
      </c>
      <c r="EQ692" s="27" t="s">
        <v>8</v>
      </c>
      <c r="GJ692" s="27" t="s">
        <v>7</v>
      </c>
      <c r="GK692" s="27" t="s">
        <v>8</v>
      </c>
      <c r="GZ692" s="27" t="s">
        <v>7</v>
      </c>
      <c r="HA692" s="27" t="s">
        <v>8</v>
      </c>
      <c r="HB692" s="27" t="s">
        <v>7</v>
      </c>
      <c r="HC692" s="27" t="s">
        <v>8</v>
      </c>
    </row>
    <row r="693" spans="1:213" x14ac:dyDescent="0.25">
      <c r="A693" s="7">
        <v>0.1225693246698436</v>
      </c>
      <c r="B693"/>
      <c r="C693"/>
      <c r="D693"/>
      <c r="E693"/>
      <c r="F693" s="27" t="s">
        <v>7</v>
      </c>
      <c r="EQ693" s="27" t="s">
        <v>8</v>
      </c>
      <c r="GJ693" s="27" t="s">
        <v>7</v>
      </c>
      <c r="GK693" s="27" t="s">
        <v>8</v>
      </c>
      <c r="GZ693" s="27" t="s">
        <v>7</v>
      </c>
      <c r="HA693" s="27" t="s">
        <v>8</v>
      </c>
      <c r="HB693" s="27" t="s">
        <v>7</v>
      </c>
    </row>
    <row r="694" spans="1:213" x14ac:dyDescent="0.25">
      <c r="A694" s="7">
        <v>0.12016600457827803</v>
      </c>
      <c r="B694"/>
      <c r="C694"/>
      <c r="D694"/>
      <c r="E694"/>
      <c r="F694" s="27" t="s">
        <v>7</v>
      </c>
      <c r="EQ694" s="27" t="s">
        <v>8</v>
      </c>
      <c r="GJ694" s="27" t="s">
        <v>7</v>
      </c>
      <c r="GK694" s="27" t="s">
        <v>8</v>
      </c>
      <c r="GZ694" s="27" t="s">
        <v>7</v>
      </c>
      <c r="HA694" s="27" t="s">
        <v>8</v>
      </c>
    </row>
    <row r="695" spans="1:213" x14ac:dyDescent="0.25">
      <c r="A695" s="7">
        <v>0.1178098084100765</v>
      </c>
      <c r="B695"/>
      <c r="C695"/>
      <c r="D695"/>
      <c r="E695"/>
      <c r="F695" s="27" t="s">
        <v>7</v>
      </c>
      <c r="EQ695" s="27" t="s">
        <v>8</v>
      </c>
      <c r="GJ695" s="27" t="s">
        <v>7</v>
      </c>
      <c r="GK695" s="27" t="s">
        <v>8</v>
      </c>
      <c r="GZ695" s="27" t="s">
        <v>7</v>
      </c>
      <c r="HA695" s="27" t="s">
        <v>8</v>
      </c>
    </row>
    <row r="696" spans="1:213" x14ac:dyDescent="0.25">
      <c r="A696" s="7">
        <v>0.11549981216674166</v>
      </c>
      <c r="B696"/>
      <c r="C696"/>
      <c r="D696"/>
      <c r="E696"/>
      <c r="F696" s="27" t="s">
        <v>7</v>
      </c>
      <c r="EQ696" s="27" t="s">
        <v>8</v>
      </c>
      <c r="GJ696" s="27" t="s">
        <v>7</v>
      </c>
      <c r="GK696" s="27" t="s">
        <v>8</v>
      </c>
      <c r="GZ696" s="27" t="s">
        <v>7</v>
      </c>
    </row>
    <row r="697" spans="1:213" x14ac:dyDescent="0.25">
      <c r="A697" s="7">
        <v>0.11323510996739378</v>
      </c>
      <c r="B697"/>
      <c r="C697"/>
      <c r="D697"/>
      <c r="E697"/>
      <c r="F697" s="27" t="s">
        <v>7</v>
      </c>
      <c r="EQ697" s="27" t="s">
        <v>8</v>
      </c>
      <c r="GJ697" s="27" t="s">
        <v>7</v>
      </c>
      <c r="GK697" s="27" t="s">
        <v>8</v>
      </c>
    </row>
    <row r="698" spans="1:213" x14ac:dyDescent="0.25">
      <c r="A698" s="7">
        <v>0.11101481369352331</v>
      </c>
      <c r="B698"/>
      <c r="C698"/>
      <c r="D698"/>
      <c r="E698"/>
      <c r="F698" s="27" t="s">
        <v>7</v>
      </c>
      <c r="EQ698" s="27" t="s">
        <v>8</v>
      </c>
      <c r="GJ698" s="27" t="s">
        <v>7</v>
      </c>
    </row>
    <row r="699" spans="1:213" x14ac:dyDescent="0.25">
      <c r="A699" s="7">
        <v>0.10883805264070913</v>
      </c>
      <c r="B699"/>
      <c r="C699"/>
      <c r="D699"/>
      <c r="E699"/>
      <c r="F699" s="27" t="s">
        <v>7</v>
      </c>
      <c r="EQ699" s="27" t="s">
        <v>8</v>
      </c>
    </row>
    <row r="700" spans="1:213" x14ac:dyDescent="0.25">
      <c r="A700" s="7">
        <v>0.10670397317716582</v>
      </c>
      <c r="B700"/>
      <c r="C700"/>
      <c r="D700"/>
      <c r="E700"/>
      <c r="F700" s="27" t="s">
        <v>7</v>
      </c>
      <c r="EQ700" s="27" t="s">
        <v>8</v>
      </c>
    </row>
    <row r="701" spans="1:213" x14ac:dyDescent="0.25">
      <c r="A701" s="7">
        <v>0.1046117384089861</v>
      </c>
      <c r="B701"/>
      <c r="C701"/>
      <c r="D701"/>
      <c r="E701"/>
      <c r="F701" s="27" t="s">
        <v>7</v>
      </c>
      <c r="EQ701" s="27" t="s">
        <v>8</v>
      </c>
    </row>
    <row r="702" spans="1:213" x14ac:dyDescent="0.25">
      <c r="A702" s="7">
        <v>0.10256052785194716</v>
      </c>
      <c r="B702"/>
      <c r="C702"/>
      <c r="D702"/>
      <c r="E702"/>
      <c r="F702" s="27" t="s">
        <v>7</v>
      </c>
      <c r="EQ702" s="27" t="s">
        <v>8</v>
      </c>
    </row>
    <row r="703" spans="1:213" x14ac:dyDescent="0.25">
      <c r="A703" s="7">
        <v>0.10054953710975212</v>
      </c>
      <c r="B703"/>
      <c r="C703"/>
      <c r="D703"/>
      <c r="E703"/>
      <c r="F703" s="27" t="s">
        <v>7</v>
      </c>
      <c r="EQ703" s="27" t="s">
        <v>8</v>
      </c>
    </row>
    <row r="704" spans="1:213" x14ac:dyDescent="0.25">
      <c r="A704" s="7">
        <v>9.8577977558580512E-2</v>
      </c>
      <c r="B704"/>
      <c r="C704"/>
      <c r="D704"/>
      <c r="E704"/>
      <c r="F704" s="27" t="s">
        <v>7</v>
      </c>
      <c r="EO704" s="27" t="s">
        <v>8</v>
      </c>
      <c r="EQ704" s="27" t="s">
        <v>8</v>
      </c>
    </row>
    <row r="705" spans="1:147" x14ac:dyDescent="0.25">
      <c r="A705" s="7">
        <v>9.6645076037824032E-2</v>
      </c>
      <c r="B705"/>
      <c r="C705"/>
      <c r="D705"/>
      <c r="E705"/>
      <c r="F705" s="27" t="s">
        <v>7</v>
      </c>
      <c r="EO705" s="27" t="s">
        <v>8</v>
      </c>
      <c r="EP705" s="27" t="s">
        <v>7</v>
      </c>
      <c r="EQ705" s="27" t="s">
        <v>8</v>
      </c>
    </row>
    <row r="706" spans="1:147" x14ac:dyDescent="0.25">
      <c r="A706" s="7">
        <v>9.4750074546886304E-2</v>
      </c>
      <c r="B706"/>
      <c r="C706"/>
      <c r="D706"/>
      <c r="E706"/>
      <c r="F706" s="27" t="s">
        <v>7</v>
      </c>
      <c r="EO706" s="27" t="s">
        <v>8</v>
      </c>
      <c r="EP706" s="27" t="s">
        <v>7</v>
      </c>
      <c r="EQ706" s="27" t="s">
        <v>8</v>
      </c>
    </row>
    <row r="707" spans="1:147" x14ac:dyDescent="0.25">
      <c r="A707" s="7">
        <v>9.2892229947927743E-2</v>
      </c>
      <c r="B707"/>
      <c r="C707"/>
      <c r="D707"/>
      <c r="E707"/>
      <c r="F707" s="27" t="s">
        <v>7</v>
      </c>
      <c r="EO707" s="27" t="s">
        <v>8</v>
      </c>
      <c r="EP707" s="27" t="s">
        <v>7</v>
      </c>
      <c r="EQ707" s="27" t="s">
        <v>8</v>
      </c>
    </row>
    <row r="708" spans="1:147" x14ac:dyDescent="0.25">
      <c r="A708" s="7">
        <v>9.1070813674438963E-2</v>
      </c>
      <c r="B708"/>
      <c r="C708"/>
      <c r="D708"/>
      <c r="E708"/>
      <c r="F708" s="27" t="s">
        <v>7</v>
      </c>
      <c r="EO708" s="27" t="s">
        <v>8</v>
      </c>
      <c r="EP708" s="27" t="s">
        <v>7</v>
      </c>
      <c r="EQ708" s="27" t="s">
        <v>8</v>
      </c>
    </row>
    <row r="709" spans="1:147" x14ac:dyDescent="0.25">
      <c r="A709" s="7">
        <v>8.9285111445528392E-2</v>
      </c>
      <c r="B709"/>
      <c r="C709"/>
      <c r="D709"/>
      <c r="E709"/>
      <c r="F709" s="27" t="s">
        <v>7</v>
      </c>
      <c r="AQ709" s="27" t="s">
        <v>8</v>
      </c>
      <c r="EA709" s="27" t="s">
        <v>8</v>
      </c>
      <c r="EO709" s="27" t="s">
        <v>8</v>
      </c>
      <c r="EP709" s="27" t="s">
        <v>7</v>
      </c>
      <c r="EQ709" s="27" t="s">
        <v>8</v>
      </c>
    </row>
    <row r="710" spans="1:147" x14ac:dyDescent="0.25">
      <c r="A710" s="7">
        <v>8.7534422985812155E-2</v>
      </c>
      <c r="B710"/>
      <c r="C710"/>
      <c r="D710"/>
      <c r="E710"/>
      <c r="F710" s="27" t="s">
        <v>7</v>
      </c>
      <c r="AQ710" s="27" t="s">
        <v>8</v>
      </c>
      <c r="AR710" s="27" t="s">
        <v>7</v>
      </c>
      <c r="EA710" s="27" t="s">
        <v>8</v>
      </c>
      <c r="EB710" s="27" t="s">
        <v>7</v>
      </c>
      <c r="EO710" s="27" t="s">
        <v>8</v>
      </c>
      <c r="EP710" s="27" t="s">
        <v>7</v>
      </c>
      <c r="EQ710" s="27" t="s">
        <v>8</v>
      </c>
    </row>
    <row r="711" spans="1:147" x14ac:dyDescent="0.25">
      <c r="A711" s="7">
        <v>8.5818061750796232E-2</v>
      </c>
      <c r="B711"/>
      <c r="C711"/>
      <c r="D711"/>
      <c r="E711"/>
      <c r="F711" s="27" t="s">
        <v>7</v>
      </c>
      <c r="AQ711" s="27" t="s">
        <v>8</v>
      </c>
      <c r="AR711" s="27" t="s">
        <v>7</v>
      </c>
      <c r="EA711" s="27" t="s">
        <v>8</v>
      </c>
      <c r="EB711" s="27" t="s">
        <v>7</v>
      </c>
      <c r="EO711" s="27" t="s">
        <v>8</v>
      </c>
      <c r="EP711" s="27" t="s">
        <v>7</v>
      </c>
      <c r="EQ711" s="27" t="s">
        <v>8</v>
      </c>
    </row>
    <row r="712" spans="1:147" x14ac:dyDescent="0.25">
      <c r="A712" s="7">
        <v>8.4135354657643366E-2</v>
      </c>
      <c r="B712"/>
      <c r="C712"/>
      <c r="D712"/>
      <c r="E712"/>
      <c r="F712" s="27" t="s">
        <v>7</v>
      </c>
      <c r="AQ712" s="27" t="s">
        <v>8</v>
      </c>
      <c r="AR712" s="27" t="s">
        <v>7</v>
      </c>
      <c r="EA712" s="27" t="s">
        <v>8</v>
      </c>
      <c r="EB712" s="27" t="s">
        <v>7</v>
      </c>
      <c r="EO712" s="27" t="s">
        <v>8</v>
      </c>
      <c r="EP712" s="27" t="s">
        <v>7</v>
      </c>
      <c r="EQ712" s="27" t="s">
        <v>8</v>
      </c>
    </row>
    <row r="713" spans="1:147" x14ac:dyDescent="0.25">
      <c r="A713" s="7">
        <v>8.248564182121898E-2</v>
      </c>
      <c r="B713"/>
      <c r="C713"/>
      <c r="D713"/>
      <c r="E713"/>
      <c r="F713" s="27" t="s">
        <v>7</v>
      </c>
      <c r="AQ713" s="27" t="s">
        <v>8</v>
      </c>
      <c r="AR713" s="27" t="s">
        <v>7</v>
      </c>
      <c r="EA713" s="27" t="s">
        <v>8</v>
      </c>
      <c r="EB713" s="27" t="s">
        <v>7</v>
      </c>
      <c r="EO713" s="27" t="s">
        <v>8</v>
      </c>
      <c r="EP713" s="27" t="s">
        <v>7</v>
      </c>
      <c r="EQ713" s="27" t="s">
        <v>8</v>
      </c>
    </row>
    <row r="714" spans="1:147" x14ac:dyDescent="0.25">
      <c r="A714" s="7">
        <v>8.0868276295312735E-2</v>
      </c>
      <c r="B714"/>
      <c r="C714"/>
      <c r="D714"/>
      <c r="E714"/>
      <c r="F714" s="27" t="s">
        <v>7</v>
      </c>
      <c r="AQ714" s="27" t="s">
        <v>8</v>
      </c>
      <c r="AR714" s="27" t="s">
        <v>7</v>
      </c>
      <c r="AU714" s="27" t="s">
        <v>8</v>
      </c>
      <c r="EA714" s="27" t="s">
        <v>8</v>
      </c>
      <c r="EB714" s="27" t="s">
        <v>7</v>
      </c>
      <c r="EO714" s="27" t="s">
        <v>8</v>
      </c>
      <c r="EP714" s="27" t="s">
        <v>7</v>
      </c>
      <c r="EQ714" s="27" t="s">
        <v>8</v>
      </c>
    </row>
    <row r="715" spans="1:147" x14ac:dyDescent="0.25">
      <c r="A715" s="7">
        <v>7.9282623818934056E-2</v>
      </c>
      <c r="B715"/>
      <c r="C715"/>
      <c r="D715"/>
      <c r="E715"/>
      <c r="F715" s="27" t="s">
        <v>7</v>
      </c>
      <c r="AK715" s="27" t="s">
        <v>8</v>
      </c>
      <c r="AQ715" s="27" t="s">
        <v>8</v>
      </c>
      <c r="AR715" s="27" t="s">
        <v>7</v>
      </c>
      <c r="AS715" s="27" t="s">
        <v>8</v>
      </c>
      <c r="AU715" s="27" t="s">
        <v>8</v>
      </c>
      <c r="AV715" s="27" t="s">
        <v>7</v>
      </c>
      <c r="EA715" s="27" t="s">
        <v>8</v>
      </c>
      <c r="EB715" s="27" t="s">
        <v>7</v>
      </c>
      <c r="EO715" s="27" t="s">
        <v>8</v>
      </c>
      <c r="EP715" s="27" t="s">
        <v>7</v>
      </c>
      <c r="EQ715" s="27" t="s">
        <v>8</v>
      </c>
    </row>
    <row r="716" spans="1:147" x14ac:dyDescent="0.25">
      <c r="A716" s="7">
        <v>7.7728062567582412E-2</v>
      </c>
      <c r="B716"/>
      <c r="C716"/>
      <c r="D716"/>
      <c r="E716"/>
      <c r="F716" s="27" t="s">
        <v>7</v>
      </c>
      <c r="AK716" s="27" t="s">
        <v>8</v>
      </c>
      <c r="AL716" s="27" t="s">
        <v>7</v>
      </c>
      <c r="AQ716" s="27" t="s">
        <v>8</v>
      </c>
      <c r="AR716" s="27" t="s">
        <v>7</v>
      </c>
      <c r="AS716" s="27" t="s">
        <v>8</v>
      </c>
      <c r="AT716" s="27" t="s">
        <v>7</v>
      </c>
      <c r="AU716" s="27" t="s">
        <v>8</v>
      </c>
      <c r="AV716" s="27" t="s">
        <v>7</v>
      </c>
      <c r="EA716" s="27" t="s">
        <v>8</v>
      </c>
      <c r="EB716" s="27" t="s">
        <v>7</v>
      </c>
      <c r="EO716" s="27" t="s">
        <v>8</v>
      </c>
      <c r="EP716" s="27" t="s">
        <v>7</v>
      </c>
      <c r="EQ716" s="27" t="s">
        <v>8</v>
      </c>
    </row>
    <row r="717" spans="1:147" x14ac:dyDescent="0.25">
      <c r="A717" s="7">
        <v>7.6203982909394521E-2</v>
      </c>
      <c r="B717"/>
      <c r="C717"/>
      <c r="D717"/>
      <c r="E717"/>
      <c r="F717" s="27" t="s">
        <v>7</v>
      </c>
      <c r="AK717" s="27" t="s">
        <v>8</v>
      </c>
      <c r="AL717" s="27" t="s">
        <v>7</v>
      </c>
      <c r="AQ717" s="27" t="s">
        <v>8</v>
      </c>
      <c r="AR717" s="27" t="s">
        <v>7</v>
      </c>
      <c r="AS717" s="27" t="s">
        <v>8</v>
      </c>
      <c r="AT717" s="27" t="s">
        <v>7</v>
      </c>
      <c r="AU717" s="27" t="s">
        <v>8</v>
      </c>
      <c r="AV717" s="27" t="s">
        <v>7</v>
      </c>
      <c r="EA717" s="27" t="s">
        <v>8</v>
      </c>
      <c r="EB717" s="27" t="s">
        <v>7</v>
      </c>
      <c r="EO717" s="27" t="s">
        <v>8</v>
      </c>
      <c r="EP717" s="27" t="s">
        <v>7</v>
      </c>
      <c r="EQ717" s="27" t="s">
        <v>8</v>
      </c>
    </row>
    <row r="718" spans="1:147" x14ac:dyDescent="0.25">
      <c r="A718" s="7">
        <v>7.4709787166073058E-2</v>
      </c>
      <c r="B718"/>
      <c r="C718"/>
      <c r="D718"/>
      <c r="E718"/>
      <c r="F718" s="27" t="s">
        <v>7</v>
      </c>
      <c r="AK718" s="27" t="s">
        <v>8</v>
      </c>
      <c r="AL718" s="27" t="s">
        <v>7</v>
      </c>
      <c r="AQ718" s="27" t="s">
        <v>8</v>
      </c>
      <c r="AR718" s="27" t="s">
        <v>7</v>
      </c>
      <c r="AS718" s="27" t="s">
        <v>8</v>
      </c>
      <c r="AT718" s="27" t="s">
        <v>7</v>
      </c>
      <c r="AU718" s="27" t="s">
        <v>8</v>
      </c>
      <c r="AV718" s="27" t="s">
        <v>7</v>
      </c>
      <c r="EA718" s="27" t="s">
        <v>8</v>
      </c>
      <c r="EB718" s="27" t="s">
        <v>7</v>
      </c>
      <c r="EO718" s="27" t="s">
        <v>8</v>
      </c>
      <c r="EP718" s="27" t="s">
        <v>7</v>
      </c>
      <c r="EQ718" s="27" t="s">
        <v>8</v>
      </c>
    </row>
    <row r="719" spans="1:147" x14ac:dyDescent="0.25">
      <c r="A719" s="7">
        <v>7.3244889378503E-2</v>
      </c>
      <c r="B719"/>
      <c r="C719"/>
      <c r="D719"/>
      <c r="E719"/>
      <c r="F719" s="27" t="s">
        <v>7</v>
      </c>
      <c r="AK719" s="27" t="s">
        <v>8</v>
      </c>
      <c r="AL719" s="27" t="s">
        <v>7</v>
      </c>
      <c r="AQ719" s="27" t="s">
        <v>8</v>
      </c>
      <c r="AR719" s="27" t="s">
        <v>7</v>
      </c>
      <c r="AS719" s="27" t="s">
        <v>8</v>
      </c>
      <c r="AT719" s="27" t="s">
        <v>7</v>
      </c>
      <c r="AU719" s="27" t="s">
        <v>8</v>
      </c>
      <c r="AV719" s="27" t="s">
        <v>7</v>
      </c>
      <c r="EA719" s="27" t="s">
        <v>8</v>
      </c>
      <c r="EB719" s="27" t="s">
        <v>7</v>
      </c>
      <c r="EO719" s="27" t="s">
        <v>8</v>
      </c>
      <c r="EP719" s="27" t="s">
        <v>7</v>
      </c>
      <c r="EQ719" s="27" t="s">
        <v>8</v>
      </c>
    </row>
    <row r="720" spans="1:147" x14ac:dyDescent="0.25">
      <c r="A720" s="7">
        <v>7.1808715076963722E-2</v>
      </c>
      <c r="B720"/>
      <c r="C720"/>
      <c r="D720"/>
      <c r="E720"/>
      <c r="F720" s="27" t="s">
        <v>7</v>
      </c>
      <c r="AK720" s="27" t="s">
        <v>8</v>
      </c>
      <c r="AL720" s="27" t="s">
        <v>7</v>
      </c>
      <c r="AQ720" s="27" t="s">
        <v>8</v>
      </c>
      <c r="AR720" s="27" t="s">
        <v>7</v>
      </c>
      <c r="AS720" s="27" t="s">
        <v>8</v>
      </c>
      <c r="AT720" s="27" t="s">
        <v>7</v>
      </c>
      <c r="AU720" s="27" t="s">
        <v>8</v>
      </c>
      <c r="AV720" s="27" t="s">
        <v>7</v>
      </c>
      <c r="BC720" s="27" t="s">
        <v>8</v>
      </c>
      <c r="EA720" s="27" t="s">
        <v>8</v>
      </c>
      <c r="EB720" s="27" t="s">
        <v>7</v>
      </c>
      <c r="EO720" s="27" t="s">
        <v>8</v>
      </c>
      <c r="EP720" s="27" t="s">
        <v>7</v>
      </c>
      <c r="EQ720" s="27" t="s">
        <v>8</v>
      </c>
    </row>
    <row r="721" spans="1:147" x14ac:dyDescent="0.25">
      <c r="A721" s="7">
        <v>7.0400701055846782E-2</v>
      </c>
      <c r="B721"/>
      <c r="C721"/>
      <c r="D721"/>
      <c r="E721"/>
      <c r="F721" s="27" t="s">
        <v>7</v>
      </c>
      <c r="AK721" s="27" t="s">
        <v>8</v>
      </c>
      <c r="AL721" s="27" t="s">
        <v>7</v>
      </c>
      <c r="AQ721" s="27" t="s">
        <v>8</v>
      </c>
      <c r="AR721" s="27" t="s">
        <v>7</v>
      </c>
      <c r="AS721" s="27" t="s">
        <v>8</v>
      </c>
      <c r="AT721" s="27" t="s">
        <v>7</v>
      </c>
      <c r="AV721" s="27" t="s">
        <v>7</v>
      </c>
      <c r="AW721" s="27" t="s">
        <v>8</v>
      </c>
      <c r="BC721" s="27" t="s">
        <v>8</v>
      </c>
      <c r="BD721" s="27" t="s">
        <v>7</v>
      </c>
      <c r="EA721" s="27" t="s">
        <v>8</v>
      </c>
      <c r="EB721" s="27" t="s">
        <v>7</v>
      </c>
      <c r="EI721" s="27" t="s">
        <v>8</v>
      </c>
      <c r="EO721" s="27" t="s">
        <v>8</v>
      </c>
      <c r="EP721" s="27" t="s">
        <v>7</v>
      </c>
      <c r="EQ721" s="27" t="s">
        <v>8</v>
      </c>
    </row>
    <row r="722" spans="1:147" x14ac:dyDescent="0.25">
      <c r="A722" s="7">
        <v>6.9020295152790956E-2</v>
      </c>
      <c r="B722"/>
      <c r="C722"/>
      <c r="D722"/>
      <c r="E722"/>
      <c r="F722" s="27" t="s">
        <v>7</v>
      </c>
      <c r="AK722" s="27" t="s">
        <v>8</v>
      </c>
      <c r="AL722" s="27" t="s">
        <v>7</v>
      </c>
      <c r="AQ722" s="27" t="s">
        <v>8</v>
      </c>
      <c r="AR722" s="27" t="s">
        <v>7</v>
      </c>
      <c r="AS722" s="27" t="s">
        <v>8</v>
      </c>
      <c r="AV722" s="27" t="s">
        <v>7</v>
      </c>
      <c r="AW722" s="27" t="s">
        <v>8</v>
      </c>
      <c r="AX722" s="27" t="s">
        <v>7</v>
      </c>
      <c r="AY722" s="27" t="s">
        <v>8</v>
      </c>
      <c r="BC722" s="27" t="s">
        <v>8</v>
      </c>
      <c r="BD722" s="27" t="s">
        <v>7</v>
      </c>
      <c r="BE722" s="27" t="s">
        <v>8</v>
      </c>
      <c r="EA722" s="27" t="s">
        <v>8</v>
      </c>
      <c r="EB722" s="27" t="s">
        <v>7</v>
      </c>
      <c r="EC722" s="27" t="s">
        <v>8</v>
      </c>
      <c r="EI722" s="27" t="s">
        <v>8</v>
      </c>
      <c r="EJ722" s="27" t="s">
        <v>7</v>
      </c>
      <c r="EO722" s="27" t="s">
        <v>8</v>
      </c>
      <c r="EP722" s="27" t="s">
        <v>7</v>
      </c>
      <c r="EQ722" s="27" t="s">
        <v>8</v>
      </c>
    </row>
    <row r="723" spans="1:147" x14ac:dyDescent="0.25">
      <c r="A723" s="7">
        <v>6.7666956032147993E-2</v>
      </c>
      <c r="B723"/>
      <c r="C723"/>
      <c r="D723"/>
      <c r="E723"/>
      <c r="F723" s="27" t="s">
        <v>7</v>
      </c>
      <c r="AI723" s="27" t="s">
        <v>8</v>
      </c>
      <c r="AK723" s="27" t="s">
        <v>8</v>
      </c>
      <c r="AL723" s="27" t="s">
        <v>7</v>
      </c>
      <c r="AM723" s="27" t="s">
        <v>8</v>
      </c>
      <c r="AQ723" s="27" t="s">
        <v>8</v>
      </c>
      <c r="AR723" s="27" t="s">
        <v>7</v>
      </c>
      <c r="AS723" s="27" t="s">
        <v>8</v>
      </c>
      <c r="AV723" s="27" t="s">
        <v>7</v>
      </c>
      <c r="AW723" s="27" t="s">
        <v>8</v>
      </c>
      <c r="AX723" s="27" t="s">
        <v>7</v>
      </c>
      <c r="AY723" s="27" t="s">
        <v>8</v>
      </c>
      <c r="AZ723" s="27" t="s">
        <v>7</v>
      </c>
      <c r="BC723" s="27" t="s">
        <v>8</v>
      </c>
      <c r="BD723" s="27" t="s">
        <v>7</v>
      </c>
      <c r="BE723" s="27" t="s">
        <v>8</v>
      </c>
      <c r="BF723" s="27" t="s">
        <v>7</v>
      </c>
      <c r="EA723" s="27" t="s">
        <v>8</v>
      </c>
      <c r="EB723" s="27" t="s">
        <v>7</v>
      </c>
      <c r="EC723" s="27" t="s">
        <v>8</v>
      </c>
      <c r="ED723" s="27" t="s">
        <v>7</v>
      </c>
      <c r="EG723" s="27" t="s">
        <v>8</v>
      </c>
      <c r="EI723" s="27" t="s">
        <v>8</v>
      </c>
      <c r="EJ723" s="27" t="s">
        <v>7</v>
      </c>
      <c r="EO723" s="27" t="s">
        <v>8</v>
      </c>
      <c r="EP723" s="27" t="s">
        <v>7</v>
      </c>
      <c r="EQ723" s="27" t="s">
        <v>8</v>
      </c>
    </row>
    <row r="724" spans="1:147" x14ac:dyDescent="0.25">
      <c r="A724" s="7">
        <v>6.6340152972694105E-2</v>
      </c>
      <c r="B724"/>
      <c r="C724"/>
      <c r="D724"/>
      <c r="E724"/>
      <c r="F724" s="27" t="s">
        <v>7</v>
      </c>
      <c r="AI724" s="27" t="s">
        <v>8</v>
      </c>
      <c r="AJ724" s="27" t="s">
        <v>7</v>
      </c>
      <c r="AK724" s="27" t="s">
        <v>8</v>
      </c>
      <c r="AL724" s="27" t="s">
        <v>7</v>
      </c>
      <c r="AM724" s="27" t="s">
        <v>8</v>
      </c>
      <c r="AN724" s="27" t="s">
        <v>7</v>
      </c>
      <c r="AQ724" s="27" t="s">
        <v>8</v>
      </c>
      <c r="AR724" s="27" t="s">
        <v>7</v>
      </c>
      <c r="AS724" s="27" t="s">
        <v>8</v>
      </c>
      <c r="AV724" s="27" t="s">
        <v>7</v>
      </c>
      <c r="AW724" s="27" t="s">
        <v>8</v>
      </c>
      <c r="AX724" s="27" t="s">
        <v>7</v>
      </c>
      <c r="AY724" s="27" t="s">
        <v>8</v>
      </c>
      <c r="AZ724" s="27" t="s">
        <v>7</v>
      </c>
      <c r="BC724" s="27" t="s">
        <v>8</v>
      </c>
      <c r="BD724" s="27" t="s">
        <v>7</v>
      </c>
      <c r="BE724" s="27" t="s">
        <v>8</v>
      </c>
      <c r="BF724" s="27" t="s">
        <v>7</v>
      </c>
      <c r="EA724" s="27" t="s">
        <v>8</v>
      </c>
      <c r="EB724" s="27" t="s">
        <v>7</v>
      </c>
      <c r="EC724" s="27" t="s">
        <v>8</v>
      </c>
      <c r="ED724" s="27" t="s">
        <v>7</v>
      </c>
      <c r="EG724" s="27" t="s">
        <v>8</v>
      </c>
      <c r="EH724" s="27" t="s">
        <v>7</v>
      </c>
      <c r="EI724" s="27" t="s">
        <v>8</v>
      </c>
      <c r="EJ724" s="27" t="s">
        <v>7</v>
      </c>
      <c r="EO724" s="27" t="s">
        <v>8</v>
      </c>
      <c r="EP724" s="27" t="s">
        <v>7</v>
      </c>
    </row>
    <row r="725" spans="1:147" x14ac:dyDescent="0.25">
      <c r="A725" s="7">
        <v>6.5039365659504023E-2</v>
      </c>
      <c r="B725"/>
      <c r="C725"/>
      <c r="D725"/>
      <c r="E725"/>
      <c r="F725" s="27" t="s">
        <v>7</v>
      </c>
      <c r="AI725" s="27" t="s">
        <v>8</v>
      </c>
      <c r="AJ725" s="27" t="s">
        <v>7</v>
      </c>
      <c r="AK725" s="27" t="s">
        <v>8</v>
      </c>
      <c r="AL725" s="27" t="s">
        <v>7</v>
      </c>
      <c r="AM725" s="27" t="s">
        <v>8</v>
      </c>
      <c r="AN725" s="27" t="s">
        <v>7</v>
      </c>
      <c r="AQ725" s="27" t="s">
        <v>8</v>
      </c>
      <c r="AR725" s="27" t="s">
        <v>7</v>
      </c>
      <c r="AV725" s="27" t="s">
        <v>7</v>
      </c>
      <c r="AW725" s="27" t="s">
        <v>8</v>
      </c>
      <c r="AX725" s="27" t="s">
        <v>7</v>
      </c>
      <c r="AY725" s="27" t="s">
        <v>8</v>
      </c>
      <c r="AZ725" s="27" t="s">
        <v>7</v>
      </c>
      <c r="BC725" s="27" t="s">
        <v>8</v>
      </c>
      <c r="BD725" s="27" t="s">
        <v>7</v>
      </c>
      <c r="BF725" s="27" t="s">
        <v>7</v>
      </c>
      <c r="EA725" s="27" t="s">
        <v>8</v>
      </c>
      <c r="EB725" s="27" t="s">
        <v>7</v>
      </c>
      <c r="EC725" s="27" t="s">
        <v>8</v>
      </c>
      <c r="ED725" s="27" t="s">
        <v>7</v>
      </c>
      <c r="EG725" s="27" t="s">
        <v>8</v>
      </c>
      <c r="EH725" s="27" t="s">
        <v>7</v>
      </c>
      <c r="EI725" s="27" t="s">
        <v>8</v>
      </c>
      <c r="EJ725" s="27" t="s">
        <v>7</v>
      </c>
      <c r="EO725" s="27" t="s">
        <v>8</v>
      </c>
    </row>
    <row r="726" spans="1:147" x14ac:dyDescent="0.25">
      <c r="A726" s="7">
        <v>6.3764083979905906E-2</v>
      </c>
      <c r="B726"/>
      <c r="C726"/>
      <c r="D726"/>
      <c r="E726"/>
      <c r="F726" s="27" t="s">
        <v>7</v>
      </c>
      <c r="AI726" s="27" t="s">
        <v>8</v>
      </c>
      <c r="AJ726" s="27" t="s">
        <v>7</v>
      </c>
      <c r="AK726" s="27" t="s">
        <v>8</v>
      </c>
      <c r="AL726" s="27" t="s">
        <v>7</v>
      </c>
      <c r="AM726" s="27" t="s">
        <v>8</v>
      </c>
      <c r="AN726" s="27" t="s">
        <v>7</v>
      </c>
      <c r="AQ726" s="27" t="s">
        <v>8</v>
      </c>
      <c r="AV726" s="27" t="s">
        <v>7</v>
      </c>
      <c r="AW726" s="27" t="s">
        <v>8</v>
      </c>
      <c r="AX726" s="27" t="s">
        <v>7</v>
      </c>
      <c r="AY726" s="27" t="s">
        <v>8</v>
      </c>
      <c r="AZ726" s="27" t="s">
        <v>7</v>
      </c>
      <c r="BC726" s="27" t="s">
        <v>8</v>
      </c>
      <c r="BF726" s="27" t="s">
        <v>7</v>
      </c>
      <c r="EA726" s="27" t="s">
        <v>8</v>
      </c>
      <c r="EB726" s="27" t="s">
        <v>7</v>
      </c>
      <c r="EC726" s="27" t="s">
        <v>8</v>
      </c>
      <c r="ED726" s="27" t="s">
        <v>7</v>
      </c>
      <c r="EE726" s="27" t="s">
        <v>8</v>
      </c>
      <c r="EG726" s="27" t="s">
        <v>8</v>
      </c>
      <c r="EH726" s="27" t="s">
        <v>7</v>
      </c>
      <c r="EI726" s="27" t="s">
        <v>8</v>
      </c>
      <c r="EJ726" s="27" t="s">
        <v>7</v>
      </c>
      <c r="EM726" s="27" t="s">
        <v>8</v>
      </c>
      <c r="EO726" s="27" t="s">
        <v>8</v>
      </c>
    </row>
    <row r="727" spans="1:147" x14ac:dyDescent="0.25">
      <c r="A727" s="7">
        <v>6.251380782343717E-2</v>
      </c>
      <c r="B727"/>
      <c r="C727"/>
      <c r="D727"/>
      <c r="E727"/>
      <c r="F727" s="27" t="s">
        <v>7</v>
      </c>
      <c r="AI727" s="27" t="s">
        <v>8</v>
      </c>
      <c r="AJ727" s="27" t="s">
        <v>7</v>
      </c>
      <c r="AK727" s="27" t="s">
        <v>8</v>
      </c>
      <c r="AL727" s="27" t="s">
        <v>7</v>
      </c>
      <c r="AM727" s="27" t="s">
        <v>8</v>
      </c>
      <c r="AN727" s="27" t="s">
        <v>7</v>
      </c>
      <c r="AQ727" s="27" t="s">
        <v>8</v>
      </c>
      <c r="AV727" s="27" t="s">
        <v>7</v>
      </c>
      <c r="AW727" s="27" t="s">
        <v>8</v>
      </c>
      <c r="AX727" s="27" t="s">
        <v>7</v>
      </c>
      <c r="AY727" s="27" t="s">
        <v>8</v>
      </c>
      <c r="AZ727" s="27" t="s">
        <v>7</v>
      </c>
      <c r="BA727" s="27" t="s">
        <v>8</v>
      </c>
      <c r="BC727" s="27" t="s">
        <v>8</v>
      </c>
      <c r="BF727" s="27" t="s">
        <v>7</v>
      </c>
      <c r="EA727" s="27" t="s">
        <v>8</v>
      </c>
      <c r="EB727" s="27" t="s">
        <v>7</v>
      </c>
      <c r="EC727" s="27" t="s">
        <v>8</v>
      </c>
      <c r="ED727" s="27" t="s">
        <v>7</v>
      </c>
      <c r="EE727" s="27" t="s">
        <v>8</v>
      </c>
      <c r="EF727" s="27" t="s">
        <v>7</v>
      </c>
      <c r="EG727" s="27" t="s">
        <v>8</v>
      </c>
      <c r="EH727" s="27" t="s">
        <v>7</v>
      </c>
      <c r="EI727" s="27" t="s">
        <v>8</v>
      </c>
      <c r="EJ727" s="27" t="s">
        <v>7</v>
      </c>
      <c r="EM727" s="27" t="s">
        <v>8</v>
      </c>
      <c r="EN727" s="27" t="s">
        <v>7</v>
      </c>
      <c r="EO727" s="27" t="s">
        <v>8</v>
      </c>
    </row>
    <row r="728" spans="1:147" x14ac:dyDescent="0.25">
      <c r="A728" s="7">
        <v>6.1288046885722716E-2</v>
      </c>
      <c r="B728"/>
      <c r="C728"/>
      <c r="D728"/>
      <c r="E728"/>
      <c r="F728" s="27" t="s">
        <v>7</v>
      </c>
      <c r="AI728" s="27" t="s">
        <v>8</v>
      </c>
      <c r="AJ728" s="27" t="s">
        <v>7</v>
      </c>
      <c r="AK728" s="27" t="s">
        <v>8</v>
      </c>
      <c r="AL728" s="27" t="s">
        <v>7</v>
      </c>
      <c r="AM728" s="27" t="s">
        <v>8</v>
      </c>
      <c r="AN728" s="27" t="s">
        <v>7</v>
      </c>
      <c r="AQ728" s="27" t="s">
        <v>8</v>
      </c>
      <c r="AV728" s="27" t="s">
        <v>7</v>
      </c>
      <c r="AW728" s="27" t="s">
        <v>8</v>
      </c>
      <c r="AX728" s="27" t="s">
        <v>7</v>
      </c>
      <c r="AY728" s="27" t="s">
        <v>8</v>
      </c>
      <c r="AZ728" s="27" t="s">
        <v>7</v>
      </c>
      <c r="BA728" s="27" t="s">
        <v>8</v>
      </c>
      <c r="BB728" s="27" t="s">
        <v>7</v>
      </c>
      <c r="BC728" s="27" t="s">
        <v>8</v>
      </c>
      <c r="BF728" s="27" t="s">
        <v>7</v>
      </c>
      <c r="EA728" s="27" t="s">
        <v>8</v>
      </c>
      <c r="EB728" s="27" t="s">
        <v>7</v>
      </c>
      <c r="EC728" s="27" t="s">
        <v>8</v>
      </c>
      <c r="ED728" s="27" t="s">
        <v>7</v>
      </c>
      <c r="EE728" s="27" t="s">
        <v>8</v>
      </c>
      <c r="EF728" s="27" t="s">
        <v>7</v>
      </c>
      <c r="EG728" s="27" t="s">
        <v>8</v>
      </c>
      <c r="EH728" s="27" t="s">
        <v>7</v>
      </c>
      <c r="EI728" s="27" t="s">
        <v>8</v>
      </c>
      <c r="EJ728" s="27" t="s">
        <v>7</v>
      </c>
      <c r="EM728" s="27" t="s">
        <v>8</v>
      </c>
      <c r="EN728" s="27" t="s">
        <v>7</v>
      </c>
      <c r="EO728" s="27" t="s">
        <v>8</v>
      </c>
    </row>
    <row r="729" spans="1:147" x14ac:dyDescent="0.25">
      <c r="A729" s="7">
        <v>6.0086320476198739E-2</v>
      </c>
      <c r="B729"/>
      <c r="C729"/>
      <c r="D729"/>
      <c r="E729"/>
      <c r="F729" s="27" t="s">
        <v>7</v>
      </c>
      <c r="AI729" s="27" t="s">
        <v>8</v>
      </c>
      <c r="AJ729" s="27" t="s">
        <v>7</v>
      </c>
      <c r="AK729" s="27" t="s">
        <v>8</v>
      </c>
      <c r="AL729" s="27" t="s">
        <v>7</v>
      </c>
      <c r="AM729" s="27" t="s">
        <v>8</v>
      </c>
      <c r="AN729" s="27" t="s">
        <v>7</v>
      </c>
      <c r="AQ729" s="27" t="s">
        <v>8</v>
      </c>
      <c r="AV729" s="27" t="s">
        <v>7</v>
      </c>
      <c r="AX729" s="27" t="s">
        <v>7</v>
      </c>
      <c r="AY729" s="27" t="s">
        <v>8</v>
      </c>
      <c r="AZ729" s="27" t="s">
        <v>7</v>
      </c>
      <c r="BA729" s="27" t="s">
        <v>8</v>
      </c>
      <c r="BB729" s="27" t="s">
        <v>7</v>
      </c>
      <c r="BC729" s="27" t="s">
        <v>8</v>
      </c>
      <c r="BF729" s="27" t="s">
        <v>7</v>
      </c>
      <c r="EA729" s="27" t="s">
        <v>8</v>
      </c>
      <c r="EB729" s="27" t="s">
        <v>7</v>
      </c>
      <c r="ED729" s="27" t="s">
        <v>7</v>
      </c>
      <c r="EE729" s="27" t="s">
        <v>8</v>
      </c>
      <c r="EF729" s="27" t="s">
        <v>7</v>
      </c>
      <c r="EG729" s="27" t="s">
        <v>8</v>
      </c>
      <c r="EH729" s="27" t="s">
        <v>7</v>
      </c>
      <c r="EJ729" s="27" t="s">
        <v>7</v>
      </c>
      <c r="EM729" s="27" t="s">
        <v>8</v>
      </c>
      <c r="EN729" s="27" t="s">
        <v>7</v>
      </c>
      <c r="EO729" s="27" t="s">
        <v>8</v>
      </c>
    </row>
    <row r="730" spans="1:147" x14ac:dyDescent="0.25">
      <c r="A730" s="7">
        <v>5.8908157329606609E-2</v>
      </c>
      <c r="B730"/>
      <c r="C730"/>
      <c r="D730"/>
      <c r="E730"/>
      <c r="F730" s="27" t="s">
        <v>7</v>
      </c>
      <c r="AI730" s="27" t="s">
        <v>8</v>
      </c>
      <c r="AJ730" s="27" t="s">
        <v>7</v>
      </c>
      <c r="AK730" s="27" t="s">
        <v>8</v>
      </c>
      <c r="AL730" s="27" t="s">
        <v>7</v>
      </c>
      <c r="AM730" s="27" t="s">
        <v>8</v>
      </c>
      <c r="AN730" s="27" t="s">
        <v>7</v>
      </c>
      <c r="AQ730" s="27" t="s">
        <v>8</v>
      </c>
      <c r="AX730" s="27" t="s">
        <v>7</v>
      </c>
      <c r="AY730" s="27" t="s">
        <v>8</v>
      </c>
      <c r="AZ730" s="27" t="s">
        <v>7</v>
      </c>
      <c r="BA730" s="27" t="s">
        <v>8</v>
      </c>
      <c r="BB730" s="27" t="s">
        <v>7</v>
      </c>
      <c r="BC730" s="27" t="s">
        <v>8</v>
      </c>
      <c r="BF730" s="27" t="s">
        <v>7</v>
      </c>
      <c r="BG730" s="27" t="s">
        <v>8</v>
      </c>
      <c r="EA730" s="27" t="s">
        <v>8</v>
      </c>
      <c r="ED730" s="27" t="s">
        <v>7</v>
      </c>
      <c r="EE730" s="27" t="s">
        <v>8</v>
      </c>
      <c r="EF730" s="27" t="s">
        <v>7</v>
      </c>
      <c r="EG730" s="27" t="s">
        <v>8</v>
      </c>
      <c r="EJ730" s="27" t="s">
        <v>7</v>
      </c>
      <c r="EM730" s="27" t="s">
        <v>8</v>
      </c>
      <c r="EN730" s="27" t="s">
        <v>7</v>
      </c>
      <c r="EO730" s="27" t="s">
        <v>8</v>
      </c>
    </row>
    <row r="731" spans="1:147" x14ac:dyDescent="0.25">
      <c r="A731" s="7">
        <v>5.7753095421182947E-2</v>
      </c>
      <c r="B731"/>
      <c r="C731"/>
      <c r="D731"/>
      <c r="E731"/>
      <c r="F731" s="27" t="s">
        <v>7</v>
      </c>
      <c r="AI731" s="27" t="s">
        <v>8</v>
      </c>
      <c r="AJ731" s="27" t="s">
        <v>7</v>
      </c>
      <c r="AK731" s="27" t="s">
        <v>8</v>
      </c>
      <c r="AL731" s="27" t="s">
        <v>7</v>
      </c>
      <c r="AM731" s="27" t="s">
        <v>8</v>
      </c>
      <c r="AN731" s="27" t="s">
        <v>7</v>
      </c>
      <c r="AO731" s="27" t="s">
        <v>8</v>
      </c>
      <c r="AQ731" s="27" t="s">
        <v>8</v>
      </c>
      <c r="AX731" s="27" t="s">
        <v>7</v>
      </c>
      <c r="AY731" s="27" t="s">
        <v>8</v>
      </c>
      <c r="AZ731" s="27" t="s">
        <v>7</v>
      </c>
      <c r="BB731" s="27" t="s">
        <v>7</v>
      </c>
      <c r="BC731" s="27" t="s">
        <v>8</v>
      </c>
      <c r="BF731" s="27" t="s">
        <v>7</v>
      </c>
      <c r="BG731" s="27" t="s">
        <v>8</v>
      </c>
      <c r="BH731" s="27" t="s">
        <v>7</v>
      </c>
      <c r="EA731" s="27" t="s">
        <v>8</v>
      </c>
      <c r="ED731" s="27" t="s">
        <v>7</v>
      </c>
      <c r="EE731" s="27" t="s">
        <v>8</v>
      </c>
      <c r="EF731" s="27" t="s">
        <v>7</v>
      </c>
      <c r="EG731" s="27" t="s">
        <v>8</v>
      </c>
      <c r="EJ731" s="27" t="s">
        <v>7</v>
      </c>
      <c r="EK731" s="27" t="s">
        <v>8</v>
      </c>
      <c r="EM731" s="27" t="s">
        <v>8</v>
      </c>
      <c r="EN731" s="27" t="s">
        <v>7</v>
      </c>
      <c r="EO731" s="27" t="s">
        <v>8</v>
      </c>
    </row>
    <row r="732" spans="1:147" x14ac:dyDescent="0.25">
      <c r="A732" s="7">
        <v>5.6620681785473484E-2</v>
      </c>
      <c r="B732"/>
      <c r="C732"/>
      <c r="D732"/>
      <c r="E732"/>
      <c r="F732" s="27" t="s">
        <v>7</v>
      </c>
      <c r="AI732" s="27" t="s">
        <v>8</v>
      </c>
      <c r="AJ732" s="27" t="s">
        <v>7</v>
      </c>
      <c r="AK732" s="27" t="s">
        <v>8</v>
      </c>
      <c r="AL732" s="27" t="s">
        <v>7</v>
      </c>
      <c r="AN732" s="27" t="s">
        <v>7</v>
      </c>
      <c r="AO732" s="27" t="s">
        <v>8</v>
      </c>
      <c r="AP732" s="27" t="s">
        <v>7</v>
      </c>
      <c r="AQ732" s="27" t="s">
        <v>8</v>
      </c>
      <c r="AX732" s="27" t="s">
        <v>7</v>
      </c>
      <c r="AY732" s="27" t="s">
        <v>8</v>
      </c>
      <c r="BB732" s="27" t="s">
        <v>7</v>
      </c>
      <c r="BC732" s="27" t="s">
        <v>8</v>
      </c>
      <c r="BF732" s="27" t="s">
        <v>7</v>
      </c>
      <c r="BG732" s="27" t="s">
        <v>8</v>
      </c>
      <c r="BH732" s="27" t="s">
        <v>7</v>
      </c>
      <c r="EA732" s="27" t="s">
        <v>8</v>
      </c>
      <c r="ED732" s="27" t="s">
        <v>7</v>
      </c>
      <c r="EE732" s="27" t="s">
        <v>8</v>
      </c>
      <c r="EF732" s="27" t="s">
        <v>7</v>
      </c>
      <c r="EG732" s="27" t="s">
        <v>8</v>
      </c>
      <c r="EJ732" s="27" t="s">
        <v>7</v>
      </c>
      <c r="EK732" s="27" t="s">
        <v>8</v>
      </c>
      <c r="EL732" s="27" t="s">
        <v>7</v>
      </c>
      <c r="EM732" s="27" t="s">
        <v>8</v>
      </c>
      <c r="EN732" s="27" t="s">
        <v>7</v>
      </c>
      <c r="EO732" s="27" t="s">
        <v>8</v>
      </c>
    </row>
    <row r="733" spans="1:147" x14ac:dyDescent="0.25">
      <c r="A733" s="7">
        <v>5.5510472338699497E-2</v>
      </c>
      <c r="B733"/>
      <c r="C733"/>
      <c r="D733"/>
      <c r="E733"/>
      <c r="F733" s="27" t="s">
        <v>7</v>
      </c>
      <c r="AI733" s="27" t="s">
        <v>8</v>
      </c>
      <c r="AJ733" s="27" t="s">
        <v>7</v>
      </c>
      <c r="AK733" s="27" t="s">
        <v>8</v>
      </c>
      <c r="AN733" s="27" t="s">
        <v>7</v>
      </c>
      <c r="AO733" s="27" t="s">
        <v>8</v>
      </c>
      <c r="AP733" s="27" t="s">
        <v>7</v>
      </c>
      <c r="AQ733" s="27" t="s">
        <v>8</v>
      </c>
      <c r="AX733" s="27" t="s">
        <v>7</v>
      </c>
      <c r="BB733" s="27" t="s">
        <v>7</v>
      </c>
      <c r="BF733" s="27" t="s">
        <v>7</v>
      </c>
      <c r="BG733" s="27" t="s">
        <v>8</v>
      </c>
      <c r="BH733" s="27" t="s">
        <v>7</v>
      </c>
      <c r="EA733" s="27" t="s">
        <v>8</v>
      </c>
      <c r="ED733" s="27" t="s">
        <v>7</v>
      </c>
      <c r="EE733" s="27" t="s">
        <v>8</v>
      </c>
      <c r="EF733" s="27" t="s">
        <v>7</v>
      </c>
      <c r="EJ733" s="27" t="s">
        <v>7</v>
      </c>
      <c r="EK733" s="27" t="s">
        <v>8</v>
      </c>
      <c r="EL733" s="27" t="s">
        <v>7</v>
      </c>
      <c r="EM733" s="27" t="s">
        <v>8</v>
      </c>
      <c r="EN733" s="27" t="s">
        <v>7</v>
      </c>
      <c r="EO733" s="27" t="s">
        <v>8</v>
      </c>
    </row>
    <row r="734" spans="1:147" x14ac:dyDescent="0.25">
      <c r="A734" s="7">
        <v>5.4422031704607354E-2</v>
      </c>
      <c r="B734"/>
      <c r="C734"/>
      <c r="D734"/>
      <c r="E734"/>
      <c r="F734" s="27" t="s">
        <v>7</v>
      </c>
      <c r="AI734" s="27" t="s">
        <v>8</v>
      </c>
      <c r="AJ734" s="27" t="s">
        <v>7</v>
      </c>
      <c r="AN734" s="27" t="s">
        <v>7</v>
      </c>
      <c r="AO734" s="27" t="s">
        <v>8</v>
      </c>
      <c r="AP734" s="27" t="s">
        <v>7</v>
      </c>
      <c r="AQ734" s="27" t="s">
        <v>8</v>
      </c>
      <c r="BF734" s="27" t="s">
        <v>7</v>
      </c>
      <c r="BG734" s="27" t="s">
        <v>8</v>
      </c>
      <c r="BH734" s="27" t="s">
        <v>7</v>
      </c>
      <c r="EA734" s="27" t="s">
        <v>8</v>
      </c>
      <c r="ED734" s="27" t="s">
        <v>7</v>
      </c>
      <c r="EE734" s="27" t="s">
        <v>8</v>
      </c>
      <c r="EJ734" s="27" t="s">
        <v>7</v>
      </c>
      <c r="EK734" s="27" t="s">
        <v>8</v>
      </c>
      <c r="EL734" s="27" t="s">
        <v>7</v>
      </c>
      <c r="EM734" s="27" t="s">
        <v>8</v>
      </c>
      <c r="EN734" s="27" t="s">
        <v>7</v>
      </c>
      <c r="EO734" s="27" t="s">
        <v>8</v>
      </c>
    </row>
    <row r="735" spans="1:147" x14ac:dyDescent="0.25">
      <c r="A735" s="7">
        <v>5.3354933043732705E-2</v>
      </c>
      <c r="B735"/>
      <c r="C735"/>
      <c r="D735"/>
      <c r="E735"/>
      <c r="F735" s="27" t="s">
        <v>7</v>
      </c>
      <c r="AI735" s="27" t="s">
        <v>8</v>
      </c>
      <c r="AN735" s="27" t="s">
        <v>7</v>
      </c>
      <c r="AO735" s="27" t="s">
        <v>8</v>
      </c>
      <c r="AP735" s="27" t="s">
        <v>7</v>
      </c>
      <c r="BF735" s="27" t="s">
        <v>7</v>
      </c>
      <c r="BG735" s="27" t="s">
        <v>8</v>
      </c>
      <c r="BH735" s="27" t="s">
        <v>7</v>
      </c>
      <c r="BK735" s="27" t="s">
        <v>8</v>
      </c>
      <c r="EA735" s="27" t="s">
        <v>8</v>
      </c>
      <c r="ED735" s="27" t="s">
        <v>7</v>
      </c>
      <c r="EJ735" s="27" t="s">
        <v>7</v>
      </c>
      <c r="EK735" s="27" t="s">
        <v>8</v>
      </c>
      <c r="EL735" s="27" t="s">
        <v>7</v>
      </c>
      <c r="EM735" s="27" t="s">
        <v>8</v>
      </c>
      <c r="EN735" s="27" t="s">
        <v>7</v>
      </c>
      <c r="EO735" s="27" t="s">
        <v>8</v>
      </c>
    </row>
    <row r="736" spans="1:147" x14ac:dyDescent="0.25">
      <c r="A736" s="7">
        <v>5.2308757886012455E-2</v>
      </c>
      <c r="B736"/>
      <c r="C736"/>
      <c r="D736"/>
      <c r="E736"/>
      <c r="F736" s="27" t="s">
        <v>7</v>
      </c>
      <c r="AI736" s="27" t="s">
        <v>8</v>
      </c>
      <c r="AN736" s="27" t="s">
        <v>7</v>
      </c>
      <c r="AO736" s="27" t="s">
        <v>8</v>
      </c>
      <c r="BF736" s="27" t="s">
        <v>7</v>
      </c>
      <c r="BG736" s="27" t="s">
        <v>8</v>
      </c>
      <c r="BH736" s="27" t="s">
        <v>7</v>
      </c>
      <c r="BI736" s="27" t="s">
        <v>8</v>
      </c>
      <c r="BK736" s="27" t="s">
        <v>8</v>
      </c>
      <c r="BL736" s="27" t="s">
        <v>7</v>
      </c>
      <c r="EA736" s="27" t="s">
        <v>8</v>
      </c>
      <c r="EJ736" s="27" t="s">
        <v>7</v>
      </c>
      <c r="EK736" s="27" t="s">
        <v>8</v>
      </c>
      <c r="EL736" s="27" t="s">
        <v>7</v>
      </c>
      <c r="EM736" s="27" t="s">
        <v>8</v>
      </c>
      <c r="EN736" s="27" t="s">
        <v>7</v>
      </c>
      <c r="EO736" s="27" t="s">
        <v>8</v>
      </c>
    </row>
    <row r="737" spans="1:145" x14ac:dyDescent="0.25">
      <c r="A737" s="7">
        <v>5.1283095966678877E-2</v>
      </c>
      <c r="B737"/>
      <c r="C737"/>
      <c r="D737"/>
      <c r="E737"/>
      <c r="F737" s="27" t="s">
        <v>7</v>
      </c>
      <c r="S737" s="27" t="s">
        <v>8</v>
      </c>
      <c r="AI737" s="27" t="s">
        <v>8</v>
      </c>
      <c r="AN737" s="27" t="s">
        <v>7</v>
      </c>
      <c r="AO737" s="27" t="s">
        <v>8</v>
      </c>
      <c r="BF737" s="27" t="s">
        <v>7</v>
      </c>
      <c r="BG737" s="27" t="s">
        <v>8</v>
      </c>
      <c r="BH737" s="27" t="s">
        <v>7</v>
      </c>
      <c r="BI737" s="27" t="s">
        <v>8</v>
      </c>
      <c r="BJ737" s="27" t="s">
        <v>7</v>
      </c>
      <c r="BK737" s="27" t="s">
        <v>8</v>
      </c>
      <c r="BL737" s="27" t="s">
        <v>7</v>
      </c>
      <c r="EA737" s="27" t="s">
        <v>8</v>
      </c>
      <c r="EJ737" s="27" t="s">
        <v>7</v>
      </c>
      <c r="EK737" s="27" t="s">
        <v>8</v>
      </c>
      <c r="EL737" s="27" t="s">
        <v>7</v>
      </c>
      <c r="EM737" s="27" t="s">
        <v>8</v>
      </c>
      <c r="EN737" s="27" t="s">
        <v>7</v>
      </c>
      <c r="EO737" s="27" t="s">
        <v>8</v>
      </c>
    </row>
    <row r="738" spans="1:145" x14ac:dyDescent="0.25">
      <c r="A738" s="7">
        <v>5.0277545065371444E-2</v>
      </c>
      <c r="B738"/>
      <c r="C738"/>
      <c r="D738"/>
      <c r="E738"/>
      <c r="F738" s="27" t="s">
        <v>7</v>
      </c>
      <c r="S738" s="27" t="s">
        <v>8</v>
      </c>
      <c r="T738" s="27" t="s">
        <v>7</v>
      </c>
      <c r="AI738" s="27" t="s">
        <v>8</v>
      </c>
      <c r="AN738" s="27" t="s">
        <v>7</v>
      </c>
      <c r="AO738" s="27" t="s">
        <v>8</v>
      </c>
      <c r="BF738" s="27" t="s">
        <v>7</v>
      </c>
      <c r="BG738" s="27" t="s">
        <v>8</v>
      </c>
      <c r="BH738" s="27" t="s">
        <v>7</v>
      </c>
      <c r="BI738" s="27" t="s">
        <v>8</v>
      </c>
      <c r="BJ738" s="27" t="s">
        <v>7</v>
      </c>
      <c r="BK738" s="27" t="s">
        <v>8</v>
      </c>
      <c r="BL738" s="27" t="s">
        <v>7</v>
      </c>
      <c r="EA738" s="27" t="s">
        <v>8</v>
      </c>
      <c r="EJ738" s="27" t="s">
        <v>7</v>
      </c>
      <c r="EK738" s="27" t="s">
        <v>8</v>
      </c>
      <c r="EL738" s="27" t="s">
        <v>7</v>
      </c>
      <c r="EM738" s="27" t="s">
        <v>8</v>
      </c>
      <c r="EN738" s="27" t="s">
        <v>7</v>
      </c>
    </row>
    <row r="739" spans="1:145" x14ac:dyDescent="0.25">
      <c r="A739" s="7">
        <v>4.9291710848403378E-2</v>
      </c>
      <c r="B739"/>
      <c r="C739"/>
      <c r="D739"/>
      <c r="E739"/>
      <c r="F739" s="27" t="s">
        <v>7</v>
      </c>
      <c r="S739" s="27" t="s">
        <v>8</v>
      </c>
      <c r="T739" s="27" t="s">
        <v>7</v>
      </c>
      <c r="AI739" s="27" t="s">
        <v>8</v>
      </c>
      <c r="AN739" s="27" t="s">
        <v>7</v>
      </c>
      <c r="AO739" s="27" t="s">
        <v>8</v>
      </c>
      <c r="BF739" s="27" t="s">
        <v>7</v>
      </c>
      <c r="BG739" s="27" t="s">
        <v>8</v>
      </c>
      <c r="BH739" s="27" t="s">
        <v>7</v>
      </c>
      <c r="BI739" s="27" t="s">
        <v>8</v>
      </c>
      <c r="BJ739" s="27" t="s">
        <v>7</v>
      </c>
      <c r="BK739" s="27" t="s">
        <v>8</v>
      </c>
      <c r="BL739" s="27" t="s">
        <v>7</v>
      </c>
      <c r="EA739" s="27" t="s">
        <v>8</v>
      </c>
      <c r="EJ739" s="27" t="s">
        <v>7</v>
      </c>
      <c r="EK739" s="27" t="s">
        <v>8</v>
      </c>
      <c r="EL739" s="27" t="s">
        <v>7</v>
      </c>
      <c r="EM739" s="27" t="s">
        <v>8</v>
      </c>
    </row>
    <row r="740" spans="1:145" x14ac:dyDescent="0.25">
      <c r="A740" s="7">
        <v>4.8325206714120959E-2</v>
      </c>
      <c r="B740"/>
      <c r="C740"/>
      <c r="D740"/>
      <c r="E740"/>
      <c r="F740" s="27" t="s">
        <v>7</v>
      </c>
      <c r="S740" s="27" t="s">
        <v>8</v>
      </c>
      <c r="T740" s="27" t="s">
        <v>7</v>
      </c>
      <c r="AI740" s="27" t="s">
        <v>8</v>
      </c>
      <c r="AN740" s="27" t="s">
        <v>7</v>
      </c>
      <c r="AO740" s="27" t="s">
        <v>8</v>
      </c>
      <c r="BF740" s="27" t="s">
        <v>7</v>
      </c>
      <c r="BG740" s="27" t="s">
        <v>8</v>
      </c>
      <c r="BH740" s="27" t="s">
        <v>7</v>
      </c>
      <c r="BI740" s="27" t="s">
        <v>8</v>
      </c>
      <c r="BJ740" s="27" t="s">
        <v>7</v>
      </c>
      <c r="BL740" s="27" t="s">
        <v>7</v>
      </c>
      <c r="EA740" s="27" t="s">
        <v>8</v>
      </c>
      <c r="EJ740" s="27" t="s">
        <v>7</v>
      </c>
      <c r="EK740" s="27" t="s">
        <v>8</v>
      </c>
      <c r="EL740" s="27" t="s">
        <v>7</v>
      </c>
      <c r="EM740" s="27" t="s">
        <v>8</v>
      </c>
    </row>
    <row r="741" spans="1:145" x14ac:dyDescent="0.25">
      <c r="A741" s="7">
        <v>4.7377653641295057E-2</v>
      </c>
      <c r="B741"/>
      <c r="C741"/>
      <c r="D741"/>
      <c r="E741"/>
      <c r="F741" s="27" t="s">
        <v>7</v>
      </c>
      <c r="S741" s="27" t="s">
        <v>8</v>
      </c>
      <c r="T741" s="27" t="s">
        <v>7</v>
      </c>
      <c r="AI741" s="27" t="s">
        <v>8</v>
      </c>
      <c r="AN741" s="27" t="s">
        <v>7</v>
      </c>
      <c r="AO741" s="27" t="s">
        <v>8</v>
      </c>
      <c r="BF741" s="27" t="s">
        <v>7</v>
      </c>
      <c r="BG741" s="27" t="s">
        <v>8</v>
      </c>
      <c r="BH741" s="27" t="s">
        <v>7</v>
      </c>
      <c r="BI741" s="27" t="s">
        <v>8</v>
      </c>
      <c r="BL741" s="27" t="s">
        <v>7</v>
      </c>
      <c r="EA741" s="27" t="s">
        <v>8</v>
      </c>
      <c r="EJ741" s="27" t="s">
        <v>7</v>
      </c>
      <c r="EK741" s="27" t="s">
        <v>8</v>
      </c>
      <c r="EL741" s="27" t="s">
        <v>7</v>
      </c>
      <c r="EM741" s="27" t="s">
        <v>8</v>
      </c>
    </row>
    <row r="742" spans="1:145" x14ac:dyDescent="0.25">
      <c r="A742" s="7">
        <v>4.644868004048535E-2</v>
      </c>
      <c r="B742"/>
      <c r="C742"/>
      <c r="D742"/>
      <c r="E742"/>
      <c r="F742" s="27" t="s">
        <v>7</v>
      </c>
      <c r="S742" s="27" t="s">
        <v>8</v>
      </c>
      <c r="T742" s="27" t="s">
        <v>7</v>
      </c>
      <c r="AI742" s="27" t="s">
        <v>8</v>
      </c>
      <c r="AN742" s="27" t="s">
        <v>7</v>
      </c>
      <c r="BF742" s="27" t="s">
        <v>7</v>
      </c>
      <c r="BG742" s="27" t="s">
        <v>8</v>
      </c>
      <c r="BH742" s="27" t="s">
        <v>7</v>
      </c>
      <c r="BI742" s="27" t="s">
        <v>8</v>
      </c>
      <c r="BL742" s="27" t="s">
        <v>7</v>
      </c>
      <c r="EA742" s="27" t="s">
        <v>8</v>
      </c>
      <c r="EJ742" s="27" t="s">
        <v>7</v>
      </c>
      <c r="EK742" s="27" t="s">
        <v>8</v>
      </c>
      <c r="EL742" s="27" t="s">
        <v>7</v>
      </c>
    </row>
    <row r="743" spans="1:145" x14ac:dyDescent="0.25">
      <c r="A743" s="7">
        <v>4.5537921608318974E-2</v>
      </c>
      <c r="B743"/>
      <c r="C743"/>
      <c r="D743"/>
      <c r="E743"/>
      <c r="F743" s="27" t="s">
        <v>7</v>
      </c>
      <c r="S743" s="27" t="s">
        <v>8</v>
      </c>
      <c r="T743" s="27" t="s">
        <v>7</v>
      </c>
      <c r="AI743" s="27" t="s">
        <v>8</v>
      </c>
      <c r="BF743" s="27" t="s">
        <v>7</v>
      </c>
      <c r="BG743" s="27" t="s">
        <v>8</v>
      </c>
      <c r="BH743" s="27" t="s">
        <v>7</v>
      </c>
      <c r="BL743" s="27" t="s">
        <v>7</v>
      </c>
      <c r="EA743" s="27" t="s">
        <v>8</v>
      </c>
      <c r="EJ743" s="27" t="s">
        <v>7</v>
      </c>
      <c r="EK743" s="27" t="s">
        <v>8</v>
      </c>
    </row>
    <row r="744" spans="1:145" x14ac:dyDescent="0.25">
      <c r="A744" s="7">
        <v>4.4645021184626446E-2</v>
      </c>
      <c r="B744"/>
      <c r="C744"/>
      <c r="D744"/>
      <c r="E744"/>
      <c r="F744" s="27" t="s">
        <v>7</v>
      </c>
      <c r="S744" s="27" t="s">
        <v>8</v>
      </c>
      <c r="T744" s="27" t="s">
        <v>7</v>
      </c>
      <c r="AI744" s="27" t="s">
        <v>8</v>
      </c>
      <c r="BF744" s="27" t="s">
        <v>7</v>
      </c>
      <c r="BG744" s="27" t="s">
        <v>8</v>
      </c>
      <c r="BL744" s="27" t="s">
        <v>7</v>
      </c>
      <c r="EA744" s="27" t="s">
        <v>8</v>
      </c>
      <c r="EJ744" s="27" t="s">
        <v>7</v>
      </c>
      <c r="EK744" s="27" t="s">
        <v>8</v>
      </c>
    </row>
    <row r="745" spans="1:145" x14ac:dyDescent="0.25">
      <c r="A745" s="7">
        <v>4.3769628612378868E-2</v>
      </c>
      <c r="B745"/>
      <c r="C745"/>
      <c r="D745"/>
      <c r="E745"/>
      <c r="F745" s="27" t="s">
        <v>7</v>
      </c>
      <c r="S745" s="27" t="s">
        <v>8</v>
      </c>
      <c r="T745" s="27" t="s">
        <v>7</v>
      </c>
      <c r="AI745" s="27" t="s">
        <v>8</v>
      </c>
      <c r="BF745" s="27" t="s">
        <v>7</v>
      </c>
      <c r="BG745" s="27" t="s">
        <v>8</v>
      </c>
      <c r="BL745" s="27" t="s">
        <v>7</v>
      </c>
      <c r="DY745" s="27" t="s">
        <v>8</v>
      </c>
      <c r="EA745" s="27" t="s">
        <v>8</v>
      </c>
      <c r="EJ745" s="27" t="s">
        <v>7</v>
      </c>
      <c r="EK745" s="27" t="s">
        <v>8</v>
      </c>
    </row>
    <row r="746" spans="1:145" x14ac:dyDescent="0.25">
      <c r="A746" s="7">
        <v>4.2911400600371442E-2</v>
      </c>
      <c r="B746"/>
      <c r="C746"/>
      <c r="D746"/>
      <c r="E746"/>
      <c r="F746" s="27" t="s">
        <v>7</v>
      </c>
      <c r="S746" s="27" t="s">
        <v>8</v>
      </c>
      <c r="T746" s="27" t="s">
        <v>7</v>
      </c>
      <c r="AG746" s="27" t="s">
        <v>8</v>
      </c>
      <c r="AI746" s="27" t="s">
        <v>8</v>
      </c>
      <c r="BF746" s="27" t="s">
        <v>7</v>
      </c>
      <c r="BG746" s="27" t="s">
        <v>8</v>
      </c>
      <c r="BL746" s="27" t="s">
        <v>7</v>
      </c>
      <c r="DY746" s="27" t="s">
        <v>8</v>
      </c>
      <c r="DZ746" s="27" t="s">
        <v>7</v>
      </c>
      <c r="EA746" s="27" t="s">
        <v>8</v>
      </c>
      <c r="EJ746" s="27" t="s">
        <v>7</v>
      </c>
      <c r="EK746" s="27" t="s">
        <v>8</v>
      </c>
    </row>
    <row r="747" spans="1:145" x14ac:dyDescent="0.25">
      <c r="A747" s="7">
        <v>4.2070000588599457E-2</v>
      </c>
      <c r="B747"/>
      <c r="C747"/>
      <c r="D747"/>
      <c r="E747"/>
      <c r="F747" s="27" t="s">
        <v>7</v>
      </c>
      <c r="S747" s="27" t="s">
        <v>8</v>
      </c>
      <c r="T747" s="27" t="s">
        <v>7</v>
      </c>
      <c r="AG747" s="27" t="s">
        <v>8</v>
      </c>
      <c r="AH747" s="27" t="s">
        <v>7</v>
      </c>
      <c r="AI747" s="27" t="s">
        <v>8</v>
      </c>
      <c r="BF747" s="27" t="s">
        <v>7</v>
      </c>
      <c r="BG747" s="27" t="s">
        <v>8</v>
      </c>
      <c r="BL747" s="27" t="s">
        <v>7</v>
      </c>
      <c r="DY747" s="27" t="s">
        <v>8</v>
      </c>
      <c r="DZ747" s="27" t="s">
        <v>7</v>
      </c>
      <c r="EA747" s="27" t="s">
        <v>8</v>
      </c>
      <c r="EJ747" s="27" t="s">
        <v>7</v>
      </c>
      <c r="EK747" s="27" t="s">
        <v>8</v>
      </c>
    </row>
    <row r="748" spans="1:145" x14ac:dyDescent="0.25">
      <c r="A748" s="7">
        <v>4.1245098616273977E-2</v>
      </c>
      <c r="B748"/>
      <c r="C748"/>
      <c r="D748"/>
      <c r="E748"/>
      <c r="F748" s="27" t="s">
        <v>7</v>
      </c>
      <c r="S748" s="27" t="s">
        <v>8</v>
      </c>
      <c r="T748" s="27" t="s">
        <v>7</v>
      </c>
      <c r="AG748" s="27" t="s">
        <v>8</v>
      </c>
      <c r="AH748" s="27" t="s">
        <v>7</v>
      </c>
      <c r="AI748" s="27" t="s">
        <v>8</v>
      </c>
      <c r="BF748" s="27" t="s">
        <v>7</v>
      </c>
      <c r="BG748" s="27" t="s">
        <v>8</v>
      </c>
      <c r="BL748" s="27" t="s">
        <v>7</v>
      </c>
      <c r="BM748" s="27" t="s">
        <v>8</v>
      </c>
      <c r="DY748" s="27" t="s">
        <v>8</v>
      </c>
      <c r="DZ748" s="27" t="s">
        <v>7</v>
      </c>
      <c r="EA748" s="27" t="s">
        <v>8</v>
      </c>
      <c r="EJ748" s="27" t="s">
        <v>7</v>
      </c>
      <c r="EK748" s="27" t="s">
        <v>8</v>
      </c>
    </row>
    <row r="749" spans="1:145" x14ac:dyDescent="0.25">
      <c r="A749" s="7">
        <v>4.043637119242547E-2</v>
      </c>
      <c r="B749"/>
      <c r="C749"/>
      <c r="D749"/>
      <c r="E749"/>
      <c r="F749" s="27" t="s">
        <v>7</v>
      </c>
      <c r="S749" s="27" t="s">
        <v>8</v>
      </c>
      <c r="T749" s="27" t="s">
        <v>7</v>
      </c>
      <c r="AG749" s="27" t="s">
        <v>8</v>
      </c>
      <c r="AH749" s="27" t="s">
        <v>7</v>
      </c>
      <c r="AI749" s="27" t="s">
        <v>8</v>
      </c>
      <c r="BF749" s="27" t="s">
        <v>7</v>
      </c>
      <c r="BG749" s="27" t="s">
        <v>8</v>
      </c>
      <c r="BL749" s="27" t="s">
        <v>7</v>
      </c>
      <c r="BM749" s="27" t="s">
        <v>8</v>
      </c>
      <c r="BN749" s="27" t="s">
        <v>7</v>
      </c>
      <c r="DY749" s="27" t="s">
        <v>8</v>
      </c>
      <c r="DZ749" s="27" t="s">
        <v>7</v>
      </c>
      <c r="EA749" s="27" t="s">
        <v>8</v>
      </c>
      <c r="EJ749" s="27" t="s">
        <v>7</v>
      </c>
    </row>
    <row r="750" spans="1:145" x14ac:dyDescent="0.25">
      <c r="A750" s="7">
        <v>3.9643501169044582E-2</v>
      </c>
      <c r="B750"/>
      <c r="C750"/>
      <c r="D750"/>
      <c r="E750"/>
      <c r="F750" s="27" t="s">
        <v>7</v>
      </c>
      <c r="S750" s="27" t="s">
        <v>8</v>
      </c>
      <c r="T750" s="27" t="s">
        <v>7</v>
      </c>
      <c r="AG750" s="27" t="s">
        <v>8</v>
      </c>
      <c r="AH750" s="27" t="s">
        <v>7</v>
      </c>
      <c r="AI750" s="27" t="s">
        <v>8</v>
      </c>
      <c r="BF750" s="27" t="s">
        <v>7</v>
      </c>
      <c r="BG750" s="27" t="s">
        <v>8</v>
      </c>
      <c r="BL750" s="27" t="s">
        <v>7</v>
      </c>
      <c r="BM750" s="27" t="s">
        <v>8</v>
      </c>
      <c r="BN750" s="27" t="s">
        <v>7</v>
      </c>
      <c r="DY750" s="27" t="s">
        <v>8</v>
      </c>
      <c r="DZ750" s="27" t="s">
        <v>7</v>
      </c>
      <c r="EA750" s="27" t="s">
        <v>8</v>
      </c>
    </row>
    <row r="751" spans="1:145" x14ac:dyDescent="0.25">
      <c r="A751" s="7">
        <v>3.8866177616710372E-2</v>
      </c>
      <c r="B751"/>
      <c r="C751"/>
      <c r="D751"/>
      <c r="E751"/>
      <c r="F751" s="27" t="s">
        <v>7</v>
      </c>
      <c r="S751" s="27" t="s">
        <v>8</v>
      </c>
      <c r="T751" s="27" t="s">
        <v>7</v>
      </c>
      <c r="U751" s="27" t="s">
        <v>8</v>
      </c>
      <c r="W751" s="27" t="s">
        <v>8</v>
      </c>
      <c r="AG751" s="27" t="s">
        <v>8</v>
      </c>
      <c r="AH751" s="27" t="s">
        <v>7</v>
      </c>
      <c r="AI751" s="27" t="s">
        <v>8</v>
      </c>
      <c r="BF751" s="27" t="s">
        <v>7</v>
      </c>
      <c r="BG751" s="27" t="s">
        <v>8</v>
      </c>
      <c r="BL751" s="27" t="s">
        <v>7</v>
      </c>
      <c r="BM751" s="27" t="s">
        <v>8</v>
      </c>
      <c r="BN751" s="27" t="s">
        <v>7</v>
      </c>
      <c r="DW751" s="27" t="s">
        <v>8</v>
      </c>
      <c r="DY751" s="27" t="s">
        <v>8</v>
      </c>
      <c r="DZ751" s="27" t="s">
        <v>7</v>
      </c>
      <c r="EA751" s="27" t="s">
        <v>8</v>
      </c>
    </row>
    <row r="752" spans="1:145" x14ac:dyDescent="0.25">
      <c r="A752" s="7">
        <v>3.8104095702657229E-2</v>
      </c>
      <c r="B752"/>
      <c r="C752"/>
      <c r="D752"/>
      <c r="E752"/>
      <c r="F752" s="27" t="s">
        <v>7</v>
      </c>
      <c r="S752" s="27" t="s">
        <v>8</v>
      </c>
      <c r="T752" s="27" t="s">
        <v>7</v>
      </c>
      <c r="U752" s="27" t="s">
        <v>8</v>
      </c>
      <c r="V752" s="27" t="s">
        <v>7</v>
      </c>
      <c r="W752" s="27" t="s">
        <v>8</v>
      </c>
      <c r="X752" s="27" t="s">
        <v>7</v>
      </c>
      <c r="AG752" s="27" t="s">
        <v>8</v>
      </c>
      <c r="AH752" s="27" t="s">
        <v>7</v>
      </c>
      <c r="AI752" s="27" t="s">
        <v>8</v>
      </c>
      <c r="BF752" s="27" t="s">
        <v>7</v>
      </c>
      <c r="BG752" s="27" t="s">
        <v>8</v>
      </c>
      <c r="BL752" s="27" t="s">
        <v>7</v>
      </c>
      <c r="BN752" s="27" t="s">
        <v>7</v>
      </c>
      <c r="DW752" s="27" t="s">
        <v>8</v>
      </c>
      <c r="DX752" s="27" t="s">
        <v>7</v>
      </c>
      <c r="DY752" s="27" t="s">
        <v>8</v>
      </c>
      <c r="DZ752" s="27" t="s">
        <v>7</v>
      </c>
      <c r="EA752" s="27" t="s">
        <v>8</v>
      </c>
    </row>
    <row r="753" spans="1:131" x14ac:dyDescent="0.25">
      <c r="A753" s="7">
        <v>3.7356956571232579E-2</v>
      </c>
      <c r="B753"/>
      <c r="C753"/>
      <c r="D753"/>
      <c r="E753"/>
      <c r="F753" s="27" t="s">
        <v>7</v>
      </c>
      <c r="S753" s="27" t="s">
        <v>8</v>
      </c>
      <c r="T753" s="27" t="s">
        <v>7</v>
      </c>
      <c r="U753" s="27" t="s">
        <v>8</v>
      </c>
      <c r="V753" s="27" t="s">
        <v>7</v>
      </c>
      <c r="W753" s="27" t="s">
        <v>8</v>
      </c>
      <c r="X753" s="27" t="s">
        <v>7</v>
      </c>
      <c r="AE753" s="27" t="s">
        <v>8</v>
      </c>
      <c r="AG753" s="27" t="s">
        <v>8</v>
      </c>
      <c r="AH753" s="27" t="s">
        <v>7</v>
      </c>
      <c r="AI753" s="27" t="s">
        <v>8</v>
      </c>
      <c r="BF753" s="27" t="s">
        <v>7</v>
      </c>
      <c r="BG753" s="27" t="s">
        <v>8</v>
      </c>
      <c r="BN753" s="27" t="s">
        <v>7</v>
      </c>
      <c r="DW753" s="27" t="s">
        <v>8</v>
      </c>
      <c r="DX753" s="27" t="s">
        <v>7</v>
      </c>
      <c r="DY753" s="27" t="s">
        <v>8</v>
      </c>
      <c r="DZ753" s="27" t="s">
        <v>7</v>
      </c>
      <c r="EA753" s="27" t="s">
        <v>8</v>
      </c>
    </row>
    <row r="754" spans="1:131" x14ac:dyDescent="0.25">
      <c r="A754" s="7">
        <v>3.6624467226698605E-2</v>
      </c>
      <c r="B754"/>
      <c r="C754"/>
      <c r="D754"/>
      <c r="E754"/>
      <c r="F754" s="27" t="s">
        <v>7</v>
      </c>
      <c r="S754" s="27" t="s">
        <v>8</v>
      </c>
      <c r="T754" s="27" t="s">
        <v>7</v>
      </c>
      <c r="U754" s="27" t="s">
        <v>8</v>
      </c>
      <c r="V754" s="27" t="s">
        <v>7</v>
      </c>
      <c r="W754" s="27" t="s">
        <v>8</v>
      </c>
      <c r="X754" s="27" t="s">
        <v>7</v>
      </c>
      <c r="AE754" s="27" t="s">
        <v>8</v>
      </c>
      <c r="AF754" s="27" t="s">
        <v>7</v>
      </c>
      <c r="AG754" s="27" t="s">
        <v>8</v>
      </c>
      <c r="AH754" s="27" t="s">
        <v>7</v>
      </c>
      <c r="AI754" s="27" t="s">
        <v>8</v>
      </c>
      <c r="BF754" s="27" t="s">
        <v>7</v>
      </c>
      <c r="BG754" s="27" t="s">
        <v>8</v>
      </c>
      <c r="BN754" s="27" t="s">
        <v>7</v>
      </c>
      <c r="BS754" s="27" t="s">
        <v>8</v>
      </c>
      <c r="DU754" s="27" t="s">
        <v>8</v>
      </c>
      <c r="DW754" s="27" t="s">
        <v>8</v>
      </c>
      <c r="DX754" s="27" t="s">
        <v>7</v>
      </c>
      <c r="DY754" s="27" t="s">
        <v>8</v>
      </c>
      <c r="DZ754" s="27" t="s">
        <v>7</v>
      </c>
      <c r="EA754" s="27" t="s">
        <v>8</v>
      </c>
    </row>
    <row r="755" spans="1:131" x14ac:dyDescent="0.25">
      <c r="A755" s="7">
        <v>3.5906340418331961E-2</v>
      </c>
      <c r="B755"/>
      <c r="C755"/>
      <c r="D755"/>
      <c r="E755"/>
      <c r="F755" s="27" t="s">
        <v>7</v>
      </c>
      <c r="S755" s="27" t="s">
        <v>8</v>
      </c>
      <c r="T755" s="27" t="s">
        <v>7</v>
      </c>
      <c r="U755" s="27" t="s">
        <v>8</v>
      </c>
      <c r="V755" s="27" t="s">
        <v>7</v>
      </c>
      <c r="W755" s="27" t="s">
        <v>8</v>
      </c>
      <c r="X755" s="27" t="s">
        <v>7</v>
      </c>
      <c r="AA755" s="27" t="s">
        <v>8</v>
      </c>
      <c r="AE755" s="27" t="s">
        <v>8</v>
      </c>
      <c r="AF755" s="27" t="s">
        <v>7</v>
      </c>
      <c r="AG755" s="27" t="s">
        <v>8</v>
      </c>
      <c r="AH755" s="27" t="s">
        <v>7</v>
      </c>
      <c r="AI755" s="27" t="s">
        <v>8</v>
      </c>
      <c r="BF755" s="27" t="s">
        <v>7</v>
      </c>
      <c r="BG755" s="27" t="s">
        <v>8</v>
      </c>
      <c r="BN755" s="27" t="s">
        <v>7</v>
      </c>
      <c r="BQ755" s="27" t="s">
        <v>8</v>
      </c>
      <c r="BS755" s="27" t="s">
        <v>8</v>
      </c>
      <c r="BT755" s="27" t="s">
        <v>7</v>
      </c>
      <c r="DO755" s="27" t="s">
        <v>8</v>
      </c>
      <c r="DU755" s="27" t="s">
        <v>8</v>
      </c>
      <c r="DV755" s="27" t="s">
        <v>7</v>
      </c>
      <c r="DW755" s="27" t="s">
        <v>8</v>
      </c>
      <c r="DX755" s="27" t="s">
        <v>7</v>
      </c>
      <c r="DY755" s="27" t="s">
        <v>8</v>
      </c>
      <c r="DZ755" s="27" t="s">
        <v>7</v>
      </c>
    </row>
    <row r="756" spans="1:131" x14ac:dyDescent="0.25">
      <c r="A756" s="7">
        <v>3.5202294527776436E-2</v>
      </c>
      <c r="B756"/>
      <c r="C756"/>
      <c r="D756"/>
      <c r="E756"/>
      <c r="F756" s="27" t="s">
        <v>7</v>
      </c>
      <c r="S756" s="27" t="s">
        <v>8</v>
      </c>
      <c r="T756" s="27" t="s">
        <v>7</v>
      </c>
      <c r="U756" s="27" t="s">
        <v>8</v>
      </c>
      <c r="V756" s="27" t="s">
        <v>7</v>
      </c>
      <c r="X756" s="27" t="s">
        <v>7</v>
      </c>
      <c r="Y756" s="27" t="s">
        <v>8</v>
      </c>
      <c r="AA756" s="27" t="s">
        <v>8</v>
      </c>
      <c r="AB756" s="27" t="s">
        <v>7</v>
      </c>
      <c r="AE756" s="27" t="s">
        <v>8</v>
      </c>
      <c r="AF756" s="27" t="s">
        <v>7</v>
      </c>
      <c r="AG756" s="27" t="s">
        <v>8</v>
      </c>
      <c r="AH756" s="27" t="s">
        <v>7</v>
      </c>
      <c r="AI756" s="27" t="s">
        <v>8</v>
      </c>
      <c r="BF756" s="27" t="s">
        <v>7</v>
      </c>
      <c r="BN756" s="27" t="s">
        <v>7</v>
      </c>
      <c r="BQ756" s="27" t="s">
        <v>8</v>
      </c>
      <c r="BR756" s="27" t="s">
        <v>7</v>
      </c>
      <c r="BS756" s="27" t="s">
        <v>8</v>
      </c>
      <c r="BT756" s="27" t="s">
        <v>7</v>
      </c>
      <c r="DO756" s="27" t="s">
        <v>8</v>
      </c>
      <c r="DP756" s="27" t="s">
        <v>7</v>
      </c>
      <c r="DU756" s="27" t="s">
        <v>8</v>
      </c>
      <c r="DV756" s="27" t="s">
        <v>7</v>
      </c>
      <c r="DW756" s="27" t="s">
        <v>8</v>
      </c>
      <c r="DX756" s="27" t="s">
        <v>7</v>
      </c>
      <c r="DY756" s="27" t="s">
        <v>8</v>
      </c>
    </row>
    <row r="757" spans="1:131" x14ac:dyDescent="0.25">
      <c r="A757" s="7">
        <v>3.451205345860435E-2</v>
      </c>
      <c r="B757"/>
      <c r="C757"/>
      <c r="D757"/>
      <c r="E757"/>
      <c r="F757" s="27" t="s">
        <v>7</v>
      </c>
      <c r="S757" s="27" t="s">
        <v>8</v>
      </c>
      <c r="T757" s="27" t="s">
        <v>7</v>
      </c>
      <c r="U757" s="27" t="s">
        <v>8</v>
      </c>
      <c r="X757" s="27" t="s">
        <v>7</v>
      </c>
      <c r="Y757" s="27" t="s">
        <v>8</v>
      </c>
      <c r="Z757" s="27" t="s">
        <v>7</v>
      </c>
      <c r="AA757" s="27" t="s">
        <v>8</v>
      </c>
      <c r="AB757" s="27" t="s">
        <v>7</v>
      </c>
      <c r="AC757" s="27" t="s">
        <v>8</v>
      </c>
      <c r="AE757" s="27" t="s">
        <v>8</v>
      </c>
      <c r="AF757" s="27" t="s">
        <v>7</v>
      </c>
      <c r="AG757" s="27" t="s">
        <v>8</v>
      </c>
      <c r="AH757" s="27" t="s">
        <v>7</v>
      </c>
      <c r="AI757" s="27" t="s">
        <v>8</v>
      </c>
      <c r="BN757" s="27" t="s">
        <v>7</v>
      </c>
      <c r="BQ757" s="27" t="s">
        <v>8</v>
      </c>
      <c r="BR757" s="27" t="s">
        <v>7</v>
      </c>
      <c r="BS757" s="27" t="s">
        <v>8</v>
      </c>
      <c r="BT757" s="27" t="s">
        <v>7</v>
      </c>
      <c r="DO757" s="27" t="s">
        <v>8</v>
      </c>
      <c r="DP757" s="27" t="s">
        <v>7</v>
      </c>
      <c r="DQ757" s="27" t="s">
        <v>8</v>
      </c>
      <c r="DU757" s="27" t="s">
        <v>8</v>
      </c>
      <c r="DV757" s="27" t="s">
        <v>7</v>
      </c>
      <c r="DW757" s="27" t="s">
        <v>8</v>
      </c>
      <c r="DX757" s="27" t="s">
        <v>7</v>
      </c>
    </row>
    <row r="758" spans="1:131" x14ac:dyDescent="0.25">
      <c r="A758" s="7">
        <v>3.3835346528043479E-2</v>
      </c>
      <c r="B758"/>
      <c r="C758"/>
      <c r="D758"/>
      <c r="E758"/>
      <c r="F758" s="27" t="s">
        <v>7</v>
      </c>
      <c r="S758" s="27" t="s">
        <v>8</v>
      </c>
      <c r="T758" s="27" t="s">
        <v>7</v>
      </c>
      <c r="U758" s="27" t="s">
        <v>8</v>
      </c>
      <c r="X758" s="27" t="s">
        <v>7</v>
      </c>
      <c r="Y758" s="27" t="s">
        <v>8</v>
      </c>
      <c r="Z758" s="27" t="s">
        <v>7</v>
      </c>
      <c r="AA758" s="27" t="s">
        <v>8</v>
      </c>
      <c r="AB758" s="27" t="s">
        <v>7</v>
      </c>
      <c r="AC758" s="27" t="s">
        <v>8</v>
      </c>
      <c r="AD758" s="27" t="s">
        <v>7</v>
      </c>
      <c r="AE758" s="27" t="s">
        <v>8</v>
      </c>
      <c r="AF758" s="27" t="s">
        <v>7</v>
      </c>
      <c r="AG758" s="27" t="s">
        <v>8</v>
      </c>
      <c r="AH758" s="27" t="s">
        <v>7</v>
      </c>
      <c r="BN758" s="27" t="s">
        <v>7</v>
      </c>
      <c r="BQ758" s="27" t="s">
        <v>8</v>
      </c>
      <c r="BR758" s="27" t="s">
        <v>7</v>
      </c>
      <c r="BS758" s="27" t="s">
        <v>8</v>
      </c>
      <c r="BT758" s="27" t="s">
        <v>7</v>
      </c>
      <c r="DO758" s="27" t="s">
        <v>8</v>
      </c>
      <c r="DP758" s="27" t="s">
        <v>7</v>
      </c>
      <c r="DQ758" s="27" t="s">
        <v>8</v>
      </c>
      <c r="DR758" s="27" t="s">
        <v>7</v>
      </c>
      <c r="DU758" s="27" t="s">
        <v>8</v>
      </c>
      <c r="DV758" s="27" t="s">
        <v>7</v>
      </c>
      <c r="DW758" s="27" t="s">
        <v>8</v>
      </c>
    </row>
    <row r="759" spans="1:131" x14ac:dyDescent="0.25">
      <c r="A759" s="7">
        <v>3.3171908360826938E-2</v>
      </c>
      <c r="B759"/>
      <c r="C759"/>
      <c r="D759"/>
      <c r="E759"/>
      <c r="F759" s="27" t="s">
        <v>7</v>
      </c>
      <c r="S759" s="27" t="s">
        <v>8</v>
      </c>
      <c r="T759" s="27" t="s">
        <v>7</v>
      </c>
      <c r="X759" s="27" t="s">
        <v>7</v>
      </c>
      <c r="Y759" s="27" t="s">
        <v>8</v>
      </c>
      <c r="Z759" s="27" t="s">
        <v>7</v>
      </c>
      <c r="AA759" s="27" t="s">
        <v>8</v>
      </c>
      <c r="AB759" s="27" t="s">
        <v>7</v>
      </c>
      <c r="AC759" s="27" t="s">
        <v>8</v>
      </c>
      <c r="AD759" s="27" t="s">
        <v>7</v>
      </c>
      <c r="AE759" s="27" t="s">
        <v>8</v>
      </c>
      <c r="AF759" s="27" t="s">
        <v>7</v>
      </c>
      <c r="BN759" s="27" t="s">
        <v>7</v>
      </c>
      <c r="BO759" s="27" t="s">
        <v>8</v>
      </c>
      <c r="BQ759" s="27" t="s">
        <v>8</v>
      </c>
      <c r="BR759" s="27" t="s">
        <v>7</v>
      </c>
      <c r="BS759" s="27" t="s">
        <v>8</v>
      </c>
      <c r="BT759" s="27" t="s">
        <v>7</v>
      </c>
      <c r="BY759" s="27" t="s">
        <v>8</v>
      </c>
      <c r="DO759" s="27" t="s">
        <v>8</v>
      </c>
      <c r="DP759" s="27" t="s">
        <v>7</v>
      </c>
      <c r="DQ759" s="27" t="s">
        <v>8</v>
      </c>
      <c r="DR759" s="27" t="s">
        <v>7</v>
      </c>
      <c r="DU759" s="27" t="s">
        <v>8</v>
      </c>
      <c r="DV759" s="27" t="s">
        <v>7</v>
      </c>
      <c r="DW759" s="27" t="s">
        <v>8</v>
      </c>
    </row>
    <row r="760" spans="1:131" x14ac:dyDescent="0.25">
      <c r="A760" s="7">
        <v>3.2521478785124451E-2</v>
      </c>
      <c r="B760"/>
      <c r="C760"/>
      <c r="D760"/>
      <c r="E760"/>
      <c r="F760" s="27" t="s">
        <v>7</v>
      </c>
      <c r="S760" s="27" t="s">
        <v>8</v>
      </c>
      <c r="X760" s="27" t="s">
        <v>7</v>
      </c>
      <c r="Y760" s="27" t="s">
        <v>8</v>
      </c>
      <c r="Z760" s="27" t="s">
        <v>7</v>
      </c>
      <c r="AA760" s="27" t="s">
        <v>8</v>
      </c>
      <c r="AB760" s="27" t="s">
        <v>7</v>
      </c>
      <c r="AC760" s="27" t="s">
        <v>8</v>
      </c>
      <c r="AD760" s="27" t="s">
        <v>7</v>
      </c>
      <c r="AE760" s="27" t="s">
        <v>8</v>
      </c>
      <c r="BN760" s="27" t="s">
        <v>7</v>
      </c>
      <c r="BO760" s="27" t="s">
        <v>8</v>
      </c>
      <c r="BP760" s="27" t="s">
        <v>7</v>
      </c>
      <c r="BQ760" s="27" t="s">
        <v>8</v>
      </c>
      <c r="BR760" s="27" t="s">
        <v>7</v>
      </c>
      <c r="BS760" s="27" t="s">
        <v>8</v>
      </c>
      <c r="BT760" s="27" t="s">
        <v>7</v>
      </c>
      <c r="BW760" s="27" t="s">
        <v>8</v>
      </c>
      <c r="BY760" s="27" t="s">
        <v>8</v>
      </c>
      <c r="BZ760" s="27" t="s">
        <v>7</v>
      </c>
      <c r="CM760" s="27" t="s">
        <v>8</v>
      </c>
      <c r="DO760" s="27" t="s">
        <v>8</v>
      </c>
      <c r="DP760" s="27" t="s">
        <v>7</v>
      </c>
      <c r="DQ760" s="27" t="s">
        <v>8</v>
      </c>
      <c r="DR760" s="27" t="s">
        <v>7</v>
      </c>
      <c r="DU760" s="27" t="s">
        <v>8</v>
      </c>
      <c r="DV760" s="27" t="s">
        <v>7</v>
      </c>
    </row>
    <row r="761" spans="1:131" x14ac:dyDescent="0.25">
      <c r="A761" s="7">
        <v>3.1883802730514173E-2</v>
      </c>
      <c r="B761"/>
      <c r="C761"/>
      <c r="D761"/>
      <c r="E761"/>
      <c r="F761" s="27" t="s">
        <v>7</v>
      </c>
      <c r="S761" s="27" t="s">
        <v>8</v>
      </c>
      <c r="X761" s="27" t="s">
        <v>7</v>
      </c>
      <c r="Y761" s="27" t="s">
        <v>8</v>
      </c>
      <c r="Z761" s="27" t="s">
        <v>7</v>
      </c>
      <c r="AA761" s="27" t="s">
        <v>8</v>
      </c>
      <c r="AB761" s="27" t="s">
        <v>7</v>
      </c>
      <c r="AC761" s="27" t="s">
        <v>8</v>
      </c>
      <c r="AD761" s="27" t="s">
        <v>7</v>
      </c>
      <c r="AE761" s="27" t="s">
        <v>8</v>
      </c>
      <c r="BN761" s="27" t="s">
        <v>7</v>
      </c>
      <c r="BO761" s="27" t="s">
        <v>8</v>
      </c>
      <c r="BP761" s="27" t="s">
        <v>7</v>
      </c>
      <c r="BQ761" s="27" t="s">
        <v>8</v>
      </c>
      <c r="BR761" s="27" t="s">
        <v>7</v>
      </c>
      <c r="BT761" s="27" t="s">
        <v>7</v>
      </c>
      <c r="BU761" s="27" t="s">
        <v>8</v>
      </c>
      <c r="BW761" s="27" t="s">
        <v>8</v>
      </c>
      <c r="BX761" s="27" t="s">
        <v>7</v>
      </c>
      <c r="BY761" s="27" t="s">
        <v>8</v>
      </c>
      <c r="BZ761" s="27" t="s">
        <v>7</v>
      </c>
      <c r="CA761" s="27" t="s">
        <v>8</v>
      </c>
      <c r="CM761" s="27" t="s">
        <v>8</v>
      </c>
      <c r="CN761" s="27" t="s">
        <v>7</v>
      </c>
      <c r="DO761" s="27" t="s">
        <v>8</v>
      </c>
      <c r="DP761" s="27" t="s">
        <v>7</v>
      </c>
      <c r="DQ761" s="27" t="s">
        <v>8</v>
      </c>
      <c r="DR761" s="27" t="s">
        <v>7</v>
      </c>
      <c r="DS761" s="27" t="s">
        <v>8</v>
      </c>
      <c r="DU761" s="27" t="s">
        <v>8</v>
      </c>
    </row>
    <row r="762" spans="1:131" x14ac:dyDescent="0.25">
      <c r="A762" s="7">
        <v>3.1258630127955073E-2</v>
      </c>
      <c r="B762"/>
      <c r="C762"/>
      <c r="D762"/>
      <c r="E762"/>
      <c r="F762" s="27" t="s">
        <v>7</v>
      </c>
      <c r="S762" s="27" t="s">
        <v>8</v>
      </c>
      <c r="X762" s="27" t="s">
        <v>7</v>
      </c>
      <c r="Y762" s="27" t="s">
        <v>8</v>
      </c>
      <c r="Z762" s="27" t="s">
        <v>7</v>
      </c>
      <c r="AA762" s="27" t="s">
        <v>8</v>
      </c>
      <c r="AB762" s="27" t="s">
        <v>7</v>
      </c>
      <c r="AC762" s="27" t="s">
        <v>8</v>
      </c>
      <c r="AD762" s="27" t="s">
        <v>7</v>
      </c>
      <c r="BN762" s="27" t="s">
        <v>7</v>
      </c>
      <c r="BO762" s="27" t="s">
        <v>8</v>
      </c>
      <c r="BP762" s="27" t="s">
        <v>7</v>
      </c>
      <c r="BQ762" s="27" t="s">
        <v>8</v>
      </c>
      <c r="BT762" s="27" t="s">
        <v>7</v>
      </c>
      <c r="BU762" s="27" t="s">
        <v>8</v>
      </c>
      <c r="BV762" s="27" t="s">
        <v>7</v>
      </c>
      <c r="BW762" s="27" t="s">
        <v>8</v>
      </c>
      <c r="BX762" s="27" t="s">
        <v>7</v>
      </c>
      <c r="BY762" s="27" t="s">
        <v>8</v>
      </c>
      <c r="BZ762" s="27" t="s">
        <v>7</v>
      </c>
      <c r="CA762" s="27" t="s">
        <v>8</v>
      </c>
      <c r="CB762" s="27" t="s">
        <v>7</v>
      </c>
      <c r="CM762" s="27" t="s">
        <v>8</v>
      </c>
      <c r="CN762" s="27" t="s">
        <v>7</v>
      </c>
      <c r="DK762" s="27" t="s">
        <v>8</v>
      </c>
      <c r="DO762" s="27" t="s">
        <v>8</v>
      </c>
      <c r="DP762" s="27" t="s">
        <v>7</v>
      </c>
      <c r="DQ762" s="27" t="s">
        <v>8</v>
      </c>
      <c r="DR762" s="27" t="s">
        <v>7</v>
      </c>
      <c r="DS762" s="27" t="s">
        <v>8</v>
      </c>
      <c r="DT762" s="27" t="s">
        <v>7</v>
      </c>
      <c r="DU762" s="27" t="s">
        <v>8</v>
      </c>
    </row>
    <row r="763" spans="1:131" x14ac:dyDescent="0.25">
      <c r="A763" s="7">
        <v>3.064571581172066E-2</v>
      </c>
      <c r="B763"/>
      <c r="C763"/>
      <c r="D763"/>
      <c r="E763"/>
      <c r="F763" s="27" t="s">
        <v>7</v>
      </c>
      <c r="S763" s="27" t="s">
        <v>8</v>
      </c>
      <c r="X763" s="27" t="s">
        <v>7</v>
      </c>
      <c r="Z763" s="27" t="s">
        <v>7</v>
      </c>
      <c r="AA763" s="27" t="s">
        <v>8</v>
      </c>
      <c r="AB763" s="27" t="s">
        <v>7</v>
      </c>
      <c r="AC763" s="27" t="s">
        <v>8</v>
      </c>
      <c r="BN763" s="27" t="s">
        <v>7</v>
      </c>
      <c r="BP763" s="27" t="s">
        <v>7</v>
      </c>
      <c r="BQ763" s="27" t="s">
        <v>8</v>
      </c>
      <c r="BT763" s="27" t="s">
        <v>7</v>
      </c>
      <c r="BU763" s="27" t="s">
        <v>8</v>
      </c>
      <c r="BV763" s="27" t="s">
        <v>7</v>
      </c>
      <c r="BW763" s="27" t="s">
        <v>8</v>
      </c>
      <c r="BX763" s="27" t="s">
        <v>7</v>
      </c>
      <c r="BY763" s="27" t="s">
        <v>8</v>
      </c>
      <c r="BZ763" s="27" t="s">
        <v>7</v>
      </c>
      <c r="CA763" s="27" t="s">
        <v>8</v>
      </c>
      <c r="CB763" s="27" t="s">
        <v>7</v>
      </c>
      <c r="CG763" s="27" t="s">
        <v>8</v>
      </c>
      <c r="CM763" s="27" t="s">
        <v>8</v>
      </c>
      <c r="CN763" s="27" t="s">
        <v>7</v>
      </c>
      <c r="DK763" s="27" t="s">
        <v>8</v>
      </c>
      <c r="DL763" s="27" t="s">
        <v>7</v>
      </c>
      <c r="DO763" s="27" t="s">
        <v>8</v>
      </c>
      <c r="DP763" s="27" t="s">
        <v>7</v>
      </c>
      <c r="DQ763" s="27" t="s">
        <v>8</v>
      </c>
      <c r="DR763" s="27" t="s">
        <v>7</v>
      </c>
      <c r="DS763" s="27" t="s">
        <v>8</v>
      </c>
      <c r="DT763" s="27" t="s">
        <v>7</v>
      </c>
      <c r="DU763" s="27" t="s">
        <v>8</v>
      </c>
    </row>
    <row r="764" spans="1:131" x14ac:dyDescent="0.25">
      <c r="A764" s="7">
        <v>3.0044819423255549E-2</v>
      </c>
      <c r="B764"/>
      <c r="C764"/>
      <c r="D764"/>
      <c r="E764"/>
      <c r="F764" s="27" t="s">
        <v>7</v>
      </c>
      <c r="S764" s="27" t="s">
        <v>8</v>
      </c>
      <c r="Z764" s="27" t="s">
        <v>7</v>
      </c>
      <c r="AA764" s="27" t="s">
        <v>8</v>
      </c>
      <c r="AB764" s="27" t="s">
        <v>7</v>
      </c>
      <c r="AC764" s="27" t="s">
        <v>8</v>
      </c>
      <c r="BP764" s="27" t="s">
        <v>7</v>
      </c>
      <c r="BQ764" s="27" t="s">
        <v>8</v>
      </c>
      <c r="BT764" s="27" t="s">
        <v>7</v>
      </c>
      <c r="BU764" s="27" t="s">
        <v>8</v>
      </c>
      <c r="BV764" s="27" t="s">
        <v>7</v>
      </c>
      <c r="BW764" s="27" t="s">
        <v>8</v>
      </c>
      <c r="BX764" s="27" t="s">
        <v>7</v>
      </c>
      <c r="BY764" s="27" t="s">
        <v>8</v>
      </c>
      <c r="BZ764" s="27" t="s">
        <v>7</v>
      </c>
      <c r="CA764" s="27" t="s">
        <v>8</v>
      </c>
      <c r="CB764" s="27" t="s">
        <v>7</v>
      </c>
      <c r="CG764" s="27" t="s">
        <v>8</v>
      </c>
      <c r="CH764" s="27" t="s">
        <v>7</v>
      </c>
      <c r="CM764" s="27" t="s">
        <v>8</v>
      </c>
      <c r="CN764" s="27" t="s">
        <v>7</v>
      </c>
      <c r="CQ764" s="27" t="s">
        <v>8</v>
      </c>
      <c r="DK764" s="27" t="s">
        <v>8</v>
      </c>
      <c r="DL764" s="27" t="s">
        <v>7</v>
      </c>
      <c r="DO764" s="27" t="s">
        <v>8</v>
      </c>
      <c r="DP764" s="27" t="s">
        <v>7</v>
      </c>
      <c r="DQ764" s="27" t="s">
        <v>8</v>
      </c>
      <c r="DR764" s="27" t="s">
        <v>7</v>
      </c>
      <c r="DT764" s="27" t="s">
        <v>7</v>
      </c>
      <c r="DU764" s="27" t="s">
        <v>8</v>
      </c>
    </row>
    <row r="765" spans="1:131" x14ac:dyDescent="0.25">
      <c r="A765" s="7">
        <v>2.9455705316917203E-2</v>
      </c>
      <c r="B765"/>
      <c r="C765"/>
      <c r="D765"/>
      <c r="E765"/>
      <c r="F765" s="27" t="s">
        <v>7</v>
      </c>
      <c r="Q765" s="27" t="s">
        <v>8</v>
      </c>
      <c r="S765" s="27" t="s">
        <v>8</v>
      </c>
      <c r="Z765" s="27" t="s">
        <v>7</v>
      </c>
      <c r="AA765" s="27" t="s">
        <v>8</v>
      </c>
      <c r="AB765" s="27" t="s">
        <v>7</v>
      </c>
      <c r="AC765" s="27" t="s">
        <v>8</v>
      </c>
      <c r="BP765" s="27" t="s">
        <v>7</v>
      </c>
      <c r="BQ765" s="27" t="s">
        <v>8</v>
      </c>
      <c r="BT765" s="27" t="s">
        <v>7</v>
      </c>
      <c r="BU765" s="27" t="s">
        <v>8</v>
      </c>
      <c r="BV765" s="27" t="s">
        <v>7</v>
      </c>
      <c r="BW765" s="27" t="s">
        <v>8</v>
      </c>
      <c r="BX765" s="27" t="s">
        <v>7</v>
      </c>
      <c r="BY765" s="27" t="s">
        <v>8</v>
      </c>
      <c r="BZ765" s="27" t="s">
        <v>7</v>
      </c>
      <c r="CA765" s="27" t="s">
        <v>8</v>
      </c>
      <c r="CB765" s="27" t="s">
        <v>7</v>
      </c>
      <c r="CG765" s="27" t="s">
        <v>8</v>
      </c>
      <c r="CH765" s="27" t="s">
        <v>7</v>
      </c>
      <c r="CM765" s="27" t="s">
        <v>8</v>
      </c>
      <c r="CN765" s="27" t="s">
        <v>7</v>
      </c>
      <c r="CQ765" s="27" t="s">
        <v>8</v>
      </c>
      <c r="CR765" s="27" t="s">
        <v>7</v>
      </c>
      <c r="CU765" s="27" t="s">
        <v>8</v>
      </c>
      <c r="DK765" s="27" t="s">
        <v>8</v>
      </c>
      <c r="DL765" s="27" t="s">
        <v>7</v>
      </c>
      <c r="DO765" s="27" t="s">
        <v>8</v>
      </c>
      <c r="DP765" s="27" t="s">
        <v>7</v>
      </c>
      <c r="DQ765" s="27" t="s">
        <v>8</v>
      </c>
      <c r="DT765" s="27" t="s">
        <v>7</v>
      </c>
      <c r="DU765" s="27" t="s">
        <v>8</v>
      </c>
    </row>
    <row r="766" spans="1:131" x14ac:dyDescent="0.25">
      <c r="A766" s="7">
        <v>2.8878142467565884E-2</v>
      </c>
      <c r="B766"/>
      <c r="C766"/>
      <c r="D766"/>
      <c r="E766"/>
      <c r="F766" s="27" t="s">
        <v>7</v>
      </c>
      <c r="Q766" s="27" t="s">
        <v>8</v>
      </c>
      <c r="R766" s="27" t="s">
        <v>7</v>
      </c>
      <c r="S766" s="27" t="s">
        <v>8</v>
      </c>
      <c r="Z766" s="27" t="s">
        <v>7</v>
      </c>
      <c r="AA766" s="27" t="s">
        <v>8</v>
      </c>
      <c r="AB766" s="27" t="s">
        <v>7</v>
      </c>
      <c r="AC766" s="27" t="s">
        <v>8</v>
      </c>
      <c r="BP766" s="27" t="s">
        <v>7</v>
      </c>
      <c r="BT766" s="27" t="s">
        <v>7</v>
      </c>
      <c r="BU766" s="27" t="s">
        <v>8</v>
      </c>
      <c r="BV766" s="27" t="s">
        <v>7</v>
      </c>
      <c r="BW766" s="27" t="s">
        <v>8</v>
      </c>
      <c r="BX766" s="27" t="s">
        <v>7</v>
      </c>
      <c r="BY766" s="27" t="s">
        <v>8</v>
      </c>
      <c r="BZ766" s="27" t="s">
        <v>7</v>
      </c>
      <c r="CB766" s="27" t="s">
        <v>7</v>
      </c>
      <c r="CG766" s="27" t="s">
        <v>8</v>
      </c>
      <c r="CH766" s="27" t="s">
        <v>7</v>
      </c>
      <c r="CI766" s="27" t="s">
        <v>8</v>
      </c>
      <c r="CM766" s="27" t="s">
        <v>8</v>
      </c>
      <c r="CN766" s="27" t="s">
        <v>7</v>
      </c>
      <c r="CQ766" s="27" t="s">
        <v>8</v>
      </c>
      <c r="CR766" s="27" t="s">
        <v>7</v>
      </c>
      <c r="CU766" s="27" t="s">
        <v>8</v>
      </c>
      <c r="CV766" s="27" t="s">
        <v>7</v>
      </c>
      <c r="DK766" s="27" t="s">
        <v>8</v>
      </c>
      <c r="DL766" s="27" t="s">
        <v>7</v>
      </c>
      <c r="DO766" s="27" t="s">
        <v>8</v>
      </c>
      <c r="DP766" s="27" t="s">
        <v>7</v>
      </c>
      <c r="DQ766" s="27" t="s">
        <v>8</v>
      </c>
      <c r="DT766" s="27" t="s">
        <v>7</v>
      </c>
    </row>
    <row r="767" spans="1:131" x14ac:dyDescent="0.25">
      <c r="A767" s="7">
        <v>2.8311904379966554E-2</v>
      </c>
      <c r="B767"/>
      <c r="C767"/>
      <c r="D767"/>
      <c r="E767"/>
      <c r="F767" s="27" t="s">
        <v>7</v>
      </c>
      <c r="Q767" s="27" t="s">
        <v>8</v>
      </c>
      <c r="R767" s="27" t="s">
        <v>7</v>
      </c>
      <c r="S767" s="27" t="s">
        <v>8</v>
      </c>
      <c r="Z767" s="27" t="s">
        <v>7</v>
      </c>
      <c r="AA767" s="27" t="s">
        <v>8</v>
      </c>
      <c r="AB767" s="27" t="s">
        <v>7</v>
      </c>
      <c r="AC767" s="27" t="s">
        <v>8</v>
      </c>
      <c r="BT767" s="27" t="s">
        <v>7</v>
      </c>
      <c r="BV767" s="27" t="s">
        <v>7</v>
      </c>
      <c r="BW767" s="27" t="s">
        <v>8</v>
      </c>
      <c r="BX767" s="27" t="s">
        <v>7</v>
      </c>
      <c r="BY767" s="27" t="s">
        <v>8</v>
      </c>
      <c r="CB767" s="27" t="s">
        <v>7</v>
      </c>
      <c r="CG767" s="27" t="s">
        <v>8</v>
      </c>
      <c r="CH767" s="27" t="s">
        <v>7</v>
      </c>
      <c r="CI767" s="27" t="s">
        <v>8</v>
      </c>
      <c r="CJ767" s="27" t="s">
        <v>7</v>
      </c>
      <c r="CM767" s="27" t="s">
        <v>8</v>
      </c>
      <c r="CN767" s="27" t="s">
        <v>7</v>
      </c>
      <c r="CO767" s="27" t="s">
        <v>8</v>
      </c>
      <c r="CQ767" s="27" t="s">
        <v>8</v>
      </c>
      <c r="CR767" s="27" t="s">
        <v>7</v>
      </c>
      <c r="CU767" s="27" t="s">
        <v>8</v>
      </c>
      <c r="CV767" s="27" t="s">
        <v>7</v>
      </c>
      <c r="CY767" s="27" t="s">
        <v>8</v>
      </c>
      <c r="DK767" s="27" t="s">
        <v>8</v>
      </c>
      <c r="DL767" s="27" t="s">
        <v>7</v>
      </c>
      <c r="DO767" s="27" t="s">
        <v>8</v>
      </c>
      <c r="DP767" s="27" t="s">
        <v>7</v>
      </c>
      <c r="DQ767" s="27" t="s">
        <v>8</v>
      </c>
    </row>
    <row r="768" spans="1:131" x14ac:dyDescent="0.25">
      <c r="A768" s="7">
        <v>2.7756768999967207E-2</v>
      </c>
      <c r="B768"/>
      <c r="C768"/>
      <c r="D768"/>
      <c r="E768"/>
      <c r="F768" s="27" t="s">
        <v>7</v>
      </c>
      <c r="Q768" s="27" t="s">
        <v>8</v>
      </c>
      <c r="R768" s="27" t="s">
        <v>7</v>
      </c>
      <c r="S768" s="27" t="s">
        <v>8</v>
      </c>
      <c r="Z768" s="27" t="s">
        <v>7</v>
      </c>
      <c r="AA768" s="27" t="s">
        <v>8</v>
      </c>
      <c r="AB768" s="27" t="s">
        <v>7</v>
      </c>
      <c r="BV768" s="27" t="s">
        <v>7</v>
      </c>
      <c r="BW768" s="27" t="s">
        <v>8</v>
      </c>
      <c r="BX768" s="27" t="s">
        <v>7</v>
      </c>
      <c r="BY768" s="27" t="s">
        <v>8</v>
      </c>
      <c r="CB768" s="27" t="s">
        <v>7</v>
      </c>
      <c r="CG768" s="27" t="s">
        <v>8</v>
      </c>
      <c r="CH768" s="27" t="s">
        <v>7</v>
      </c>
      <c r="CI768" s="27" t="s">
        <v>8</v>
      </c>
      <c r="CJ768" s="27" t="s">
        <v>7</v>
      </c>
      <c r="CK768" s="27" t="s">
        <v>8</v>
      </c>
      <c r="CM768" s="27" t="s">
        <v>8</v>
      </c>
      <c r="CN768" s="27" t="s">
        <v>7</v>
      </c>
      <c r="CO768" s="27" t="s">
        <v>8</v>
      </c>
      <c r="CP768" s="27" t="s">
        <v>7</v>
      </c>
      <c r="CQ768" s="27" t="s">
        <v>8</v>
      </c>
      <c r="CR768" s="27" t="s">
        <v>7</v>
      </c>
      <c r="CS768" s="27" t="s">
        <v>8</v>
      </c>
      <c r="CU768" s="27" t="s">
        <v>8</v>
      </c>
      <c r="CV768" s="27" t="s">
        <v>7</v>
      </c>
      <c r="CW768" s="27" t="s">
        <v>8</v>
      </c>
      <c r="CY768" s="27" t="s">
        <v>8</v>
      </c>
      <c r="CZ768" s="27" t="s">
        <v>7</v>
      </c>
      <c r="DK768" s="27" t="s">
        <v>8</v>
      </c>
      <c r="DL768" s="27" t="s">
        <v>7</v>
      </c>
      <c r="DM768" s="27" t="s">
        <v>8</v>
      </c>
      <c r="DO768" s="27" t="s">
        <v>8</v>
      </c>
      <c r="DP768" s="27" t="s">
        <v>7</v>
      </c>
    </row>
    <row r="769" spans="1:119" x14ac:dyDescent="0.25">
      <c r="A769" s="7">
        <v>2.7212518627418834E-2</v>
      </c>
      <c r="B769"/>
      <c r="C769"/>
      <c r="D769"/>
      <c r="E769"/>
      <c r="F769" s="27" t="s">
        <v>7</v>
      </c>
      <c r="Q769" s="27" t="s">
        <v>8</v>
      </c>
      <c r="R769" s="27" t="s">
        <v>7</v>
      </c>
      <c r="S769" s="27" t="s">
        <v>8</v>
      </c>
      <c r="Z769" s="27" t="s">
        <v>7</v>
      </c>
      <c r="AA769" s="27" t="s">
        <v>8</v>
      </c>
      <c r="BV769" s="27" t="s">
        <v>7</v>
      </c>
      <c r="BW769" s="27" t="s">
        <v>8</v>
      </c>
      <c r="BX769" s="27" t="s">
        <v>7</v>
      </c>
      <c r="CB769" s="27" t="s">
        <v>7</v>
      </c>
      <c r="CG769" s="27" t="s">
        <v>8</v>
      </c>
      <c r="CH769" s="27" t="s">
        <v>7</v>
      </c>
      <c r="CI769" s="27" t="s">
        <v>8</v>
      </c>
      <c r="CJ769" s="27" t="s">
        <v>7</v>
      </c>
      <c r="CK769" s="27" t="s">
        <v>8</v>
      </c>
      <c r="CL769" s="27" t="s">
        <v>7</v>
      </c>
      <c r="CM769" s="27" t="s">
        <v>8</v>
      </c>
      <c r="CN769" s="27" t="s">
        <v>7</v>
      </c>
      <c r="CO769" s="27" t="s">
        <v>8</v>
      </c>
      <c r="CP769" s="27" t="s">
        <v>7</v>
      </c>
      <c r="CQ769" s="27" t="s">
        <v>8</v>
      </c>
      <c r="CR769" s="27" t="s">
        <v>7</v>
      </c>
      <c r="CS769" s="27" t="s">
        <v>8</v>
      </c>
      <c r="CT769" s="27" t="s">
        <v>7</v>
      </c>
      <c r="CU769" s="27" t="s">
        <v>8</v>
      </c>
      <c r="CV769" s="27" t="s">
        <v>7</v>
      </c>
      <c r="CW769" s="27" t="s">
        <v>8</v>
      </c>
      <c r="CX769" s="27" t="s">
        <v>7</v>
      </c>
      <c r="CY769" s="27" t="s">
        <v>8</v>
      </c>
      <c r="CZ769" s="27" t="s">
        <v>7</v>
      </c>
      <c r="DK769" s="27" t="s">
        <v>8</v>
      </c>
      <c r="DL769" s="27" t="s">
        <v>7</v>
      </c>
      <c r="DM769" s="27" t="s">
        <v>8</v>
      </c>
      <c r="DN769" s="27" t="s">
        <v>7</v>
      </c>
      <c r="DO769" s="27" t="s">
        <v>8</v>
      </c>
    </row>
    <row r="770" spans="1:119" x14ac:dyDescent="0.25">
      <c r="A770" s="7">
        <v>2.6678939830802779E-2</v>
      </c>
      <c r="B770"/>
      <c r="C770"/>
      <c r="D770"/>
      <c r="E770"/>
      <c r="F770" s="27" t="s">
        <v>7</v>
      </c>
      <c r="Q770" s="27" t="s">
        <v>8</v>
      </c>
      <c r="R770" s="27" t="s">
        <v>7</v>
      </c>
      <c r="S770" s="27" t="s">
        <v>8</v>
      </c>
      <c r="Z770" s="27" t="s">
        <v>7</v>
      </c>
      <c r="AA770" s="27" t="s">
        <v>8</v>
      </c>
      <c r="BV770" s="27" t="s">
        <v>7</v>
      </c>
      <c r="BW770" s="27" t="s">
        <v>8</v>
      </c>
      <c r="CB770" s="27" t="s">
        <v>7</v>
      </c>
      <c r="CG770" s="27" t="s">
        <v>8</v>
      </c>
      <c r="CH770" s="27" t="s">
        <v>7</v>
      </c>
      <c r="CI770" s="27" t="s">
        <v>8</v>
      </c>
      <c r="CJ770" s="27" t="s">
        <v>7</v>
      </c>
      <c r="CK770" s="27" t="s">
        <v>8</v>
      </c>
      <c r="CL770" s="27" t="s">
        <v>7</v>
      </c>
      <c r="CM770" s="27" t="s">
        <v>8</v>
      </c>
      <c r="CN770" s="27" t="s">
        <v>7</v>
      </c>
      <c r="CO770" s="27" t="s">
        <v>8</v>
      </c>
      <c r="CP770" s="27" t="s">
        <v>7</v>
      </c>
      <c r="CQ770" s="27" t="s">
        <v>8</v>
      </c>
      <c r="CR770" s="27" t="s">
        <v>7</v>
      </c>
      <c r="CS770" s="27" t="s">
        <v>8</v>
      </c>
      <c r="CT770" s="27" t="s">
        <v>7</v>
      </c>
      <c r="CU770" s="27" t="s">
        <v>8</v>
      </c>
      <c r="CV770" s="27" t="s">
        <v>7</v>
      </c>
      <c r="CW770" s="27" t="s">
        <v>8</v>
      </c>
      <c r="CX770" s="27" t="s">
        <v>7</v>
      </c>
      <c r="CY770" s="27" t="s">
        <v>8</v>
      </c>
      <c r="CZ770" s="27" t="s">
        <v>7</v>
      </c>
      <c r="DI770" s="27" t="s">
        <v>8</v>
      </c>
      <c r="DK770" s="27" t="s">
        <v>8</v>
      </c>
      <c r="DL770" s="27" t="s">
        <v>7</v>
      </c>
      <c r="DM770" s="27" t="s">
        <v>8</v>
      </c>
      <c r="DN770" s="27" t="s">
        <v>7</v>
      </c>
      <c r="DO770" s="27" t="s">
        <v>8</v>
      </c>
    </row>
    <row r="771" spans="1:119" x14ac:dyDescent="0.25">
      <c r="A771" s="7">
        <v>2.615582336353214E-2</v>
      </c>
      <c r="B771"/>
      <c r="C771"/>
      <c r="D771"/>
      <c r="E771"/>
      <c r="F771" s="27" t="s">
        <v>7</v>
      </c>
      <c r="Q771" s="27" t="s">
        <v>8</v>
      </c>
      <c r="R771" s="27" t="s">
        <v>7</v>
      </c>
      <c r="S771" s="27" t="s">
        <v>8</v>
      </c>
      <c r="Z771" s="27" t="s">
        <v>7</v>
      </c>
      <c r="AA771" s="27" t="s">
        <v>8</v>
      </c>
      <c r="BV771" s="27" t="s">
        <v>7</v>
      </c>
      <c r="BW771" s="27" t="s">
        <v>8</v>
      </c>
      <c r="CB771" s="27" t="s">
        <v>7</v>
      </c>
      <c r="CE771" s="27" t="s">
        <v>8</v>
      </c>
      <c r="CG771" s="27" t="s">
        <v>8</v>
      </c>
      <c r="CH771" s="27" t="s">
        <v>7</v>
      </c>
      <c r="CI771" s="27" t="s">
        <v>8</v>
      </c>
      <c r="CJ771" s="27" t="s">
        <v>7</v>
      </c>
      <c r="CK771" s="27" t="s">
        <v>8</v>
      </c>
      <c r="CL771" s="27" t="s">
        <v>7</v>
      </c>
      <c r="CM771" s="27" t="s">
        <v>8</v>
      </c>
      <c r="CN771" s="27" t="s">
        <v>7</v>
      </c>
      <c r="CO771" s="27" t="s">
        <v>8</v>
      </c>
      <c r="CP771" s="27" t="s">
        <v>7</v>
      </c>
      <c r="CQ771" s="27" t="s">
        <v>8</v>
      </c>
      <c r="CR771" s="27" t="s">
        <v>7</v>
      </c>
      <c r="CS771" s="27" t="s">
        <v>8</v>
      </c>
      <c r="CT771" s="27" t="s">
        <v>7</v>
      </c>
      <c r="CV771" s="27" t="s">
        <v>7</v>
      </c>
      <c r="CW771" s="27" t="s">
        <v>8</v>
      </c>
      <c r="CX771" s="27" t="s">
        <v>7</v>
      </c>
      <c r="CY771" s="27" t="s">
        <v>8</v>
      </c>
      <c r="CZ771" s="27" t="s">
        <v>7</v>
      </c>
      <c r="DI771" s="27" t="s">
        <v>8</v>
      </c>
      <c r="DJ771" s="27" t="s">
        <v>7</v>
      </c>
      <c r="DK771" s="27" t="s">
        <v>8</v>
      </c>
      <c r="DL771" s="27" t="s">
        <v>7</v>
      </c>
      <c r="DM771" s="27" t="s">
        <v>8</v>
      </c>
      <c r="DN771" s="27" t="s">
        <v>7</v>
      </c>
      <c r="DO771" s="27" t="s">
        <v>8</v>
      </c>
    </row>
    <row r="772" spans="1:119" x14ac:dyDescent="0.25">
      <c r="A772" s="7">
        <v>2.5642964081894253E-2</v>
      </c>
      <c r="B772"/>
      <c r="C772"/>
      <c r="D772"/>
      <c r="E772"/>
      <c r="F772" s="27" t="s">
        <v>7</v>
      </c>
      <c r="Q772" s="27" t="s">
        <v>8</v>
      </c>
      <c r="R772" s="27" t="s">
        <v>7</v>
      </c>
      <c r="S772" s="27" t="s">
        <v>8</v>
      </c>
      <c r="Z772" s="27" t="s">
        <v>7</v>
      </c>
      <c r="AA772" s="27" t="s">
        <v>8</v>
      </c>
      <c r="BV772" s="27" t="s">
        <v>7</v>
      </c>
      <c r="BW772" s="27" t="s">
        <v>8</v>
      </c>
      <c r="CB772" s="27" t="s">
        <v>7</v>
      </c>
      <c r="CC772" s="27" t="s">
        <v>8</v>
      </c>
      <c r="CE772" s="27" t="s">
        <v>8</v>
      </c>
      <c r="CF772" s="27" t="s">
        <v>7</v>
      </c>
      <c r="CG772" s="27" t="s">
        <v>8</v>
      </c>
      <c r="CH772" s="27" t="s">
        <v>7</v>
      </c>
      <c r="CI772" s="27" t="s">
        <v>8</v>
      </c>
      <c r="CJ772" s="27" t="s">
        <v>7</v>
      </c>
      <c r="CK772" s="27" t="s">
        <v>8</v>
      </c>
      <c r="CL772" s="27" t="s">
        <v>7</v>
      </c>
      <c r="CM772" s="27" t="s">
        <v>8</v>
      </c>
      <c r="CN772" s="27" t="s">
        <v>7</v>
      </c>
      <c r="CO772" s="27" t="s">
        <v>8</v>
      </c>
      <c r="CP772" s="27" t="s">
        <v>7</v>
      </c>
      <c r="CQ772" s="27" t="s">
        <v>8</v>
      </c>
      <c r="CR772" s="27" t="s">
        <v>7</v>
      </c>
      <c r="CV772" s="27" t="s">
        <v>7</v>
      </c>
      <c r="CW772" s="27" t="s">
        <v>8</v>
      </c>
      <c r="CX772" s="27" t="s">
        <v>7</v>
      </c>
      <c r="CY772" s="27" t="s">
        <v>8</v>
      </c>
      <c r="CZ772" s="27" t="s">
        <v>7</v>
      </c>
      <c r="DI772" s="27" t="s">
        <v>8</v>
      </c>
      <c r="DJ772" s="27" t="s">
        <v>7</v>
      </c>
      <c r="DK772" s="27" t="s">
        <v>8</v>
      </c>
      <c r="DL772" s="27" t="s">
        <v>7</v>
      </c>
      <c r="DM772" s="27" t="s">
        <v>8</v>
      </c>
      <c r="DN772" s="27" t="s">
        <v>7</v>
      </c>
      <c r="DO772" s="27" t="s">
        <v>8</v>
      </c>
    </row>
    <row r="773" spans="1:119" x14ac:dyDescent="0.25">
      <c r="A773" s="7">
        <v>2.5140160864602207E-2</v>
      </c>
      <c r="B773"/>
      <c r="C773"/>
      <c r="D773"/>
      <c r="E773"/>
      <c r="F773" s="27" t="s">
        <v>7</v>
      </c>
      <c r="Q773" s="27" t="s">
        <v>8</v>
      </c>
      <c r="R773" s="27" t="s">
        <v>7</v>
      </c>
      <c r="S773" s="27" t="s">
        <v>8</v>
      </c>
      <c r="Z773" s="27" t="s">
        <v>7</v>
      </c>
      <c r="AA773" s="27" t="s">
        <v>8</v>
      </c>
      <c r="BV773" s="27" t="s">
        <v>7</v>
      </c>
      <c r="BW773" s="27" t="s">
        <v>8</v>
      </c>
      <c r="CB773" s="27" t="s">
        <v>7</v>
      </c>
      <c r="CC773" s="27" t="s">
        <v>8</v>
      </c>
      <c r="CD773" s="27" t="s">
        <v>7</v>
      </c>
      <c r="CE773" s="27" t="s">
        <v>8</v>
      </c>
      <c r="CF773" s="27" t="s">
        <v>7</v>
      </c>
      <c r="CG773" s="27" t="s">
        <v>8</v>
      </c>
      <c r="CH773" s="27" t="s">
        <v>7</v>
      </c>
      <c r="CI773" s="27" t="s">
        <v>8</v>
      </c>
      <c r="CJ773" s="27" t="s">
        <v>7</v>
      </c>
      <c r="CK773" s="27" t="s">
        <v>8</v>
      </c>
      <c r="CL773" s="27" t="s">
        <v>7</v>
      </c>
      <c r="CN773" s="27" t="s">
        <v>7</v>
      </c>
      <c r="CO773" s="27" t="s">
        <v>8</v>
      </c>
      <c r="CP773" s="27" t="s">
        <v>7</v>
      </c>
      <c r="CQ773" s="27" t="s">
        <v>8</v>
      </c>
      <c r="CV773" s="27" t="s">
        <v>7</v>
      </c>
      <c r="CW773" s="27" t="s">
        <v>8</v>
      </c>
      <c r="CX773" s="27" t="s">
        <v>7</v>
      </c>
      <c r="CZ773" s="27" t="s">
        <v>7</v>
      </c>
      <c r="DE773" s="27" t="s">
        <v>8</v>
      </c>
      <c r="DI773" s="27" t="s">
        <v>8</v>
      </c>
      <c r="DJ773" s="27" t="s">
        <v>7</v>
      </c>
      <c r="DK773" s="27" t="s">
        <v>8</v>
      </c>
      <c r="DL773" s="27" t="s">
        <v>7</v>
      </c>
      <c r="DM773" s="27" t="s">
        <v>8</v>
      </c>
      <c r="DN773" s="27" t="s">
        <v>7</v>
      </c>
      <c r="DO773" s="27" t="s">
        <v>8</v>
      </c>
    </row>
    <row r="774" spans="1:119" x14ac:dyDescent="0.25">
      <c r="A774" s="7">
        <v>2.4647216533923735E-2</v>
      </c>
      <c r="B774"/>
      <c r="C774"/>
      <c r="D774"/>
      <c r="E774"/>
      <c r="F774" s="27" t="s">
        <v>7</v>
      </c>
      <c r="Q774" s="27" t="s">
        <v>8</v>
      </c>
      <c r="R774" s="27" t="s">
        <v>7</v>
      </c>
      <c r="S774" s="27" t="s">
        <v>8</v>
      </c>
      <c r="Z774" s="27" t="s">
        <v>7</v>
      </c>
      <c r="BV774" s="27" t="s">
        <v>7</v>
      </c>
      <c r="BW774" s="27" t="s">
        <v>8</v>
      </c>
      <c r="CB774" s="27" t="s">
        <v>7</v>
      </c>
      <c r="CC774" s="27" t="s">
        <v>8</v>
      </c>
      <c r="CD774" s="27" t="s">
        <v>7</v>
      </c>
      <c r="CE774" s="27" t="s">
        <v>8</v>
      </c>
      <c r="CF774" s="27" t="s">
        <v>7</v>
      </c>
      <c r="CG774" s="27" t="s">
        <v>8</v>
      </c>
      <c r="CH774" s="27" t="s">
        <v>7</v>
      </c>
      <c r="CI774" s="27" t="s">
        <v>8</v>
      </c>
      <c r="CJ774" s="27" t="s">
        <v>7</v>
      </c>
      <c r="CN774" s="27" t="s">
        <v>7</v>
      </c>
      <c r="CO774" s="27" t="s">
        <v>8</v>
      </c>
      <c r="CP774" s="27" t="s">
        <v>7</v>
      </c>
      <c r="CV774" s="27" t="s">
        <v>7</v>
      </c>
      <c r="CZ774" s="27" t="s">
        <v>7</v>
      </c>
      <c r="DE774" s="27" t="s">
        <v>8</v>
      </c>
      <c r="DF774" s="27" t="s">
        <v>7</v>
      </c>
      <c r="DG774" s="27" t="s">
        <v>8</v>
      </c>
      <c r="DI774" s="27" t="s">
        <v>8</v>
      </c>
      <c r="DJ774" s="27" t="s">
        <v>7</v>
      </c>
      <c r="DK774" s="27" t="s">
        <v>8</v>
      </c>
      <c r="DL774" s="27" t="s">
        <v>7</v>
      </c>
      <c r="DM774" s="27" t="s">
        <v>8</v>
      </c>
      <c r="DN774" s="27" t="s">
        <v>7</v>
      </c>
      <c r="DO774" s="27" t="s">
        <v>8</v>
      </c>
    </row>
    <row r="775" spans="1:119" x14ac:dyDescent="0.25">
      <c r="A775" s="7">
        <v>2.4163937778356601E-2</v>
      </c>
      <c r="B775"/>
      <c r="C775"/>
      <c r="D775"/>
      <c r="E775"/>
      <c r="F775" s="27" t="s">
        <v>7</v>
      </c>
      <c r="Q775" s="27" t="s">
        <v>8</v>
      </c>
      <c r="R775" s="27" t="s">
        <v>7</v>
      </c>
      <c r="BV775" s="27" t="s">
        <v>7</v>
      </c>
      <c r="BW775" s="27" t="s">
        <v>8</v>
      </c>
      <c r="CB775" s="27" t="s">
        <v>7</v>
      </c>
      <c r="CC775" s="27" t="s">
        <v>8</v>
      </c>
      <c r="CD775" s="27" t="s">
        <v>7</v>
      </c>
      <c r="CE775" s="27" t="s">
        <v>8</v>
      </c>
      <c r="CF775" s="27" t="s">
        <v>7</v>
      </c>
      <c r="CG775" s="27" t="s">
        <v>8</v>
      </c>
      <c r="CH775" s="27" t="s">
        <v>7</v>
      </c>
      <c r="CN775" s="27" t="s">
        <v>7</v>
      </c>
      <c r="CO775" s="27" t="s">
        <v>8</v>
      </c>
      <c r="CZ775" s="27" t="s">
        <v>7</v>
      </c>
      <c r="DE775" s="27" t="s">
        <v>8</v>
      </c>
      <c r="DF775" s="27" t="s">
        <v>7</v>
      </c>
      <c r="DG775" s="27" t="s">
        <v>8</v>
      </c>
      <c r="DH775" s="27" t="s">
        <v>7</v>
      </c>
      <c r="DI775" s="27" t="s">
        <v>8</v>
      </c>
      <c r="DJ775" s="27" t="s">
        <v>7</v>
      </c>
      <c r="DK775" s="27" t="s">
        <v>8</v>
      </c>
      <c r="DL775" s="27" t="s">
        <v>7</v>
      </c>
      <c r="DM775" s="27" t="s">
        <v>8</v>
      </c>
      <c r="DN775" s="27" t="s">
        <v>7</v>
      </c>
    </row>
    <row r="776" spans="1:119" x14ac:dyDescent="0.25">
      <c r="A776" s="7">
        <v>2.3690135076820197E-2</v>
      </c>
      <c r="B776"/>
      <c r="C776"/>
      <c r="D776"/>
      <c r="E776"/>
      <c r="F776" s="27" t="s">
        <v>7</v>
      </c>
      <c r="Q776" s="27" t="s">
        <v>8</v>
      </c>
      <c r="BV776" s="27" t="s">
        <v>7</v>
      </c>
      <c r="BW776" s="27" t="s">
        <v>8</v>
      </c>
      <c r="CB776" s="27" t="s">
        <v>7</v>
      </c>
      <c r="CC776" s="27" t="s">
        <v>8</v>
      </c>
      <c r="CD776" s="27" t="s">
        <v>7</v>
      </c>
      <c r="CE776" s="27" t="s">
        <v>8</v>
      </c>
      <c r="CF776" s="27" t="s">
        <v>7</v>
      </c>
      <c r="CG776" s="27" t="s">
        <v>8</v>
      </c>
      <c r="CN776" s="27" t="s">
        <v>7</v>
      </c>
      <c r="CO776" s="27" t="s">
        <v>8</v>
      </c>
      <c r="CZ776" s="27" t="s">
        <v>7</v>
      </c>
      <c r="DE776" s="27" t="s">
        <v>8</v>
      </c>
      <c r="DF776" s="27" t="s">
        <v>7</v>
      </c>
      <c r="DG776" s="27" t="s">
        <v>8</v>
      </c>
      <c r="DH776" s="27" t="s">
        <v>7</v>
      </c>
      <c r="DI776" s="27" t="s">
        <v>8</v>
      </c>
      <c r="DJ776" s="27" t="s">
        <v>7</v>
      </c>
      <c r="DK776" s="27" t="s">
        <v>8</v>
      </c>
      <c r="DL776" s="27" t="s">
        <v>7</v>
      </c>
      <c r="DM776" s="27" t="s">
        <v>8</v>
      </c>
    </row>
    <row r="777" spans="1:119" x14ac:dyDescent="0.25">
      <c r="A777" s="7">
        <v>2.3225622624333527E-2</v>
      </c>
      <c r="B777"/>
      <c r="C777"/>
      <c r="D777"/>
      <c r="E777"/>
      <c r="F777" s="27" t="s">
        <v>7</v>
      </c>
      <c r="O777" s="27" t="s">
        <v>8</v>
      </c>
      <c r="Q777" s="27" t="s">
        <v>8</v>
      </c>
      <c r="BV777" s="27" t="s">
        <v>7</v>
      </c>
      <c r="CB777" s="27" t="s">
        <v>7</v>
      </c>
      <c r="CC777" s="27" t="s">
        <v>8</v>
      </c>
      <c r="CD777" s="27" t="s">
        <v>7</v>
      </c>
      <c r="CE777" s="27" t="s">
        <v>8</v>
      </c>
      <c r="CF777" s="27" t="s">
        <v>7</v>
      </c>
      <c r="CN777" s="27" t="s">
        <v>7</v>
      </c>
      <c r="CO777" s="27" t="s">
        <v>8</v>
      </c>
      <c r="CZ777" s="27" t="s">
        <v>7</v>
      </c>
      <c r="DC777" s="27" t="s">
        <v>8</v>
      </c>
      <c r="DE777" s="27" t="s">
        <v>8</v>
      </c>
      <c r="DF777" s="27" t="s">
        <v>7</v>
      </c>
      <c r="DG777" s="27" t="s">
        <v>8</v>
      </c>
      <c r="DH777" s="27" t="s">
        <v>7</v>
      </c>
      <c r="DI777" s="27" t="s">
        <v>8</v>
      </c>
      <c r="DJ777" s="27" t="s">
        <v>7</v>
      </c>
      <c r="DK777" s="27" t="s">
        <v>8</v>
      </c>
      <c r="DL777" s="27" t="s">
        <v>7</v>
      </c>
      <c r="DM777" s="27" t="s">
        <v>8</v>
      </c>
    </row>
    <row r="778" spans="1:119" x14ac:dyDescent="0.25">
      <c r="A778" s="7">
        <v>2.2770218259150519E-2</v>
      </c>
      <c r="B778"/>
      <c r="C778"/>
      <c r="D778"/>
      <c r="E778"/>
      <c r="F778" s="27" t="s">
        <v>7</v>
      </c>
      <c r="O778" s="27" t="s">
        <v>8</v>
      </c>
      <c r="P778" s="27" t="s">
        <v>7</v>
      </c>
      <c r="Q778" s="27" t="s">
        <v>8</v>
      </c>
      <c r="CB778" s="27" t="s">
        <v>7</v>
      </c>
      <c r="CC778" s="27" t="s">
        <v>8</v>
      </c>
      <c r="CD778" s="27" t="s">
        <v>7</v>
      </c>
      <c r="CE778" s="27" t="s">
        <v>8</v>
      </c>
      <c r="CN778" s="27" t="s">
        <v>7</v>
      </c>
      <c r="CO778" s="27" t="s">
        <v>8</v>
      </c>
      <c r="CZ778" s="27" t="s">
        <v>7</v>
      </c>
      <c r="DA778" s="27" t="s">
        <v>8</v>
      </c>
      <c r="DC778" s="27" t="s">
        <v>8</v>
      </c>
      <c r="DD778" s="27" t="s">
        <v>7</v>
      </c>
      <c r="DE778" s="27" t="s">
        <v>8</v>
      </c>
      <c r="DF778" s="27" t="s">
        <v>7</v>
      </c>
      <c r="DG778" s="27" t="s">
        <v>8</v>
      </c>
      <c r="DH778" s="27" t="s">
        <v>7</v>
      </c>
      <c r="DI778" s="27" t="s">
        <v>8</v>
      </c>
      <c r="DJ778" s="27" t="s">
        <v>7</v>
      </c>
      <c r="DL778" s="27" t="s">
        <v>7</v>
      </c>
      <c r="DM778" s="27" t="s">
        <v>8</v>
      </c>
    </row>
    <row r="779" spans="1:119" x14ac:dyDescent="0.25">
      <c r="A779" s="7">
        <v>2.2323743391324039E-2</v>
      </c>
      <c r="B779"/>
      <c r="C779"/>
      <c r="D779"/>
      <c r="E779"/>
      <c r="F779" s="27" t="s">
        <v>7</v>
      </c>
      <c r="K779" s="27" t="s">
        <v>8</v>
      </c>
      <c r="O779" s="27" t="s">
        <v>8</v>
      </c>
      <c r="P779" s="27" t="s">
        <v>7</v>
      </c>
      <c r="Q779" s="27" t="s">
        <v>8</v>
      </c>
      <c r="CB779" s="27" t="s">
        <v>7</v>
      </c>
      <c r="CC779" s="27" t="s">
        <v>8</v>
      </c>
      <c r="CD779" s="27" t="s">
        <v>7</v>
      </c>
      <c r="CE779" s="27" t="s">
        <v>8</v>
      </c>
      <c r="CN779" s="27" t="s">
        <v>7</v>
      </c>
      <c r="CZ779" s="27" t="s">
        <v>7</v>
      </c>
      <c r="DA779" s="27" t="s">
        <v>8</v>
      </c>
      <c r="DB779" s="27" t="s">
        <v>7</v>
      </c>
      <c r="DC779" s="27" t="s">
        <v>8</v>
      </c>
      <c r="DD779" s="27" t="s">
        <v>7</v>
      </c>
      <c r="DE779" s="27" t="s">
        <v>8</v>
      </c>
      <c r="DF779" s="27" t="s">
        <v>7</v>
      </c>
      <c r="DG779" s="27" t="s">
        <v>8</v>
      </c>
      <c r="DH779" s="27" t="s">
        <v>7</v>
      </c>
      <c r="DI779" s="27" t="s">
        <v>8</v>
      </c>
      <c r="DL779" s="27" t="s">
        <v>7</v>
      </c>
      <c r="DM779" s="27" t="s">
        <v>8</v>
      </c>
    </row>
    <row r="780" spans="1:119" x14ac:dyDescent="0.25">
      <c r="A780" s="7">
        <v>2.188602293267063E-2</v>
      </c>
      <c r="B780"/>
      <c r="C780"/>
      <c r="D780"/>
      <c r="E780"/>
      <c r="F780" s="27" t="s">
        <v>7</v>
      </c>
      <c r="K780" s="27" t="s">
        <v>8</v>
      </c>
      <c r="L780" s="27" t="s">
        <v>7</v>
      </c>
      <c r="M780" s="27" t="s">
        <v>8</v>
      </c>
      <c r="O780" s="27" t="s">
        <v>8</v>
      </c>
      <c r="P780" s="27" t="s">
        <v>7</v>
      </c>
      <c r="Q780" s="27" t="s">
        <v>8</v>
      </c>
      <c r="CB780" s="27" t="s">
        <v>7</v>
      </c>
      <c r="CC780" s="27" t="s">
        <v>8</v>
      </c>
      <c r="CD780" s="27" t="s">
        <v>7</v>
      </c>
      <c r="CE780" s="27" t="s">
        <v>8</v>
      </c>
      <c r="CZ780" s="27" t="s">
        <v>7</v>
      </c>
      <c r="DA780" s="27" t="s">
        <v>8</v>
      </c>
      <c r="DB780" s="27" t="s">
        <v>7</v>
      </c>
      <c r="DC780" s="27" t="s">
        <v>8</v>
      </c>
      <c r="DD780" s="27" t="s">
        <v>7</v>
      </c>
      <c r="DE780" s="27" t="s">
        <v>8</v>
      </c>
      <c r="DF780" s="27" t="s">
        <v>7</v>
      </c>
      <c r="DG780" s="27" t="s">
        <v>8</v>
      </c>
      <c r="DH780" s="27" t="s">
        <v>7</v>
      </c>
      <c r="DL780" s="27" t="s">
        <v>7</v>
      </c>
      <c r="DM780" s="27" t="s">
        <v>8</v>
      </c>
    </row>
    <row r="781" spans="1:119" x14ac:dyDescent="0.25">
      <c r="A781" s="7">
        <v>2.1456885228108461E-2</v>
      </c>
      <c r="B781"/>
      <c r="C781"/>
      <c r="D781"/>
      <c r="E781"/>
      <c r="F781" s="27" t="s">
        <v>7</v>
      </c>
      <c r="K781" s="27" t="s">
        <v>8</v>
      </c>
      <c r="L781" s="27" t="s">
        <v>7</v>
      </c>
      <c r="M781" s="27" t="s">
        <v>8</v>
      </c>
      <c r="N781" s="27" t="s">
        <v>7</v>
      </c>
      <c r="O781" s="27" t="s">
        <v>8</v>
      </c>
      <c r="P781" s="27" t="s">
        <v>7</v>
      </c>
      <c r="Q781" s="27" t="s">
        <v>8</v>
      </c>
      <c r="CB781" s="27" t="s">
        <v>7</v>
      </c>
      <c r="CC781" s="27" t="s">
        <v>8</v>
      </c>
      <c r="CD781" s="27" t="s">
        <v>7</v>
      </c>
      <c r="CE781" s="27" t="s">
        <v>8</v>
      </c>
      <c r="CZ781" s="27" t="s">
        <v>7</v>
      </c>
      <c r="DA781" s="27" t="s">
        <v>8</v>
      </c>
      <c r="DB781" s="27" t="s">
        <v>7</v>
      </c>
      <c r="DC781" s="27" t="s">
        <v>8</v>
      </c>
      <c r="DD781" s="27" t="s">
        <v>7</v>
      </c>
      <c r="DE781" s="27" t="s">
        <v>8</v>
      </c>
      <c r="DF781" s="27" t="s">
        <v>7</v>
      </c>
      <c r="DL781" s="27" t="s">
        <v>7</v>
      </c>
      <c r="DM781" s="27" t="s">
        <v>8</v>
      </c>
    </row>
    <row r="782" spans="1:119" x14ac:dyDescent="0.25">
      <c r="A782" s="7">
        <v>2.1036161988341632E-2</v>
      </c>
      <c r="B782"/>
      <c r="C782"/>
      <c r="D782"/>
      <c r="E782"/>
      <c r="F782" s="27" t="s">
        <v>7</v>
      </c>
      <c r="K782" s="27" t="s">
        <v>8</v>
      </c>
      <c r="L782" s="27" t="s">
        <v>7</v>
      </c>
      <c r="M782" s="27" t="s">
        <v>8</v>
      </c>
      <c r="N782" s="27" t="s">
        <v>7</v>
      </c>
      <c r="O782" s="27" t="s">
        <v>8</v>
      </c>
      <c r="P782" s="27" t="s">
        <v>7</v>
      </c>
      <c r="Q782" s="27" t="s">
        <v>8</v>
      </c>
      <c r="CB782" s="27" t="s">
        <v>7</v>
      </c>
      <c r="CD782" s="27" t="s">
        <v>7</v>
      </c>
      <c r="CE782" s="27" t="s">
        <v>8</v>
      </c>
      <c r="CZ782" s="27" t="s">
        <v>7</v>
      </c>
      <c r="DA782" s="27" t="s">
        <v>8</v>
      </c>
      <c r="DB782" s="27" t="s">
        <v>7</v>
      </c>
      <c r="DD782" s="27" t="s">
        <v>7</v>
      </c>
      <c r="DE782" s="27" t="s">
        <v>8</v>
      </c>
      <c r="DL782" s="27" t="s">
        <v>7</v>
      </c>
      <c r="DM782" s="27" t="s">
        <v>8</v>
      </c>
    </row>
    <row r="783" spans="1:119" x14ac:dyDescent="0.25">
      <c r="A783" s="7">
        <v>2.0623688223864345E-2</v>
      </c>
      <c r="B783"/>
      <c r="C783"/>
      <c r="D783"/>
      <c r="E783"/>
      <c r="F783" s="27" t="s">
        <v>7</v>
      </c>
      <c r="K783" s="27" t="s">
        <v>8</v>
      </c>
      <c r="L783" s="27" t="s">
        <v>7</v>
      </c>
      <c r="M783" s="27" t="s">
        <v>8</v>
      </c>
      <c r="N783" s="27" t="s">
        <v>7</v>
      </c>
      <c r="O783" s="27" t="s">
        <v>8</v>
      </c>
      <c r="P783" s="27" t="s">
        <v>7</v>
      </c>
      <c r="Q783" s="27" t="s">
        <v>8</v>
      </c>
      <c r="CD783" s="27" t="s">
        <v>7</v>
      </c>
      <c r="CE783" s="27" t="s">
        <v>8</v>
      </c>
      <c r="CZ783" s="27" t="s">
        <v>7</v>
      </c>
      <c r="DA783" s="27" t="s">
        <v>8</v>
      </c>
      <c r="DD783" s="27" t="s">
        <v>7</v>
      </c>
      <c r="DE783" s="27" t="s">
        <v>8</v>
      </c>
      <c r="DL783" s="27" t="s">
        <v>7</v>
      </c>
      <c r="DM783" s="27" t="s">
        <v>8</v>
      </c>
    </row>
    <row r="784" spans="1:119" x14ac:dyDescent="0.25">
      <c r="A784" s="7">
        <v>2.021930218025916E-2</v>
      </c>
      <c r="B784"/>
      <c r="C784"/>
      <c r="D784"/>
      <c r="E784"/>
      <c r="F784" s="27" t="s">
        <v>7</v>
      </c>
      <c r="K784" s="27" t="s">
        <v>8</v>
      </c>
      <c r="L784" s="27" t="s">
        <v>7</v>
      </c>
      <c r="M784" s="27" t="s">
        <v>8</v>
      </c>
      <c r="N784" s="27" t="s">
        <v>7</v>
      </c>
      <c r="O784" s="27" t="s">
        <v>8</v>
      </c>
      <c r="P784" s="27" t="s">
        <v>7</v>
      </c>
      <c r="Q784" s="27" t="s">
        <v>8</v>
      </c>
      <c r="CD784" s="27" t="s">
        <v>7</v>
      </c>
      <c r="CE784" s="27" t="s">
        <v>8</v>
      </c>
      <c r="CZ784" s="27" t="s">
        <v>7</v>
      </c>
      <c r="DA784" s="27" t="s">
        <v>8</v>
      </c>
      <c r="DD784" s="27" t="s">
        <v>7</v>
      </c>
      <c r="DL784" s="27" t="s">
        <v>7</v>
      </c>
    </row>
    <row r="785" spans="1:105" x14ac:dyDescent="0.25">
      <c r="A785" s="7">
        <v>1.9822845274763884E-2</v>
      </c>
      <c r="B785"/>
      <c r="C785"/>
      <c r="D785"/>
      <c r="E785"/>
      <c r="F785" s="27" t="s">
        <v>7</v>
      </c>
      <c r="K785" s="27" t="s">
        <v>8</v>
      </c>
      <c r="L785" s="27" t="s">
        <v>7</v>
      </c>
      <c r="M785" s="27" t="s">
        <v>8</v>
      </c>
      <c r="N785" s="27" t="s">
        <v>7</v>
      </c>
      <c r="O785" s="27" t="s">
        <v>8</v>
      </c>
      <c r="P785" s="27" t="s">
        <v>7</v>
      </c>
      <c r="Q785" s="27" t="s">
        <v>8</v>
      </c>
      <c r="CD785" s="27" t="s">
        <v>7</v>
      </c>
      <c r="CZ785" s="27" t="s">
        <v>7</v>
      </c>
      <c r="DA785" s="27" t="s">
        <v>8</v>
      </c>
    </row>
    <row r="786" spans="1:105" x14ac:dyDescent="0.25">
      <c r="A786" s="7">
        <v>1.9434162034082238E-2</v>
      </c>
      <c r="B786"/>
      <c r="C786"/>
      <c r="D786"/>
      <c r="E786"/>
      <c r="F786" s="27" t="s">
        <v>7</v>
      </c>
      <c r="G786" s="27" t="s">
        <v>8</v>
      </c>
      <c r="I786" s="27" t="s">
        <v>8</v>
      </c>
      <c r="K786" s="27" t="s">
        <v>8</v>
      </c>
      <c r="L786" s="27" t="s">
        <v>7</v>
      </c>
      <c r="M786" s="27" t="s">
        <v>8</v>
      </c>
      <c r="N786" s="27" t="s">
        <v>7</v>
      </c>
      <c r="P786" s="27" t="s">
        <v>7</v>
      </c>
      <c r="Q786" s="27" t="s">
        <v>8</v>
      </c>
      <c r="CZ786" s="27" t="s">
        <v>7</v>
      </c>
      <c r="DA786" s="27" t="s">
        <v>8</v>
      </c>
    </row>
    <row r="787" spans="1:105" x14ac:dyDescent="0.25">
      <c r="A787" s="7">
        <v>1.9053100033413959E-2</v>
      </c>
      <c r="B787"/>
      <c r="C787"/>
      <c r="D787"/>
      <c r="E787"/>
      <c r="F787" s="27" t="s">
        <v>7</v>
      </c>
      <c r="G787" s="27" t="s">
        <v>8</v>
      </c>
      <c r="H787" s="27" t="s">
        <v>7</v>
      </c>
      <c r="I787" s="27" t="s">
        <v>8</v>
      </c>
      <c r="J787" s="27" t="s">
        <v>7</v>
      </c>
      <c r="K787" s="27" t="s">
        <v>8</v>
      </c>
      <c r="L787" s="27" t="s">
        <v>7</v>
      </c>
      <c r="M787" s="27" t="s">
        <v>8</v>
      </c>
      <c r="P787" s="27" t="s">
        <v>7</v>
      </c>
      <c r="Q787" s="27" t="s">
        <v>8</v>
      </c>
      <c r="CZ787" s="27" t="s">
        <v>7</v>
      </c>
    </row>
    <row r="788" spans="1:105" x14ac:dyDescent="0.25">
      <c r="A788" s="7">
        <v>1.867950983668035E-2</v>
      </c>
      <c r="B788"/>
      <c r="C788"/>
      <c r="D788"/>
      <c r="E788"/>
      <c r="F788" s="27" t="s">
        <v>7</v>
      </c>
      <c r="G788" s="27" t="s">
        <v>8</v>
      </c>
      <c r="H788" s="27" t="s">
        <v>7</v>
      </c>
      <c r="I788" s="27" t="s">
        <v>8</v>
      </c>
      <c r="J788" s="27" t="s">
        <v>7</v>
      </c>
      <c r="K788" s="27" t="s">
        <v>8</v>
      </c>
      <c r="L788" s="27" t="s">
        <v>7</v>
      </c>
      <c r="P788" s="27" t="s">
        <v>7</v>
      </c>
      <c r="Q788" s="27" t="s">
        <v>8</v>
      </c>
    </row>
    <row r="789" spans="1:105" x14ac:dyDescent="0.25">
      <c r="A789" s="7">
        <v>1.8313244937921913E-2</v>
      </c>
      <c r="B789"/>
      <c r="C789"/>
      <c r="D789"/>
      <c r="E789"/>
      <c r="F789" s="27" t="s">
        <v>7</v>
      </c>
      <c r="G789" s="27" t="s">
        <v>8</v>
      </c>
      <c r="H789" s="27" t="s">
        <v>7</v>
      </c>
      <c r="I789" s="27" t="s">
        <v>8</v>
      </c>
      <c r="J789" s="27" t="s">
        <v>7</v>
      </c>
      <c r="K789" s="27" t="s">
        <v>8</v>
      </c>
      <c r="P789" s="27" t="s">
        <v>7</v>
      </c>
      <c r="Q789" s="27" t="s">
        <v>8</v>
      </c>
    </row>
    <row r="790" spans="1:105" x14ac:dyDescent="0.25">
      <c r="A790" s="7">
        <v>1.7954161703845013E-2</v>
      </c>
      <c r="B790"/>
      <c r="C790"/>
      <c r="D790"/>
      <c r="E790"/>
      <c r="F790" s="27" t="s">
        <v>7</v>
      </c>
      <c r="G790" s="27" t="s">
        <v>8</v>
      </c>
      <c r="H790" s="27" t="s">
        <v>7</v>
      </c>
      <c r="J790" s="27" t="s">
        <v>7</v>
      </c>
      <c r="K790" s="27" t="s">
        <v>8</v>
      </c>
      <c r="P790" s="27" t="s">
        <v>7</v>
      </c>
      <c r="Q790" s="27" t="s">
        <v>8</v>
      </c>
    </row>
    <row r="791" spans="1:105" x14ac:dyDescent="0.25">
      <c r="A791" s="7">
        <v>1.7602119317495109E-2</v>
      </c>
      <c r="B791"/>
      <c r="C791"/>
      <c r="D791"/>
      <c r="E791"/>
      <c r="F791" s="27" t="s">
        <v>7</v>
      </c>
      <c r="G791" s="27" t="s">
        <v>8</v>
      </c>
      <c r="J791" s="27" t="s">
        <v>7</v>
      </c>
      <c r="K791" s="27" t="s">
        <v>8</v>
      </c>
      <c r="P791" s="27" t="s">
        <v>7</v>
      </c>
      <c r="Q791" s="27" t="s">
        <v>8</v>
      </c>
    </row>
    <row r="792" spans="1:105" x14ac:dyDescent="0.25">
      <c r="A792" s="7">
        <v>1.7256979723034419E-2</v>
      </c>
      <c r="B792"/>
      <c r="C792"/>
      <c r="D792"/>
      <c r="E792"/>
      <c r="F792" s="27" t="s">
        <v>7</v>
      </c>
      <c r="J792" s="27" t="s">
        <v>7</v>
      </c>
      <c r="P792" s="27" t="s">
        <v>7</v>
      </c>
      <c r="Q792" s="27" t="s">
        <v>8</v>
      </c>
    </row>
    <row r="793" spans="1:105" x14ac:dyDescent="0.25">
      <c r="A793" s="7">
        <v>1.6918607571602372E-2</v>
      </c>
      <c r="B793"/>
      <c r="C793"/>
      <c r="D793"/>
      <c r="E793"/>
      <c r="P793" s="27" t="s">
        <v>7</v>
      </c>
      <c r="Q793" s="27" t="s">
        <v>8</v>
      </c>
    </row>
    <row r="794" spans="1:105" x14ac:dyDescent="0.25">
      <c r="A794" s="7">
        <v>1.6586870168237622E-2</v>
      </c>
      <c r="B794"/>
      <c r="C794"/>
      <c r="D794"/>
      <c r="E794"/>
      <c r="P794" s="27" t="s">
        <v>7</v>
      </c>
      <c r="Q794" s="27" t="s">
        <v>8</v>
      </c>
    </row>
    <row r="795" spans="1:105" x14ac:dyDescent="0.25">
      <c r="A795" s="7">
        <v>1.6261637419840807E-2</v>
      </c>
      <c r="B795"/>
      <c r="C795"/>
      <c r="D795"/>
      <c r="E795"/>
      <c r="P795" s="27" t="s">
        <v>7</v>
      </c>
      <c r="Q795" s="27" t="s">
        <v>8</v>
      </c>
    </row>
    <row r="796" spans="1:105" x14ac:dyDescent="0.25">
      <c r="A796" s="7">
        <v>1.5942781784157655E-2</v>
      </c>
      <c r="B796"/>
      <c r="C796"/>
      <c r="D796"/>
      <c r="E796"/>
      <c r="P796" s="27" t="s">
        <v>7</v>
      </c>
    </row>
    <row r="797" spans="1:105" x14ac:dyDescent="0.25">
      <c r="A797" s="7">
        <v>1.5630178219762408E-2</v>
      </c>
      <c r="B797"/>
      <c r="C797"/>
      <c r="D797"/>
      <c r="E797"/>
    </row>
    <row r="798" spans="1:105" x14ac:dyDescent="0.25">
      <c r="A798" s="7">
        <v>1.5323704137021967E-2</v>
      </c>
      <c r="B798"/>
      <c r="C798"/>
      <c r="D798"/>
      <c r="E798"/>
    </row>
    <row r="799" spans="1:105" x14ac:dyDescent="0.25">
      <c r="A799" s="7">
        <v>1.5023239350021535E-2</v>
      </c>
      <c r="B799"/>
      <c r="C799"/>
      <c r="D799"/>
      <c r="E799"/>
    </row>
    <row r="800" spans="1:10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36" operator="equal">
      <formula>$U$1</formula>
    </cfRule>
    <cfRule type="cellIs" dxfId="89" priority="1037" operator="equal">
      <formula>$S$1</formula>
    </cfRule>
  </conditionalFormatting>
  <conditionalFormatting sqref="D27">
    <cfRule type="cellIs" dxfId="88" priority="1034" operator="equal">
      <formula>$S$1</formula>
    </cfRule>
    <cfRule type="cellIs" dxfId="87" priority="1035" operator="equal">
      <formula>$U$1</formula>
    </cfRule>
  </conditionalFormatting>
  <conditionalFormatting sqref="C164">
    <cfRule type="cellIs" dxfId="86" priority="1032" operator="equal">
      <formula>$U$1</formula>
    </cfRule>
    <cfRule type="cellIs" dxfId="85" priority="1033" operator="equal">
      <formula>$S$1</formula>
    </cfRule>
  </conditionalFormatting>
  <conditionalFormatting sqref="D164">
    <cfRule type="cellIs" dxfId="84" priority="1030" operator="equal">
      <formula>$S$1</formula>
    </cfRule>
    <cfRule type="cellIs" dxfId="83" priority="1031" operator="equal">
      <formula>$U$1</formula>
    </cfRule>
  </conditionalFormatting>
  <conditionalFormatting sqref="C55">
    <cfRule type="cellIs" dxfId="82" priority="1028" operator="equal">
      <formula>$U$1</formula>
    </cfRule>
    <cfRule type="cellIs" dxfId="81" priority="1029" operator="equal">
      <formula>$S$1</formula>
    </cfRule>
  </conditionalFormatting>
  <conditionalFormatting sqref="D55">
    <cfRule type="cellIs" dxfId="80" priority="1026" operator="equal">
      <formula>$S$1</formula>
    </cfRule>
    <cfRule type="cellIs" dxfId="79" priority="1027" operator="equal">
      <formula>$U$1</formula>
    </cfRule>
  </conditionalFormatting>
  <conditionalFormatting sqref="C89">
    <cfRule type="cellIs" dxfId="78" priority="1024" operator="equal">
      <formula>$U$1</formula>
    </cfRule>
    <cfRule type="cellIs" dxfId="77" priority="1025" operator="equal">
      <formula>$S$1</formula>
    </cfRule>
  </conditionalFormatting>
  <conditionalFormatting sqref="D89">
    <cfRule type="cellIs" dxfId="76" priority="1022" operator="equal">
      <formula>$S$1</formula>
    </cfRule>
    <cfRule type="cellIs" dxfId="75" priority="1023" operator="equal">
      <formula>$U$1</formula>
    </cfRule>
  </conditionalFormatting>
  <conditionalFormatting sqref="C136">
    <cfRule type="cellIs" dxfId="74" priority="1020" operator="equal">
      <formula>$U$1</formula>
    </cfRule>
    <cfRule type="cellIs" dxfId="73" priority="1021" operator="equal">
      <formula>$S$1</formula>
    </cfRule>
  </conditionalFormatting>
  <conditionalFormatting sqref="D136">
    <cfRule type="cellIs" dxfId="72" priority="1018" operator="equal">
      <formula>$S$1</formula>
    </cfRule>
    <cfRule type="cellIs" dxfId="71" priority="1019" operator="equal">
      <formula>$U$1</formula>
    </cfRule>
  </conditionalFormatting>
  <conditionalFormatting sqref="C1">
    <cfRule type="cellIs" dxfId="70" priority="101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6" zoomScale="90" zoomScaleNormal="90" workbookViewId="0">
      <pane xSplit="4" topLeftCell="DF1" activePane="topRight" state="frozen"/>
      <selection activeCell="A109" sqref="A109"/>
      <selection pane="topRight" activeCell="GG251" sqref="GG25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$A$250</v>
      </c>
      <c r="D111" s="1" t="str">
        <f>ADDRESS(C121-1,D121,1,1)</f>
        <v>$GG$250</v>
      </c>
      <c r="E111"/>
    </row>
    <row r="112" spans="1:5" x14ac:dyDescent="0.25">
      <c r="A112" s="30">
        <v>515.50191262726139</v>
      </c>
      <c r="C112" s="1" t="str">
        <f>ADDRESS(C121,1,1,1)</f>
        <v>$A$251</v>
      </c>
      <c r="D112" s="1" t="str">
        <f>ADDRESS(C121,D121-1,1,1)</f>
        <v>$GF$251</v>
      </c>
      <c r="E112"/>
    </row>
    <row r="113" spans="1:5" x14ac:dyDescent="0.25">
      <c r="A113" s="30">
        <v>490.95420250215363</v>
      </c>
      <c r="C113" s="1" t="str">
        <f>ADDRESS(C121+1,1,1,1)</f>
        <v>$A$252</v>
      </c>
      <c r="D113" s="1" t="str">
        <f>ADDRESS(C121-1,D121+1,1,1)</f>
        <v>$GH$250</v>
      </c>
    </row>
    <row r="114" spans="1:5" x14ac:dyDescent="0.25">
      <c r="A114" s="30">
        <v>467.57543095443202</v>
      </c>
      <c r="C114" s="1" t="str">
        <f>ADDRESS(C121,D121,1,1)</f>
        <v>$GG$251</v>
      </c>
      <c r="D114" s="1" t="str">
        <f>ADDRESS(C121+1,D121+1,1,1)</f>
        <v>$GH$252</v>
      </c>
    </row>
    <row r="115" spans="1:5" x14ac:dyDescent="0.25">
      <c r="A115" s="30">
        <v>445.30993424231622</v>
      </c>
      <c r="C115" s="1" t="str">
        <f>ADDRESS(C121+1,D121,1,1)</f>
        <v>$GG$252</v>
      </c>
    </row>
    <row r="116" spans="1:5" x14ac:dyDescent="0.25">
      <c r="A116" s="30">
        <v>424.10469927839637</v>
      </c>
      <c r="C116" s="1">
        <f>C117-1</f>
        <v>250</v>
      </c>
    </row>
    <row r="117" spans="1:5" x14ac:dyDescent="0.25">
      <c r="A117" s="30">
        <v>403.9092374079965</v>
      </c>
      <c r="C117" s="1">
        <f>C121</f>
        <v>251</v>
      </c>
      <c r="D117" s="1">
        <f>D121</f>
        <v>189</v>
      </c>
    </row>
    <row r="118" spans="1:5" x14ac:dyDescent="0.25">
      <c r="A118" s="30">
        <v>384.6754641980919</v>
      </c>
      <c r="C118" s="1">
        <f>C117+1</f>
        <v>252</v>
      </c>
      <c r="D118" s="1">
        <f>D117+1</f>
        <v>190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251</v>
      </c>
      <c r="D121" s="19">
        <v>189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R251</v>
      </c>
      <c r="D123" s="1" t="str">
        <f>"C"&amp;D121</f>
        <v>C189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0.58467928908643485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74" x14ac:dyDescent="0.25">
      <c r="A225" s="30">
        <v>2.0789281794113688</v>
      </c>
      <c r="E225"/>
    </row>
    <row r="226" spans="1:174" x14ac:dyDescent="0.25">
      <c r="A226" s="30">
        <v>1.9799315994393987</v>
      </c>
      <c r="E226"/>
    </row>
    <row r="227" spans="1:174" x14ac:dyDescent="0.25">
      <c r="A227" s="30">
        <v>1.8856491423232367</v>
      </c>
      <c r="E227"/>
    </row>
    <row r="228" spans="1:174" x14ac:dyDescent="0.25">
      <c r="A228" s="30">
        <v>1.7958563260221301</v>
      </c>
      <c r="C228" s="7"/>
      <c r="D228"/>
      <c r="E228"/>
    </row>
    <row r="229" spans="1:174" x14ac:dyDescent="0.25">
      <c r="A229" s="30">
        <v>1.7103393581163142</v>
      </c>
      <c r="E229"/>
    </row>
    <row r="230" spans="1:174" x14ac:dyDescent="0.25">
      <c r="A230" s="30">
        <v>1.628894626777442</v>
      </c>
      <c r="E230"/>
    </row>
    <row r="231" spans="1:174" x14ac:dyDescent="0.25">
      <c r="A231" s="30">
        <v>1.5513282159785162</v>
      </c>
      <c r="C231"/>
      <c r="D231"/>
      <c r="E231"/>
    </row>
    <row r="232" spans="1:174" x14ac:dyDescent="0.25">
      <c r="A232" s="30">
        <v>1.477455443789063</v>
      </c>
      <c r="E232"/>
      <c r="FO232" s="27" t="s">
        <v>8</v>
      </c>
    </row>
    <row r="233" spans="1:174" x14ac:dyDescent="0.25">
      <c r="A233" s="30">
        <v>1.4071004226562505</v>
      </c>
      <c r="E233"/>
      <c r="FI233" s="27" t="s">
        <v>8</v>
      </c>
      <c r="FO233" s="27" t="s">
        <v>8</v>
      </c>
      <c r="FP233" s="27" t="s">
        <v>7</v>
      </c>
    </row>
    <row r="234" spans="1:174" x14ac:dyDescent="0.25">
      <c r="A234" s="30">
        <v>1.3400956406250004</v>
      </c>
      <c r="E234"/>
      <c r="FI234" s="27" t="s">
        <v>8</v>
      </c>
      <c r="FJ234" s="27" t="s">
        <v>7</v>
      </c>
      <c r="FM234" s="27" t="s">
        <v>8</v>
      </c>
      <c r="FO234" s="27" t="s">
        <v>8</v>
      </c>
      <c r="FP234" s="27" t="s">
        <v>7</v>
      </c>
    </row>
    <row r="235" spans="1:174" x14ac:dyDescent="0.25">
      <c r="A235" s="30">
        <v>1.2762815625000004</v>
      </c>
      <c r="C235"/>
      <c r="E235"/>
      <c r="FI235" s="27" t="s">
        <v>8</v>
      </c>
      <c r="FJ235" s="27" t="s">
        <v>7</v>
      </c>
      <c r="FK235" s="27" t="s">
        <v>8</v>
      </c>
      <c r="FM235" s="27" t="s">
        <v>8</v>
      </c>
      <c r="FN235" s="27" t="s">
        <v>7</v>
      </c>
      <c r="FO235" s="27" t="s">
        <v>8</v>
      </c>
      <c r="FP235" s="27" t="s">
        <v>7</v>
      </c>
    </row>
    <row r="236" spans="1:174" x14ac:dyDescent="0.25">
      <c r="A236" s="30">
        <v>1.2155062500000002</v>
      </c>
      <c r="E236"/>
      <c r="FI236" s="27" t="s">
        <v>8</v>
      </c>
      <c r="FJ236" s="27" t="s">
        <v>7</v>
      </c>
      <c r="FK236" s="27" t="s">
        <v>8</v>
      </c>
      <c r="FL236" s="27" t="s">
        <v>7</v>
      </c>
      <c r="FM236" s="27" t="s">
        <v>8</v>
      </c>
      <c r="FN236" s="27" t="s">
        <v>7</v>
      </c>
      <c r="FO236" s="27" t="s">
        <v>8</v>
      </c>
      <c r="FP236" s="27" t="s">
        <v>7</v>
      </c>
    </row>
    <row r="237" spans="1:17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FI237" s="27" t="s">
        <v>8</v>
      </c>
      <c r="FJ237" s="27" t="s">
        <v>7</v>
      </c>
      <c r="FK237" s="27" t="s">
        <v>8</v>
      </c>
      <c r="FL237" s="27" t="s">
        <v>7</v>
      </c>
      <c r="FM237" s="27" t="s">
        <v>8</v>
      </c>
      <c r="FN237" s="27" t="s">
        <v>7</v>
      </c>
      <c r="FO237" s="27" t="s">
        <v>8</v>
      </c>
      <c r="FP237" s="27" t="s">
        <v>7</v>
      </c>
    </row>
    <row r="238" spans="1:174" x14ac:dyDescent="0.25">
      <c r="A238" s="30">
        <v>1.1025</v>
      </c>
      <c r="E238"/>
      <c r="FI238" s="27" t="s">
        <v>8</v>
      </c>
      <c r="FJ238" s="27" t="s">
        <v>7</v>
      </c>
      <c r="FK238" s="27" t="s">
        <v>8</v>
      </c>
      <c r="FL238" s="27" t="s">
        <v>7</v>
      </c>
      <c r="FN238" s="27" t="s">
        <v>7</v>
      </c>
      <c r="FO238" s="27" t="s">
        <v>8</v>
      </c>
      <c r="FP238" s="27" t="s">
        <v>7</v>
      </c>
    </row>
    <row r="239" spans="1:174" x14ac:dyDescent="0.25">
      <c r="A239" s="30">
        <v>1.05</v>
      </c>
      <c r="E239"/>
      <c r="FI239" s="27" t="s">
        <v>8</v>
      </c>
      <c r="FJ239" s="27" t="s">
        <v>7</v>
      </c>
      <c r="FK239" s="27" t="s">
        <v>8</v>
      </c>
      <c r="FN239" s="27" t="s">
        <v>7</v>
      </c>
      <c r="FO239" s="27" t="s">
        <v>8</v>
      </c>
      <c r="FP239" s="27" t="s">
        <v>7</v>
      </c>
      <c r="FQ239" s="27" t="s">
        <v>8</v>
      </c>
    </row>
    <row r="240" spans="1:174" x14ac:dyDescent="0.25">
      <c r="A240" s="30">
        <v>1</v>
      </c>
      <c r="E240" s="29" t="s">
        <v>8</v>
      </c>
      <c r="FG240" s="27" t="s">
        <v>8</v>
      </c>
      <c r="FI240" s="27" t="s">
        <v>8</v>
      </c>
      <c r="FJ240" s="27" t="s">
        <v>7</v>
      </c>
      <c r="FN240" s="27" t="s">
        <v>7</v>
      </c>
      <c r="FP240" s="27" t="s">
        <v>7</v>
      </c>
      <c r="FQ240" s="27" t="s">
        <v>8</v>
      </c>
      <c r="FR240" s="27" t="s">
        <v>7</v>
      </c>
    </row>
    <row r="241" spans="1:189" x14ac:dyDescent="0.25">
      <c r="A241" s="30">
        <v>0.952380952380952</v>
      </c>
      <c r="B241"/>
      <c r="C241"/>
      <c r="D241"/>
      <c r="E241"/>
      <c r="F241" s="27" t="s">
        <v>7</v>
      </c>
      <c r="FG241" s="27" t="s">
        <v>8</v>
      </c>
      <c r="FH241" s="27" t="s">
        <v>7</v>
      </c>
      <c r="FI241" s="27" t="s">
        <v>8</v>
      </c>
      <c r="FP241" s="27" t="s">
        <v>7</v>
      </c>
      <c r="FQ241" s="27" t="s">
        <v>8</v>
      </c>
      <c r="FR241" s="27" t="s">
        <v>7</v>
      </c>
      <c r="GC241" s="27" t="s">
        <v>8</v>
      </c>
    </row>
    <row r="242" spans="1:189" x14ac:dyDescent="0.25">
      <c r="A242" s="30">
        <v>0.90702947845804915</v>
      </c>
      <c r="B242"/>
      <c r="C242"/>
      <c r="D242"/>
      <c r="E242"/>
      <c r="F242" s="27" t="s">
        <v>7</v>
      </c>
      <c r="FG242" s="27" t="s">
        <v>8</v>
      </c>
      <c r="FH242" s="27" t="s">
        <v>7</v>
      </c>
      <c r="FI242" s="27" t="s">
        <v>8</v>
      </c>
      <c r="FP242" s="27" t="s">
        <v>7</v>
      </c>
      <c r="FR242" s="27" t="s">
        <v>7</v>
      </c>
      <c r="GC242" s="27" t="s">
        <v>8</v>
      </c>
      <c r="GD242" s="27" t="s">
        <v>7</v>
      </c>
      <c r="GE242" s="27" t="s">
        <v>8</v>
      </c>
    </row>
    <row r="243" spans="1:189" x14ac:dyDescent="0.25">
      <c r="A243" s="30">
        <v>0.86383759853147501</v>
      </c>
      <c r="B243"/>
      <c r="C243"/>
      <c r="D243"/>
      <c r="E243"/>
      <c r="F243" s="27" t="s">
        <v>7</v>
      </c>
      <c r="FG243" s="27" t="s">
        <v>8</v>
      </c>
      <c r="FH243" s="27" t="s">
        <v>7</v>
      </c>
      <c r="FI243" s="27" t="s">
        <v>8</v>
      </c>
      <c r="FR243" s="27" t="s">
        <v>7</v>
      </c>
      <c r="GA243" s="27" t="s">
        <v>8</v>
      </c>
      <c r="GC243" s="27" t="s">
        <v>8</v>
      </c>
      <c r="GD243" s="27" t="s">
        <v>7</v>
      </c>
      <c r="GE243" s="27" t="s">
        <v>8</v>
      </c>
      <c r="GF243" s="27" t="s">
        <v>7</v>
      </c>
    </row>
    <row r="244" spans="1:189" x14ac:dyDescent="0.25">
      <c r="A244" s="30">
        <v>0.82270247479188063</v>
      </c>
      <c r="B244"/>
      <c r="C244"/>
      <c r="D244"/>
      <c r="E244"/>
      <c r="F244" s="27" t="s">
        <v>7</v>
      </c>
      <c r="FE244" s="27" t="s">
        <v>8</v>
      </c>
      <c r="FG244" s="27" t="s">
        <v>8</v>
      </c>
      <c r="FH244" s="27" t="s">
        <v>7</v>
      </c>
      <c r="FI244" s="27" t="s">
        <v>8</v>
      </c>
      <c r="FR244" s="27" t="s">
        <v>7</v>
      </c>
      <c r="GA244" s="27" t="s">
        <v>8</v>
      </c>
      <c r="GB244" s="27" t="s">
        <v>7</v>
      </c>
      <c r="GC244" s="27" t="s">
        <v>8</v>
      </c>
      <c r="GD244" s="27" t="s">
        <v>7</v>
      </c>
      <c r="GE244" s="27" t="s">
        <v>8</v>
      </c>
      <c r="GF244" s="27" t="s">
        <v>7</v>
      </c>
    </row>
    <row r="245" spans="1:189" x14ac:dyDescent="0.25">
      <c r="A245" s="30">
        <v>0.78352616646845741</v>
      </c>
      <c r="B245"/>
      <c r="C245"/>
      <c r="D245"/>
      <c r="E245"/>
      <c r="F245" s="27" t="s">
        <v>7</v>
      </c>
      <c r="FE245" s="27" t="s">
        <v>8</v>
      </c>
      <c r="FF245" s="27" t="s">
        <v>7</v>
      </c>
      <c r="FG245" s="27" t="s">
        <v>8</v>
      </c>
      <c r="FH245" s="27" t="s">
        <v>7</v>
      </c>
      <c r="FR245" s="27" t="s">
        <v>7</v>
      </c>
      <c r="GA245" s="27" t="s">
        <v>8</v>
      </c>
      <c r="GB245" s="27" t="s">
        <v>7</v>
      </c>
      <c r="GC245" s="27" t="s">
        <v>8</v>
      </c>
      <c r="GD245" s="27" t="s">
        <v>7</v>
      </c>
      <c r="GE245" s="27" t="s">
        <v>8</v>
      </c>
      <c r="GF245" s="27" t="s">
        <v>7</v>
      </c>
    </row>
    <row r="246" spans="1:189" x14ac:dyDescent="0.25">
      <c r="A246" s="30">
        <v>0.74621539663662584</v>
      </c>
      <c r="B246"/>
      <c r="C246"/>
      <c r="D246"/>
      <c r="E246"/>
      <c r="F246" s="27" t="s">
        <v>7</v>
      </c>
      <c r="CG246" s="27" t="s">
        <v>8</v>
      </c>
      <c r="FE246" s="27" t="s">
        <v>8</v>
      </c>
      <c r="FF246" s="27" t="s">
        <v>7</v>
      </c>
      <c r="FG246" s="27" t="s">
        <v>8</v>
      </c>
      <c r="FR246" s="27" t="s">
        <v>7</v>
      </c>
      <c r="GA246" s="27" t="s">
        <v>8</v>
      </c>
      <c r="GB246" s="27" t="s">
        <v>7</v>
      </c>
      <c r="GC246" s="27" t="s">
        <v>8</v>
      </c>
      <c r="GD246" s="27" t="s">
        <v>7</v>
      </c>
      <c r="GE246" s="27" t="s">
        <v>8</v>
      </c>
      <c r="GF246" s="27" t="s">
        <v>7</v>
      </c>
    </row>
    <row r="247" spans="1:189" x14ac:dyDescent="0.25">
      <c r="A247" s="30">
        <v>0.71068133013011958</v>
      </c>
      <c r="B247"/>
      <c r="C247"/>
      <c r="D247"/>
      <c r="E247"/>
      <c r="F247" s="27" t="s">
        <v>7</v>
      </c>
      <c r="CG247" s="27" t="s">
        <v>8</v>
      </c>
      <c r="CH247" s="27" t="s">
        <v>7</v>
      </c>
      <c r="FE247" s="27" t="s">
        <v>8</v>
      </c>
      <c r="FF247" s="27" t="s">
        <v>7</v>
      </c>
      <c r="FG247" s="27" t="s">
        <v>8</v>
      </c>
      <c r="FR247" s="27" t="s">
        <v>7</v>
      </c>
      <c r="FS247" s="27" t="s">
        <v>8</v>
      </c>
      <c r="GA247" s="27" t="s">
        <v>8</v>
      </c>
      <c r="GB247" s="27" t="s">
        <v>7</v>
      </c>
      <c r="GD247" s="27" t="s">
        <v>7</v>
      </c>
      <c r="GE247" s="27" t="s">
        <v>8</v>
      </c>
      <c r="GF247" s="27" t="s">
        <v>7</v>
      </c>
    </row>
    <row r="248" spans="1:189" x14ac:dyDescent="0.25">
      <c r="A248" s="30">
        <v>0.676839362028685</v>
      </c>
      <c r="B248"/>
      <c r="C248"/>
      <c r="D248"/>
      <c r="E248"/>
      <c r="F248" s="27" t="s">
        <v>7</v>
      </c>
      <c r="CG248" s="27" t="s">
        <v>8</v>
      </c>
      <c r="CH248" s="27" t="s">
        <v>7</v>
      </c>
      <c r="FE248" s="27" t="s">
        <v>8</v>
      </c>
      <c r="FF248" s="27" t="s">
        <v>7</v>
      </c>
      <c r="FG248" s="27" t="s">
        <v>8</v>
      </c>
      <c r="FR248" s="27" t="s">
        <v>7</v>
      </c>
      <c r="FS248" s="27" t="s">
        <v>8</v>
      </c>
      <c r="FT248" s="27" t="s">
        <v>7</v>
      </c>
      <c r="FU248" s="27" t="s">
        <v>8</v>
      </c>
      <c r="GA248" s="27" t="s">
        <v>8</v>
      </c>
      <c r="GD248" s="27" t="s">
        <v>7</v>
      </c>
      <c r="GE248" s="27" t="s">
        <v>8</v>
      </c>
      <c r="GF248" s="27" t="s">
        <v>7</v>
      </c>
    </row>
    <row r="249" spans="1:189" x14ac:dyDescent="0.25">
      <c r="A249" s="30">
        <v>0.64460891621779492</v>
      </c>
      <c r="B249"/>
      <c r="C249"/>
      <c r="D249"/>
      <c r="E249"/>
      <c r="F249" s="27" t="s">
        <v>7</v>
      </c>
      <c r="CE249" s="27" t="s">
        <v>8</v>
      </c>
      <c r="CG249" s="27" t="s">
        <v>8</v>
      </c>
      <c r="CH249" s="27" t="s">
        <v>7</v>
      </c>
      <c r="FE249" s="27" t="s">
        <v>8</v>
      </c>
      <c r="FF249" s="27" t="s">
        <v>7</v>
      </c>
      <c r="FR249" s="27" t="s">
        <v>7</v>
      </c>
      <c r="FS249" s="27" t="s">
        <v>8</v>
      </c>
      <c r="FT249" s="27" t="s">
        <v>7</v>
      </c>
      <c r="FU249" s="27" t="s">
        <v>8</v>
      </c>
      <c r="FV249" s="27" t="s">
        <v>7</v>
      </c>
      <c r="FW249" s="27" t="s">
        <v>8</v>
      </c>
      <c r="GA249" s="27" t="s">
        <v>8</v>
      </c>
      <c r="GD249" s="27" t="s">
        <v>7</v>
      </c>
      <c r="GF249" s="27" t="s">
        <v>7</v>
      </c>
    </row>
    <row r="250" spans="1:189" x14ac:dyDescent="0.25">
      <c r="A250" s="30">
        <v>0.61391325354075688</v>
      </c>
      <c r="B250"/>
      <c r="C250"/>
      <c r="D250"/>
      <c r="E250"/>
      <c r="F250" s="27" t="s">
        <v>7</v>
      </c>
      <c r="CE250" s="27" t="s">
        <v>8</v>
      </c>
      <c r="CF250" s="27" t="s">
        <v>7</v>
      </c>
      <c r="CG250" s="27" t="s">
        <v>8</v>
      </c>
      <c r="CH250" s="27" t="s">
        <v>7</v>
      </c>
      <c r="FE250" s="27" t="s">
        <v>8</v>
      </c>
      <c r="FR250" s="27" t="s">
        <v>7</v>
      </c>
      <c r="FS250" s="27" t="s">
        <v>8</v>
      </c>
      <c r="FT250" s="27" t="s">
        <v>7</v>
      </c>
      <c r="FU250" s="27" t="s">
        <v>8</v>
      </c>
      <c r="FV250" s="27" t="s">
        <v>7</v>
      </c>
      <c r="FW250" s="27" t="s">
        <v>8</v>
      </c>
      <c r="FX250" s="27" t="s">
        <v>7</v>
      </c>
      <c r="FY250" s="27" t="s">
        <v>8</v>
      </c>
      <c r="GA250" s="27" t="s">
        <v>8</v>
      </c>
      <c r="GF250" s="27" t="s">
        <v>7</v>
      </c>
    </row>
    <row r="251" spans="1:189" x14ac:dyDescent="0.25">
      <c r="A251" s="30">
        <v>0.58467928908643485</v>
      </c>
      <c r="B251"/>
      <c r="C251"/>
      <c r="D251"/>
      <c r="E251"/>
      <c r="F251" s="27" t="s">
        <v>7</v>
      </c>
      <c r="CE251" s="27" t="s">
        <v>8</v>
      </c>
      <c r="CF251" s="27" t="s">
        <v>7</v>
      </c>
      <c r="CG251" s="27" t="s">
        <v>8</v>
      </c>
      <c r="CH251" s="27" t="s">
        <v>7</v>
      </c>
      <c r="FC251" s="27" t="s">
        <v>8</v>
      </c>
      <c r="FE251" s="27" t="s">
        <v>8</v>
      </c>
      <c r="FR251" s="27" t="s">
        <v>7</v>
      </c>
      <c r="FS251" s="27" t="s">
        <v>8</v>
      </c>
      <c r="FT251" s="27" t="s">
        <v>7</v>
      </c>
      <c r="FU251" s="27" t="s">
        <v>8</v>
      </c>
      <c r="FV251" s="27" t="s">
        <v>7</v>
      </c>
      <c r="FW251" s="27" t="s">
        <v>8</v>
      </c>
      <c r="FX251" s="27" t="s">
        <v>7</v>
      </c>
      <c r="FY251" s="27" t="s">
        <v>8</v>
      </c>
      <c r="FZ251" s="27" t="s">
        <v>7</v>
      </c>
      <c r="GA251" s="27" t="s">
        <v>8</v>
      </c>
      <c r="GF251" s="27" t="s">
        <v>7</v>
      </c>
      <c r="GG251" s="27" t="s">
        <v>8</v>
      </c>
    </row>
    <row r="252" spans="1:189" x14ac:dyDescent="0.25">
      <c r="A252" s="30">
        <v>0.55683741817755672</v>
      </c>
      <c r="B252"/>
      <c r="C252"/>
      <c r="D252"/>
      <c r="E252"/>
      <c r="F252" s="27" t="s">
        <v>7</v>
      </c>
      <c r="CE252" s="27" t="s">
        <v>8</v>
      </c>
      <c r="CF252" s="27" t="s">
        <v>7</v>
      </c>
      <c r="CG252" s="27" t="s">
        <v>8</v>
      </c>
      <c r="CH252" s="27" t="s">
        <v>7</v>
      </c>
      <c r="FC252" s="27" t="s">
        <v>8</v>
      </c>
      <c r="FD252" s="27" t="s">
        <v>7</v>
      </c>
      <c r="FE252" s="27" t="s">
        <v>8</v>
      </c>
      <c r="FR252" s="27" t="s">
        <v>7</v>
      </c>
      <c r="FS252" s="27" t="s">
        <v>8</v>
      </c>
      <c r="FT252" s="27" t="s">
        <v>7</v>
      </c>
      <c r="FV252" s="27" t="s">
        <v>7</v>
      </c>
      <c r="FX252" s="27" t="s">
        <v>7</v>
      </c>
      <c r="FY252" s="27" t="s">
        <v>8</v>
      </c>
      <c r="FZ252" s="27" t="s">
        <v>7</v>
      </c>
      <c r="GA252" s="27" t="s">
        <v>8</v>
      </c>
      <c r="GF252" s="27" t="s">
        <v>7</v>
      </c>
      <c r="GG252" s="27" t="s">
        <v>8</v>
      </c>
    </row>
    <row r="253" spans="1:189" x14ac:dyDescent="0.25">
      <c r="A253" s="30">
        <v>0.53032135064529184</v>
      </c>
      <c r="B253"/>
      <c r="C253"/>
      <c r="D253"/>
      <c r="E253"/>
      <c r="F253" s="27" t="s">
        <v>7</v>
      </c>
      <c r="CE253" s="27" t="s">
        <v>8</v>
      </c>
      <c r="CF253" s="27" t="s">
        <v>7</v>
      </c>
      <c r="CG253" s="27" t="s">
        <v>8</v>
      </c>
      <c r="CH253" s="27" t="s">
        <v>7</v>
      </c>
      <c r="EQ253" s="27" t="s">
        <v>8</v>
      </c>
      <c r="FC253" s="27" t="s">
        <v>8</v>
      </c>
      <c r="FD253" s="27" t="s">
        <v>7</v>
      </c>
      <c r="FE253" s="27" t="s">
        <v>8</v>
      </c>
      <c r="FR253" s="27" t="s">
        <v>7</v>
      </c>
      <c r="FS253" s="27" t="s">
        <v>8</v>
      </c>
      <c r="FX253" s="27" t="s">
        <v>7</v>
      </c>
      <c r="FY253" s="27" t="s">
        <v>8</v>
      </c>
      <c r="FZ253" s="27" t="s">
        <v>7</v>
      </c>
      <c r="GF253" s="27" t="s">
        <v>7</v>
      </c>
      <c r="GG253" s="27" t="s">
        <v>8</v>
      </c>
    </row>
    <row r="254" spans="1:189" x14ac:dyDescent="0.25">
      <c r="A254" s="30">
        <v>0.50506795299551588</v>
      </c>
      <c r="B254"/>
      <c r="C254"/>
      <c r="D254"/>
      <c r="E254"/>
      <c r="F254" s="27" t="s">
        <v>7</v>
      </c>
      <c r="CE254" s="27" t="s">
        <v>8</v>
      </c>
      <c r="CF254" s="27" t="s">
        <v>7</v>
      </c>
      <c r="CG254" s="27" t="s">
        <v>8</v>
      </c>
      <c r="CH254" s="27" t="s">
        <v>7</v>
      </c>
      <c r="EQ254" s="27" t="s">
        <v>8</v>
      </c>
      <c r="ER254" s="27" t="s">
        <v>7</v>
      </c>
      <c r="FC254" s="27" t="s">
        <v>8</v>
      </c>
      <c r="FD254" s="27" t="s">
        <v>7</v>
      </c>
      <c r="FE254" s="27" t="s">
        <v>8</v>
      </c>
      <c r="FR254" s="27" t="s">
        <v>7</v>
      </c>
      <c r="FS254" s="27" t="s">
        <v>8</v>
      </c>
      <c r="FX254" s="27" t="s">
        <v>7</v>
      </c>
      <c r="GF254" s="27" t="s">
        <v>7</v>
      </c>
      <c r="GG254" s="27" t="s">
        <v>8</v>
      </c>
    </row>
    <row r="255" spans="1:189" x14ac:dyDescent="0.25">
      <c r="A255" s="30">
        <v>0.48101709809096732</v>
      </c>
      <c r="E255"/>
      <c r="F255" s="27" t="s">
        <v>7</v>
      </c>
      <c r="CE255" s="27" t="s">
        <v>8</v>
      </c>
      <c r="CF255" s="27" t="s">
        <v>7</v>
      </c>
      <c r="CG255" s="27" t="s">
        <v>8</v>
      </c>
      <c r="CH255" s="27" t="s">
        <v>7</v>
      </c>
      <c r="EK255" s="27" t="s">
        <v>8</v>
      </c>
      <c r="EQ255" s="27" t="s">
        <v>8</v>
      </c>
      <c r="ER255" s="27" t="s">
        <v>7</v>
      </c>
      <c r="FC255" s="27" t="s">
        <v>8</v>
      </c>
      <c r="FD255" s="27" t="s">
        <v>7</v>
      </c>
      <c r="FE255" s="27" t="s">
        <v>8</v>
      </c>
      <c r="FR255" s="27" t="s">
        <v>7</v>
      </c>
      <c r="GF255" s="27" t="s">
        <v>7</v>
      </c>
      <c r="GG255" s="27" t="s">
        <v>8</v>
      </c>
    </row>
    <row r="256" spans="1:189" x14ac:dyDescent="0.25">
      <c r="A256" s="30">
        <v>0.45811152199139726</v>
      </c>
      <c r="E256"/>
      <c r="F256" s="27" t="s">
        <v>7</v>
      </c>
      <c r="CE256" s="27" t="s">
        <v>8</v>
      </c>
      <c r="CF256" s="27" t="s">
        <v>7</v>
      </c>
      <c r="CG256" s="27" t="s">
        <v>8</v>
      </c>
      <c r="CH256" s="27" t="s">
        <v>7</v>
      </c>
      <c r="CM256" s="27" t="s">
        <v>8</v>
      </c>
      <c r="CQ256" s="27" t="s">
        <v>8</v>
      </c>
      <c r="CY256" s="31" t="s">
        <v>8</v>
      </c>
      <c r="EK256" s="27" t="s">
        <v>8</v>
      </c>
      <c r="EL256" s="27" t="s">
        <v>7</v>
      </c>
      <c r="EM256" s="27" t="s">
        <v>8</v>
      </c>
      <c r="EO256" s="27" t="s">
        <v>8</v>
      </c>
      <c r="EQ256" s="27" t="s">
        <v>8</v>
      </c>
      <c r="ER256" s="27" t="s">
        <v>7</v>
      </c>
      <c r="FC256" s="27" t="s">
        <v>8</v>
      </c>
      <c r="FD256" s="27" t="s">
        <v>7</v>
      </c>
      <c r="FE256" s="27" t="s">
        <v>8</v>
      </c>
      <c r="GF256" s="27" t="s">
        <v>7</v>
      </c>
    </row>
    <row r="257" spans="1:160" x14ac:dyDescent="0.25">
      <c r="A257" s="30">
        <v>0.43629668761085438</v>
      </c>
      <c r="B257"/>
      <c r="C257"/>
      <c r="D257"/>
      <c r="E257"/>
      <c r="F257" s="27" t="s">
        <v>7</v>
      </c>
      <c r="CE257" s="27" t="s">
        <v>8</v>
      </c>
      <c r="CF257" s="27" t="s">
        <v>7</v>
      </c>
      <c r="CH257" s="27" t="s">
        <v>7</v>
      </c>
      <c r="CK257" s="27" t="s">
        <v>8</v>
      </c>
      <c r="CM257" s="27" t="s">
        <v>8</v>
      </c>
      <c r="CN257" s="27" t="s">
        <v>7</v>
      </c>
      <c r="CQ257" s="27" t="s">
        <v>8</v>
      </c>
      <c r="CR257" s="27" t="s">
        <v>7</v>
      </c>
      <c r="CY257" s="27" t="s">
        <v>8</v>
      </c>
      <c r="CZ257" s="31" t="s">
        <v>7</v>
      </c>
      <c r="EK257" s="27" t="s">
        <v>8</v>
      </c>
      <c r="EL257" s="27" t="s">
        <v>7</v>
      </c>
      <c r="EM257" s="27" t="s">
        <v>8</v>
      </c>
      <c r="EN257" s="27" t="s">
        <v>7</v>
      </c>
      <c r="EO257" s="27" t="s">
        <v>8</v>
      </c>
      <c r="EP257" s="27" t="s">
        <v>7</v>
      </c>
      <c r="EQ257" s="27" t="s">
        <v>8</v>
      </c>
      <c r="ER257" s="27" t="s">
        <v>7</v>
      </c>
      <c r="FC257" s="27" t="s">
        <v>8</v>
      </c>
      <c r="FD257" s="27" t="s">
        <v>7</v>
      </c>
    </row>
    <row r="258" spans="1:160" x14ac:dyDescent="0.25">
      <c r="A258" s="30">
        <v>0.41552065486748019</v>
      </c>
      <c r="B258"/>
      <c r="C258"/>
      <c r="D258"/>
      <c r="E258"/>
      <c r="F258" s="27" t="s">
        <v>7</v>
      </c>
      <c r="CE258" s="27" t="s">
        <v>8</v>
      </c>
      <c r="CH258" s="27" t="s">
        <v>7</v>
      </c>
      <c r="CI258" s="27" t="s">
        <v>8</v>
      </c>
      <c r="CK258" s="27" t="s">
        <v>8</v>
      </c>
      <c r="CL258" s="27" t="s">
        <v>7</v>
      </c>
      <c r="CM258" s="27" t="s">
        <v>8</v>
      </c>
      <c r="CN258" s="27" t="s">
        <v>7</v>
      </c>
      <c r="CQ258" s="27" t="s">
        <v>8</v>
      </c>
      <c r="CR258" s="27" t="s">
        <v>7</v>
      </c>
      <c r="CY258" s="27" t="s">
        <v>8</v>
      </c>
      <c r="CZ258" s="27" t="s">
        <v>7</v>
      </c>
      <c r="DA258" s="31"/>
      <c r="EE258" s="27" t="s">
        <v>8</v>
      </c>
      <c r="EK258" s="27" t="s">
        <v>8</v>
      </c>
      <c r="EL258" s="27" t="s">
        <v>7</v>
      </c>
      <c r="EM258" s="27" t="s">
        <v>8</v>
      </c>
      <c r="EN258" s="27" t="s">
        <v>7</v>
      </c>
      <c r="EO258" s="27" t="s">
        <v>8</v>
      </c>
      <c r="EP258" s="27" t="s">
        <v>7</v>
      </c>
      <c r="EQ258" s="27" t="s">
        <v>8</v>
      </c>
      <c r="ER258" s="27" t="s">
        <v>7</v>
      </c>
      <c r="FA258" s="27" t="s">
        <v>8</v>
      </c>
      <c r="FC258" s="27" t="s">
        <v>8</v>
      </c>
    </row>
    <row r="259" spans="1:160" x14ac:dyDescent="0.25">
      <c r="A259" s="30">
        <v>0.39573395701664765</v>
      </c>
      <c r="B259"/>
      <c r="C259"/>
      <c r="D259"/>
      <c r="E259"/>
      <c r="F259" s="27" t="s">
        <v>7</v>
      </c>
      <c r="CE259" s="27" t="s">
        <v>8</v>
      </c>
      <c r="CH259" s="27" t="s">
        <v>7</v>
      </c>
      <c r="CI259" s="27" t="s">
        <v>8</v>
      </c>
      <c r="CJ259" s="27" t="s">
        <v>7</v>
      </c>
      <c r="CK259" s="27" t="s">
        <v>8</v>
      </c>
      <c r="CL259" s="27" t="s">
        <v>7</v>
      </c>
      <c r="CM259" s="27" t="s">
        <v>8</v>
      </c>
      <c r="CN259" s="27" t="s">
        <v>7</v>
      </c>
      <c r="CQ259" s="27" t="s">
        <v>8</v>
      </c>
      <c r="CR259" s="27" t="s">
        <v>7</v>
      </c>
      <c r="CY259" s="27" t="s">
        <v>8</v>
      </c>
      <c r="CZ259" s="27" t="s">
        <v>7</v>
      </c>
      <c r="DA259" s="27" t="s">
        <v>8</v>
      </c>
      <c r="DB259" s="31"/>
      <c r="EE259" s="27" t="s">
        <v>8</v>
      </c>
      <c r="EF259" s="27" t="s">
        <v>7</v>
      </c>
      <c r="EK259" s="27" t="s">
        <v>8</v>
      </c>
      <c r="EL259" s="27" t="s">
        <v>7</v>
      </c>
      <c r="EM259" s="27" t="s">
        <v>8</v>
      </c>
      <c r="EN259" s="27" t="s">
        <v>7</v>
      </c>
      <c r="EO259" s="27" t="s">
        <v>8</v>
      </c>
      <c r="EP259" s="27" t="s">
        <v>7</v>
      </c>
      <c r="EQ259" s="27" t="s">
        <v>8</v>
      </c>
      <c r="ER259" s="27" t="s">
        <v>7</v>
      </c>
      <c r="FA259" s="27" t="s">
        <v>8</v>
      </c>
      <c r="FB259" s="27" t="s">
        <v>7</v>
      </c>
      <c r="FC259" s="27" t="s">
        <v>8</v>
      </c>
    </row>
    <row r="260" spans="1:160" x14ac:dyDescent="0.25">
      <c r="A260" s="30">
        <v>0.37688948287299762</v>
      </c>
      <c r="B260"/>
      <c r="C260"/>
      <c r="D260"/>
      <c r="E260"/>
      <c r="F260" s="27" t="s">
        <v>7</v>
      </c>
      <c r="CE260" s="27" t="s">
        <v>8</v>
      </c>
      <c r="CH260" s="27" t="s">
        <v>7</v>
      </c>
      <c r="CI260" s="27" t="s">
        <v>8</v>
      </c>
      <c r="CJ260" s="27" t="s">
        <v>7</v>
      </c>
      <c r="CK260" s="27" t="s">
        <v>8</v>
      </c>
      <c r="CL260" s="27" t="s">
        <v>7</v>
      </c>
      <c r="CM260" s="27" t="s">
        <v>8</v>
      </c>
      <c r="CN260" s="27" t="s">
        <v>7</v>
      </c>
      <c r="CO260" s="27" t="s">
        <v>8</v>
      </c>
      <c r="CQ260" s="27" t="s">
        <v>8</v>
      </c>
      <c r="CR260" s="27" t="s">
        <v>7</v>
      </c>
      <c r="CY260" s="27" t="s">
        <v>8</v>
      </c>
      <c r="CZ260" s="27" t="s">
        <v>7</v>
      </c>
      <c r="DA260" s="27" t="s">
        <v>8</v>
      </c>
      <c r="DB260" s="27" t="s">
        <v>7</v>
      </c>
      <c r="DC260" s="31"/>
      <c r="EE260" s="27" t="s">
        <v>8</v>
      </c>
      <c r="EF260" s="27" t="s">
        <v>7</v>
      </c>
      <c r="EG260" s="27" t="s">
        <v>8</v>
      </c>
      <c r="EK260" s="27" t="s">
        <v>8</v>
      </c>
      <c r="EL260" s="27" t="s">
        <v>7</v>
      </c>
      <c r="EM260" s="27" t="s">
        <v>8</v>
      </c>
      <c r="EN260" s="27" t="s">
        <v>7</v>
      </c>
      <c r="EO260" s="27" t="s">
        <v>8</v>
      </c>
      <c r="EP260" s="27" t="s">
        <v>7</v>
      </c>
      <c r="EQ260" s="27" t="s">
        <v>8</v>
      </c>
      <c r="ER260" s="27" t="s">
        <v>7</v>
      </c>
      <c r="EU260" s="27" t="s">
        <v>8</v>
      </c>
      <c r="EY260" s="27" t="s">
        <v>8</v>
      </c>
      <c r="FA260" s="27" t="s">
        <v>8</v>
      </c>
      <c r="FB260" s="27" t="s">
        <v>7</v>
      </c>
      <c r="FC260" s="27" t="s">
        <v>8</v>
      </c>
    </row>
    <row r="261" spans="1:160" x14ac:dyDescent="0.25">
      <c r="A261" s="30">
        <v>0.35894236464094997</v>
      </c>
      <c r="B261"/>
      <c r="C261"/>
      <c r="D261"/>
      <c r="E261"/>
      <c r="F261" s="27" t="s">
        <v>7</v>
      </c>
      <c r="CE261" s="27" t="s">
        <v>8</v>
      </c>
      <c r="CH261" s="27" t="s">
        <v>7</v>
      </c>
      <c r="CJ261" s="27" t="s">
        <v>7</v>
      </c>
      <c r="CK261" s="27" t="s">
        <v>8</v>
      </c>
      <c r="CL261" s="27" t="s">
        <v>7</v>
      </c>
      <c r="CN261" s="27" t="s">
        <v>7</v>
      </c>
      <c r="CO261" s="27" t="s">
        <v>8</v>
      </c>
      <c r="CP261" s="27" t="s">
        <v>7</v>
      </c>
      <c r="CQ261" s="27" t="s">
        <v>8</v>
      </c>
      <c r="CR261" s="27" t="s">
        <v>7</v>
      </c>
      <c r="CY261" s="27" t="s">
        <v>8</v>
      </c>
      <c r="CZ261" s="27" t="s">
        <v>7</v>
      </c>
      <c r="DA261" s="27" t="s">
        <v>8</v>
      </c>
      <c r="DB261" s="27" t="s">
        <v>7</v>
      </c>
      <c r="DD261" s="31"/>
      <c r="EE261" s="27" t="s">
        <v>8</v>
      </c>
      <c r="EF261" s="27" t="s">
        <v>7</v>
      </c>
      <c r="EG261" s="27" t="s">
        <v>8</v>
      </c>
      <c r="EH261" s="27" t="s">
        <v>7</v>
      </c>
      <c r="EI261" s="27" t="s">
        <v>8</v>
      </c>
      <c r="EK261" s="27" t="s">
        <v>8</v>
      </c>
      <c r="EL261" s="27" t="s">
        <v>7</v>
      </c>
      <c r="EM261" s="27" t="s">
        <v>8</v>
      </c>
      <c r="EN261" s="27" t="s">
        <v>7</v>
      </c>
      <c r="EP261" s="27" t="s">
        <v>7</v>
      </c>
      <c r="ER261" s="31" t="s">
        <v>7</v>
      </c>
      <c r="ES261" s="27" t="s">
        <v>8</v>
      </c>
      <c r="EU261" s="27" t="s">
        <v>8</v>
      </c>
      <c r="EV261" s="27" t="s">
        <v>7</v>
      </c>
      <c r="EY261" s="27" t="s">
        <v>8</v>
      </c>
      <c r="EZ261" s="27" t="s">
        <v>7</v>
      </c>
      <c r="FA261" s="27" t="s">
        <v>8</v>
      </c>
      <c r="FB261" s="27" t="s">
        <v>7</v>
      </c>
      <c r="FC261" s="27" t="s">
        <v>8</v>
      </c>
    </row>
    <row r="262" spans="1:160" x14ac:dyDescent="0.25">
      <c r="A262" s="30">
        <v>0.34184987108661891</v>
      </c>
      <c r="B262"/>
      <c r="C262"/>
      <c r="D262"/>
      <c r="E262"/>
      <c r="F262" s="27" t="s">
        <v>7</v>
      </c>
      <c r="CE262" s="27" t="s">
        <v>8</v>
      </c>
      <c r="CJ262" s="27" t="s">
        <v>7</v>
      </c>
      <c r="CK262" s="27" t="s">
        <v>8</v>
      </c>
      <c r="CN262" s="27" t="s">
        <v>7</v>
      </c>
      <c r="CO262" s="27" t="s">
        <v>8</v>
      </c>
      <c r="CP262" s="27" t="s">
        <v>7</v>
      </c>
      <c r="CQ262" s="27" t="s">
        <v>8</v>
      </c>
      <c r="CR262" s="27" t="s">
        <v>7</v>
      </c>
      <c r="CY262" s="27" t="s">
        <v>8</v>
      </c>
      <c r="CZ262" s="27" t="s">
        <v>7</v>
      </c>
      <c r="DA262" s="27" t="s">
        <v>8</v>
      </c>
      <c r="DB262" s="27" t="s">
        <v>7</v>
      </c>
      <c r="DE262" s="31"/>
      <c r="EE262" s="27" t="s">
        <v>8</v>
      </c>
      <c r="EF262" s="27" t="s">
        <v>7</v>
      </c>
      <c r="EG262" s="27" t="s">
        <v>8</v>
      </c>
      <c r="EH262" s="27" t="s">
        <v>7</v>
      </c>
      <c r="EI262" s="27" t="s">
        <v>8</v>
      </c>
      <c r="EJ262" s="27" t="s">
        <v>7</v>
      </c>
      <c r="EK262" s="27" t="s">
        <v>8</v>
      </c>
      <c r="EL262" s="27" t="s">
        <v>7</v>
      </c>
      <c r="EQ262" s="31"/>
      <c r="ER262" s="27" t="s">
        <v>7</v>
      </c>
      <c r="ES262" s="27" t="s">
        <v>8</v>
      </c>
      <c r="ET262" s="27" t="s">
        <v>7</v>
      </c>
      <c r="EU262" s="27" t="s">
        <v>8</v>
      </c>
      <c r="EV262" s="27" t="s">
        <v>7</v>
      </c>
      <c r="EY262" s="27" t="s">
        <v>8</v>
      </c>
      <c r="EZ262" s="27" t="s">
        <v>7</v>
      </c>
      <c r="FA262" s="27" t="s">
        <v>8</v>
      </c>
      <c r="FB262" s="27" t="s">
        <v>7</v>
      </c>
      <c r="FC262" s="27" t="s">
        <v>8</v>
      </c>
    </row>
    <row r="263" spans="1:160" x14ac:dyDescent="0.25">
      <c r="A263" s="30">
        <v>0.32557130579677979</v>
      </c>
      <c r="B263"/>
      <c r="C263"/>
      <c r="D263"/>
      <c r="E263"/>
      <c r="F263" s="27" t="s">
        <v>7</v>
      </c>
      <c r="CE263" s="27" t="s">
        <v>8</v>
      </c>
      <c r="CJ263" s="27" t="s">
        <v>7</v>
      </c>
      <c r="CK263" s="27" t="s">
        <v>8</v>
      </c>
      <c r="CN263" s="27" t="s">
        <v>7</v>
      </c>
      <c r="CO263" s="27" t="s">
        <v>8</v>
      </c>
      <c r="CP263" s="27" t="s">
        <v>7</v>
      </c>
      <c r="CQ263" s="27" t="s">
        <v>8</v>
      </c>
      <c r="CR263" s="27" t="s">
        <v>7</v>
      </c>
      <c r="CS263" s="27" t="s">
        <v>8</v>
      </c>
      <c r="CY263" s="27" t="s">
        <v>8</v>
      </c>
      <c r="CZ263" s="27" t="s">
        <v>7</v>
      </c>
      <c r="DA263" s="27" t="s">
        <v>8</v>
      </c>
      <c r="DB263" s="27" t="s">
        <v>7</v>
      </c>
      <c r="DF263" s="31"/>
      <c r="EA263" s="27" t="s">
        <v>8</v>
      </c>
      <c r="EE263" s="27" t="s">
        <v>8</v>
      </c>
      <c r="EF263" s="27" t="s">
        <v>7</v>
      </c>
      <c r="EG263" s="27" t="s">
        <v>8</v>
      </c>
      <c r="EH263" s="27" t="s">
        <v>7</v>
      </c>
      <c r="EI263" s="27" t="s">
        <v>8</v>
      </c>
      <c r="EJ263" s="27" t="s">
        <v>7</v>
      </c>
      <c r="EK263" s="27" t="s">
        <v>8</v>
      </c>
      <c r="EP263" s="31"/>
      <c r="ER263" s="27" t="s">
        <v>7</v>
      </c>
      <c r="ES263" s="27" t="s">
        <v>8</v>
      </c>
      <c r="ET263" s="27" t="s">
        <v>7</v>
      </c>
      <c r="EU263" s="27" t="s">
        <v>8</v>
      </c>
      <c r="EV263" s="27" t="s">
        <v>7</v>
      </c>
      <c r="EY263" s="33" t="s">
        <v>8</v>
      </c>
      <c r="EZ263" s="27" t="s">
        <v>7</v>
      </c>
      <c r="FA263" s="27" t="s">
        <v>8</v>
      </c>
      <c r="FB263" s="27" t="s">
        <v>7</v>
      </c>
      <c r="FC263" s="27" t="s">
        <v>8</v>
      </c>
    </row>
    <row r="264" spans="1:160" x14ac:dyDescent="0.25">
      <c r="A264" s="30">
        <v>0.3100679102826473</v>
      </c>
      <c r="B264"/>
      <c r="C264"/>
      <c r="D264"/>
      <c r="E264"/>
      <c r="F264" s="27" t="s">
        <v>7</v>
      </c>
      <c r="CE264" s="27" t="s">
        <v>8</v>
      </c>
      <c r="CJ264" s="27" t="s">
        <v>7</v>
      </c>
      <c r="CK264" s="27" t="s">
        <v>8</v>
      </c>
      <c r="CN264" s="27" t="s">
        <v>7</v>
      </c>
      <c r="CO264" s="27" t="s">
        <v>8</v>
      </c>
      <c r="CP264" s="27" t="s">
        <v>7</v>
      </c>
      <c r="CR264" s="27" t="s">
        <v>7</v>
      </c>
      <c r="CS264" s="27" t="s">
        <v>8</v>
      </c>
      <c r="CT264" s="27" t="s">
        <v>7</v>
      </c>
      <c r="CY264" s="27" t="s">
        <v>8</v>
      </c>
      <c r="CZ264" s="27" t="s">
        <v>7</v>
      </c>
      <c r="DA264" s="27" t="s">
        <v>8</v>
      </c>
      <c r="DB264" s="27" t="s">
        <v>7</v>
      </c>
      <c r="DC264" s="27" t="s">
        <v>8</v>
      </c>
      <c r="DG264" s="31"/>
      <c r="EA264" s="27" t="s">
        <v>8</v>
      </c>
      <c r="EB264" s="27" t="s">
        <v>7</v>
      </c>
      <c r="EE264" s="27" t="s">
        <v>8</v>
      </c>
      <c r="EF264" s="27" t="s">
        <v>7</v>
      </c>
      <c r="EH264" s="27" t="s">
        <v>7</v>
      </c>
      <c r="EI264" s="27" t="s">
        <v>8</v>
      </c>
      <c r="EJ264" s="27" t="s">
        <v>7</v>
      </c>
      <c r="EO264" s="31"/>
      <c r="ER264" s="27" t="s">
        <v>7</v>
      </c>
      <c r="ES264" s="27" t="s">
        <v>8</v>
      </c>
      <c r="ET264" s="27" t="s">
        <v>7</v>
      </c>
      <c r="EU264" s="27" t="s">
        <v>8</v>
      </c>
      <c r="EV264" s="27" t="s">
        <v>7</v>
      </c>
      <c r="EW264" s="27" t="s">
        <v>8</v>
      </c>
      <c r="EY264" s="27" t="s">
        <v>8</v>
      </c>
      <c r="EZ264" s="27" t="s">
        <v>7</v>
      </c>
      <c r="FB264" s="27" t="s">
        <v>7</v>
      </c>
    </row>
    <row r="265" spans="1:160" x14ac:dyDescent="0.25">
      <c r="A265" s="30">
        <v>0.2953027716977592</v>
      </c>
      <c r="B265"/>
      <c r="C265"/>
      <c r="D265"/>
      <c r="E265"/>
      <c r="F265" s="27" t="s">
        <v>7</v>
      </c>
      <c r="CE265" s="27" t="s">
        <v>8</v>
      </c>
      <c r="CJ265" s="27" t="s">
        <v>7</v>
      </c>
      <c r="CK265" s="27" t="s">
        <v>8</v>
      </c>
      <c r="CN265" s="27" t="s">
        <v>7</v>
      </c>
      <c r="CR265" s="27" t="s">
        <v>7</v>
      </c>
      <c r="CS265" s="27" t="s">
        <v>8</v>
      </c>
      <c r="CT265" s="27" t="s">
        <v>7</v>
      </c>
      <c r="CU265" s="27" t="s">
        <v>8</v>
      </c>
      <c r="CY265" s="27" t="s">
        <v>8</v>
      </c>
      <c r="CZ265" s="27" t="s">
        <v>7</v>
      </c>
      <c r="DA265" s="27" t="s">
        <v>8</v>
      </c>
      <c r="DB265" s="27" t="s">
        <v>7</v>
      </c>
      <c r="DC265" s="27" t="s">
        <v>8</v>
      </c>
      <c r="DD265" s="27" t="s">
        <v>7</v>
      </c>
      <c r="DH265" s="31"/>
      <c r="EA265" s="27" t="s">
        <v>8</v>
      </c>
      <c r="EB265" s="27" t="s">
        <v>7</v>
      </c>
      <c r="EE265" s="27" t="s">
        <v>8</v>
      </c>
      <c r="EH265" s="33" t="s">
        <v>7</v>
      </c>
      <c r="EN265" s="31"/>
      <c r="ER265" s="27" t="s">
        <v>7</v>
      </c>
      <c r="ET265" s="27" t="s">
        <v>7</v>
      </c>
      <c r="EU265" s="27" t="s">
        <v>8</v>
      </c>
      <c r="EV265" s="27" t="s">
        <v>7</v>
      </c>
      <c r="EW265" s="27" t="s">
        <v>8</v>
      </c>
      <c r="EX265" s="27" t="s">
        <v>7</v>
      </c>
      <c r="EY265" s="27" t="s">
        <v>8</v>
      </c>
      <c r="FB265" s="31"/>
    </row>
    <row r="266" spans="1:160" x14ac:dyDescent="0.25">
      <c r="A266" s="30">
        <v>0.28124073495024676</v>
      </c>
      <c r="B266"/>
      <c r="C266"/>
      <c r="D266"/>
      <c r="E266"/>
      <c r="F266" s="27" t="s">
        <v>7</v>
      </c>
      <c r="CE266" s="27" t="s">
        <v>8</v>
      </c>
      <c r="CJ266" s="27" t="s">
        <v>7</v>
      </c>
      <c r="CR266" s="27" t="s">
        <v>7</v>
      </c>
      <c r="CT266" s="27" t="s">
        <v>7</v>
      </c>
      <c r="CU266" s="27" t="s">
        <v>8</v>
      </c>
      <c r="CV266" s="27" t="s">
        <v>7</v>
      </c>
      <c r="CY266" s="27" t="s">
        <v>8</v>
      </c>
      <c r="CZ266" s="27" t="s">
        <v>7</v>
      </c>
      <c r="DB266" s="27" t="s">
        <v>7</v>
      </c>
      <c r="DC266" s="27" t="s">
        <v>8</v>
      </c>
      <c r="DD266" s="27" t="s">
        <v>7</v>
      </c>
      <c r="DI266" s="31"/>
      <c r="EA266" s="27" t="s">
        <v>8</v>
      </c>
      <c r="EB266" s="27" t="s">
        <v>7</v>
      </c>
      <c r="EC266" s="27" t="s">
        <v>8</v>
      </c>
      <c r="EE266" s="27" t="s">
        <v>8</v>
      </c>
      <c r="EM266" s="31"/>
      <c r="ET266" s="27" t="s">
        <v>7</v>
      </c>
      <c r="EV266" s="27" t="s">
        <v>7</v>
      </c>
      <c r="EW266" s="27" t="s">
        <v>8</v>
      </c>
      <c r="EX266" s="27" t="s">
        <v>7</v>
      </c>
      <c r="EY266" s="27" t="s">
        <v>8</v>
      </c>
      <c r="FA266" s="31"/>
    </row>
    <row r="267" spans="1:160" x14ac:dyDescent="0.25">
      <c r="A267" s="30">
        <v>0.26784831900023492</v>
      </c>
      <c r="B267"/>
      <c r="C267"/>
      <c r="D267"/>
      <c r="E267"/>
      <c r="F267" s="27" t="s">
        <v>7</v>
      </c>
      <c r="CE267" s="27" t="s">
        <v>8</v>
      </c>
      <c r="CT267" s="27" t="s">
        <v>7</v>
      </c>
      <c r="CU267" s="27" t="s">
        <v>8</v>
      </c>
      <c r="CV267" s="27" t="s">
        <v>7</v>
      </c>
      <c r="CW267" s="27" t="s">
        <v>8</v>
      </c>
      <c r="CY267" s="27" t="s">
        <v>8</v>
      </c>
      <c r="DB267" s="27" t="s">
        <v>7</v>
      </c>
      <c r="DD267" s="27" t="s">
        <v>7</v>
      </c>
      <c r="DJ267" s="31"/>
      <c r="EA267" s="27" t="s">
        <v>8</v>
      </c>
      <c r="EB267" s="27" t="s">
        <v>7</v>
      </c>
      <c r="EC267" s="27" t="s">
        <v>8</v>
      </c>
      <c r="ED267" s="27" t="s">
        <v>7</v>
      </c>
      <c r="EE267" s="27" t="s">
        <v>8</v>
      </c>
      <c r="EL267" s="31"/>
      <c r="EV267" s="27" t="s">
        <v>7</v>
      </c>
      <c r="EW267" s="27" t="s">
        <v>8</v>
      </c>
      <c r="EX267" s="27" t="s">
        <v>7</v>
      </c>
      <c r="EY267" s="27" t="s">
        <v>8</v>
      </c>
      <c r="EZ267" s="31"/>
    </row>
    <row r="268" spans="1:160" x14ac:dyDescent="0.25">
      <c r="A268" s="30">
        <v>0.25509363714308075</v>
      </c>
      <c r="B268"/>
      <c r="C268"/>
      <c r="D268"/>
      <c r="E268"/>
      <c r="F268" s="27" t="s">
        <v>7</v>
      </c>
      <c r="CE268" s="27" t="s">
        <v>8</v>
      </c>
      <c r="CT268" s="27" t="s">
        <v>7</v>
      </c>
      <c r="CV268" s="27" t="s">
        <v>7</v>
      </c>
      <c r="CW268" s="27" t="s">
        <v>8</v>
      </c>
      <c r="CX268" s="27" t="s">
        <v>7</v>
      </c>
      <c r="CY268" s="27" t="s">
        <v>8</v>
      </c>
      <c r="DD268" s="27" t="s">
        <v>7</v>
      </c>
      <c r="DE268" s="27" t="s">
        <v>8</v>
      </c>
      <c r="DK268" s="31" t="s">
        <v>8</v>
      </c>
      <c r="EA268" s="27" t="s">
        <v>8</v>
      </c>
      <c r="EB268" s="27" t="s">
        <v>7</v>
      </c>
      <c r="EC268" s="27" t="s">
        <v>8</v>
      </c>
      <c r="ED268" s="27" t="s">
        <v>7</v>
      </c>
      <c r="EE268" s="27" t="s">
        <v>8</v>
      </c>
      <c r="EK268" s="31"/>
      <c r="EV268" s="27" t="s">
        <v>7</v>
      </c>
      <c r="EX268" s="27" t="s">
        <v>7</v>
      </c>
      <c r="EY268" s="31" t="s">
        <v>8</v>
      </c>
    </row>
    <row r="269" spans="1:160" x14ac:dyDescent="0.25">
      <c r="A269" s="30">
        <v>0.24294632108864825</v>
      </c>
      <c r="B269"/>
      <c r="C269"/>
      <c r="D269"/>
      <c r="E269"/>
      <c r="F269" s="27" t="s">
        <v>7</v>
      </c>
      <c r="CE269" s="27" t="s">
        <v>8</v>
      </c>
      <c r="CV269" s="27" t="s">
        <v>7</v>
      </c>
      <c r="CW269" s="27" t="s">
        <v>8</v>
      </c>
      <c r="CX269" s="27" t="s">
        <v>7</v>
      </c>
      <c r="CY269" s="27" t="s">
        <v>8</v>
      </c>
      <c r="DD269" s="27" t="s">
        <v>7</v>
      </c>
      <c r="DE269" s="27" t="s">
        <v>8</v>
      </c>
      <c r="DF269" s="27" t="s">
        <v>7</v>
      </c>
      <c r="DI269" s="27" t="s">
        <v>8</v>
      </c>
      <c r="DK269" s="27" t="s">
        <v>8</v>
      </c>
      <c r="DL269" s="31" t="s">
        <v>7</v>
      </c>
      <c r="EA269" s="27" t="s">
        <v>8</v>
      </c>
      <c r="EB269" s="27" t="s">
        <v>7</v>
      </c>
      <c r="EC269" s="27" t="s">
        <v>8</v>
      </c>
      <c r="ED269" s="27" t="s">
        <v>7</v>
      </c>
      <c r="EE269" s="27" t="s">
        <v>8</v>
      </c>
      <c r="EJ269" s="31"/>
      <c r="EX269" s="31" t="s">
        <v>7</v>
      </c>
    </row>
    <row r="270" spans="1:160" x14ac:dyDescent="0.25">
      <c r="A270" s="30">
        <v>0.23137744865585538</v>
      </c>
      <c r="B270"/>
      <c r="C270"/>
      <c r="D270"/>
      <c r="E270"/>
      <c r="F270" s="27" t="s">
        <v>7</v>
      </c>
      <c r="CE270" s="27" t="s">
        <v>8</v>
      </c>
      <c r="CV270" s="27" t="s">
        <v>7</v>
      </c>
      <c r="CW270" s="27" t="s">
        <v>8</v>
      </c>
      <c r="CX270" s="27" t="s">
        <v>7</v>
      </c>
      <c r="CY270" s="27" t="s">
        <v>8</v>
      </c>
      <c r="DD270" s="27" t="s">
        <v>7</v>
      </c>
      <c r="DE270" s="27" t="s">
        <v>8</v>
      </c>
      <c r="DF270" s="27" t="s">
        <v>7</v>
      </c>
      <c r="DI270" s="27" t="s">
        <v>8</v>
      </c>
      <c r="DJ270" s="27" t="s">
        <v>7</v>
      </c>
      <c r="DK270" s="27" t="s">
        <v>8</v>
      </c>
      <c r="DL270" s="27" t="s">
        <v>7</v>
      </c>
      <c r="DM270" s="31" t="s">
        <v>8</v>
      </c>
      <c r="EA270" s="27" t="s">
        <v>8</v>
      </c>
      <c r="EB270" s="27" t="s">
        <v>7</v>
      </c>
      <c r="EC270" s="27" t="s">
        <v>8</v>
      </c>
      <c r="ED270" s="18" t="s">
        <v>7</v>
      </c>
      <c r="EE270" s="27" t="s">
        <v>8</v>
      </c>
      <c r="EI270" s="31"/>
    </row>
    <row r="271" spans="1:160" x14ac:dyDescent="0.25">
      <c r="A271" s="30">
        <v>0.22035947491033836</v>
      </c>
      <c r="B271"/>
      <c r="C271"/>
      <c r="D271"/>
      <c r="E271"/>
      <c r="F271" s="27" t="s">
        <v>7</v>
      </c>
      <c r="CE271" s="27" t="s">
        <v>8</v>
      </c>
      <c r="CV271" s="27" t="s">
        <v>7</v>
      </c>
      <c r="CW271" s="27" t="s">
        <v>8</v>
      </c>
      <c r="CX271" s="27" t="s">
        <v>7</v>
      </c>
      <c r="DD271" s="27" t="s">
        <v>7</v>
      </c>
      <c r="DE271" s="27" t="s">
        <v>8</v>
      </c>
      <c r="DF271" s="27" t="s">
        <v>7</v>
      </c>
      <c r="DI271" s="27" t="s">
        <v>8</v>
      </c>
      <c r="DJ271" s="27" t="s">
        <v>7</v>
      </c>
      <c r="DK271" s="27" t="s">
        <v>8</v>
      </c>
      <c r="DL271" s="27" t="s">
        <v>7</v>
      </c>
      <c r="DM271" s="27" t="s">
        <v>8</v>
      </c>
      <c r="DN271" s="31" t="s">
        <v>7</v>
      </c>
      <c r="DQ271" s="27" t="s">
        <v>8</v>
      </c>
      <c r="EA271" s="27" t="s">
        <v>8</v>
      </c>
      <c r="EB271" s="27" t="s">
        <v>7</v>
      </c>
      <c r="EC271" s="27" t="s">
        <v>8</v>
      </c>
      <c r="ED271" s="27" t="s">
        <v>7</v>
      </c>
      <c r="EE271" s="27" t="s">
        <v>8</v>
      </c>
      <c r="EH271" s="31"/>
    </row>
    <row r="272" spans="1:160" x14ac:dyDescent="0.25">
      <c r="A272" s="30">
        <v>0.20986616658127455</v>
      </c>
      <c r="B272"/>
      <c r="C272"/>
      <c r="D272"/>
      <c r="E272"/>
      <c r="F272" s="27" t="s">
        <v>7</v>
      </c>
      <c r="CE272" s="27" t="s">
        <v>8</v>
      </c>
      <c r="CV272" s="27" t="s">
        <v>7</v>
      </c>
      <c r="CW272" s="27" t="s">
        <v>8</v>
      </c>
      <c r="DD272" s="27" t="s">
        <v>7</v>
      </c>
      <c r="DE272" s="27" t="s">
        <v>8</v>
      </c>
      <c r="DF272" s="27" t="s">
        <v>7</v>
      </c>
      <c r="DI272" s="27" t="s">
        <v>8</v>
      </c>
      <c r="DJ272" s="27" t="s">
        <v>7</v>
      </c>
      <c r="DL272" s="27" t="s">
        <v>7</v>
      </c>
      <c r="DM272" s="27" t="s">
        <v>8</v>
      </c>
      <c r="DN272" s="27" t="s">
        <v>7</v>
      </c>
      <c r="DO272" s="31" t="s">
        <v>8</v>
      </c>
      <c r="DQ272" s="27" t="s">
        <v>8</v>
      </c>
      <c r="DR272" s="27" t="s">
        <v>7</v>
      </c>
      <c r="DS272" s="31" t="s">
        <v>8</v>
      </c>
      <c r="EA272" s="27" t="s">
        <v>8</v>
      </c>
      <c r="EB272" s="27" t="s">
        <v>7</v>
      </c>
      <c r="EC272" s="27" t="s">
        <v>8</v>
      </c>
      <c r="ED272" s="27" t="s">
        <v>7</v>
      </c>
      <c r="EE272" s="27" t="s">
        <v>8</v>
      </c>
      <c r="EG272" s="31"/>
    </row>
    <row r="273" spans="1:136" x14ac:dyDescent="0.25">
      <c r="A273" s="30">
        <v>0.19987253960121379</v>
      </c>
      <c r="B273"/>
      <c r="C273"/>
      <c r="D273"/>
      <c r="E273"/>
      <c r="F273" s="27" t="s">
        <v>7</v>
      </c>
      <c r="CE273" s="27" t="s">
        <v>8</v>
      </c>
      <c r="CV273" s="27" t="s">
        <v>7</v>
      </c>
      <c r="CW273" s="27" t="s">
        <v>8</v>
      </c>
      <c r="DD273" s="27" t="s">
        <v>7</v>
      </c>
      <c r="DE273" s="27" t="s">
        <v>8</v>
      </c>
      <c r="DF273" s="27" t="s">
        <v>7</v>
      </c>
      <c r="DI273" s="27" t="s">
        <v>8</v>
      </c>
      <c r="DL273" s="27" t="s">
        <v>7</v>
      </c>
      <c r="DM273" s="27" t="s">
        <v>8</v>
      </c>
      <c r="DN273" s="27" t="s">
        <v>7</v>
      </c>
      <c r="DO273" s="27" t="s">
        <v>8</v>
      </c>
      <c r="DP273" s="31" t="s">
        <v>7</v>
      </c>
      <c r="DQ273" s="27" t="s">
        <v>8</v>
      </c>
      <c r="DR273" s="27" t="s">
        <v>7</v>
      </c>
      <c r="DS273" s="27" t="s">
        <v>8</v>
      </c>
      <c r="DT273" s="31" t="s">
        <v>7</v>
      </c>
      <c r="EA273" s="27" t="s">
        <v>8</v>
      </c>
      <c r="EB273" s="27" t="s">
        <v>7</v>
      </c>
      <c r="EC273" s="27" t="s">
        <v>8</v>
      </c>
      <c r="ED273" s="27" t="s">
        <v>7</v>
      </c>
      <c r="EF273" s="31"/>
    </row>
    <row r="274" spans="1:136" x14ac:dyDescent="0.25">
      <c r="A274" s="30">
        <v>0.19035479962020352</v>
      </c>
      <c r="B274"/>
      <c r="C274"/>
      <c r="D274"/>
      <c r="E274"/>
      <c r="F274" s="27" t="s">
        <v>7</v>
      </c>
      <c r="CE274" s="27" t="s">
        <v>8</v>
      </c>
      <c r="CV274" s="27" t="s">
        <v>7</v>
      </c>
      <c r="CW274" s="27" t="s">
        <v>8</v>
      </c>
      <c r="DD274" s="27" t="s">
        <v>7</v>
      </c>
      <c r="DE274" s="27" t="s">
        <v>8</v>
      </c>
      <c r="DF274" s="27" t="s">
        <v>7</v>
      </c>
      <c r="DI274" s="27" t="s">
        <v>8</v>
      </c>
      <c r="DL274" s="27" t="s">
        <v>7</v>
      </c>
      <c r="DM274" s="27" t="s">
        <v>8</v>
      </c>
      <c r="DN274" s="27" t="s">
        <v>7</v>
      </c>
      <c r="DO274" s="27" t="s">
        <v>8</v>
      </c>
      <c r="DP274" s="27" t="s">
        <v>7</v>
      </c>
      <c r="DQ274" s="27" t="s">
        <v>8</v>
      </c>
      <c r="DR274" s="27" t="s">
        <v>7</v>
      </c>
      <c r="DS274" s="27" t="s">
        <v>8</v>
      </c>
      <c r="DT274" s="27" t="s">
        <v>7</v>
      </c>
      <c r="DU274" s="31"/>
      <c r="DY274" s="34" t="s">
        <v>8</v>
      </c>
      <c r="EA274" s="27" t="s">
        <v>8</v>
      </c>
      <c r="EB274" s="27" t="s">
        <v>7</v>
      </c>
      <c r="EE274" s="31"/>
    </row>
    <row r="275" spans="1:136" x14ac:dyDescent="0.25">
      <c r="A275" s="30">
        <v>0.18129028535257471</v>
      </c>
      <c r="B275"/>
      <c r="C275"/>
      <c r="D275"/>
      <c r="E275"/>
      <c r="F275" s="27" t="s">
        <v>7</v>
      </c>
      <c r="CE275" s="27" t="s">
        <v>8</v>
      </c>
      <c r="CV275" s="27" t="s">
        <v>7</v>
      </c>
      <c r="CW275" s="27" t="s">
        <v>8</v>
      </c>
      <c r="DD275" s="27" t="s">
        <v>7</v>
      </c>
      <c r="DE275" s="27" t="s">
        <v>8</v>
      </c>
      <c r="DF275" s="27" t="s">
        <v>7</v>
      </c>
      <c r="DG275" s="27" t="s">
        <v>8</v>
      </c>
      <c r="DI275" s="27" t="s">
        <v>8</v>
      </c>
      <c r="DL275" s="27" t="s">
        <v>7</v>
      </c>
      <c r="DM275" s="27" t="s">
        <v>8</v>
      </c>
      <c r="DN275" s="27" t="s">
        <v>7</v>
      </c>
      <c r="DP275" s="27" t="s">
        <v>7</v>
      </c>
      <c r="DQ275" s="27" t="s">
        <v>8</v>
      </c>
      <c r="DR275" s="27" t="s">
        <v>7</v>
      </c>
      <c r="DT275" s="27" t="s">
        <v>7</v>
      </c>
      <c r="DV275" s="31"/>
      <c r="DW275" s="27" t="s">
        <v>8</v>
      </c>
      <c r="DY275" s="27" t="s">
        <v>8</v>
      </c>
      <c r="DZ275" s="27" t="s">
        <v>7</v>
      </c>
      <c r="EA275" s="27" t="s">
        <v>8</v>
      </c>
      <c r="ED275" s="31"/>
    </row>
    <row r="276" spans="1:136" x14ac:dyDescent="0.25">
      <c r="A276" s="30">
        <v>0.17265741462149967</v>
      </c>
      <c r="B276"/>
      <c r="C276"/>
      <c r="D276"/>
      <c r="E276"/>
      <c r="F276" s="27" t="s">
        <v>7</v>
      </c>
      <c r="CE276" s="27" t="s">
        <v>8</v>
      </c>
      <c r="CV276" s="27" t="s">
        <v>7</v>
      </c>
      <c r="DD276" s="27" t="s">
        <v>7</v>
      </c>
      <c r="DE276" s="27" t="s">
        <v>8</v>
      </c>
      <c r="DF276" s="27" t="s">
        <v>7</v>
      </c>
      <c r="DG276" s="27" t="s">
        <v>8</v>
      </c>
      <c r="DH276" s="27" t="s">
        <v>7</v>
      </c>
      <c r="DI276" s="27" t="s">
        <v>8</v>
      </c>
      <c r="DL276" s="27" t="s">
        <v>7</v>
      </c>
      <c r="DP276" s="27" t="s">
        <v>7</v>
      </c>
      <c r="DQ276" s="27" t="s">
        <v>8</v>
      </c>
      <c r="DT276" s="33" t="s">
        <v>7</v>
      </c>
      <c r="DW276" s="31" t="s">
        <v>8</v>
      </c>
      <c r="DX276" s="27" t="s">
        <v>7</v>
      </c>
      <c r="DY276" s="27" t="s">
        <v>8</v>
      </c>
      <c r="DZ276" s="27" t="s">
        <v>7</v>
      </c>
      <c r="EA276" s="27" t="s">
        <v>8</v>
      </c>
      <c r="EC276" s="31"/>
    </row>
    <row r="277" spans="1:136" x14ac:dyDescent="0.25">
      <c r="A277" s="30">
        <v>0.16443563297285677</v>
      </c>
      <c r="B277"/>
      <c r="C277"/>
      <c r="D277"/>
      <c r="E277"/>
      <c r="F277" s="27" t="s">
        <v>7</v>
      </c>
      <c r="CE277" s="27" t="s">
        <v>8</v>
      </c>
      <c r="DD277" s="27" t="s">
        <v>7</v>
      </c>
      <c r="DE277" s="27" t="s">
        <v>8</v>
      </c>
      <c r="DF277" s="27" t="s">
        <v>7</v>
      </c>
      <c r="DG277" s="27" t="s">
        <v>8</v>
      </c>
      <c r="DH277" s="27" t="s">
        <v>7</v>
      </c>
      <c r="DI277" s="27" t="s">
        <v>8</v>
      </c>
      <c r="DP277" s="27" t="s">
        <v>7</v>
      </c>
      <c r="DT277" s="27" t="s">
        <v>7</v>
      </c>
      <c r="DW277" s="27" t="s">
        <v>8</v>
      </c>
      <c r="DX277" s="27" t="s">
        <v>7</v>
      </c>
      <c r="DY277" s="27" t="s">
        <v>8</v>
      </c>
      <c r="DZ277" s="27" t="s">
        <v>7</v>
      </c>
      <c r="EB277" s="31"/>
    </row>
    <row r="278" spans="1:136" x14ac:dyDescent="0.25">
      <c r="A278" s="30">
        <v>0.15660536473605399</v>
      </c>
      <c r="B278"/>
      <c r="C278"/>
      <c r="D278"/>
      <c r="E278"/>
      <c r="F278" s="27" t="s">
        <v>7</v>
      </c>
      <c r="CE278" s="27" t="s">
        <v>8</v>
      </c>
      <c r="DD278" s="27" t="s">
        <v>7</v>
      </c>
      <c r="DE278" s="27" t="s">
        <v>8</v>
      </c>
      <c r="DF278" s="27" t="s">
        <v>7</v>
      </c>
      <c r="DH278" s="27" t="s">
        <v>7</v>
      </c>
      <c r="DI278" s="27" t="s">
        <v>8</v>
      </c>
      <c r="DT278" s="27" t="s">
        <v>7</v>
      </c>
      <c r="DW278" s="27" t="s">
        <v>8</v>
      </c>
      <c r="DX278" s="27" t="s">
        <v>7</v>
      </c>
      <c r="DY278" s="27" t="s">
        <v>8</v>
      </c>
      <c r="EA278" s="31"/>
    </row>
    <row r="279" spans="1:136" x14ac:dyDescent="0.25">
      <c r="A279" s="30">
        <v>0.14914796641528946</v>
      </c>
      <c r="B279"/>
      <c r="C279"/>
      <c r="D279"/>
      <c r="E279"/>
      <c r="F279" s="27" t="s">
        <v>7</v>
      </c>
      <c r="CE279" s="27" t="s">
        <v>8</v>
      </c>
      <c r="DD279" s="27" t="s">
        <v>7</v>
      </c>
      <c r="DE279" s="27" t="s">
        <v>8</v>
      </c>
      <c r="DH279" s="27" t="s">
        <v>7</v>
      </c>
      <c r="DI279" s="27" t="s">
        <v>8</v>
      </c>
      <c r="DT279" s="27" t="s">
        <v>7</v>
      </c>
      <c r="DU279" s="27" t="s">
        <v>8</v>
      </c>
      <c r="DW279" s="27" t="s">
        <v>8</v>
      </c>
      <c r="DX279" s="27" t="s">
        <v>7</v>
      </c>
      <c r="DZ279" s="31"/>
    </row>
    <row r="280" spans="1:136" x14ac:dyDescent="0.25">
      <c r="A280" s="30">
        <v>0.14204568230027562</v>
      </c>
      <c r="B280"/>
      <c r="C280"/>
      <c r="D280"/>
      <c r="E280"/>
      <c r="F280" s="27" t="s">
        <v>7</v>
      </c>
      <c r="CE280" s="27" t="s">
        <v>8</v>
      </c>
      <c r="DD280" s="27" t="s">
        <v>7</v>
      </c>
      <c r="DH280" s="27" t="s">
        <v>7</v>
      </c>
      <c r="DI280" s="27" t="s">
        <v>8</v>
      </c>
      <c r="DT280" s="27" t="s">
        <v>7</v>
      </c>
      <c r="DU280" s="27" t="s">
        <v>8</v>
      </c>
      <c r="DV280" s="27" t="s">
        <v>7</v>
      </c>
      <c r="DW280" s="27" t="s">
        <v>8</v>
      </c>
      <c r="DY280" s="31"/>
    </row>
    <row r="281" spans="1:136" x14ac:dyDescent="0.25">
      <c r="A281" s="30">
        <v>0.13528160219073862</v>
      </c>
      <c r="B281"/>
      <c r="C281"/>
      <c r="D281"/>
      <c r="E281"/>
      <c r="F281" s="27" t="s">
        <v>7</v>
      </c>
      <c r="CE281" s="27" t="s">
        <v>8</v>
      </c>
      <c r="DH281" s="27" t="s">
        <v>7</v>
      </c>
      <c r="DI281" s="27" t="s">
        <v>8</v>
      </c>
      <c r="DT281" s="27" t="s">
        <v>7</v>
      </c>
      <c r="DU281" s="27" t="s">
        <v>8</v>
      </c>
      <c r="DV281" s="27" t="s">
        <v>7</v>
      </c>
      <c r="DW281" s="27" t="s">
        <v>8</v>
      </c>
      <c r="DX281" s="31"/>
    </row>
    <row r="282" spans="1:136" x14ac:dyDescent="0.25">
      <c r="A282" s="30">
        <v>0.12883962113403674</v>
      </c>
      <c r="B282"/>
      <c r="C282"/>
      <c r="D282"/>
      <c r="E282"/>
      <c r="F282" s="27" t="s">
        <v>7</v>
      </c>
      <c r="CE282" s="27" t="s">
        <v>8</v>
      </c>
      <c r="DH282" s="27" t="s">
        <v>7</v>
      </c>
      <c r="DI282" s="27" t="s">
        <v>8</v>
      </c>
      <c r="DT282" s="27" t="s">
        <v>7</v>
      </c>
      <c r="DU282" s="27" t="s">
        <v>8</v>
      </c>
      <c r="DV282" s="27" t="s">
        <v>7</v>
      </c>
      <c r="DW282" s="31" t="s">
        <v>8</v>
      </c>
    </row>
    <row r="283" spans="1:136" x14ac:dyDescent="0.25">
      <c r="A283" s="30">
        <v>0.12270440108003494</v>
      </c>
      <c r="B283"/>
      <c r="C283"/>
      <c r="D283"/>
      <c r="E283"/>
      <c r="F283" s="27" t="s">
        <v>7</v>
      </c>
      <c r="CE283" s="27" t="s">
        <v>8</v>
      </c>
      <c r="DH283" s="27" t="s">
        <v>7</v>
      </c>
      <c r="DI283" s="27" t="s">
        <v>8</v>
      </c>
      <c r="DT283" s="27" t="s">
        <v>7</v>
      </c>
      <c r="DU283" s="27" t="s">
        <v>8</v>
      </c>
      <c r="DV283" s="31" t="s">
        <v>7</v>
      </c>
    </row>
    <row r="284" spans="1:136" x14ac:dyDescent="0.25">
      <c r="A284" s="30">
        <v>0.11686133436193799</v>
      </c>
      <c r="B284"/>
      <c r="C284"/>
      <c r="D284"/>
      <c r="E284"/>
      <c r="F284" s="27" t="s">
        <v>7</v>
      </c>
      <c r="CE284" s="27" t="s">
        <v>8</v>
      </c>
      <c r="DH284" s="27" t="s">
        <v>7</v>
      </c>
      <c r="DI284" s="27" t="s">
        <v>8</v>
      </c>
      <c r="DT284" s="27" t="s">
        <v>7</v>
      </c>
    </row>
    <row r="285" spans="1:136" x14ac:dyDescent="0.25">
      <c r="A285" s="30">
        <v>0.11129650891613138</v>
      </c>
      <c r="B285"/>
      <c r="C285"/>
      <c r="D285"/>
      <c r="E285"/>
      <c r="F285" s="27" t="s">
        <v>7</v>
      </c>
      <c r="CE285" s="27" t="s">
        <v>8</v>
      </c>
      <c r="DH285" s="27" t="s">
        <v>7</v>
      </c>
    </row>
    <row r="286" spans="1:136" x14ac:dyDescent="0.25">
      <c r="A286" s="30">
        <v>0.10599667515822032</v>
      </c>
      <c r="B286"/>
      <c r="C286"/>
      <c r="D286"/>
      <c r="E286"/>
      <c r="F286" s="27" t="s">
        <v>7</v>
      </c>
      <c r="CE286" s="27" t="s">
        <v>8</v>
      </c>
    </row>
    <row r="287" spans="1:136" x14ac:dyDescent="0.25">
      <c r="A287" s="30">
        <v>0.10094921443640027</v>
      </c>
      <c r="B287"/>
      <c r="C287"/>
      <c r="D287"/>
      <c r="E287"/>
      <c r="F287" s="27" t="s">
        <v>7</v>
      </c>
      <c r="CE287" s="27" t="s">
        <v>8</v>
      </c>
    </row>
    <row r="288" spans="1:136" x14ac:dyDescent="0.25">
      <c r="A288" s="30">
        <v>9.6142108987047836E-2</v>
      </c>
      <c r="B288"/>
      <c r="C288"/>
      <c r="D288"/>
      <c r="E288"/>
      <c r="F288" s="27" t="s">
        <v>7</v>
      </c>
      <c r="CC288" s="27" t="s">
        <v>8</v>
      </c>
      <c r="CE288" s="27" t="s">
        <v>8</v>
      </c>
    </row>
    <row r="289" spans="1:83" x14ac:dyDescent="0.25">
      <c r="A289" s="30">
        <v>9.1563913320997906E-2</v>
      </c>
      <c r="B289"/>
      <c r="C289"/>
      <c r="D289"/>
      <c r="E289"/>
      <c r="F289" s="27" t="s">
        <v>7</v>
      </c>
      <c r="CC289" s="27" t="s">
        <v>8</v>
      </c>
      <c r="CD289" s="27" t="s">
        <v>7</v>
      </c>
      <c r="CE289" s="27" t="s">
        <v>8</v>
      </c>
    </row>
    <row r="290" spans="1:83" x14ac:dyDescent="0.25">
      <c r="A290" s="30">
        <v>8.7203726972378923E-2</v>
      </c>
      <c r="B290"/>
      <c r="C290"/>
      <c r="D290"/>
      <c r="E290"/>
      <c r="F290" s="27" t="s">
        <v>7</v>
      </c>
      <c r="Y290" s="27" t="s">
        <v>8</v>
      </c>
      <c r="BS290" s="27" t="s">
        <v>8</v>
      </c>
      <c r="CC290" s="27" t="s">
        <v>8</v>
      </c>
      <c r="CD290" s="27" t="s">
        <v>7</v>
      </c>
      <c r="CE290" s="27" t="s">
        <v>8</v>
      </c>
    </row>
    <row r="291" spans="1:83" x14ac:dyDescent="0.25">
      <c r="A291" s="30">
        <v>8.3051168545122747E-2</v>
      </c>
      <c r="B291"/>
      <c r="C291"/>
      <c r="D291"/>
      <c r="E291"/>
      <c r="F291" s="27" t="s">
        <v>7</v>
      </c>
      <c r="Y291" s="27" t="s">
        <v>8</v>
      </c>
      <c r="Z291" s="27" t="s">
        <v>7</v>
      </c>
      <c r="BS291" s="27" t="s">
        <v>8</v>
      </c>
      <c r="BT291" s="27" t="s">
        <v>7</v>
      </c>
      <c r="CC291" s="27" t="s">
        <v>8</v>
      </c>
      <c r="CD291" s="27" t="s">
        <v>7</v>
      </c>
      <c r="CE291" s="27" t="s">
        <v>8</v>
      </c>
    </row>
    <row r="292" spans="1:83" x14ac:dyDescent="0.25">
      <c r="A292" s="30">
        <v>7.9096350995354961E-2</v>
      </c>
      <c r="B292"/>
      <c r="C292"/>
      <c r="D292"/>
      <c r="E292"/>
      <c r="F292" s="27" t="s">
        <v>7</v>
      </c>
      <c r="W292" s="27" t="s">
        <v>8</v>
      </c>
      <c r="Y292" s="27" t="s">
        <v>8</v>
      </c>
      <c r="Z292" s="27" t="s">
        <v>7</v>
      </c>
      <c r="AA292" s="27" t="s">
        <v>8</v>
      </c>
      <c r="BS292" s="27" t="s">
        <v>8</v>
      </c>
      <c r="BT292" s="27" t="s">
        <v>7</v>
      </c>
      <c r="CC292" s="27" t="s">
        <v>8</v>
      </c>
      <c r="CD292" s="27" t="s">
        <v>7</v>
      </c>
      <c r="CE292" s="27" t="s">
        <v>8</v>
      </c>
    </row>
    <row r="293" spans="1:83" x14ac:dyDescent="0.25">
      <c r="A293" s="30">
        <v>7.5329858090814217E-2</v>
      </c>
      <c r="B293"/>
      <c r="C293"/>
      <c r="D293"/>
      <c r="E293"/>
      <c r="F293" s="27" t="s">
        <v>7</v>
      </c>
      <c r="W293" s="27" t="s">
        <v>8</v>
      </c>
      <c r="X293" s="27" t="s">
        <v>7</v>
      </c>
      <c r="Y293" s="27" t="s">
        <v>8</v>
      </c>
      <c r="Z293" s="27" t="s">
        <v>7</v>
      </c>
      <c r="AA293" s="27" t="s">
        <v>8</v>
      </c>
      <c r="AB293" s="27" t="s">
        <v>7</v>
      </c>
      <c r="BS293" s="27" t="s">
        <v>8</v>
      </c>
      <c r="BT293" s="27" t="s">
        <v>7</v>
      </c>
      <c r="CC293" s="27" t="s">
        <v>8</v>
      </c>
      <c r="CD293" s="27" t="s">
        <v>7</v>
      </c>
      <c r="CE293" s="27" t="s">
        <v>8</v>
      </c>
    </row>
    <row r="294" spans="1:83" x14ac:dyDescent="0.25">
      <c r="A294" s="30">
        <v>7.1742721991251604E-2</v>
      </c>
      <c r="B294"/>
      <c r="C294"/>
      <c r="D294"/>
      <c r="E294"/>
      <c r="F294" s="27" t="s">
        <v>7</v>
      </c>
      <c r="W294" s="27" t="s">
        <v>8</v>
      </c>
      <c r="X294" s="27" t="s">
        <v>7</v>
      </c>
      <c r="Y294" s="27" t="s">
        <v>8</v>
      </c>
      <c r="Z294" s="27" t="s">
        <v>7</v>
      </c>
      <c r="AA294" s="27" t="s">
        <v>8</v>
      </c>
      <c r="AB294" s="27" t="s">
        <v>7</v>
      </c>
      <c r="AE294" s="27" t="s">
        <v>8</v>
      </c>
      <c r="BS294" s="27" t="s">
        <v>8</v>
      </c>
      <c r="BT294" s="27" t="s">
        <v>7</v>
      </c>
      <c r="CC294" s="27" t="s">
        <v>8</v>
      </c>
      <c r="CD294" s="27" t="s">
        <v>7</v>
      </c>
      <c r="CE294" s="27" t="s">
        <v>8</v>
      </c>
    </row>
    <row r="295" spans="1:83" x14ac:dyDescent="0.25">
      <c r="A295" s="30">
        <v>6.8326401896430078E-2</v>
      </c>
      <c r="B295"/>
      <c r="C295"/>
      <c r="D295"/>
      <c r="E295"/>
      <c r="F295" s="27" t="s">
        <v>7</v>
      </c>
      <c r="W295" s="27" t="s">
        <v>8</v>
      </c>
      <c r="X295" s="27" t="s">
        <v>7</v>
      </c>
      <c r="Y295" s="27" t="s">
        <v>8</v>
      </c>
      <c r="Z295" s="27" t="s">
        <v>7</v>
      </c>
      <c r="AA295" s="27" t="s">
        <v>8</v>
      </c>
      <c r="AB295" s="27" t="s">
        <v>7</v>
      </c>
      <c r="AC295" s="27" t="s">
        <v>8</v>
      </c>
      <c r="AE295" s="27" t="s">
        <v>8</v>
      </c>
      <c r="AF295" s="27" t="s">
        <v>7</v>
      </c>
      <c r="BS295" s="27" t="s">
        <v>8</v>
      </c>
      <c r="BT295" s="27" t="s">
        <v>7</v>
      </c>
      <c r="BU295" s="27" t="s">
        <v>8</v>
      </c>
      <c r="BW295" s="27" t="s">
        <v>8</v>
      </c>
      <c r="CC295" s="27" t="s">
        <v>8</v>
      </c>
      <c r="CD295" s="27" t="s">
        <v>7</v>
      </c>
    </row>
    <row r="296" spans="1:83" x14ac:dyDescent="0.25">
      <c r="A296" s="30">
        <v>6.5072763710885759E-2</v>
      </c>
      <c r="B296"/>
      <c r="C296"/>
      <c r="D296"/>
      <c r="E296"/>
      <c r="F296" s="27" t="s">
        <v>7</v>
      </c>
      <c r="U296" s="27" t="s">
        <v>8</v>
      </c>
      <c r="W296" s="27" t="s">
        <v>8</v>
      </c>
      <c r="X296" s="27" t="s">
        <v>7</v>
      </c>
      <c r="Y296" s="27" t="s">
        <v>8</v>
      </c>
      <c r="Z296" s="27" t="s">
        <v>7</v>
      </c>
      <c r="AB296" s="27" t="s">
        <v>7</v>
      </c>
      <c r="AC296" s="27" t="s">
        <v>8</v>
      </c>
      <c r="AD296" s="27" t="s">
        <v>7</v>
      </c>
      <c r="AE296" s="27" t="s">
        <v>8</v>
      </c>
      <c r="AF296" s="27" t="s">
        <v>7</v>
      </c>
      <c r="BS296" s="27" t="s">
        <v>8</v>
      </c>
      <c r="BT296" s="27" t="s">
        <v>7</v>
      </c>
      <c r="BU296" s="27" t="s">
        <v>8</v>
      </c>
      <c r="BV296" s="27" t="s">
        <v>7</v>
      </c>
      <c r="BW296" s="27" t="s">
        <v>8</v>
      </c>
      <c r="BX296" s="27" t="s">
        <v>7</v>
      </c>
      <c r="CC296" s="27" t="s">
        <v>8</v>
      </c>
    </row>
    <row r="297" spans="1:83" x14ac:dyDescent="0.25">
      <c r="A297" s="30">
        <v>6.197406067703403E-2</v>
      </c>
      <c r="B297"/>
      <c r="C297"/>
      <c r="D297"/>
      <c r="E297"/>
      <c r="F297" s="27" t="s">
        <v>7</v>
      </c>
      <c r="U297" s="27" t="s">
        <v>8</v>
      </c>
      <c r="V297" s="27" t="s">
        <v>7</v>
      </c>
      <c r="W297" s="27" t="s">
        <v>8</v>
      </c>
      <c r="X297" s="27" t="s">
        <v>7</v>
      </c>
      <c r="Y297" s="27" t="s">
        <v>8</v>
      </c>
      <c r="AB297" s="27" t="s">
        <v>7</v>
      </c>
      <c r="AC297" s="27" t="s">
        <v>8</v>
      </c>
      <c r="AD297" s="27" t="s">
        <v>7</v>
      </c>
      <c r="AE297" s="27" t="s">
        <v>8</v>
      </c>
      <c r="AF297" s="27" t="s">
        <v>7</v>
      </c>
      <c r="BS297" s="27" t="s">
        <v>8</v>
      </c>
      <c r="BT297" s="27" t="s">
        <v>7</v>
      </c>
      <c r="BU297" s="27" t="s">
        <v>8</v>
      </c>
      <c r="BV297" s="27" t="s">
        <v>7</v>
      </c>
      <c r="BW297" s="27" t="s">
        <v>8</v>
      </c>
      <c r="BX297" s="27" t="s">
        <v>7</v>
      </c>
      <c r="CA297" s="27" t="s">
        <v>8</v>
      </c>
      <c r="CC297" s="27" t="s">
        <v>8</v>
      </c>
    </row>
    <row r="298" spans="1:83" x14ac:dyDescent="0.25">
      <c r="A298" s="30">
        <v>5.9022914930508576E-2</v>
      </c>
      <c r="B298"/>
      <c r="C298"/>
      <c r="D298"/>
      <c r="E298"/>
      <c r="F298" s="27" t="s">
        <v>7</v>
      </c>
      <c r="U298" s="27" t="s">
        <v>8</v>
      </c>
      <c r="V298" s="27" t="s">
        <v>7</v>
      </c>
      <c r="W298" s="27" t="s">
        <v>8</v>
      </c>
      <c r="X298" s="27" t="s">
        <v>7</v>
      </c>
      <c r="Y298" s="27" t="s">
        <v>8</v>
      </c>
      <c r="AB298" s="27" t="s">
        <v>7</v>
      </c>
      <c r="AC298" s="27" t="s">
        <v>8</v>
      </c>
      <c r="AD298" s="27" t="s">
        <v>7</v>
      </c>
      <c r="AE298" s="27" t="s">
        <v>8</v>
      </c>
      <c r="AF298" s="27" t="s">
        <v>7</v>
      </c>
      <c r="BS298" s="27" t="s">
        <v>8</v>
      </c>
      <c r="BT298" s="27" t="s">
        <v>7</v>
      </c>
      <c r="BU298" s="27" t="s">
        <v>8</v>
      </c>
      <c r="BV298" s="27" t="s">
        <v>7</v>
      </c>
      <c r="BX298" s="27" t="s">
        <v>7</v>
      </c>
      <c r="CA298" s="27" t="s">
        <v>8</v>
      </c>
      <c r="CB298" s="27" t="s">
        <v>7</v>
      </c>
      <c r="CC298" s="27" t="s">
        <v>8</v>
      </c>
    </row>
    <row r="299" spans="1:83" x14ac:dyDescent="0.25">
      <c r="A299" s="30">
        <v>5.6212299933817669E-2</v>
      </c>
      <c r="B299"/>
      <c r="C299"/>
      <c r="D299"/>
      <c r="E299"/>
      <c r="F299" s="27" t="s">
        <v>7</v>
      </c>
      <c r="U299" s="27" t="s">
        <v>8</v>
      </c>
      <c r="V299" s="27" t="s">
        <v>7</v>
      </c>
      <c r="X299" s="27" t="s">
        <v>7</v>
      </c>
      <c r="Y299" s="27" t="s">
        <v>8</v>
      </c>
      <c r="AB299" s="27" t="s">
        <v>7</v>
      </c>
      <c r="AD299" s="27" t="s">
        <v>7</v>
      </c>
      <c r="AF299" s="27" t="s">
        <v>7</v>
      </c>
      <c r="AG299" s="27" t="s">
        <v>8</v>
      </c>
      <c r="BS299" s="27" t="s">
        <v>8</v>
      </c>
      <c r="BT299" s="27" t="s">
        <v>7</v>
      </c>
      <c r="BU299" s="27" t="s">
        <v>8</v>
      </c>
      <c r="BX299" s="27" t="s">
        <v>7</v>
      </c>
      <c r="BY299" s="27" t="s">
        <v>8</v>
      </c>
      <c r="CA299" s="27" t="s">
        <v>8</v>
      </c>
      <c r="CB299" s="27" t="s">
        <v>7</v>
      </c>
      <c r="CC299" s="27" t="s">
        <v>8</v>
      </c>
    </row>
    <row r="300" spans="1:83" x14ac:dyDescent="0.25">
      <c r="A300" s="30">
        <v>5.3535523746492994E-2</v>
      </c>
      <c r="B300"/>
      <c r="C300"/>
      <c r="D300"/>
      <c r="E300"/>
      <c r="F300" s="27" t="s">
        <v>7</v>
      </c>
      <c r="U300" s="27" t="s">
        <v>8</v>
      </c>
      <c r="X300" s="27" t="s">
        <v>7</v>
      </c>
      <c r="Y300" s="27" t="s">
        <v>8</v>
      </c>
      <c r="AF300" s="27" t="s">
        <v>7</v>
      </c>
      <c r="AG300" s="27" t="s">
        <v>8</v>
      </c>
      <c r="AH300" s="27" t="s">
        <v>7</v>
      </c>
      <c r="AI300" s="27" t="s">
        <v>8</v>
      </c>
      <c r="BS300" s="27" t="s">
        <v>8</v>
      </c>
      <c r="BT300" s="27" t="s">
        <v>7</v>
      </c>
      <c r="BX300" s="27" t="s">
        <v>7</v>
      </c>
      <c r="BY300" s="27" t="s">
        <v>8</v>
      </c>
      <c r="BZ300" s="27" t="s">
        <v>7</v>
      </c>
      <c r="CA300" s="27" t="s">
        <v>8</v>
      </c>
      <c r="CB300" s="27" t="s">
        <v>7</v>
      </c>
      <c r="CC300" s="27" t="s">
        <v>8</v>
      </c>
    </row>
    <row r="301" spans="1:83" x14ac:dyDescent="0.25">
      <c r="A301" s="30">
        <v>5.0986213091898068E-2</v>
      </c>
      <c r="B301"/>
      <c r="C301"/>
      <c r="D301"/>
      <c r="E301"/>
      <c r="F301" s="27" t="s">
        <v>7</v>
      </c>
      <c r="M301" s="27" t="s">
        <v>8</v>
      </c>
      <c r="U301" s="27" t="s">
        <v>8</v>
      </c>
      <c r="X301" s="27" t="s">
        <v>7</v>
      </c>
      <c r="Y301" s="27" t="s">
        <v>8</v>
      </c>
      <c r="AF301" s="27" t="s">
        <v>7</v>
      </c>
      <c r="AG301" s="27" t="s">
        <v>8</v>
      </c>
      <c r="AH301" s="27" t="s">
        <v>7</v>
      </c>
      <c r="AI301" s="27" t="s">
        <v>8</v>
      </c>
      <c r="AJ301" s="27" t="s">
        <v>7</v>
      </c>
      <c r="BS301" s="27" t="s">
        <v>8</v>
      </c>
      <c r="BX301" s="27" t="s">
        <v>7</v>
      </c>
      <c r="BY301" s="27" t="s">
        <v>8</v>
      </c>
      <c r="BZ301" s="27" t="s">
        <v>7</v>
      </c>
      <c r="CA301" s="27" t="s">
        <v>8</v>
      </c>
      <c r="CB301" s="27" t="s">
        <v>7</v>
      </c>
    </row>
    <row r="302" spans="1:83" x14ac:dyDescent="0.25">
      <c r="A302" s="30">
        <v>4.8558298182760043E-2</v>
      </c>
      <c r="B302"/>
      <c r="C302"/>
      <c r="D302"/>
      <c r="E302"/>
      <c r="F302" s="27" t="s">
        <v>7</v>
      </c>
      <c r="M302" s="27" t="s">
        <v>8</v>
      </c>
      <c r="N302" s="27" t="s">
        <v>7</v>
      </c>
      <c r="U302" s="27" t="s">
        <v>8</v>
      </c>
      <c r="X302" s="27" t="s">
        <v>7</v>
      </c>
      <c r="Y302" s="27" t="s">
        <v>8</v>
      </c>
      <c r="AF302" s="27" t="s">
        <v>7</v>
      </c>
      <c r="AG302" s="27" t="s">
        <v>8</v>
      </c>
      <c r="AH302" s="27" t="s">
        <v>7</v>
      </c>
      <c r="AI302" s="27" t="s">
        <v>8</v>
      </c>
      <c r="AJ302" s="27" t="s">
        <v>7</v>
      </c>
      <c r="BS302" s="27" t="s">
        <v>8</v>
      </c>
      <c r="BX302" s="27" t="s">
        <v>7</v>
      </c>
      <c r="BY302" s="27" t="s">
        <v>8</v>
      </c>
      <c r="BZ302" s="27" t="s">
        <v>7</v>
      </c>
      <c r="CA302" s="27" t="s">
        <v>8</v>
      </c>
    </row>
    <row r="303" spans="1:83" x14ac:dyDescent="0.25">
      <c r="A303" s="30">
        <v>4.6245998269295263E-2</v>
      </c>
      <c r="B303"/>
      <c r="C303"/>
      <c r="D303"/>
      <c r="E303"/>
      <c r="F303" s="27" t="s">
        <v>7</v>
      </c>
      <c r="M303" s="27" t="s">
        <v>8</v>
      </c>
      <c r="N303" s="27" t="s">
        <v>7</v>
      </c>
      <c r="U303" s="27" t="s">
        <v>8</v>
      </c>
      <c r="X303" s="27" t="s">
        <v>7</v>
      </c>
      <c r="AF303" s="27" t="s">
        <v>7</v>
      </c>
      <c r="AG303" s="27" t="s">
        <v>8</v>
      </c>
      <c r="AH303" s="27" t="s">
        <v>7</v>
      </c>
      <c r="AJ303" s="27" t="s">
        <v>7</v>
      </c>
      <c r="BS303" s="27" t="s">
        <v>8</v>
      </c>
      <c r="BX303" s="27" t="s">
        <v>7</v>
      </c>
      <c r="BY303" s="27" t="s">
        <v>8</v>
      </c>
      <c r="BZ303" s="27" t="s">
        <v>7</v>
      </c>
    </row>
    <row r="304" spans="1:83" x14ac:dyDescent="0.25">
      <c r="A304" s="30">
        <v>4.4043807875519279E-2</v>
      </c>
      <c r="B304"/>
      <c r="C304"/>
      <c r="D304"/>
      <c r="E304"/>
      <c r="F304" s="27" t="s">
        <v>7</v>
      </c>
      <c r="M304" s="27" t="s">
        <v>8</v>
      </c>
      <c r="N304" s="27" t="s">
        <v>7</v>
      </c>
      <c r="U304" s="27" t="s">
        <v>8</v>
      </c>
      <c r="AF304" s="27" t="s">
        <v>7</v>
      </c>
      <c r="AG304" s="27" t="s">
        <v>8</v>
      </c>
      <c r="AJ304" s="27" t="s">
        <v>7</v>
      </c>
      <c r="BQ304" s="27" t="s">
        <v>8</v>
      </c>
      <c r="BS304" s="27" t="s">
        <v>8</v>
      </c>
      <c r="BX304" s="27" t="s">
        <v>7</v>
      </c>
      <c r="BY304" s="27" t="s">
        <v>8</v>
      </c>
    </row>
    <row r="305" spans="1:77" x14ac:dyDescent="0.25">
      <c r="A305" s="30">
        <v>4.1946483690970725E-2</v>
      </c>
      <c r="B305"/>
      <c r="C305"/>
      <c r="D305"/>
      <c r="E305"/>
      <c r="F305" s="27" t="s">
        <v>7</v>
      </c>
      <c r="M305" s="27" t="s">
        <v>8</v>
      </c>
      <c r="N305" s="27" t="s">
        <v>7</v>
      </c>
      <c r="S305" s="27" t="s">
        <v>8</v>
      </c>
      <c r="U305" s="27" t="s">
        <v>8</v>
      </c>
      <c r="AF305" s="27" t="s">
        <v>7</v>
      </c>
      <c r="AG305" s="27" t="s">
        <v>8</v>
      </c>
      <c r="AJ305" s="27" t="s">
        <v>7</v>
      </c>
      <c r="BQ305" s="27" t="s">
        <v>8</v>
      </c>
      <c r="BR305" s="27" t="s">
        <v>7</v>
      </c>
      <c r="BS305" s="27" t="s">
        <v>8</v>
      </c>
      <c r="BX305" s="27" t="s">
        <v>7</v>
      </c>
      <c r="BY305" s="27" t="s">
        <v>8</v>
      </c>
    </row>
    <row r="306" spans="1:77" x14ac:dyDescent="0.25">
      <c r="A306" s="30">
        <v>3.9949032086638768E-2</v>
      </c>
      <c r="B306"/>
      <c r="C306"/>
      <c r="D306"/>
      <c r="E306"/>
      <c r="F306" s="27" t="s">
        <v>7</v>
      </c>
      <c r="M306" s="27" t="s">
        <v>8</v>
      </c>
      <c r="N306" s="27" t="s">
        <v>7</v>
      </c>
      <c r="S306" s="27" t="s">
        <v>8</v>
      </c>
      <c r="T306" s="27" t="s">
        <v>7</v>
      </c>
      <c r="U306" s="27" t="s">
        <v>8</v>
      </c>
      <c r="AF306" s="27" t="s">
        <v>7</v>
      </c>
      <c r="AG306" s="27" t="s">
        <v>8</v>
      </c>
      <c r="AJ306" s="27" t="s">
        <v>7</v>
      </c>
      <c r="BQ306" s="27" t="s">
        <v>8</v>
      </c>
      <c r="BR306" s="27" t="s">
        <v>7</v>
      </c>
      <c r="BS306" s="27" t="s">
        <v>8</v>
      </c>
      <c r="BX306" s="27" t="s">
        <v>7</v>
      </c>
    </row>
    <row r="307" spans="1:77" x14ac:dyDescent="0.25">
      <c r="A307" s="30">
        <v>3.8046697225370241E-2</v>
      </c>
      <c r="B307"/>
      <c r="C307"/>
      <c r="D307"/>
      <c r="E307"/>
      <c r="F307" s="27" t="s">
        <v>7</v>
      </c>
      <c r="M307" s="27" t="s">
        <v>8</v>
      </c>
      <c r="N307" s="27" t="s">
        <v>7</v>
      </c>
      <c r="O307" s="27" t="s">
        <v>8</v>
      </c>
      <c r="S307" s="27" t="s">
        <v>8</v>
      </c>
      <c r="T307" s="27" t="s">
        <v>7</v>
      </c>
      <c r="U307" s="27" t="s">
        <v>8</v>
      </c>
      <c r="AF307" s="27" t="s">
        <v>7</v>
      </c>
      <c r="AG307" s="27" t="s">
        <v>8</v>
      </c>
      <c r="AJ307" s="27" t="s">
        <v>7</v>
      </c>
      <c r="BQ307" s="27" t="s">
        <v>8</v>
      </c>
      <c r="BR307" s="27" t="s">
        <v>7</v>
      </c>
      <c r="BS307" s="27" t="s">
        <v>8</v>
      </c>
    </row>
    <row r="308" spans="1:77" x14ac:dyDescent="0.25">
      <c r="A308" s="30">
        <v>3.6234949738447833E-2</v>
      </c>
      <c r="B308"/>
      <c r="C308"/>
      <c r="D308"/>
      <c r="E308"/>
      <c r="F308" s="27" t="s">
        <v>7</v>
      </c>
      <c r="M308" s="27" t="s">
        <v>8</v>
      </c>
      <c r="N308" s="27" t="s">
        <v>7</v>
      </c>
      <c r="O308" s="27" t="s">
        <v>8</v>
      </c>
      <c r="P308" s="27" t="s">
        <v>7</v>
      </c>
      <c r="Q308" s="27" t="s">
        <v>8</v>
      </c>
      <c r="S308" s="27" t="s">
        <v>8</v>
      </c>
      <c r="T308" s="27" t="s">
        <v>7</v>
      </c>
      <c r="U308" s="27" t="s">
        <v>8</v>
      </c>
      <c r="AF308" s="27" t="s">
        <v>7</v>
      </c>
      <c r="AJ308" s="27" t="s">
        <v>7</v>
      </c>
      <c r="AK308" s="27" t="s">
        <v>8</v>
      </c>
      <c r="BQ308" s="27" t="s">
        <v>8</v>
      </c>
      <c r="BR308" s="27" t="s">
        <v>7</v>
      </c>
    </row>
    <row r="309" spans="1:77" x14ac:dyDescent="0.25">
      <c r="A309" s="30">
        <v>3.4509475941378875E-2</v>
      </c>
      <c r="B309"/>
      <c r="C309"/>
      <c r="D309"/>
      <c r="E309"/>
      <c r="F309" s="27" t="s">
        <v>7</v>
      </c>
      <c r="M309" s="27" t="s">
        <v>8</v>
      </c>
      <c r="N309" s="27" t="s">
        <v>7</v>
      </c>
      <c r="O309" s="27" t="s">
        <v>8</v>
      </c>
      <c r="P309" s="27" t="s">
        <v>7</v>
      </c>
      <c r="Q309" s="27" t="s">
        <v>8</v>
      </c>
      <c r="R309" s="27" t="s">
        <v>7</v>
      </c>
      <c r="S309" s="27" t="s">
        <v>8</v>
      </c>
      <c r="T309" s="27" t="s">
        <v>7</v>
      </c>
      <c r="AJ309" s="27" t="s">
        <v>7</v>
      </c>
      <c r="AK309" s="27" t="s">
        <v>8</v>
      </c>
      <c r="AL309" s="27" t="s">
        <v>7</v>
      </c>
      <c r="AM309" s="27" t="s">
        <v>8</v>
      </c>
      <c r="BM309" s="27" t="s">
        <v>8</v>
      </c>
      <c r="BO309" s="27" t="s">
        <v>8</v>
      </c>
      <c r="BQ309" s="27" t="s">
        <v>8</v>
      </c>
    </row>
    <row r="310" spans="1:77" x14ac:dyDescent="0.25">
      <c r="A310" s="30">
        <v>3.286616756321796E-2</v>
      </c>
      <c r="B310"/>
      <c r="C310"/>
      <c r="D310"/>
      <c r="E310"/>
      <c r="F310" s="27" t="s">
        <v>7</v>
      </c>
      <c r="M310" s="27" t="s">
        <v>8</v>
      </c>
      <c r="N310" s="27" t="s">
        <v>7</v>
      </c>
      <c r="P310" s="27" t="s">
        <v>7</v>
      </c>
      <c r="Q310" s="27" t="s">
        <v>8</v>
      </c>
      <c r="R310" s="27" t="s">
        <v>7</v>
      </c>
      <c r="S310" s="27" t="s">
        <v>8</v>
      </c>
      <c r="AJ310" s="27" t="s">
        <v>7</v>
      </c>
      <c r="AK310" s="27" t="s">
        <v>8</v>
      </c>
      <c r="AL310" s="27" t="s">
        <v>7</v>
      </c>
      <c r="AM310" s="27" t="s">
        <v>8</v>
      </c>
      <c r="AN310" s="27" t="s">
        <v>7</v>
      </c>
      <c r="AW310" s="27" t="s">
        <v>8</v>
      </c>
      <c r="BM310" s="27" t="s">
        <v>8</v>
      </c>
      <c r="BN310" s="27" t="s">
        <v>7</v>
      </c>
      <c r="BO310" s="27" t="s">
        <v>8</v>
      </c>
      <c r="BP310" s="27" t="s">
        <v>7</v>
      </c>
      <c r="BQ310" s="27" t="s">
        <v>8</v>
      </c>
    </row>
    <row r="311" spans="1:77" x14ac:dyDescent="0.25">
      <c r="A311" s="30">
        <v>3.1301111964969472E-2</v>
      </c>
      <c r="B311"/>
      <c r="C311"/>
      <c r="D311"/>
      <c r="E311"/>
      <c r="F311" s="27" t="s">
        <v>7</v>
      </c>
      <c r="M311" s="27" t="s">
        <v>8</v>
      </c>
      <c r="P311" s="27" t="s">
        <v>7</v>
      </c>
      <c r="Q311" s="27" t="s">
        <v>8</v>
      </c>
      <c r="R311" s="27" t="s">
        <v>7</v>
      </c>
      <c r="S311" s="27" t="s">
        <v>8</v>
      </c>
      <c r="AJ311" s="27" t="s">
        <v>7</v>
      </c>
      <c r="AK311" s="27" t="s">
        <v>8</v>
      </c>
      <c r="AL311" s="27" t="s">
        <v>7</v>
      </c>
      <c r="AM311" s="27" t="s">
        <v>8</v>
      </c>
      <c r="AN311" s="27" t="s">
        <v>7</v>
      </c>
      <c r="AW311" s="27" t="s">
        <v>8</v>
      </c>
      <c r="AX311" s="27" t="s">
        <v>7</v>
      </c>
      <c r="BK311" s="27" t="s">
        <v>8</v>
      </c>
      <c r="BM311" s="27" t="s">
        <v>8</v>
      </c>
      <c r="BN311" s="27" t="s">
        <v>7</v>
      </c>
      <c r="BO311" s="27" t="s">
        <v>8</v>
      </c>
      <c r="BP311" s="27" t="s">
        <v>7</v>
      </c>
      <c r="BQ311" s="27" t="s">
        <v>8</v>
      </c>
    </row>
    <row r="312" spans="1:77" x14ac:dyDescent="0.25">
      <c r="A312" s="30">
        <v>2.9810582823780438E-2</v>
      </c>
      <c r="B312"/>
      <c r="C312"/>
      <c r="D312"/>
      <c r="E312"/>
      <c r="F312" s="27" t="s">
        <v>7</v>
      </c>
      <c r="K312" s="27" t="s">
        <v>8</v>
      </c>
      <c r="M312" s="27" t="s">
        <v>8</v>
      </c>
      <c r="P312" s="27" t="s">
        <v>7</v>
      </c>
      <c r="Q312" s="27" t="s">
        <v>8</v>
      </c>
      <c r="R312" s="27" t="s">
        <v>7</v>
      </c>
      <c r="S312" s="27" t="s">
        <v>8</v>
      </c>
      <c r="AJ312" s="27" t="s">
        <v>7</v>
      </c>
      <c r="AL312" s="27" t="s">
        <v>7</v>
      </c>
      <c r="AM312" s="27" t="s">
        <v>8</v>
      </c>
      <c r="AN312" s="27" t="s">
        <v>7</v>
      </c>
      <c r="AS312" s="27" t="s">
        <v>8</v>
      </c>
      <c r="AW312" s="27" t="s">
        <v>8</v>
      </c>
      <c r="AX312" s="27" t="s">
        <v>7</v>
      </c>
      <c r="AY312" s="27" t="s">
        <v>8</v>
      </c>
      <c r="BA312" s="27" t="s">
        <v>8</v>
      </c>
      <c r="BK312" s="27" t="s">
        <v>8</v>
      </c>
      <c r="BL312" s="27" t="s">
        <v>7</v>
      </c>
      <c r="BM312" s="27" t="s">
        <v>8</v>
      </c>
      <c r="BN312" s="27" t="s">
        <v>7</v>
      </c>
      <c r="BO312" s="27" t="s">
        <v>8</v>
      </c>
      <c r="BP312" s="27" t="s">
        <v>7</v>
      </c>
    </row>
    <row r="313" spans="1:77" x14ac:dyDescent="0.25">
      <c r="A313" s="30">
        <v>2.8391031260743264E-2</v>
      </c>
      <c r="B313"/>
      <c r="C313"/>
      <c r="D313"/>
      <c r="E313"/>
      <c r="F313" s="27" t="s">
        <v>7</v>
      </c>
      <c r="K313" s="27" t="s">
        <v>8</v>
      </c>
      <c r="L313" s="27" t="s">
        <v>7</v>
      </c>
      <c r="M313" s="27" t="s">
        <v>8</v>
      </c>
      <c r="P313" s="27" t="s">
        <v>7</v>
      </c>
      <c r="Q313" s="27" t="s">
        <v>8</v>
      </c>
      <c r="R313" s="27" t="s">
        <v>7</v>
      </c>
      <c r="AL313" s="27" t="s">
        <v>7</v>
      </c>
      <c r="AM313" s="27" t="s">
        <v>8</v>
      </c>
      <c r="AN313" s="27" t="s">
        <v>7</v>
      </c>
      <c r="AS313" s="27" t="s">
        <v>8</v>
      </c>
      <c r="AT313" s="27" t="s">
        <v>7</v>
      </c>
      <c r="AU313" s="27" t="s">
        <v>8</v>
      </c>
      <c r="AW313" s="27" t="s">
        <v>8</v>
      </c>
      <c r="AX313" s="27" t="s">
        <v>7</v>
      </c>
      <c r="AY313" s="27" t="s">
        <v>8</v>
      </c>
      <c r="AZ313" s="27" t="s">
        <v>7</v>
      </c>
      <c r="BA313" s="27" t="s">
        <v>8</v>
      </c>
      <c r="BB313" s="27" t="s">
        <v>7</v>
      </c>
      <c r="BC313" s="27" t="s">
        <v>8</v>
      </c>
      <c r="BK313" s="27" t="s">
        <v>8</v>
      </c>
      <c r="BL313" s="27" t="s">
        <v>7</v>
      </c>
      <c r="BM313" s="27" t="s">
        <v>8</v>
      </c>
      <c r="BN313" s="27" t="s">
        <v>7</v>
      </c>
    </row>
    <row r="314" spans="1:77" x14ac:dyDescent="0.25">
      <c r="A314" s="30">
        <v>2.7039077391184052E-2</v>
      </c>
      <c r="B314"/>
      <c r="C314"/>
      <c r="D314"/>
      <c r="E314"/>
      <c r="F314" s="27" t="s">
        <v>7</v>
      </c>
      <c r="K314" s="27" t="s">
        <v>8</v>
      </c>
      <c r="L314" s="27" t="s">
        <v>7</v>
      </c>
      <c r="M314" s="27" t="s">
        <v>8</v>
      </c>
      <c r="P314" s="27" t="s">
        <v>7</v>
      </c>
      <c r="Q314" s="27" t="s">
        <v>8</v>
      </c>
      <c r="AL314" s="27" t="s">
        <v>7</v>
      </c>
      <c r="AM314" s="27" t="s">
        <v>8</v>
      </c>
      <c r="AN314" s="27" t="s">
        <v>7</v>
      </c>
      <c r="AS314" s="27" t="s">
        <v>8</v>
      </c>
      <c r="AT314" s="27" t="s">
        <v>7</v>
      </c>
      <c r="AU314" s="27" t="s">
        <v>8</v>
      </c>
      <c r="AV314" s="27" t="s">
        <v>7</v>
      </c>
      <c r="AW314" s="27" t="s">
        <v>8</v>
      </c>
      <c r="AX314" s="27" t="s">
        <v>7</v>
      </c>
      <c r="AY314" s="27" t="s">
        <v>8</v>
      </c>
      <c r="AZ314" s="27" t="s">
        <v>7</v>
      </c>
      <c r="BA314" s="27" t="s">
        <v>8</v>
      </c>
      <c r="BB314" s="27" t="s">
        <v>7</v>
      </c>
      <c r="BC314" s="27" t="s">
        <v>8</v>
      </c>
      <c r="BD314" s="27" t="s">
        <v>7</v>
      </c>
      <c r="BI314" s="27" t="s">
        <v>8</v>
      </c>
      <c r="BK314" s="27" t="s">
        <v>8</v>
      </c>
      <c r="BL314" s="27" t="s">
        <v>7</v>
      </c>
      <c r="BM314" s="27" t="s">
        <v>8</v>
      </c>
    </row>
    <row r="315" spans="1:77" x14ac:dyDescent="0.25">
      <c r="A315" s="30">
        <v>2.5751502277318133E-2</v>
      </c>
      <c r="B315"/>
      <c r="C315"/>
      <c r="D315"/>
      <c r="E315"/>
      <c r="F315" s="27" t="s">
        <v>7</v>
      </c>
      <c r="K315" s="27" t="s">
        <v>8</v>
      </c>
      <c r="L315" s="27" t="s">
        <v>7</v>
      </c>
      <c r="M315" s="27" t="s">
        <v>8</v>
      </c>
      <c r="P315" s="27" t="s">
        <v>7</v>
      </c>
      <c r="Q315" s="27" t="s">
        <v>8</v>
      </c>
      <c r="AL315" s="27" t="s">
        <v>7</v>
      </c>
      <c r="AM315" s="27" t="s">
        <v>8</v>
      </c>
      <c r="AN315" s="27" t="s">
        <v>7</v>
      </c>
      <c r="AO315" s="27" t="s">
        <v>8</v>
      </c>
      <c r="AQ315" s="27" t="s">
        <v>8</v>
      </c>
      <c r="AS315" s="27" t="s">
        <v>8</v>
      </c>
      <c r="AT315" s="27" t="s">
        <v>7</v>
      </c>
      <c r="AU315" s="27" t="s">
        <v>8</v>
      </c>
      <c r="AV315" s="27" t="s">
        <v>7</v>
      </c>
      <c r="AW315" s="27" t="s">
        <v>8</v>
      </c>
      <c r="AX315" s="27" t="s">
        <v>7</v>
      </c>
      <c r="AY315" s="27" t="s">
        <v>8</v>
      </c>
      <c r="AZ315" s="27" t="s">
        <v>7</v>
      </c>
      <c r="BA315" s="27" t="s">
        <v>8</v>
      </c>
      <c r="BB315" s="27" t="s">
        <v>7</v>
      </c>
      <c r="BC315" s="27" t="s">
        <v>8</v>
      </c>
      <c r="BD315" s="27" t="s">
        <v>7</v>
      </c>
      <c r="BI315" s="27" t="s">
        <v>8</v>
      </c>
      <c r="BJ315" s="27" t="s">
        <v>7</v>
      </c>
      <c r="BK315" s="27" t="s">
        <v>8</v>
      </c>
      <c r="BL315" s="27" t="s">
        <v>7</v>
      </c>
      <c r="BM315" s="27" t="s">
        <v>8</v>
      </c>
    </row>
    <row r="316" spans="1:77" x14ac:dyDescent="0.25">
      <c r="A316" s="30">
        <v>2.4525240264112496E-2</v>
      </c>
      <c r="B316"/>
      <c r="C316"/>
      <c r="D316"/>
      <c r="E316"/>
      <c r="F316" s="27" t="s">
        <v>7</v>
      </c>
      <c r="K316" s="27" t="s">
        <v>8</v>
      </c>
      <c r="L316" s="27" t="s">
        <v>7</v>
      </c>
      <c r="P316" s="27" t="s">
        <v>7</v>
      </c>
      <c r="AL316" s="27" t="s">
        <v>7</v>
      </c>
      <c r="AM316" s="27" t="s">
        <v>8</v>
      </c>
      <c r="AN316" s="27" t="s">
        <v>7</v>
      </c>
      <c r="AO316" s="27" t="s">
        <v>8</v>
      </c>
      <c r="AP316" s="27" t="s">
        <v>7</v>
      </c>
      <c r="AQ316" s="27" t="s">
        <v>8</v>
      </c>
      <c r="AR316" s="27" t="s">
        <v>7</v>
      </c>
      <c r="AS316" s="27" t="s">
        <v>8</v>
      </c>
      <c r="AT316" s="27" t="s">
        <v>7</v>
      </c>
      <c r="AV316" s="27" t="s">
        <v>7</v>
      </c>
      <c r="AX316" s="27" t="s">
        <v>7</v>
      </c>
      <c r="AY316" s="27" t="s">
        <v>8</v>
      </c>
      <c r="AZ316" s="27" t="s">
        <v>7</v>
      </c>
      <c r="BB316" s="27" t="s">
        <v>7</v>
      </c>
      <c r="BD316" s="27" t="s">
        <v>7</v>
      </c>
      <c r="BG316" s="27" t="s">
        <v>8</v>
      </c>
      <c r="BI316" s="27" t="s">
        <v>8</v>
      </c>
      <c r="BJ316" s="27" t="s">
        <v>7</v>
      </c>
      <c r="BK316" s="27" t="s">
        <v>8</v>
      </c>
      <c r="BL316" s="27" t="s">
        <v>7</v>
      </c>
      <c r="BM316" s="27" t="s">
        <v>8</v>
      </c>
    </row>
    <row r="317" spans="1:77" x14ac:dyDescent="0.25">
      <c r="A317" s="30">
        <v>2.3357371680107129E-2</v>
      </c>
      <c r="B317"/>
      <c r="C317"/>
      <c r="D317"/>
      <c r="E317"/>
      <c r="F317" s="27" t="s">
        <v>7</v>
      </c>
      <c r="I317" s="27" t="s">
        <v>8</v>
      </c>
      <c r="K317" s="27" t="s">
        <v>8</v>
      </c>
      <c r="AL317" s="27" t="s">
        <v>7</v>
      </c>
      <c r="AN317" s="27" t="s">
        <v>7</v>
      </c>
      <c r="AO317" s="27" t="s">
        <v>8</v>
      </c>
      <c r="AP317" s="27" t="s">
        <v>7</v>
      </c>
      <c r="AQ317" s="27" t="s">
        <v>8</v>
      </c>
      <c r="AR317" s="27" t="s">
        <v>7</v>
      </c>
      <c r="AS317" s="27" t="s">
        <v>8</v>
      </c>
      <c r="AX317" s="27" t="s">
        <v>7</v>
      </c>
      <c r="AY317" s="27" t="s">
        <v>8</v>
      </c>
      <c r="BD317" s="27" t="s">
        <v>7</v>
      </c>
      <c r="BE317" s="27" t="s">
        <v>8</v>
      </c>
      <c r="BG317" s="27" t="s">
        <v>8</v>
      </c>
      <c r="BH317" s="27" t="s">
        <v>7</v>
      </c>
      <c r="BI317" s="27" t="s">
        <v>8</v>
      </c>
      <c r="BJ317" s="27" t="s">
        <v>7</v>
      </c>
      <c r="BL317" s="27" t="s">
        <v>7</v>
      </c>
      <c r="BM317" s="27" t="s">
        <v>8</v>
      </c>
    </row>
    <row r="318" spans="1:77" x14ac:dyDescent="0.25">
      <c r="A318" s="30">
        <v>2.2245115885816305E-2</v>
      </c>
      <c r="B318"/>
      <c r="C318"/>
      <c r="D318"/>
      <c r="E318"/>
      <c r="F318" s="27" t="s">
        <v>7</v>
      </c>
      <c r="G318" s="27" t="s">
        <v>8</v>
      </c>
      <c r="I318" s="27" t="s">
        <v>8</v>
      </c>
      <c r="J318" s="27" t="s">
        <v>7</v>
      </c>
      <c r="K318" s="27" t="s">
        <v>8</v>
      </c>
      <c r="AN318" s="27" t="s">
        <v>7</v>
      </c>
      <c r="AO318" s="27" t="s">
        <v>8</v>
      </c>
      <c r="AP318" s="27" t="s">
        <v>7</v>
      </c>
      <c r="AQ318" s="27" t="s">
        <v>8</v>
      </c>
      <c r="AR318" s="27" t="s">
        <v>7</v>
      </c>
      <c r="AX318" s="27" t="s">
        <v>7</v>
      </c>
      <c r="BD318" s="27" t="s">
        <v>7</v>
      </c>
      <c r="BE318" s="27" t="s">
        <v>8</v>
      </c>
      <c r="BF318" s="27" t="s">
        <v>7</v>
      </c>
      <c r="BG318" s="27" t="s">
        <v>8</v>
      </c>
      <c r="BH318" s="27" t="s">
        <v>7</v>
      </c>
      <c r="BI318" s="27" t="s">
        <v>8</v>
      </c>
      <c r="BL318" s="27" t="s">
        <v>7</v>
      </c>
      <c r="BM318" s="27" t="s">
        <v>8</v>
      </c>
    </row>
    <row r="319" spans="1:77" x14ac:dyDescent="0.25">
      <c r="A319" s="30">
        <v>2.1185824653158377E-2</v>
      </c>
      <c r="B319"/>
      <c r="C319"/>
      <c r="D319"/>
      <c r="E319"/>
      <c r="F319" s="27" t="s">
        <v>7</v>
      </c>
      <c r="G319" s="27" t="s">
        <v>8</v>
      </c>
      <c r="H319" s="27" t="s">
        <v>7</v>
      </c>
      <c r="I319" s="27" t="s">
        <v>8</v>
      </c>
      <c r="J319" s="27" t="s">
        <v>7</v>
      </c>
      <c r="K319" s="27" t="s">
        <v>8</v>
      </c>
      <c r="AN319" s="27" t="s">
        <v>7</v>
      </c>
      <c r="AP319" s="27" t="s">
        <v>7</v>
      </c>
      <c r="AQ319" s="27" t="s">
        <v>8</v>
      </c>
      <c r="BD319" s="27" t="s">
        <v>7</v>
      </c>
      <c r="BE319" s="27" t="s">
        <v>8</v>
      </c>
      <c r="BF319" s="27" t="s">
        <v>7</v>
      </c>
      <c r="BG319" s="27" t="s">
        <v>8</v>
      </c>
      <c r="BH319" s="27" t="s">
        <v>7</v>
      </c>
      <c r="BL319" s="27" t="s">
        <v>7</v>
      </c>
      <c r="BM319" s="27" t="s">
        <v>8</v>
      </c>
    </row>
    <row r="320" spans="1:77" x14ac:dyDescent="0.25">
      <c r="A320" s="30">
        <v>2.0176975860150829E-2</v>
      </c>
      <c r="B320"/>
      <c r="C320"/>
      <c r="D320"/>
      <c r="E320"/>
      <c r="F320" s="27" t="s">
        <v>7</v>
      </c>
      <c r="G320" s="27" t="s">
        <v>8</v>
      </c>
      <c r="H320" s="27" t="s">
        <v>7</v>
      </c>
      <c r="I320" s="27" t="s">
        <v>8</v>
      </c>
      <c r="J320" s="27" t="s">
        <v>7</v>
      </c>
      <c r="K320" s="27" t="s">
        <v>8</v>
      </c>
      <c r="AP320" s="27" t="s">
        <v>7</v>
      </c>
      <c r="BD320" s="27" t="s">
        <v>7</v>
      </c>
      <c r="BE320" s="27" t="s">
        <v>8</v>
      </c>
      <c r="BF320" s="27" t="s">
        <v>7</v>
      </c>
      <c r="BL320" s="27" t="s">
        <v>7</v>
      </c>
    </row>
    <row r="321" spans="1:56" x14ac:dyDescent="0.25">
      <c r="A321" s="30">
        <v>1.9216167485857926E-2</v>
      </c>
      <c r="B321"/>
      <c r="C321"/>
      <c r="D321"/>
      <c r="E321"/>
      <c r="F321" s="27" t="s">
        <v>7</v>
      </c>
      <c r="G321" s="27" t="s">
        <v>8</v>
      </c>
      <c r="H321" s="27" t="s">
        <v>7</v>
      </c>
      <c r="J321" s="27" t="s">
        <v>7</v>
      </c>
      <c r="K321" s="27" t="s">
        <v>8</v>
      </c>
      <c r="BD321" s="27" t="s">
        <v>7</v>
      </c>
    </row>
    <row r="322" spans="1:56" x14ac:dyDescent="0.25">
      <c r="A322" s="30">
        <v>1.8301111891293256E-2</v>
      </c>
      <c r="B322"/>
      <c r="C322"/>
      <c r="D322"/>
      <c r="E322"/>
      <c r="F322" s="27" t="s">
        <v>7</v>
      </c>
      <c r="G322" s="27" t="s">
        <v>8</v>
      </c>
      <c r="J322" s="27" t="s">
        <v>7</v>
      </c>
      <c r="K322" s="27" t="s">
        <v>8</v>
      </c>
    </row>
    <row r="323" spans="1:56" x14ac:dyDescent="0.25">
      <c r="A323" s="30">
        <v>1.7429630372660238E-2</v>
      </c>
      <c r="B323"/>
      <c r="C323"/>
      <c r="D323"/>
      <c r="E323"/>
      <c r="F323" s="27" t="s">
        <v>7</v>
      </c>
      <c r="J323" s="27" t="s">
        <v>7</v>
      </c>
      <c r="K323" s="27" t="s">
        <v>8</v>
      </c>
    </row>
    <row r="324" spans="1:56" x14ac:dyDescent="0.25">
      <c r="A324" s="30">
        <v>1.6599647973962125E-2</v>
      </c>
      <c r="B324"/>
      <c r="C324"/>
      <c r="D324"/>
      <c r="E324"/>
      <c r="J324" s="27" t="s">
        <v>7</v>
      </c>
    </row>
    <row r="325" spans="1:56" x14ac:dyDescent="0.25">
      <c r="A325" s="30">
        <v>1.580918854663059E-2</v>
      </c>
      <c r="B325"/>
      <c r="C325"/>
      <c r="D325"/>
      <c r="E325"/>
    </row>
    <row r="326" spans="1:56" x14ac:dyDescent="0.25">
      <c r="A326" s="30">
        <v>1.5056370044410079E-2</v>
      </c>
      <c r="B326"/>
      <c r="C326"/>
      <c r="D326"/>
      <c r="E326"/>
    </row>
    <row r="327" spans="1:56" x14ac:dyDescent="0.25">
      <c r="A327" s="30">
        <v>1.4339400042295308E-2</v>
      </c>
      <c r="B327"/>
      <c r="C327"/>
      <c r="D327"/>
      <c r="E327"/>
    </row>
    <row r="328" spans="1:56" x14ac:dyDescent="0.25">
      <c r="A328" s="30">
        <v>1.365657146885267E-2</v>
      </c>
      <c r="B328"/>
      <c r="C328"/>
      <c r="D328"/>
      <c r="E328"/>
    </row>
    <row r="329" spans="1:56" x14ac:dyDescent="0.25">
      <c r="A329" s="30">
        <v>1.3006258541764442E-2</v>
      </c>
      <c r="B329"/>
      <c r="C329"/>
      <c r="D329"/>
      <c r="E329"/>
    </row>
    <row r="330" spans="1:56" x14ac:dyDescent="0.25">
      <c r="A330" s="30">
        <v>1.2386912896918512E-2</v>
      </c>
      <c r="B330"/>
      <c r="C330"/>
      <c r="D330"/>
      <c r="E330"/>
    </row>
    <row r="331" spans="1:56" x14ac:dyDescent="0.25">
      <c r="A331" s="30">
        <v>1.179705990182715E-2</v>
      </c>
      <c r="B331"/>
      <c r="C331"/>
      <c r="D331"/>
      <c r="E331"/>
    </row>
    <row r="332" spans="1:56" x14ac:dyDescent="0.25">
      <c r="A332" s="30">
        <v>1.1235295144597281E-2</v>
      </c>
      <c r="B332"/>
      <c r="C332"/>
      <c r="D332"/>
      <c r="E332"/>
    </row>
    <row r="333" spans="1:56" x14ac:dyDescent="0.25">
      <c r="A333" s="30">
        <v>1.0700281090092644E-2</v>
      </c>
      <c r="B333"/>
      <c r="C333"/>
      <c r="D333"/>
      <c r="E333"/>
    </row>
    <row r="334" spans="1:56" x14ac:dyDescent="0.25">
      <c r="A334" s="30">
        <v>1.0190743895326324E-2</v>
      </c>
      <c r="B334"/>
      <c r="C334"/>
      <c r="D334"/>
      <c r="E334"/>
    </row>
    <row r="335" spans="1:56" x14ac:dyDescent="0.25">
      <c r="A335" s="30">
        <v>9.7054703765012563E-3</v>
      </c>
      <c r="B335"/>
      <c r="C335"/>
      <c r="D335"/>
      <c r="E335"/>
    </row>
    <row r="336" spans="1:56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51" operator="equal">
      <formula>$U$1</formula>
    </cfRule>
    <cfRule type="cellIs" dxfId="67" priority="1052" operator="equal">
      <formula>$S$1</formula>
    </cfRule>
  </conditionalFormatting>
  <conditionalFormatting sqref="D136">
    <cfRule type="cellIs" dxfId="66" priority="1049" operator="equal">
      <formula>$S$1</formula>
    </cfRule>
    <cfRule type="cellIs" dxfId="65" priority="1050" operator="equal">
      <formula>$U$1</formula>
    </cfRule>
  </conditionalFormatting>
  <conditionalFormatting sqref="C162">
    <cfRule type="cellIs" dxfId="64" priority="1047" operator="equal">
      <formula>$U$1</formula>
    </cfRule>
    <cfRule type="cellIs" dxfId="63" priority="1048" operator="equal">
      <formula>$S$1</formula>
    </cfRule>
  </conditionalFormatting>
  <conditionalFormatting sqref="D162">
    <cfRule type="cellIs" dxfId="62" priority="1045" operator="equal">
      <formula>$S$1</formula>
    </cfRule>
    <cfRule type="cellIs" dxfId="61" priority="1046" operator="equal">
      <formula>$U$1</formula>
    </cfRule>
  </conditionalFormatting>
  <conditionalFormatting sqref="C187">
    <cfRule type="cellIs" dxfId="60" priority="1043" operator="equal">
      <formula>$U$1</formula>
    </cfRule>
    <cfRule type="cellIs" dxfId="59" priority="1044" operator="equal">
      <formula>$S$1</formula>
    </cfRule>
  </conditionalFormatting>
  <conditionalFormatting sqref="D187">
    <cfRule type="cellIs" dxfId="58" priority="1041" operator="equal">
      <formula>$S$1</formula>
    </cfRule>
    <cfRule type="cellIs" dxfId="57" priority="1042" operator="equal">
      <formula>$U$1</formula>
    </cfRule>
  </conditionalFormatting>
  <conditionalFormatting sqref="C212">
    <cfRule type="cellIs" dxfId="56" priority="1039" operator="equal">
      <formula>$U$1</formula>
    </cfRule>
    <cfRule type="cellIs" dxfId="55" priority="1040" operator="equal">
      <formula>$S$1</formula>
    </cfRule>
  </conditionalFormatting>
  <conditionalFormatting sqref="D212">
    <cfRule type="cellIs" dxfId="54" priority="1037" operator="equal">
      <formula>$S$1</formula>
    </cfRule>
    <cfRule type="cellIs" dxfId="53" priority="1038" operator="equal">
      <formula>$U$1</formula>
    </cfRule>
  </conditionalFormatting>
  <conditionalFormatting sqref="C237">
    <cfRule type="cellIs" dxfId="52" priority="1035" operator="equal">
      <formula>$U$1</formula>
    </cfRule>
    <cfRule type="cellIs" dxfId="51" priority="1036" operator="equal">
      <formula>$S$1</formula>
    </cfRule>
  </conditionalFormatting>
  <conditionalFormatting sqref="D237">
    <cfRule type="cellIs" dxfId="50" priority="1033" operator="equal">
      <formula>$S$1</formula>
    </cfRule>
    <cfRule type="cellIs" dxfId="49" priority="1034" operator="equal">
      <formula>$U$1</formula>
    </cfRule>
  </conditionalFormatting>
  <conditionalFormatting sqref="C106">
    <cfRule type="cellIs" dxfId="48" priority="1031" operator="equal">
      <formula>$U$1</formula>
    </cfRule>
    <cfRule type="cellIs" dxfId="47" priority="1032" operator="equal">
      <formula>$S$1</formula>
    </cfRule>
  </conditionalFormatting>
  <conditionalFormatting sqref="D106">
    <cfRule type="cellIs" dxfId="46" priority="1029" operator="equal">
      <formula>$S$1</formula>
    </cfRule>
    <cfRule type="cellIs" dxfId="45" priority="1030" operator="equal">
      <formula>$U$1</formula>
    </cfRule>
  </conditionalFormatting>
  <conditionalFormatting sqref="C81">
    <cfRule type="cellIs" dxfId="44" priority="1027" operator="equal">
      <formula>$U$1</formula>
    </cfRule>
    <cfRule type="cellIs" dxfId="43" priority="1028" operator="equal">
      <formula>$S$1</formula>
    </cfRule>
  </conditionalFormatting>
  <conditionalFormatting sqref="D81">
    <cfRule type="cellIs" dxfId="42" priority="1025" operator="equal">
      <formula>$S$1</formula>
    </cfRule>
    <cfRule type="cellIs" dxfId="41" priority="1026" operator="equal">
      <formula>$U$1</formula>
    </cfRule>
  </conditionalFormatting>
  <conditionalFormatting sqref="C56">
    <cfRule type="cellIs" dxfId="40" priority="1023" operator="equal">
      <formula>$U$1</formula>
    </cfRule>
    <cfRule type="cellIs" dxfId="39" priority="1024" operator="equal">
      <formula>$S$1</formula>
    </cfRule>
  </conditionalFormatting>
  <conditionalFormatting sqref="D56">
    <cfRule type="cellIs" dxfId="38" priority="1021" operator="equal">
      <formula>$S$1</formula>
    </cfRule>
    <cfRule type="cellIs" dxfId="37" priority="1022" operator="equal">
      <formula>$U$1</formula>
    </cfRule>
  </conditionalFormatting>
  <conditionalFormatting sqref="C31">
    <cfRule type="cellIs" dxfId="36" priority="1019" operator="equal">
      <formula>$U$1</formula>
    </cfRule>
    <cfRule type="cellIs" dxfId="35" priority="1020" operator="equal">
      <formula>$S$1</formula>
    </cfRule>
  </conditionalFormatting>
  <conditionalFormatting sqref="D31">
    <cfRule type="cellIs" dxfId="34" priority="1017" operator="equal">
      <formula>$S$1</formula>
    </cfRule>
    <cfRule type="cellIs" dxfId="33" priority="101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9" zoomScale="90" zoomScaleNormal="90" workbookViewId="0">
      <pane xSplit="4" topLeftCell="G1" activePane="topRight" state="frozen"/>
      <selection activeCell="A109" sqref="A109"/>
      <selection pane="topRight" activeCell="BR129" sqref="BR12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$A$128</v>
      </c>
      <c r="D111" s="1" t="str">
        <f>ADDRESS(C121-1,D121,1,1)</f>
        <v>$BR$128</v>
      </c>
      <c r="E111"/>
    </row>
    <row r="112" spans="1:5" x14ac:dyDescent="0.25">
      <c r="A112" s="30">
        <v>2.3579476910000019</v>
      </c>
      <c r="C112" s="1" t="str">
        <f>ADDRESS(C121,1,1,1)</f>
        <v>$A$129</v>
      </c>
      <c r="D112" s="1" t="str">
        <f>ADDRESS(C121,D121-1,1,1)</f>
        <v>$BQ$129</v>
      </c>
      <c r="E112"/>
    </row>
    <row r="113" spans="1:70" x14ac:dyDescent="0.25">
      <c r="A113" s="30">
        <v>2.1435888100000016</v>
      </c>
      <c r="C113" s="1" t="str">
        <f>ADDRESS(C121+1,1,1,1)</f>
        <v>$A$130</v>
      </c>
      <c r="D113" s="1" t="str">
        <f>ADDRESS(C121-1,D121+1,1,1)</f>
        <v>$BS$128</v>
      </c>
    </row>
    <row r="114" spans="1:70" x14ac:dyDescent="0.25">
      <c r="A114" s="30">
        <v>1.9487171000000014</v>
      </c>
      <c r="C114" s="1" t="str">
        <f>ADDRESS(C121,D121,1,1)</f>
        <v>$BR$129</v>
      </c>
      <c r="D114" s="1" t="str">
        <f>ADDRESS(C121+1,D121+1,1,1)</f>
        <v>$BS$130</v>
      </c>
    </row>
    <row r="115" spans="1:70" x14ac:dyDescent="0.25">
      <c r="A115" s="30">
        <v>1.7715610000000011</v>
      </c>
      <c r="C115" s="1" t="str">
        <f>ADDRESS(C121+1,D121,1,1)</f>
        <v>$BR$130</v>
      </c>
    </row>
    <row r="116" spans="1:70" x14ac:dyDescent="0.25">
      <c r="A116" s="30">
        <v>1.6105100000000008</v>
      </c>
      <c r="C116" s="1">
        <f>C117-1</f>
        <v>128</v>
      </c>
    </row>
    <row r="117" spans="1:70" x14ac:dyDescent="0.25">
      <c r="A117" s="30">
        <v>1.4641000000000006</v>
      </c>
      <c r="C117" s="1">
        <f>C121</f>
        <v>129</v>
      </c>
      <c r="D117" s="1">
        <f>D121</f>
        <v>70</v>
      </c>
      <c r="BK117" s="27" t="s">
        <v>8</v>
      </c>
    </row>
    <row r="118" spans="1:70" x14ac:dyDescent="0.25">
      <c r="A118" s="30">
        <v>1.3310000000000004</v>
      </c>
      <c r="C118" s="1">
        <f>C117+1</f>
        <v>130</v>
      </c>
      <c r="D118" s="1">
        <f>D117+1</f>
        <v>71</v>
      </c>
      <c r="BG118" s="27" t="s">
        <v>8</v>
      </c>
      <c r="BI118" s="27" t="s">
        <v>8</v>
      </c>
      <c r="BK118" s="27" t="s">
        <v>8</v>
      </c>
      <c r="BL118" s="27" t="s">
        <v>7</v>
      </c>
    </row>
    <row r="119" spans="1:70" x14ac:dyDescent="0.25">
      <c r="A119" s="30">
        <v>1.2100000000000002</v>
      </c>
      <c r="BG119" s="27" t="s">
        <v>8</v>
      </c>
      <c r="BH119" s="27" t="s">
        <v>7</v>
      </c>
      <c r="BI119" s="27" t="s">
        <v>8</v>
      </c>
      <c r="BJ119" s="27" t="s">
        <v>7</v>
      </c>
      <c r="BK119" s="27" t="s">
        <v>8</v>
      </c>
      <c r="BL119" s="27" t="s">
        <v>7</v>
      </c>
    </row>
    <row r="120" spans="1:70" x14ac:dyDescent="0.25">
      <c r="A120" s="30">
        <v>1.1000000000000001</v>
      </c>
      <c r="C120" s="1" t="s">
        <v>9</v>
      </c>
      <c r="BG120" s="27" t="s">
        <v>8</v>
      </c>
      <c r="BH120" s="27" t="s">
        <v>7</v>
      </c>
      <c r="BI120" s="27" t="s">
        <v>8</v>
      </c>
      <c r="BJ120" s="27" t="s">
        <v>7</v>
      </c>
      <c r="BK120" s="27" t="s">
        <v>8</v>
      </c>
      <c r="BL120" s="27" t="s">
        <v>7</v>
      </c>
    </row>
    <row r="121" spans="1:70" x14ac:dyDescent="0.25">
      <c r="A121" s="30">
        <v>1</v>
      </c>
      <c r="C121" s="18">
        <v>129</v>
      </c>
      <c r="D121" s="19">
        <v>70</v>
      </c>
      <c r="E121" s="18" t="s">
        <v>8</v>
      </c>
      <c r="BE121" s="27" t="s">
        <v>8</v>
      </c>
      <c r="BG121" s="27" t="s">
        <v>8</v>
      </c>
      <c r="BH121" s="27" t="s">
        <v>7</v>
      </c>
      <c r="BJ121" s="27" t="s">
        <v>7</v>
      </c>
      <c r="BL121" s="27" t="s">
        <v>7</v>
      </c>
    </row>
    <row r="122" spans="1:70" x14ac:dyDescent="0.25">
      <c r="A122" s="30">
        <v>0.90909090909090895</v>
      </c>
      <c r="C122" s="1" t="str">
        <f>INDEX(1:1048576,C117,D117)</f>
        <v>O</v>
      </c>
      <c r="F122" s="27" t="s">
        <v>7</v>
      </c>
      <c r="BE122" s="27" t="s">
        <v>8</v>
      </c>
      <c r="BF122" s="27" t="s">
        <v>7</v>
      </c>
      <c r="BG122" s="27" t="s">
        <v>8</v>
      </c>
      <c r="BL122" s="27" t="s">
        <v>7</v>
      </c>
      <c r="BO122" s="27" t="s">
        <v>8</v>
      </c>
      <c r="BQ122" s="27" t="s">
        <v>8</v>
      </c>
    </row>
    <row r="123" spans="1:70" x14ac:dyDescent="0.25">
      <c r="A123" s="30">
        <v>0.82644628099173523</v>
      </c>
      <c r="C123" s="1" t="str">
        <f>"R"&amp;C121</f>
        <v>R129</v>
      </c>
      <c r="D123" s="1" t="str">
        <f>"C"&amp;D121</f>
        <v>C70</v>
      </c>
      <c r="F123" s="27" t="s">
        <v>7</v>
      </c>
      <c r="BC123" s="27" t="s">
        <v>8</v>
      </c>
      <c r="BE123" s="27" t="s">
        <v>8</v>
      </c>
      <c r="BF123" s="27" t="s">
        <v>7</v>
      </c>
      <c r="BG123" s="27" t="s">
        <v>8</v>
      </c>
      <c r="BL123" s="27" t="s">
        <v>7</v>
      </c>
      <c r="BO123" s="27" t="s">
        <v>8</v>
      </c>
      <c r="BP123" s="27" t="s">
        <v>7</v>
      </c>
      <c r="BQ123" s="27" t="s">
        <v>8</v>
      </c>
      <c r="BR123" s="27" t="s">
        <v>7</v>
      </c>
    </row>
    <row r="124" spans="1:7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C124" s="31" t="s">
        <v>8</v>
      </c>
      <c r="BC124" s="27" t="s">
        <v>8</v>
      </c>
      <c r="BD124" s="27" t="s">
        <v>7</v>
      </c>
      <c r="BE124" s="27" t="s">
        <v>8</v>
      </c>
      <c r="BF124" s="27" t="s">
        <v>7</v>
      </c>
      <c r="BL124" s="27" t="s">
        <v>7</v>
      </c>
      <c r="BO124" s="27" t="s">
        <v>8</v>
      </c>
      <c r="BP124" s="27" t="s">
        <v>7</v>
      </c>
      <c r="BQ124" s="27" t="s">
        <v>8</v>
      </c>
      <c r="BR124" s="27" t="s">
        <v>7</v>
      </c>
    </row>
    <row r="125" spans="1:70" x14ac:dyDescent="0.25">
      <c r="A125" s="30">
        <v>0.68301345536507019</v>
      </c>
      <c r="F125" s="27" t="s">
        <v>7</v>
      </c>
      <c r="AC125" s="27" t="s">
        <v>8</v>
      </c>
      <c r="AD125" s="31" t="s">
        <v>7</v>
      </c>
      <c r="BC125" s="27" t="s">
        <v>8</v>
      </c>
      <c r="BD125" s="27" t="s">
        <v>7</v>
      </c>
      <c r="BE125" s="27" t="s">
        <v>8</v>
      </c>
      <c r="BL125" s="27" t="s">
        <v>7</v>
      </c>
      <c r="BM125" s="27" t="s">
        <v>8</v>
      </c>
      <c r="BO125" s="27" t="s">
        <v>8</v>
      </c>
      <c r="BP125" s="27" t="s">
        <v>7</v>
      </c>
      <c r="BR125" s="27" t="s">
        <v>7</v>
      </c>
    </row>
    <row r="126" spans="1:70" x14ac:dyDescent="0.25">
      <c r="A126" s="30">
        <v>0.6209213230591546</v>
      </c>
      <c r="C126" s="1" t="s">
        <v>10</v>
      </c>
      <c r="F126" s="27" t="s">
        <v>7</v>
      </c>
      <c r="AA126" s="27" t="s">
        <v>8</v>
      </c>
      <c r="AC126" s="27" t="s">
        <v>8</v>
      </c>
      <c r="AD126" s="27" t="s">
        <v>7</v>
      </c>
      <c r="AE126" s="31"/>
      <c r="BC126" s="27" t="s">
        <v>8</v>
      </c>
      <c r="BD126" s="27" t="s">
        <v>7</v>
      </c>
      <c r="BL126" s="27" t="s">
        <v>7</v>
      </c>
      <c r="BM126" s="27" t="s">
        <v>8</v>
      </c>
      <c r="BN126" s="27" t="s">
        <v>7</v>
      </c>
      <c r="BO126" s="27" t="s">
        <v>8</v>
      </c>
      <c r="BR126" s="27" t="s">
        <v>7</v>
      </c>
    </row>
    <row r="127" spans="1:70" x14ac:dyDescent="0.25">
      <c r="A127" s="30">
        <v>0.56447393005377677</v>
      </c>
      <c r="C127" s="30">
        <v>0.46650738020973276</v>
      </c>
      <c r="D127"/>
      <c r="F127" s="27" t="s">
        <v>7</v>
      </c>
      <c r="AA127" s="27" t="s">
        <v>8</v>
      </c>
      <c r="AB127" s="27" t="s">
        <v>7</v>
      </c>
      <c r="AC127" s="27" t="s">
        <v>8</v>
      </c>
      <c r="AD127" s="27" t="s">
        <v>7</v>
      </c>
      <c r="AF127" s="31"/>
      <c r="BC127" s="27" t="s">
        <v>8</v>
      </c>
      <c r="BL127" s="27" t="s">
        <v>7</v>
      </c>
      <c r="BM127" s="27" t="s">
        <v>8</v>
      </c>
      <c r="BN127" s="27" t="s">
        <v>7</v>
      </c>
      <c r="BO127" s="27" t="s">
        <v>8</v>
      </c>
      <c r="BR127" s="27" t="s">
        <v>7</v>
      </c>
    </row>
    <row r="128" spans="1:70" x14ac:dyDescent="0.25">
      <c r="A128" s="30">
        <v>0.51315811823070612</v>
      </c>
      <c r="F128" s="27" t="s">
        <v>7</v>
      </c>
      <c r="AA128" s="27" t="s">
        <v>8</v>
      </c>
      <c r="AB128" s="27" t="s">
        <v>7</v>
      </c>
      <c r="AC128" s="27" t="s">
        <v>8</v>
      </c>
      <c r="AD128" s="27" t="s">
        <v>7</v>
      </c>
      <c r="AG128" s="31"/>
      <c r="BA128" s="27" t="s">
        <v>8</v>
      </c>
      <c r="BC128" s="27" t="s">
        <v>8</v>
      </c>
      <c r="BL128" s="27" t="s">
        <v>7</v>
      </c>
      <c r="BN128" s="27" t="s">
        <v>7</v>
      </c>
      <c r="BR128" s="27" t="s">
        <v>7</v>
      </c>
    </row>
    <row r="129" spans="1:7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A129" s="27" t="s">
        <v>8</v>
      </c>
      <c r="AB129" s="27" t="s">
        <v>7</v>
      </c>
      <c r="AD129" s="27" t="s">
        <v>7</v>
      </c>
      <c r="AE129" s="32" t="s">
        <v>8</v>
      </c>
      <c r="AG129" s="32" t="s">
        <v>8</v>
      </c>
      <c r="AH129" s="31"/>
      <c r="AI129" s="32" t="s">
        <v>8</v>
      </c>
      <c r="AY129" s="27" t="s">
        <v>8</v>
      </c>
      <c r="BA129" s="27" t="s">
        <v>8</v>
      </c>
      <c r="BB129" s="27" t="s">
        <v>7</v>
      </c>
      <c r="BC129" s="27" t="s">
        <v>8</v>
      </c>
      <c r="BR129" s="27" t="s">
        <v>7</v>
      </c>
    </row>
    <row r="130" spans="1:70" x14ac:dyDescent="0.25">
      <c r="A130" s="30">
        <v>0.42409761837248428</v>
      </c>
      <c r="C130" s="6"/>
      <c r="D130" s="6"/>
      <c r="E130"/>
      <c r="F130" s="27" t="s">
        <v>7</v>
      </c>
      <c r="AA130" s="27" t="s">
        <v>8</v>
      </c>
      <c r="AD130" s="33" t="s">
        <v>7</v>
      </c>
      <c r="AE130" s="27" t="s">
        <v>8</v>
      </c>
      <c r="AF130" s="27" t="s">
        <v>7</v>
      </c>
      <c r="AG130" s="27" t="s">
        <v>8</v>
      </c>
      <c r="AH130" s="27" t="s">
        <v>7</v>
      </c>
      <c r="AI130" s="31" t="s">
        <v>8</v>
      </c>
      <c r="AJ130" s="31" t="s">
        <v>7</v>
      </c>
      <c r="AY130" s="27" t="s">
        <v>8</v>
      </c>
      <c r="AZ130" s="27" t="s">
        <v>7</v>
      </c>
      <c r="BA130" s="27" t="s">
        <v>8</v>
      </c>
      <c r="BB130" s="27" t="s">
        <v>7</v>
      </c>
      <c r="BC130" s="27" t="s">
        <v>8</v>
      </c>
    </row>
    <row r="131" spans="1:70" x14ac:dyDescent="0.25">
      <c r="A131" s="30">
        <v>0.38554328942953109</v>
      </c>
      <c r="E131"/>
      <c r="F131" s="27" t="s">
        <v>7</v>
      </c>
      <c r="AA131" s="27" t="s">
        <v>8</v>
      </c>
      <c r="AD131" s="27" t="s">
        <v>7</v>
      </c>
      <c r="AE131" s="27" t="s">
        <v>8</v>
      </c>
      <c r="AF131" s="27" t="s">
        <v>7</v>
      </c>
      <c r="AG131" s="27" t="s">
        <v>8</v>
      </c>
      <c r="AH131" s="27" t="s">
        <v>7</v>
      </c>
      <c r="AI131" s="27" t="s">
        <v>8</v>
      </c>
      <c r="AJ131" s="27" t="s">
        <v>7</v>
      </c>
      <c r="AK131" s="31"/>
      <c r="AW131" s="27" t="s">
        <v>8</v>
      </c>
      <c r="AY131" s="27" t="s">
        <v>8</v>
      </c>
      <c r="AZ131" s="27" t="s">
        <v>7</v>
      </c>
      <c r="BA131" s="27" t="s">
        <v>8</v>
      </c>
      <c r="BB131" s="27" t="s">
        <v>7</v>
      </c>
      <c r="BC131" s="27" t="s">
        <v>8</v>
      </c>
    </row>
    <row r="132" spans="1:70" x14ac:dyDescent="0.25">
      <c r="A132" s="30">
        <v>0.35049389948139187</v>
      </c>
      <c r="C132" s="1" t="s">
        <v>13</v>
      </c>
      <c r="E132"/>
      <c r="F132" s="27" t="s">
        <v>7</v>
      </c>
      <c r="AA132" s="27" t="s">
        <v>8</v>
      </c>
      <c r="AD132" s="27" t="s">
        <v>7</v>
      </c>
      <c r="AE132" s="27" t="s">
        <v>8</v>
      </c>
      <c r="AF132" s="27" t="s">
        <v>7</v>
      </c>
      <c r="AG132" s="27" t="s">
        <v>8</v>
      </c>
      <c r="AH132" s="27" t="s">
        <v>7</v>
      </c>
      <c r="AI132" s="27" t="s">
        <v>8</v>
      </c>
      <c r="AJ132" s="27" t="s">
        <v>7</v>
      </c>
      <c r="AK132" s="27" t="s">
        <v>8</v>
      </c>
      <c r="AL132" s="31"/>
      <c r="AW132" s="27" t="s">
        <v>8</v>
      </c>
      <c r="AX132" s="27" t="s">
        <v>7</v>
      </c>
      <c r="AY132" s="27" t="s">
        <v>8</v>
      </c>
      <c r="AZ132" s="27" t="s">
        <v>7</v>
      </c>
      <c r="BB132" s="27" t="s">
        <v>7</v>
      </c>
      <c r="BC132" s="27" t="s">
        <v>8</v>
      </c>
    </row>
    <row r="133" spans="1:70" x14ac:dyDescent="0.25">
      <c r="A133" s="30">
        <v>0.31863081771035617</v>
      </c>
      <c r="C133" s="1" t="str">
        <f>C122</f>
        <v>O</v>
      </c>
      <c r="E133"/>
      <c r="F133" s="27" t="s">
        <v>7</v>
      </c>
      <c r="AA133" s="27" t="s">
        <v>8</v>
      </c>
      <c r="AD133" s="27" t="s">
        <v>7</v>
      </c>
      <c r="AE133" s="27" t="s">
        <v>8</v>
      </c>
      <c r="AF133" s="27" t="s">
        <v>7</v>
      </c>
      <c r="AG133" s="27" t="s">
        <v>8</v>
      </c>
      <c r="AH133" s="27" t="s">
        <v>7</v>
      </c>
      <c r="AI133" s="27" t="s">
        <v>8</v>
      </c>
      <c r="AJ133" s="27" t="s">
        <v>7</v>
      </c>
      <c r="AK133" s="27" t="s">
        <v>8</v>
      </c>
      <c r="AL133" s="27" t="s">
        <v>7</v>
      </c>
      <c r="AM133" s="31"/>
      <c r="AS133" s="27" t="s">
        <v>8</v>
      </c>
      <c r="AW133" s="27" t="s">
        <v>8</v>
      </c>
      <c r="AX133" s="27" t="s">
        <v>7</v>
      </c>
      <c r="AY133" s="27" t="s">
        <v>8</v>
      </c>
      <c r="BB133" s="31" t="s">
        <v>7</v>
      </c>
      <c r="BC133" s="27" t="s">
        <v>8</v>
      </c>
    </row>
    <row r="134" spans="1:70" x14ac:dyDescent="0.25">
      <c r="A134" s="30">
        <v>0.28966437973668741</v>
      </c>
      <c r="C134"/>
      <c r="D134"/>
      <c r="E134"/>
      <c r="F134" s="27" t="s">
        <v>7</v>
      </c>
      <c r="AA134" s="27" t="s">
        <v>8</v>
      </c>
      <c r="AD134" s="32" t="s">
        <v>7</v>
      </c>
      <c r="AF134" s="32" t="s">
        <v>7</v>
      </c>
      <c r="AH134" s="27" t="s">
        <v>7</v>
      </c>
      <c r="AI134" s="27" t="s">
        <v>8</v>
      </c>
      <c r="AJ134" s="27" t="s">
        <v>7</v>
      </c>
      <c r="AK134" s="27" t="s">
        <v>8</v>
      </c>
      <c r="AL134" s="27" t="s">
        <v>7</v>
      </c>
      <c r="AN134" s="31"/>
      <c r="AS134" s="27" t="s">
        <v>8</v>
      </c>
      <c r="AT134" s="27" t="s">
        <v>7</v>
      </c>
      <c r="AW134" s="27" t="s">
        <v>8</v>
      </c>
      <c r="AX134" s="27" t="s">
        <v>7</v>
      </c>
      <c r="BA134" s="31"/>
      <c r="BB134" s="27" t="s">
        <v>7</v>
      </c>
      <c r="BC134" s="27" t="s">
        <v>8</v>
      </c>
    </row>
    <row r="135" spans="1:70" x14ac:dyDescent="0.25">
      <c r="A135" s="30">
        <v>0.2633312543060794</v>
      </c>
      <c r="C135" s="1" t="s">
        <v>14</v>
      </c>
      <c r="E135"/>
      <c r="F135" s="27" t="s">
        <v>7</v>
      </c>
      <c r="AA135" s="27" t="s">
        <v>8</v>
      </c>
      <c r="AH135" s="27" t="s">
        <v>7</v>
      </c>
      <c r="AI135" s="27" t="s">
        <v>8</v>
      </c>
      <c r="AJ135" s="27" t="s">
        <v>7</v>
      </c>
      <c r="AL135" s="27" t="s">
        <v>7</v>
      </c>
      <c r="AO135" s="31"/>
      <c r="AS135" s="27" t="s">
        <v>8</v>
      </c>
      <c r="AT135" s="27" t="s">
        <v>7</v>
      </c>
      <c r="AU135" s="18" t="s">
        <v>8</v>
      </c>
      <c r="AW135" s="27" t="s">
        <v>8</v>
      </c>
      <c r="AZ135" s="31"/>
      <c r="BB135" s="27" t="s">
        <v>7</v>
      </c>
    </row>
    <row r="136" spans="1:7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A136" s="27" t="s">
        <v>8</v>
      </c>
      <c r="AH136" s="27" t="s">
        <v>7</v>
      </c>
      <c r="AI136" s="27" t="s">
        <v>8</v>
      </c>
      <c r="AL136" s="27" t="s">
        <v>7</v>
      </c>
      <c r="AM136" s="32" t="s">
        <v>8</v>
      </c>
      <c r="AO136" s="32" t="s">
        <v>8</v>
      </c>
      <c r="AP136" s="31"/>
      <c r="AS136" s="34" t="s">
        <v>8</v>
      </c>
      <c r="AT136" s="27" t="s">
        <v>7</v>
      </c>
      <c r="AU136" s="27" t="s">
        <v>8</v>
      </c>
      <c r="AV136" s="27" t="s">
        <v>7</v>
      </c>
      <c r="AW136" s="27" t="s">
        <v>8</v>
      </c>
      <c r="AY136" s="31"/>
    </row>
    <row r="137" spans="1:70" x14ac:dyDescent="0.25">
      <c r="A137" s="30">
        <v>0.2176291357901482</v>
      </c>
      <c r="E137"/>
      <c r="F137" s="27" t="s">
        <v>7</v>
      </c>
      <c r="AA137" s="27" t="s">
        <v>8</v>
      </c>
      <c r="AH137" s="27" t="s">
        <v>7</v>
      </c>
      <c r="AI137" s="27" t="s">
        <v>8</v>
      </c>
      <c r="AL137" s="27" t="s">
        <v>7</v>
      </c>
      <c r="AM137" s="27" t="s">
        <v>8</v>
      </c>
      <c r="AN137" s="27" t="s">
        <v>7</v>
      </c>
      <c r="AO137" s="27" t="s">
        <v>8</v>
      </c>
      <c r="AP137" s="27" t="s">
        <v>7</v>
      </c>
      <c r="AQ137" s="31" t="s">
        <v>8</v>
      </c>
      <c r="AS137" s="27" t="s">
        <v>8</v>
      </c>
      <c r="AT137" s="27" t="s">
        <v>7</v>
      </c>
      <c r="AU137" s="27" t="s">
        <v>8</v>
      </c>
      <c r="AV137" s="27" t="s">
        <v>7</v>
      </c>
      <c r="AW137" s="27" t="s">
        <v>8</v>
      </c>
      <c r="AX137" s="31"/>
    </row>
    <row r="138" spans="1:7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A138" s="27" t="s">
        <v>8</v>
      </c>
      <c r="AH138" s="27" t="s">
        <v>7</v>
      </c>
      <c r="AI138" s="27" t="s">
        <v>8</v>
      </c>
      <c r="AL138" s="27" t="s">
        <v>7</v>
      </c>
      <c r="AM138" s="27" t="s">
        <v>8</v>
      </c>
      <c r="AN138" s="27" t="s">
        <v>7</v>
      </c>
      <c r="AO138" s="27" t="s">
        <v>8</v>
      </c>
      <c r="AP138" s="27" t="s">
        <v>7</v>
      </c>
      <c r="AQ138" s="27" t="s">
        <v>8</v>
      </c>
      <c r="AR138" s="31" t="s">
        <v>7</v>
      </c>
      <c r="AS138" s="27" t="s">
        <v>8</v>
      </c>
      <c r="AT138" s="32" t="s">
        <v>7</v>
      </c>
      <c r="AV138" s="32" t="s">
        <v>7</v>
      </c>
      <c r="AW138" s="31"/>
    </row>
    <row r="139" spans="1:70" x14ac:dyDescent="0.25">
      <c r="A139" s="30">
        <v>0.17985878990921333</v>
      </c>
      <c r="E139"/>
      <c r="F139" s="27" t="s">
        <v>7</v>
      </c>
      <c r="AA139" s="27" t="s">
        <v>8</v>
      </c>
      <c r="AH139" s="27" t="s">
        <v>7</v>
      </c>
      <c r="AL139" s="27" t="s">
        <v>7</v>
      </c>
      <c r="AM139" s="27" t="s">
        <v>8</v>
      </c>
      <c r="AN139" s="27" t="s">
        <v>7</v>
      </c>
      <c r="AO139" s="27" t="s">
        <v>8</v>
      </c>
      <c r="AP139" s="27" t="s">
        <v>7</v>
      </c>
      <c r="AQ139" s="27" t="s">
        <v>8</v>
      </c>
      <c r="AR139" s="27" t="s">
        <v>7</v>
      </c>
      <c r="AS139" s="31" t="s">
        <v>8</v>
      </c>
      <c r="AV139" s="31"/>
    </row>
    <row r="140" spans="1:70" x14ac:dyDescent="0.25">
      <c r="A140" s="30">
        <v>0.16350799082655756</v>
      </c>
      <c r="C140" s="1">
        <v>0</v>
      </c>
      <c r="E140"/>
      <c r="F140" s="27" t="s">
        <v>7</v>
      </c>
      <c r="AA140" s="27" t="s">
        <v>8</v>
      </c>
      <c r="AL140" s="27" t="s">
        <v>7</v>
      </c>
      <c r="AM140" s="27" t="s">
        <v>8</v>
      </c>
      <c r="AN140" s="27" t="s">
        <v>7</v>
      </c>
      <c r="AO140" s="27" t="s">
        <v>8</v>
      </c>
      <c r="AP140" s="27" t="s">
        <v>7</v>
      </c>
      <c r="AR140" s="27" t="s">
        <v>7</v>
      </c>
      <c r="AS140" s="27" t="s">
        <v>8</v>
      </c>
      <c r="AU140" s="31"/>
    </row>
    <row r="141" spans="1:70" x14ac:dyDescent="0.25">
      <c r="A141" s="30">
        <v>0.14864362802414322</v>
      </c>
      <c r="C141" s="1">
        <v>1</v>
      </c>
      <c r="E141"/>
      <c r="F141" s="27" t="s">
        <v>7</v>
      </c>
      <c r="AA141" s="27" t="s">
        <v>8</v>
      </c>
      <c r="AL141" s="27" t="s">
        <v>7</v>
      </c>
      <c r="AN141" s="27" t="s">
        <v>7</v>
      </c>
      <c r="AO141" s="27" t="s">
        <v>8</v>
      </c>
      <c r="AR141" s="27" t="s">
        <v>7</v>
      </c>
      <c r="AS141" s="27" t="s">
        <v>8</v>
      </c>
      <c r="AT141" s="31"/>
    </row>
    <row r="142" spans="1:70" x14ac:dyDescent="0.25">
      <c r="A142" s="30">
        <v>0.13513057093103928</v>
      </c>
      <c r="C142" s="1">
        <v>2</v>
      </c>
      <c r="E142"/>
      <c r="F142" s="27" t="s">
        <v>7</v>
      </c>
      <c r="AA142" s="27" t="s">
        <v>8</v>
      </c>
      <c r="AN142" s="27" t="s">
        <v>7</v>
      </c>
      <c r="AO142" s="27" t="s">
        <v>8</v>
      </c>
      <c r="AR142" s="27" t="s">
        <v>7</v>
      </c>
      <c r="AS142" s="31" t="s">
        <v>8</v>
      </c>
    </row>
    <row r="143" spans="1:70" x14ac:dyDescent="0.25">
      <c r="A143" s="30">
        <v>0.12284597357367205</v>
      </c>
      <c r="C143" s="1">
        <v>3</v>
      </c>
      <c r="E143"/>
      <c r="F143" s="27" t="s">
        <v>7</v>
      </c>
      <c r="AA143" s="27" t="s">
        <v>8</v>
      </c>
      <c r="AN143" s="27" t="s">
        <v>7</v>
      </c>
      <c r="AO143" s="27" t="s">
        <v>8</v>
      </c>
      <c r="AR143" s="31" t="s">
        <v>7</v>
      </c>
    </row>
    <row r="144" spans="1:70" x14ac:dyDescent="0.25">
      <c r="A144" s="30">
        <v>0.11167815779424731</v>
      </c>
      <c r="C144" s="1">
        <v>4</v>
      </c>
      <c r="E144"/>
      <c r="F144" s="27" t="s">
        <v>7</v>
      </c>
      <c r="AA144" s="27" t="s">
        <v>8</v>
      </c>
      <c r="AN144" s="27" t="s">
        <v>7</v>
      </c>
    </row>
    <row r="145" spans="1:27" x14ac:dyDescent="0.25">
      <c r="A145" s="30">
        <v>0.10152559799477026</v>
      </c>
      <c r="B145"/>
      <c r="C145"/>
      <c r="D145"/>
      <c r="E145"/>
      <c r="F145" s="27" t="s">
        <v>7</v>
      </c>
      <c r="AA145" s="27" t="s">
        <v>8</v>
      </c>
    </row>
    <row r="146" spans="1:27" x14ac:dyDescent="0.25">
      <c r="A146" s="30">
        <v>9.2295998177063854E-2</v>
      </c>
      <c r="B146"/>
      <c r="C146"/>
      <c r="D146"/>
      <c r="E146"/>
      <c r="F146" s="27" t="s">
        <v>7</v>
      </c>
      <c r="Y146" s="27" t="s">
        <v>8</v>
      </c>
      <c r="AA146" s="27" t="s">
        <v>8</v>
      </c>
    </row>
    <row r="147" spans="1:27" x14ac:dyDescent="0.25">
      <c r="A147" s="30">
        <v>8.3905452888239848E-2</v>
      </c>
      <c r="B147"/>
      <c r="C147"/>
      <c r="D147"/>
      <c r="E147"/>
      <c r="F147" s="27" t="s">
        <v>7</v>
      </c>
      <c r="K147" s="27" t="s">
        <v>8</v>
      </c>
      <c r="W147" s="27" t="s">
        <v>8</v>
      </c>
      <c r="Y147" s="27" t="s">
        <v>8</v>
      </c>
      <c r="Z147" s="27" t="s">
        <v>7</v>
      </c>
      <c r="AA147" s="27" t="s">
        <v>8</v>
      </c>
    </row>
    <row r="148" spans="1:27" x14ac:dyDescent="0.25">
      <c r="A148" s="30">
        <v>7.6277684443854396E-2</v>
      </c>
      <c r="B148"/>
      <c r="C148"/>
      <c r="D148"/>
      <c r="E148"/>
      <c r="F148" s="27" t="s">
        <v>7</v>
      </c>
      <c r="I148" s="27" t="s">
        <v>8</v>
      </c>
      <c r="K148" s="27" t="s">
        <v>8</v>
      </c>
      <c r="L148" s="27" t="s">
        <v>7</v>
      </c>
      <c r="W148" s="27" t="s">
        <v>8</v>
      </c>
      <c r="X148" s="27" t="s">
        <v>7</v>
      </c>
      <c r="Y148" s="27" t="s">
        <v>8</v>
      </c>
      <c r="Z148" s="27" t="s">
        <v>7</v>
      </c>
      <c r="AA148" s="27" t="s">
        <v>8</v>
      </c>
    </row>
    <row r="149" spans="1:27" x14ac:dyDescent="0.25">
      <c r="A149" s="30">
        <v>6.9343349494413078E-2</v>
      </c>
      <c r="B149"/>
      <c r="C149"/>
      <c r="D149"/>
      <c r="E149"/>
      <c r="F149" s="27" t="s">
        <v>7</v>
      </c>
      <c r="I149" s="27" t="s">
        <v>8</v>
      </c>
      <c r="J149" s="27" t="s">
        <v>7</v>
      </c>
      <c r="K149" s="27" t="s">
        <v>8</v>
      </c>
      <c r="L149" s="27" t="s">
        <v>7</v>
      </c>
      <c r="W149" s="27" t="s">
        <v>8</v>
      </c>
      <c r="X149" s="27" t="s">
        <v>7</v>
      </c>
      <c r="Y149" s="27" t="s">
        <v>8</v>
      </c>
      <c r="Z149" s="27" t="s">
        <v>7</v>
      </c>
    </row>
    <row r="150" spans="1:27" x14ac:dyDescent="0.25">
      <c r="A150" s="30">
        <v>6.3039408631284613E-2</v>
      </c>
      <c r="B150"/>
      <c r="C150"/>
      <c r="D150"/>
      <c r="E150"/>
      <c r="F150" s="27" t="s">
        <v>7</v>
      </c>
      <c r="I150" s="27" t="s">
        <v>8</v>
      </c>
      <c r="J150" s="27" t="s">
        <v>7</v>
      </c>
      <c r="K150" s="27" t="s">
        <v>8</v>
      </c>
      <c r="L150" s="27" t="s">
        <v>7</v>
      </c>
      <c r="W150" s="27" t="s">
        <v>8</v>
      </c>
      <c r="X150" s="27" t="s">
        <v>7</v>
      </c>
      <c r="Y150" s="27" t="s">
        <v>8</v>
      </c>
    </row>
    <row r="151" spans="1:27" x14ac:dyDescent="0.25">
      <c r="A151" s="30">
        <v>5.7308553301167818E-2</v>
      </c>
      <c r="B151"/>
      <c r="C151"/>
      <c r="D151"/>
      <c r="E151"/>
      <c r="F151" s="27" t="s">
        <v>7</v>
      </c>
      <c r="I151" s="27" t="s">
        <v>8</v>
      </c>
      <c r="J151" s="27" t="s">
        <v>7</v>
      </c>
      <c r="K151" s="27" t="s">
        <v>8</v>
      </c>
      <c r="L151" s="27" t="s">
        <v>7</v>
      </c>
      <c r="M151" s="27" t="s">
        <v>8</v>
      </c>
      <c r="W151" s="27" t="s">
        <v>8</v>
      </c>
      <c r="X151" s="27" t="s">
        <v>7</v>
      </c>
      <c r="Y151" s="27" t="s">
        <v>8</v>
      </c>
    </row>
    <row r="152" spans="1:27" x14ac:dyDescent="0.25">
      <c r="A152" s="30">
        <v>5.2098684819243464E-2</v>
      </c>
      <c r="B152"/>
      <c r="C152"/>
      <c r="D152"/>
      <c r="E152"/>
      <c r="F152" s="27" t="s">
        <v>7</v>
      </c>
      <c r="I152" s="27" t="s">
        <v>8</v>
      </c>
      <c r="J152" s="27" t="s">
        <v>7</v>
      </c>
      <c r="K152" s="27" t="s">
        <v>8</v>
      </c>
      <c r="L152" s="27" t="s">
        <v>7</v>
      </c>
      <c r="M152" s="27" t="s">
        <v>8</v>
      </c>
      <c r="N152" s="27" t="s">
        <v>7</v>
      </c>
      <c r="W152" s="27" t="s">
        <v>8</v>
      </c>
      <c r="X152" s="27" t="s">
        <v>7</v>
      </c>
      <c r="Y152" s="27" t="s">
        <v>8</v>
      </c>
    </row>
    <row r="153" spans="1:27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I153" s="27" t="s">
        <v>8</v>
      </c>
      <c r="J153" s="27" t="s">
        <v>7</v>
      </c>
      <c r="L153" s="27" t="s">
        <v>7</v>
      </c>
      <c r="M153" s="27" t="s">
        <v>8</v>
      </c>
      <c r="N153" s="27" t="s">
        <v>7</v>
      </c>
      <c r="W153" s="27" t="s">
        <v>8</v>
      </c>
      <c r="X153" s="27" t="s">
        <v>7</v>
      </c>
      <c r="Y153" s="27" t="s">
        <v>8</v>
      </c>
    </row>
    <row r="154" spans="1:27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I154" s="27" t="s">
        <v>8</v>
      </c>
      <c r="L154" s="27" t="s">
        <v>7</v>
      </c>
      <c r="M154" s="27" t="s">
        <v>8</v>
      </c>
      <c r="N154" s="27" t="s">
        <v>7</v>
      </c>
      <c r="W154" s="27" t="s">
        <v>8</v>
      </c>
      <c r="X154" s="27" t="s">
        <v>7</v>
      </c>
    </row>
    <row r="155" spans="1:27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L155" s="27" t="s">
        <v>7</v>
      </c>
      <c r="M155" s="27" t="s">
        <v>8</v>
      </c>
      <c r="N155" s="27" t="s">
        <v>7</v>
      </c>
      <c r="W155" s="27" t="s">
        <v>8</v>
      </c>
    </row>
    <row r="156" spans="1:27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H156" s="27" t="s">
        <v>7</v>
      </c>
      <c r="I156" s="27" t="s">
        <v>8</v>
      </c>
      <c r="L156" s="27" t="s">
        <v>7</v>
      </c>
      <c r="N156" s="27" t="s">
        <v>7</v>
      </c>
      <c r="W156" s="27" t="s">
        <v>8</v>
      </c>
    </row>
    <row r="157" spans="1:27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I157" s="27" t="s">
        <v>8</v>
      </c>
      <c r="N157" s="27" t="s">
        <v>7</v>
      </c>
      <c r="O157" s="32" t="s">
        <v>8</v>
      </c>
      <c r="Q157" s="32" t="s">
        <v>8</v>
      </c>
      <c r="W157" s="27" t="s">
        <v>8</v>
      </c>
    </row>
    <row r="158" spans="1:27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I158" s="27" t="s">
        <v>8</v>
      </c>
      <c r="N158" s="27" t="s">
        <v>7</v>
      </c>
      <c r="O158" s="27" t="s">
        <v>8</v>
      </c>
      <c r="P158" s="27" t="s">
        <v>7</v>
      </c>
      <c r="Q158" s="27" t="s">
        <v>8</v>
      </c>
      <c r="R158" s="27" t="s">
        <v>7</v>
      </c>
      <c r="S158" s="32" t="s">
        <v>8</v>
      </c>
      <c r="U158" s="32" t="s">
        <v>8</v>
      </c>
      <c r="W158" s="27" t="s">
        <v>8</v>
      </c>
    </row>
    <row r="159" spans="1:27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N159" s="27" t="s">
        <v>7</v>
      </c>
      <c r="O159" s="27" t="s">
        <v>8</v>
      </c>
      <c r="P159" s="27" t="s">
        <v>7</v>
      </c>
      <c r="Q159" s="27" t="s">
        <v>8</v>
      </c>
      <c r="R159" s="27" t="s">
        <v>7</v>
      </c>
      <c r="S159" s="27" t="s">
        <v>8</v>
      </c>
      <c r="T159" s="27" t="s">
        <v>7</v>
      </c>
      <c r="U159" s="27" t="s">
        <v>8</v>
      </c>
      <c r="V159" s="27" t="s">
        <v>7</v>
      </c>
      <c r="W159" s="27" t="s">
        <v>8</v>
      </c>
    </row>
    <row r="160" spans="1:27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N160" s="27" t="s">
        <v>7</v>
      </c>
      <c r="P160" s="27" t="s">
        <v>7</v>
      </c>
      <c r="Q160" s="27" t="s">
        <v>8</v>
      </c>
      <c r="R160" s="27" t="s">
        <v>7</v>
      </c>
      <c r="S160" s="27" t="s">
        <v>8</v>
      </c>
      <c r="T160" s="27" t="s">
        <v>7</v>
      </c>
      <c r="U160" s="27" t="s">
        <v>8</v>
      </c>
      <c r="V160" s="27" t="s">
        <v>7</v>
      </c>
      <c r="W160" s="27" t="s">
        <v>8</v>
      </c>
    </row>
    <row r="161" spans="1:23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P161" s="27" t="s">
        <v>7</v>
      </c>
      <c r="Q161" s="27" t="s">
        <v>8</v>
      </c>
      <c r="R161" s="27" t="s">
        <v>7</v>
      </c>
      <c r="T161" s="27" t="s">
        <v>7</v>
      </c>
      <c r="U161" s="27" t="s">
        <v>8</v>
      </c>
      <c r="V161" s="27" t="s">
        <v>7</v>
      </c>
      <c r="W161" s="27" t="s">
        <v>8</v>
      </c>
    </row>
    <row r="162" spans="1:23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P162" s="27" t="s">
        <v>7</v>
      </c>
      <c r="T162" s="32" t="s">
        <v>7</v>
      </c>
      <c r="V162" s="32" t="s">
        <v>7</v>
      </c>
    </row>
    <row r="163" spans="1:23" x14ac:dyDescent="0.25">
      <c r="A163" s="30">
        <v>1.8260271200148632E-2</v>
      </c>
      <c r="B163"/>
      <c r="C163"/>
      <c r="D163"/>
      <c r="E163"/>
      <c r="F163" s="27" t="s">
        <v>7</v>
      </c>
      <c r="G163" s="27" t="s">
        <v>8</v>
      </c>
    </row>
    <row r="164" spans="1:23" x14ac:dyDescent="0.25">
      <c r="A164" s="30">
        <v>1.6600246545589663E-2</v>
      </c>
      <c r="B164"/>
      <c r="C164"/>
      <c r="D164"/>
      <c r="E164"/>
      <c r="F164" s="27" t="s">
        <v>7</v>
      </c>
    </row>
    <row r="165" spans="1:23" x14ac:dyDescent="0.25">
      <c r="A165" s="30">
        <v>1.5091133223263328E-2</v>
      </c>
      <c r="B165"/>
      <c r="C165"/>
      <c r="D165"/>
      <c r="E165"/>
    </row>
    <row r="166" spans="1:23" x14ac:dyDescent="0.25">
      <c r="A166" s="30">
        <v>1.3719212021148477E-2</v>
      </c>
      <c r="B166"/>
      <c r="C166"/>
      <c r="D166"/>
      <c r="E166"/>
    </row>
    <row r="167" spans="1:23" x14ac:dyDescent="0.25">
      <c r="A167" s="30">
        <v>1.2472010928316795E-2</v>
      </c>
      <c r="B167"/>
      <c r="C167"/>
      <c r="D167"/>
      <c r="E167"/>
    </row>
    <row r="168" spans="1:23" x14ac:dyDescent="0.25">
      <c r="A168" s="30">
        <v>1.1338191753015267E-2</v>
      </c>
      <c r="B168"/>
      <c r="C168"/>
      <c r="D168"/>
      <c r="E168"/>
    </row>
    <row r="169" spans="1:23" x14ac:dyDescent="0.25">
      <c r="A169" s="30">
        <v>1.0307447048195697E-2</v>
      </c>
      <c r="B169"/>
      <c r="C169"/>
      <c r="D169"/>
      <c r="E169"/>
    </row>
    <row r="170" spans="1:23" x14ac:dyDescent="0.25">
      <c r="A170" s="30">
        <v>9.3704064074506318E-3</v>
      </c>
      <c r="B170"/>
      <c r="C170"/>
      <c r="D170"/>
      <c r="E170"/>
    </row>
    <row r="171" spans="1:23" x14ac:dyDescent="0.25">
      <c r="A171" s="30">
        <v>8.5185512795005747E-3</v>
      </c>
    </row>
    <row r="172" spans="1:23" x14ac:dyDescent="0.25">
      <c r="A172" s="30">
        <v>7.744137526818704E-3</v>
      </c>
    </row>
    <row r="173" spans="1:23" x14ac:dyDescent="0.25">
      <c r="A173" s="30">
        <v>7.0401250243806394E-3</v>
      </c>
    </row>
    <row r="174" spans="1:23" x14ac:dyDescent="0.25">
      <c r="A174" s="30">
        <v>6.4001136585278536E-3</v>
      </c>
    </row>
    <row r="175" spans="1:23" x14ac:dyDescent="0.25">
      <c r="A175" s="30">
        <v>5.8182851441162305E-3</v>
      </c>
    </row>
    <row r="176" spans="1:23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35" operator="equal">
      <formula>$U$1</formula>
    </cfRule>
    <cfRule type="cellIs" dxfId="30" priority="1036" operator="equal">
      <formula>$S$1</formula>
    </cfRule>
  </conditionalFormatting>
  <conditionalFormatting sqref="D136">
    <cfRule type="cellIs" dxfId="29" priority="1033" operator="equal">
      <formula>$S$1</formula>
    </cfRule>
    <cfRule type="cellIs" dxfId="28" priority="1034" operator="equal">
      <formula>$U$1</formula>
    </cfRule>
  </conditionalFormatting>
  <conditionalFormatting sqref="C102">
    <cfRule type="cellIs" dxfId="27" priority="1031" operator="equal">
      <formula>$U$1</formula>
    </cfRule>
    <cfRule type="cellIs" dxfId="26" priority="1032" operator="equal">
      <formula>$S$1</formula>
    </cfRule>
  </conditionalFormatting>
  <conditionalFormatting sqref="D102">
    <cfRule type="cellIs" dxfId="25" priority="1029" operator="equal">
      <formula>$S$1</formula>
    </cfRule>
    <cfRule type="cellIs" dxfId="24" priority="1030" operator="equal">
      <formula>$U$1</formula>
    </cfRule>
  </conditionalFormatting>
  <conditionalFormatting sqref="C77">
    <cfRule type="cellIs" dxfId="23" priority="1027" operator="equal">
      <formula>$U$1</formula>
    </cfRule>
    <cfRule type="cellIs" dxfId="22" priority="1028" operator="equal">
      <formula>$S$1</formula>
    </cfRule>
  </conditionalFormatting>
  <conditionalFormatting sqref="D77">
    <cfRule type="cellIs" dxfId="21" priority="1025" operator="equal">
      <formula>$S$1</formula>
    </cfRule>
    <cfRule type="cellIs" dxfId="20" priority="1026" operator="equal">
      <formula>$U$1</formula>
    </cfRule>
  </conditionalFormatting>
  <conditionalFormatting sqref="C52">
    <cfRule type="cellIs" dxfId="19" priority="1023" operator="equal">
      <formula>$U$1</formula>
    </cfRule>
    <cfRule type="cellIs" dxfId="18" priority="1024" operator="equal">
      <formula>$S$1</formula>
    </cfRule>
  </conditionalFormatting>
  <conditionalFormatting sqref="D52">
    <cfRule type="cellIs" dxfId="17" priority="1021" operator="equal">
      <formula>$S$1</formula>
    </cfRule>
    <cfRule type="cellIs" dxfId="16" priority="1022" operator="equal">
      <formula>$U$1</formula>
    </cfRule>
  </conditionalFormatting>
  <conditionalFormatting sqref="C26">
    <cfRule type="cellIs" dxfId="15" priority="1019" operator="equal">
      <formula>$U$1</formula>
    </cfRule>
    <cfRule type="cellIs" dxfId="14" priority="1020" operator="equal">
      <formula>$S$1</formula>
    </cfRule>
  </conditionalFormatting>
  <conditionalFormatting sqref="D26">
    <cfRule type="cellIs" dxfId="13" priority="1017" operator="equal">
      <formula>$S$1</formula>
    </cfRule>
    <cfRule type="cellIs" dxfId="12" priority="101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4" sqref="H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0.11686133436193799</v>
      </c>
      <c r="F3" s="30">
        <v>0.15660536473605399</v>
      </c>
      <c r="G3" s="30">
        <v>0.19035479962020352</v>
      </c>
      <c r="H3" s="25">
        <f>IF(G3="","",(3*(G3-F3))+E3)</f>
        <v>0.21810963901438657</v>
      </c>
      <c r="I3" s="7"/>
      <c r="J3" s="7">
        <f>(E3+G3)/2</f>
        <v>0.15360806699107077</v>
      </c>
      <c r="K3" s="7">
        <f>H3/2</f>
        <v>0.10905481950719328</v>
      </c>
      <c r="M3" s="26">
        <f>IF(OR(J3="",H3=""),"",H3/J3)</f>
        <v>1.4199100560718942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0.24294632108864825</v>
      </c>
      <c r="F4" s="30">
        <v>0.25509363714308075</v>
      </c>
      <c r="G4" s="30">
        <v>0.37688948287299762</v>
      </c>
      <c r="H4" s="25">
        <f t="shared" ref="H4:H25" si="0">IF(G4="","",(3*(G4-F4))+E4)</f>
        <v>0.60833385827839881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2022-01-28T01:14:54Z</dcterms:modified>
</cp:coreProperties>
</file>