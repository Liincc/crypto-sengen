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CA5AFAB2-8BB7-4D32-85D0-2CCB360B554A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18" i="3"/>
  <c r="C122" i="3"/>
  <c r="C133" i="3" s="1"/>
  <c r="D136" i="3" s="1"/>
  <c r="C122" i="4"/>
  <c r="C133" i="4" s="1"/>
  <c r="D136" i="4" s="1"/>
  <c r="C118" i="4"/>
  <c r="R765" i="1"/>
  <c r="C136" i="5" l="1"/>
  <c r="C138" i="5" s="1"/>
  <c r="C136" i="3"/>
  <c r="C138" i="3" s="1"/>
  <c r="C136" i="4"/>
  <c r="C138" i="4" s="1"/>
  <c r="R764" i="1"/>
  <c r="S765" i="1"/>
  <c r="T765" i="1" s="1"/>
  <c r="S764" i="1" l="1"/>
  <c r="T764" i="1" s="1"/>
  <c r="R763" i="1"/>
  <c r="R762" i="1" l="1"/>
  <c r="S763" i="1"/>
  <c r="T763" i="1" s="1"/>
  <c r="R761" i="1" l="1"/>
  <c r="S762" i="1"/>
  <c r="T762" i="1" s="1"/>
  <c r="S761" i="1" l="1"/>
  <c r="T761" i="1" s="1"/>
  <c r="R760" i="1"/>
  <c r="S760" i="1" l="1"/>
  <c r="T760" i="1" s="1"/>
  <c r="R759" i="1"/>
  <c r="R758" i="1" l="1"/>
  <c r="S759" i="1"/>
  <c r="T759" i="1" s="1"/>
  <c r="R757" i="1" l="1"/>
  <c r="S758" i="1"/>
  <c r="T758" i="1" s="1"/>
  <c r="S757" i="1" l="1"/>
  <c r="T757" i="1" s="1"/>
  <c r="R756" i="1"/>
  <c r="S756" i="1" l="1"/>
  <c r="T756" i="1" s="1"/>
  <c r="R755" i="1"/>
  <c r="R754" i="1" l="1"/>
  <c r="S755" i="1"/>
  <c r="T755" i="1" s="1"/>
  <c r="R753" i="1" l="1"/>
  <c r="S754" i="1"/>
  <c r="T754" i="1" s="1"/>
  <c r="S753" i="1" l="1"/>
  <c r="T753" i="1" s="1"/>
  <c r="R752" i="1"/>
  <c r="S752" i="1" l="1"/>
  <c r="T752" i="1" s="1"/>
  <c r="R751" i="1"/>
  <c r="R750" i="1" l="1"/>
  <c r="S751" i="1"/>
  <c r="T751" i="1" s="1"/>
  <c r="R749" i="1" l="1"/>
  <c r="S750" i="1"/>
  <c r="T750" i="1" s="1"/>
  <c r="S749" i="1" l="1"/>
  <c r="T749" i="1" s="1"/>
  <c r="R748" i="1"/>
  <c r="S748" i="1" l="1"/>
  <c r="T748" i="1" s="1"/>
  <c r="R747" i="1"/>
  <c r="R746" i="1" l="1"/>
  <c r="S747" i="1"/>
  <c r="T747" i="1" s="1"/>
  <c r="R745" i="1" l="1"/>
  <c r="S746" i="1"/>
  <c r="T746" i="1" s="1"/>
  <c r="S745" i="1" l="1"/>
  <c r="T745" i="1" s="1"/>
  <c r="R744" i="1"/>
  <c r="S744" i="1" l="1"/>
  <c r="T744" i="1" s="1"/>
  <c r="R743" i="1"/>
  <c r="R742" i="1" l="1"/>
  <c r="S743" i="1"/>
  <c r="T743" i="1" s="1"/>
  <c r="R741" i="1" l="1"/>
  <c r="S742" i="1"/>
  <c r="T742" i="1" s="1"/>
  <c r="S741" i="1" l="1"/>
  <c r="T741" i="1" s="1"/>
  <c r="R740" i="1"/>
  <c r="S740" i="1" l="1"/>
  <c r="T740" i="1" s="1"/>
  <c r="R739" i="1"/>
  <c r="R738" i="1" l="1"/>
  <c r="S739" i="1"/>
  <c r="T739" i="1" s="1"/>
  <c r="R737" i="1" l="1"/>
  <c r="S738" i="1"/>
  <c r="T738" i="1" s="1"/>
  <c r="R736" i="1" l="1"/>
  <c r="S737" i="1"/>
  <c r="T737" i="1" s="1"/>
  <c r="S736" i="1" l="1"/>
  <c r="T736" i="1" s="1"/>
  <c r="R735" i="1"/>
  <c r="S735" i="1" l="1"/>
  <c r="T735" i="1" s="1"/>
  <c r="R734" i="1"/>
  <c r="S734" i="1" l="1"/>
  <c r="T734" i="1" s="1"/>
  <c r="R733" i="1"/>
  <c r="R732" i="1" l="1"/>
  <c r="S733" i="1"/>
  <c r="T733" i="1" s="1"/>
  <c r="S732" i="1" l="1"/>
  <c r="T732" i="1" s="1"/>
  <c r="R731" i="1"/>
  <c r="S731" i="1" l="1"/>
  <c r="T731" i="1" s="1"/>
  <c r="R730" i="1"/>
  <c r="S730" i="1" l="1"/>
  <c r="T730" i="1" s="1"/>
  <c r="R729" i="1"/>
  <c r="S729" i="1" l="1"/>
  <c r="T729" i="1" s="1"/>
  <c r="R728" i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S724" i="1" l="1"/>
  <c r="T724" i="1" s="1"/>
  <c r="R723" i="1"/>
  <c r="R722" i="1" l="1"/>
  <c r="S723" i="1"/>
  <c r="T723" i="1" s="1"/>
  <c r="R721" i="1" l="1"/>
  <c r="S722" i="1"/>
  <c r="T722" i="1" s="1"/>
  <c r="S721" i="1" l="1"/>
  <c r="T721" i="1" s="1"/>
  <c r="R720" i="1"/>
  <c r="R719" i="1" l="1"/>
  <c r="S720" i="1"/>
  <c r="T720" i="1" s="1"/>
  <c r="R718" i="1" l="1"/>
  <c r="S719" i="1"/>
  <c r="T719" i="1" s="1"/>
  <c r="S718" i="1" l="1"/>
  <c r="T718" i="1" s="1"/>
  <c r="R717" i="1"/>
  <c r="S717" i="1" l="1"/>
  <c r="T717" i="1" s="1"/>
  <c r="R716" i="1"/>
  <c r="R715" i="1" l="1"/>
  <c r="S716" i="1"/>
  <c r="T716" i="1" s="1"/>
  <c r="R714" i="1" l="1"/>
  <c r="S715" i="1"/>
  <c r="T715" i="1" s="1"/>
  <c r="S714" i="1" l="1"/>
  <c r="T714" i="1" s="1"/>
  <c r="R713" i="1"/>
  <c r="S713" i="1" l="1"/>
  <c r="T713" i="1" s="1"/>
  <c r="R712" i="1"/>
  <c r="R711" i="1" l="1"/>
  <c r="S712" i="1"/>
  <c r="T712" i="1" s="1"/>
  <c r="R710" i="1" l="1"/>
  <c r="S711" i="1"/>
  <c r="T711" i="1" s="1"/>
  <c r="S710" i="1" l="1"/>
  <c r="T710" i="1" s="1"/>
  <c r="R709" i="1"/>
  <c r="S709" i="1" l="1"/>
  <c r="T709" i="1" s="1"/>
  <c r="R708" i="1"/>
  <c r="R707" i="1" l="1"/>
  <c r="S708" i="1"/>
  <c r="T708" i="1" s="1"/>
  <c r="S707" i="1" l="1"/>
  <c r="T707" i="1" s="1"/>
  <c r="R706" i="1"/>
  <c r="S706" i="1" l="1"/>
  <c r="T706" i="1" s="1"/>
  <c r="R705" i="1"/>
  <c r="S705" i="1" l="1"/>
  <c r="T705" i="1" s="1"/>
  <c r="R704" i="1"/>
  <c r="R703" i="1" l="1"/>
  <c r="S704" i="1"/>
  <c r="T704" i="1" s="1"/>
  <c r="R702" i="1" l="1"/>
  <c r="S703" i="1"/>
  <c r="T703" i="1" s="1"/>
  <c r="S702" i="1" l="1"/>
  <c r="T702" i="1" s="1"/>
  <c r="R701" i="1"/>
  <c r="S701" i="1" l="1"/>
  <c r="T701" i="1" s="1"/>
  <c r="R700" i="1"/>
  <c r="R699" i="1" l="1"/>
  <c r="S700" i="1"/>
  <c r="T700" i="1" s="1"/>
  <c r="R698" i="1" l="1"/>
  <c r="S699" i="1"/>
  <c r="T699" i="1" s="1"/>
  <c r="S698" i="1" l="1"/>
  <c r="T698" i="1" s="1"/>
  <c r="R697" i="1"/>
  <c r="R696" i="1" l="1"/>
  <c r="S697" i="1"/>
  <c r="T697" i="1" s="1"/>
  <c r="R695" i="1" l="1"/>
  <c r="S696" i="1"/>
  <c r="T696" i="1" s="1"/>
  <c r="S695" i="1" l="1"/>
  <c r="T695" i="1" s="1"/>
  <c r="R694" i="1"/>
  <c r="S694" i="1" l="1"/>
  <c r="T694" i="1" s="1"/>
  <c r="R693" i="1"/>
  <c r="R692" i="1" l="1"/>
  <c r="S693" i="1"/>
  <c r="T693" i="1" s="1"/>
  <c r="R691" i="1" l="1"/>
  <c r="S692" i="1"/>
  <c r="T692" i="1" s="1"/>
  <c r="S691" i="1" l="1"/>
  <c r="T691" i="1" s="1"/>
  <c r="R690" i="1"/>
  <c r="S690" i="1" l="1"/>
  <c r="T690" i="1" s="1"/>
  <c r="R689" i="1"/>
  <c r="R688" i="1" l="1"/>
  <c r="S689" i="1"/>
  <c r="T689" i="1" s="1"/>
  <c r="R687" i="1" l="1"/>
  <c r="S688" i="1"/>
  <c r="T688" i="1" s="1"/>
  <c r="S687" i="1" l="1"/>
  <c r="T687" i="1" s="1"/>
  <c r="R686" i="1"/>
  <c r="S686" i="1" l="1"/>
  <c r="T686" i="1" s="1"/>
  <c r="R685" i="1"/>
  <c r="R684" i="1" l="1"/>
  <c r="S685" i="1"/>
  <c r="T685" i="1" s="1"/>
  <c r="R683" i="1" l="1"/>
  <c r="S684" i="1"/>
  <c r="T684" i="1" s="1"/>
  <c r="S683" i="1" l="1"/>
  <c r="T683" i="1" s="1"/>
  <c r="R682" i="1"/>
  <c r="S682" i="1" l="1"/>
  <c r="T682" i="1" s="1"/>
  <c r="R681" i="1"/>
  <c r="R680" i="1" l="1"/>
  <c r="S681" i="1"/>
  <c r="T681" i="1" s="1"/>
  <c r="R679" i="1" l="1"/>
  <c r="S680" i="1"/>
  <c r="T680" i="1" s="1"/>
  <c r="R678" i="1" l="1"/>
  <c r="S679" i="1"/>
  <c r="T679" i="1" s="1"/>
  <c r="S678" i="1" l="1"/>
  <c r="T678" i="1" s="1"/>
  <c r="R677" i="1"/>
  <c r="S677" i="1" l="1"/>
  <c r="T677" i="1" s="1"/>
  <c r="R676" i="1"/>
  <c r="R675" i="1" l="1"/>
  <c r="S676" i="1"/>
  <c r="T676" i="1" s="1"/>
  <c r="R674" i="1" l="1"/>
  <c r="S675" i="1"/>
  <c r="T675" i="1" s="1"/>
  <c r="S674" i="1" l="1"/>
  <c r="T674" i="1" s="1"/>
  <c r="R673" i="1"/>
  <c r="S673" i="1" l="1"/>
  <c r="T673" i="1" s="1"/>
  <c r="R672" i="1"/>
  <c r="R671" i="1" l="1"/>
  <c r="S672" i="1"/>
  <c r="T672" i="1" s="1"/>
  <c r="R670" i="1" l="1"/>
  <c r="S671" i="1"/>
  <c r="T671" i="1" s="1"/>
  <c r="S670" i="1" l="1"/>
  <c r="T670" i="1" s="1"/>
  <c r="R669" i="1"/>
  <c r="S669" i="1" l="1"/>
  <c r="T669" i="1" s="1"/>
  <c r="R668" i="1"/>
  <c r="R667" i="1" l="1"/>
  <c r="S668" i="1"/>
  <c r="T668" i="1" s="1"/>
  <c r="S667" i="1" l="1"/>
  <c r="T667" i="1" s="1"/>
  <c r="R666" i="1"/>
  <c r="S666" i="1" l="1"/>
  <c r="T666" i="1" s="1"/>
  <c r="R665" i="1"/>
  <c r="R664" i="1" l="1"/>
  <c r="S665" i="1"/>
  <c r="T665" i="1" s="1"/>
  <c r="R663" i="1" l="1"/>
  <c r="S664" i="1"/>
  <c r="T664" i="1" s="1"/>
  <c r="S663" i="1" l="1"/>
  <c r="T663" i="1" s="1"/>
  <c r="R662" i="1"/>
  <c r="S662" i="1" l="1"/>
  <c r="T662" i="1" s="1"/>
  <c r="R661" i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S656" i="1" l="1"/>
  <c r="T656" i="1" s="1"/>
  <c r="R655" i="1"/>
  <c r="S655" i="1" l="1"/>
  <c r="T655" i="1" s="1"/>
  <c r="R654" i="1"/>
  <c r="R653" i="1" l="1"/>
  <c r="S654" i="1"/>
  <c r="T654" i="1" s="1"/>
  <c r="R652" i="1" l="1"/>
  <c r="S653" i="1"/>
  <c r="T653" i="1" s="1"/>
  <c r="S652" i="1" l="1"/>
  <c r="T652" i="1" s="1"/>
  <c r="R651" i="1"/>
  <c r="S651" i="1" l="1"/>
  <c r="T651" i="1" s="1"/>
  <c r="R650" i="1"/>
  <c r="S650" i="1" l="1"/>
  <c r="T650" i="1" s="1"/>
  <c r="R649" i="1"/>
  <c r="R648" i="1" l="1"/>
  <c r="S649" i="1"/>
  <c r="T649" i="1" s="1"/>
  <c r="R647" i="1" l="1"/>
  <c r="S648" i="1"/>
  <c r="T648" i="1" s="1"/>
  <c r="S647" i="1" l="1"/>
  <c r="T647" i="1" s="1"/>
  <c r="R646" i="1"/>
  <c r="S646" i="1" l="1"/>
  <c r="T646" i="1" s="1"/>
  <c r="R645" i="1"/>
  <c r="S645" i="1" l="1"/>
  <c r="T645" i="1" s="1"/>
  <c r="R644" i="1"/>
  <c r="R643" i="1" l="1"/>
  <c r="S644" i="1"/>
  <c r="T644" i="1" s="1"/>
  <c r="S643" i="1" l="1"/>
  <c r="T643" i="1" s="1"/>
  <c r="R642" i="1"/>
  <c r="R641" i="1" l="1"/>
  <c r="S642" i="1"/>
  <c r="T642" i="1" s="1"/>
  <c r="S641" i="1" l="1"/>
  <c r="T641" i="1" s="1"/>
  <c r="R640" i="1"/>
  <c r="S640" i="1" l="1"/>
  <c r="T640" i="1" s="1"/>
  <c r="R639" i="1"/>
  <c r="R638" i="1" l="1"/>
  <c r="S639" i="1"/>
  <c r="T639" i="1" s="1"/>
  <c r="S638" i="1" l="1"/>
  <c r="T638" i="1" s="1"/>
  <c r="R637" i="1"/>
  <c r="S637" i="1" l="1"/>
  <c r="T637" i="1" s="1"/>
  <c r="R636" i="1"/>
  <c r="S636" i="1" l="1"/>
  <c r="T636" i="1" s="1"/>
  <c r="R635" i="1"/>
  <c r="R634" i="1" l="1"/>
  <c r="S635" i="1"/>
  <c r="T635" i="1" s="1"/>
  <c r="S634" i="1" l="1"/>
  <c r="T634" i="1" s="1"/>
  <c r="R633" i="1"/>
  <c r="S633" i="1" l="1"/>
  <c r="T633" i="1" s="1"/>
  <c r="R632" i="1"/>
  <c r="S632" i="1" l="1"/>
  <c r="T632" i="1" s="1"/>
  <c r="R631" i="1"/>
  <c r="R630" i="1" l="1"/>
  <c r="S631" i="1"/>
  <c r="T631" i="1" s="1"/>
  <c r="R629" i="1" l="1"/>
  <c r="S630" i="1"/>
  <c r="T630" i="1" s="1"/>
  <c r="S629" i="1" l="1"/>
  <c r="T629" i="1" s="1"/>
  <c r="R628" i="1"/>
  <c r="R627" i="1" l="1"/>
  <c r="S628" i="1"/>
  <c r="T628" i="1" s="1"/>
  <c r="R626" i="1" l="1"/>
  <c r="S627" i="1"/>
  <c r="T627" i="1" s="1"/>
  <c r="R625" i="1" l="1"/>
  <c r="S626" i="1"/>
  <c r="T626" i="1" s="1"/>
  <c r="S625" i="1" l="1"/>
  <c r="T625" i="1" s="1"/>
  <c r="R624" i="1"/>
  <c r="R623" i="1" l="1"/>
  <c r="S624" i="1"/>
  <c r="T624" i="1" s="1"/>
  <c r="R622" i="1" l="1"/>
  <c r="S623" i="1"/>
  <c r="T623" i="1" s="1"/>
  <c r="R621" i="1" l="1"/>
  <c r="S622" i="1"/>
  <c r="T622" i="1" s="1"/>
  <c r="S621" i="1" l="1"/>
  <c r="T621" i="1" s="1"/>
  <c r="R620" i="1"/>
  <c r="R619" i="1" l="1"/>
  <c r="S620" i="1"/>
  <c r="T620" i="1" s="1"/>
  <c r="R618" i="1" l="1"/>
  <c r="S619" i="1"/>
  <c r="T619" i="1" s="1"/>
  <c r="S618" i="1" l="1"/>
  <c r="T618" i="1" s="1"/>
  <c r="R617" i="1"/>
  <c r="S617" i="1" l="1"/>
  <c r="T617" i="1" s="1"/>
  <c r="R616" i="1"/>
  <c r="S616" i="1" l="1"/>
  <c r="T616" i="1" s="1"/>
  <c r="R615" i="1"/>
  <c r="R614" i="1" l="1"/>
  <c r="S615" i="1"/>
  <c r="T615" i="1" s="1"/>
  <c r="R613" i="1" l="1"/>
  <c r="S614" i="1"/>
  <c r="T614" i="1" s="1"/>
  <c r="S613" i="1" l="1"/>
  <c r="T613" i="1" s="1"/>
  <c r="R612" i="1"/>
  <c r="S612" i="1" l="1"/>
  <c r="T612" i="1" s="1"/>
  <c r="R611" i="1"/>
  <c r="R610" i="1" l="1"/>
  <c r="S611" i="1"/>
  <c r="T611" i="1" s="1"/>
  <c r="R609" i="1" l="1"/>
  <c r="S610" i="1"/>
  <c r="T610" i="1" s="1"/>
  <c r="S609" i="1" l="1"/>
  <c r="T609" i="1" s="1"/>
  <c r="R608" i="1"/>
  <c r="S608" i="1" l="1"/>
  <c r="T608" i="1" s="1"/>
  <c r="R607" i="1"/>
  <c r="R606" i="1" l="1"/>
  <c r="S607" i="1"/>
  <c r="T607" i="1" s="1"/>
  <c r="R605" i="1" l="1"/>
  <c r="S606" i="1"/>
  <c r="T606" i="1" s="1"/>
  <c r="S605" i="1" l="1"/>
  <c r="T605" i="1" s="1"/>
  <c r="R604" i="1"/>
  <c r="S604" i="1" l="1"/>
  <c r="T604" i="1" s="1"/>
  <c r="R603" i="1"/>
  <c r="R602" i="1" l="1"/>
  <c r="S603" i="1"/>
  <c r="T603" i="1" s="1"/>
  <c r="R601" i="1" l="1"/>
  <c r="S602" i="1"/>
  <c r="T602" i="1" s="1"/>
  <c r="R600" i="1" l="1"/>
  <c r="S601" i="1"/>
  <c r="T601" i="1" s="1"/>
  <c r="S600" i="1" l="1"/>
  <c r="T600" i="1" s="1"/>
  <c r="R599" i="1"/>
  <c r="S599" i="1" l="1"/>
  <c r="T599" i="1" s="1"/>
  <c r="R598" i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S594" i="1" l="1"/>
  <c r="T594" i="1" s="1"/>
  <c r="R593" i="1"/>
  <c r="S593" i="1" l="1"/>
  <c r="T593" i="1" s="1"/>
  <c r="R592" i="1"/>
  <c r="S592" i="1" l="1"/>
  <c r="T592" i="1" s="1"/>
  <c r="R591" i="1"/>
  <c r="S591" i="1" l="1"/>
  <c r="T591" i="1" s="1"/>
  <c r="R590" i="1"/>
  <c r="R589" i="1" l="1"/>
  <c r="S590" i="1"/>
  <c r="T590" i="1" s="1"/>
  <c r="S589" i="1" l="1"/>
  <c r="T589" i="1" s="1"/>
  <c r="R588" i="1"/>
  <c r="S588" i="1" l="1"/>
  <c r="T588" i="1" s="1"/>
  <c r="R587" i="1"/>
  <c r="R586" i="1" l="1"/>
  <c r="S587" i="1"/>
  <c r="T587" i="1" s="1"/>
  <c r="R585" i="1" l="1"/>
  <c r="S586" i="1"/>
  <c r="T586" i="1" s="1"/>
  <c r="S585" i="1" l="1"/>
  <c r="T585" i="1" s="1"/>
  <c r="R584" i="1"/>
  <c r="S584" i="1" l="1"/>
  <c r="T584" i="1" s="1"/>
  <c r="R583" i="1"/>
  <c r="R582" i="1" l="1"/>
  <c r="S583" i="1"/>
  <c r="T583" i="1" s="1"/>
  <c r="R581" i="1" l="1"/>
  <c r="S582" i="1"/>
  <c r="T582" i="1" s="1"/>
  <c r="S581" i="1" l="1"/>
  <c r="T581" i="1" s="1"/>
  <c r="R580" i="1"/>
  <c r="S580" i="1" l="1"/>
  <c r="T580" i="1" s="1"/>
  <c r="R579" i="1"/>
  <c r="R578" i="1" l="1"/>
  <c r="S579" i="1"/>
  <c r="T579" i="1" s="1"/>
  <c r="R577" i="1" l="1"/>
  <c r="S578" i="1"/>
  <c r="T578" i="1" s="1"/>
  <c r="S577" i="1" l="1"/>
  <c r="T577" i="1" s="1"/>
  <c r="R576" i="1"/>
  <c r="S576" i="1" l="1"/>
  <c r="T576" i="1" s="1"/>
  <c r="R575" i="1"/>
  <c r="S575" i="1" l="1"/>
  <c r="T575" i="1" s="1"/>
  <c r="R574" i="1"/>
  <c r="R573" i="1" l="1"/>
  <c r="S574" i="1"/>
  <c r="T574" i="1" s="1"/>
  <c r="R572" i="1" l="1"/>
  <c r="S573" i="1"/>
  <c r="T573" i="1" s="1"/>
  <c r="S572" i="1" l="1"/>
  <c r="T572" i="1" s="1"/>
  <c r="R571" i="1"/>
  <c r="S571" i="1" l="1"/>
  <c r="T571" i="1" s="1"/>
  <c r="R570" i="1"/>
  <c r="R569" i="1" l="1"/>
  <c r="S570" i="1"/>
  <c r="T570" i="1" s="1"/>
  <c r="R568" i="1" l="1"/>
  <c r="S569" i="1"/>
  <c r="T569" i="1" s="1"/>
  <c r="S568" i="1" l="1"/>
  <c r="T568" i="1" s="1"/>
  <c r="R567" i="1"/>
  <c r="S567" i="1" l="1"/>
  <c r="T567" i="1" s="1"/>
  <c r="R566" i="1"/>
  <c r="S566" i="1" l="1"/>
  <c r="T566" i="1" s="1"/>
  <c r="R565" i="1"/>
  <c r="R564" i="1" l="1"/>
  <c r="S565" i="1"/>
  <c r="T565" i="1" s="1"/>
  <c r="S564" i="1" l="1"/>
  <c r="T564" i="1" s="1"/>
  <c r="R563" i="1"/>
  <c r="S563" i="1" l="1"/>
  <c r="T563" i="1" s="1"/>
  <c r="R562" i="1"/>
  <c r="R561" i="1" l="1"/>
  <c r="S562" i="1"/>
  <c r="T562" i="1" s="1"/>
  <c r="R560" i="1" l="1"/>
  <c r="S561" i="1"/>
  <c r="T561" i="1" s="1"/>
  <c r="S560" i="1" l="1"/>
  <c r="T560" i="1" s="1"/>
  <c r="R559" i="1"/>
  <c r="S559" i="1" l="1"/>
  <c r="T559" i="1" s="1"/>
  <c r="R558" i="1"/>
  <c r="R557" i="1" l="1"/>
  <c r="S558" i="1"/>
  <c r="T558" i="1" s="1"/>
  <c r="R556" i="1" l="1"/>
  <c r="S557" i="1"/>
  <c r="T557" i="1" s="1"/>
  <c r="S556" i="1" l="1"/>
  <c r="T556" i="1" s="1"/>
  <c r="R555" i="1"/>
  <c r="S555" i="1" l="1"/>
  <c r="T555" i="1" s="1"/>
  <c r="R554" i="1"/>
  <c r="R553" i="1" l="1"/>
  <c r="S554" i="1"/>
  <c r="T554" i="1" s="1"/>
  <c r="S553" i="1" l="1"/>
  <c r="T553" i="1" s="1"/>
  <c r="R552" i="1"/>
  <c r="R551" i="1" l="1"/>
  <c r="S552" i="1"/>
  <c r="T552" i="1" s="1"/>
  <c r="R550" i="1" l="1"/>
  <c r="S551" i="1"/>
  <c r="T551" i="1" s="1"/>
  <c r="S550" i="1" l="1"/>
  <c r="T550" i="1" s="1"/>
  <c r="R549" i="1"/>
  <c r="S549" i="1" l="1"/>
  <c r="T549" i="1" s="1"/>
  <c r="R548" i="1"/>
  <c r="S548" i="1" l="1"/>
  <c r="T548" i="1" s="1"/>
  <c r="R547" i="1"/>
  <c r="R546" i="1" l="1"/>
  <c r="S547" i="1"/>
  <c r="T547" i="1" s="1"/>
  <c r="R545" i="1" l="1"/>
  <c r="S546" i="1"/>
  <c r="T546" i="1" s="1"/>
  <c r="S545" i="1" l="1"/>
  <c r="T545" i="1" s="1"/>
  <c r="R544" i="1"/>
  <c r="S544" i="1" l="1"/>
  <c r="T544" i="1" s="1"/>
  <c r="R543" i="1"/>
  <c r="S543" i="1" l="1"/>
  <c r="T543" i="1" s="1"/>
  <c r="R542" i="1"/>
  <c r="R541" i="1" l="1"/>
  <c r="S542" i="1"/>
  <c r="T542" i="1" s="1"/>
  <c r="S541" i="1" l="1"/>
  <c r="T541" i="1" s="1"/>
  <c r="R540" i="1"/>
  <c r="S540" i="1" l="1"/>
  <c r="T540" i="1" s="1"/>
  <c r="R539" i="1"/>
  <c r="S539" i="1" l="1"/>
  <c r="T539" i="1" s="1"/>
  <c r="R538" i="1"/>
  <c r="S538" i="1" l="1"/>
  <c r="T538" i="1" s="1"/>
  <c r="R537" i="1"/>
  <c r="R536" i="1" l="1"/>
  <c r="S537" i="1"/>
  <c r="T537" i="1" s="1"/>
  <c r="R535" i="1" l="1"/>
  <c r="S536" i="1"/>
  <c r="T536" i="1" s="1"/>
  <c r="S535" i="1" l="1"/>
  <c r="T535" i="1" s="1"/>
  <c r="R534" i="1"/>
  <c r="S534" i="1" l="1"/>
  <c r="T534" i="1" s="1"/>
  <c r="R533" i="1"/>
  <c r="R532" i="1" l="1"/>
  <c r="S533" i="1"/>
  <c r="T533" i="1" s="1"/>
  <c r="R531" i="1" l="1"/>
  <c r="S532" i="1"/>
  <c r="T532" i="1" s="1"/>
  <c r="S531" i="1" l="1"/>
  <c r="T531" i="1" s="1"/>
  <c r="R530" i="1"/>
  <c r="S530" i="1" l="1"/>
  <c r="T530" i="1" s="1"/>
  <c r="R529" i="1"/>
  <c r="R528" i="1" l="1"/>
  <c r="S529" i="1"/>
  <c r="T529" i="1" s="1"/>
  <c r="R527" i="1" l="1"/>
  <c r="S528" i="1"/>
  <c r="T528" i="1" s="1"/>
  <c r="S527" i="1" l="1"/>
  <c r="T527" i="1" s="1"/>
  <c r="R526" i="1"/>
  <c r="S526" i="1" l="1"/>
  <c r="T526" i="1" s="1"/>
  <c r="R525" i="1"/>
  <c r="S525" i="1" l="1"/>
  <c r="T525" i="1" s="1"/>
  <c r="R524" i="1"/>
  <c r="R523" i="1" l="1"/>
  <c r="S524" i="1"/>
  <c r="T524" i="1" s="1"/>
  <c r="R522" i="1" l="1"/>
  <c r="S523" i="1"/>
  <c r="T523" i="1" s="1"/>
  <c r="S522" i="1" l="1"/>
  <c r="T522" i="1" s="1"/>
  <c r="R521" i="1"/>
  <c r="S521" i="1" l="1"/>
  <c r="T521" i="1" s="1"/>
  <c r="R520" i="1"/>
  <c r="R519" i="1" l="1"/>
  <c r="S520" i="1"/>
  <c r="T520" i="1" s="1"/>
  <c r="R518" i="1" l="1"/>
  <c r="S519" i="1"/>
  <c r="T519" i="1" s="1"/>
  <c r="S518" i="1" l="1"/>
  <c r="T518" i="1" s="1"/>
  <c r="R517" i="1"/>
  <c r="S517" i="1" l="1"/>
  <c r="T517" i="1" s="1"/>
  <c r="R516" i="1"/>
  <c r="R515" i="1" l="1"/>
  <c r="S516" i="1"/>
  <c r="T516" i="1" s="1"/>
  <c r="R514" i="1" l="1"/>
  <c r="S515" i="1"/>
  <c r="T515" i="1" s="1"/>
  <c r="S514" i="1" l="1"/>
  <c r="T514" i="1" s="1"/>
  <c r="R513" i="1"/>
  <c r="S513" i="1" l="1"/>
  <c r="T513" i="1" s="1"/>
  <c r="R512" i="1"/>
  <c r="R511" i="1" l="1"/>
  <c r="S512" i="1"/>
  <c r="T512" i="1" s="1"/>
  <c r="S511" i="1" l="1"/>
  <c r="T511" i="1" s="1"/>
  <c r="R510" i="1"/>
  <c r="R509" i="1" l="1"/>
  <c r="S510" i="1"/>
  <c r="T510" i="1" s="1"/>
  <c r="R508" i="1" l="1"/>
  <c r="S509" i="1"/>
  <c r="T509" i="1" s="1"/>
  <c r="S508" i="1" l="1"/>
  <c r="T508" i="1" s="1"/>
  <c r="R507" i="1"/>
  <c r="S507" i="1" l="1"/>
  <c r="T507" i="1" s="1"/>
  <c r="R506" i="1"/>
  <c r="R505" i="1" l="1"/>
  <c r="S506" i="1"/>
  <c r="T506" i="1" s="1"/>
  <c r="R504" i="1" l="1"/>
  <c r="S505" i="1"/>
  <c r="T505" i="1" s="1"/>
  <c r="S504" i="1" l="1"/>
  <c r="T504" i="1" s="1"/>
  <c r="R503" i="1"/>
  <c r="S503" i="1" l="1"/>
  <c r="T503" i="1" s="1"/>
  <c r="R502" i="1"/>
  <c r="R501" i="1" l="1"/>
  <c r="S502" i="1"/>
  <c r="T502" i="1" s="1"/>
  <c r="R500" i="1" l="1"/>
  <c r="S501" i="1"/>
  <c r="T501" i="1" s="1"/>
  <c r="S500" i="1" l="1"/>
  <c r="T500" i="1" s="1"/>
  <c r="R499" i="1"/>
  <c r="S499" i="1" l="1"/>
  <c r="T499" i="1" s="1"/>
  <c r="R498" i="1"/>
  <c r="R497" i="1" l="1"/>
  <c r="S498" i="1"/>
  <c r="T498" i="1" s="1"/>
  <c r="R496" i="1" l="1"/>
  <c r="S497" i="1"/>
  <c r="T497" i="1" s="1"/>
  <c r="S496" i="1" l="1"/>
  <c r="T496" i="1" s="1"/>
  <c r="R495" i="1"/>
  <c r="S495" i="1" l="1"/>
  <c r="T495" i="1" s="1"/>
  <c r="R494" i="1"/>
  <c r="R493" i="1" l="1"/>
  <c r="S494" i="1"/>
  <c r="T494" i="1" s="1"/>
  <c r="R492" i="1" l="1"/>
  <c r="S493" i="1"/>
  <c r="T493" i="1" s="1"/>
  <c r="S492" i="1" l="1"/>
  <c r="T492" i="1" s="1"/>
  <c r="R491" i="1"/>
  <c r="S491" i="1" l="1"/>
  <c r="T491" i="1" s="1"/>
  <c r="R490" i="1"/>
  <c r="R489" i="1" l="1"/>
  <c r="S490" i="1"/>
  <c r="T490" i="1" s="1"/>
  <c r="R488" i="1" l="1"/>
  <c r="S489" i="1"/>
  <c r="T489" i="1" s="1"/>
  <c r="S488" i="1" l="1"/>
  <c r="T488" i="1" s="1"/>
  <c r="R487" i="1"/>
  <c r="S487" i="1" l="1"/>
  <c r="T487" i="1" s="1"/>
  <c r="R486" i="1"/>
  <c r="R485" i="1" l="1"/>
  <c r="S486" i="1"/>
  <c r="T486" i="1" s="1"/>
  <c r="S485" i="1" l="1"/>
  <c r="T485" i="1" s="1"/>
  <c r="R484" i="1"/>
  <c r="S484" i="1" l="1"/>
  <c r="T484" i="1" s="1"/>
  <c r="R483" i="1"/>
  <c r="R482" i="1" l="1"/>
  <c r="S483" i="1"/>
  <c r="T483" i="1" s="1"/>
  <c r="R481" i="1" l="1"/>
  <c r="S482" i="1"/>
  <c r="T482" i="1" s="1"/>
  <c r="S481" i="1" l="1"/>
  <c r="T481" i="1" s="1"/>
  <c r="R480" i="1"/>
  <c r="R479" i="1" l="1"/>
  <c r="S480" i="1"/>
  <c r="T480" i="1" s="1"/>
  <c r="R478" i="1" l="1"/>
  <c r="S479" i="1"/>
  <c r="T479" i="1" s="1"/>
  <c r="S478" i="1" l="1"/>
  <c r="T478" i="1" s="1"/>
  <c r="R477" i="1"/>
  <c r="S477" i="1" l="1"/>
  <c r="T477" i="1" s="1"/>
  <c r="R476" i="1"/>
  <c r="S476" i="1" l="1"/>
  <c r="T476" i="1" s="1"/>
  <c r="R475" i="1"/>
  <c r="R474" i="1" l="1"/>
  <c r="S475" i="1"/>
  <c r="T475" i="1" s="1"/>
  <c r="R473" i="1" l="1"/>
  <c r="S474" i="1"/>
  <c r="T474" i="1" s="1"/>
  <c r="S473" i="1" l="1"/>
  <c r="T473" i="1" s="1"/>
  <c r="R472" i="1"/>
  <c r="S472" i="1" l="1"/>
  <c r="T472" i="1" s="1"/>
  <c r="R471" i="1"/>
  <c r="R470" i="1" l="1"/>
  <c r="S471" i="1"/>
  <c r="T471" i="1" s="1"/>
  <c r="R469" i="1" l="1"/>
  <c r="S470" i="1"/>
  <c r="T470" i="1" s="1"/>
  <c r="S469" i="1" l="1"/>
  <c r="T469" i="1" s="1"/>
  <c r="R468" i="1"/>
  <c r="S468" i="1" l="1"/>
  <c r="T468" i="1" s="1"/>
  <c r="R467" i="1"/>
  <c r="R466" i="1" l="1"/>
  <c r="S467" i="1"/>
  <c r="T467" i="1" s="1"/>
  <c r="R465" i="1" l="1"/>
  <c r="S466" i="1"/>
  <c r="T466" i="1" s="1"/>
  <c r="R464" i="1" l="1"/>
  <c r="S465" i="1"/>
  <c r="T465" i="1" s="1"/>
  <c r="S464" i="1" l="1"/>
  <c r="T464" i="1" s="1"/>
  <c r="R463" i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S459" i="1" l="1"/>
  <c r="T459" i="1" s="1"/>
  <c r="R458" i="1"/>
  <c r="S458" i="1" l="1"/>
  <c r="T458" i="1" s="1"/>
  <c r="R457" i="1"/>
  <c r="R456" i="1" l="1"/>
  <c r="S457" i="1"/>
  <c r="T457" i="1" s="1"/>
  <c r="R455" i="1" l="1"/>
  <c r="S456" i="1"/>
  <c r="T456" i="1" s="1"/>
  <c r="S455" i="1" l="1"/>
  <c r="T455" i="1" s="1"/>
  <c r="R454" i="1"/>
  <c r="S454" i="1" l="1"/>
  <c r="T454" i="1" s="1"/>
  <c r="R453" i="1"/>
  <c r="R452" i="1" l="1"/>
  <c r="S453" i="1"/>
  <c r="T453" i="1" s="1"/>
  <c r="R451" i="1" l="1"/>
  <c r="S452" i="1"/>
  <c r="T452" i="1" s="1"/>
  <c r="S451" i="1" l="1"/>
  <c r="T451" i="1" s="1"/>
  <c r="R450" i="1"/>
  <c r="S450" i="1" l="1"/>
  <c r="T450" i="1" s="1"/>
  <c r="R449" i="1"/>
  <c r="S449" i="1" l="1"/>
  <c r="T449" i="1" s="1"/>
  <c r="R448" i="1"/>
  <c r="R447" i="1" l="1"/>
  <c r="S448" i="1"/>
  <c r="T448" i="1" s="1"/>
  <c r="R446" i="1" l="1"/>
  <c r="S447" i="1"/>
  <c r="T447" i="1" s="1"/>
  <c r="S446" i="1" l="1"/>
  <c r="T446" i="1" s="1"/>
  <c r="R445" i="1"/>
  <c r="S445" i="1" l="1"/>
  <c r="T445" i="1" s="1"/>
  <c r="R444" i="1"/>
  <c r="R443" i="1" l="1"/>
  <c r="S444" i="1"/>
  <c r="T444" i="1" s="1"/>
  <c r="R442" i="1" l="1"/>
  <c r="S443" i="1"/>
  <c r="T443" i="1" s="1"/>
  <c r="S442" i="1" l="1"/>
  <c r="T442" i="1" s="1"/>
  <c r="R441" i="1"/>
  <c r="S441" i="1" l="1"/>
  <c r="T441" i="1" s="1"/>
  <c r="R440" i="1"/>
  <c r="S440" i="1" l="1"/>
  <c r="T440" i="1" s="1"/>
  <c r="R439" i="1"/>
  <c r="R438" i="1" l="1"/>
  <c r="S439" i="1"/>
  <c r="T439" i="1" s="1"/>
  <c r="R437" i="1" l="1"/>
  <c r="S438" i="1"/>
  <c r="T438" i="1" s="1"/>
  <c r="R436" i="1" l="1"/>
  <c r="S437" i="1"/>
  <c r="T437" i="1" s="1"/>
  <c r="S436" i="1" l="1"/>
  <c r="T436" i="1" s="1"/>
  <c r="R435" i="1"/>
  <c r="S435" i="1" l="1"/>
  <c r="T435" i="1" s="1"/>
  <c r="R434" i="1"/>
  <c r="R433" i="1" l="1"/>
  <c r="S434" i="1"/>
  <c r="T434" i="1" s="1"/>
  <c r="R432" i="1" l="1"/>
  <c r="S433" i="1"/>
  <c r="T433" i="1" s="1"/>
  <c r="S432" i="1" l="1"/>
  <c r="T432" i="1" s="1"/>
  <c r="R431" i="1"/>
  <c r="S431" i="1" l="1"/>
  <c r="T431" i="1" s="1"/>
  <c r="R430" i="1"/>
  <c r="R429" i="1" l="1"/>
  <c r="S430" i="1"/>
  <c r="T430" i="1" s="1"/>
  <c r="S429" i="1" l="1"/>
  <c r="T429" i="1" s="1"/>
  <c r="R428" i="1"/>
  <c r="S428" i="1" l="1"/>
  <c r="T428" i="1" s="1"/>
  <c r="R427" i="1"/>
  <c r="S427" i="1" l="1"/>
  <c r="T427" i="1" s="1"/>
  <c r="R426" i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R421" i="1" l="1"/>
  <c r="S422" i="1"/>
  <c r="T422" i="1" s="1"/>
  <c r="R420" i="1" l="1"/>
  <c r="S421" i="1"/>
  <c r="T421" i="1" s="1"/>
  <c r="S420" i="1" l="1"/>
  <c r="T420" i="1" s="1"/>
  <c r="R419" i="1"/>
  <c r="S419" i="1" l="1"/>
  <c r="T419" i="1" s="1"/>
  <c r="R418" i="1"/>
  <c r="R417" i="1" l="1"/>
  <c r="S418" i="1"/>
  <c r="T418" i="1" s="1"/>
  <c r="R416" i="1" l="1"/>
  <c r="S417" i="1"/>
  <c r="T417" i="1" s="1"/>
  <c r="R415" i="1" l="1"/>
  <c r="S416" i="1"/>
  <c r="T416" i="1" s="1"/>
  <c r="S415" i="1" l="1"/>
  <c r="T415" i="1" s="1"/>
  <c r="R414" i="1"/>
  <c r="S414" i="1" l="1"/>
  <c r="T414" i="1" s="1"/>
  <c r="R413" i="1"/>
  <c r="R412" i="1" l="1"/>
  <c r="S413" i="1"/>
  <c r="T413" i="1" s="1"/>
  <c r="S412" i="1" l="1"/>
  <c r="T412" i="1" s="1"/>
  <c r="R411" i="1"/>
  <c r="S411" i="1" l="1"/>
  <c r="T411" i="1" s="1"/>
  <c r="R410" i="1"/>
  <c r="R409" i="1" l="1"/>
  <c r="S410" i="1"/>
  <c r="T410" i="1" s="1"/>
  <c r="R408" i="1" l="1"/>
  <c r="S409" i="1"/>
  <c r="T409" i="1" s="1"/>
  <c r="R407" i="1" l="1"/>
  <c r="S408" i="1"/>
  <c r="T408" i="1" s="1"/>
  <c r="S407" i="1" l="1"/>
  <c r="T407" i="1" s="1"/>
  <c r="R406" i="1"/>
  <c r="S406" i="1" l="1"/>
  <c r="T406" i="1" s="1"/>
  <c r="R405" i="1"/>
  <c r="R404" i="1" l="1"/>
  <c r="S405" i="1"/>
  <c r="T405" i="1" s="1"/>
  <c r="R403" i="1" l="1"/>
  <c r="S404" i="1"/>
  <c r="T404" i="1" s="1"/>
  <c r="R402" i="1" l="1"/>
  <c r="S403" i="1"/>
  <c r="T403" i="1" s="1"/>
  <c r="S402" i="1" l="1"/>
  <c r="T402" i="1" s="1"/>
  <c r="R401" i="1"/>
  <c r="S401" i="1" l="1"/>
  <c r="T401" i="1" s="1"/>
  <c r="R400" i="1"/>
  <c r="R399" i="1" l="1"/>
  <c r="S400" i="1"/>
  <c r="T400" i="1" s="1"/>
  <c r="R398" i="1" l="1"/>
  <c r="S399" i="1"/>
  <c r="T399" i="1" s="1"/>
  <c r="S398" i="1" l="1"/>
  <c r="T398" i="1" s="1"/>
  <c r="R397" i="1"/>
  <c r="S397" i="1" l="1"/>
  <c r="T397" i="1" s="1"/>
  <c r="R396" i="1"/>
  <c r="R395" i="1" l="1"/>
  <c r="S396" i="1"/>
  <c r="T396" i="1" s="1"/>
  <c r="R394" i="1" l="1"/>
  <c r="S395" i="1"/>
  <c r="T395" i="1" s="1"/>
  <c r="S394" i="1" l="1"/>
  <c r="T394" i="1" s="1"/>
  <c r="R393" i="1"/>
  <c r="S393" i="1" l="1"/>
  <c r="T393" i="1" s="1"/>
  <c r="R392" i="1"/>
  <c r="S392" i="1" l="1"/>
  <c r="T392" i="1" s="1"/>
  <c r="R391" i="1"/>
  <c r="R390" i="1" l="1"/>
  <c r="S391" i="1"/>
  <c r="T391" i="1" s="1"/>
  <c r="R389" i="1" l="1"/>
  <c r="S390" i="1"/>
  <c r="T390" i="1" s="1"/>
  <c r="S389" i="1" l="1"/>
  <c r="T389" i="1" s="1"/>
  <c r="R388" i="1"/>
  <c r="S388" i="1" l="1"/>
  <c r="T388" i="1" s="1"/>
  <c r="R387" i="1"/>
  <c r="R386" i="1" l="1"/>
  <c r="S387" i="1"/>
  <c r="T387" i="1" s="1"/>
  <c r="R385" i="1" l="1"/>
  <c r="S386" i="1"/>
  <c r="T386" i="1" s="1"/>
  <c r="S385" i="1" l="1"/>
  <c r="T385" i="1" s="1"/>
  <c r="R384" i="1"/>
  <c r="S384" i="1" l="1"/>
  <c r="T384" i="1" s="1"/>
  <c r="R383" i="1"/>
  <c r="S383" i="1" l="1"/>
  <c r="T383" i="1" s="1"/>
  <c r="R382" i="1"/>
  <c r="R381" i="1" l="1"/>
  <c r="S382" i="1"/>
  <c r="T382" i="1" s="1"/>
  <c r="R380" i="1" l="1"/>
  <c r="S381" i="1"/>
  <c r="T381" i="1" s="1"/>
  <c r="S380" i="1" l="1"/>
  <c r="T380" i="1" s="1"/>
  <c r="R379" i="1"/>
  <c r="S379" i="1" l="1"/>
  <c r="T379" i="1" s="1"/>
  <c r="R378" i="1"/>
  <c r="S378" i="1" l="1"/>
  <c r="T378" i="1" s="1"/>
  <c r="R377" i="1"/>
  <c r="R376" i="1" l="1"/>
  <c r="S377" i="1"/>
  <c r="T377" i="1" s="1"/>
  <c r="R375" i="1" l="1"/>
  <c r="S376" i="1"/>
  <c r="T376" i="1" s="1"/>
  <c r="S375" i="1" l="1"/>
  <c r="T375" i="1" s="1"/>
  <c r="R374" i="1"/>
  <c r="S374" i="1" l="1"/>
  <c r="T374" i="1" s="1"/>
  <c r="R373" i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S368" i="1" l="1"/>
  <c r="T368" i="1" s="1"/>
  <c r="R367" i="1"/>
  <c r="S367" i="1" l="1"/>
  <c r="T367" i="1" s="1"/>
  <c r="R366" i="1"/>
  <c r="S366" i="1" l="1"/>
  <c r="T366" i="1" s="1"/>
  <c r="R365" i="1"/>
  <c r="R364" i="1" l="1"/>
  <c r="S365" i="1"/>
  <c r="T365" i="1" s="1"/>
  <c r="S364" i="1" l="1"/>
  <c r="T364" i="1" s="1"/>
  <c r="R363" i="1"/>
  <c r="S363" i="1" l="1"/>
  <c r="T363" i="1" s="1"/>
  <c r="R362" i="1"/>
  <c r="R361" i="1" l="1"/>
  <c r="S362" i="1"/>
  <c r="T362" i="1" s="1"/>
  <c r="R360" i="1" l="1"/>
  <c r="S361" i="1"/>
  <c r="T361" i="1" s="1"/>
  <c r="S360" i="1" l="1"/>
  <c r="T360" i="1" s="1"/>
  <c r="R359" i="1"/>
  <c r="R358" i="1" l="1"/>
  <c r="S359" i="1"/>
  <c r="T359" i="1" s="1"/>
  <c r="S358" i="1" l="1"/>
  <c r="T358" i="1" s="1"/>
  <c r="R357" i="1"/>
  <c r="S357" i="1" l="1"/>
  <c r="T357" i="1" s="1"/>
  <c r="R356" i="1"/>
  <c r="S356" i="1" l="1"/>
  <c r="T356" i="1" s="1"/>
  <c r="R355" i="1"/>
  <c r="S355" i="1" l="1"/>
  <c r="T355" i="1" s="1"/>
  <c r="R354" i="1"/>
  <c r="R353" i="1" l="1"/>
  <c r="S354" i="1"/>
  <c r="T354" i="1" s="1"/>
  <c r="R352" i="1" l="1"/>
  <c r="S353" i="1"/>
  <c r="T353" i="1" s="1"/>
  <c r="S352" i="1" l="1"/>
  <c r="T352" i="1" s="1"/>
  <c r="R351" i="1"/>
  <c r="S351" i="1" l="1"/>
  <c r="T351" i="1" s="1"/>
  <c r="R350" i="1"/>
  <c r="R349" i="1" l="1"/>
  <c r="S350" i="1"/>
  <c r="T350" i="1" s="1"/>
  <c r="R348" i="1" l="1"/>
  <c r="S349" i="1"/>
  <c r="T349" i="1" s="1"/>
  <c r="S348" i="1" l="1"/>
  <c r="T348" i="1" s="1"/>
  <c r="R347" i="1"/>
  <c r="S347" i="1" l="1"/>
  <c r="T347" i="1" s="1"/>
  <c r="R346" i="1"/>
  <c r="S346" i="1" l="1"/>
  <c r="T346" i="1" s="1"/>
  <c r="R345" i="1"/>
  <c r="R344" i="1" l="1"/>
  <c r="S345" i="1"/>
  <c r="T345" i="1" s="1"/>
  <c r="R343" i="1" l="1"/>
  <c r="S344" i="1"/>
  <c r="T344" i="1" s="1"/>
  <c r="S343" i="1" l="1"/>
  <c r="T343" i="1" s="1"/>
  <c r="R342" i="1"/>
  <c r="S342" i="1" l="1"/>
  <c r="T342" i="1" s="1"/>
  <c r="R341" i="1"/>
  <c r="R340" i="1" l="1"/>
  <c r="S341" i="1"/>
  <c r="T341" i="1" s="1"/>
  <c r="R339" i="1" l="1"/>
  <c r="S340" i="1"/>
  <c r="T340" i="1" s="1"/>
  <c r="R338" i="1" l="1"/>
  <c r="S339" i="1"/>
  <c r="T339" i="1" s="1"/>
  <c r="S338" i="1" l="1"/>
  <c r="T338" i="1" s="1"/>
  <c r="R337" i="1"/>
  <c r="S337" i="1" l="1"/>
  <c r="T337" i="1" s="1"/>
  <c r="R336" i="1"/>
  <c r="R335" i="1" l="1"/>
  <c r="S336" i="1"/>
  <c r="T336" i="1" s="1"/>
  <c r="S335" i="1" l="1"/>
  <c r="T335" i="1" s="1"/>
  <c r="R334" i="1"/>
  <c r="S334" i="1" l="1"/>
  <c r="T334" i="1" s="1"/>
  <c r="R333" i="1"/>
  <c r="R332" i="1" l="1"/>
  <c r="S333" i="1"/>
  <c r="T333" i="1" s="1"/>
  <c r="S332" i="1" l="1"/>
  <c r="T332" i="1" s="1"/>
  <c r="R331" i="1"/>
  <c r="S331" i="1" l="1"/>
  <c r="T331" i="1" s="1"/>
  <c r="R330" i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S326" i="1" l="1"/>
  <c r="T326" i="1" s="1"/>
  <c r="R325" i="1"/>
  <c r="R324" i="1" l="1"/>
  <c r="S325" i="1"/>
  <c r="T325" i="1" s="1"/>
  <c r="R323" i="1" l="1"/>
  <c r="S324" i="1"/>
  <c r="T324" i="1" s="1"/>
  <c r="S323" i="1" l="1"/>
  <c r="T323" i="1" s="1"/>
  <c r="R322" i="1"/>
  <c r="R321" i="1" l="1"/>
  <c r="S322" i="1"/>
  <c r="T322" i="1" s="1"/>
  <c r="R320" i="1" l="1"/>
  <c r="S321" i="1"/>
  <c r="T321" i="1" s="1"/>
  <c r="S320" i="1" l="1"/>
  <c r="T320" i="1" s="1"/>
  <c r="R319" i="1"/>
  <c r="S319" i="1" l="1"/>
  <c r="T319" i="1" s="1"/>
  <c r="R318" i="1"/>
  <c r="R317" i="1" l="1"/>
  <c r="S318" i="1"/>
  <c r="T318" i="1" s="1"/>
  <c r="R316" i="1" l="1"/>
  <c r="S317" i="1"/>
  <c r="T317" i="1" s="1"/>
  <c r="S316" i="1" l="1"/>
  <c r="T316" i="1" s="1"/>
  <c r="R315" i="1"/>
  <c r="R314" i="1" l="1"/>
  <c r="S315" i="1"/>
  <c r="T315" i="1" s="1"/>
  <c r="R313" i="1" l="1"/>
  <c r="S314" i="1"/>
  <c r="T314" i="1" s="1"/>
  <c r="S313" i="1" l="1"/>
  <c r="T313" i="1" s="1"/>
  <c r="R312" i="1"/>
  <c r="R311" i="1" l="1"/>
  <c r="S312" i="1"/>
  <c r="T312" i="1" s="1"/>
  <c r="R310" i="1" l="1"/>
  <c r="S311" i="1"/>
  <c r="T311" i="1" s="1"/>
  <c r="S310" i="1" l="1"/>
  <c r="T310" i="1" s="1"/>
  <c r="R309" i="1"/>
  <c r="S309" i="1" l="1"/>
  <c r="T309" i="1" s="1"/>
  <c r="R308" i="1"/>
  <c r="R307" i="1" l="1"/>
  <c r="S308" i="1"/>
  <c r="T308" i="1" s="1"/>
  <c r="R306" i="1" l="1"/>
  <c r="S307" i="1"/>
  <c r="T307" i="1" s="1"/>
  <c r="S306" i="1" l="1"/>
  <c r="T306" i="1" s="1"/>
  <c r="R305" i="1"/>
  <c r="S305" i="1" l="1"/>
  <c r="T305" i="1" s="1"/>
  <c r="R304" i="1"/>
  <c r="R303" i="1" l="1"/>
  <c r="S304" i="1"/>
  <c r="T304" i="1" s="1"/>
  <c r="R302" i="1" l="1"/>
  <c r="S303" i="1"/>
  <c r="T303" i="1" s="1"/>
  <c r="S302" i="1" l="1"/>
  <c r="T302" i="1" s="1"/>
  <c r="R301" i="1"/>
  <c r="R300" i="1" l="1"/>
  <c r="S301" i="1"/>
  <c r="T301" i="1" s="1"/>
  <c r="R299" i="1" l="1"/>
  <c r="S300" i="1"/>
  <c r="T300" i="1" s="1"/>
  <c r="S299" i="1" l="1"/>
  <c r="T299" i="1" s="1"/>
  <c r="R298" i="1"/>
  <c r="S298" i="1" l="1"/>
  <c r="T298" i="1" s="1"/>
  <c r="R297" i="1"/>
  <c r="S297" i="1" l="1"/>
  <c r="T297" i="1" s="1"/>
  <c r="R296" i="1"/>
  <c r="S296" i="1" l="1"/>
  <c r="T296" i="1" s="1"/>
  <c r="R295" i="1"/>
  <c r="R294" i="1" l="1"/>
  <c r="S295" i="1"/>
  <c r="T295" i="1" s="1"/>
  <c r="R293" i="1" l="1"/>
  <c r="S294" i="1"/>
  <c r="T294" i="1" s="1"/>
  <c r="S293" i="1" l="1"/>
  <c r="T293" i="1" s="1"/>
  <c r="R292" i="1"/>
  <c r="S292" i="1" l="1"/>
  <c r="T292" i="1" s="1"/>
  <c r="R291" i="1"/>
  <c r="R290" i="1" l="1"/>
  <c r="S291" i="1"/>
  <c r="T291" i="1" s="1"/>
  <c r="R289" i="1" l="1"/>
  <c r="S290" i="1"/>
  <c r="T290" i="1" s="1"/>
  <c r="S289" i="1" l="1"/>
  <c r="T289" i="1" s="1"/>
  <c r="R288" i="1"/>
  <c r="R287" i="1" l="1"/>
  <c r="S288" i="1"/>
  <c r="T288" i="1" s="1"/>
  <c r="R286" i="1" l="1"/>
  <c r="S287" i="1"/>
  <c r="T287" i="1" s="1"/>
  <c r="S286" i="1" l="1"/>
  <c r="T286" i="1" s="1"/>
  <c r="R285" i="1"/>
  <c r="S285" i="1" l="1"/>
  <c r="T285" i="1" s="1"/>
  <c r="R284" i="1"/>
  <c r="R283" i="1" l="1"/>
  <c r="S284" i="1"/>
  <c r="T284" i="1" s="1"/>
  <c r="R282" i="1" l="1"/>
  <c r="S283" i="1"/>
  <c r="T283" i="1" s="1"/>
  <c r="S282" i="1" l="1"/>
  <c r="T282" i="1" s="1"/>
  <c r="R281" i="1"/>
  <c r="S281" i="1" l="1"/>
  <c r="T281" i="1" s="1"/>
  <c r="R280" i="1"/>
  <c r="R279" i="1" l="1"/>
  <c r="S280" i="1"/>
  <c r="T280" i="1" s="1"/>
  <c r="R278" i="1" l="1"/>
  <c r="S279" i="1"/>
  <c r="T279" i="1" s="1"/>
  <c r="S278" i="1" l="1"/>
  <c r="T278" i="1" s="1"/>
  <c r="R277" i="1"/>
  <c r="S277" i="1" l="1"/>
  <c r="T277" i="1" s="1"/>
  <c r="R276" i="1"/>
  <c r="R275" i="1" l="1"/>
  <c r="S276" i="1"/>
  <c r="T276" i="1" s="1"/>
  <c r="R274" i="1" l="1"/>
  <c r="S275" i="1"/>
  <c r="T275" i="1" s="1"/>
  <c r="S274" i="1" l="1"/>
  <c r="T274" i="1" s="1"/>
  <c r="R273" i="1"/>
  <c r="S273" i="1" l="1"/>
  <c r="T273" i="1" s="1"/>
  <c r="R272" i="1"/>
  <c r="R271" i="1" l="1"/>
  <c r="S272" i="1"/>
  <c r="T272" i="1" s="1"/>
  <c r="R270" i="1" l="1"/>
  <c r="S271" i="1"/>
  <c r="T271" i="1" s="1"/>
  <c r="S270" i="1" l="1"/>
  <c r="T270" i="1" s="1"/>
  <c r="R269" i="1"/>
  <c r="S269" i="1" l="1"/>
  <c r="T269" i="1" s="1"/>
  <c r="R268" i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S264" i="1" l="1"/>
  <c r="T264" i="1" s="1"/>
  <c r="R263" i="1"/>
  <c r="R262" i="1" l="1"/>
  <c r="S263" i="1"/>
  <c r="T263" i="1" s="1"/>
  <c r="R261" i="1" l="1"/>
  <c r="S262" i="1"/>
  <c r="T262" i="1" s="1"/>
  <c r="S261" i="1" l="1"/>
  <c r="T261" i="1" s="1"/>
  <c r="R260" i="1"/>
  <c r="S260" i="1" l="1"/>
  <c r="T260" i="1" s="1"/>
  <c r="R259" i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S255" i="1" l="1"/>
  <c r="T255" i="1" s="1"/>
  <c r="R254" i="1"/>
  <c r="S254" i="1" l="1"/>
  <c r="T254" i="1" s="1"/>
  <c r="R253" i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S245" i="1" l="1"/>
  <c r="T245" i="1" s="1"/>
  <c r="R244" i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S240" i="1" l="1"/>
  <c r="T240" i="1" s="1"/>
  <c r="R239" i="1"/>
  <c r="R238" i="1" l="1"/>
  <c r="S239" i="1"/>
  <c r="T239" i="1" s="1"/>
  <c r="S238" i="1" l="1"/>
  <c r="T238" i="1" s="1"/>
  <c r="R237" i="1"/>
  <c r="R236" i="1" l="1"/>
  <c r="S237" i="1"/>
  <c r="T237" i="1" s="1"/>
  <c r="S236" i="1" l="1"/>
  <c r="T236" i="1" s="1"/>
  <c r="R235" i="1"/>
  <c r="R234" i="1" l="1"/>
  <c r="S235" i="1"/>
  <c r="T235" i="1" s="1"/>
  <c r="R233" i="1" l="1"/>
  <c r="S234" i="1"/>
  <c r="T234" i="1" s="1"/>
  <c r="S233" i="1" l="1"/>
  <c r="T233" i="1" s="1"/>
  <c r="R232" i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S225" i="1" l="1"/>
  <c r="T225" i="1" s="1"/>
  <c r="R224" i="1"/>
  <c r="S224" i="1" l="1"/>
  <c r="T224" i="1" s="1"/>
  <c r="R223" i="1"/>
  <c r="R222" i="1" l="1"/>
  <c r="S223" i="1"/>
  <c r="T223" i="1" s="1"/>
  <c r="R221" i="1" l="1"/>
  <c r="S222" i="1"/>
  <c r="T222" i="1" s="1"/>
  <c r="S221" i="1" l="1"/>
  <c r="T221" i="1" s="1"/>
  <c r="R220" i="1"/>
  <c r="R219" i="1" l="1"/>
  <c r="S220" i="1"/>
  <c r="T220" i="1" s="1"/>
  <c r="S219" i="1" l="1"/>
  <c r="T219" i="1" s="1"/>
  <c r="R218" i="1"/>
  <c r="S218" i="1" l="1"/>
  <c r="T218" i="1" s="1"/>
  <c r="R217" i="1"/>
  <c r="R216" i="1" l="1"/>
  <c r="S217" i="1"/>
  <c r="T217" i="1" s="1"/>
  <c r="S216" i="1" l="1"/>
  <c r="T216" i="1" s="1"/>
  <c r="R215" i="1"/>
  <c r="R214" i="1" l="1"/>
  <c r="S215" i="1"/>
  <c r="T215" i="1" s="1"/>
  <c r="R213" i="1" l="1"/>
  <c r="S214" i="1"/>
  <c r="T214" i="1" s="1"/>
  <c r="S213" i="1" l="1"/>
  <c r="T213" i="1" s="1"/>
  <c r="R212" i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S201" i="1" l="1"/>
  <c r="T201" i="1" s="1"/>
  <c r="R200" i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S194" i="1" l="1"/>
  <c r="T194" i="1" s="1"/>
  <c r="R193" i="1"/>
  <c r="S193" i="1" l="1"/>
  <c r="T193" i="1" s="1"/>
  <c r="R192" i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S185" i="1" l="1"/>
  <c r="T185" i="1" s="1"/>
  <c r="R184" i="1"/>
  <c r="S184" i="1" l="1"/>
  <c r="T184" i="1" s="1"/>
  <c r="R183" i="1"/>
  <c r="R182" i="1" l="1"/>
  <c r="S183" i="1"/>
  <c r="T183" i="1" s="1"/>
  <c r="R181" i="1" l="1"/>
  <c r="S182" i="1"/>
  <c r="T182" i="1" s="1"/>
  <c r="S181" i="1" l="1"/>
  <c r="T181" i="1" s="1"/>
  <c r="R180" i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S176" i="1" l="1"/>
  <c r="T176" i="1" s="1"/>
  <c r="R175" i="1"/>
  <c r="S175" i="1" l="1"/>
  <c r="T175" i="1" s="1"/>
  <c r="R174" i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R165" i="1" l="1"/>
  <c r="S166" i="1"/>
  <c r="T166" i="1" s="1"/>
  <c r="S165" i="1" l="1"/>
  <c r="T165" i="1" s="1"/>
  <c r="R164" i="1"/>
  <c r="R163" i="1" l="1"/>
  <c r="S164" i="1"/>
  <c r="T164" i="1" s="1"/>
  <c r="R162" i="1" l="1"/>
  <c r="S163" i="1"/>
  <c r="T163" i="1" s="1"/>
  <c r="S162" i="1" l="1"/>
  <c r="T162" i="1" s="1"/>
  <c r="R161" i="1"/>
  <c r="S161" i="1" l="1"/>
  <c r="T161" i="1" s="1"/>
  <c r="R160" i="1"/>
  <c r="R159" i="1" l="1"/>
  <c r="S160" i="1"/>
  <c r="T160" i="1" s="1"/>
  <c r="R158" i="1" l="1"/>
  <c r="S159" i="1"/>
  <c r="T159" i="1" s="1"/>
  <c r="S158" i="1" l="1"/>
  <c r="T158" i="1" s="1"/>
  <c r="R157" i="1"/>
  <c r="S157" i="1" l="1"/>
  <c r="T157" i="1" s="1"/>
  <c r="R156" i="1"/>
  <c r="R155" i="1" l="1"/>
  <c r="S156" i="1"/>
  <c r="T156" i="1" s="1"/>
  <c r="R154" i="1" l="1"/>
  <c r="S155" i="1"/>
  <c r="T155" i="1" s="1"/>
  <c r="S154" i="1" l="1"/>
  <c r="T154" i="1" s="1"/>
  <c r="R153" i="1"/>
  <c r="S153" i="1" l="1"/>
  <c r="T153" i="1" s="1"/>
  <c r="R152" i="1"/>
  <c r="R151" i="1" l="1"/>
  <c r="S152" i="1"/>
  <c r="T152" i="1" s="1"/>
  <c r="R150" i="1" l="1"/>
  <c r="S151" i="1"/>
  <c r="T151" i="1" s="1"/>
  <c r="S150" i="1" l="1"/>
  <c r="T150" i="1" s="1"/>
  <c r="R149" i="1"/>
  <c r="S149" i="1" l="1"/>
  <c r="T149" i="1" s="1"/>
  <c r="R148" i="1"/>
  <c r="R147" i="1" l="1"/>
  <c r="S148" i="1"/>
  <c r="T148" i="1" s="1"/>
  <c r="R146" i="1" l="1"/>
  <c r="S147" i="1"/>
  <c r="T147" i="1" s="1"/>
  <c r="R145" i="1" l="1"/>
  <c r="S146" i="1"/>
  <c r="T146" i="1" s="1"/>
  <c r="S145" i="1" l="1"/>
  <c r="T145" i="1" s="1"/>
  <c r="R144" i="1"/>
  <c r="S144" i="1" l="1"/>
  <c r="T144" i="1" s="1"/>
  <c r="R143" i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S138" i="1" l="1"/>
  <c r="T138" i="1" s="1"/>
  <c r="R137" i="1"/>
  <c r="R136" i="1" l="1"/>
  <c r="S137" i="1"/>
  <c r="T137" i="1" s="1"/>
  <c r="R135" i="1" l="1"/>
  <c r="S136" i="1"/>
  <c r="T136" i="1" s="1"/>
  <c r="S135" i="1" l="1"/>
  <c r="T135" i="1" s="1"/>
  <c r="R134" i="1"/>
  <c r="S134" i="1" l="1"/>
  <c r="T134" i="1" s="1"/>
  <c r="R133" i="1"/>
  <c r="R132" i="1" l="1"/>
  <c r="S133" i="1"/>
  <c r="T133" i="1" s="1"/>
  <c r="R131" i="1" l="1"/>
  <c r="S132" i="1"/>
  <c r="T132" i="1" s="1"/>
  <c r="R130" i="1" l="1"/>
  <c r="S131" i="1"/>
  <c r="T131" i="1" s="1"/>
  <c r="S130" i="1" l="1"/>
  <c r="T130" i="1" s="1"/>
  <c r="R129" i="1"/>
  <c r="S129" i="1" l="1"/>
  <c r="T129" i="1" s="1"/>
  <c r="R128" i="1"/>
  <c r="R127" i="1" l="1"/>
  <c r="S128" i="1"/>
  <c r="T128" i="1" s="1"/>
  <c r="S127" i="1" l="1"/>
  <c r="T127" i="1" s="1"/>
  <c r="R126" i="1"/>
  <c r="S126" i="1" l="1"/>
  <c r="T126" i="1" s="1"/>
  <c r="R125" i="1"/>
  <c r="R124" i="1" l="1"/>
  <c r="S125" i="1"/>
  <c r="T125" i="1" s="1"/>
  <c r="S124" i="1" l="1"/>
  <c r="T124" i="1" s="1"/>
  <c r="R123" i="1"/>
  <c r="R122" i="1" l="1"/>
  <c r="S123" i="1"/>
  <c r="T123" i="1" s="1"/>
  <c r="R121" i="1" l="1"/>
  <c r="S122" i="1"/>
  <c r="T122" i="1" s="1"/>
  <c r="S121" i="1" l="1"/>
  <c r="T121" i="1" s="1"/>
  <c r="R120" i="1"/>
  <c r="S120" i="1" l="1"/>
  <c r="T120" i="1" s="1"/>
  <c r="R119" i="1"/>
  <c r="S119" i="1" l="1"/>
  <c r="T119" i="1" s="1"/>
  <c r="R118" i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S114" i="1" l="1"/>
  <c r="T114" i="1" s="1"/>
  <c r="R113" i="1"/>
  <c r="S113" i="1" l="1"/>
  <c r="T113" i="1" s="1"/>
  <c r="R112" i="1"/>
  <c r="R111" i="1" l="1"/>
  <c r="S112" i="1"/>
  <c r="T112" i="1" s="1"/>
  <c r="S111" i="1" l="1"/>
  <c r="T111" i="1" s="1"/>
  <c r="R110" i="1"/>
  <c r="S110" i="1" l="1"/>
  <c r="T110" i="1" s="1"/>
  <c r="R109" i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S97" i="1" l="1"/>
  <c r="T97" i="1" s="1"/>
  <c r="R96" i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S90" i="1" l="1"/>
  <c r="T90" i="1" s="1"/>
  <c r="R89" i="1"/>
  <c r="R88" i="1" l="1"/>
  <c r="S89" i="1"/>
  <c r="T89" i="1" s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S77" i="1" l="1"/>
  <c r="T77" i="1" s="1"/>
  <c r="R76" i="1"/>
  <c r="R75" i="1" l="1"/>
  <c r="S76" i="1"/>
  <c r="T76" i="1" s="1"/>
  <c r="R74" i="1" l="1"/>
  <c r="S75" i="1"/>
  <c r="T75" i="1" s="1"/>
  <c r="S74" i="1" l="1"/>
  <c r="T74" i="1" s="1"/>
  <c r="R73" i="1"/>
  <c r="S73" i="1" l="1"/>
  <c r="T73" i="1" s="1"/>
  <c r="R72" i="1"/>
  <c r="R71" i="1" l="1"/>
  <c r="S72" i="1"/>
  <c r="T72" i="1" s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S58" i="1" l="1"/>
  <c r="T58" i="1" s="1"/>
  <c r="R57" i="1"/>
  <c r="S57" i="1" l="1"/>
  <c r="T57" i="1" s="1"/>
  <c r="R56" i="1"/>
  <c r="S56" i="1" l="1"/>
  <c r="T56" i="1" s="1"/>
  <c r="R55" i="1"/>
  <c r="S55" i="1" l="1"/>
  <c r="T55" i="1" s="1"/>
  <c r="R54" i="1"/>
  <c r="R53" i="1" l="1"/>
  <c r="S54" i="1"/>
  <c r="T54" i="1" s="1"/>
  <c r="R52" i="1" l="1"/>
  <c r="S53" i="1"/>
  <c r="T53" i="1" s="1"/>
  <c r="S52" i="1" l="1"/>
  <c r="T52" i="1" s="1"/>
  <c r="R51" i="1"/>
  <c r="S51" i="1" l="1"/>
  <c r="T51" i="1" s="1"/>
  <c r="R50" i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R40" i="1" l="1"/>
  <c r="S41" i="1"/>
  <c r="T41" i="1" s="1"/>
  <c r="S40" i="1" l="1"/>
  <c r="T40" i="1" s="1"/>
  <c r="R39" i="1"/>
  <c r="R38" i="1" l="1"/>
  <c r="S39" i="1"/>
  <c r="T39" i="1" s="1"/>
  <c r="R37" i="1" l="1"/>
  <c r="S38" i="1"/>
  <c r="T38" i="1" s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S30" i="1" l="1"/>
  <c r="T30" i="1" s="1"/>
  <c r="R29" i="1"/>
  <c r="S29" i="1" l="1"/>
  <c r="T29" i="1" s="1"/>
  <c r="R28" i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<sst xmlns="http://schemas.openxmlformats.org/spreadsheetml/2006/main" count="6580" uniqueCount="34">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</sst>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0.11849999999999999</c:v>
                </c:pt>
                <c:pt idx="1">
                  <c:v>0.1221</c:v>
                </c:pt>
                <c:pt idx="2">
                  <c:v>0.1208</c:v>
                </c:pt>
                <c:pt idx="3">
                  <c:v>0.1197</c:v>
                </c:pt>
                <c:pt idx="4">
                  <c:v>0.12470000000000001</c:v>
                </c:pt>
                <c:pt idx="5">
                  <c:v>0.1211</c:v>
                </c:pt>
                <c:pt idx="6">
                  <c:v>0.13800000000000001</c:v>
                </c:pt>
                <c:pt idx="7">
                  <c:v>0.16930000000000001</c:v>
                </c:pt>
                <c:pt idx="8">
                  <c:v>0.1686</c:v>
                </c:pt>
                <c:pt idx="9">
                  <c:v>0.1792</c:v>
                </c:pt>
                <c:pt idx="10">
                  <c:v>0.1767</c:v>
                </c:pt>
                <c:pt idx="11">
                  <c:v>0.18529999999999999</c:v>
                </c:pt>
                <c:pt idx="12">
                  <c:v>0.18609999999999999</c:v>
                </c:pt>
                <c:pt idx="13">
                  <c:v>0.18429999999999999</c:v>
                </c:pt>
                <c:pt idx="14">
                  <c:v>0.1855</c:v>
                </c:pt>
                <c:pt idx="15">
                  <c:v>0.1956</c:v>
                </c:pt>
                <c:pt idx="16">
                  <c:v>0.1832</c:v>
                </c:pt>
                <c:pt idx="17">
                  <c:v>0.1744</c:v>
                </c:pt>
                <c:pt idx="18">
                  <c:v>0.18840000000000001</c:v>
                </c:pt>
                <c:pt idx="19">
                  <c:v>0.185</c:v>
                </c:pt>
                <c:pt idx="20">
                  <c:v>0.18720000000000001</c:v>
                </c:pt>
                <c:pt idx="21">
                  <c:v>0.20480000000000001</c:v>
                </c:pt>
                <c:pt idx="22">
                  <c:v>0.2064</c:v>
                </c:pt>
                <c:pt idx="23">
                  <c:v>0.22189999999999999</c:v>
                </c:pt>
                <c:pt idx="24">
                  <c:v>0.2273</c:v>
                </c:pt>
                <c:pt idx="25">
                  <c:v>0.2258</c:v>
                </c:pt>
                <c:pt idx="26">
                  <c:v>0.2208</c:v>
                </c:pt>
                <c:pt idx="27">
                  <c:v>0.2198</c:v>
                </c:pt>
                <c:pt idx="28">
                  <c:v>0.21829999999999999</c:v>
                </c:pt>
                <c:pt idx="29">
                  <c:v>0.21279999999999999</c:v>
                </c:pt>
                <c:pt idx="30">
                  <c:v>0.22259999999999999</c:v>
                </c:pt>
                <c:pt idx="31">
                  <c:v>0.2457</c:v>
                </c:pt>
                <c:pt idx="32">
                  <c:v>0.24399999999999999</c:v>
                </c:pt>
                <c:pt idx="33">
                  <c:v>0.25080000000000002</c:v>
                </c:pt>
                <c:pt idx="34">
                  <c:v>0.24210000000000001</c:v>
                </c:pt>
                <c:pt idx="35">
                  <c:v>0.25990000000000002</c:v>
                </c:pt>
                <c:pt idx="36">
                  <c:v>0.23860000000000001</c:v>
                </c:pt>
                <c:pt idx="37">
                  <c:v>0.2369</c:v>
                </c:pt>
                <c:pt idx="38">
                  <c:v>0.2205</c:v>
                </c:pt>
                <c:pt idx="39">
                  <c:v>0.2329</c:v>
                </c:pt>
                <c:pt idx="40">
                  <c:v>0.2384</c:v>
                </c:pt>
                <c:pt idx="41">
                  <c:v>0.23019999999999999</c:v>
                </c:pt>
                <c:pt idx="42">
                  <c:v>0.2326</c:v>
                </c:pt>
                <c:pt idx="43">
                  <c:v>0.2366</c:v>
                </c:pt>
                <c:pt idx="44">
                  <c:v>0.23380000000000001</c:v>
                </c:pt>
                <c:pt idx="45">
                  <c:v>0.22550000000000001</c:v>
                </c:pt>
                <c:pt idx="46">
                  <c:v>0.26129999999999998</c:v>
                </c:pt>
                <c:pt idx="47">
                  <c:v>0.28220000000000001</c:v>
                </c:pt>
                <c:pt idx="48">
                  <c:v>0.2858</c:v>
                </c:pt>
                <c:pt idx="49">
                  <c:v>0.2898</c:v>
                </c:pt>
                <c:pt idx="50">
                  <c:v>0.36270000000000002</c:v>
                </c:pt>
                <c:pt idx="51">
                  <c:v>0.27660000000000001</c:v>
                </c:pt>
                <c:pt idx="52">
                  <c:v>0.24279999999999999</c:v>
                </c:pt>
                <c:pt idx="53">
                  <c:v>0.21410000000000001</c:v>
                </c:pt>
                <c:pt idx="54">
                  <c:v>0.23849999999999999</c:v>
                </c:pt>
                <c:pt idx="55">
                  <c:v>0.31430000000000002</c:v>
                </c:pt>
                <c:pt idx="56">
                  <c:v>0.33460000000000001</c:v>
                </c:pt>
                <c:pt idx="57">
                  <c:v>0.34720000000000001</c:v>
                </c:pt>
                <c:pt idx="58">
                  <c:v>0.33850000000000002</c:v>
                </c:pt>
                <c:pt idx="59">
                  <c:v>0.35849999999999999</c:v>
                </c:pt>
                <c:pt idx="60">
                  <c:v>0.3453</c:v>
                </c:pt>
                <c:pt idx="61">
                  <c:v>0.35830000000000001</c:v>
                </c:pt>
                <c:pt idx="62">
                  <c:v>0.3301</c:v>
                </c:pt>
                <c:pt idx="63">
                  <c:v>0.3659</c:v>
                </c:pt>
                <c:pt idx="64">
                  <c:v>0.34189999999999998</c:v>
                </c:pt>
                <c:pt idx="65">
                  <c:v>0.35220000000000001</c:v>
                </c:pt>
                <c:pt idx="66">
                  <c:v>0.37240000000000001</c:v>
                </c:pt>
                <c:pt idx="67">
                  <c:v>0.34029999999999999</c:v>
                </c:pt>
                <c:pt idx="68">
                  <c:v>0.34889999999999999</c:v>
                </c:pt>
                <c:pt idx="69">
                  <c:v>0.31869999999999998</c:v>
                </c:pt>
                <c:pt idx="70">
                  <c:v>0.2727</c:v>
                </c:pt>
                <c:pt idx="71">
                  <c:v>0.31759999999999999</c:v>
                </c:pt>
                <c:pt idx="72">
                  <c:v>0.32579999999999998</c:v>
                </c:pt>
                <c:pt idx="73">
                  <c:v>0.39229999999999998</c:v>
                </c:pt>
                <c:pt idx="74">
                  <c:v>0.36030000000000001</c:v>
                </c:pt>
                <c:pt idx="75">
                  <c:v>0.32640000000000002</c:v>
                </c:pt>
                <c:pt idx="76">
                  <c:v>0.3337</c:v>
                </c:pt>
                <c:pt idx="77">
                  <c:v>0.27579999999999999</c:v>
                </c:pt>
                <c:pt idx="78">
                  <c:v>0.26169999999999999</c:v>
                </c:pt>
                <c:pt idx="79">
                  <c:v>0.28160000000000002</c:v>
                </c:pt>
                <c:pt idx="80">
                  <c:v>0.28560000000000002</c:v>
                </c:pt>
                <c:pt idx="81">
                  <c:v>0.26869999999999999</c:v>
                </c:pt>
                <c:pt idx="82">
                  <c:v>0.2611</c:v>
                </c:pt>
                <c:pt idx="83">
                  <c:v>0.26750000000000002</c:v>
                </c:pt>
                <c:pt idx="84">
                  <c:v>0.26779999999999998</c:v>
                </c:pt>
                <c:pt idx="85">
                  <c:v>0.28620000000000001</c:v>
                </c:pt>
                <c:pt idx="86">
                  <c:v>0.27739999999999998</c:v>
                </c:pt>
                <c:pt idx="87">
                  <c:v>0.27239999999999998</c:v>
                </c:pt>
                <c:pt idx="88">
                  <c:v>0.26100000000000001</c:v>
                </c:pt>
                <c:pt idx="89">
                  <c:v>0.25940000000000002</c:v>
                </c:pt>
                <c:pt idx="90">
                  <c:v>0.246</c:v>
                </c:pt>
                <c:pt idx="91">
                  <c:v>0.23200000000000001</c:v>
                </c:pt>
                <c:pt idx="92">
                  <c:v>0.21809999999999999</c:v>
                </c:pt>
                <c:pt idx="93">
                  <c:v>0.25580000000000003</c:v>
                </c:pt>
                <c:pt idx="94">
                  <c:v>0.25280000000000002</c:v>
                </c:pt>
                <c:pt idx="95">
                  <c:v>0.24909999999999999</c:v>
                </c:pt>
                <c:pt idx="96">
                  <c:v>0.25990000000000002</c:v>
                </c:pt>
                <c:pt idx="97">
                  <c:v>0.25879999999999997</c:v>
                </c:pt>
                <c:pt idx="98">
                  <c:v>0.24970000000000001</c:v>
                </c:pt>
                <c:pt idx="99">
                  <c:v>0.26190000000000002</c:v>
                </c:pt>
                <c:pt idx="100">
                  <c:v>0.25059999999999999</c:v>
                </c:pt>
                <c:pt idx="101">
                  <c:v>0.2492</c:v>
                </c:pt>
                <c:pt idx="102">
                  <c:v>0.25359999999999999</c:v>
                </c:pt>
                <c:pt idx="103">
                  <c:v>0.2641</c:v>
                </c:pt>
                <c:pt idx="104">
                  <c:v>0.25380000000000003</c:v>
                </c:pt>
                <c:pt idx="105">
                  <c:v>0.25130000000000002</c:v>
                </c:pt>
                <c:pt idx="106">
                  <c:v>0.2379</c:v>
                </c:pt>
                <c:pt idx="107">
                  <c:v>0.2303</c:v>
                </c:pt>
                <c:pt idx="108">
                  <c:v>0.23400000000000001</c:v>
                </c:pt>
                <c:pt idx="109">
                  <c:v>0.2409</c:v>
                </c:pt>
                <c:pt idx="110">
                  <c:v>0.25750000000000001</c:v>
                </c:pt>
                <c:pt idx="111">
                  <c:v>0.252</c:v>
                </c:pt>
                <c:pt idx="112">
                  <c:v>0.2472</c:v>
                </c:pt>
                <c:pt idx="113">
                  <c:v>0.24690000000000001</c:v>
                </c:pt>
                <c:pt idx="114">
                  <c:v>0.24629999999999999</c:v>
                </c:pt>
                <c:pt idx="115">
                  <c:v>0.23599999999999999</c:v>
                </c:pt>
                <c:pt idx="116">
                  <c:v>0.22989999999999999</c:v>
                </c:pt>
                <c:pt idx="117">
                  <c:v>0.2303</c:v>
                </c:pt>
                <c:pt idx="118">
                  <c:v>0.23150000000000001</c:v>
                </c:pt>
                <c:pt idx="119">
                  <c:v>0.21279999999999999</c:v>
                </c:pt>
                <c:pt idx="120">
                  <c:v>0.19800000000000001</c:v>
                </c:pt>
                <c:pt idx="121">
                  <c:v>0.192</c:v>
                </c:pt>
                <c:pt idx="122">
                  <c:v>0.20619999999999999</c:v>
                </c:pt>
                <c:pt idx="123">
                  <c:v>0.20630000000000001</c:v>
                </c:pt>
                <c:pt idx="124">
                  <c:v>0.2112</c:v>
                </c:pt>
                <c:pt idx="125">
                  <c:v>0.21579999999999999</c:v>
                </c:pt>
                <c:pt idx="126">
                  <c:v>0.22739999999999999</c:v>
                </c:pt>
                <c:pt idx="127">
                  <c:v>0.22670000000000001</c:v>
                </c:pt>
                <c:pt idx="128">
                  <c:v>0.189</c:v>
                </c:pt>
                <c:pt idx="129">
                  <c:v>0.21729999999999999</c:v>
                </c:pt>
                <c:pt idx="130">
                  <c:v>0.24329999999999999</c:v>
                </c:pt>
                <c:pt idx="131">
                  <c:v>0.25490000000000002</c:v>
                </c:pt>
                <c:pt idx="132">
                  <c:v>0.25480000000000003</c:v>
                </c:pt>
                <c:pt idx="133">
                  <c:v>0.28129999999999999</c:v>
                </c:pt>
                <c:pt idx="134">
                  <c:v>0.26240000000000002</c:v>
                </c:pt>
                <c:pt idx="135">
                  <c:v>0.24440000000000001</c:v>
                </c:pt>
                <c:pt idx="136">
                  <c:v>0.25159999999999999</c:v>
                </c:pt>
                <c:pt idx="137">
                  <c:v>0.24809999999999999</c:v>
                </c:pt>
                <c:pt idx="138">
                  <c:v>0.2404</c:v>
                </c:pt>
                <c:pt idx="139">
                  <c:v>0.24060000000000001</c:v>
                </c:pt>
                <c:pt idx="140">
                  <c:v>0.2276</c:v>
                </c:pt>
                <c:pt idx="141">
                  <c:v>0.21809999999999999</c:v>
                </c:pt>
                <c:pt idx="142">
                  <c:v>0.2283</c:v>
                </c:pt>
                <c:pt idx="143">
                  <c:v>0.30680000000000002</c:v>
                </c:pt>
                <c:pt idx="144">
                  <c:v>0.30409999999999998</c:v>
                </c:pt>
                <c:pt idx="145">
                  <c:v>0.29580000000000001</c:v>
                </c:pt>
                <c:pt idx="146">
                  <c:v>0.28089999999999998</c:v>
                </c:pt>
                <c:pt idx="147">
                  <c:v>0.27510000000000001</c:v>
                </c:pt>
                <c:pt idx="148">
                  <c:v>0.26910000000000001</c:v>
                </c:pt>
                <c:pt idx="149">
                  <c:v>0.24890000000000001</c:v>
                </c:pt>
                <c:pt idx="150">
                  <c:v>0.23849999999999999</c:v>
                </c:pt>
                <c:pt idx="151">
                  <c:v>0.25009999999999999</c:v>
                </c:pt>
                <c:pt idx="152">
                  <c:v>0.2442</c:v>
                </c:pt>
                <c:pt idx="153">
                  <c:v>0.23710000000000001</c:v>
                </c:pt>
                <c:pt idx="154">
                  <c:v>0.22559999999999999</c:v>
                </c:pt>
                <c:pt idx="155">
                  <c:v>0.25176999999999999</c:v>
                </c:pt>
                <c:pt idx="156">
                  <c:v>0.24467</c:v>
                </c:pt>
                <c:pt idx="157">
                  <c:v>0.26185999999999998</c:v>
                </c:pt>
                <c:pt idx="158">
                  <c:v>0.25325999999999999</c:v>
                </c:pt>
                <c:pt idx="159">
                  <c:v>0.25440000000000002</c:v>
                </c:pt>
                <c:pt idx="160">
                  <c:v>0.25220999999999999</c:v>
                </c:pt>
                <c:pt idx="161">
                  <c:v>0.246</c:v>
                </c:pt>
                <c:pt idx="162">
                  <c:v>0.22091</c:v>
                </c:pt>
                <c:pt idx="163">
                  <c:v>0.22516</c:v>
                </c:pt>
                <c:pt idx="164">
                  <c:v>0.23552000000000001</c:v>
                </c:pt>
                <c:pt idx="165">
                  <c:v>0.24376</c:v>
                </c:pt>
                <c:pt idx="166">
                  <c:v>0.23044999999999999</c:v>
                </c:pt>
                <c:pt idx="167">
                  <c:v>0.2334</c:v>
                </c:pt>
                <c:pt idx="168">
                  <c:v>0.22885</c:v>
                </c:pt>
                <c:pt idx="169">
                  <c:v>0.20995</c:v>
                </c:pt>
                <c:pt idx="170">
                  <c:v>0.19769999999999999</c:v>
                </c:pt>
                <c:pt idx="171">
                  <c:v>0.19109999999999999</c:v>
                </c:pt>
                <c:pt idx="172">
                  <c:v>0.17784</c:v>
                </c:pt>
                <c:pt idx="173">
                  <c:v>0.19325000000000001</c:v>
                </c:pt>
                <c:pt idx="174">
                  <c:v>0.18812000000000001</c:v>
                </c:pt>
                <c:pt idx="175">
                  <c:v>0.18343000000000001</c:v>
                </c:pt>
                <c:pt idx="176">
                  <c:v>0.17335999999999999</c:v>
                </c:pt>
                <c:pt idx="177">
                  <c:v>0.17182</c:v>
                </c:pt>
                <c:pt idx="178">
                  <c:v>0.17091000000000001</c:v>
                </c:pt>
                <c:pt idx="179">
                  <c:v>0.16500000000000001</c:v>
                </c:pt>
                <c:pt idx="180">
                  <c:v>0.17152999999999999</c:v>
                </c:pt>
                <c:pt idx="181">
                  <c:v>0.16711000000000001</c:v>
                </c:pt>
                <c:pt idx="182">
                  <c:v>0.16364999999999999</c:v>
                </c:pt>
                <c:pt idx="183">
                  <c:v>0.15837999999999999</c:v>
                </c:pt>
                <c:pt idx="184">
                  <c:v>0.1545</c:v>
                </c:pt>
                <c:pt idx="185">
                  <c:v>0.14871000000000001</c:v>
                </c:pt>
                <c:pt idx="186">
                  <c:v>0.14652999999999999</c:v>
                </c:pt>
                <c:pt idx="187">
                  <c:v>0.14923</c:v>
                </c:pt>
                <c:pt idx="188">
                  <c:v>0.15024999999999999</c:v>
                </c:pt>
                <c:pt idx="189">
                  <c:v>0.13766</c:v>
                </c:pt>
                <c:pt idx="190">
                  <c:v>0.12851000000000001</c:v>
                </c:pt>
                <c:pt idx="191">
                  <c:v>0.1171</c:v>
                </c:pt>
                <c:pt idx="192">
                  <c:v>0.12540999999999999</c:v>
                </c:pt>
                <c:pt idx="193">
                  <c:v>0.13649</c:v>
                </c:pt>
                <c:pt idx="194">
                  <c:v>0.13181000000000001</c:v>
                </c:pt>
                <c:pt idx="195">
                  <c:v>0.13234000000000001</c:v>
                </c:pt>
                <c:pt idx="196">
                  <c:v>0.14940000000000001</c:v>
                </c:pt>
                <c:pt idx="197">
                  <c:v>0.14124</c:v>
                </c:pt>
                <c:pt idx="198">
                  <c:v>0.13850000000000001</c:v>
                </c:pt>
                <c:pt idx="199">
                  <c:v>0.14423</c:v>
                </c:pt>
                <c:pt idx="200">
                  <c:v>0.14612</c:v>
                </c:pt>
                <c:pt idx="201">
                  <c:v>0.14337</c:v>
                </c:pt>
                <c:pt idx="202">
                  <c:v>0.14781</c:v>
                </c:pt>
                <c:pt idx="203">
                  <c:v>0.14795</c:v>
                </c:pt>
                <c:pt idx="204">
                  <c:v>0.16769999999999999</c:v>
                </c:pt>
                <c:pt idx="205">
                  <c:v>0.15522</c:v>
                </c:pt>
                <c:pt idx="206">
                  <c:v>0.14712</c:v>
                </c:pt>
                <c:pt idx="207">
                  <c:v>0.15106</c:v>
                </c:pt>
                <c:pt idx="208">
                  <c:v>0.15345</c:v>
                </c:pt>
                <c:pt idx="209">
                  <c:v>0.13979</c:v>
                </c:pt>
                <c:pt idx="210">
                  <c:v>0.13814000000000001</c:v>
                </c:pt>
                <c:pt idx="211">
                  <c:v>0.14843999999999999</c:v>
                </c:pt>
                <c:pt idx="212">
                  <c:v>0.15347</c:v>
                </c:pt>
                <c:pt idx="213">
                  <c:v>0.13979</c:v>
                </c:pt>
                <c:pt idx="214">
                  <c:v>0.13225000000000001</c:v>
                </c:pt>
                <c:pt idx="215">
                  <c:v>0.12695000000000001</c:v>
                </c:pt>
                <c:pt idx="216">
                  <c:v>0.12984999999999999</c:v>
                </c:pt>
                <c:pt idx="217">
                  <c:v>0.14391000000000001</c:v>
                </c:pt>
                <c:pt idx="218">
                  <c:v>0.13689999999999999</c:v>
                </c:pt>
                <c:pt idx="219">
                  <c:v>0.12737000000000001</c:v>
                </c:pt>
                <c:pt idx="220">
                  <c:v>0.13264000000000001</c:v>
                </c:pt>
                <c:pt idx="221">
                  <c:v>0.17332</c:v>
                </c:pt>
                <c:pt idx="222">
                  <c:v>0.17102000000000001</c:v>
                </c:pt>
                <c:pt idx="223">
                  <c:v>0.17693</c:v>
                </c:pt>
                <c:pt idx="224">
                  <c:v>0.18865000000000001</c:v>
                </c:pt>
                <c:pt idx="225">
                  <c:v>0.20286000000000001</c:v>
                </c:pt>
                <c:pt idx="226">
                  <c:v>0.18456</c:v>
                </c:pt>
                <c:pt idx="227">
                  <c:v>0.18926000000000001</c:v>
                </c:pt>
                <c:pt idx="228">
                  <c:v>0.17857000000000001</c:v>
                </c:pt>
                <c:pt idx="229">
                  <c:v>0.17127999999999999</c:v>
                </c:pt>
                <c:pt idx="230">
                  <c:v>0.17205999999999999</c:v>
                </c:pt>
                <c:pt idx="231">
                  <c:v>0.19126000000000001</c:v>
                </c:pt>
                <c:pt idx="232">
                  <c:v>0.20655000000000001</c:v>
                </c:pt>
                <c:pt idx="233">
                  <c:v>0.17483000000000001</c:v>
                </c:pt>
                <c:pt idx="234">
                  <c:v>0.17699000000000001</c:v>
                </c:pt>
                <c:pt idx="235">
                  <c:v>0.19808999999999999</c:v>
                </c:pt>
                <c:pt idx="236">
                  <c:v>0.19</c:v>
                </c:pt>
                <c:pt idx="237">
                  <c:v>0.20025000000000001</c:v>
                </c:pt>
                <c:pt idx="238">
                  <c:v>0.22842999999999999</c:v>
                </c:pt>
                <c:pt idx="239">
                  <c:v>0.21881999999999999</c:v>
                </c:pt>
                <c:pt idx="240">
                  <c:v>0.21187</c:v>
                </c:pt>
                <c:pt idx="241">
                  <c:v>0.22331999999999999</c:v>
                </c:pt>
                <c:pt idx="242">
                  <c:v>0.19999</c:v>
                </c:pt>
                <c:pt idx="243">
                  <c:v>0.18845999999999999</c:v>
                </c:pt>
                <c:pt idx="244">
                  <c:v>0.19903999999999999</c:v>
                </c:pt>
                <c:pt idx="245">
                  <c:v>0.23046</c:v>
                </c:pt>
                <c:pt idx="246">
                  <c:v>0.25167</c:v>
                </c:pt>
                <c:pt idx="247">
                  <c:v>0.18428</c:v>
                </c:pt>
                <c:pt idx="248">
                  <c:v>0.19717000000000001</c:v>
                </c:pt>
                <c:pt idx="249">
                  <c:v>0.14269999999999999</c:v>
                </c:pt>
                <c:pt idx="250">
                  <c:v>0.17777999999999999</c:v>
                </c:pt>
                <c:pt idx="251">
                  <c:v>0.19961000000000001</c:v>
                </c:pt>
                <c:pt idx="252">
                  <c:v>0.24548</c:v>
                </c:pt>
                <c:pt idx="253">
                  <c:v>0.23419999999999999</c:v>
                </c:pt>
                <c:pt idx="254">
                  <c:v>0.39360000000000001</c:v>
                </c:pt>
                <c:pt idx="255">
                  <c:v>0.35127999999999998</c:v>
                </c:pt>
                <c:pt idx="256">
                  <c:v>0.40122000000000002</c:v>
                </c:pt>
                <c:pt idx="257">
                  <c:v>0.41449000000000003</c:v>
                </c:pt>
                <c:pt idx="258">
                  <c:v>0.36251</c:v>
                </c:pt>
                <c:pt idx="259">
                  <c:v>0.39255000000000001</c:v>
                </c:pt>
                <c:pt idx="260">
                  <c:v>0.31890000000000002</c:v>
                </c:pt>
                <c:pt idx="261">
                  <c:v>0.36424000000000001</c:v>
                </c:pt>
                <c:pt idx="262">
                  <c:v>0.34731000000000001</c:v>
                </c:pt>
                <c:pt idx="263">
                  <c:v>0.40200000000000002</c:v>
                </c:pt>
                <c:pt idx="264">
                  <c:v>0.37548999999999999</c:v>
                </c:pt>
                <c:pt idx="265">
                  <c:v>0.37525999999999998</c:v>
                </c:pt>
                <c:pt idx="266">
                  <c:v>0.38552999999999998</c:v>
                </c:pt>
                <c:pt idx="267">
                  <c:v>0.40547</c:v>
                </c:pt>
                <c:pt idx="268">
                  <c:v>0.37874999999999998</c:v>
                </c:pt>
                <c:pt idx="269">
                  <c:v>0.44248999999999999</c:v>
                </c:pt>
                <c:pt idx="270">
                  <c:v>0.40322999999999998</c:v>
                </c:pt>
                <c:pt idx="271">
                  <c:v>0.41932999999999998</c:v>
                </c:pt>
                <c:pt idx="272">
                  <c:v>0.42954999999999999</c:v>
                </c:pt>
                <c:pt idx="273">
                  <c:v>0.41813</c:v>
                </c:pt>
                <c:pt idx="274">
                  <c:v>0.37667</c:v>
                </c:pt>
                <c:pt idx="275">
                  <c:v>0.40057999999999999</c:v>
                </c:pt>
                <c:pt idx="276">
                  <c:v>0.35426000000000002</c:v>
                </c:pt>
                <c:pt idx="277">
                  <c:v>0.29099000000000003</c:v>
                </c:pt>
                <c:pt idx="278">
                  <c:v>0.28167999999999999</c:v>
                </c:pt>
                <c:pt idx="279">
                  <c:v>0.32089000000000001</c:v>
                </c:pt>
                <c:pt idx="280">
                  <c:v>0.32408999999999999</c:v>
                </c:pt>
                <c:pt idx="281">
                  <c:v>0.36470999999999998</c:v>
                </c:pt>
                <c:pt idx="282">
                  <c:v>0.38923999999999997</c:v>
                </c:pt>
                <c:pt idx="283">
                  <c:v>0.38024999999999998</c:v>
                </c:pt>
                <c:pt idx="284">
                  <c:v>0.43842999999999999</c:v>
                </c:pt>
                <c:pt idx="285">
                  <c:v>0.52856999999999998</c:v>
                </c:pt>
                <c:pt idx="286">
                  <c:v>0.50746000000000002</c:v>
                </c:pt>
                <c:pt idx="287">
                  <c:v>0.53229000000000004</c:v>
                </c:pt>
                <c:pt idx="288">
                  <c:v>0.50029000000000001</c:v>
                </c:pt>
                <c:pt idx="289">
                  <c:v>0.50756000000000001</c:v>
                </c:pt>
                <c:pt idx="290">
                  <c:v>0.50212999999999997</c:v>
                </c:pt>
                <c:pt idx="291">
                  <c:v>0.5111</c:v>
                </c:pt>
                <c:pt idx="292">
                  <c:v>0.51019999999999999</c:v>
                </c:pt>
                <c:pt idx="293">
                  <c:v>0.53025</c:v>
                </c:pt>
                <c:pt idx="294">
                  <c:v>0.55066999999999999</c:v>
                </c:pt>
                <c:pt idx="295">
                  <c:v>0.49929000000000001</c:v>
                </c:pt>
                <c:pt idx="296">
                  <c:v>0.49199999999999999</c:v>
                </c:pt>
                <c:pt idx="297">
                  <c:v>0.51910000000000001</c:v>
                </c:pt>
                <c:pt idx="298">
                  <c:v>0.49458999999999997</c:v>
                </c:pt>
                <c:pt idx="299">
                  <c:v>0.46708</c:v>
                </c:pt>
                <c:pt idx="300">
                  <c:v>0.53171000000000002</c:v>
                </c:pt>
                <c:pt idx="301">
                  <c:v>0.54215000000000002</c:v>
                </c:pt>
                <c:pt idx="302">
                  <c:v>0.48996000000000001</c:v>
                </c:pt>
                <c:pt idx="303">
                  <c:v>0.52508999999999995</c:v>
                </c:pt>
                <c:pt idx="304">
                  <c:v>0.51865000000000006</c:v>
                </c:pt>
                <c:pt idx="305">
                  <c:v>0.52203999999999995</c:v>
                </c:pt>
                <c:pt idx="306">
                  <c:v>0.55032000000000003</c:v>
                </c:pt>
                <c:pt idx="307">
                  <c:v>0.41363</c:v>
                </c:pt>
                <c:pt idx="308">
                  <c:v>0.39810000000000001</c:v>
                </c:pt>
                <c:pt idx="309">
                  <c:v>0.36320999999999998</c:v>
                </c:pt>
                <c:pt idx="310">
                  <c:v>0.39633000000000002</c:v>
                </c:pt>
                <c:pt idx="311">
                  <c:v>0.32413999999999998</c:v>
                </c:pt>
                <c:pt idx="312">
                  <c:v>0.36596000000000001</c:v>
                </c:pt>
                <c:pt idx="313">
                  <c:v>0.36699999999999999</c:v>
                </c:pt>
                <c:pt idx="314">
                  <c:v>0.38513999999999998</c:v>
                </c:pt>
                <c:pt idx="315">
                  <c:v>0.39604</c:v>
                </c:pt>
                <c:pt idx="316">
                  <c:v>0.45195000000000002</c:v>
                </c:pt>
                <c:pt idx="317">
                  <c:v>0.36557000000000001</c:v>
                </c:pt>
                <c:pt idx="318">
                  <c:v>0.38579000000000002</c:v>
                </c:pt>
                <c:pt idx="319">
                  <c:v>0.35049999999999998</c:v>
                </c:pt>
                <c:pt idx="320">
                  <c:v>0.38497999999999999</c:v>
                </c:pt>
                <c:pt idx="321">
                  <c:v>0.35210000000000002</c:v>
                </c:pt>
                <c:pt idx="322">
                  <c:v>0.38817000000000002</c:v>
                </c:pt>
                <c:pt idx="323">
                  <c:v>0.39454</c:v>
                </c:pt>
                <c:pt idx="324">
                  <c:v>0.36518</c:v>
                </c:pt>
                <c:pt idx="325">
                  <c:v>0.25918999999999998</c:v>
                </c:pt>
                <c:pt idx="326">
                  <c:v>0.27576000000000001</c:v>
                </c:pt>
                <c:pt idx="327">
                  <c:v>0.22284000000000001</c:v>
                </c:pt>
                <c:pt idx="328">
                  <c:v>0.22638</c:v>
                </c:pt>
                <c:pt idx="329">
                  <c:v>0.21698999999999999</c:v>
                </c:pt>
                <c:pt idx="330">
                  <c:v>0.21701000000000001</c:v>
                </c:pt>
                <c:pt idx="331">
                  <c:v>0.17438000000000001</c:v>
                </c:pt>
                <c:pt idx="332">
                  <c:v>0.18739</c:v>
                </c:pt>
                <c:pt idx="333">
                  <c:v>0.17113999999999999</c:v>
                </c:pt>
                <c:pt idx="334">
                  <c:v>0.17132</c:v>
                </c:pt>
                <c:pt idx="335">
                  <c:v>0.15461</c:v>
                </c:pt>
                <c:pt idx="336">
                  <c:v>0.16198000000000001</c:v>
                </c:pt>
                <c:pt idx="337">
                  <c:v>0.18282999999999999</c:v>
                </c:pt>
                <c:pt idx="338">
                  <c:v>0.14366999999999999</c:v>
                </c:pt>
                <c:pt idx="339">
                  <c:v>0.18773999999999999</c:v>
                </c:pt>
                <c:pt idx="340">
                  <c:v>0.20849000000000001</c:v>
                </c:pt>
                <c:pt idx="341">
                  <c:v>0.20321</c:v>
                </c:pt>
                <c:pt idx="342">
                  <c:v>0.22667999999999999</c:v>
                </c:pt>
                <c:pt idx="343">
                  <c:v>0.23927999999999999</c:v>
                </c:pt>
                <c:pt idx="344">
                  <c:v>0.23663999999999999</c:v>
                </c:pt>
                <c:pt idx="345">
                  <c:v>0.24081</c:v>
                </c:pt>
                <c:pt idx="346">
                  <c:v>0.20307</c:v>
                </c:pt>
                <c:pt idx="347">
                  <c:v>0.23469000000000001</c:v>
                </c:pt>
                <c:pt idx="348">
                  <c:v>0.22417000000000001</c:v>
                </c:pt>
                <c:pt idx="349">
                  <c:v>0.2205</c:v>
                </c:pt>
                <c:pt idx="350">
                  <c:v>0.19716</c:v>
                </c:pt>
                <c:pt idx="351">
                  <c:v>0.20301</c:v>
                </c:pt>
                <c:pt idx="352">
                  <c:v>0.17008000000000001</c:v>
                </c:pt>
                <c:pt idx="353">
                  <c:v>0.14532</c:v>
                </c:pt>
                <c:pt idx="354">
                  <c:v>0.14111000000000001</c:v>
                </c:pt>
                <c:pt idx="355">
                  <c:v>0.14466999999999999</c:v>
                </c:pt>
                <c:pt idx="356">
                  <c:v>0.16199</c:v>
                </c:pt>
                <c:pt idx="357">
                  <c:v>0.14221</c:v>
                </c:pt>
                <c:pt idx="358">
                  <c:v>0.15124000000000001</c:v>
                </c:pt>
                <c:pt idx="359">
                  <c:v>0.14804</c:v>
                </c:pt>
                <c:pt idx="360">
                  <c:v>0.16381000000000001</c:v>
                </c:pt>
                <c:pt idx="361">
                  <c:v>0.13400999999999999</c:v>
                </c:pt>
                <c:pt idx="362">
                  <c:v>0.13883000000000001</c:v>
                </c:pt>
                <c:pt idx="363">
                  <c:v>0.13700000000000001</c:v>
                </c:pt>
                <c:pt idx="364">
                  <c:v>0.13738</c:v>
                </c:pt>
                <c:pt idx="365">
                  <c:v>0.12452000000000001</c:v>
                </c:pt>
                <c:pt idx="366">
                  <c:v>0.14455000000000001</c:v>
                </c:pt>
                <c:pt idx="367">
                  <c:v>0.14890999999999999</c:v>
                </c:pt>
                <c:pt idx="368">
                  <c:v>0.13521</c:v>
                </c:pt>
                <c:pt idx="369">
                  <c:v>0.14327999999999999</c:v>
                </c:pt>
                <c:pt idx="370">
                  <c:v>0.13593</c:v>
                </c:pt>
                <c:pt idx="371">
                  <c:v>0.11617</c:v>
                </c:pt>
                <c:pt idx="372">
                  <c:v>0.15193000000000001</c:v>
                </c:pt>
                <c:pt idx="373">
                  <c:v>0.14029</c:v>
                </c:pt>
                <c:pt idx="374">
                  <c:v>0.11425</c:v>
                </c:pt>
                <c:pt idx="375">
                  <c:v>0.10774</c:v>
                </c:pt>
                <c:pt idx="376">
                  <c:v>9.5100000000000004E-2</c:v>
                </c:pt>
                <c:pt idx="377">
                  <c:v>8.5940000000000003E-2</c:v>
                </c:pt>
                <c:pt idx="378">
                  <c:v>7.9420000000000004E-2</c:v>
                </c:pt>
                <c:pt idx="379">
                  <c:v>7.8299999999999995E-2</c:v>
                </c:pt>
                <c:pt idx="380">
                  <c:v>6.9260000000000002E-2</c:v>
                </c:pt>
                <c:pt idx="381">
                  <c:v>7.0900000000000005E-2</c:v>
                </c:pt>
                <c:pt idx="382">
                  <c:v>8.7720000000000006E-2</c:v>
                </c:pt>
                <c:pt idx="383">
                  <c:v>9.0490000000000001E-2</c:v>
                </c:pt>
                <c:pt idx="384">
                  <c:v>7.8810000000000005E-2</c:v>
                </c:pt>
                <c:pt idx="385">
                  <c:v>8.0549999999999997E-2</c:v>
                </c:pt>
                <c:pt idx="386">
                  <c:v>8.4489999999999996E-2</c:v>
                </c:pt>
                <c:pt idx="387">
                  <c:v>8.1119999999999998E-2</c:v>
                </c:pt>
                <c:pt idx="388">
                  <c:v>7.1919999999999998E-2</c:v>
                </c:pt>
                <c:pt idx="389">
                  <c:v>6.7470000000000002E-2</c:v>
                </c:pt>
                <c:pt idx="390">
                  <c:v>6.2859999999999999E-2</c:v>
                </c:pt>
                <c:pt idx="391">
                  <c:v>6.5290000000000001E-2</c:v>
                </c:pt>
                <c:pt idx="392">
                  <c:v>6.0440000000000001E-2</c:v>
                </c:pt>
                <c:pt idx="393">
                  <c:v>6.4089999999999994E-2</c:v>
                </c:pt>
                <c:pt idx="394">
                  <c:v>6.7339999999999997E-2</c:v>
                </c:pt>
                <c:pt idx="395">
                  <c:v>7.2459999999999997E-2</c:v>
                </c:pt>
                <c:pt idx="396">
                  <c:v>6.694E-2</c:v>
                </c:pt>
                <c:pt idx="397">
                  <c:v>5.9279999999999999E-2</c:v>
                </c:pt>
                <c:pt idx="398">
                  <c:v>5.7110000000000001E-2</c:v>
                </c:pt>
                <c:pt idx="399">
                  <c:v>5.8069999999999997E-2</c:v>
                </c:pt>
                <c:pt idx="400">
                  <c:v>4.9189999999999998E-2</c:v>
                </c:pt>
                <c:pt idx="401">
                  <c:v>6.191E-2</c:v>
                </c:pt>
                <c:pt idx="402">
                  <c:v>6.3630000000000006E-2</c:v>
                </c:pt>
                <c:pt idx="403">
                  <c:v>6.9199999999999998E-2</c:v>
                </c:pt>
                <c:pt idx="404">
                  <c:v>7.1300000000000002E-2</c:v>
                </c:pt>
                <c:pt idx="405">
                  <c:v>6.7489999999999994E-2</c:v>
                </c:pt>
                <c:pt idx="406">
                  <c:v>6.5229999999999996E-2</c:v>
                </c:pt>
                <c:pt idx="407">
                  <c:v>6.8390000000000006E-2</c:v>
                </c:pt>
                <c:pt idx="408">
                  <c:v>6.7680000000000004E-2</c:v>
                </c:pt>
                <c:pt idx="409">
                  <c:v>6.9879999999999998E-2</c:v>
                </c:pt>
                <c:pt idx="410">
                  <c:v>7.0279999999999995E-2</c:v>
                </c:pt>
                <c:pt idx="411">
                  <c:v>6.4680000000000001E-2</c:v>
                </c:pt>
                <c:pt idx="412">
                  <c:v>6.1199999999999997E-2</c:v>
                </c:pt>
                <c:pt idx="413">
                  <c:v>6.5600000000000006E-2</c:v>
                </c:pt>
                <c:pt idx="414">
                  <c:v>6.837E-2</c:v>
                </c:pt>
                <c:pt idx="415">
                  <c:v>6.8559999999999996E-2</c:v>
                </c:pt>
                <c:pt idx="416">
                  <c:v>7.4209999999999998E-2</c:v>
                </c:pt>
                <c:pt idx="417">
                  <c:v>7.5899999999999995E-2</c:v>
                </c:pt>
                <c:pt idx="418">
                  <c:v>7.6700000000000004E-2</c:v>
                </c:pt>
                <c:pt idx="419">
                  <c:v>7.3889999999999997E-2</c:v>
                </c:pt>
                <c:pt idx="420">
                  <c:v>8.1530000000000005E-2</c:v>
                </c:pt>
                <c:pt idx="421">
                  <c:v>8.2739999999999994E-2</c:v>
                </c:pt>
                <c:pt idx="422">
                  <c:v>7.7229999999999993E-2</c:v>
                </c:pt>
                <c:pt idx="423">
                  <c:v>7.7200000000000005E-2</c:v>
                </c:pt>
                <c:pt idx="424">
                  <c:v>7.4060000000000001E-2</c:v>
                </c:pt>
                <c:pt idx="425">
                  <c:v>7.3080000000000006E-2</c:v>
                </c:pt>
                <c:pt idx="426">
                  <c:v>7.3150000000000007E-2</c:v>
                </c:pt>
                <c:pt idx="427">
                  <c:v>7.5520000000000004E-2</c:v>
                </c:pt>
                <c:pt idx="428">
                  <c:v>8.9410000000000003E-2</c:v>
                </c:pt>
                <c:pt idx="429">
                  <c:v>9.4789999999999999E-2</c:v>
                </c:pt>
                <c:pt idx="430">
                  <c:v>8.5279999999999995E-2</c:v>
                </c:pt>
                <c:pt idx="431">
                  <c:v>8.695E-2</c:v>
                </c:pt>
                <c:pt idx="432">
                  <c:v>7.5870000000000007E-2</c:v>
                </c:pt>
                <c:pt idx="433">
                  <c:v>6.6769999999999996E-2</c:v>
                </c:pt>
                <c:pt idx="434">
                  <c:v>6.6710000000000005E-2</c:v>
                </c:pt>
                <c:pt idx="435">
                  <c:v>6.5049999999999997E-2</c:v>
                </c:pt>
                <c:pt idx="436">
                  <c:v>6.9709999999999994E-2</c:v>
                </c:pt>
                <c:pt idx="437">
                  <c:v>6.7849999999999994E-2</c:v>
                </c:pt>
                <c:pt idx="438">
                  <c:v>6.5320000000000003E-2</c:v>
                </c:pt>
                <c:pt idx="439">
                  <c:v>7.0290000000000005E-2</c:v>
                </c:pt>
                <c:pt idx="440">
                  <c:v>7.3219999999999993E-2</c:v>
                </c:pt>
                <c:pt idx="441">
                  <c:v>6.8349999999999994E-2</c:v>
                </c:pt>
                <c:pt idx="442">
                  <c:v>7.3859999999999995E-2</c:v>
                </c:pt>
                <c:pt idx="443">
                  <c:v>8.0530000000000004E-2</c:v>
                </c:pt>
                <c:pt idx="444">
                  <c:v>6.898E-2</c:v>
                </c:pt>
                <c:pt idx="445">
                  <c:v>7.0999999999999994E-2</c:v>
                </c:pt>
                <c:pt idx="446">
                  <c:v>6.3079999999999997E-2</c:v>
                </c:pt>
                <c:pt idx="447">
                  <c:v>6.7309999999999995E-2</c:v>
                </c:pt>
                <c:pt idx="448">
                  <c:v>5.6680000000000001E-2</c:v>
                </c:pt>
                <c:pt idx="449">
                  <c:v>5.3019999999999998E-2</c:v>
                </c:pt>
                <c:pt idx="450">
                  <c:v>5.4300000000000001E-2</c:v>
                </c:pt>
                <c:pt idx="451">
                  <c:v>5.7540000000000001E-2</c:v>
                </c:pt>
                <c:pt idx="452">
                  <c:v>5.9130000000000002E-2</c:v>
                </c:pt>
                <c:pt idx="453">
                  <c:v>5.9909999999999998E-2</c:v>
                </c:pt>
                <c:pt idx="454">
                  <c:v>6.2820000000000001E-2</c:v>
                </c:pt>
                <c:pt idx="455">
                  <c:v>6.5589999999999996E-2</c:v>
                </c:pt>
                <c:pt idx="456">
                  <c:v>6.8309999999999996E-2</c:v>
                </c:pt>
                <c:pt idx="457">
                  <c:v>7.7420000000000003E-2</c:v>
                </c:pt>
                <c:pt idx="458">
                  <c:v>7.8289999999999998E-2</c:v>
                </c:pt>
                <c:pt idx="459">
                  <c:v>8.6400000000000005E-2</c:v>
                </c:pt>
                <c:pt idx="460">
                  <c:v>8.7690000000000004E-2</c:v>
                </c:pt>
                <c:pt idx="461">
                  <c:v>8.0780000000000005E-2</c:v>
                </c:pt>
                <c:pt idx="462">
                  <c:v>8.5209999999999994E-2</c:v>
                </c:pt>
                <c:pt idx="463">
                  <c:v>7.9009999999999997E-2</c:v>
                </c:pt>
                <c:pt idx="464">
                  <c:v>7.6149999999999995E-2</c:v>
                </c:pt>
                <c:pt idx="465">
                  <c:v>8.2669999999999993E-2</c:v>
                </c:pt>
                <c:pt idx="466">
                  <c:v>9.1149999999999995E-2</c:v>
                </c:pt>
                <c:pt idx="467">
                  <c:v>8.8730000000000003E-2</c:v>
                </c:pt>
                <c:pt idx="468">
                  <c:v>8.4449999999999997E-2</c:v>
                </c:pt>
                <c:pt idx="469">
                  <c:v>9.5920000000000005E-2</c:v>
                </c:pt>
                <c:pt idx="470">
                  <c:v>0.1017</c:v>
                </c:pt>
                <c:pt idx="471">
                  <c:v>0.1123</c:v>
                </c:pt>
                <c:pt idx="472">
                  <c:v>0.1134</c:v>
                </c:pt>
                <c:pt idx="473">
                  <c:v>0.11873</c:v>
                </c:pt>
                <c:pt idx="474">
                  <c:v>0.12584999999999999</c:v>
                </c:pt>
                <c:pt idx="475">
                  <c:v>0.1028</c:v>
                </c:pt>
                <c:pt idx="476">
                  <c:v>0.10259</c:v>
                </c:pt>
                <c:pt idx="477">
                  <c:v>9.5659999999999995E-2</c:v>
                </c:pt>
                <c:pt idx="478">
                  <c:v>9.64E-2</c:v>
                </c:pt>
                <c:pt idx="479">
                  <c:v>0.10793999999999999</c:v>
                </c:pt>
                <c:pt idx="480">
                  <c:v>0.10489999999999999</c:v>
                </c:pt>
                <c:pt idx="481">
                  <c:v>0.10342999999999999</c:v>
                </c:pt>
                <c:pt idx="482">
                  <c:v>9.8339999999999997E-2</c:v>
                </c:pt>
                <c:pt idx="483">
                  <c:v>0.10546</c:v>
                </c:pt>
                <c:pt idx="484">
                  <c:v>0.11476</c:v>
                </c:pt>
                <c:pt idx="485">
                  <c:v>0.1159</c:v>
                </c:pt>
                <c:pt idx="486">
                  <c:v>0.10439</c:v>
                </c:pt>
                <c:pt idx="487">
                  <c:v>9.307E-2</c:v>
                </c:pt>
                <c:pt idx="488">
                  <c:v>9.7379999999999994E-2</c:v>
                </c:pt>
                <c:pt idx="489">
                  <c:v>9.4140000000000001E-2</c:v>
                </c:pt>
                <c:pt idx="490">
                  <c:v>8.5489999999999997E-2</c:v>
                </c:pt>
                <c:pt idx="491">
                  <c:v>7.6130000000000003E-2</c:v>
                </c:pt>
                <c:pt idx="492">
                  <c:v>8.7249999999999994E-2</c:v>
                </c:pt>
                <c:pt idx="493">
                  <c:v>8.4400000000000003E-2</c:v>
                </c:pt>
                <c:pt idx="494">
                  <c:v>0.10449</c:v>
                </c:pt>
                <c:pt idx="495">
                  <c:v>0.1166</c:v>
                </c:pt>
                <c:pt idx="496">
                  <c:v>0.11831999999999999</c:v>
                </c:pt>
                <c:pt idx="497">
                  <c:v>0.11955</c:v>
                </c:pt>
                <c:pt idx="498">
                  <c:v>0.12048</c:v>
                </c:pt>
                <c:pt idx="499">
                  <c:v>0.11591</c:v>
                </c:pt>
                <c:pt idx="500">
                  <c:v>0.1195</c:v>
                </c:pt>
                <c:pt idx="501">
                  <c:v>0.12118</c:v>
                </c:pt>
                <c:pt idx="502">
                  <c:v>0.13083</c:v>
                </c:pt>
                <c:pt idx="503">
                  <c:v>0.13369</c:v>
                </c:pt>
                <c:pt idx="504">
                  <c:v>0.12013</c:v>
                </c:pt>
                <c:pt idx="505">
                  <c:v>0.11747</c:v>
                </c:pt>
                <c:pt idx="506">
                  <c:v>0.11568000000000001</c:v>
                </c:pt>
                <c:pt idx="507">
                  <c:v>0.129</c:v>
                </c:pt>
                <c:pt idx="508">
                  <c:v>0.13141</c:v>
                </c:pt>
                <c:pt idx="509">
                  <c:v>0.12640000000000001</c:v>
                </c:pt>
                <c:pt idx="510">
                  <c:v>0.14651</c:v>
                </c:pt>
                <c:pt idx="511">
                  <c:v>9.9500000000000005E-2</c:v>
                </c:pt>
                <c:pt idx="512">
                  <c:v>0.14244000000000001</c:v>
                </c:pt>
                <c:pt idx="513">
                  <c:v>0.15153</c:v>
                </c:pt>
                <c:pt idx="514">
                  <c:v>0.16045999999999999</c:v>
                </c:pt>
                <c:pt idx="515">
                  <c:v>0.16467000000000001</c:v>
                </c:pt>
                <c:pt idx="516">
                  <c:v>0.17219999999999999</c:v>
                </c:pt>
                <c:pt idx="517">
                  <c:v>0.17821000000000001</c:v>
                </c:pt>
                <c:pt idx="518">
                  <c:v>0.14632000000000001</c:v>
                </c:pt>
                <c:pt idx="519">
                  <c:v>0.12781999999999999</c:v>
                </c:pt>
                <c:pt idx="520">
                  <c:v>0.11953</c:v>
                </c:pt>
                <c:pt idx="521">
                  <c:v>0.1278</c:v>
                </c:pt>
                <c:pt idx="522">
                  <c:v>0.12175999999999999</c:v>
                </c:pt>
                <c:pt idx="523">
                  <c:v>0.12439</c:v>
                </c:pt>
                <c:pt idx="524">
                  <c:v>0.10672</c:v>
                </c:pt>
                <c:pt idx="525">
                  <c:v>0.12266000000000001</c:v>
                </c:pt>
                <c:pt idx="526">
                  <c:v>0.1147</c:v>
                </c:pt>
                <c:pt idx="527">
                  <c:v>0.12414</c:v>
                </c:pt>
                <c:pt idx="528">
                  <c:v>0.13450999999999999</c:v>
                </c:pt>
                <c:pt idx="529">
                  <c:v>0.13450000000000001</c:v>
                </c:pt>
                <c:pt idx="530">
                  <c:v>0.1424</c:v>
                </c:pt>
                <c:pt idx="531">
                  <c:v>0.13539999999999999</c:v>
                </c:pt>
                <c:pt idx="532">
                  <c:v>0.12056</c:v>
                </c:pt>
                <c:pt idx="533">
                  <c:v>0.13300000000000001</c:v>
                </c:pt>
                <c:pt idx="534">
                  <c:v>0.11488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C4-4751-AC94-E183E24AEB6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-7.2346553511805016</c:v>
                </c:pt>
                <c:pt idx="1">
                  <c:v>-7.2187895531035782</c:v>
                </c:pt>
                <c:pt idx="2">
                  <c:v>-7.0915576482934508</c:v>
                </c:pt>
                <c:pt idx="3">
                  <c:v>-7.1043401345253363</c:v>
                </c:pt>
                <c:pt idx="4">
                  <c:v>-7.3162252766045439</c:v>
                </c:pt>
                <c:pt idx="5">
                  <c:v>-7.3713111532712103</c:v>
                </c:pt>
                <c:pt idx="6">
                  <c:v>-7.1432629964934318</c:v>
                </c:pt>
                <c:pt idx="7">
                  <c:v>-6.8133080499818055</c:v>
                </c:pt>
                <c:pt idx="8">
                  <c:v>-6.6325384247644141</c:v>
                </c:pt>
                <c:pt idx="9">
                  <c:v>-6.5680195180737666</c:v>
                </c:pt>
                <c:pt idx="10">
                  <c:v>-6.6276004449968431</c:v>
                </c:pt>
                <c:pt idx="11">
                  <c:v>-6.5683325057660733</c:v>
                </c:pt>
                <c:pt idx="12">
                  <c:v>-6.5748088117362222</c:v>
                </c:pt>
                <c:pt idx="13">
                  <c:v>-6.5528026727474584</c:v>
                </c:pt>
                <c:pt idx="14">
                  <c:v>-6.5538534063923182</c:v>
                </c:pt>
                <c:pt idx="15">
                  <c:v>-6.3991159033435379</c:v>
                </c:pt>
                <c:pt idx="16">
                  <c:v>-6.5558770202427619</c:v>
                </c:pt>
                <c:pt idx="17">
                  <c:v>-6.6733185449885246</c:v>
                </c:pt>
                <c:pt idx="18">
                  <c:v>-6.5789456571030636</c:v>
                </c:pt>
                <c:pt idx="19">
                  <c:v>-6.6028604624602059</c:v>
                </c:pt>
                <c:pt idx="20">
                  <c:v>-6.6094610775309119</c:v>
                </c:pt>
                <c:pt idx="21">
                  <c:v>-6.4620180702910934</c:v>
                </c:pt>
                <c:pt idx="22">
                  <c:v>-6.594027991573145</c:v>
                </c:pt>
                <c:pt idx="23">
                  <c:v>-6.3645508014392158</c:v>
                </c:pt>
                <c:pt idx="24">
                  <c:v>-6.151731690628405</c:v>
                </c:pt>
                <c:pt idx="25">
                  <c:v>-6.2185610971247556</c:v>
                </c:pt>
                <c:pt idx="26">
                  <c:v>-6.0623107816464934</c:v>
                </c:pt>
                <c:pt idx="27">
                  <c:v>-6.0605031948110506</c:v>
                </c:pt>
                <c:pt idx="28">
                  <c:v>-6.0043146518886772</c:v>
                </c:pt>
                <c:pt idx="29">
                  <c:v>-6.0721145515438488</c:v>
                </c:pt>
                <c:pt idx="30">
                  <c:v>-5.8960994165697551</c:v>
                </c:pt>
                <c:pt idx="31">
                  <c:v>-5.6332350559166935</c:v>
                </c:pt>
                <c:pt idx="32">
                  <c:v>-5.4755176561519878</c:v>
                </c:pt>
                <c:pt idx="33">
                  <c:v>-5.4720330950476921</c:v>
                </c:pt>
                <c:pt idx="34">
                  <c:v>-5.5527619382324067</c:v>
                </c:pt>
                <c:pt idx="35">
                  <c:v>-5.3667377449856541</c:v>
                </c:pt>
                <c:pt idx="36">
                  <c:v>-5.6916600205487935</c:v>
                </c:pt>
                <c:pt idx="37">
                  <c:v>-5.6634103022039675</c:v>
                </c:pt>
                <c:pt idx="38">
                  <c:v>-5.7810929537997113</c:v>
                </c:pt>
                <c:pt idx="39">
                  <c:v>-5.7264004017054715</c:v>
                </c:pt>
                <c:pt idx="40">
                  <c:v>-5.5948814963721381</c:v>
                </c:pt>
                <c:pt idx="41">
                  <c:v>-5.6761391933562644</c:v>
                </c:pt>
                <c:pt idx="42">
                  <c:v>-5.6761391933562644</c:v>
                </c:pt>
                <c:pt idx="43">
                  <c:v>-5.4468563764597127</c:v>
                </c:pt>
                <c:pt idx="44">
                  <c:v>-5.634129789678104</c:v>
                </c:pt>
                <c:pt idx="45">
                  <c:v>-5.6467405816063545</c:v>
                </c:pt>
                <c:pt idx="46">
                  <c:v>-5.3072221969909705</c:v>
                </c:pt>
                <c:pt idx="47">
                  <c:v>-5.1487365469909694</c:v>
                </c:pt>
                <c:pt idx="48">
                  <c:v>-5.168998748774408</c:v>
                </c:pt>
                <c:pt idx="49">
                  <c:v>-5.3250031128628059</c:v>
                </c:pt>
                <c:pt idx="50">
                  <c:v>-3.0994048762104462</c:v>
                </c:pt>
                <c:pt idx="51">
                  <c:v>-3.9928877536259533</c:v>
                </c:pt>
                <c:pt idx="52">
                  <c:v>-3.8440025682833285</c:v>
                </c:pt>
                <c:pt idx="53">
                  <c:v>-4.5214765304097657</c:v>
                </c:pt>
                <c:pt idx="54">
                  <c:v>-4.27680532888622</c:v>
                </c:pt>
                <c:pt idx="55">
                  <c:v>-4.0863373583176577</c:v>
                </c:pt>
                <c:pt idx="56">
                  <c:v>-3.9805145379449871</c:v>
                </c:pt>
                <c:pt idx="57">
                  <c:v>-3.95018898091796</c:v>
                </c:pt>
                <c:pt idx="58">
                  <c:v>-3.7830682405333453</c:v>
                </c:pt>
                <c:pt idx="59">
                  <c:v>-3.563256244211507</c:v>
                </c:pt>
                <c:pt idx="60">
                  <c:v>-3.6141607770115067</c:v>
                </c:pt>
                <c:pt idx="61">
                  <c:v>-3.7574509695879255</c:v>
                </c:pt>
                <c:pt idx="62">
                  <c:v>-3.6401776758645217</c:v>
                </c:pt>
                <c:pt idx="63">
                  <c:v>-3.2770407388677163</c:v>
                </c:pt>
                <c:pt idx="64">
                  <c:v>-3.020564258867716</c:v>
                </c:pt>
                <c:pt idx="65">
                  <c:v>-2.9887126416074419</c:v>
                </c:pt>
                <c:pt idx="66">
                  <c:v>-2.5655108322481106</c:v>
                </c:pt>
                <c:pt idx="67">
                  <c:v>-2.9605128535530376</c:v>
                </c:pt>
                <c:pt idx="68">
                  <c:v>-2.6726027145852953</c:v>
                </c:pt>
                <c:pt idx="69">
                  <c:v>-2.8700950808376131</c:v>
                </c:pt>
                <c:pt idx="70">
                  <c:v>-3.5434057196506199</c:v>
                </c:pt>
                <c:pt idx="71">
                  <c:v>-3.1987557486540563</c:v>
                </c:pt>
                <c:pt idx="72">
                  <c:v>-2.7661261787425517</c:v>
                </c:pt>
                <c:pt idx="73">
                  <c:v>-1.4927820006544019</c:v>
                </c:pt>
                <c:pt idx="74">
                  <c:v>-2.0868780050461924</c:v>
                </c:pt>
                <c:pt idx="75">
                  <c:v>-2.2547874632375229</c:v>
                </c:pt>
                <c:pt idx="76">
                  <c:v>-1.0405682901989914</c:v>
                </c:pt>
                <c:pt idx="77">
                  <c:v>-2.0736511677550995</c:v>
                </c:pt>
                <c:pt idx="78">
                  <c:v>-2.2550860537156905</c:v>
                </c:pt>
                <c:pt idx="79">
                  <c:v>-2.0856609558896029</c:v>
                </c:pt>
                <c:pt idx="80">
                  <c:v>-2.0441058836673816</c:v>
                </c:pt>
                <c:pt idx="81">
                  <c:v>-2.2220609804306672</c:v>
                </c:pt>
                <c:pt idx="82">
                  <c:v>-2.2675381903064431</c:v>
                </c:pt>
                <c:pt idx="83">
                  <c:v>-2.2548808968281828</c:v>
                </c:pt>
                <c:pt idx="84">
                  <c:v>-2.1550525066418471</c:v>
                </c:pt>
                <c:pt idx="85">
                  <c:v>-1.8965731163192656</c:v>
                </c:pt>
                <c:pt idx="86">
                  <c:v>-2.1464541261158767</c:v>
                </c:pt>
                <c:pt idx="87">
                  <c:v>-2.1832487524468109</c:v>
                </c:pt>
                <c:pt idx="88">
                  <c:v>-2.4261311942816723</c:v>
                </c:pt>
                <c:pt idx="89">
                  <c:v>-1.624583429901008</c:v>
                </c:pt>
                <c:pt idx="90">
                  <c:v>-1.9236348799010079</c:v>
                </c:pt>
                <c:pt idx="91">
                  <c:v>-2.042777614863414</c:v>
                </c:pt>
                <c:pt idx="92">
                  <c:v>-2.2182497484804351</c:v>
                </c:pt>
                <c:pt idx="93">
                  <c:v>-1.8727637409930828</c:v>
                </c:pt>
                <c:pt idx="94">
                  <c:v>-1.8096179172568199</c:v>
                </c:pt>
                <c:pt idx="95">
                  <c:v>-1.8258932937084336</c:v>
                </c:pt>
                <c:pt idx="96">
                  <c:v>-1.7758267041208045</c:v>
                </c:pt>
                <c:pt idx="97">
                  <c:v>-1.7920762307874718</c:v>
                </c:pt>
                <c:pt idx="98">
                  <c:v>-1.890387127231915</c:v>
                </c:pt>
                <c:pt idx="99">
                  <c:v>-1.7436082932112966</c:v>
                </c:pt>
                <c:pt idx="100">
                  <c:v>-1.9138989409036049</c:v>
                </c:pt>
                <c:pt idx="101">
                  <c:v>-1.9770100081036046</c:v>
                </c:pt>
                <c:pt idx="102">
                  <c:v>-1.9219958915387192</c:v>
                </c:pt>
                <c:pt idx="103">
                  <c:v>-1.8063458533808243</c:v>
                </c:pt>
                <c:pt idx="104">
                  <c:v>-1.803079655239231</c:v>
                </c:pt>
                <c:pt idx="105">
                  <c:v>-1.8220796133149413</c:v>
                </c:pt>
                <c:pt idx="106">
                  <c:v>-1.9907112664777333</c:v>
                </c:pt>
                <c:pt idx="107">
                  <c:v>-2.1672702506882597</c:v>
                </c:pt>
                <c:pt idx="108">
                  <c:v>-2.2954288065898991</c:v>
                </c:pt>
                <c:pt idx="109">
                  <c:v>-2.1802560855857149</c:v>
                </c:pt>
                <c:pt idx="110">
                  <c:v>-1.8003817434428584</c:v>
                </c:pt>
                <c:pt idx="111">
                  <c:v>-1.825755583851022</c:v>
                </c:pt>
                <c:pt idx="112">
                  <c:v>-1.8129166447421112</c:v>
                </c:pt>
                <c:pt idx="113">
                  <c:v>-1.6230880910413237</c:v>
                </c:pt>
                <c:pt idx="114">
                  <c:v>-1.7329184652567082</c:v>
                </c:pt>
                <c:pt idx="115">
                  <c:v>-1.8758461262383033</c:v>
                </c:pt>
                <c:pt idx="116">
                  <c:v>-2.0013417606065338</c:v>
                </c:pt>
                <c:pt idx="117">
                  <c:v>-1.9595943651828047</c:v>
                </c:pt>
                <c:pt idx="118">
                  <c:v>-1.7442647013366508</c:v>
                </c:pt>
                <c:pt idx="119">
                  <c:v>-1.9054982656597947</c:v>
                </c:pt>
                <c:pt idx="120">
                  <c:v>-1.9995155329782301</c:v>
                </c:pt>
                <c:pt idx="121">
                  <c:v>-1.9710966501290681</c:v>
                </c:pt>
                <c:pt idx="122">
                  <c:v>-1.7720708774017953</c:v>
                </c:pt>
                <c:pt idx="123">
                  <c:v>-1.6087495959982865</c:v>
                </c:pt>
                <c:pt idx="124">
                  <c:v>-1.6968164680832285</c:v>
                </c:pt>
                <c:pt idx="125">
                  <c:v>-1.5969131728451333</c:v>
                </c:pt>
                <c:pt idx="126">
                  <c:v>-1.5784521942019174</c:v>
                </c:pt>
                <c:pt idx="127">
                  <c:v>-1.8069182360562215</c:v>
                </c:pt>
                <c:pt idx="128">
                  <c:v>-2.2864089483999721</c:v>
                </c:pt>
                <c:pt idx="129">
                  <c:v>-1.9194583571146122</c:v>
                </c:pt>
                <c:pt idx="130">
                  <c:v>-1.7951019593224045</c:v>
                </c:pt>
                <c:pt idx="131">
                  <c:v>-1.6974536347868847</c:v>
                </c:pt>
                <c:pt idx="132">
                  <c:v>-1.6306801433583133</c:v>
                </c:pt>
                <c:pt idx="133">
                  <c:v>-1.3671183573823384</c:v>
                </c:pt>
                <c:pt idx="134">
                  <c:v>-1.5152031935395436</c:v>
                </c:pt>
                <c:pt idx="135">
                  <c:v>-1.7363051260976843</c:v>
                </c:pt>
                <c:pt idx="136">
                  <c:v>-1.6464531521278347</c:v>
                </c:pt>
                <c:pt idx="137">
                  <c:v>-1.8915398992789971</c:v>
                </c:pt>
                <c:pt idx="138">
                  <c:v>-2.0328622701794701</c:v>
                </c:pt>
                <c:pt idx="139">
                  <c:v>-1.4695155037732202</c:v>
                </c:pt>
                <c:pt idx="140">
                  <c:v>-1.7043042204511862</c:v>
                </c:pt>
                <c:pt idx="141">
                  <c:v>-1.9524588006466261</c:v>
                </c:pt>
                <c:pt idx="142">
                  <c:v>-2.0380409176751972</c:v>
                </c:pt>
                <c:pt idx="143">
                  <c:v>-1.7920881576078573</c:v>
                </c:pt>
                <c:pt idx="144">
                  <c:v>-1.9728527458431522</c:v>
                </c:pt>
                <c:pt idx="145">
                  <c:v>-1.8904917321137782</c:v>
                </c:pt>
                <c:pt idx="146">
                  <c:v>-2.0768434277955961</c:v>
                </c:pt>
                <c:pt idx="147">
                  <c:v>-2.1249006059447675</c:v>
                </c:pt>
                <c:pt idx="148">
                  <c:v>-2.3016358044582814</c:v>
                </c:pt>
                <c:pt idx="149">
                  <c:v>-2.4588677804125676</c:v>
                </c:pt>
                <c:pt idx="150">
                  <c:v>-2.4606345179419797</c:v>
                </c:pt>
                <c:pt idx="151">
                  <c:v>-2.3308691600109452</c:v>
                </c:pt>
                <c:pt idx="152">
                  <c:v>-2.4202953400109446</c:v>
                </c:pt>
                <c:pt idx="153">
                  <c:v>-2.4539140231195162</c:v>
                </c:pt>
                <c:pt idx="154">
                  <c:v>-2.5912406246195161</c:v>
                </c:pt>
                <c:pt idx="155">
                  <c:v>-2.4337056846172938</c:v>
                </c:pt>
                <c:pt idx="156">
                  <c:v>-2.5182057742969515</c:v>
                </c:pt>
                <c:pt idx="157">
                  <c:v>-2.3562782582047572</c:v>
                </c:pt>
                <c:pt idx="158">
                  <c:v>-2.2667735253420114</c:v>
                </c:pt>
                <c:pt idx="159">
                  <c:v>-2.2709441636068961</c:v>
                </c:pt>
                <c:pt idx="160">
                  <c:v>-2.1612894830703868</c:v>
                </c:pt>
                <c:pt idx="161">
                  <c:v>-2.2350340172962895</c:v>
                </c:pt>
                <c:pt idx="162">
                  <c:v>-2.477010857057123</c:v>
                </c:pt>
                <c:pt idx="163">
                  <c:v>-2.4745835102546625</c:v>
                </c:pt>
                <c:pt idx="164">
                  <c:v>-2.182395040972152</c:v>
                </c:pt>
                <c:pt idx="165">
                  <c:v>-1.9134130002186469</c:v>
                </c:pt>
                <c:pt idx="166">
                  <c:v>-2.0160858883687385</c:v>
                </c:pt>
                <c:pt idx="167">
                  <c:v>-2.0220497125053232</c:v>
                </c:pt>
                <c:pt idx="168">
                  <c:v>-2.1190874943288529</c:v>
                </c:pt>
                <c:pt idx="169">
                  <c:v>-2.449159039683817</c:v>
                </c:pt>
                <c:pt idx="170">
                  <c:v>-2.3412232892026728</c:v>
                </c:pt>
                <c:pt idx="171">
                  <c:v>-2.3884137461067341</c:v>
                </c:pt>
                <c:pt idx="172">
                  <c:v>-2.6269554813085079</c:v>
                </c:pt>
                <c:pt idx="173">
                  <c:v>-2.5097558906445365</c:v>
                </c:pt>
                <c:pt idx="174">
                  <c:v>-2.5504536130634916</c:v>
                </c:pt>
                <c:pt idx="175">
                  <c:v>-2.5731890420647265</c:v>
                </c:pt>
                <c:pt idx="176">
                  <c:v>-2.7629097023897113</c:v>
                </c:pt>
                <c:pt idx="177">
                  <c:v>-2.7274887348973098</c:v>
                </c:pt>
                <c:pt idx="178">
                  <c:v>-2.8903336001236561</c:v>
                </c:pt>
                <c:pt idx="179">
                  <c:v>-2.9829383653605608</c:v>
                </c:pt>
                <c:pt idx="180">
                  <c:v>-2.6651041434021989</c:v>
                </c:pt>
                <c:pt idx="181">
                  <c:v>-2.7537434233649747</c:v>
                </c:pt>
                <c:pt idx="182">
                  <c:v>-2.9187209941784436</c:v>
                </c:pt>
                <c:pt idx="183">
                  <c:v>-3.1790745303474446</c:v>
                </c:pt>
                <c:pt idx="184">
                  <c:v>-3.1911929738267499</c:v>
                </c:pt>
                <c:pt idx="185">
                  <c:v>-3.3183681582592155</c:v>
                </c:pt>
                <c:pt idx="186">
                  <c:v>-2.618230068550869</c:v>
                </c:pt>
                <c:pt idx="187">
                  <c:v>-2.526443368822783</c:v>
                </c:pt>
                <c:pt idx="188">
                  <c:v>-2.1400452084376984</c:v>
                </c:pt>
                <c:pt idx="189">
                  <c:v>-2.4275243834193629</c:v>
                </c:pt>
                <c:pt idx="190">
                  <c:v>-2.5306838103110394</c:v>
                </c:pt>
                <c:pt idx="191">
                  <c:v>-2.671724907279919</c:v>
                </c:pt>
                <c:pt idx="192">
                  <c:v>-2.6184243834386036</c:v>
                </c:pt>
                <c:pt idx="193">
                  <c:v>-2.4413149203999294</c:v>
                </c:pt>
                <c:pt idx="194">
                  <c:v>-2.4576980086504423</c:v>
                </c:pt>
                <c:pt idx="195">
                  <c:v>-2.2897605117030753</c:v>
                </c:pt>
                <c:pt idx="196">
                  <c:v>-1.9043434590029482</c:v>
                </c:pt>
                <c:pt idx="197">
                  <c:v>-1.629303677407878</c:v>
                </c:pt>
                <c:pt idx="198">
                  <c:v>-1.7888318424327465</c:v>
                </c:pt>
                <c:pt idx="199">
                  <c:v>-1.6306297898572666</c:v>
                </c:pt>
                <c:pt idx="200">
                  <c:v>-1.5902626290603905</c:v>
                </c:pt>
                <c:pt idx="201">
                  <c:v>-1.5984543762552839</c:v>
                </c:pt>
                <c:pt idx="202">
                  <c:v>-1.5272873362680535</c:v>
                </c:pt>
                <c:pt idx="203">
                  <c:v>-1.6601465027404154</c:v>
                </c:pt>
                <c:pt idx="204">
                  <c:v>-1.4155936419886537</c:v>
                </c:pt>
                <c:pt idx="205">
                  <c:v>-1.4212684792498045</c:v>
                </c:pt>
                <c:pt idx="206">
                  <c:v>-1.5128317672954663</c:v>
                </c:pt>
                <c:pt idx="207">
                  <c:v>-1.5507593579190857</c:v>
                </c:pt>
                <c:pt idx="208">
                  <c:v>-1.3723703927800754</c:v>
                </c:pt>
                <c:pt idx="209">
                  <c:v>-1.630543942536687</c:v>
                </c:pt>
                <c:pt idx="210">
                  <c:v>-1.7114046956343201</c:v>
                </c:pt>
                <c:pt idx="211">
                  <c:v>-1.5950767500693142</c:v>
                </c:pt>
                <c:pt idx="212">
                  <c:v>-1.6025825038824735</c:v>
                </c:pt>
                <c:pt idx="213">
                  <c:v>-1.795435343403134</c:v>
                </c:pt>
                <c:pt idx="214">
                  <c:v>-1.8911569770411811</c:v>
                </c:pt>
                <c:pt idx="215">
                  <c:v>-2.0035534183430679</c:v>
                </c:pt>
                <c:pt idx="216">
                  <c:v>-1.9910453104396242</c:v>
                </c:pt>
                <c:pt idx="217">
                  <c:v>-1.8812329522882048</c:v>
                </c:pt>
                <c:pt idx="218">
                  <c:v>-1.9450209382233081</c:v>
                </c:pt>
                <c:pt idx="219">
                  <c:v>-1.9930316659239986</c:v>
                </c:pt>
                <c:pt idx="220">
                  <c:v>-2.0104687359085718</c:v>
                </c:pt>
                <c:pt idx="221">
                  <c:v>-1.7884114329099459</c:v>
                </c:pt>
                <c:pt idx="222">
                  <c:v>-1.8989964425923822</c:v>
                </c:pt>
                <c:pt idx="223">
                  <c:v>-1.8156491295638111</c:v>
                </c:pt>
                <c:pt idx="224">
                  <c:v>-1.7758029780189704</c:v>
                </c:pt>
                <c:pt idx="225">
                  <c:v>-1.5103956015797186</c:v>
                </c:pt>
                <c:pt idx="226">
                  <c:v>-1.3575531588153882</c:v>
                </c:pt>
                <c:pt idx="227">
                  <c:v>-1.2651027487381892</c:v>
                </c:pt>
                <c:pt idx="228">
                  <c:v>-1.3026095144515444</c:v>
                </c:pt>
                <c:pt idx="229">
                  <c:v>-1.4449483393150069</c:v>
                </c:pt>
                <c:pt idx="230">
                  <c:v>-1.4640365935408457</c:v>
                </c:pt>
                <c:pt idx="231">
                  <c:v>-1.2642227238687138</c:v>
                </c:pt>
                <c:pt idx="232">
                  <c:v>-0.32458214383231782</c:v>
                </c:pt>
                <c:pt idx="233">
                  <c:v>-0.41714262833109578</c:v>
                </c:pt>
                <c:pt idx="234">
                  <c:v>-0.55944307941408677</c:v>
                </c:pt>
                <c:pt idx="235">
                  <c:v>-0.3532489713096702</c:v>
                </c:pt>
                <c:pt idx="236">
                  <c:v>-0.39358165371162407</c:v>
                </c:pt>
                <c:pt idx="237">
                  <c:v>-0.28158845782061409</c:v>
                </c:pt>
                <c:pt idx="238">
                  <c:v>-0.17832738035118573</c:v>
                </c:pt>
                <c:pt idx="239">
                  <c:v>-0.21438859321071047</c:v>
                </c:pt>
                <c:pt idx="240">
                  <c:v>-0.21601857729766652</c:v>
                </c:pt>
                <c:pt idx="241">
                  <c:v>-7.3796598326151555E-2</c:v>
                </c:pt>
                <c:pt idx="242">
                  <c:v>-0.37550992115993292</c:v>
                </c:pt>
                <c:pt idx="243">
                  <c:v>-0.41805398922982806</c:v>
                </c:pt>
                <c:pt idx="244">
                  <c:v>-0.2777301804633977</c:v>
                </c:pt>
                <c:pt idx="245">
                  <c:v>-9.2398178794610569E-2</c:v>
                </c:pt>
                <c:pt idx="246">
                  <c:v>0.44957485885223325</c:v>
                </c:pt>
                <c:pt idx="247">
                  <c:v>-0.57692887357364964</c:v>
                </c:pt>
                <c:pt idx="248">
                  <c:v>-0.50578522915241186</c:v>
                </c:pt>
                <c:pt idx="249">
                  <c:v>-1.0086471921952946</c:v>
                </c:pt>
                <c:pt idx="250">
                  <c:v>-0.89686542485004528</c:v>
                </c:pt>
                <c:pt idx="251">
                  <c:v>-0.75233808566115945</c:v>
                </c:pt>
                <c:pt idx="252">
                  <c:v>-0.53361613193601398</c:v>
                </c:pt>
                <c:pt idx="253">
                  <c:v>-0.59439143538002659</c:v>
                </c:pt>
                <c:pt idx="254">
                  <c:v>-0.29577076662625867</c:v>
                </c:pt>
                <c:pt idx="255">
                  <c:v>-0.4431040824832429</c:v>
                </c:pt>
                <c:pt idx="256">
                  <c:v>-0.19963214069401561</c:v>
                </c:pt>
                <c:pt idx="257">
                  <c:v>-4.8151371266216207E-2</c:v>
                </c:pt>
                <c:pt idx="258">
                  <c:v>0.10197170609148531</c:v>
                </c:pt>
                <c:pt idx="259">
                  <c:v>0.40842478722057013</c:v>
                </c:pt>
                <c:pt idx="260">
                  <c:v>-0.10928860373144011</c:v>
                </c:pt>
                <c:pt idx="261">
                  <c:v>0.17180293327078192</c:v>
                </c:pt>
                <c:pt idx="262">
                  <c:v>6.3939821268362701E-2</c:v>
                </c:pt>
                <c:pt idx="263">
                  <c:v>0.2975524336433496</c:v>
                </c:pt>
                <c:pt idx="264">
                  <c:v>3.1188157360826581E-2</c:v>
                </c:pt>
                <c:pt idx="265">
                  <c:v>8.7302670896371865E-2</c:v>
                </c:pt>
                <c:pt idx="266">
                  <c:v>0.1768862767147576</c:v>
                </c:pt>
                <c:pt idx="267">
                  <c:v>0.33260408998705165</c:v>
                </c:pt>
                <c:pt idx="268">
                  <c:v>0.18344492104599369</c:v>
                </c:pt>
                <c:pt idx="269">
                  <c:v>0.44995794677426509</c:v>
                </c:pt>
                <c:pt idx="270">
                  <c:v>0.40464131254446839</c:v>
                </c:pt>
                <c:pt idx="271">
                  <c:v>0.40560962129376754</c:v>
                </c:pt>
                <c:pt idx="272">
                  <c:v>0.38503601723470859</c:v>
                </c:pt>
                <c:pt idx="273">
                  <c:v>0.4886255646151616</c:v>
                </c:pt>
                <c:pt idx="274">
                  <c:v>0.16003882092072108</c:v>
                </c:pt>
                <c:pt idx="275">
                  <c:v>0.23333073158805279</c:v>
                </c:pt>
                <c:pt idx="276">
                  <c:v>-0.13587714329604558</c:v>
                </c:pt>
                <c:pt idx="277">
                  <c:v>-0.38189273952775776</c:v>
                </c:pt>
                <c:pt idx="278">
                  <c:v>-0.32826654092722507</c:v>
                </c:pt>
                <c:pt idx="279">
                  <c:v>-0.1347287077237872</c:v>
                </c:pt>
                <c:pt idx="280">
                  <c:v>-0.52677669157574369</c:v>
                </c:pt>
                <c:pt idx="281">
                  <c:v>-0.40144593670913875</c:v>
                </c:pt>
                <c:pt idx="282">
                  <c:v>1.8438471939589196E-2</c:v>
                </c:pt>
                <c:pt idx="283">
                  <c:v>-0.26254174892151244</c:v>
                </c:pt>
                <c:pt idx="284">
                  <c:v>-3.8258366391391845E-2</c:v>
                </c:pt>
                <c:pt idx="285">
                  <c:v>-3.3681511278835091E-2</c:v>
                </c:pt>
                <c:pt idx="286">
                  <c:v>0.16606408335834388</c:v>
                </c:pt>
                <c:pt idx="287">
                  <c:v>0.21570961617270662</c:v>
                </c:pt>
                <c:pt idx="288">
                  <c:v>0.11007668319934998</c:v>
                </c:pt>
                <c:pt idx="289">
                  <c:v>0.20170570707291677</c:v>
                </c:pt>
                <c:pt idx="290">
                  <c:v>0.49052894796692575</c:v>
                </c:pt>
                <c:pt idx="291">
                  <c:v>0.47428758847656188</c:v>
                </c:pt>
                <c:pt idx="292">
                  <c:v>0.52894823238283517</c:v>
                </c:pt>
                <c:pt idx="293">
                  <c:v>0.57582696312457438</c:v>
                </c:pt>
                <c:pt idx="294">
                  <c:v>0.84065992417236035</c:v>
                </c:pt>
                <c:pt idx="295">
                  <c:v>0.80121092613913925</c:v>
                </c:pt>
                <c:pt idx="296">
                  <c:v>0.60574158140422307</c:v>
                </c:pt>
                <c:pt idx="297">
                  <c:v>0.81138168724069393</c:v>
                </c:pt>
                <c:pt idx="298">
                  <c:v>0.68236464382081707</c:v>
                </c:pt>
                <c:pt idx="299">
                  <c:v>0.59327807479929495</c:v>
                </c:pt>
                <c:pt idx="300">
                  <c:v>0.8958628748602353</c:v>
                </c:pt>
                <c:pt idx="301">
                  <c:v>0.97422739047076101</c:v>
                </c:pt>
                <c:pt idx="302">
                  <c:v>1.0762469895775484</c:v>
                </c:pt>
                <c:pt idx="303">
                  <c:v>1.1868782576335621</c:v>
                </c:pt>
                <c:pt idx="304">
                  <c:v>1.3843406273881282</c:v>
                </c:pt>
                <c:pt idx="305">
                  <c:v>1.4491527572277401</c:v>
                </c:pt>
                <c:pt idx="306">
                  <c:v>2.4203893721481342</c:v>
                </c:pt>
                <c:pt idx="307">
                  <c:v>1.8605142683142386</c:v>
                </c:pt>
                <c:pt idx="308">
                  <c:v>1.8499715561576215</c:v>
                </c:pt>
                <c:pt idx="309">
                  <c:v>1.3871364091756395</c:v>
                </c:pt>
                <c:pt idx="310">
                  <c:v>1.8025875422186197</c:v>
                </c:pt>
                <c:pt idx="311">
                  <c:v>1.3462013286579924</c:v>
                </c:pt>
                <c:pt idx="312">
                  <c:v>1.5854688683858031</c:v>
                </c:pt>
                <c:pt idx="313">
                  <c:v>1.4439517622429456</c:v>
                </c:pt>
                <c:pt idx="314">
                  <c:v>1.6927436061046726</c:v>
                </c:pt>
                <c:pt idx="315">
                  <c:v>1.907783737403423</c:v>
                </c:pt>
                <c:pt idx="316">
                  <c:v>2.3709741515216414</c:v>
                </c:pt>
                <c:pt idx="317">
                  <c:v>1.627105380796406</c:v>
                </c:pt>
                <c:pt idx="318">
                  <c:v>1.7266167622071518</c:v>
                </c:pt>
                <c:pt idx="319">
                  <c:v>1.6968824017140245</c:v>
                </c:pt>
                <c:pt idx="320">
                  <c:v>2.1589484699925565</c:v>
                </c:pt>
                <c:pt idx="321">
                  <c:v>2.1622752827637943</c:v>
                </c:pt>
                <c:pt idx="322">
                  <c:v>3.3340174853089879</c:v>
                </c:pt>
                <c:pt idx="323">
                  <c:v>4.9497645307534475</c:v>
                </c:pt>
                <c:pt idx="324">
                  <c:v>4.6937063885949639</c:v>
                </c:pt>
                <c:pt idx="325">
                  <c:v>4.0920251807122838</c:v>
                </c:pt>
                <c:pt idx="326">
                  <c:v>4.319519510076252</c:v>
                </c:pt>
                <c:pt idx="327">
                  <c:v>3.598271747951939</c:v>
                </c:pt>
                <c:pt idx="328">
                  <c:v>3.5596825623740838</c:v>
                </c:pt>
                <c:pt idx="329">
                  <c:v>3.3858934454250535</c:v>
                </c:pt>
                <c:pt idx="330">
                  <c:v>3.4994473508934894</c:v>
                </c:pt>
                <c:pt idx="331">
                  <c:v>2.9357546608301344</c:v>
                </c:pt>
                <c:pt idx="332">
                  <c:v>3.0094762462730436</c:v>
                </c:pt>
                <c:pt idx="333">
                  <c:v>2.8159342388353603</c:v>
                </c:pt>
                <c:pt idx="334">
                  <c:v>2.5403844039704189</c:v>
                </c:pt>
                <c:pt idx="335">
                  <c:v>2.4006176995033615</c:v>
                </c:pt>
                <c:pt idx="336">
                  <c:v>2.4383229128492654</c:v>
                </c:pt>
                <c:pt idx="337">
                  <c:v>3.0394242714889921</c:v>
                </c:pt>
                <c:pt idx="338">
                  <c:v>2.7004362211405377</c:v>
                </c:pt>
                <c:pt idx="339">
                  <c:v>2.8697536159225616</c:v>
                </c:pt>
                <c:pt idx="340">
                  <c:v>2.730496596178956</c:v>
                </c:pt>
                <c:pt idx="341">
                  <c:v>2.6995800817530391</c:v>
                </c:pt>
                <c:pt idx="342">
                  <c:v>2.79370535017246</c:v>
                </c:pt>
                <c:pt idx="343">
                  <c:v>2.9843175307802672</c:v>
                </c:pt>
                <c:pt idx="344">
                  <c:v>2.9044803172073506</c:v>
                </c:pt>
                <c:pt idx="345">
                  <c:v>2.9840053789772818</c:v>
                </c:pt>
                <c:pt idx="346">
                  <c:v>2.3017943435947594</c:v>
                </c:pt>
                <c:pt idx="347">
                  <c:v>2.5884265460587597</c:v>
                </c:pt>
                <c:pt idx="348">
                  <c:v>2.5252232539128476</c:v>
                </c:pt>
                <c:pt idx="349">
                  <c:v>2.2754529160991006</c:v>
                </c:pt>
                <c:pt idx="350">
                  <c:v>2.0200115781361374</c:v>
                </c:pt>
                <c:pt idx="351">
                  <c:v>2.2548066842574914</c:v>
                </c:pt>
                <c:pt idx="352">
                  <c:v>1.0821969531335058</c:v>
                </c:pt>
                <c:pt idx="353">
                  <c:v>0.70176589087310381</c:v>
                </c:pt>
                <c:pt idx="354">
                  <c:v>0.66151467252114815</c:v>
                </c:pt>
                <c:pt idx="355">
                  <c:v>0.62178760072114814</c:v>
                </c:pt>
                <c:pt idx="356">
                  <c:v>0.78212633338835513</c:v>
                </c:pt>
                <c:pt idx="357">
                  <c:v>0.53934154902035536</c:v>
                </c:pt>
                <c:pt idx="358">
                  <c:v>0.51320222928429127</c:v>
                </c:pt>
                <c:pt idx="359">
                  <c:v>0.54272841990534337</c:v>
                </c:pt>
                <c:pt idx="360">
                  <c:v>0.69016551049828612</c:v>
                </c:pt>
                <c:pt idx="361">
                  <c:v>0.32432933987130202</c:v>
                </c:pt>
                <c:pt idx="362">
                  <c:v>0.41759610976026723</c:v>
                </c:pt>
                <c:pt idx="363">
                  <c:v>0.46859946372759909</c:v>
                </c:pt>
                <c:pt idx="364">
                  <c:v>0.48892118311616983</c:v>
                </c:pt>
                <c:pt idx="365">
                  <c:v>0.4171909624225496</c:v>
                </c:pt>
                <c:pt idx="366">
                  <c:v>0.53493078739082112</c:v>
                </c:pt>
                <c:pt idx="367">
                  <c:v>0.63147671155769314</c:v>
                </c:pt>
                <c:pt idx="368">
                  <c:v>0.26468469250139959</c:v>
                </c:pt>
                <c:pt idx="369">
                  <c:v>0.47358662940616175</c:v>
                </c:pt>
                <c:pt idx="370">
                  <c:v>0.42774708813801171</c:v>
                </c:pt>
                <c:pt idx="371">
                  <c:v>7.9947703543534726E-2</c:v>
                </c:pt>
                <c:pt idx="372">
                  <c:v>0.8323419754009459</c:v>
                </c:pt>
                <c:pt idx="373">
                  <c:v>0.49117747803796086</c:v>
                </c:pt>
                <c:pt idx="374">
                  <c:v>-7.1272526141143142E-2</c:v>
                </c:pt>
                <c:pt idx="375">
                  <c:v>-0.12812077320206489</c:v>
                </c:pt>
                <c:pt idx="376">
                  <c:v>-0.39996228729661953</c:v>
                </c:pt>
                <c:pt idx="377">
                  <c:v>-0.47921279056284039</c:v>
                </c:pt>
                <c:pt idx="378">
                  <c:v>-0.52725169667623017</c:v>
                </c:pt>
                <c:pt idx="379">
                  <c:v>-0.56790396441387281</c:v>
                </c:pt>
                <c:pt idx="380">
                  <c:v>-0.79245194186285228</c:v>
                </c:pt>
                <c:pt idx="381">
                  <c:v>-0.70337949391060262</c:v>
                </c:pt>
                <c:pt idx="382">
                  <c:v>-0.54852041761697612</c:v>
                </c:pt>
                <c:pt idx="383">
                  <c:v>-0.50997464243252089</c:v>
                </c:pt>
                <c:pt idx="384">
                  <c:v>-0.65837180384771354</c:v>
                </c:pt>
                <c:pt idx="385">
                  <c:v>-0.80957676074002138</c:v>
                </c:pt>
                <c:pt idx="386">
                  <c:v>-0.6236089202946965</c:v>
                </c:pt>
                <c:pt idx="387">
                  <c:v>-0.53691626678111593</c:v>
                </c:pt>
                <c:pt idx="388">
                  <c:v>-0.8942652132600738</c:v>
                </c:pt>
                <c:pt idx="389">
                  <c:v>-0.96687002470748584</c:v>
                </c:pt>
                <c:pt idx="390">
                  <c:v>-1.0793085248553462</c:v>
                </c:pt>
                <c:pt idx="391">
                  <c:v>-1.0174842908809869</c:v>
                </c:pt>
                <c:pt idx="392">
                  <c:v>-1.0420594760353017</c:v>
                </c:pt>
                <c:pt idx="393">
                  <c:v>-1.0055833102177341</c:v>
                </c:pt>
                <c:pt idx="394">
                  <c:v>-0.97502996576531042</c:v>
                </c:pt>
                <c:pt idx="395">
                  <c:v>-0.90411420855189539</c:v>
                </c:pt>
                <c:pt idx="396">
                  <c:v>-0.92215727529986258</c:v>
                </c:pt>
                <c:pt idx="397">
                  <c:v>-0.98761364532918994</c:v>
                </c:pt>
                <c:pt idx="398">
                  <c:v>-1.1602880978830363</c:v>
                </c:pt>
                <c:pt idx="399">
                  <c:v>-1.1204988200779649</c:v>
                </c:pt>
                <c:pt idx="400">
                  <c:v>-1.2594480352051911</c:v>
                </c:pt>
                <c:pt idx="401">
                  <c:v>-1.1704382314596735</c:v>
                </c:pt>
                <c:pt idx="402">
                  <c:v>-1.1699299276890853</c:v>
                </c:pt>
                <c:pt idx="403">
                  <c:v>-1.1001793706687548</c:v>
                </c:pt>
                <c:pt idx="404">
                  <c:v>-0.96697020386278487</c:v>
                </c:pt>
                <c:pt idx="405">
                  <c:v>-1.0472518279725194</c:v>
                </c:pt>
                <c:pt idx="406">
                  <c:v>-1.0911964964475847</c:v>
                </c:pt>
                <c:pt idx="407">
                  <c:v>-0.91982175203880012</c:v>
                </c:pt>
                <c:pt idx="408">
                  <c:v>-0.93668319472512751</c:v>
                </c:pt>
                <c:pt idx="409">
                  <c:v>-0.88738445726084181</c:v>
                </c:pt>
                <c:pt idx="410">
                  <c:v>-0.89402604941668573</c:v>
                </c:pt>
                <c:pt idx="411">
                  <c:v>-1.0148312177703442</c:v>
                </c:pt>
                <c:pt idx="412">
                  <c:v>-1.048699702483388</c:v>
                </c:pt>
                <c:pt idx="413">
                  <c:v>-1.0013756297686114</c:v>
                </c:pt>
                <c:pt idx="414">
                  <c:v>-0.97746521721931567</c:v>
                </c:pt>
                <c:pt idx="415">
                  <c:v>-1.0227601353931475</c:v>
                </c:pt>
                <c:pt idx="416">
                  <c:v>-0.97048379704488852</c:v>
                </c:pt>
                <c:pt idx="417">
                  <c:v>-0.96713730228992167</c:v>
                </c:pt>
                <c:pt idx="418">
                  <c:v>-0.98313471527653729</c:v>
                </c:pt>
                <c:pt idx="419">
                  <c:v>-1.0220691922701408</c:v>
                </c:pt>
                <c:pt idx="420">
                  <c:v>-0.95346276748814085</c:v>
                </c:pt>
                <c:pt idx="421">
                  <c:v>-0.94461334791964779</c:v>
                </c:pt>
                <c:pt idx="422">
                  <c:v>-0.97875352174896135</c:v>
                </c:pt>
                <c:pt idx="423">
                  <c:v>-0.96480024935958064</c:v>
                </c:pt>
                <c:pt idx="424">
                  <c:v>-1.0248848125113958</c:v>
                </c:pt>
                <c:pt idx="425">
                  <c:v>-1.0172062423637451</c:v>
                </c:pt>
                <c:pt idx="426">
                  <c:v>-1.0146672178097547</c:v>
                </c:pt>
                <c:pt idx="427">
                  <c:v>-1.0033222425408637</c:v>
                </c:pt>
                <c:pt idx="428">
                  <c:v>-0.86658167181119272</c:v>
                </c:pt>
                <c:pt idx="429">
                  <c:v>-0.68846775906864643</c:v>
                </c:pt>
                <c:pt idx="430">
                  <c:v>-0.73883584201051922</c:v>
                </c:pt>
                <c:pt idx="431">
                  <c:v>-0.67613965658325392</c:v>
                </c:pt>
                <c:pt idx="432">
                  <c:v>-0.80253980818671022</c:v>
                </c:pt>
                <c:pt idx="433">
                  <c:v>-0.93200645910812796</c:v>
                </c:pt>
                <c:pt idx="434">
                  <c:v>-0.82299203816218214</c:v>
                </c:pt>
                <c:pt idx="435">
                  <c:v>-0.88193335148491703</c:v>
                </c:pt>
                <c:pt idx="436">
                  <c:v>-0.86285576518354701</c:v>
                </c:pt>
                <c:pt idx="437">
                  <c:v>-0.83793038959057464</c:v>
                </c:pt>
                <c:pt idx="438">
                  <c:v>-0.85487124988908203</c:v>
                </c:pt>
                <c:pt idx="439">
                  <c:v>-0.80265284174330676</c:v>
                </c:pt>
                <c:pt idx="440">
                  <c:v>-0.84285939374330687</c:v>
                </c:pt>
                <c:pt idx="441">
                  <c:v>-0.85666234722968804</c:v>
                </c:pt>
                <c:pt idx="442">
                  <c:v>-0.80029284169093573</c:v>
                </c:pt>
                <c:pt idx="443">
                  <c:v>-0.71839570405357289</c:v>
                </c:pt>
                <c:pt idx="444">
                  <c:v>-0.82108003772645677</c:v>
                </c:pt>
                <c:pt idx="445">
                  <c:v>-0.78764706695933351</c:v>
                </c:pt>
                <c:pt idx="446">
                  <c:v>-0.88680819050178195</c:v>
                </c:pt>
                <c:pt idx="447">
                  <c:v>-0.71292924252467849</c:v>
                </c:pt>
                <c:pt idx="448">
                  <c:v>-0.82807597894349594</c:v>
                </c:pt>
                <c:pt idx="449">
                  <c:v>-0.91937322852861991</c:v>
                </c:pt>
                <c:pt idx="450">
                  <c:v>-0.92296173562504835</c:v>
                </c:pt>
                <c:pt idx="451">
                  <c:v>-0.89331237958141219</c:v>
                </c:pt>
                <c:pt idx="452">
                  <c:v>-0.84881430437356009</c:v>
                </c:pt>
                <c:pt idx="453">
                  <c:v>-0.84165274105551735</c:v>
                </c:pt>
                <c:pt idx="454">
                  <c:v>-0.80026137138324838</c:v>
                </c:pt>
                <c:pt idx="455">
                  <c:v>-0.80223384804160258</c:v>
                </c:pt>
                <c:pt idx="456">
                  <c:v>-0.78045535504160246</c:v>
                </c:pt>
                <c:pt idx="457">
                  <c:v>-0.73185189304160247</c:v>
                </c:pt>
                <c:pt idx="458">
                  <c:v>-0.72183250460760617</c:v>
                </c:pt>
                <c:pt idx="459">
                  <c:v>-0.66359351485805351</c:v>
                </c:pt>
                <c:pt idx="460">
                  <c:v>-0.62208383885569518</c:v>
                </c:pt>
                <c:pt idx="461">
                  <c:v>-0.67430199195872553</c:v>
                </c:pt>
                <c:pt idx="462">
                  <c:v>-0.64909845697385427</c:v>
                </c:pt>
                <c:pt idx="463">
                  <c:v>-0.67854153405677131</c:v>
                </c:pt>
                <c:pt idx="464">
                  <c:v>-0.6390561204291848</c:v>
                </c:pt>
                <c:pt idx="465">
                  <c:v>-0.56425346485023753</c:v>
                </c:pt>
                <c:pt idx="466">
                  <c:v>-0.50704212886679034</c:v>
                </c:pt>
                <c:pt idx="467">
                  <c:v>-0.50662381094822351</c:v>
                </c:pt>
                <c:pt idx="468">
                  <c:v>-0.5229536136966898</c:v>
                </c:pt>
                <c:pt idx="469">
                  <c:v>-0.38662486166050558</c:v>
                </c:pt>
                <c:pt idx="470">
                  <c:v>-0.31054667171913752</c:v>
                </c:pt>
                <c:pt idx="471">
                  <c:v>-0.21963470879373978</c:v>
                </c:pt>
                <c:pt idx="472">
                  <c:v>-0.2077861299607264</c:v>
                </c:pt>
                <c:pt idx="473">
                  <c:v>-9.4279845311214347E-2</c:v>
                </c:pt>
                <c:pt idx="474">
                  <c:v>-2.6662056266438309E-2</c:v>
                </c:pt>
                <c:pt idx="475">
                  <c:v>-0.17267421603439387</c:v>
                </c:pt>
                <c:pt idx="476">
                  <c:v>-0.17290827753258894</c:v>
                </c:pt>
                <c:pt idx="477">
                  <c:v>-0.24078647050187221</c:v>
                </c:pt>
                <c:pt idx="478">
                  <c:v>-0.29961158790582376</c:v>
                </c:pt>
                <c:pt idx="479">
                  <c:v>-0.24749008589324042</c:v>
                </c:pt>
                <c:pt idx="480">
                  <c:v>-0.27512135700449519</c:v>
                </c:pt>
                <c:pt idx="481">
                  <c:v>-0.31673695682698039</c:v>
                </c:pt>
                <c:pt idx="482">
                  <c:v>-0.33259143401224128</c:v>
                </c:pt>
                <c:pt idx="483">
                  <c:v>-0.32653905133069966</c:v>
                </c:pt>
                <c:pt idx="484">
                  <c:v>-0.29664354041949459</c:v>
                </c:pt>
                <c:pt idx="485">
                  <c:v>-0.28486573603680437</c:v>
                </c:pt>
                <c:pt idx="486">
                  <c:v>-0.37789775789734675</c:v>
                </c:pt>
                <c:pt idx="487">
                  <c:v>-0.39105654644523546</c:v>
                </c:pt>
                <c:pt idx="488">
                  <c:v>-0.39017451716923851</c:v>
                </c:pt>
                <c:pt idx="489">
                  <c:v>-0.43431342990435134</c:v>
                </c:pt>
                <c:pt idx="490">
                  <c:v>-0.49309807904582648</c:v>
                </c:pt>
                <c:pt idx="491">
                  <c:v>-0.54669800079648267</c:v>
                </c:pt>
                <c:pt idx="492">
                  <c:v>-0.43363685312552569</c:v>
                </c:pt>
                <c:pt idx="493">
                  <c:v>-0.46173474141346338</c:v>
                </c:pt>
                <c:pt idx="494">
                  <c:v>-0.33619694252372628</c:v>
                </c:pt>
                <c:pt idx="495">
                  <c:v>-0.27958243309695463</c:v>
                </c:pt>
                <c:pt idx="496">
                  <c:v>-0.28995355191824729</c:v>
                </c:pt>
                <c:pt idx="497">
                  <c:v>-0.2784219258259395</c:v>
                </c:pt>
                <c:pt idx="498">
                  <c:v>-0.28562434554359506</c:v>
                </c:pt>
                <c:pt idx="499">
                  <c:v>-0.29399339645477429</c:v>
                </c:pt>
                <c:pt idx="500">
                  <c:v>-0.17785123032717781</c:v>
                </c:pt>
                <c:pt idx="501">
                  <c:v>-0.16708764573771867</c:v>
                </c:pt>
                <c:pt idx="502">
                  <c:v>-0.13378510160377574</c:v>
                </c:pt>
                <c:pt idx="503">
                  <c:v>-0.12697733825513277</c:v>
                </c:pt>
                <c:pt idx="504">
                  <c:v>-0.18668074070281496</c:v>
                </c:pt>
                <c:pt idx="505">
                  <c:v>-0.15007866430066052</c:v>
                </c:pt>
                <c:pt idx="506">
                  <c:v>-0.16248474342815891</c:v>
                </c:pt>
                <c:pt idx="507">
                  <c:v>-0.12356053693854921</c:v>
                </c:pt>
                <c:pt idx="508">
                  <c:v>-0.1989805407913823</c:v>
                </c:pt>
                <c:pt idx="509">
                  <c:v>-0.20435059743806069</c:v>
                </c:pt>
                <c:pt idx="510">
                  <c:v>-0.11355891189285103</c:v>
                </c:pt>
                <c:pt idx="511">
                  <c:v>-0.30357469298526119</c:v>
                </c:pt>
                <c:pt idx="512">
                  <c:v>-0.19150999597197513</c:v>
                </c:pt>
                <c:pt idx="513">
                  <c:v>-0.15750878945736047</c:v>
                </c:pt>
                <c:pt idx="514">
                  <c:v>-0.11569867504094719</c:v>
                </c:pt>
                <c:pt idx="515">
                  <c:v>-4.7104418880383706E-2</c:v>
                </c:pt>
                <c:pt idx="516">
                  <c:v>3.3732715595025976E-2</c:v>
                </c:pt>
                <c:pt idx="517">
                  <c:v>0.31826478567699312</c:v>
                </c:pt>
                <c:pt idx="518">
                  <c:v>0.14848869223479325</c:v>
                </c:pt>
                <c:pt idx="519">
                  <c:v>8.4600020538112624E-4</c:v>
                </c:pt>
                <c:pt idx="520">
                  <c:v>-3.2424453740131656E-2</c:v>
                </c:pt>
                <c:pt idx="521">
                  <c:v>-8.0506002672762495E-3</c:v>
                </c:pt>
                <c:pt idx="522">
                  <c:v>-2.072064072703303E-2</c:v>
                </c:pt>
                <c:pt idx="523">
                  <c:v>2.2046585036232379E-2</c:v>
                </c:pt>
                <c:pt idx="524">
                  <c:v>-1.8599624407376673E-2</c:v>
                </c:pt>
                <c:pt idx="525">
                  <c:v>-1.734330019334385E-2</c:v>
                </c:pt>
                <c:pt idx="526">
                  <c:v>-3.3133484078751191E-2</c:v>
                </c:pt>
                <c:pt idx="527">
                  <c:v>-1.6234113449219226E-2</c:v>
                </c:pt>
                <c:pt idx="528">
                  <c:v>-7.6177273416188915E-3</c:v>
                </c:pt>
                <c:pt idx="529">
                  <c:v>1.6642167339492298E-2</c:v>
                </c:pt>
                <c:pt idx="530">
                  <c:v>3.7828824932542464E-2</c:v>
                </c:pt>
                <c:pt idx="531">
                  <c:v>6.3902063292542527E-2</c:v>
                </c:pt>
                <c:pt idx="532">
                  <c:v>2.6157889500366523E-2</c:v>
                </c:pt>
                <c:pt idx="533">
                  <c:v>4.5956652872018333E-2</c:v>
                </c:pt>
                <c:pt idx="534">
                  <c:v>-2.7137111923664133E-2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C4-4751-AC94-E183E24AE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9090831"/>
        <c:axId val="1634043839"/>
      </c:lineChart>
      <c:dateAx>
        <c:axId val="19790908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043839"/>
        <c:crosses val="autoZero"/>
        <c:auto val="1"/>
        <c:lblOffset val="100"/>
        <c:baseTimeUnit val="days"/>
      </c:dateAx>
      <c:valAx>
        <c:axId val="1634043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090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5145375-D359-482A-A104-1F34EEE61101}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192" cy="608134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6AD4E4-0740-44B5-BAB9-AC9BCB5E7D6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0.66788999999999998</v>
      </c>
      <c r="D2" s="4">
        <f>MIN(D3:D1912)</f>
        <v>4.521E-2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0.12230000000000001</v>
      </c>
      <c r="C5">
        <v>0.1236</v>
      </c>
      <c r="D5">
        <v>0.11840000000000001</v>
      </c>
      <c r="E5">
        <v>0.11849999999999999</v>
      </c>
      <c r="F5">
        <v>1650043</v>
      </c>
      <c r="G5">
        <v>0.11849999999999999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-0.96153846153846578</v>
      </c>
      <c r="Q5">
        <f t="shared" ref="Q5" si="1">F5*P5</f>
        <v>-1586579.8076923147</v>
      </c>
      <c r="R5">
        <f t="shared" ref="R5" si="2">R6+Q5</f>
        <v>-723465535.1180501</v>
      </c>
      <c r="S5">
        <f t="shared" ref="S5" si="3">R5/100000</f>
        <v>-7234.6553511805014</v>
      </c>
      <c r="T5">
        <f t="shared" ref="T5" si="4">S5/1000</f>
        <v>-7.2346553511805016</v>
      </c>
    </row>
    <row r="6" spans="1:20" x14ac:dyDescent="0.25">
      <c r="A6" s="5">
        <v>44587</v>
      </c>
      <c r="B6">
        <v>0.121</v>
      </c>
      <c r="C6">
        <v>0.1348</v>
      </c>
      <c r="D6">
        <v>0.11899999999999999</v>
      </c>
      <c r="E6">
        <v>0.1221</v>
      </c>
      <c r="F6">
        <v>20940251</v>
      </c>
      <c r="G6">
        <v>0.1221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-0.60759493670886022</v>
      </c>
      <c r="Q6">
        <f t="shared" ref="Q6" si="6">F6*P6</f>
        <v>-12723190.481012646</v>
      </c>
      <c r="R6">
        <f t="shared" ref="R6" si="7">R7+Q6</f>
        <v>-721878955.31035781</v>
      </c>
      <c r="S6">
        <f t="shared" ref="S6" si="8">R6/100000</f>
        <v>-7218.7895531035783</v>
      </c>
      <c r="T6">
        <f t="shared" ref="T6" si="9">S6/1000</f>
        <v>-7.2187895531035782</v>
      </c>
    </row>
    <row r="7" spans="1:20" x14ac:dyDescent="0.25">
      <c r="A7" s="5">
        <v>44586</v>
      </c>
      <c r="B7">
        <v>0.1197</v>
      </c>
      <c r="C7">
        <v>0.124</v>
      </c>
      <c r="D7">
        <v>0.1171</v>
      </c>
      <c r="E7">
        <v>0.1208</v>
      </c>
      <c r="F7">
        <v>17639831</v>
      </c>
      <c r="G7">
        <v>0.1208</v>
      </c>
      <c r="L7" t="s">
        <v>8</v>
      </c>
      <c r="M7" t="s">
        <v>8</v>
      </c>
      <c r="N7" t="s">
        <v>7</v>
      </c>
      <c r="P7">
        <f t="shared" ref="P7" si="10">IF(C7=D7,0,((E7-D7)-(C7-E7))/(C7-D7))</f>
        <v>7.2463768115944072E-2</v>
      </c>
      <c r="Q7">
        <f t="shared" ref="Q7" si="11">F7*P7</f>
        <v>1278248.6231884419</v>
      </c>
      <c r="R7">
        <f t="shared" ref="R7" si="12">R8+Q7</f>
        <v>-709155764.82934511</v>
      </c>
      <c r="S7">
        <f t="shared" ref="S7" si="13">R7/100000</f>
        <v>-7091.5576482934512</v>
      </c>
      <c r="T7">
        <f t="shared" ref="T7" si="14">S7/1000</f>
        <v>-7.0915576482934508</v>
      </c>
    </row>
    <row r="8" spans="1:20" x14ac:dyDescent="0.25">
      <c r="A8" s="5">
        <v>44585</v>
      </c>
      <c r="B8">
        <v>0.12470000000000001</v>
      </c>
      <c r="C8">
        <v>0.12529999999999999</v>
      </c>
      <c r="D8">
        <v>0.1051</v>
      </c>
      <c r="E8">
        <v>0.1197</v>
      </c>
      <c r="F8">
        <v>47556443</v>
      </c>
      <c r="G8">
        <v>0.1197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0.44554455445544605</v>
      </c>
      <c r="Q8">
        <f t="shared" ref="Q8" si="16">F8*P8</f>
        <v>21188514.207920816</v>
      </c>
      <c r="R8">
        <f t="shared" ref="R8" si="17">R9+Q8</f>
        <v>-710434013.4525336</v>
      </c>
      <c r="S8">
        <f t="shared" ref="S8" si="18">R8/100000</f>
        <v>-7104.340134525336</v>
      </c>
      <c r="T8">
        <f t="shared" ref="T8" si="19">S8/1000</f>
        <v>-7.1043401345253363</v>
      </c>
    </row>
    <row r="9" spans="1:20" x14ac:dyDescent="0.25">
      <c r="A9" s="5">
        <v>44584</v>
      </c>
      <c r="B9">
        <v>0.1211</v>
      </c>
      <c r="C9">
        <v>0.12970000000000001</v>
      </c>
      <c r="D9">
        <v>0.1177</v>
      </c>
      <c r="E9">
        <v>0.12470000000000001</v>
      </c>
      <c r="F9">
        <v>33051526</v>
      </c>
      <c r="G9">
        <v>0.12470000000000001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0.16666666666666666</v>
      </c>
      <c r="Q9">
        <f t="shared" ref="Q9" si="21">F9*P9</f>
        <v>5508587.666666666</v>
      </c>
      <c r="R9">
        <f t="shared" ref="R9" si="22">R10+Q9</f>
        <v>-731622527.66045439</v>
      </c>
      <c r="S9">
        <f t="shared" ref="S9" si="23">R9/100000</f>
        <v>-7316.225276604544</v>
      </c>
      <c r="T9">
        <f t="shared" ref="T9" si="24">S9/1000</f>
        <v>-7.3162252766045439</v>
      </c>
    </row>
    <row r="10" spans="1:20" x14ac:dyDescent="0.25">
      <c r="A10" s="5">
        <v>44583</v>
      </c>
      <c r="B10">
        <v>0.13800000000000001</v>
      </c>
      <c r="C10">
        <v>0.1411</v>
      </c>
      <c r="D10">
        <v>0.1123</v>
      </c>
      <c r="E10">
        <v>0.1211</v>
      </c>
      <c r="F10">
        <v>58640954.600000001</v>
      </c>
      <c r="G10">
        <v>0.1211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-0.38888888888888884</v>
      </c>
      <c r="Q10">
        <f t="shared" ref="Q10" si="26">F10*P10</f>
        <v>-22804815.677777775</v>
      </c>
      <c r="R10">
        <f t="shared" ref="R10" si="27">R11+Q10</f>
        <v>-737131115.32712102</v>
      </c>
      <c r="S10">
        <f t="shared" ref="S10" si="28">R10/100000</f>
        <v>-7371.3111532712101</v>
      </c>
      <c r="T10">
        <f t="shared" ref="T10" si="29">S10/1000</f>
        <v>-7.3713111532712103</v>
      </c>
    </row>
    <row r="11" spans="1:20" x14ac:dyDescent="0.25">
      <c r="A11" s="5">
        <v>44582</v>
      </c>
      <c r="B11">
        <v>0.16889999999999999</v>
      </c>
      <c r="C11">
        <v>0.1731</v>
      </c>
      <c r="D11">
        <v>0.13439999999999999</v>
      </c>
      <c r="E11">
        <v>0.13800000000000001</v>
      </c>
      <c r="F11">
        <v>40537322</v>
      </c>
      <c r="G11">
        <v>0.13800000000000001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-0.81395348837209203</v>
      </c>
      <c r="Q11">
        <f t="shared" ref="Q11" si="31">F11*P11</f>
        <v>-32995494.651162751</v>
      </c>
      <c r="R11">
        <f t="shared" ref="R11" si="32">R12+Q11</f>
        <v>-714326299.64934325</v>
      </c>
      <c r="S11">
        <f t="shared" ref="S11" si="33">R11/100000</f>
        <v>-7143.2629964934322</v>
      </c>
      <c r="T11">
        <f t="shared" ref="T11" si="34">S11/1000</f>
        <v>-7.1432629964934318</v>
      </c>
    </row>
    <row r="12" spans="1:20" x14ac:dyDescent="0.25">
      <c r="A12" s="5">
        <v>44581</v>
      </c>
      <c r="B12">
        <v>0.16869999999999999</v>
      </c>
      <c r="C12">
        <v>0.18160000000000001</v>
      </c>
      <c r="D12">
        <v>0.1678</v>
      </c>
      <c r="E12">
        <v>0.16930000000000001</v>
      </c>
      <c r="F12">
        <v>23098341</v>
      </c>
      <c r="G12">
        <v>0.16930000000000001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-0.78260869565217384</v>
      </c>
      <c r="Q12">
        <f t="shared" ref="Q12" si="36">F12*P12</f>
        <v>-18076962.521739129</v>
      </c>
      <c r="R12">
        <f t="shared" ref="R12" si="37">R13+Q12</f>
        <v>-681330804.99818051</v>
      </c>
      <c r="S12">
        <f t="shared" ref="S12" si="38">R12/100000</f>
        <v>-6813.3080499818052</v>
      </c>
      <c r="T12">
        <f t="shared" ref="T12" si="39">S12/1000</f>
        <v>-6.8133080499818055</v>
      </c>
    </row>
    <row r="13" spans="1:20" x14ac:dyDescent="0.25">
      <c r="A13" s="5">
        <v>44580</v>
      </c>
      <c r="B13">
        <v>0.1789</v>
      </c>
      <c r="C13">
        <v>0.17960000000000001</v>
      </c>
      <c r="D13">
        <v>0.16569999999999999</v>
      </c>
      <c r="E13">
        <v>0.1686</v>
      </c>
      <c r="F13">
        <v>11071763</v>
      </c>
      <c r="G13">
        <v>0.1686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-0.582733812949639</v>
      </c>
      <c r="Q13">
        <f t="shared" ref="Q13" si="41">F13*P13</f>
        <v>-6451890.6690647341</v>
      </c>
      <c r="R13">
        <f t="shared" ref="R13" si="42">R14+Q13</f>
        <v>-663253842.47644138</v>
      </c>
      <c r="S13">
        <f t="shared" ref="S13" si="43">R13/100000</f>
        <v>-6632.5384247644142</v>
      </c>
      <c r="T13">
        <f t="shared" ref="T13" si="44">S13/1000</f>
        <v>-6.6325384247644141</v>
      </c>
    </row>
    <row r="14" spans="1:20" x14ac:dyDescent="0.25">
      <c r="A14" s="5">
        <v>44579</v>
      </c>
      <c r="B14">
        <v>0.1767</v>
      </c>
      <c r="C14">
        <v>0.18129999999999999</v>
      </c>
      <c r="D14">
        <v>0.1709</v>
      </c>
      <c r="E14">
        <v>0.1792</v>
      </c>
      <c r="F14">
        <v>9994220</v>
      </c>
      <c r="G14">
        <v>0.1792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0.59615384615384759</v>
      </c>
      <c r="Q14">
        <f t="shared" ref="Q14" si="46">F14*P14</f>
        <v>5958092.6923077069</v>
      </c>
      <c r="R14">
        <f t="shared" ref="R14" si="47">R15+Q14</f>
        <v>-656801951.80737662</v>
      </c>
      <c r="S14">
        <f t="shared" ref="S14" si="48">R14/100000</f>
        <v>-6568.0195180737664</v>
      </c>
      <c r="T14">
        <f t="shared" ref="T14" si="49">S14/1000</f>
        <v>-6.5680195180737666</v>
      </c>
    </row>
    <row r="15" spans="1:20" x14ac:dyDescent="0.25">
      <c r="A15" s="5">
        <v>44578</v>
      </c>
      <c r="B15">
        <v>0.1852</v>
      </c>
      <c r="C15">
        <v>0.186</v>
      </c>
      <c r="D15">
        <v>0.17430000000000001</v>
      </c>
      <c r="E15">
        <v>0.1767</v>
      </c>
      <c r="F15">
        <v>10049781</v>
      </c>
      <c r="G15">
        <v>0.1767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-0.58974358974359187</v>
      </c>
      <c r="Q15">
        <f t="shared" ref="Q15" si="51">F15*P15</f>
        <v>-5926793.9230769444</v>
      </c>
      <c r="R15">
        <f t="shared" ref="R15" si="52">R16+Q15</f>
        <v>-662760044.49968433</v>
      </c>
      <c r="S15">
        <f t="shared" ref="S15" si="53">R15/100000</f>
        <v>-6627.6004449968432</v>
      </c>
      <c r="T15">
        <f t="shared" ref="T15" si="54">S15/1000</f>
        <v>-6.6276004449968431</v>
      </c>
    </row>
    <row r="16" spans="1:20" x14ac:dyDescent="0.25">
      <c r="A16" s="5">
        <v>44577</v>
      </c>
      <c r="B16">
        <v>0.18609999999999999</v>
      </c>
      <c r="C16">
        <v>0.18840000000000001</v>
      </c>
      <c r="D16">
        <v>0.1817</v>
      </c>
      <c r="E16">
        <v>0.18529999999999999</v>
      </c>
      <c r="F16">
        <v>8678250</v>
      </c>
      <c r="G16">
        <v>0.18529999999999999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7.4626865671637593E-2</v>
      </c>
      <c r="Q16">
        <f t="shared" ref="Q16" si="56">F16*P16</f>
        <v>647630.59701488889</v>
      </c>
      <c r="R16">
        <f t="shared" ref="R16" si="57">R17+Q16</f>
        <v>-656833250.57660735</v>
      </c>
      <c r="S16">
        <f t="shared" ref="S16" si="58">R16/100000</f>
        <v>-6568.3325057660732</v>
      </c>
      <c r="T16">
        <f t="shared" ref="T16" si="59">S16/1000</f>
        <v>-6.5683325057660733</v>
      </c>
    </row>
    <row r="17" spans="1:20" x14ac:dyDescent="0.25">
      <c r="A17" s="5">
        <v>44576</v>
      </c>
      <c r="B17">
        <v>0.18440000000000001</v>
      </c>
      <c r="C17">
        <v>0.19170000000000001</v>
      </c>
      <c r="D17">
        <v>0.18279999999999999</v>
      </c>
      <c r="E17">
        <v>0.18609999999999999</v>
      </c>
      <c r="F17">
        <v>8515419</v>
      </c>
      <c r="G17">
        <v>0.18609999999999999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-0.25842696629213702</v>
      </c>
      <c r="Q17">
        <f t="shared" ref="Q17" si="61">F17*P17</f>
        <v>-2200613.898876423</v>
      </c>
      <c r="R17">
        <f t="shared" ref="R17" si="62">R18+Q17</f>
        <v>-657480881.17362225</v>
      </c>
      <c r="S17">
        <f t="shared" ref="S17" si="63">R17/100000</f>
        <v>-6574.8088117362222</v>
      </c>
      <c r="T17">
        <f t="shared" ref="T17" si="64">S17/1000</f>
        <v>-6.5748088117362222</v>
      </c>
    </row>
    <row r="18" spans="1:20" x14ac:dyDescent="0.25">
      <c r="A18" s="5">
        <v>44575</v>
      </c>
      <c r="B18">
        <v>0.1855</v>
      </c>
      <c r="C18">
        <v>0.18959999999999999</v>
      </c>
      <c r="D18">
        <v>0.1789</v>
      </c>
      <c r="E18">
        <v>0.18429999999999999</v>
      </c>
      <c r="F18">
        <v>11242850</v>
      </c>
      <c r="G18">
        <v>0.18429999999999999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9.3457943925223455E-3</v>
      </c>
      <c r="Q18">
        <f t="shared" ref="Q18" si="66">F18*P18</f>
        <v>105073.36448596985</v>
      </c>
      <c r="R18">
        <f t="shared" ref="R18" si="67">R19+Q18</f>
        <v>-655280267.27474582</v>
      </c>
      <c r="S18">
        <f t="shared" ref="S18" si="68">R18/100000</f>
        <v>-6552.802672747458</v>
      </c>
      <c r="T18">
        <f t="shared" ref="T18" si="69">S18/1000</f>
        <v>-6.5528026727474584</v>
      </c>
    </row>
    <row r="19" spans="1:20" x14ac:dyDescent="0.25">
      <c r="A19" s="5">
        <v>44574</v>
      </c>
      <c r="B19">
        <v>0.1958</v>
      </c>
      <c r="C19">
        <v>0.20119999999999999</v>
      </c>
      <c r="D19">
        <v>0.18479999999999999</v>
      </c>
      <c r="E19">
        <v>0.1855</v>
      </c>
      <c r="F19">
        <v>16917967</v>
      </c>
      <c r="G19">
        <v>0.1855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-0.91463414634146267</v>
      </c>
      <c r="Q19">
        <f t="shared" ref="Q19" si="71">F19*P19</f>
        <v>-15473750.304878036</v>
      </c>
      <c r="R19">
        <f t="shared" ref="R19" si="72">R20+Q19</f>
        <v>-655385340.6392318</v>
      </c>
      <c r="S19">
        <f t="shared" ref="S19" si="73">R19/100000</f>
        <v>-6553.853406392318</v>
      </c>
      <c r="T19">
        <f t="shared" ref="T19" si="74">S19/1000</f>
        <v>-6.5538534063923182</v>
      </c>
    </row>
    <row r="20" spans="1:20" x14ac:dyDescent="0.25">
      <c r="A20" s="5">
        <v>44573</v>
      </c>
      <c r="B20">
        <v>0.1832</v>
      </c>
      <c r="C20">
        <v>0.1961</v>
      </c>
      <c r="D20">
        <v>0.1832</v>
      </c>
      <c r="E20">
        <v>0.1956</v>
      </c>
      <c r="F20">
        <v>16993432</v>
      </c>
      <c r="G20">
        <v>0.1956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0.92248062015503862</v>
      </c>
      <c r="Q20">
        <f t="shared" ref="Q20" si="76">F20*P20</f>
        <v>15676111.689922478</v>
      </c>
      <c r="R20">
        <f t="shared" ref="R20" si="77">R21+Q20</f>
        <v>-639911590.3343538</v>
      </c>
      <c r="S20">
        <f t="shared" ref="S20" si="78">R20/100000</f>
        <v>-6399.1159033435379</v>
      </c>
      <c r="T20">
        <f t="shared" ref="T20" si="79">S20/1000</f>
        <v>-6.3991159033435379</v>
      </c>
    </row>
    <row r="21" spans="1:20" x14ac:dyDescent="0.25">
      <c r="A21" s="5">
        <v>44572</v>
      </c>
      <c r="B21">
        <v>0.17469999999999999</v>
      </c>
      <c r="C21">
        <v>0.1837</v>
      </c>
      <c r="D21">
        <v>0.1719</v>
      </c>
      <c r="E21">
        <v>0.1832</v>
      </c>
      <c r="F21">
        <v>12831574</v>
      </c>
      <c r="G21">
        <v>0.1832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0.9152542372881356</v>
      </c>
      <c r="Q21">
        <f t="shared" ref="Q21" si="81">F21*P21</f>
        <v>11744152.474576272</v>
      </c>
      <c r="R21">
        <f t="shared" ref="R21" si="82">R22+Q21</f>
        <v>-655587702.02427626</v>
      </c>
      <c r="S21">
        <f t="shared" ref="S21" si="83">R21/100000</f>
        <v>-6555.8770202427622</v>
      </c>
      <c r="T21">
        <f t="shared" ref="T21" si="84">S21/1000</f>
        <v>-6.5558770202427619</v>
      </c>
    </row>
    <row r="22" spans="1:20" x14ac:dyDescent="0.25">
      <c r="A22" s="5">
        <v>44571</v>
      </c>
      <c r="B22">
        <v>0.18840000000000001</v>
      </c>
      <c r="C22">
        <v>0.19189999999999999</v>
      </c>
      <c r="D22">
        <v>0.16919999999999999</v>
      </c>
      <c r="E22">
        <v>0.1744</v>
      </c>
      <c r="F22">
        <v>17416785</v>
      </c>
      <c r="G22">
        <v>0.1744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-0.54185022026431628</v>
      </c>
      <c r="Q22">
        <f t="shared" ref="Q22" si="86">F22*P22</f>
        <v>-9437288.78854624</v>
      </c>
      <c r="R22">
        <f t="shared" ref="R22" si="87">R23+Q22</f>
        <v>-667331854.49885249</v>
      </c>
      <c r="S22">
        <f t="shared" ref="S22" si="88">R22/100000</f>
        <v>-6673.318544988525</v>
      </c>
      <c r="T22">
        <f t="shared" ref="T22" si="89">S22/1000</f>
        <v>-6.6733185449885246</v>
      </c>
    </row>
    <row r="23" spans="1:20" x14ac:dyDescent="0.25">
      <c r="A23" s="5">
        <v>44570</v>
      </c>
      <c r="B23">
        <v>0.18509999999999999</v>
      </c>
      <c r="C23">
        <v>0.193</v>
      </c>
      <c r="D23">
        <v>0.18179999999999999</v>
      </c>
      <c r="E23">
        <v>0.18840000000000001</v>
      </c>
      <c r="F23">
        <v>13392291</v>
      </c>
      <c r="G23">
        <v>0.18840000000000001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0.17857142857143096</v>
      </c>
      <c r="Q23">
        <f t="shared" ref="Q23" si="91">F23*P23</f>
        <v>2391480.5357143176</v>
      </c>
      <c r="R23">
        <f t="shared" ref="R23" si="92">R24+Q23</f>
        <v>-657894565.71030629</v>
      </c>
      <c r="S23">
        <f t="shared" ref="S23" si="93">R23/100000</f>
        <v>-6578.9456571030632</v>
      </c>
      <c r="T23">
        <f t="shared" ref="T23" si="94">S23/1000</f>
        <v>-6.5789456571030636</v>
      </c>
    </row>
    <row r="24" spans="1:20" x14ac:dyDescent="0.25">
      <c r="A24" s="5">
        <v>44569</v>
      </c>
      <c r="B24">
        <v>0.18729999999999999</v>
      </c>
      <c r="C24">
        <v>0.19450000000000001</v>
      </c>
      <c r="D24">
        <v>0.17469999999999999</v>
      </c>
      <c r="E24">
        <v>0.185</v>
      </c>
      <c r="F24">
        <v>16336522.300000001</v>
      </c>
      <c r="G24">
        <v>0.185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4.0404040404040137E-2</v>
      </c>
      <c r="Q24">
        <f t="shared" ref="Q24" si="96">F24*P24</f>
        <v>660061.50707070273</v>
      </c>
      <c r="R24">
        <f t="shared" ref="R24" si="97">R25+Q24</f>
        <v>-660286046.24602056</v>
      </c>
      <c r="S24">
        <f t="shared" ref="S24" si="98">R24/100000</f>
        <v>-6602.8604624602058</v>
      </c>
      <c r="T24">
        <f t="shared" ref="T24" si="99">S24/1000</f>
        <v>-6.6028604624602059</v>
      </c>
    </row>
    <row r="25" spans="1:20" x14ac:dyDescent="0.25">
      <c r="A25" s="5">
        <v>44568</v>
      </c>
      <c r="B25">
        <v>0.20469999999999999</v>
      </c>
      <c r="C25">
        <v>0.20549999999999999</v>
      </c>
      <c r="D25">
        <v>0.18340000000000001</v>
      </c>
      <c r="E25">
        <v>0.18720000000000001</v>
      </c>
      <c r="F25">
        <v>22472348</v>
      </c>
      <c r="G25">
        <v>0.18720000000000001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-0.65610859728506776</v>
      </c>
      <c r="Q25">
        <f t="shared" ref="Q25" si="101">F25*P25</f>
        <v>-14744300.723981898</v>
      </c>
      <c r="R25">
        <f t="shared" ref="R25" si="102">R26+Q25</f>
        <v>-660946107.75309122</v>
      </c>
      <c r="S25">
        <f t="shared" ref="S25" si="103">R25/100000</f>
        <v>-6609.461077530912</v>
      </c>
      <c r="T25">
        <f t="shared" ref="T25" si="104">S25/1000</f>
        <v>-6.6094610775309119</v>
      </c>
    </row>
    <row r="26" spans="1:20" x14ac:dyDescent="0.25">
      <c r="A26" s="5">
        <v>44567</v>
      </c>
      <c r="B26">
        <v>0.2064</v>
      </c>
      <c r="C26">
        <v>0.20799999999999999</v>
      </c>
      <c r="D26">
        <v>0.19239999999999999</v>
      </c>
      <c r="E26">
        <v>0.20480000000000001</v>
      </c>
      <c r="F26">
        <v>22384291</v>
      </c>
      <c r="G26">
        <v>0.20480000000000001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0.58974358974359231</v>
      </c>
      <c r="Q26">
        <f t="shared" ref="Q26" si="106">F26*P26</f>
        <v>13200992.128205186</v>
      </c>
      <c r="R26">
        <f t="shared" ref="R26" si="107">R27+Q26</f>
        <v>-646201807.02910936</v>
      </c>
      <c r="S26">
        <f t="shared" ref="S26" si="108">R26/100000</f>
        <v>-6462.0180702910939</v>
      </c>
      <c r="T26">
        <f t="shared" ref="T26" si="109">S26/1000</f>
        <v>-6.4620180702910934</v>
      </c>
    </row>
    <row r="27" spans="1:20" x14ac:dyDescent="0.25">
      <c r="A27" s="5">
        <v>44566</v>
      </c>
      <c r="B27">
        <v>0.22209999999999999</v>
      </c>
      <c r="C27">
        <v>0.24149999999999999</v>
      </c>
      <c r="D27">
        <v>0.19670000000000001</v>
      </c>
      <c r="E27">
        <v>0.2064</v>
      </c>
      <c r="F27">
        <v>40474717</v>
      </c>
      <c r="G27">
        <v>0.2064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-0.56696428571428614</v>
      </c>
      <c r="Q27">
        <f t="shared" ref="Q27" si="111">F27*P27</f>
        <v>-22947719.013392873</v>
      </c>
      <c r="R27">
        <f t="shared" ref="R27" si="112">R28+Q27</f>
        <v>-659402799.15731454</v>
      </c>
      <c r="S27">
        <f t="shared" ref="S27" si="113">R27/100000</f>
        <v>-6594.0279915731453</v>
      </c>
      <c r="T27">
        <f t="shared" ref="T27" si="114">S27/1000</f>
        <v>-6.594027991573145</v>
      </c>
    </row>
    <row r="28" spans="1:20" x14ac:dyDescent="0.25">
      <c r="A28" s="5">
        <v>44565</v>
      </c>
      <c r="B28">
        <v>0.2273</v>
      </c>
      <c r="C28">
        <v>0.23480000000000001</v>
      </c>
      <c r="D28">
        <v>0.22</v>
      </c>
      <c r="E28">
        <v>0.22189999999999999</v>
      </c>
      <c r="F28">
        <v>28633844</v>
      </c>
      <c r="G28">
        <v>0.22189999999999999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-0.74324324324324542</v>
      </c>
      <c r="Q28">
        <f t="shared" ref="Q28" si="116">F28*P28</f>
        <v>-21281911.081081145</v>
      </c>
      <c r="R28">
        <f t="shared" ref="R28" si="117">R29+Q28</f>
        <v>-636455080.14392161</v>
      </c>
      <c r="S28">
        <f t="shared" ref="S28" si="118">R28/100000</f>
        <v>-6364.5508014392162</v>
      </c>
      <c r="T28">
        <f t="shared" ref="T28" si="119">S28/1000</f>
        <v>-6.3645508014392158</v>
      </c>
    </row>
    <row r="29" spans="1:20" x14ac:dyDescent="0.25">
      <c r="A29" s="5">
        <v>44564</v>
      </c>
      <c r="B29">
        <v>0.2258</v>
      </c>
      <c r="C29">
        <v>0.23219999999999999</v>
      </c>
      <c r="D29">
        <v>0.2185</v>
      </c>
      <c r="E29">
        <v>0.2273</v>
      </c>
      <c r="F29">
        <v>23475971</v>
      </c>
      <c r="G29">
        <v>0.2273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0.28467153284671659</v>
      </c>
      <c r="Q29">
        <f t="shared" ref="Q29" si="121">F29*P29</f>
        <v>6682940.6496350663</v>
      </c>
      <c r="R29">
        <f t="shared" ref="R29" si="122">R30+Q29</f>
        <v>-615173169.06284046</v>
      </c>
      <c r="S29">
        <f t="shared" ref="S29" si="123">R29/100000</f>
        <v>-6151.731690628405</v>
      </c>
      <c r="T29">
        <f t="shared" ref="T29" si="124">S29/1000</f>
        <v>-6.151731690628405</v>
      </c>
    </row>
    <row r="30" spans="1:20" x14ac:dyDescent="0.25">
      <c r="A30" s="5">
        <v>44563</v>
      </c>
      <c r="B30">
        <v>0.2208</v>
      </c>
      <c r="C30">
        <v>0.2414</v>
      </c>
      <c r="D30">
        <v>0.21840000000000001</v>
      </c>
      <c r="E30">
        <v>0.2258</v>
      </c>
      <c r="F30">
        <v>43826308</v>
      </c>
      <c r="G30">
        <v>0.2258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-0.35652173913043544</v>
      </c>
      <c r="Q30">
        <f t="shared" ref="Q30" si="126">F30*P30</f>
        <v>-15625031.547826115</v>
      </c>
      <c r="R30">
        <f t="shared" ref="R30" si="127">R31+Q30</f>
        <v>-621856109.71247554</v>
      </c>
      <c r="S30">
        <f t="shared" ref="S30" si="128">R30/100000</f>
        <v>-6218.5610971247552</v>
      </c>
      <c r="T30">
        <f t="shared" ref="T30" si="129">S30/1000</f>
        <v>-6.2185610971247556</v>
      </c>
    </row>
    <row r="31" spans="1:20" x14ac:dyDescent="0.25">
      <c r="A31" s="5">
        <v>44562</v>
      </c>
      <c r="B31">
        <v>0.21970000000000001</v>
      </c>
      <c r="C31">
        <v>0.2248</v>
      </c>
      <c r="D31">
        <v>0.21690000000000001</v>
      </c>
      <c r="E31">
        <v>0.2208</v>
      </c>
      <c r="F31">
        <v>14279936</v>
      </c>
      <c r="G31">
        <v>0.2208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-1.2658227848103401E-2</v>
      </c>
      <c r="Q31">
        <f t="shared" ref="Q31" si="131">F31*P31</f>
        <v>-180758.68354433429</v>
      </c>
      <c r="R31">
        <f t="shared" ref="R31" si="132">R32+Q31</f>
        <v>-606231078.16464937</v>
      </c>
      <c r="S31">
        <f t="shared" ref="S31" si="133">R31/100000</f>
        <v>-6062.3107816464935</v>
      </c>
      <c r="T31">
        <f t="shared" ref="T31" si="134">S31/1000</f>
        <v>-6.0623107816464934</v>
      </c>
    </row>
    <row r="32" spans="1:20" x14ac:dyDescent="0.25">
      <c r="A32" s="5">
        <v>44561</v>
      </c>
      <c r="B32">
        <v>0.21840000000000001</v>
      </c>
      <c r="C32">
        <v>0.2331</v>
      </c>
      <c r="D32">
        <v>0.2112</v>
      </c>
      <c r="E32">
        <v>0.2198</v>
      </c>
      <c r="F32">
        <v>26181470</v>
      </c>
      <c r="G32">
        <v>0.2198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-0.21461187214611913</v>
      </c>
      <c r="Q32">
        <f t="shared" ref="Q32" si="136">F32*P32</f>
        <v>-5618854.2922374532</v>
      </c>
      <c r="R32">
        <f t="shared" ref="R32" si="137">R33+Q32</f>
        <v>-606050319.48110509</v>
      </c>
      <c r="S32">
        <f t="shared" ref="S32" si="138">R32/100000</f>
        <v>-6060.5031948110509</v>
      </c>
      <c r="T32">
        <f t="shared" ref="T32" si="139">S32/1000</f>
        <v>-6.0605031948110506</v>
      </c>
    </row>
    <row r="33" spans="1:20" x14ac:dyDescent="0.25">
      <c r="A33" s="5">
        <v>44560</v>
      </c>
      <c r="B33">
        <v>0.21279999999999999</v>
      </c>
      <c r="C33">
        <v>0.22370000000000001</v>
      </c>
      <c r="D33">
        <v>0.20630000000000001</v>
      </c>
      <c r="E33">
        <v>0.21829999999999999</v>
      </c>
      <c r="F33">
        <v>17874519</v>
      </c>
      <c r="G33">
        <v>0.21829999999999999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0.37931034482758436</v>
      </c>
      <c r="Q33">
        <f t="shared" ref="Q33" si="141">F33*P33</f>
        <v>6779989.965517208</v>
      </c>
      <c r="R33">
        <f t="shared" ref="R33" si="142">R34+Q33</f>
        <v>-600431465.18886769</v>
      </c>
      <c r="S33">
        <f t="shared" ref="S33" si="143">R33/100000</f>
        <v>-6004.314651888677</v>
      </c>
      <c r="T33">
        <f t="shared" ref="T33" si="144">S33/1000</f>
        <v>-6.0043146518886772</v>
      </c>
    </row>
    <row r="34" spans="1:20" x14ac:dyDescent="0.25">
      <c r="A34" s="5">
        <v>44559</v>
      </c>
      <c r="B34">
        <v>0.22259999999999999</v>
      </c>
      <c r="C34">
        <v>0.2286</v>
      </c>
      <c r="D34">
        <v>0.20930000000000001</v>
      </c>
      <c r="E34">
        <v>0.21279999999999999</v>
      </c>
      <c r="F34">
        <v>27618635</v>
      </c>
      <c r="G34">
        <v>0.21279999999999999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-0.63730569948186755</v>
      </c>
      <c r="Q34">
        <f t="shared" ref="Q34" si="146">F34*P34</f>
        <v>-17601513.497409388</v>
      </c>
      <c r="R34">
        <f t="shared" ref="R34" si="147">R35+Q34</f>
        <v>-607211455.15438485</v>
      </c>
      <c r="S34">
        <f t="shared" ref="S34" si="148">R34/100000</f>
        <v>-6072.1145515438484</v>
      </c>
      <c r="T34">
        <f t="shared" ref="T34" si="149">S34/1000</f>
        <v>-6.0721145515438488</v>
      </c>
    </row>
    <row r="35" spans="1:20" x14ac:dyDescent="0.25">
      <c r="A35" s="5">
        <v>44558</v>
      </c>
      <c r="B35">
        <v>0.2455</v>
      </c>
      <c r="C35">
        <v>0.2455</v>
      </c>
      <c r="D35">
        <v>0.221</v>
      </c>
      <c r="E35">
        <v>0.22259999999999999</v>
      </c>
      <c r="F35">
        <v>30235572</v>
      </c>
      <c r="G35">
        <v>0.22259999999999999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-0.86938775510204158</v>
      </c>
      <c r="Q35">
        <f t="shared" ref="Q35" si="151">F35*P35</f>
        <v>-26286436.065306146</v>
      </c>
      <c r="R35">
        <f t="shared" ref="R35" si="152">R36+Q35</f>
        <v>-589609941.65697551</v>
      </c>
      <c r="S35">
        <f t="shared" ref="S35" si="153">R35/100000</f>
        <v>-5896.0994165697548</v>
      </c>
      <c r="T35">
        <f t="shared" ref="T35" si="154">S35/1000</f>
        <v>-5.8960994165697551</v>
      </c>
    </row>
    <row r="36" spans="1:20" x14ac:dyDescent="0.25">
      <c r="A36" s="5">
        <v>44557</v>
      </c>
      <c r="B36">
        <v>0.24410000000000001</v>
      </c>
      <c r="C36">
        <v>0.2596</v>
      </c>
      <c r="D36">
        <v>0.24260000000000001</v>
      </c>
      <c r="E36">
        <v>0.2457</v>
      </c>
      <c r="F36">
        <v>24825887</v>
      </c>
      <c r="G36">
        <v>0.2457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-0.63529411764705956</v>
      </c>
      <c r="Q36">
        <f t="shared" ref="Q36" si="156">F36*P36</f>
        <v>-15771739.976470606</v>
      </c>
      <c r="R36">
        <f t="shared" ref="R36" si="157">R37+Q36</f>
        <v>-563323505.59166932</v>
      </c>
      <c r="S36">
        <f t="shared" ref="S36" si="158">R36/100000</f>
        <v>-5633.2350559166935</v>
      </c>
      <c r="T36">
        <f t="shared" ref="T36" si="159">S36/1000</f>
        <v>-5.6332350559166935</v>
      </c>
    </row>
    <row r="37" spans="1:20" x14ac:dyDescent="0.25">
      <c r="A37" s="5">
        <v>44556</v>
      </c>
      <c r="B37">
        <v>0.25030000000000002</v>
      </c>
      <c r="C37">
        <v>0.25230000000000002</v>
      </c>
      <c r="D37">
        <v>0.23599999999999999</v>
      </c>
      <c r="E37">
        <v>0.24399999999999999</v>
      </c>
      <c r="F37">
        <v>18932782</v>
      </c>
      <c r="G37">
        <v>0.24399999999999999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-1.840490797546146E-2</v>
      </c>
      <c r="Q37">
        <f t="shared" ref="Q37" si="161">F37*P37</f>
        <v>-348456.11042947316</v>
      </c>
      <c r="R37">
        <f t="shared" ref="R37" si="162">R38+Q37</f>
        <v>-547551765.61519873</v>
      </c>
      <c r="S37">
        <f t="shared" ref="S37" si="163">R37/100000</f>
        <v>-5475.5176561519875</v>
      </c>
      <c r="T37">
        <f t="shared" ref="T37" si="164">S37/1000</f>
        <v>-5.4755176561519878</v>
      </c>
    </row>
    <row r="38" spans="1:20" x14ac:dyDescent="0.25">
      <c r="A38" s="5">
        <v>44555</v>
      </c>
      <c r="B38">
        <v>0.24210000000000001</v>
      </c>
      <c r="C38">
        <v>0.25569999999999998</v>
      </c>
      <c r="D38">
        <v>0.24</v>
      </c>
      <c r="E38">
        <v>0.25080000000000002</v>
      </c>
      <c r="F38">
        <v>21482082</v>
      </c>
      <c r="G38">
        <v>0.25080000000000002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0.37579617834395385</v>
      </c>
      <c r="Q38">
        <f t="shared" ref="Q38" si="166">F38*P38</f>
        <v>8072884.318471441</v>
      </c>
      <c r="R38">
        <f t="shared" ref="R38" si="167">R39+Q38</f>
        <v>-547203309.50476921</v>
      </c>
      <c r="S38">
        <f t="shared" ref="S38" si="168">R38/100000</f>
        <v>-5472.0330950476919</v>
      </c>
      <c r="T38">
        <f t="shared" ref="T38" si="169">S38/1000</f>
        <v>-5.4720330950476921</v>
      </c>
    </row>
    <row r="39" spans="1:20" x14ac:dyDescent="0.25">
      <c r="A39" s="5">
        <v>44554</v>
      </c>
      <c r="B39">
        <v>0.26</v>
      </c>
      <c r="C39">
        <v>0.26219999999999999</v>
      </c>
      <c r="D39">
        <v>0.23910000000000001</v>
      </c>
      <c r="E39">
        <v>0.24210000000000001</v>
      </c>
      <c r="F39">
        <v>25129584</v>
      </c>
      <c r="G39">
        <v>0.24210000000000001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-0.74025974025973984</v>
      </c>
      <c r="Q39">
        <f t="shared" ref="Q39" si="171">F39*P39</f>
        <v>-18602419.324675314</v>
      </c>
      <c r="R39">
        <f t="shared" ref="R39" si="172">R40+Q39</f>
        <v>-555276193.82324064</v>
      </c>
      <c r="S39">
        <f t="shared" ref="S39" si="173">R39/100000</f>
        <v>-5552.7619382324065</v>
      </c>
      <c r="T39">
        <f t="shared" ref="T39" si="174">S39/1000</f>
        <v>-5.5527619382324067</v>
      </c>
    </row>
    <row r="40" spans="1:20" x14ac:dyDescent="0.25">
      <c r="A40" s="5">
        <v>44553</v>
      </c>
      <c r="B40">
        <v>0.2389</v>
      </c>
      <c r="C40">
        <v>0.2621</v>
      </c>
      <c r="D40">
        <v>0.23280000000000001</v>
      </c>
      <c r="E40">
        <v>0.25990000000000002</v>
      </c>
      <c r="F40">
        <v>38233826</v>
      </c>
      <c r="G40">
        <v>0.25990000000000002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0.8498293515358375</v>
      </c>
      <c r="Q40">
        <f t="shared" ref="Q40" si="176">F40*P40</f>
        <v>32492227.556314044</v>
      </c>
      <c r="R40">
        <f t="shared" ref="R40" si="177">R41+Q40</f>
        <v>-536673774.49856538</v>
      </c>
      <c r="S40">
        <f t="shared" ref="S40" si="178">R40/100000</f>
        <v>-5366.737744985654</v>
      </c>
      <c r="T40">
        <f t="shared" ref="T40" si="179">S40/1000</f>
        <v>-5.3667377449856541</v>
      </c>
    </row>
    <row r="41" spans="1:20" x14ac:dyDescent="0.25">
      <c r="A41" s="5">
        <v>44552</v>
      </c>
      <c r="B41">
        <v>0.23710000000000001</v>
      </c>
      <c r="C41">
        <v>0.2467</v>
      </c>
      <c r="D41">
        <v>0.23219999999999999</v>
      </c>
      <c r="E41">
        <v>0.23860000000000001</v>
      </c>
      <c r="F41">
        <v>24095348</v>
      </c>
      <c r="G41">
        <v>0.23860000000000001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-0.1172413793103433</v>
      </c>
      <c r="Q41">
        <f t="shared" ref="Q41" si="181">F41*P41</f>
        <v>-2824971.834482722</v>
      </c>
      <c r="R41">
        <f t="shared" ref="R41" si="182">R42+Q41</f>
        <v>-569166002.05487943</v>
      </c>
      <c r="S41">
        <f t="shared" ref="S41" si="183">R41/100000</f>
        <v>-5691.6600205487939</v>
      </c>
      <c r="T41">
        <f t="shared" ref="T41" si="184">S41/1000</f>
        <v>-5.6916600205487935</v>
      </c>
    </row>
    <row r="42" spans="1:20" x14ac:dyDescent="0.25">
      <c r="A42" s="5">
        <v>44551</v>
      </c>
      <c r="B42">
        <v>0.22090000000000001</v>
      </c>
      <c r="C42">
        <v>0.23880000000000001</v>
      </c>
      <c r="D42">
        <v>0.22</v>
      </c>
      <c r="E42">
        <v>0.2369</v>
      </c>
      <c r="F42">
        <v>14749559</v>
      </c>
      <c r="G42">
        <v>0.2369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0.79787234042553068</v>
      </c>
      <c r="Q42">
        <f t="shared" ref="Q42" si="186">F42*P42</f>
        <v>11768265.159574449</v>
      </c>
      <c r="R42">
        <f t="shared" ref="R42" si="187">R43+Q42</f>
        <v>-566341030.22039676</v>
      </c>
      <c r="S42">
        <f t="shared" ref="S42" si="188">R42/100000</f>
        <v>-5663.4103022039671</v>
      </c>
      <c r="T42">
        <f t="shared" ref="T42" si="189">S42/1000</f>
        <v>-5.6634103022039675</v>
      </c>
    </row>
    <row r="43" spans="1:20" x14ac:dyDescent="0.25">
      <c r="A43" s="5">
        <v>44550</v>
      </c>
      <c r="B43">
        <v>0.2329</v>
      </c>
      <c r="C43">
        <v>0.2331</v>
      </c>
      <c r="D43">
        <v>0.214</v>
      </c>
      <c r="E43">
        <v>0.2205</v>
      </c>
      <c r="F43">
        <v>17125045</v>
      </c>
      <c r="G43">
        <v>0.2205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-0.31937172774869071</v>
      </c>
      <c r="Q43">
        <f t="shared" ref="Q43" si="191">F43*P43</f>
        <v>-5469255.2094240775</v>
      </c>
      <c r="R43">
        <f t="shared" ref="R43" si="192">R44+Q43</f>
        <v>-578109295.37997115</v>
      </c>
      <c r="S43">
        <f t="shared" ref="S43" si="193">R43/100000</f>
        <v>-5781.0929537997117</v>
      </c>
      <c r="T43">
        <f t="shared" ref="T43" si="194">S43/1000</f>
        <v>-5.7810929537997113</v>
      </c>
    </row>
    <row r="44" spans="1:20" x14ac:dyDescent="0.25">
      <c r="A44" s="5">
        <v>44549</v>
      </c>
      <c r="B44">
        <v>0.2382</v>
      </c>
      <c r="C44">
        <v>0.2447</v>
      </c>
      <c r="D44">
        <v>0.23269999999999999</v>
      </c>
      <c r="E44">
        <v>0.2329</v>
      </c>
      <c r="F44">
        <v>13605404</v>
      </c>
      <c r="G44">
        <v>0.2329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-0.96666666666666579</v>
      </c>
      <c r="Q44">
        <f t="shared" ref="Q44" si="196">F44*P44</f>
        <v>-13151890.533333322</v>
      </c>
      <c r="R44">
        <f t="shared" ref="R44" si="197">R45+Q44</f>
        <v>-572640040.17054713</v>
      </c>
      <c r="S44">
        <f t="shared" ref="S44" si="198">R44/100000</f>
        <v>-5726.4004017054713</v>
      </c>
      <c r="T44">
        <f t="shared" ref="T44" si="199">S44/1000</f>
        <v>-5.7264004017054715</v>
      </c>
    </row>
    <row r="45" spans="1:20" x14ac:dyDescent="0.25">
      <c r="A45" s="5">
        <v>44548</v>
      </c>
      <c r="B45">
        <v>0.2301</v>
      </c>
      <c r="C45">
        <v>0.2432</v>
      </c>
      <c r="D45">
        <v>0.2243</v>
      </c>
      <c r="E45">
        <v>0.2384</v>
      </c>
      <c r="F45">
        <v>16513661</v>
      </c>
      <c r="G45">
        <v>0.2384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0.4920634920634922</v>
      </c>
      <c r="Q45">
        <f t="shared" ref="Q45" si="201">F45*P45</f>
        <v>8125769.6984127006</v>
      </c>
      <c r="R45">
        <f t="shared" ref="R45" si="202">R46+Q45</f>
        <v>-559488149.63721383</v>
      </c>
      <c r="S45">
        <f t="shared" ref="S45" si="203">R45/100000</f>
        <v>-5594.8814963721379</v>
      </c>
      <c r="T45">
        <f t="shared" ref="T45" si="204">S45/1000</f>
        <v>-5.5948814963721381</v>
      </c>
    </row>
    <row r="46" spans="1:20" x14ac:dyDescent="0.25">
      <c r="A46" s="5">
        <v>44547</v>
      </c>
      <c r="B46">
        <v>0.23250000000000001</v>
      </c>
      <c r="C46">
        <v>0.24010000000000001</v>
      </c>
      <c r="D46">
        <v>0.2203</v>
      </c>
      <c r="E46">
        <v>0.23019999999999999</v>
      </c>
      <c r="F46">
        <v>19830180</v>
      </c>
      <c r="G46">
        <v>0.23019999999999999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-1.4017967482640858E-15</v>
      </c>
      <c r="Q46">
        <f t="shared" ref="Q46" si="206">F46*P46</f>
        <v>-2.7797881841491509E-8</v>
      </c>
      <c r="R46">
        <f t="shared" ref="R46" si="207">R47+Q46</f>
        <v>-567613919.33562648</v>
      </c>
      <c r="S46">
        <f t="shared" ref="S46" si="208">R46/100000</f>
        <v>-5676.1391933562645</v>
      </c>
      <c r="T46">
        <f t="shared" ref="T46" si="209">S46/1000</f>
        <v>-5.6761391933562644</v>
      </c>
    </row>
    <row r="47" spans="1:20" x14ac:dyDescent="0.25">
      <c r="A47" s="5">
        <v>44546</v>
      </c>
      <c r="B47">
        <v>0.23699999999999999</v>
      </c>
      <c r="C47">
        <v>0.2492</v>
      </c>
      <c r="D47">
        <v>0.23180000000000001</v>
      </c>
      <c r="E47">
        <v>0.2326</v>
      </c>
      <c r="F47">
        <v>25250133</v>
      </c>
      <c r="G47">
        <v>0.2326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-0.90804597701149481</v>
      </c>
      <c r="Q47">
        <f t="shared" ref="Q47" si="211">F47*P47</f>
        <v>-22928281.689655185</v>
      </c>
      <c r="R47">
        <f t="shared" ref="R47" si="212">R48+Q47</f>
        <v>-567613919.33562648</v>
      </c>
      <c r="S47">
        <f t="shared" ref="S47" si="213">R47/100000</f>
        <v>-5676.1391933562645</v>
      </c>
      <c r="T47">
        <f t="shared" ref="T47" si="214">S47/1000</f>
        <v>-5.6761391933562644</v>
      </c>
    </row>
    <row r="48" spans="1:20" x14ac:dyDescent="0.25">
      <c r="A48" s="5">
        <v>44545</v>
      </c>
      <c r="B48">
        <v>0.23369999999999999</v>
      </c>
      <c r="C48">
        <v>0.2414</v>
      </c>
      <c r="D48">
        <v>0.21529999999999999</v>
      </c>
      <c r="E48">
        <v>0.2366</v>
      </c>
      <c r="F48">
        <v>29623249</v>
      </c>
      <c r="G48">
        <v>0.2366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0.63218390804597724</v>
      </c>
      <c r="Q48">
        <f t="shared" ref="Q48" si="216">F48*P48</f>
        <v>18727341.321839087</v>
      </c>
      <c r="R48">
        <f t="shared" ref="R48" si="217">R49+Q48</f>
        <v>-544685637.6459713</v>
      </c>
      <c r="S48">
        <f t="shared" ref="S48" si="218">R48/100000</f>
        <v>-5446.8563764597129</v>
      </c>
      <c r="T48">
        <f t="shared" ref="T48" si="219">S48/1000</f>
        <v>-5.4468563764597127</v>
      </c>
    </row>
    <row r="49" spans="1:20" x14ac:dyDescent="0.25">
      <c r="A49" s="5">
        <v>44544</v>
      </c>
      <c r="B49">
        <v>0.2253</v>
      </c>
      <c r="C49">
        <v>0.24460000000000001</v>
      </c>
      <c r="D49">
        <v>0.2223</v>
      </c>
      <c r="E49">
        <v>0.23380000000000001</v>
      </c>
      <c r="F49">
        <v>40174380</v>
      </c>
      <c r="G49">
        <v>0.23380000000000001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3.1390134529148239E-2</v>
      </c>
      <c r="Q49">
        <f t="shared" ref="Q49" si="221">F49*P49</f>
        <v>1261079.1928251225</v>
      </c>
      <c r="R49">
        <f t="shared" ref="R49" si="222">R50+Q49</f>
        <v>-563412978.96781039</v>
      </c>
      <c r="S49">
        <f t="shared" ref="S49" si="223">R49/100000</f>
        <v>-5634.1297896781043</v>
      </c>
      <c r="T49">
        <f t="shared" ref="T49" si="224">S49/1000</f>
        <v>-5.634129789678104</v>
      </c>
    </row>
    <row r="50" spans="1:20" x14ac:dyDescent="0.25">
      <c r="A50" s="5">
        <v>44543</v>
      </c>
      <c r="B50">
        <v>0.26100000000000001</v>
      </c>
      <c r="C50">
        <v>0.26229999999999998</v>
      </c>
      <c r="D50">
        <v>0.22070000000000001</v>
      </c>
      <c r="E50">
        <v>0.22550000000000001</v>
      </c>
      <c r="F50">
        <v>44137390</v>
      </c>
      <c r="G50">
        <v>0.22550000000000001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-0.76923076923076916</v>
      </c>
      <c r="Q50">
        <f t="shared" ref="Q50" si="226">F50*P50</f>
        <v>-33951838.461538456</v>
      </c>
      <c r="R50">
        <f t="shared" ref="R50" si="227">R51+Q50</f>
        <v>-564674058.16063547</v>
      </c>
      <c r="S50">
        <f t="shared" ref="S50" si="228">R50/100000</f>
        <v>-5646.7405816063547</v>
      </c>
      <c r="T50">
        <f t="shared" ref="T50" si="229">S50/1000</f>
        <v>-5.6467405816063545</v>
      </c>
    </row>
    <row r="51" spans="1:20" x14ac:dyDescent="0.25">
      <c r="A51" s="5">
        <v>44542</v>
      </c>
      <c r="B51">
        <v>0.27329999999999999</v>
      </c>
      <c r="C51">
        <v>0.2737</v>
      </c>
      <c r="D51">
        <v>0.25840000000000002</v>
      </c>
      <c r="E51">
        <v>0.26129999999999998</v>
      </c>
      <c r="F51">
        <v>25524531</v>
      </c>
      <c r="G51">
        <v>0.26129999999999998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-0.62091503267974357</v>
      </c>
      <c r="Q51">
        <f t="shared" ref="Q51" si="231">F51*P51</f>
        <v>-15848565.000000129</v>
      </c>
      <c r="R51">
        <f t="shared" ref="R51" si="232">R52+Q51</f>
        <v>-530722219.69909704</v>
      </c>
      <c r="S51">
        <f t="shared" ref="S51" si="233">R51/100000</f>
        <v>-5307.2221969909706</v>
      </c>
      <c r="T51">
        <f t="shared" ref="T51" si="234">S51/1000</f>
        <v>-5.3072221969909705</v>
      </c>
    </row>
    <row r="52" spans="1:20" x14ac:dyDescent="0.25">
      <c r="A52" s="5">
        <v>44541</v>
      </c>
      <c r="B52">
        <v>0.2858</v>
      </c>
      <c r="C52">
        <v>0.28610000000000002</v>
      </c>
      <c r="D52">
        <v>0.27039999999999997</v>
      </c>
      <c r="E52">
        <v>0.28220000000000001</v>
      </c>
      <c r="F52">
        <v>4026792</v>
      </c>
      <c r="G52">
        <v>0.28220000000000001</v>
      </c>
      <c r="L52" t="s">
        <v>8</v>
      </c>
      <c r="M52" t="s">
        <v>7</v>
      </c>
      <c r="N52" t="s">
        <v>7</v>
      </c>
      <c r="P52">
        <f t="shared" ref="P52" si="235">IF(C52=D52,0,((E52-D52)-(C52-E52))/(C52-D52))</f>
        <v>0.50318471337579584</v>
      </c>
      <c r="Q52">
        <f t="shared" ref="Q52" si="236">F52*P52</f>
        <v>2026220.1783439477</v>
      </c>
      <c r="R52">
        <f t="shared" ref="R52" si="237">R53+Q52</f>
        <v>-514873654.69909692</v>
      </c>
      <c r="S52">
        <f t="shared" ref="S52" si="238">R52/100000</f>
        <v>-5148.7365469909691</v>
      </c>
      <c r="T52">
        <f t="shared" ref="T52" si="239">S52/1000</f>
        <v>-5.1487365469909694</v>
      </c>
    </row>
    <row r="53" spans="1:20" x14ac:dyDescent="0.25">
      <c r="A53" s="5">
        <v>44540</v>
      </c>
      <c r="B53">
        <v>0.2898</v>
      </c>
      <c r="C53">
        <v>0.30059999999999998</v>
      </c>
      <c r="D53">
        <v>0.26440000000000002</v>
      </c>
      <c r="E53">
        <v>0.2858</v>
      </c>
      <c r="F53">
        <v>85566030</v>
      </c>
      <c r="G53">
        <v>0.2858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0.18232044198895037</v>
      </c>
      <c r="Q53">
        <f t="shared" ref="Q53" si="241">F53*P53</f>
        <v>15600436.408839786</v>
      </c>
      <c r="R53">
        <f t="shared" ref="R53" si="242">R54+Q53</f>
        <v>-516899874.87744087</v>
      </c>
      <c r="S53">
        <f t="shared" ref="S53" si="243">R53/100000</f>
        <v>-5168.9987487744083</v>
      </c>
      <c r="T53">
        <f t="shared" ref="T53" si="244">S53/1000</f>
        <v>-5.168998748774408</v>
      </c>
    </row>
    <row r="54" spans="1:20" x14ac:dyDescent="0.25">
      <c r="A54" s="5">
        <v>44539</v>
      </c>
      <c r="B54">
        <v>0.36230000000000001</v>
      </c>
      <c r="C54">
        <v>0.38</v>
      </c>
      <c r="D54">
        <v>0.2868</v>
      </c>
      <c r="E54">
        <v>0.2898</v>
      </c>
      <c r="F54">
        <v>237873573</v>
      </c>
      <c r="G54">
        <v>0.2898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-0.93562231759656644</v>
      </c>
      <c r="Q54">
        <f t="shared" ref="Q54" si="246">F54*P54</f>
        <v>-222559823.66523603</v>
      </c>
      <c r="R54">
        <f t="shared" ref="R54" si="247">R55+Q54</f>
        <v>-532500311.28628063</v>
      </c>
      <c r="S54">
        <f t="shared" ref="S54" si="248">R54/100000</f>
        <v>-5325.0031128628061</v>
      </c>
      <c r="T54">
        <f t="shared" ref="T54" si="249">S54/1000</f>
        <v>-5.3250031128628059</v>
      </c>
    </row>
    <row r="55" spans="1:20" x14ac:dyDescent="0.25">
      <c r="A55" s="5">
        <v>44538</v>
      </c>
      <c r="B55">
        <v>0.27660000000000001</v>
      </c>
      <c r="C55">
        <v>0.39900000000000002</v>
      </c>
      <c r="D55">
        <v>0.24809999999999999</v>
      </c>
      <c r="E55">
        <v>0.36270000000000002</v>
      </c>
      <c r="F55">
        <v>172192294</v>
      </c>
      <c r="G55">
        <v>0.36270000000000002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0.51888667992047721</v>
      </c>
      <c r="Q55">
        <f t="shared" ref="Q55" si="251">F55*P55</f>
        <v>89348287.741550714</v>
      </c>
      <c r="R55">
        <f t="shared" ref="R55" si="252">R56+Q55</f>
        <v>-309940487.62104464</v>
      </c>
      <c r="S55">
        <f t="shared" ref="S55" si="253">R55/100000</f>
        <v>-3099.4048762104462</v>
      </c>
      <c r="T55">
        <f t="shared" ref="T55" si="254">S55/1000</f>
        <v>-3.0994048762104462</v>
      </c>
    </row>
    <row r="56" spans="1:20" x14ac:dyDescent="0.25">
      <c r="A56" s="5">
        <v>44537</v>
      </c>
      <c r="B56">
        <v>0.24299999999999999</v>
      </c>
      <c r="C56">
        <v>0.32300000000000001</v>
      </c>
      <c r="D56">
        <v>0.2369</v>
      </c>
      <c r="E56">
        <v>0.27660000000000001</v>
      </c>
      <c r="F56">
        <v>191328574</v>
      </c>
      <c r="G56">
        <v>0.27660000000000001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-7.7816492450638597E-2</v>
      </c>
      <c r="Q56">
        <f t="shared" ref="Q56" si="256">F56*P56</f>
        <v>-14888518.534262449</v>
      </c>
      <c r="R56">
        <f t="shared" ref="R56" si="257">R57+Q56</f>
        <v>-399288775.36259532</v>
      </c>
      <c r="S56">
        <f t="shared" ref="S56" si="258">R56/100000</f>
        <v>-3992.8877536259533</v>
      </c>
      <c r="T56">
        <f t="shared" ref="T56" si="259">S56/1000</f>
        <v>-3.9928877536259533</v>
      </c>
    </row>
    <row r="57" spans="1:20" x14ac:dyDescent="0.25">
      <c r="A57" s="5">
        <v>44536</v>
      </c>
      <c r="B57">
        <v>0.21410000000000001</v>
      </c>
      <c r="C57">
        <v>0.25619999999999998</v>
      </c>
      <c r="D57">
        <v>0.18659999999999999</v>
      </c>
      <c r="E57">
        <v>0.24279999999999999</v>
      </c>
      <c r="F57">
        <v>110168663</v>
      </c>
      <c r="G57">
        <v>0.24279999999999999</v>
      </c>
      <c r="L57" t="s">
        <v>8</v>
      </c>
      <c r="M57" t="s">
        <v>8</v>
      </c>
      <c r="N57" t="s">
        <v>7</v>
      </c>
      <c r="P57">
        <f t="shared" ref="P57" si="260">IF(C57=D57,0,((E57-D57)-(C57-E57))/(C57-D57))</f>
        <v>0.61494252873563227</v>
      </c>
      <c r="Q57">
        <f t="shared" ref="Q57" si="261">F57*P57</f>
        <v>67747396.212643683</v>
      </c>
      <c r="R57">
        <f t="shared" ref="R57" si="262">R58+Q57</f>
        <v>-384400256.82833284</v>
      </c>
      <c r="S57">
        <f t="shared" ref="S57" si="263">R57/100000</f>
        <v>-3844.0025682833284</v>
      </c>
      <c r="T57">
        <f t="shared" ref="T57" si="264">S57/1000</f>
        <v>-3.8440025682833285</v>
      </c>
    </row>
    <row r="58" spans="1:20" x14ac:dyDescent="0.25">
      <c r="A58" s="5">
        <v>44535</v>
      </c>
      <c r="B58">
        <v>0.2382</v>
      </c>
      <c r="C58">
        <v>0.24340000000000001</v>
      </c>
      <c r="D58">
        <v>0.20730000000000001</v>
      </c>
      <c r="E58">
        <v>0.21410000000000001</v>
      </c>
      <c r="F58">
        <v>39256135</v>
      </c>
      <c r="G58">
        <v>0.21410000000000001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-0.62326869806094176</v>
      </c>
      <c r="Q58">
        <f t="shared" ref="Q58" si="266">F58*P58</f>
        <v>-24467120.152354568</v>
      </c>
      <c r="R58">
        <f t="shared" ref="R58" si="267">R59+Q58</f>
        <v>-452147653.04097652</v>
      </c>
      <c r="S58">
        <f t="shared" ref="S58" si="268">R58/100000</f>
        <v>-4521.4765304097655</v>
      </c>
      <c r="T58">
        <f t="shared" ref="T58" si="269">S58/1000</f>
        <v>-4.5214765304097657</v>
      </c>
    </row>
    <row r="59" spans="1:20" x14ac:dyDescent="0.25">
      <c r="A59" s="5">
        <v>44534</v>
      </c>
      <c r="B59">
        <v>0.31409999999999999</v>
      </c>
      <c r="C59">
        <v>0.31430000000000002</v>
      </c>
      <c r="D59">
        <v>0.19470000000000001</v>
      </c>
      <c r="E59">
        <v>0.23849999999999999</v>
      </c>
      <c r="F59">
        <v>71187404</v>
      </c>
      <c r="G59">
        <v>0.23849999999999999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-0.26755852842809408</v>
      </c>
      <c r="Q59">
        <f t="shared" ref="Q59" si="271">F59*P59</f>
        <v>-19046797.056856219</v>
      </c>
      <c r="R59">
        <f t="shared" ref="R59" si="272">R60+Q59</f>
        <v>-427680532.88862199</v>
      </c>
      <c r="S59">
        <f t="shared" ref="S59" si="273">R59/100000</f>
        <v>-4276.8053288862202</v>
      </c>
      <c r="T59">
        <f t="shared" ref="T59" si="274">S59/1000</f>
        <v>-4.27680532888622</v>
      </c>
    </row>
    <row r="60" spans="1:20" x14ac:dyDescent="0.25">
      <c r="A60" s="5">
        <v>44533</v>
      </c>
      <c r="B60">
        <v>0.33510000000000001</v>
      </c>
      <c r="C60">
        <v>0.3483</v>
      </c>
      <c r="D60">
        <v>0.3</v>
      </c>
      <c r="E60">
        <v>0.31430000000000002</v>
      </c>
      <c r="F60">
        <v>25945392</v>
      </c>
      <c r="G60">
        <v>0.31430000000000002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-0.40786749482401524</v>
      </c>
      <c r="Q60">
        <f t="shared" ref="Q60" si="276">F60*P60</f>
        <v>-10582282.037267046</v>
      </c>
      <c r="R60">
        <f t="shared" ref="R60" si="277">R61+Q60</f>
        <v>-408633735.83176577</v>
      </c>
      <c r="S60">
        <f t="shared" ref="S60" si="278">R60/100000</f>
        <v>-4086.3373583176576</v>
      </c>
      <c r="T60">
        <f t="shared" ref="T60" si="279">S60/1000</f>
        <v>-4.0863373583176577</v>
      </c>
    </row>
    <row r="61" spans="1:20" x14ac:dyDescent="0.25">
      <c r="A61" s="5">
        <v>44532</v>
      </c>
      <c r="B61">
        <v>0.34739999999999999</v>
      </c>
      <c r="C61">
        <v>0.3478</v>
      </c>
      <c r="D61">
        <v>0.3256</v>
      </c>
      <c r="E61">
        <v>0.33460000000000001</v>
      </c>
      <c r="F61">
        <v>16029223</v>
      </c>
      <c r="G61">
        <v>0.33460000000000001</v>
      </c>
      <c r="L61" t="s">
        <v>7</v>
      </c>
      <c r="M61" t="s">
        <v>8</v>
      </c>
      <c r="N61" t="s">
        <v>8</v>
      </c>
      <c r="P61">
        <f t="shared" ref="P61" si="280">IF(C61=D61,0,((E61-D61)-(C61-E61))/(C61-D61))</f>
        <v>-0.18918918918918837</v>
      </c>
      <c r="Q61">
        <f t="shared" ref="Q61" si="281">F61*P61</f>
        <v>-3032555.7027026895</v>
      </c>
      <c r="R61">
        <f t="shared" ref="R61" si="282">R62+Q61</f>
        <v>-398051453.79449874</v>
      </c>
      <c r="S61">
        <f t="shared" ref="S61" si="283">R61/100000</f>
        <v>-3980.5145379449873</v>
      </c>
      <c r="T61">
        <f t="shared" ref="T61" si="284">S61/1000</f>
        <v>-3.9805145379449871</v>
      </c>
    </row>
    <row r="62" spans="1:20" x14ac:dyDescent="0.25">
      <c r="A62" s="5">
        <v>44531</v>
      </c>
      <c r="B62">
        <v>0.33889999999999998</v>
      </c>
      <c r="C62">
        <v>0.37769999999999998</v>
      </c>
      <c r="D62">
        <v>0.33610000000000001</v>
      </c>
      <c r="E62">
        <v>0.34720000000000001</v>
      </c>
      <c r="F62">
        <v>35836200</v>
      </c>
      <c r="G62">
        <v>0.34720000000000001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-0.46634615384615352</v>
      </c>
      <c r="Q62">
        <f t="shared" ref="Q62" si="286">F62*P62</f>
        <v>-16712074.038461527</v>
      </c>
      <c r="R62">
        <f t="shared" ref="R62" si="287">R63+Q62</f>
        <v>-395018898.09179604</v>
      </c>
      <c r="S62">
        <f t="shared" ref="S62" si="288">R62/100000</f>
        <v>-3950.1889809179602</v>
      </c>
      <c r="T62">
        <f t="shared" ref="T62" si="289">S62/1000</f>
        <v>-3.95018898091796</v>
      </c>
    </row>
    <row r="63" spans="1:20" x14ac:dyDescent="0.25">
      <c r="A63" s="5">
        <v>44530</v>
      </c>
      <c r="B63">
        <v>0.3584</v>
      </c>
      <c r="C63">
        <v>0.36959999999999998</v>
      </c>
      <c r="D63">
        <v>0.33479999999999999</v>
      </c>
      <c r="E63">
        <v>0.33850000000000002</v>
      </c>
      <c r="F63">
        <v>27917728</v>
      </c>
      <c r="G63">
        <v>0.33850000000000002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-0.78735632183907833</v>
      </c>
      <c r="Q63">
        <f t="shared" ref="Q63" si="291">F63*P63</f>
        <v>-21981199.63218385</v>
      </c>
      <c r="R63">
        <f t="shared" ref="R63" si="292">R64+Q63</f>
        <v>-378306824.05333453</v>
      </c>
      <c r="S63">
        <f t="shared" ref="S63" si="293">R63/100000</f>
        <v>-3783.0682405333455</v>
      </c>
      <c r="T63">
        <f t="shared" ref="T63" si="294">S63/1000</f>
        <v>-3.7830682405333453</v>
      </c>
    </row>
    <row r="64" spans="1:20" x14ac:dyDescent="0.25">
      <c r="A64" s="5">
        <v>44529</v>
      </c>
      <c r="B64">
        <v>0.34539999999999998</v>
      </c>
      <c r="C64">
        <v>0.37319999999999998</v>
      </c>
      <c r="D64">
        <v>0.3382</v>
      </c>
      <c r="E64">
        <v>0.35849999999999999</v>
      </c>
      <c r="F64">
        <v>31815333</v>
      </c>
      <c r="G64">
        <v>0.35849999999999999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0.15999999999999995</v>
      </c>
      <c r="Q64">
        <f t="shared" ref="Q64" si="296">F64*P64</f>
        <v>5090453.2799999984</v>
      </c>
      <c r="R64">
        <f t="shared" ref="R64" si="297">R65+Q64</f>
        <v>-356325624.42115068</v>
      </c>
      <c r="S64">
        <f t="shared" ref="S64" si="298">R64/100000</f>
        <v>-3563.2562442115068</v>
      </c>
      <c r="T64">
        <f t="shared" ref="T64" si="299">S64/1000</f>
        <v>-3.563256244211507</v>
      </c>
    </row>
    <row r="65" spans="1:20" x14ac:dyDescent="0.25">
      <c r="A65" s="5">
        <v>44528</v>
      </c>
      <c r="B65">
        <v>0.35820000000000002</v>
      </c>
      <c r="C65">
        <v>0.35870000000000002</v>
      </c>
      <c r="D65">
        <v>0.31290000000000001</v>
      </c>
      <c r="E65">
        <v>0.3453</v>
      </c>
      <c r="F65">
        <v>34540478</v>
      </c>
      <c r="G65">
        <v>0.3453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0.41484716157205148</v>
      </c>
      <c r="Q65">
        <f t="shared" ref="Q65" si="301">F65*P65</f>
        <v>14329019.257641889</v>
      </c>
      <c r="R65">
        <f t="shared" ref="R65" si="302">R66+Q65</f>
        <v>-361416077.70115066</v>
      </c>
      <c r="S65">
        <f t="shared" ref="S65" si="303">R65/100000</f>
        <v>-3614.1607770115065</v>
      </c>
      <c r="T65">
        <f t="shared" ref="T65" si="304">S65/1000</f>
        <v>-3.6141607770115067</v>
      </c>
    </row>
    <row r="66" spans="1:20" x14ac:dyDescent="0.25">
      <c r="A66" s="5">
        <v>44527</v>
      </c>
      <c r="B66">
        <v>0.33</v>
      </c>
      <c r="C66">
        <v>0.4027</v>
      </c>
      <c r="D66">
        <v>0.32750000000000001</v>
      </c>
      <c r="E66">
        <v>0.35830000000000001</v>
      </c>
      <c r="F66">
        <v>64845233</v>
      </c>
      <c r="G66">
        <v>0.35830000000000001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-0.18085106382978727</v>
      </c>
      <c r="Q66">
        <f t="shared" ref="Q66" si="306">F66*P66</f>
        <v>-11727329.372340428</v>
      </c>
      <c r="R66">
        <f t="shared" ref="R66" si="307">R67+Q66</f>
        <v>-375745096.95879257</v>
      </c>
      <c r="S66">
        <f t="shared" ref="S66" si="308">R66/100000</f>
        <v>-3757.4509695879256</v>
      </c>
      <c r="T66">
        <f t="shared" ref="T66" si="309">S66/1000</f>
        <v>-3.7574509695879255</v>
      </c>
    </row>
    <row r="67" spans="1:20" x14ac:dyDescent="0.25">
      <c r="A67" s="5">
        <v>44526</v>
      </c>
      <c r="B67">
        <v>0.3659</v>
      </c>
      <c r="C67">
        <v>0.38009999999999999</v>
      </c>
      <c r="D67">
        <v>0.3175</v>
      </c>
      <c r="E67">
        <v>0.3301</v>
      </c>
      <c r="F67">
        <v>60781744</v>
      </c>
      <c r="G67">
        <v>0.3301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-0.59744408945686889</v>
      </c>
      <c r="Q67">
        <f t="shared" ref="Q67" si="311">F67*P67</f>
        <v>-36313693.699680507</v>
      </c>
      <c r="R67">
        <f t="shared" ref="R67" si="312">R68+Q67</f>
        <v>-364017767.58645213</v>
      </c>
      <c r="S67">
        <f t="shared" ref="S67" si="313">R67/100000</f>
        <v>-3640.1776758645215</v>
      </c>
      <c r="T67">
        <f t="shared" ref="T67" si="314">S67/1000</f>
        <v>-3.6401776758645217</v>
      </c>
    </row>
    <row r="68" spans="1:20" x14ac:dyDescent="0.25">
      <c r="A68" s="5">
        <v>44525</v>
      </c>
      <c r="B68">
        <v>0.4022</v>
      </c>
      <c r="C68">
        <v>0.41</v>
      </c>
      <c r="D68">
        <v>0.36099999999999999</v>
      </c>
      <c r="E68">
        <v>0.3659</v>
      </c>
      <c r="F68">
        <v>32059560</v>
      </c>
      <c r="G68">
        <v>0.3659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-0.79999999999999927</v>
      </c>
      <c r="Q68">
        <f t="shared" ref="Q68" si="316">F68*P68</f>
        <v>-25647647.999999978</v>
      </c>
      <c r="R68">
        <f t="shared" ref="R68" si="317">R69+Q68</f>
        <v>-327704073.88677162</v>
      </c>
      <c r="S68">
        <f t="shared" ref="S68" si="318">R68/100000</f>
        <v>-3277.0407388677163</v>
      </c>
      <c r="T68">
        <f t="shared" ref="T68" si="319">S68/1000</f>
        <v>-3.2770407388677163</v>
      </c>
    </row>
    <row r="69" spans="1:20" x14ac:dyDescent="0.25">
      <c r="A69" s="5">
        <v>44524</v>
      </c>
      <c r="B69">
        <v>0.35249999999999998</v>
      </c>
      <c r="C69">
        <v>0.35289999999999999</v>
      </c>
      <c r="D69">
        <v>0.33829999999999999</v>
      </c>
      <c r="E69">
        <v>0.34189999999999998</v>
      </c>
      <c r="F69">
        <v>6284238</v>
      </c>
      <c r="G69">
        <v>0.34189999999999998</v>
      </c>
      <c r="L69" t="s">
        <v>7</v>
      </c>
      <c r="M69" t="s">
        <v>8</v>
      </c>
      <c r="N69" t="s">
        <v>8</v>
      </c>
      <c r="P69">
        <f t="shared" ref="P69" si="320">IF(C69=D69,0,((E69-D69)-(C69-E69))/(C69-D69))</f>
        <v>-0.50684931506849429</v>
      </c>
      <c r="Q69">
        <f t="shared" ref="Q69" si="321">F69*P69</f>
        <v>-3185161.7260274044</v>
      </c>
      <c r="R69">
        <f t="shared" ref="R69" si="322">R70+Q69</f>
        <v>-302056425.88677162</v>
      </c>
      <c r="S69">
        <f t="shared" ref="S69" si="323">R69/100000</f>
        <v>-3020.564258867716</v>
      </c>
      <c r="T69">
        <f t="shared" ref="T69" si="324">S69/1000</f>
        <v>-3.020564258867716</v>
      </c>
    </row>
    <row r="70" spans="1:20" x14ac:dyDescent="0.25">
      <c r="A70" s="5">
        <v>44523</v>
      </c>
      <c r="B70">
        <v>0.37209999999999999</v>
      </c>
      <c r="C70">
        <v>0.3866</v>
      </c>
      <c r="D70">
        <v>0.35070000000000001</v>
      </c>
      <c r="E70">
        <v>0.35220000000000001</v>
      </c>
      <c r="F70">
        <v>46179164</v>
      </c>
      <c r="G70">
        <v>0.35220000000000001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-0.91643454038997207</v>
      </c>
      <c r="Q70">
        <f t="shared" ref="Q70" si="326">F70*P70</f>
        <v>-42320180.935933143</v>
      </c>
      <c r="R70">
        <f t="shared" ref="R70" si="327">R71+Q70</f>
        <v>-298871264.16074419</v>
      </c>
      <c r="S70">
        <f t="shared" ref="S70" si="328">R70/100000</f>
        <v>-2988.712641607442</v>
      </c>
      <c r="T70">
        <f t="shared" ref="T70" si="329">S70/1000</f>
        <v>-2.9887126416074419</v>
      </c>
    </row>
    <row r="71" spans="1:20" x14ac:dyDescent="0.25">
      <c r="A71" s="5">
        <v>44522</v>
      </c>
      <c r="B71">
        <v>0.34050000000000002</v>
      </c>
      <c r="C71">
        <v>0.38500000000000001</v>
      </c>
      <c r="D71">
        <v>0.30990000000000001</v>
      </c>
      <c r="E71">
        <v>0.37240000000000001</v>
      </c>
      <c r="F71">
        <v>59448200</v>
      </c>
      <c r="G71">
        <v>0.37240000000000001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0.66444740346205056</v>
      </c>
      <c r="Q71">
        <f t="shared" ref="Q71" si="331">F71*P71</f>
        <v>39500202.130492672</v>
      </c>
      <c r="R71">
        <f t="shared" ref="R71" si="332">R72+Q71</f>
        <v>-256551083.22481108</v>
      </c>
      <c r="S71">
        <f t="shared" ref="S71" si="333">R71/100000</f>
        <v>-2565.5108322481105</v>
      </c>
      <c r="T71">
        <f t="shared" ref="T71" si="334">S71/1000</f>
        <v>-2.5655108322481106</v>
      </c>
    </row>
    <row r="72" spans="1:20" x14ac:dyDescent="0.25">
      <c r="A72" s="5">
        <v>44521</v>
      </c>
      <c r="B72">
        <v>0.34860000000000002</v>
      </c>
      <c r="C72">
        <v>0.36959999999999998</v>
      </c>
      <c r="D72">
        <v>0.33860000000000001</v>
      </c>
      <c r="E72">
        <v>0.34029999999999999</v>
      </c>
      <c r="F72">
        <v>32337733</v>
      </c>
      <c r="G72">
        <v>0.34029999999999999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-0.89032258064516256</v>
      </c>
      <c r="Q72">
        <f t="shared" ref="Q72" si="336">F72*P72</f>
        <v>-28791013.896774236</v>
      </c>
      <c r="R72">
        <f t="shared" ref="R72" si="337">R73+Q72</f>
        <v>-296051285.35530376</v>
      </c>
      <c r="S72">
        <f t="shared" ref="S72" si="338">R72/100000</f>
        <v>-2960.5128535530375</v>
      </c>
      <c r="T72">
        <f t="shared" ref="T72" si="339">S72/1000</f>
        <v>-2.9605128535530376</v>
      </c>
    </row>
    <row r="73" spans="1:20" x14ac:dyDescent="0.25">
      <c r="A73" s="5">
        <v>44520</v>
      </c>
      <c r="B73">
        <v>0.31859999999999999</v>
      </c>
      <c r="C73">
        <v>0.37080000000000002</v>
      </c>
      <c r="D73">
        <v>0.31690000000000002</v>
      </c>
      <c r="E73">
        <v>0.34889999999999999</v>
      </c>
      <c r="F73">
        <v>105394441</v>
      </c>
      <c r="G73">
        <v>0.34889999999999999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0.18738404452690058</v>
      </c>
      <c r="Q73">
        <f t="shared" ref="Q73" si="341">F73*P73</f>
        <v>19749236.625231795</v>
      </c>
      <c r="R73">
        <f t="shared" ref="R73" si="342">R74+Q73</f>
        <v>-267260271.45852953</v>
      </c>
      <c r="S73">
        <f t="shared" ref="S73" si="343">R73/100000</f>
        <v>-2672.6027145852954</v>
      </c>
      <c r="T73">
        <f t="shared" ref="T73" si="344">S73/1000</f>
        <v>-2.6726027145852953</v>
      </c>
    </row>
    <row r="74" spans="1:20" x14ac:dyDescent="0.25">
      <c r="A74" s="5">
        <v>44519</v>
      </c>
      <c r="B74">
        <v>0.2727</v>
      </c>
      <c r="C74">
        <v>0.32700000000000001</v>
      </c>
      <c r="D74">
        <v>0.26550000000000001</v>
      </c>
      <c r="E74">
        <v>0.31869999999999998</v>
      </c>
      <c r="F74">
        <v>92224063</v>
      </c>
      <c r="G74">
        <v>0.31869999999999998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0.73008130081300715</v>
      </c>
      <c r="Q74">
        <f t="shared" ref="Q74" si="346">F74*P74</f>
        <v>67331063.881300718</v>
      </c>
      <c r="R74">
        <f t="shared" ref="R74" si="347">R75+Q74</f>
        <v>-287009508.08376133</v>
      </c>
      <c r="S74">
        <f t="shared" ref="S74" si="348">R74/100000</f>
        <v>-2870.0950808376133</v>
      </c>
      <c r="T74">
        <f t="shared" ref="T74" si="349">S74/1000</f>
        <v>-2.8700950808376131</v>
      </c>
    </row>
    <row r="75" spans="1:20" x14ac:dyDescent="0.25">
      <c r="A75" s="5">
        <v>44518</v>
      </c>
      <c r="B75">
        <v>0.31719999999999998</v>
      </c>
      <c r="C75">
        <v>0.32319999999999999</v>
      </c>
      <c r="D75">
        <v>0.26500000000000001</v>
      </c>
      <c r="E75">
        <v>0.2727</v>
      </c>
      <c r="F75">
        <v>46865954</v>
      </c>
      <c r="G75">
        <v>0.2727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-0.73539518900343681</v>
      </c>
      <c r="Q75">
        <f t="shared" ref="Q75" si="351">F75*P75</f>
        <v>-34464997.099656373</v>
      </c>
      <c r="R75">
        <f t="shared" ref="R75" si="352">R76+Q75</f>
        <v>-354340571.96506202</v>
      </c>
      <c r="S75">
        <f t="shared" ref="S75" si="353">R75/100000</f>
        <v>-3543.4057196506201</v>
      </c>
      <c r="T75">
        <f t="shared" ref="T75" si="354">S75/1000</f>
        <v>-3.5434057196506199</v>
      </c>
    </row>
    <row r="76" spans="1:20" x14ac:dyDescent="0.25">
      <c r="A76" s="5">
        <v>44517</v>
      </c>
      <c r="B76">
        <v>0.32569999999999999</v>
      </c>
      <c r="C76">
        <v>0.3538</v>
      </c>
      <c r="D76">
        <v>0.30859999999999999</v>
      </c>
      <c r="E76">
        <v>0.31759999999999999</v>
      </c>
      <c r="F76">
        <v>71892855</v>
      </c>
      <c r="G76">
        <v>0.31759999999999999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-0.6017699115044246</v>
      </c>
      <c r="Q76">
        <f t="shared" ref="Q76" si="356">F76*P76</f>
        <v>-43262956.991150431</v>
      </c>
      <c r="R76">
        <f t="shared" ref="R76" si="357">R77+Q76</f>
        <v>-319875574.86540562</v>
      </c>
      <c r="S76">
        <f t="shared" ref="S76" si="358">R76/100000</f>
        <v>-3198.7557486540563</v>
      </c>
      <c r="T76">
        <f t="shared" ref="T76" si="359">S76/1000</f>
        <v>-3.1987557486540563</v>
      </c>
    </row>
    <row r="77" spans="1:20" x14ac:dyDescent="0.25">
      <c r="A77" s="5">
        <v>44516</v>
      </c>
      <c r="B77">
        <v>0.39229999999999998</v>
      </c>
      <c r="C77">
        <v>0.41799999999999998</v>
      </c>
      <c r="D77">
        <v>0.31590000000000001</v>
      </c>
      <c r="E77">
        <v>0.32579999999999998</v>
      </c>
      <c r="F77">
        <v>157968943.59999999</v>
      </c>
      <c r="G77">
        <v>0.32579999999999998</v>
      </c>
      <c r="L77" t="s">
        <v>7</v>
      </c>
      <c r="M77" t="s">
        <v>8</v>
      </c>
      <c r="N77" t="s">
        <v>8</v>
      </c>
      <c r="P77">
        <f t="shared" ref="P77" si="360">IF(C77=D77,0,((E77-D77)-(C77-E77))/(C77-D77))</f>
        <v>-0.80607247796278225</v>
      </c>
      <c r="Q77">
        <f t="shared" ref="Q77" si="361">F77*P77</f>
        <v>-127334417.80881499</v>
      </c>
      <c r="R77">
        <f t="shared" ref="R77" si="362">R78+Q77</f>
        <v>-276612617.87425518</v>
      </c>
      <c r="S77">
        <f t="shared" ref="S77" si="363">R77/100000</f>
        <v>-2766.1261787425519</v>
      </c>
      <c r="T77">
        <f t="shared" ref="T77" si="364">S77/1000</f>
        <v>-2.7661261787425517</v>
      </c>
    </row>
    <row r="78" spans="1:20" x14ac:dyDescent="0.25">
      <c r="A78" s="5">
        <v>44515</v>
      </c>
      <c r="B78">
        <v>0.36030000000000001</v>
      </c>
      <c r="C78">
        <v>0.39398</v>
      </c>
      <c r="D78">
        <v>0.35110000000000002</v>
      </c>
      <c r="E78">
        <v>0.39229999999999998</v>
      </c>
      <c r="F78">
        <v>64460619.100000001</v>
      </c>
      <c r="G78">
        <v>0.39229999999999998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0.92164179104477539</v>
      </c>
      <c r="Q78">
        <f t="shared" ref="Q78" si="366">F78*P78</f>
        <v>59409600.439179055</v>
      </c>
      <c r="R78">
        <f t="shared" ref="R78" si="367">R79+Q78</f>
        <v>-149278200.06544018</v>
      </c>
      <c r="S78">
        <f t="shared" ref="S78" si="368">R78/100000</f>
        <v>-1492.7820006544018</v>
      </c>
      <c r="T78">
        <f t="shared" ref="T78" si="369">S78/1000</f>
        <v>-1.4927820006544019</v>
      </c>
    </row>
    <row r="79" spans="1:20" x14ac:dyDescent="0.25">
      <c r="A79" s="5">
        <v>44514</v>
      </c>
      <c r="B79">
        <v>0.32640000000000002</v>
      </c>
      <c r="C79">
        <v>0.38800000000000001</v>
      </c>
      <c r="D79">
        <v>0.3211</v>
      </c>
      <c r="E79">
        <v>0.36030000000000001</v>
      </c>
      <c r="F79">
        <v>97679502.200000003</v>
      </c>
      <c r="G79">
        <v>0.36030000000000001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0.17189835575485812</v>
      </c>
      <c r="Q79">
        <f t="shared" ref="Q79" si="371">F79*P79</f>
        <v>16790945.819133047</v>
      </c>
      <c r="R79">
        <f t="shared" ref="R79" si="372">R80+Q79</f>
        <v>-208687800.50461924</v>
      </c>
      <c r="S79">
        <f t="shared" ref="S79" si="373">R79/100000</f>
        <v>-2086.8780050461924</v>
      </c>
      <c r="T79">
        <f t="shared" ref="T79" si="374">S79/1000</f>
        <v>-2.0868780050461924</v>
      </c>
    </row>
    <row r="80" spans="1:20" x14ac:dyDescent="0.25">
      <c r="A80" s="5">
        <v>44513</v>
      </c>
      <c r="B80">
        <v>0.33339999999999997</v>
      </c>
      <c r="C80">
        <v>0.378</v>
      </c>
      <c r="D80">
        <v>0.32350000000000001</v>
      </c>
      <c r="E80">
        <v>0.32640000000000002</v>
      </c>
      <c r="F80">
        <v>135882843.80000001</v>
      </c>
      <c r="G80">
        <v>0.32640000000000002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-0.89357798165137559</v>
      </c>
      <c r="Q80">
        <f t="shared" ref="Q80" si="376">F80*P80</f>
        <v>-121421917.30385314</v>
      </c>
      <c r="R80">
        <f t="shared" ref="R80" si="377">R81+Q80</f>
        <v>-225478746.32375228</v>
      </c>
      <c r="S80">
        <f t="shared" ref="S80" si="378">R80/100000</f>
        <v>-2254.7874632375228</v>
      </c>
      <c r="T80">
        <f t="shared" ref="T80" si="379">S80/1000</f>
        <v>-2.2547874632375229</v>
      </c>
    </row>
    <row r="81" spans="1:20" x14ac:dyDescent="0.25">
      <c r="A81" s="5">
        <v>44512</v>
      </c>
      <c r="B81">
        <v>0.27539999999999998</v>
      </c>
      <c r="C81">
        <v>0.36299999999999999</v>
      </c>
      <c r="D81">
        <v>0.26229999999999998</v>
      </c>
      <c r="E81">
        <v>0.3337</v>
      </c>
      <c r="F81">
        <v>247105571.90000001</v>
      </c>
      <c r="G81">
        <v>0.3337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0.41807348560079466</v>
      </c>
      <c r="Q81">
        <f t="shared" ref="Q81" si="381">F81*P81</f>
        <v>103308287.75561078</v>
      </c>
      <c r="R81">
        <f t="shared" ref="R81" si="382">R82+Q81</f>
        <v>-104056829.01989914</v>
      </c>
      <c r="S81">
        <f t="shared" ref="S81" si="383">R81/100000</f>
        <v>-1040.5682901989915</v>
      </c>
      <c r="T81">
        <f t="shared" ref="T81" si="384">S81/1000</f>
        <v>-1.0405682901989914</v>
      </c>
    </row>
    <row r="82" spans="1:20" x14ac:dyDescent="0.25">
      <c r="A82" s="5">
        <v>44511</v>
      </c>
      <c r="B82">
        <v>0.26179999999999998</v>
      </c>
      <c r="C82">
        <v>0.28499999999999998</v>
      </c>
      <c r="D82">
        <v>0.24440000000000001</v>
      </c>
      <c r="E82">
        <v>0.27579999999999999</v>
      </c>
      <c r="F82">
        <v>33181335</v>
      </c>
      <c r="G82">
        <v>0.27579999999999999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0.54679802955665058</v>
      </c>
      <c r="Q82">
        <f t="shared" ref="Q82" si="386">F82*P82</f>
        <v>18143488.596059125</v>
      </c>
      <c r="R82">
        <f t="shared" ref="R82" si="387">R83+Q82</f>
        <v>-207365116.77550992</v>
      </c>
      <c r="S82">
        <f t="shared" ref="S82" si="388">R82/100000</f>
        <v>-2073.6511677550993</v>
      </c>
      <c r="T82">
        <f t="shared" ref="T82" si="389">S82/1000</f>
        <v>-2.0736511677550995</v>
      </c>
    </row>
    <row r="83" spans="1:20" x14ac:dyDescent="0.25">
      <c r="A83" s="5">
        <v>44510</v>
      </c>
      <c r="B83">
        <v>0.28170000000000001</v>
      </c>
      <c r="C83">
        <v>0.3049</v>
      </c>
      <c r="D83">
        <v>0.24279999999999999</v>
      </c>
      <c r="E83">
        <v>0.26169999999999999</v>
      </c>
      <c r="F83">
        <v>43297525</v>
      </c>
      <c r="G83">
        <v>0.26169999999999999</v>
      </c>
      <c r="L83" t="s">
        <v>8</v>
      </c>
      <c r="M83" t="s">
        <v>7</v>
      </c>
      <c r="N83" t="s">
        <v>8</v>
      </c>
      <c r="P83">
        <f t="shared" ref="P83" si="390">IF(C83=D83,0,((E83-D83)-(C83-E83))/(C83-D83))</f>
        <v>-0.39130434782608708</v>
      </c>
      <c r="Q83">
        <f t="shared" ref="Q83" si="391">F83*P83</f>
        <v>-16942509.782608703</v>
      </c>
      <c r="R83">
        <f t="shared" ref="R83" si="392">R84+Q83</f>
        <v>-225508605.37156904</v>
      </c>
      <c r="S83">
        <f t="shared" ref="S83" si="393">R83/100000</f>
        <v>-2255.0860537156905</v>
      </c>
      <c r="T83">
        <f t="shared" ref="T83" si="394">S83/1000</f>
        <v>-2.2550860537156905</v>
      </c>
    </row>
    <row r="84" spans="1:20" x14ac:dyDescent="0.25">
      <c r="A84" s="5">
        <v>44509</v>
      </c>
      <c r="B84">
        <v>0.28560000000000002</v>
      </c>
      <c r="C84">
        <v>0.29099999999999998</v>
      </c>
      <c r="D84">
        <v>0.2757</v>
      </c>
      <c r="E84">
        <v>0.28160000000000002</v>
      </c>
      <c r="F84">
        <v>18165503</v>
      </c>
      <c r="G84">
        <v>0.28160000000000002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-0.22875816993463741</v>
      </c>
      <c r="Q84">
        <f t="shared" ref="Q84" si="396">F84*P84</f>
        <v>-4155507.2222221657</v>
      </c>
      <c r="R84">
        <f t="shared" ref="R84" si="397">R85+Q84</f>
        <v>-208566095.58896032</v>
      </c>
      <c r="S84">
        <f t="shared" ref="S84" si="398">R84/100000</f>
        <v>-2085.660955889603</v>
      </c>
      <c r="T84">
        <f t="shared" ref="T84" si="399">S84/1000</f>
        <v>-2.0856609558896029</v>
      </c>
    </row>
    <row r="85" spans="1:20" x14ac:dyDescent="0.25">
      <c r="A85" s="5">
        <v>44508</v>
      </c>
      <c r="B85">
        <v>0.26889999999999997</v>
      </c>
      <c r="C85">
        <v>0.28639999999999999</v>
      </c>
      <c r="D85">
        <v>0.26569999999999999</v>
      </c>
      <c r="E85">
        <v>0.28560000000000002</v>
      </c>
      <c r="F85">
        <v>19286233</v>
      </c>
      <c r="G85">
        <v>0.28560000000000002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0.92270531400966493</v>
      </c>
      <c r="Q85">
        <f t="shared" ref="Q85" si="401">F85*P85</f>
        <v>17795509.676328562</v>
      </c>
      <c r="R85">
        <f t="shared" ref="R85" si="402">R86+Q85</f>
        <v>-204410588.36673814</v>
      </c>
      <c r="S85">
        <f t="shared" ref="S85" si="403">R85/100000</f>
        <v>-2044.1058836673815</v>
      </c>
      <c r="T85">
        <f t="shared" ref="T85" si="404">S85/1000</f>
        <v>-2.0441058836673816</v>
      </c>
    </row>
    <row r="86" spans="1:20" x14ac:dyDescent="0.25">
      <c r="A86" s="5">
        <v>44507</v>
      </c>
      <c r="B86">
        <v>0.2611</v>
      </c>
      <c r="C86">
        <v>0.2752</v>
      </c>
      <c r="D86">
        <v>0.2591</v>
      </c>
      <c r="E86">
        <v>0.26869999999999999</v>
      </c>
      <c r="F86">
        <v>23618809</v>
      </c>
      <c r="G86">
        <v>0.26869999999999999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0.19254658385093112</v>
      </c>
      <c r="Q86">
        <f t="shared" ref="Q86" si="406">F86*P86</f>
        <v>4547720.9875776265</v>
      </c>
      <c r="R86">
        <f t="shared" ref="R86" si="407">R87+Q86</f>
        <v>-222206098.04306671</v>
      </c>
      <c r="S86">
        <f t="shared" ref="S86" si="408">R86/100000</f>
        <v>-2222.0609804306673</v>
      </c>
      <c r="T86">
        <f t="shared" ref="T86" si="409">S86/1000</f>
        <v>-2.2220609804306672</v>
      </c>
    </row>
    <row r="87" spans="1:20" x14ac:dyDescent="0.25">
      <c r="A87" s="5">
        <v>44506</v>
      </c>
      <c r="B87">
        <v>0.26729999999999998</v>
      </c>
      <c r="C87">
        <v>0.27279999999999999</v>
      </c>
      <c r="D87">
        <v>0.25209999999999999</v>
      </c>
      <c r="E87">
        <v>0.2611</v>
      </c>
      <c r="F87">
        <v>9703925</v>
      </c>
      <c r="G87">
        <v>0.2611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-0.13043478260869473</v>
      </c>
      <c r="Q87">
        <f t="shared" ref="Q87" si="411">F87*P87</f>
        <v>-1265729.3478260781</v>
      </c>
      <c r="R87">
        <f t="shared" ref="R87" si="412">R88+Q87</f>
        <v>-226753819.03064433</v>
      </c>
      <c r="S87">
        <f t="shared" ref="S87" si="413">R87/100000</f>
        <v>-2267.5381903064431</v>
      </c>
      <c r="T87">
        <f t="shared" ref="T87" si="414">S87/1000</f>
        <v>-2.2675381903064431</v>
      </c>
    </row>
    <row r="88" spans="1:20" x14ac:dyDescent="0.25">
      <c r="A88" s="5">
        <v>44505</v>
      </c>
      <c r="B88">
        <v>0.26790000000000003</v>
      </c>
      <c r="C88">
        <v>0.27910000000000001</v>
      </c>
      <c r="D88">
        <v>0.26300000000000001</v>
      </c>
      <c r="E88">
        <v>0.26750000000000002</v>
      </c>
      <c r="F88">
        <v>22637142</v>
      </c>
      <c r="G88">
        <v>0.26750000000000002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-0.44099378881987539</v>
      </c>
      <c r="Q88">
        <f t="shared" ref="Q88" si="416">F88*P88</f>
        <v>-9982839.0186335314</v>
      </c>
      <c r="R88">
        <f t="shared" ref="R88" si="417">R89+Q88</f>
        <v>-225488089.68281826</v>
      </c>
      <c r="S88">
        <f t="shared" ref="S88" si="418">R88/100000</f>
        <v>-2254.8808968281828</v>
      </c>
      <c r="T88">
        <f t="shared" ref="T88" si="419">S88/1000</f>
        <v>-2.2548808968281828</v>
      </c>
    </row>
    <row r="89" spans="1:20" x14ac:dyDescent="0.25">
      <c r="A89" s="5">
        <v>44504</v>
      </c>
      <c r="B89">
        <v>0.28610000000000002</v>
      </c>
      <c r="C89">
        <v>0.29220000000000002</v>
      </c>
      <c r="D89">
        <v>0.26740000000000003</v>
      </c>
      <c r="E89">
        <v>0.26779999999999998</v>
      </c>
      <c r="F89">
        <v>26709537</v>
      </c>
      <c r="G89">
        <v>0.26779999999999998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-0.96774193548387455</v>
      </c>
      <c r="Q89">
        <f t="shared" ref="Q89" si="421">F89*P89</f>
        <v>-25847939.03225816</v>
      </c>
      <c r="R89">
        <f t="shared" ref="R89" si="422">R90+Q89</f>
        <v>-215505250.66418472</v>
      </c>
      <c r="S89">
        <f t="shared" ref="S89" si="423">R89/100000</f>
        <v>-2155.0525066418472</v>
      </c>
      <c r="T89">
        <f t="shared" ref="T89" si="424">S89/1000</f>
        <v>-2.1550525066418471</v>
      </c>
    </row>
    <row r="90" spans="1:20" x14ac:dyDescent="0.25">
      <c r="A90" s="5">
        <v>44503</v>
      </c>
      <c r="B90">
        <v>0.27779999999999999</v>
      </c>
      <c r="C90">
        <v>0.29299999999999998</v>
      </c>
      <c r="D90">
        <v>0.26350000000000001</v>
      </c>
      <c r="E90">
        <v>0.28620000000000001</v>
      </c>
      <c r="F90">
        <v>46361571</v>
      </c>
      <c r="G90">
        <v>0.28620000000000001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0.53898305084745901</v>
      </c>
      <c r="Q90">
        <f t="shared" ref="Q90" si="426">F90*P90</f>
        <v>24988100.979661081</v>
      </c>
      <c r="R90">
        <f t="shared" ref="R90" si="427">R91+Q90</f>
        <v>-189657311.63192657</v>
      </c>
      <c r="S90">
        <f t="shared" ref="S90" si="428">R90/100000</f>
        <v>-1896.5731163192656</v>
      </c>
      <c r="T90">
        <f t="shared" ref="T90" si="429">S90/1000</f>
        <v>-1.8965731163192656</v>
      </c>
    </row>
    <row r="91" spans="1:20" x14ac:dyDescent="0.25">
      <c r="A91" s="5">
        <v>44502</v>
      </c>
      <c r="B91">
        <v>0.27229999999999999</v>
      </c>
      <c r="C91">
        <v>0.28339999999999999</v>
      </c>
      <c r="D91">
        <v>0.26950000000000002</v>
      </c>
      <c r="E91">
        <v>0.27739999999999998</v>
      </c>
      <c r="F91">
        <v>26918174</v>
      </c>
      <c r="G91">
        <v>0.27739999999999998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0.13669064748201162</v>
      </c>
      <c r="Q91">
        <f t="shared" ref="Q91" si="431">F91*P91</f>
        <v>3679462.6330934507</v>
      </c>
      <c r="R91">
        <f t="shared" ref="R91" si="432">R92+Q91</f>
        <v>-214645412.61158764</v>
      </c>
      <c r="S91">
        <f t="shared" ref="S91" si="433">R91/100000</f>
        <v>-2146.4541261158765</v>
      </c>
      <c r="T91">
        <f t="shared" ref="T91" si="434">S91/1000</f>
        <v>-2.1464541261158767</v>
      </c>
    </row>
    <row r="92" spans="1:20" x14ac:dyDescent="0.25">
      <c r="A92" s="5">
        <v>44501</v>
      </c>
      <c r="B92">
        <v>0.26090000000000002</v>
      </c>
      <c r="C92">
        <v>0.28060000000000002</v>
      </c>
      <c r="D92">
        <v>0.24790000000000001</v>
      </c>
      <c r="E92">
        <v>0.27239999999999998</v>
      </c>
      <c r="F92">
        <v>48725496</v>
      </c>
      <c r="G92">
        <v>0.27239999999999998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0.49847094801223002</v>
      </c>
      <c r="Q92">
        <f t="shared" ref="Q92" si="436">F92*P92</f>
        <v>24288244.183486123</v>
      </c>
      <c r="R92">
        <f t="shared" ref="R92" si="437">R93+Q92</f>
        <v>-218324875.24468109</v>
      </c>
      <c r="S92">
        <f t="shared" ref="S92" si="438">R92/100000</f>
        <v>-2183.2487524468111</v>
      </c>
      <c r="T92">
        <f t="shared" ref="T92" si="439">S92/1000</f>
        <v>-2.1832487524468109</v>
      </c>
    </row>
    <row r="93" spans="1:20" x14ac:dyDescent="0.25">
      <c r="A93" s="5">
        <v>44500</v>
      </c>
      <c r="B93">
        <v>0.25940000000000002</v>
      </c>
      <c r="C93">
        <v>0.315</v>
      </c>
      <c r="D93">
        <v>0.24879999999999999</v>
      </c>
      <c r="E93">
        <v>0.26100000000000001</v>
      </c>
      <c r="F93">
        <v>126943689</v>
      </c>
      <c r="G93">
        <v>0.26100000000000001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-0.63141993957703879</v>
      </c>
      <c r="Q93">
        <f t="shared" ref="Q93" si="441">F93*P93</f>
        <v>-80154776.438066408</v>
      </c>
      <c r="R93">
        <f t="shared" ref="R93" si="442">R94+Q93</f>
        <v>-242613119.42816722</v>
      </c>
      <c r="S93">
        <f t="shared" ref="S93" si="443">R93/100000</f>
        <v>-2426.1311942816724</v>
      </c>
      <c r="T93">
        <f t="shared" ref="T93" si="444">S93/1000</f>
        <v>-2.4261311942816723</v>
      </c>
    </row>
    <row r="94" spans="1:20" x14ac:dyDescent="0.25">
      <c r="A94" s="5">
        <v>44499</v>
      </c>
      <c r="B94">
        <v>0.24610000000000001</v>
      </c>
      <c r="C94">
        <v>0.25940000000000002</v>
      </c>
      <c r="D94">
        <v>0.23649999999999999</v>
      </c>
      <c r="E94">
        <v>0.25940000000000002</v>
      </c>
      <c r="F94">
        <v>29905145</v>
      </c>
      <c r="G94">
        <v>0.25940000000000002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1</v>
      </c>
      <c r="Q94">
        <f t="shared" ref="Q94" si="446">F94*P94</f>
        <v>29905145</v>
      </c>
      <c r="R94">
        <f t="shared" ref="R94" si="447">R95+Q94</f>
        <v>-162458342.9901008</v>
      </c>
      <c r="S94">
        <f t="shared" ref="S94" si="448">R94/100000</f>
        <v>-1624.583429901008</v>
      </c>
      <c r="T94">
        <f t="shared" ref="T94" si="449">S94/1000</f>
        <v>-1.624583429901008</v>
      </c>
    </row>
    <row r="95" spans="1:20" x14ac:dyDescent="0.25">
      <c r="A95" s="5">
        <v>44498</v>
      </c>
      <c r="B95">
        <v>0.2321</v>
      </c>
      <c r="C95">
        <v>0.255</v>
      </c>
      <c r="D95">
        <v>0.22839999999999999</v>
      </c>
      <c r="E95">
        <v>0.246</v>
      </c>
      <c r="F95">
        <v>36851125</v>
      </c>
      <c r="G95">
        <v>0.246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0.32330827067669143</v>
      </c>
      <c r="Q95">
        <f t="shared" ref="Q95" si="451">F95*P95</f>
        <v>11914273.49624059</v>
      </c>
      <c r="R95">
        <f t="shared" ref="R95" si="452">R96+Q95</f>
        <v>-192363487.9901008</v>
      </c>
      <c r="S95">
        <f t="shared" ref="S95" si="453">R95/100000</f>
        <v>-1923.6348799010079</v>
      </c>
      <c r="T95">
        <f t="shared" ref="T95" si="454">S95/1000</f>
        <v>-1.9236348799010079</v>
      </c>
    </row>
    <row r="96" spans="1:20" x14ac:dyDescent="0.25">
      <c r="A96" s="5">
        <v>44497</v>
      </c>
      <c r="B96">
        <v>0.21820000000000001</v>
      </c>
      <c r="C96">
        <v>0.2346</v>
      </c>
      <c r="D96">
        <v>0.21579999999999999</v>
      </c>
      <c r="E96">
        <v>0.23200000000000001</v>
      </c>
      <c r="F96">
        <v>24256442</v>
      </c>
      <c r="G96">
        <v>0.23200000000000001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0.72340425531914998</v>
      </c>
      <c r="Q96">
        <f t="shared" ref="Q96" si="456">F96*P96</f>
        <v>17547213.361702152</v>
      </c>
      <c r="R96">
        <f t="shared" ref="R96" si="457">R97+Q96</f>
        <v>-204277761.48634139</v>
      </c>
      <c r="S96">
        <f t="shared" ref="S96" si="458">R96/100000</f>
        <v>-2042.7776148634139</v>
      </c>
      <c r="T96">
        <f t="shared" ref="T96" si="459">S96/1000</f>
        <v>-2.042777614863414</v>
      </c>
    </row>
    <row r="97" spans="1:20" x14ac:dyDescent="0.25">
      <c r="A97" s="5">
        <v>44496</v>
      </c>
      <c r="B97">
        <v>0.25590000000000002</v>
      </c>
      <c r="C97">
        <v>0.27429999999999999</v>
      </c>
      <c r="D97">
        <v>0.215</v>
      </c>
      <c r="E97">
        <v>0.21809999999999999</v>
      </c>
      <c r="F97">
        <v>38582524</v>
      </c>
      <c r="G97">
        <v>0.21809999999999999</v>
      </c>
      <c r="L97" t="s">
        <v>8</v>
      </c>
      <c r="M97" t="s">
        <v>7</v>
      </c>
      <c r="N97" t="s">
        <v>8</v>
      </c>
      <c r="P97">
        <f t="shared" ref="P97" si="460">IF(C97=D97,0,((E97-D97)-(C97-E97))/(C97-D97))</f>
        <v>-0.89544688026981478</v>
      </c>
      <c r="Q97">
        <f t="shared" ref="Q97" si="461">F97*P97</f>
        <v>-34548600.748735256</v>
      </c>
      <c r="R97">
        <f t="shared" ref="R97" si="462">R98+Q97</f>
        <v>-221824974.84804353</v>
      </c>
      <c r="S97">
        <f t="shared" ref="S97" si="463">R97/100000</f>
        <v>-2218.2497484804353</v>
      </c>
      <c r="T97">
        <f t="shared" ref="T97" si="464">S97/1000</f>
        <v>-2.2182497484804351</v>
      </c>
    </row>
    <row r="98" spans="1:20" x14ac:dyDescent="0.25">
      <c r="A98" s="5">
        <v>44495</v>
      </c>
      <c r="B98">
        <v>0.25290000000000001</v>
      </c>
      <c r="C98">
        <v>0.26779999999999998</v>
      </c>
      <c r="D98">
        <v>0.24959999999999999</v>
      </c>
      <c r="E98">
        <v>0.25580000000000003</v>
      </c>
      <c r="F98">
        <v>19814724</v>
      </c>
      <c r="G98">
        <v>0.25580000000000003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-0.31868131868131416</v>
      </c>
      <c r="Q98">
        <f t="shared" ref="Q98" si="466">F98*P98</f>
        <v>-6314582.3736262843</v>
      </c>
      <c r="R98">
        <f t="shared" ref="R98" si="467">R99+Q98</f>
        <v>-187276374.09930828</v>
      </c>
      <c r="S98">
        <f t="shared" ref="S98" si="468">R98/100000</f>
        <v>-1872.7637409930828</v>
      </c>
      <c r="T98">
        <f t="shared" ref="T98" si="469">S98/1000</f>
        <v>-1.8727637409930828</v>
      </c>
    </row>
    <row r="99" spans="1:20" x14ac:dyDescent="0.25">
      <c r="A99" s="5">
        <v>44494</v>
      </c>
      <c r="B99">
        <v>0.24909999999999999</v>
      </c>
      <c r="C99">
        <v>0.25690000000000002</v>
      </c>
      <c r="D99">
        <v>0.24759999999999999</v>
      </c>
      <c r="E99">
        <v>0.25280000000000002</v>
      </c>
      <c r="F99">
        <v>13760091</v>
      </c>
      <c r="G99">
        <v>0.25280000000000002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0.11827956989247761</v>
      </c>
      <c r="Q99">
        <f t="shared" ref="Q99" si="471">F99*P99</f>
        <v>1627537.6451613521</v>
      </c>
      <c r="R99">
        <f t="shared" ref="R99" si="472">R100+Q99</f>
        <v>-180961791.72568199</v>
      </c>
      <c r="S99">
        <f t="shared" ref="S99" si="473">R99/100000</f>
        <v>-1809.61791725682</v>
      </c>
      <c r="T99">
        <f t="shared" ref="T99" si="474">S99/1000</f>
        <v>-1.8096179172568199</v>
      </c>
    </row>
    <row r="100" spans="1:20" x14ac:dyDescent="0.25">
      <c r="A100" s="5">
        <v>44493</v>
      </c>
      <c r="B100">
        <v>0.26019999999999999</v>
      </c>
      <c r="C100">
        <v>0.2621</v>
      </c>
      <c r="D100">
        <v>0.2427</v>
      </c>
      <c r="E100">
        <v>0.24909999999999999</v>
      </c>
      <c r="F100">
        <v>14716543</v>
      </c>
      <c r="G100">
        <v>0.24909999999999999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-0.34020618556701143</v>
      </c>
      <c r="Q100">
        <f t="shared" ref="Q100" si="476">F100*P100</f>
        <v>-5006658.9587629028</v>
      </c>
      <c r="R100">
        <f t="shared" ref="R100" si="477">R101+Q100</f>
        <v>-182589329.37084335</v>
      </c>
      <c r="S100">
        <f t="shared" ref="S100" si="478">R100/100000</f>
        <v>-1825.8932937084335</v>
      </c>
      <c r="T100">
        <f t="shared" ref="T100" si="479">S100/1000</f>
        <v>-1.8258932937084336</v>
      </c>
    </row>
    <row r="101" spans="1:20" x14ac:dyDescent="0.25">
      <c r="A101" s="5">
        <v>44492</v>
      </c>
      <c r="B101">
        <v>0.25890000000000002</v>
      </c>
      <c r="C101">
        <v>0.26429999999999998</v>
      </c>
      <c r="D101">
        <v>0.25440000000000002</v>
      </c>
      <c r="E101">
        <v>0.25990000000000002</v>
      </c>
      <c r="F101">
        <v>14624574</v>
      </c>
      <c r="G101">
        <v>0.25990000000000002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0.1111111111111161</v>
      </c>
      <c r="Q101">
        <f t="shared" ref="Q101" si="481">F101*P101</f>
        <v>1624952.6666667396</v>
      </c>
      <c r="R101">
        <f t="shared" ref="R101" si="482">R102+Q101</f>
        <v>-177582670.41208044</v>
      </c>
      <c r="S101">
        <f t="shared" ref="S101" si="483">R101/100000</f>
        <v>-1775.8267041208044</v>
      </c>
      <c r="T101">
        <f t="shared" ref="T101" si="484">S101/1000</f>
        <v>-1.7758267041208045</v>
      </c>
    </row>
    <row r="102" spans="1:20" x14ac:dyDescent="0.25">
      <c r="A102" s="5">
        <v>44491</v>
      </c>
      <c r="B102">
        <v>0.25009999999999999</v>
      </c>
      <c r="C102">
        <v>0.26500000000000001</v>
      </c>
      <c r="D102">
        <v>0.247</v>
      </c>
      <c r="E102">
        <v>0.25879999999999997</v>
      </c>
      <c r="F102">
        <v>31599931</v>
      </c>
      <c r="G102">
        <v>0.25879999999999997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0.3111111111111074</v>
      </c>
      <c r="Q102">
        <f t="shared" ref="Q102" si="486">F102*P102</f>
        <v>9831089.6444443278</v>
      </c>
      <c r="R102">
        <f t="shared" ref="R102" si="487">R103+Q102</f>
        <v>-179207623.07874718</v>
      </c>
      <c r="S102">
        <f t="shared" ref="S102" si="488">R102/100000</f>
        <v>-1792.0762307874718</v>
      </c>
      <c r="T102">
        <f t="shared" ref="T102" si="489">S102/1000</f>
        <v>-1.7920762307874718</v>
      </c>
    </row>
    <row r="103" spans="1:20" x14ac:dyDescent="0.25">
      <c r="A103" s="5">
        <v>44490</v>
      </c>
      <c r="B103">
        <v>0.26190000000000002</v>
      </c>
      <c r="C103">
        <v>0.2661</v>
      </c>
      <c r="D103">
        <v>0.2467</v>
      </c>
      <c r="E103">
        <v>0.24970000000000001</v>
      </c>
      <c r="F103">
        <v>21250070</v>
      </c>
      <c r="G103">
        <v>0.24970000000000001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-0.69072164948453585</v>
      </c>
      <c r="Q103">
        <f t="shared" ref="Q103" si="491">F103*P103</f>
        <v>-14677883.40206185</v>
      </c>
      <c r="R103">
        <f t="shared" ref="R103" si="492">R104+Q103</f>
        <v>-189038712.7231915</v>
      </c>
      <c r="S103">
        <f t="shared" ref="S103" si="493">R103/100000</f>
        <v>-1890.387127231915</v>
      </c>
      <c r="T103">
        <f t="shared" ref="T103" si="494">S103/1000</f>
        <v>-1.890387127231915</v>
      </c>
    </row>
    <row r="104" spans="1:20" x14ac:dyDescent="0.25">
      <c r="A104" s="5">
        <v>44489</v>
      </c>
      <c r="B104">
        <v>0.25069999999999998</v>
      </c>
      <c r="C104">
        <v>0.2646</v>
      </c>
      <c r="D104">
        <v>0.249</v>
      </c>
      <c r="E104">
        <v>0.26190000000000002</v>
      </c>
      <c r="F104">
        <v>26044452</v>
      </c>
      <c r="G104">
        <v>0.26190000000000002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0.65384615384615641</v>
      </c>
      <c r="Q104">
        <f t="shared" ref="Q104" si="496">F104*P104</f>
        <v>17029064.769230835</v>
      </c>
      <c r="R104">
        <f t="shared" ref="R104" si="497">R105+Q104</f>
        <v>-174360829.32112965</v>
      </c>
      <c r="S104">
        <f t="shared" ref="S104" si="498">R104/100000</f>
        <v>-1743.6082932112965</v>
      </c>
      <c r="T104">
        <f t="shared" ref="T104" si="499">S104/1000</f>
        <v>-1.7436082932112966</v>
      </c>
    </row>
    <row r="105" spans="1:20" x14ac:dyDescent="0.25">
      <c r="A105" s="5">
        <v>44488</v>
      </c>
      <c r="B105">
        <v>0.24909999999999999</v>
      </c>
      <c r="C105">
        <v>0.2601</v>
      </c>
      <c r="D105">
        <v>0.2351</v>
      </c>
      <c r="E105">
        <v>0.25059999999999999</v>
      </c>
      <c r="F105">
        <v>26296278</v>
      </c>
      <c r="G105">
        <v>0.25059999999999999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0.23999999999999916</v>
      </c>
      <c r="Q105">
        <f t="shared" ref="Q105" si="501">F105*P105</f>
        <v>6311106.7199999783</v>
      </c>
      <c r="R105">
        <f t="shared" ref="R105" si="502">R106+Q105</f>
        <v>-191389894.09036049</v>
      </c>
      <c r="S105">
        <f t="shared" ref="S105" si="503">R105/100000</f>
        <v>-1913.8989409036049</v>
      </c>
      <c r="T105">
        <f t="shared" ref="T105" si="504">S105/1000</f>
        <v>-1.9138989409036049</v>
      </c>
    </row>
    <row r="106" spans="1:20" x14ac:dyDescent="0.25">
      <c r="A106" s="5">
        <v>44487</v>
      </c>
      <c r="B106">
        <v>0.25359999999999999</v>
      </c>
      <c r="C106">
        <v>0.25829999999999997</v>
      </c>
      <c r="D106">
        <v>0.2452</v>
      </c>
      <c r="E106">
        <v>0.2492</v>
      </c>
      <c r="F106">
        <v>14131077</v>
      </c>
      <c r="G106">
        <v>0.2492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-0.38931297709923485</v>
      </c>
      <c r="Q106">
        <f t="shared" ref="Q106" si="506">F106*P106</f>
        <v>-5501411.6564885238</v>
      </c>
      <c r="R106">
        <f t="shared" ref="R106" si="507">R107+Q106</f>
        <v>-197701000.81036046</v>
      </c>
      <c r="S106">
        <f t="shared" ref="S106" si="508">R106/100000</f>
        <v>-1977.0100081036046</v>
      </c>
      <c r="T106">
        <f t="shared" ref="T106" si="509">S106/1000</f>
        <v>-1.9770100081036046</v>
      </c>
    </row>
    <row r="107" spans="1:20" x14ac:dyDescent="0.25">
      <c r="A107" s="5">
        <v>44486</v>
      </c>
      <c r="B107">
        <v>0.26440000000000002</v>
      </c>
      <c r="C107">
        <v>0.27560000000000001</v>
      </c>
      <c r="D107">
        <v>0.2452</v>
      </c>
      <c r="E107">
        <v>0.25359999999999999</v>
      </c>
      <c r="F107">
        <v>25851185</v>
      </c>
      <c r="G107">
        <v>0.25359999999999999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-0.44736842105263236</v>
      </c>
      <c r="Q107">
        <f t="shared" ref="Q107" si="511">F107*P107</f>
        <v>-11565003.815789495</v>
      </c>
      <c r="R107">
        <f t="shared" ref="R107" si="512">R108+Q107</f>
        <v>-192199589.15387192</v>
      </c>
      <c r="S107">
        <f t="shared" ref="S107" si="513">R107/100000</f>
        <v>-1921.9958915387192</v>
      </c>
      <c r="T107">
        <f t="shared" ref="T107" si="514">S107/1000</f>
        <v>-1.9219958915387192</v>
      </c>
    </row>
    <row r="108" spans="1:20" x14ac:dyDescent="0.25">
      <c r="A108" s="5">
        <v>44485</v>
      </c>
      <c r="B108">
        <v>0.25380000000000003</v>
      </c>
      <c r="C108">
        <v>0.27550000000000002</v>
      </c>
      <c r="D108">
        <v>0.25290000000000001</v>
      </c>
      <c r="E108">
        <v>0.2641</v>
      </c>
      <c r="F108">
        <v>36908039</v>
      </c>
      <c r="G108">
        <v>0.2641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-8.8495575221253717E-3</v>
      </c>
      <c r="Q108">
        <f t="shared" ref="Q108" si="516">F108*P108</f>
        <v>-326619.81415934657</v>
      </c>
      <c r="R108">
        <f t="shared" ref="R108" si="517">R109+Q108</f>
        <v>-180634585.33808243</v>
      </c>
      <c r="S108">
        <f t="shared" ref="S108" si="518">R108/100000</f>
        <v>-1806.3458533808243</v>
      </c>
      <c r="T108">
        <f t="shared" ref="T108" si="519">S108/1000</f>
        <v>-1.8063458533808243</v>
      </c>
    </row>
    <row r="109" spans="1:20" x14ac:dyDescent="0.25">
      <c r="A109" s="5">
        <v>44484</v>
      </c>
      <c r="B109">
        <v>0.25140000000000001</v>
      </c>
      <c r="C109">
        <v>0.26900000000000002</v>
      </c>
      <c r="D109">
        <v>0.23730000000000001</v>
      </c>
      <c r="E109">
        <v>0.25380000000000003</v>
      </c>
      <c r="F109">
        <v>46330667</v>
      </c>
      <c r="G109">
        <v>0.25380000000000003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4.1009463722398207E-2</v>
      </c>
      <c r="Q109">
        <f t="shared" ref="Q109" si="521">F109*P109</f>
        <v>1899995.8075710118</v>
      </c>
      <c r="R109">
        <f t="shared" ref="R109" si="522">R110+Q109</f>
        <v>-180307965.5239231</v>
      </c>
      <c r="S109">
        <f t="shared" ref="S109" si="523">R109/100000</f>
        <v>-1803.079655239231</v>
      </c>
      <c r="T109">
        <f t="shared" ref="T109" si="524">S109/1000</f>
        <v>-1.803079655239231</v>
      </c>
    </row>
    <row r="110" spans="1:20" x14ac:dyDescent="0.25">
      <c r="A110" s="5">
        <v>44483</v>
      </c>
      <c r="B110">
        <v>0.23799999999999999</v>
      </c>
      <c r="C110">
        <v>0.25719999999999998</v>
      </c>
      <c r="D110">
        <v>0.23569999999999999</v>
      </c>
      <c r="E110">
        <v>0.25130000000000002</v>
      </c>
      <c r="F110">
        <v>37377119</v>
      </c>
      <c r="G110">
        <v>0.25130000000000002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0.45116279069767784</v>
      </c>
      <c r="Q110">
        <f t="shared" ref="Q110" si="526">F110*P110</f>
        <v>16863165.316279199</v>
      </c>
      <c r="R110">
        <f t="shared" ref="R110" si="527">R111+Q110</f>
        <v>-182207961.33149412</v>
      </c>
      <c r="S110">
        <f t="shared" ref="S110" si="528">R110/100000</f>
        <v>-1822.0796133149413</v>
      </c>
      <c r="T110">
        <f t="shared" ref="T110" si="529">S110/1000</f>
        <v>-1.8220796133149413</v>
      </c>
    </row>
    <row r="111" spans="1:20" x14ac:dyDescent="0.25">
      <c r="A111" s="5">
        <v>44482</v>
      </c>
      <c r="B111">
        <v>0.23</v>
      </c>
      <c r="C111">
        <v>0.2397</v>
      </c>
      <c r="D111">
        <v>0.22259999999999999</v>
      </c>
      <c r="E111">
        <v>0.2379</v>
      </c>
      <c r="F111">
        <v>22364138</v>
      </c>
      <c r="G111">
        <v>0.2379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0.78947368421052688</v>
      </c>
      <c r="Q111">
        <f t="shared" ref="Q111" si="531">F111*P111</f>
        <v>17655898.421052646</v>
      </c>
      <c r="R111">
        <f t="shared" ref="R111" si="532">R112+Q111</f>
        <v>-199071126.64777333</v>
      </c>
      <c r="S111">
        <f t="shared" ref="S111" si="533">R111/100000</f>
        <v>-1990.7112664777333</v>
      </c>
      <c r="T111">
        <f t="shared" ref="T111" si="534">S111/1000</f>
        <v>-1.9907112664777333</v>
      </c>
    </row>
    <row r="112" spans="1:20" x14ac:dyDescent="0.25">
      <c r="A112" s="5">
        <v>44481</v>
      </c>
      <c r="B112">
        <v>0.2336</v>
      </c>
      <c r="C112">
        <v>0.2339</v>
      </c>
      <c r="D112">
        <v>0.21560000000000001</v>
      </c>
      <c r="E112">
        <v>0.2303</v>
      </c>
      <c r="F112">
        <v>21128843</v>
      </c>
      <c r="G112">
        <v>0.2303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0.60655737704918078</v>
      </c>
      <c r="Q112">
        <f t="shared" ref="Q112" si="536">F112*P112</f>
        <v>12815855.590163944</v>
      </c>
      <c r="R112">
        <f t="shared" ref="R112" si="537">R113+Q112</f>
        <v>-216727025.06882596</v>
      </c>
      <c r="S112">
        <f t="shared" ref="S112" si="538">R112/100000</f>
        <v>-2167.2702506882597</v>
      </c>
      <c r="T112">
        <f t="shared" ref="T112" si="539">S112/1000</f>
        <v>-2.1672702506882597</v>
      </c>
    </row>
    <row r="113" spans="1:20" x14ac:dyDescent="0.25">
      <c r="A113" s="5">
        <v>44480</v>
      </c>
      <c r="B113">
        <v>0.24079999999999999</v>
      </c>
      <c r="C113">
        <v>0.25190000000000001</v>
      </c>
      <c r="D113">
        <v>0.22800000000000001</v>
      </c>
      <c r="E113">
        <v>0.23400000000000001</v>
      </c>
      <c r="F113">
        <v>23131328</v>
      </c>
      <c r="G113">
        <v>0.23400000000000001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-0.49790794979079461</v>
      </c>
      <c r="Q113">
        <f t="shared" ref="Q113" si="541">F113*P113</f>
        <v>-11517272.100418402</v>
      </c>
      <c r="R113">
        <f t="shared" ref="R113" si="542">R114+Q113</f>
        <v>-229542880.65898991</v>
      </c>
      <c r="S113">
        <f t="shared" ref="S113" si="543">R113/100000</f>
        <v>-2295.4288065898991</v>
      </c>
      <c r="T113">
        <f t="shared" ref="T113" si="544">S113/1000</f>
        <v>-2.2954288065898991</v>
      </c>
    </row>
    <row r="114" spans="1:20" x14ac:dyDescent="0.25">
      <c r="A114" s="5">
        <v>44479</v>
      </c>
      <c r="B114">
        <v>0.25740000000000002</v>
      </c>
      <c r="C114">
        <v>0.26719999999999999</v>
      </c>
      <c r="D114">
        <v>0.2392</v>
      </c>
      <c r="E114">
        <v>0.2409</v>
      </c>
      <c r="F114">
        <v>43237730</v>
      </c>
      <c r="G114">
        <v>0.2409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-0.878571428571428</v>
      </c>
      <c r="Q114">
        <f t="shared" ref="Q114" si="546">F114*P114</f>
        <v>-37987434.214285687</v>
      </c>
      <c r="R114">
        <f t="shared" ref="R114" si="547">R115+Q114</f>
        <v>-218025608.55857152</v>
      </c>
      <c r="S114">
        <f t="shared" ref="S114" si="548">R114/100000</f>
        <v>-2180.256085585715</v>
      </c>
      <c r="T114">
        <f t="shared" ref="T114" si="549">S114/1000</f>
        <v>-2.1802560855857149</v>
      </c>
    </row>
    <row r="115" spans="1:20" x14ac:dyDescent="0.25">
      <c r="A115" s="5">
        <v>44478</v>
      </c>
      <c r="B115">
        <v>0.25240000000000001</v>
      </c>
      <c r="C115">
        <v>0.26419999999999999</v>
      </c>
      <c r="D115">
        <v>0.2495</v>
      </c>
      <c r="E115">
        <v>0.25750000000000001</v>
      </c>
      <c r="F115">
        <v>28691958</v>
      </c>
      <c r="G115">
        <v>0.25750000000000001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8.8435374149661503E-2</v>
      </c>
      <c r="Q115">
        <f t="shared" ref="Q115" si="551">F115*P115</f>
        <v>2537384.0408163737</v>
      </c>
      <c r="R115">
        <f t="shared" ref="R115" si="552">R116+Q115</f>
        <v>-180038174.34428585</v>
      </c>
      <c r="S115">
        <f t="shared" ref="S115" si="553">R115/100000</f>
        <v>-1800.3817434428584</v>
      </c>
      <c r="T115">
        <f t="shared" ref="T115" si="554">S115/1000</f>
        <v>-1.8003817434428584</v>
      </c>
    </row>
    <row r="116" spans="1:20" x14ac:dyDescent="0.25">
      <c r="A116" s="5">
        <v>44477</v>
      </c>
      <c r="B116">
        <v>0.24729999999999999</v>
      </c>
      <c r="C116">
        <v>0.2626</v>
      </c>
      <c r="D116">
        <v>0.2424</v>
      </c>
      <c r="E116">
        <v>0.252</v>
      </c>
      <c r="F116">
        <v>25934657</v>
      </c>
      <c r="G116">
        <v>0.252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-4.9504950495049563E-2</v>
      </c>
      <c r="Q116">
        <f t="shared" ref="Q116" si="556">F116*P116</f>
        <v>-1283893.9108910905</v>
      </c>
      <c r="R116">
        <f t="shared" ref="R116" si="557">R117+Q116</f>
        <v>-182575558.38510221</v>
      </c>
      <c r="S116">
        <f t="shared" ref="S116" si="558">R116/100000</f>
        <v>-1825.755583851022</v>
      </c>
      <c r="T116">
        <f t="shared" ref="T116" si="559">S116/1000</f>
        <v>-1.825755583851022</v>
      </c>
    </row>
    <row r="117" spans="1:20" x14ac:dyDescent="0.25">
      <c r="A117" s="5">
        <v>44476</v>
      </c>
      <c r="B117">
        <v>0.2472</v>
      </c>
      <c r="C117">
        <v>0.26500000000000001</v>
      </c>
      <c r="D117">
        <v>0.23960000000000001</v>
      </c>
      <c r="E117">
        <v>0.2472</v>
      </c>
      <c r="F117">
        <v>47271032</v>
      </c>
      <c r="G117">
        <v>0.2472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-0.40157480314960681</v>
      </c>
      <c r="Q117">
        <f t="shared" ref="Q117" si="561">F117*P117</f>
        <v>-18982855.370078765</v>
      </c>
      <c r="R117">
        <f t="shared" ref="R117" si="562">R118+Q117</f>
        <v>-181291664.47421113</v>
      </c>
      <c r="S117">
        <f t="shared" ref="S117" si="563">R117/100000</f>
        <v>-1812.9166447421112</v>
      </c>
      <c r="T117">
        <f t="shared" ref="T117" si="564">S117/1000</f>
        <v>-1.8129166447421112</v>
      </c>
    </row>
    <row r="118" spans="1:20" x14ac:dyDescent="0.25">
      <c r="A118" s="5">
        <v>44475</v>
      </c>
      <c r="B118">
        <v>0.2462</v>
      </c>
      <c r="C118">
        <v>0.2576</v>
      </c>
      <c r="D118">
        <v>0.22509999999999999</v>
      </c>
      <c r="E118">
        <v>0.24690000000000001</v>
      </c>
      <c r="F118">
        <v>32157542</v>
      </c>
      <c r="G118">
        <v>0.24690000000000001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0.34153846153846235</v>
      </c>
      <c r="Q118">
        <f t="shared" ref="Q118" si="566">F118*P118</f>
        <v>10983037.421538487</v>
      </c>
      <c r="R118">
        <f t="shared" ref="R118" si="567">R119+Q118</f>
        <v>-162308809.10413235</v>
      </c>
      <c r="S118">
        <f t="shared" ref="S118" si="568">R118/100000</f>
        <v>-1623.0880910413237</v>
      </c>
      <c r="T118">
        <f t="shared" ref="T118" si="569">S118/1000</f>
        <v>-1.6230880910413237</v>
      </c>
    </row>
    <row r="119" spans="1:20" x14ac:dyDescent="0.25">
      <c r="A119" s="5">
        <v>44474</v>
      </c>
      <c r="B119">
        <v>0.23519999999999999</v>
      </c>
      <c r="C119">
        <v>0.249</v>
      </c>
      <c r="D119">
        <v>0.23269999999999999</v>
      </c>
      <c r="E119">
        <v>0.24629999999999999</v>
      </c>
      <c r="F119">
        <v>21373586</v>
      </c>
      <c r="G119">
        <v>0.24629999999999999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0.66871165644171704</v>
      </c>
      <c r="Q119">
        <f t="shared" ref="Q119" si="571">F119*P119</f>
        <v>14292766.098159494</v>
      </c>
      <c r="R119">
        <f t="shared" ref="R119" si="572">R120+Q119</f>
        <v>-173291846.52567083</v>
      </c>
      <c r="S119">
        <f t="shared" ref="S119" si="573">R119/100000</f>
        <v>-1732.9184652567083</v>
      </c>
      <c r="T119">
        <f t="shared" ref="T119" si="574">S119/1000</f>
        <v>-1.7329184652567082</v>
      </c>
    </row>
    <row r="120" spans="1:20" x14ac:dyDescent="0.25">
      <c r="A120" s="5">
        <v>44473</v>
      </c>
      <c r="B120">
        <v>0.2301</v>
      </c>
      <c r="C120">
        <v>0.2455</v>
      </c>
      <c r="D120">
        <v>0.21779999999999999</v>
      </c>
      <c r="E120">
        <v>0.23599999999999999</v>
      </c>
      <c r="F120">
        <v>39956656</v>
      </c>
      <c r="G120">
        <v>0.23599999999999999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0.31407942238267095</v>
      </c>
      <c r="Q120">
        <f t="shared" ref="Q120" si="576">F120*P120</f>
        <v>12549563.436823083</v>
      </c>
      <c r="R120">
        <f t="shared" ref="R120" si="577">R121+Q120</f>
        <v>-187584612.62383032</v>
      </c>
      <c r="S120">
        <f t="shared" ref="S120" si="578">R120/100000</f>
        <v>-1875.8461262383032</v>
      </c>
      <c r="T120">
        <f t="shared" ref="T120" si="579">S120/1000</f>
        <v>-1.8758461262383033</v>
      </c>
    </row>
    <row r="121" spans="1:20" x14ac:dyDescent="0.25">
      <c r="A121" s="5">
        <v>44472</v>
      </c>
      <c r="B121">
        <v>0.2303</v>
      </c>
      <c r="C121">
        <v>0.2409</v>
      </c>
      <c r="D121">
        <v>0.22320000000000001</v>
      </c>
      <c r="E121">
        <v>0.22989999999999999</v>
      </c>
      <c r="F121">
        <v>17184393</v>
      </c>
      <c r="G121">
        <v>0.22989999999999999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-0.2429378531073462</v>
      </c>
      <c r="Q121">
        <f t="shared" ref="Q121" si="581">F121*P121</f>
        <v>-4174739.5423729084</v>
      </c>
      <c r="R121">
        <f t="shared" ref="R121" si="582">R122+Q121</f>
        <v>-200134176.06065339</v>
      </c>
      <c r="S121">
        <f t="shared" ref="S121" si="583">R121/100000</f>
        <v>-2001.3417606065339</v>
      </c>
      <c r="T121">
        <f t="shared" ref="T121" si="584">S121/1000</f>
        <v>-2.0013417606065338</v>
      </c>
    </row>
    <row r="122" spans="1:20" x14ac:dyDescent="0.25">
      <c r="A122" s="5">
        <v>44471</v>
      </c>
      <c r="B122">
        <v>0.2311</v>
      </c>
      <c r="C122">
        <v>0.24929999999999999</v>
      </c>
      <c r="D122">
        <v>0.22720000000000001</v>
      </c>
      <c r="E122">
        <v>0.2303</v>
      </c>
      <c r="F122">
        <v>29929469</v>
      </c>
      <c r="G122">
        <v>0.2303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-0.71945701357466119</v>
      </c>
      <c r="Q122">
        <f t="shared" ref="Q122" si="586">F122*P122</f>
        <v>-21532966.384615403</v>
      </c>
      <c r="R122">
        <f t="shared" ref="R122" si="587">R123+Q122</f>
        <v>-195959436.51828048</v>
      </c>
      <c r="S122">
        <f t="shared" ref="S122" si="588">R122/100000</f>
        <v>-1959.5943651828047</v>
      </c>
      <c r="T122">
        <f t="shared" ref="T122" si="589">S122/1000</f>
        <v>-1.9595943651828047</v>
      </c>
    </row>
    <row r="123" spans="1:20" x14ac:dyDescent="0.25">
      <c r="A123" s="5">
        <v>44470</v>
      </c>
      <c r="B123">
        <v>0.21290000000000001</v>
      </c>
      <c r="C123">
        <v>0.23350000000000001</v>
      </c>
      <c r="D123">
        <v>0.21060000000000001</v>
      </c>
      <c r="E123">
        <v>0.23150000000000001</v>
      </c>
      <c r="F123">
        <v>19535707</v>
      </c>
      <c r="G123">
        <v>0.23150000000000001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0.82532751091703049</v>
      </c>
      <c r="Q123">
        <f t="shared" ref="Q123" si="591">F123*P123</f>
        <v>16123356.432314409</v>
      </c>
      <c r="R123">
        <f t="shared" ref="R123" si="592">R124+Q123</f>
        <v>-174426470.13366508</v>
      </c>
      <c r="S123">
        <f t="shared" ref="S123" si="593">R123/100000</f>
        <v>-1744.2647013366509</v>
      </c>
      <c r="T123">
        <f t="shared" ref="T123" si="594">S123/1000</f>
        <v>-1.7442647013366508</v>
      </c>
    </row>
    <row r="124" spans="1:20" x14ac:dyDescent="0.25">
      <c r="A124" s="5">
        <v>44469</v>
      </c>
      <c r="B124">
        <v>0.19750000000000001</v>
      </c>
      <c r="C124">
        <v>0.21460000000000001</v>
      </c>
      <c r="D124">
        <v>0.19670000000000001</v>
      </c>
      <c r="E124">
        <v>0.21279999999999999</v>
      </c>
      <c r="F124">
        <v>11768595</v>
      </c>
      <c r="G124">
        <v>0.21279999999999999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0.79888268156424314</v>
      </c>
      <c r="Q124">
        <f t="shared" ref="Q124" si="596">F124*P124</f>
        <v>9401726.7318435442</v>
      </c>
      <c r="R124">
        <f t="shared" ref="R124" si="597">R125+Q124</f>
        <v>-190549826.56597948</v>
      </c>
      <c r="S124">
        <f t="shared" ref="S124" si="598">R124/100000</f>
        <v>-1905.4982656597947</v>
      </c>
      <c r="T124">
        <f t="shared" ref="T124" si="599">S124/1000</f>
        <v>-1.9054982656597947</v>
      </c>
    </row>
    <row r="125" spans="1:20" x14ac:dyDescent="0.25">
      <c r="A125" s="5">
        <v>44468</v>
      </c>
      <c r="B125">
        <v>0.1915</v>
      </c>
      <c r="C125">
        <v>0.20860000000000001</v>
      </c>
      <c r="D125">
        <v>0.19070000000000001</v>
      </c>
      <c r="E125">
        <v>0.19800000000000001</v>
      </c>
      <c r="F125">
        <v>15415091</v>
      </c>
      <c r="G125">
        <v>0.19800000000000001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-0.1843575418994412</v>
      </c>
      <c r="Q125">
        <f t="shared" ref="Q125" si="601">F125*P125</f>
        <v>-2841888.2849161988</v>
      </c>
      <c r="R125">
        <f t="shared" ref="R125" si="602">R126+Q125</f>
        <v>-199951553.29782301</v>
      </c>
      <c r="S125">
        <f t="shared" ref="S125" si="603">R125/100000</f>
        <v>-1999.5155329782301</v>
      </c>
      <c r="T125">
        <f t="shared" ref="T125" si="604">S125/1000</f>
        <v>-1.9995155329782301</v>
      </c>
    </row>
    <row r="126" spans="1:20" x14ac:dyDescent="0.25">
      <c r="A126" s="5">
        <v>44467</v>
      </c>
      <c r="B126">
        <v>0.20599999999999999</v>
      </c>
      <c r="C126">
        <v>0.21240000000000001</v>
      </c>
      <c r="D126">
        <v>0.19040000000000001</v>
      </c>
      <c r="E126">
        <v>0.192</v>
      </c>
      <c r="F126">
        <v>23290250</v>
      </c>
      <c r="G126">
        <v>0.192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-0.85454545454545539</v>
      </c>
      <c r="Q126">
        <f t="shared" ref="Q126" si="606">F126*P126</f>
        <v>-19902577.272727292</v>
      </c>
      <c r="R126">
        <f t="shared" ref="R126" si="607">R127+Q126</f>
        <v>-197109665.01290682</v>
      </c>
      <c r="S126">
        <f t="shared" ref="S126" si="608">R126/100000</f>
        <v>-1971.0966501290682</v>
      </c>
      <c r="T126">
        <f t="shared" ref="T126" si="609">S126/1000</f>
        <v>-1.9710966501290681</v>
      </c>
    </row>
    <row r="127" spans="1:20" x14ac:dyDescent="0.25">
      <c r="A127" s="5">
        <v>44466</v>
      </c>
      <c r="B127">
        <v>0.20610000000000001</v>
      </c>
      <c r="C127">
        <v>0.21990000000000001</v>
      </c>
      <c r="D127">
        <v>0.20280000000000001</v>
      </c>
      <c r="E127">
        <v>0.20619999999999999</v>
      </c>
      <c r="F127">
        <v>27114504</v>
      </c>
      <c r="G127">
        <v>0.20619999999999999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-0.6023391812865514</v>
      </c>
      <c r="Q127">
        <f t="shared" ref="Q127" si="611">F127*P127</f>
        <v>-16332128.140350923</v>
      </c>
      <c r="R127">
        <f t="shared" ref="R127" si="612">R128+Q127</f>
        <v>-177207087.74017954</v>
      </c>
      <c r="S127">
        <f t="shared" ref="S127" si="613">R127/100000</f>
        <v>-1772.0708774017953</v>
      </c>
      <c r="T127">
        <f t="shared" ref="T127" si="614">S127/1000</f>
        <v>-1.7720708774017953</v>
      </c>
    </row>
    <row r="128" spans="1:20" x14ac:dyDescent="0.25">
      <c r="A128" s="5">
        <v>44465</v>
      </c>
      <c r="B128">
        <v>0.2112</v>
      </c>
      <c r="C128">
        <v>0.21590000000000001</v>
      </c>
      <c r="D128">
        <v>0.19</v>
      </c>
      <c r="E128">
        <v>0.20630000000000001</v>
      </c>
      <c r="F128">
        <v>34043761</v>
      </c>
      <c r="G128">
        <v>0.20630000000000001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0.25868725868725906</v>
      </c>
      <c r="Q128">
        <f t="shared" ref="Q128" si="616">F128*P128</f>
        <v>8806687.2084942218</v>
      </c>
      <c r="R128">
        <f t="shared" ref="R128" si="617">R129+Q128</f>
        <v>-160874959.59982863</v>
      </c>
      <c r="S128">
        <f t="shared" ref="S128" si="618">R128/100000</f>
        <v>-1608.7495959982864</v>
      </c>
      <c r="T128">
        <f t="shared" ref="T128" si="619">S128/1000</f>
        <v>-1.6087495959982865</v>
      </c>
    </row>
    <row r="129" spans="1:20" x14ac:dyDescent="0.25">
      <c r="A129" s="5">
        <v>44464</v>
      </c>
      <c r="B129">
        <v>0.21579999999999999</v>
      </c>
      <c r="C129">
        <v>0.2228</v>
      </c>
      <c r="D129">
        <v>0.20599999999999999</v>
      </c>
      <c r="E129">
        <v>0.2112</v>
      </c>
      <c r="F129">
        <v>26224615</v>
      </c>
      <c r="G129">
        <v>0.2112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-0.3809523809523801</v>
      </c>
      <c r="Q129">
        <f t="shared" ref="Q129" si="621">F129*P129</f>
        <v>-9990329.5238095019</v>
      </c>
      <c r="R129">
        <f t="shared" ref="R129" si="622">R130+Q129</f>
        <v>-169681646.80832285</v>
      </c>
      <c r="S129">
        <f t="shared" ref="S129" si="623">R129/100000</f>
        <v>-1696.8164680832285</v>
      </c>
      <c r="T129">
        <f t="shared" ref="T129" si="624">S129/1000</f>
        <v>-1.6968164680832285</v>
      </c>
    </row>
    <row r="130" spans="1:20" x14ac:dyDescent="0.25">
      <c r="A130" s="5">
        <v>44463</v>
      </c>
      <c r="B130">
        <v>0.2273</v>
      </c>
      <c r="C130">
        <v>0.2366</v>
      </c>
      <c r="D130">
        <v>0.1968</v>
      </c>
      <c r="E130">
        <v>0.21579999999999999</v>
      </c>
      <c r="F130">
        <v>40819275</v>
      </c>
      <c r="G130">
        <v>0.21579999999999999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-4.522613065326693E-2</v>
      </c>
      <c r="Q130">
        <f t="shared" ref="Q130" si="626">F130*P130</f>
        <v>-1846097.8643216325</v>
      </c>
      <c r="R130">
        <f t="shared" ref="R130" si="627">R131+Q130</f>
        <v>-159691317.28451335</v>
      </c>
      <c r="S130">
        <f t="shared" ref="S130" si="628">R130/100000</f>
        <v>-1596.9131728451334</v>
      </c>
      <c r="T130">
        <f t="shared" ref="T130" si="629">S130/1000</f>
        <v>-1.5969131728451333</v>
      </c>
    </row>
    <row r="131" spans="1:20" x14ac:dyDescent="0.25">
      <c r="A131" s="5">
        <v>44462</v>
      </c>
      <c r="B131">
        <v>0.2266</v>
      </c>
      <c r="C131">
        <v>0.2303</v>
      </c>
      <c r="D131">
        <v>0.2152</v>
      </c>
      <c r="E131">
        <v>0.22739999999999999</v>
      </c>
      <c r="F131">
        <v>37095024</v>
      </c>
      <c r="G131">
        <v>0.22739999999999999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0.6158940397350976</v>
      </c>
      <c r="Q131">
        <f t="shared" ref="Q131" si="631">F131*P131</f>
        <v>22846604.1854304</v>
      </c>
      <c r="R131">
        <f t="shared" ref="R131" si="632">R132+Q131</f>
        <v>-157845219.42019174</v>
      </c>
      <c r="S131">
        <f t="shared" ref="S131" si="633">R131/100000</f>
        <v>-1578.4521942019173</v>
      </c>
      <c r="T131">
        <f t="shared" ref="T131" si="634">S131/1000</f>
        <v>-1.5784521942019174</v>
      </c>
    </row>
    <row r="132" spans="1:20" x14ac:dyDescent="0.25">
      <c r="A132" s="5">
        <v>44461</v>
      </c>
      <c r="B132">
        <v>0.18890000000000001</v>
      </c>
      <c r="C132">
        <v>0.23449999999999999</v>
      </c>
      <c r="D132">
        <v>0.18329999999999999</v>
      </c>
      <c r="E132">
        <v>0.22670000000000001</v>
      </c>
      <c r="F132">
        <v>68960462</v>
      </c>
      <c r="G132">
        <v>0.22670000000000001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0.695312500000001</v>
      </c>
      <c r="Q132">
        <f t="shared" ref="Q132" si="636">F132*P132</f>
        <v>47949071.234375067</v>
      </c>
      <c r="R132">
        <f t="shared" ref="R132" si="637">R133+Q132</f>
        <v>-180691823.60562214</v>
      </c>
      <c r="S132">
        <f t="shared" ref="S132" si="638">R132/100000</f>
        <v>-1806.9182360562215</v>
      </c>
      <c r="T132">
        <f t="shared" ref="T132" si="639">S132/1000</f>
        <v>-1.8069182360562215</v>
      </c>
    </row>
    <row r="133" spans="1:20" x14ac:dyDescent="0.25">
      <c r="A133" s="5">
        <v>44460</v>
      </c>
      <c r="B133">
        <v>0.20280000000000001</v>
      </c>
      <c r="C133">
        <v>0.22220000000000001</v>
      </c>
      <c r="D133">
        <v>0.18190000000000001</v>
      </c>
      <c r="E133">
        <v>0.189</v>
      </c>
      <c r="F133">
        <v>56659420.799999997</v>
      </c>
      <c r="G133">
        <v>0.189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-0.64764267990074464</v>
      </c>
      <c r="Q133">
        <f t="shared" ref="Q133" si="641">F133*P133</f>
        <v>-36695059.128535993</v>
      </c>
      <c r="R133">
        <f t="shared" ref="R133" si="642">R134+Q133</f>
        <v>-228640894.8399972</v>
      </c>
      <c r="S133">
        <f t="shared" ref="S133" si="643">R133/100000</f>
        <v>-2286.4089483999719</v>
      </c>
      <c r="T133">
        <f t="shared" ref="T133" si="644">S133/1000</f>
        <v>-2.2864089483999721</v>
      </c>
    </row>
    <row r="134" spans="1:20" x14ac:dyDescent="0.25">
      <c r="A134" s="5">
        <v>44459</v>
      </c>
      <c r="B134">
        <v>0.24360000000000001</v>
      </c>
      <c r="C134">
        <v>0.24440000000000001</v>
      </c>
      <c r="D134">
        <v>0.21360000000000001</v>
      </c>
      <c r="E134">
        <v>0.21729999999999999</v>
      </c>
      <c r="F134">
        <v>16368278</v>
      </c>
      <c r="G134">
        <v>0.21729999999999999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-0.75974025974026094</v>
      </c>
      <c r="Q134">
        <f t="shared" ref="Q134" si="646">F134*P134</f>
        <v>-12435639.779220799</v>
      </c>
      <c r="R134">
        <f t="shared" ref="R134" si="647">R135+Q134</f>
        <v>-191945835.71146122</v>
      </c>
      <c r="S134">
        <f t="shared" ref="S134" si="648">R134/100000</f>
        <v>-1919.4583571146122</v>
      </c>
      <c r="T134">
        <f t="shared" ref="T134" si="649">S134/1000</f>
        <v>-1.9194583571146122</v>
      </c>
    </row>
    <row r="135" spans="1:20" x14ac:dyDescent="0.25">
      <c r="A135" s="5">
        <v>44458</v>
      </c>
      <c r="B135">
        <v>0.25519999999999998</v>
      </c>
      <c r="C135">
        <v>0.25690000000000002</v>
      </c>
      <c r="D135">
        <v>0.23860000000000001</v>
      </c>
      <c r="E135">
        <v>0.24329999999999999</v>
      </c>
      <c r="F135">
        <v>20078251</v>
      </c>
      <c r="G135">
        <v>0.24329999999999999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-0.48633879781420991</v>
      </c>
      <c r="Q135">
        <f t="shared" ref="Q135" si="651">F135*P135</f>
        <v>-9764832.4535519574</v>
      </c>
      <c r="R135">
        <f t="shared" ref="R135" si="652">R136+Q135</f>
        <v>-179510195.93224043</v>
      </c>
      <c r="S135">
        <f t="shared" ref="S135" si="653">R135/100000</f>
        <v>-1795.1019593224044</v>
      </c>
      <c r="T135">
        <f t="shared" ref="T135" si="654">S135/1000</f>
        <v>-1.7951019593224045</v>
      </c>
    </row>
    <row r="136" spans="1:20" x14ac:dyDescent="0.25">
      <c r="A136" s="5">
        <v>44457</v>
      </c>
      <c r="B136">
        <v>0.25459999999999999</v>
      </c>
      <c r="C136">
        <v>0.2666</v>
      </c>
      <c r="D136">
        <v>0.24840000000000001</v>
      </c>
      <c r="E136">
        <v>0.25490000000000002</v>
      </c>
      <c r="F136">
        <v>23370722</v>
      </c>
      <c r="G136">
        <v>0.25490000000000002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-0.28571428571428487</v>
      </c>
      <c r="Q136">
        <f t="shared" ref="Q136" si="656">F136*P136</f>
        <v>-6677349.1428571232</v>
      </c>
      <c r="R136">
        <f t="shared" ref="R136" si="657">R137+Q136</f>
        <v>-169745363.47868848</v>
      </c>
      <c r="S136">
        <f t="shared" ref="S136" si="658">R136/100000</f>
        <v>-1697.4536347868848</v>
      </c>
      <c r="T136">
        <f t="shared" ref="T136" si="659">S136/1000</f>
        <v>-1.6974536347868847</v>
      </c>
    </row>
    <row r="137" spans="1:20" x14ac:dyDescent="0.25">
      <c r="A137" s="5">
        <v>44456</v>
      </c>
      <c r="B137">
        <v>0.28120000000000001</v>
      </c>
      <c r="C137">
        <v>0.28339999999999999</v>
      </c>
      <c r="D137">
        <v>0.25009999999999999</v>
      </c>
      <c r="E137">
        <v>0.25480000000000003</v>
      </c>
      <c r="F137">
        <v>36722207</v>
      </c>
      <c r="G137">
        <v>0.25480000000000003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-0.71771771771771542</v>
      </c>
      <c r="Q137">
        <f t="shared" ref="Q137" si="661">F137*P137</f>
        <v>-26356178.597597513</v>
      </c>
      <c r="R137">
        <f t="shared" ref="R137" si="662">R138+Q137</f>
        <v>-163068014.33583134</v>
      </c>
      <c r="S137">
        <f t="shared" ref="S137" si="663">R137/100000</f>
        <v>-1630.6801433583134</v>
      </c>
      <c r="T137">
        <f t="shared" ref="T137" si="664">S137/1000</f>
        <v>-1.6306801433583133</v>
      </c>
    </row>
    <row r="138" spans="1:20" x14ac:dyDescent="0.25">
      <c r="A138" s="5">
        <v>44455</v>
      </c>
      <c r="B138">
        <v>0.26240000000000002</v>
      </c>
      <c r="C138">
        <v>0.3</v>
      </c>
      <c r="D138">
        <v>0.25419999999999998</v>
      </c>
      <c r="E138">
        <v>0.28129999999999999</v>
      </c>
      <c r="F138">
        <v>80741494</v>
      </c>
      <c r="G138">
        <v>0.28129999999999999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0.18340611353711828</v>
      </c>
      <c r="Q138">
        <f t="shared" ref="Q138" si="666">F138*P138</f>
        <v>14808483.615720553</v>
      </c>
      <c r="R138">
        <f t="shared" ref="R138" si="667">R139+Q138</f>
        <v>-136711835.73823383</v>
      </c>
      <c r="S138">
        <f t="shared" ref="S138" si="668">R138/100000</f>
        <v>-1367.1183573823384</v>
      </c>
      <c r="T138">
        <f t="shared" ref="T138" si="669">S138/1000</f>
        <v>-1.3671183573823384</v>
      </c>
    </row>
    <row r="139" spans="1:20" x14ac:dyDescent="0.25">
      <c r="A139" s="5">
        <v>44454</v>
      </c>
      <c r="B139">
        <v>0.24399999999999999</v>
      </c>
      <c r="C139">
        <v>0.26629999999999998</v>
      </c>
      <c r="D139">
        <v>0.24049999999999999</v>
      </c>
      <c r="E139">
        <v>0.26240000000000002</v>
      </c>
      <c r="F139">
        <v>31691277</v>
      </c>
      <c r="G139">
        <v>0.26240000000000002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0.69767441860465418</v>
      </c>
      <c r="Q139">
        <f t="shared" ref="Q139" si="671">F139*P139</f>
        <v>22110193.255814049</v>
      </c>
      <c r="R139">
        <f t="shared" ref="R139" si="672">R140+Q139</f>
        <v>-151520319.35395437</v>
      </c>
      <c r="S139">
        <f t="shared" ref="S139" si="673">R139/100000</f>
        <v>-1515.2031935395437</v>
      </c>
      <c r="T139">
        <f t="shared" ref="T139" si="674">S139/1000</f>
        <v>-1.5152031935395436</v>
      </c>
    </row>
    <row r="140" spans="1:20" x14ac:dyDescent="0.25">
      <c r="A140" s="5">
        <v>44453</v>
      </c>
      <c r="B140">
        <v>0.2515</v>
      </c>
      <c r="C140">
        <v>0.25750000000000001</v>
      </c>
      <c r="D140">
        <v>0.23760000000000001</v>
      </c>
      <c r="E140">
        <v>0.24440000000000001</v>
      </c>
      <c r="F140">
        <v>28381814</v>
      </c>
      <c r="G140">
        <v>0.24440000000000001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-0.3165829145728643</v>
      </c>
      <c r="Q140">
        <f t="shared" ref="Q140" si="676">F140*P140</f>
        <v>-8985197.3969849236</v>
      </c>
      <c r="R140">
        <f t="shared" ref="R140" si="677">R141+Q140</f>
        <v>-173630512.60976842</v>
      </c>
      <c r="S140">
        <f t="shared" ref="S140" si="678">R140/100000</f>
        <v>-1736.3051260976843</v>
      </c>
      <c r="T140">
        <f t="shared" ref="T140" si="679">S140/1000</f>
        <v>-1.7363051260976843</v>
      </c>
    </row>
    <row r="141" spans="1:20" x14ac:dyDescent="0.25">
      <c r="A141" s="5">
        <v>44452</v>
      </c>
      <c r="B141">
        <v>0.24809999999999999</v>
      </c>
      <c r="C141">
        <v>0.25790000000000002</v>
      </c>
      <c r="D141">
        <v>0.2235</v>
      </c>
      <c r="E141">
        <v>0.25159999999999999</v>
      </c>
      <c r="F141">
        <v>38674239</v>
      </c>
      <c r="G141">
        <v>0.25159999999999999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0.63372093023255671</v>
      </c>
      <c r="Q141">
        <f t="shared" ref="Q141" si="681">F141*P141</f>
        <v>24508674.715116225</v>
      </c>
      <c r="R141">
        <f t="shared" ref="R141" si="682">R142+Q141</f>
        <v>-164645315.21278349</v>
      </c>
      <c r="S141">
        <f t="shared" ref="S141" si="683">R141/100000</f>
        <v>-1646.4531521278348</v>
      </c>
      <c r="T141">
        <f t="shared" ref="T141" si="684">S141/1000</f>
        <v>-1.6464531521278347</v>
      </c>
    </row>
    <row r="142" spans="1:20" x14ac:dyDescent="0.25">
      <c r="A142" s="5">
        <v>44451</v>
      </c>
      <c r="B142">
        <v>0.2397</v>
      </c>
      <c r="C142">
        <v>0.25380000000000003</v>
      </c>
      <c r="D142">
        <v>0.23269999999999999</v>
      </c>
      <c r="E142">
        <v>0.24809999999999999</v>
      </c>
      <c r="F142">
        <v>30741258</v>
      </c>
      <c r="G142">
        <v>0.24809999999999999</v>
      </c>
      <c r="L142" t="s">
        <v>7</v>
      </c>
      <c r="M142" t="s">
        <v>8</v>
      </c>
      <c r="N142" t="s">
        <v>8</v>
      </c>
      <c r="P142">
        <f t="shared" ref="P142" si="685">IF(C142=D142,0,((E142-D142)-(C142-E142))/(C142-D142))</f>
        <v>0.45971563981042379</v>
      </c>
      <c r="Q142">
        <f t="shared" ref="Q142" si="686">F142*P142</f>
        <v>14132237.090047309</v>
      </c>
      <c r="R142">
        <f t="shared" ref="R142" si="687">R143+Q142</f>
        <v>-189153989.92789972</v>
      </c>
      <c r="S142">
        <f t="shared" ref="S142" si="688">R142/100000</f>
        <v>-1891.5398992789972</v>
      </c>
      <c r="T142">
        <f t="shared" ref="T142" si="689">S142/1000</f>
        <v>-1.8915398992789971</v>
      </c>
    </row>
    <row r="143" spans="1:20" x14ac:dyDescent="0.25">
      <c r="A143" s="5">
        <v>44450</v>
      </c>
      <c r="B143">
        <v>0.24030000000000001</v>
      </c>
      <c r="C143">
        <v>0.27450000000000002</v>
      </c>
      <c r="D143">
        <v>0.2361</v>
      </c>
      <c r="E143">
        <v>0.2404</v>
      </c>
      <c r="F143">
        <v>72592335</v>
      </c>
      <c r="G143">
        <v>0.2404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-0.77604166666666685</v>
      </c>
      <c r="Q143">
        <f t="shared" ref="Q143" si="691">F143*P143</f>
        <v>-56334676.640625015</v>
      </c>
      <c r="R143">
        <f t="shared" ref="R143" si="692">R144+Q143</f>
        <v>-203286227.01794702</v>
      </c>
      <c r="S143">
        <f t="shared" ref="S143" si="693">R143/100000</f>
        <v>-2032.8622701794702</v>
      </c>
      <c r="T143">
        <f t="shared" ref="T143" si="694">S143/1000</f>
        <v>-2.0328622701794701</v>
      </c>
    </row>
    <row r="144" spans="1:20" x14ac:dyDescent="0.25">
      <c r="A144" s="5">
        <v>44449</v>
      </c>
      <c r="B144">
        <v>0.2276</v>
      </c>
      <c r="C144">
        <v>0.26140000000000002</v>
      </c>
      <c r="D144">
        <v>0.2024</v>
      </c>
      <c r="E144">
        <v>0.24060000000000001</v>
      </c>
      <c r="F144">
        <v>79612266</v>
      </c>
      <c r="G144">
        <v>0.24060000000000001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0.29491525423728798</v>
      </c>
      <c r="Q144">
        <f t="shared" ref="Q144" si="696">F144*P144</f>
        <v>23478871.667796597</v>
      </c>
      <c r="R144">
        <f t="shared" ref="R144" si="697">R145+Q144</f>
        <v>-146951550.37732202</v>
      </c>
      <c r="S144">
        <f t="shared" ref="S144" si="698">R144/100000</f>
        <v>-1469.5155037732202</v>
      </c>
      <c r="T144">
        <f t="shared" ref="T144" si="699">S144/1000</f>
        <v>-1.4695155037732202</v>
      </c>
    </row>
    <row r="145" spans="1:20" x14ac:dyDescent="0.25">
      <c r="A145" s="5">
        <v>44448</v>
      </c>
      <c r="B145">
        <v>0.21809999999999999</v>
      </c>
      <c r="C145">
        <v>0.2346</v>
      </c>
      <c r="D145">
        <v>0.2039</v>
      </c>
      <c r="E145">
        <v>0.2276</v>
      </c>
      <c r="F145">
        <v>45618836</v>
      </c>
      <c r="G145">
        <v>0.2276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0.54397394136807786</v>
      </c>
      <c r="Q145">
        <f t="shared" ref="Q145" si="701">F145*P145</f>
        <v>24815458.019543961</v>
      </c>
      <c r="R145">
        <f t="shared" ref="R145" si="702">R146+Q145</f>
        <v>-170430422.04511863</v>
      </c>
      <c r="S145">
        <f t="shared" ref="S145" si="703">R145/100000</f>
        <v>-1704.3042204511862</v>
      </c>
      <c r="T145">
        <f t="shared" ref="T145" si="704">S145/1000</f>
        <v>-1.7043042204511862</v>
      </c>
    </row>
    <row r="146" spans="1:20" x14ac:dyDescent="0.25">
      <c r="A146" s="5">
        <v>44447</v>
      </c>
      <c r="B146">
        <v>0.22839999999999999</v>
      </c>
      <c r="C146">
        <v>0.23230000000000001</v>
      </c>
      <c r="D146">
        <v>0.1973</v>
      </c>
      <c r="E146">
        <v>0.21809999999999999</v>
      </c>
      <c r="F146">
        <v>45384456</v>
      </c>
      <c r="G146">
        <v>0.21809999999999999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0.18857142857142761</v>
      </c>
      <c r="Q146">
        <f t="shared" ref="Q146" si="706">F146*P146</f>
        <v>8558211.7028570995</v>
      </c>
      <c r="R146">
        <f t="shared" ref="R146" si="707">R147+Q146</f>
        <v>-195245880.06466261</v>
      </c>
      <c r="S146">
        <f t="shared" ref="S146" si="708">R146/100000</f>
        <v>-1952.4588006466261</v>
      </c>
      <c r="T146">
        <f t="shared" ref="T146" si="709">S146/1000</f>
        <v>-1.9524588006466261</v>
      </c>
    </row>
    <row r="147" spans="1:20" x14ac:dyDescent="0.25">
      <c r="A147" s="5">
        <v>44446</v>
      </c>
      <c r="B147">
        <v>0.30730000000000002</v>
      </c>
      <c r="C147">
        <v>0.30890000000000001</v>
      </c>
      <c r="D147">
        <v>0.19009999999999999</v>
      </c>
      <c r="E147">
        <v>0.2283</v>
      </c>
      <c r="F147">
        <v>68913179</v>
      </c>
      <c r="G147">
        <v>0.2283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-0.35690235690235678</v>
      </c>
      <c r="Q147">
        <f t="shared" ref="Q147" si="711">F147*P147</f>
        <v>-24595276.006733999</v>
      </c>
      <c r="R147">
        <f t="shared" ref="R147" si="712">R148+Q147</f>
        <v>-203804091.76751971</v>
      </c>
      <c r="S147">
        <f t="shared" ref="S147" si="713">R147/100000</f>
        <v>-2038.0409176751971</v>
      </c>
      <c r="T147">
        <f t="shared" ref="T147" si="714">S147/1000</f>
        <v>-2.0380409176751972</v>
      </c>
    </row>
    <row r="148" spans="1:20" x14ac:dyDescent="0.25">
      <c r="A148" s="5">
        <v>44445</v>
      </c>
      <c r="B148">
        <v>0.30409999999999998</v>
      </c>
      <c r="C148">
        <v>0.31979999999999997</v>
      </c>
      <c r="D148">
        <v>0.27900000000000003</v>
      </c>
      <c r="E148">
        <v>0.30680000000000002</v>
      </c>
      <c r="F148">
        <v>49832400</v>
      </c>
      <c r="G148">
        <v>0.30680000000000002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0.36274509803921701</v>
      </c>
      <c r="Q148">
        <f t="shared" ref="Q148" si="716">F148*P148</f>
        <v>18076458.823529478</v>
      </c>
      <c r="R148">
        <f t="shared" ref="R148" si="717">R149+Q148</f>
        <v>-179208815.76078573</v>
      </c>
      <c r="S148">
        <f t="shared" ref="S148" si="718">R148/100000</f>
        <v>-1792.0881576078573</v>
      </c>
      <c r="T148">
        <f t="shared" ref="T148" si="719">S148/1000</f>
        <v>-1.7920881576078573</v>
      </c>
    </row>
    <row r="149" spans="1:20" x14ac:dyDescent="0.25">
      <c r="A149" s="5">
        <v>44444</v>
      </c>
      <c r="B149">
        <v>0.29570000000000002</v>
      </c>
      <c r="C149">
        <v>0.32200000000000001</v>
      </c>
      <c r="D149">
        <v>0.29170000000000001</v>
      </c>
      <c r="E149">
        <v>0.30409999999999998</v>
      </c>
      <c r="F149">
        <v>45373431.200000003</v>
      </c>
      <c r="G149">
        <v>0.30409999999999998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-0.18151815181518355</v>
      </c>
      <c r="Q149">
        <f t="shared" ref="Q149" si="721">F149*P149</f>
        <v>-8236101.3729373859</v>
      </c>
      <c r="R149">
        <f t="shared" ref="R149" si="722">R150+Q149</f>
        <v>-197285274.58431521</v>
      </c>
      <c r="S149">
        <f t="shared" ref="S149" si="723">R149/100000</f>
        <v>-1972.8527458431522</v>
      </c>
      <c r="T149">
        <f t="shared" ref="T149" si="724">S149/1000</f>
        <v>-1.9728527458431522</v>
      </c>
    </row>
    <row r="150" spans="1:20" x14ac:dyDescent="0.25">
      <c r="A150" s="5">
        <v>44443</v>
      </c>
      <c r="B150">
        <v>0.28100000000000003</v>
      </c>
      <c r="C150">
        <v>0.29730000000000001</v>
      </c>
      <c r="D150">
        <v>0.2797</v>
      </c>
      <c r="E150">
        <v>0.29580000000000001</v>
      </c>
      <c r="F150">
        <v>22464314</v>
      </c>
      <c r="G150">
        <v>0.29580000000000001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0.82954545454545447</v>
      </c>
      <c r="Q150">
        <f t="shared" ref="Q150" si="726">F150*P150</f>
        <v>18635169.568181816</v>
      </c>
      <c r="R150">
        <f t="shared" ref="R150" si="727">R151+Q150</f>
        <v>-189049173.21137783</v>
      </c>
      <c r="S150">
        <f t="shared" ref="S150" si="728">R150/100000</f>
        <v>-1890.4917321137782</v>
      </c>
      <c r="T150">
        <f t="shared" ref="T150" si="729">S150/1000</f>
        <v>-1.8904917321137782</v>
      </c>
    </row>
    <row r="151" spans="1:20" x14ac:dyDescent="0.25">
      <c r="A151" s="5">
        <v>44442</v>
      </c>
      <c r="B151">
        <v>0.27479999999999999</v>
      </c>
      <c r="C151">
        <v>0.29709999999999998</v>
      </c>
      <c r="D151">
        <v>0.26090000000000002</v>
      </c>
      <c r="E151">
        <v>0.28089999999999998</v>
      </c>
      <c r="F151">
        <v>45780785.5</v>
      </c>
      <c r="G151">
        <v>0.28089999999999998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0.10497237569060704</v>
      </c>
      <c r="Q151">
        <f t="shared" ref="Q151" si="731">F151*P151</f>
        <v>4805717.814917095</v>
      </c>
      <c r="R151">
        <f t="shared" ref="R151" si="732">R152+Q151</f>
        <v>-207684342.77955964</v>
      </c>
      <c r="S151">
        <f t="shared" ref="S151" si="733">R151/100000</f>
        <v>-2076.8434277955962</v>
      </c>
      <c r="T151">
        <f t="shared" ref="T151" si="734">S151/1000</f>
        <v>-2.0768434277955961</v>
      </c>
    </row>
    <row r="152" spans="1:20" x14ac:dyDescent="0.25">
      <c r="A152" s="5">
        <v>44441</v>
      </c>
      <c r="B152">
        <v>0.26910000000000001</v>
      </c>
      <c r="C152">
        <v>0.27579999999999999</v>
      </c>
      <c r="D152">
        <v>0.26100000000000001</v>
      </c>
      <c r="E152">
        <v>0.27510000000000001</v>
      </c>
      <c r="F152">
        <v>19520007</v>
      </c>
      <c r="G152">
        <v>0.27510000000000001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0.90540540540540815</v>
      </c>
      <c r="Q152">
        <f t="shared" ref="Q152" si="736">F152*P152</f>
        <v>17673519.851351406</v>
      </c>
      <c r="R152">
        <f t="shared" ref="R152" si="737">R153+Q152</f>
        <v>-212490060.59447673</v>
      </c>
      <c r="S152">
        <f t="shared" ref="S152" si="738">R152/100000</f>
        <v>-2124.9006059447674</v>
      </c>
      <c r="T152">
        <f t="shared" ref="T152" si="739">S152/1000</f>
        <v>-2.1249006059447675</v>
      </c>
    </row>
    <row r="153" spans="1:20" x14ac:dyDescent="0.25">
      <c r="A153" s="5">
        <v>44440</v>
      </c>
      <c r="B153">
        <v>0.24909999999999999</v>
      </c>
      <c r="C153">
        <v>0.27789999999999998</v>
      </c>
      <c r="D153">
        <v>0.2429</v>
      </c>
      <c r="E153">
        <v>0.26910000000000001</v>
      </c>
      <c r="F153">
        <v>31627121.600000001</v>
      </c>
      <c r="G153">
        <v>0.26910000000000001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0.49714285714285827</v>
      </c>
      <c r="Q153">
        <f t="shared" ref="Q153" si="741">F153*P153</f>
        <v>15723197.595428608</v>
      </c>
      <c r="R153">
        <f t="shared" ref="R153" si="742">R154+Q153</f>
        <v>-230163580.44582814</v>
      </c>
      <c r="S153">
        <f t="shared" ref="S153" si="743">R153/100000</f>
        <v>-2301.6358044582812</v>
      </c>
      <c r="T153">
        <f t="shared" ref="T153" si="744">S153/1000</f>
        <v>-2.3016358044582814</v>
      </c>
    </row>
    <row r="154" spans="1:20" x14ac:dyDescent="0.25">
      <c r="A154" s="5">
        <v>44439</v>
      </c>
      <c r="B154">
        <v>0.23849999999999999</v>
      </c>
      <c r="C154">
        <v>0.26240000000000002</v>
      </c>
      <c r="D154">
        <v>0.23519999999999999</v>
      </c>
      <c r="E154">
        <v>0.24890000000000001</v>
      </c>
      <c r="F154">
        <v>24027630.399999999</v>
      </c>
      <c r="G154">
        <v>0.24890000000000001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7.3529411764707911E-3</v>
      </c>
      <c r="Q154">
        <f t="shared" ref="Q154" si="746">F154*P154</f>
        <v>176673.75294118133</v>
      </c>
      <c r="R154">
        <f t="shared" ref="R154" si="747">R155+Q154</f>
        <v>-245886778.04125676</v>
      </c>
      <c r="S154">
        <f t="shared" ref="S154" si="748">R154/100000</f>
        <v>-2458.8677804125678</v>
      </c>
      <c r="T154">
        <f t="shared" ref="T154" si="749">S154/1000</f>
        <v>-2.4588677804125676</v>
      </c>
    </row>
    <row r="155" spans="1:20" x14ac:dyDescent="0.25">
      <c r="A155" s="5">
        <v>44438</v>
      </c>
      <c r="B155">
        <v>0.24979999999999999</v>
      </c>
      <c r="C155">
        <v>0.25600000000000001</v>
      </c>
      <c r="D155">
        <v>0.23569999999999999</v>
      </c>
      <c r="E155">
        <v>0.23849999999999999</v>
      </c>
      <c r="F155">
        <v>17919978</v>
      </c>
      <c r="G155">
        <v>0.23849999999999999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-0.72413793103448321</v>
      </c>
      <c r="Q155">
        <f t="shared" ref="Q155" si="751">F155*P155</f>
        <v>-12976535.793103456</v>
      </c>
      <c r="R155">
        <f t="shared" ref="R155" si="752">R156+Q155</f>
        <v>-246063451.79419795</v>
      </c>
      <c r="S155">
        <f t="shared" ref="S155" si="753">R155/100000</f>
        <v>-2460.6345179419795</v>
      </c>
      <c r="T155">
        <f t="shared" ref="T155" si="754">S155/1000</f>
        <v>-2.4606345179419797</v>
      </c>
    </row>
    <row r="156" spans="1:20" x14ac:dyDescent="0.25">
      <c r="A156" s="5">
        <v>44437</v>
      </c>
      <c r="B156">
        <v>0.2442</v>
      </c>
      <c r="C156">
        <v>0.26</v>
      </c>
      <c r="D156">
        <v>0.2303</v>
      </c>
      <c r="E156">
        <v>0.25009999999999999</v>
      </c>
      <c r="F156">
        <v>26827854</v>
      </c>
      <c r="G156">
        <v>0.25009999999999999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0.33333333333333209</v>
      </c>
      <c r="Q156">
        <f t="shared" ref="Q156" si="756">F156*P156</f>
        <v>8942617.9999999665</v>
      </c>
      <c r="R156">
        <f t="shared" ref="R156" si="757">R157+Q156</f>
        <v>-233086916.00109449</v>
      </c>
      <c r="S156">
        <f t="shared" ref="S156" si="758">R156/100000</f>
        <v>-2330.8691600109451</v>
      </c>
      <c r="T156">
        <f t="shared" ref="T156" si="759">S156/1000</f>
        <v>-2.3308691600109452</v>
      </c>
    </row>
    <row r="157" spans="1:20" x14ac:dyDescent="0.25">
      <c r="A157" s="5">
        <v>44436</v>
      </c>
      <c r="B157">
        <v>0.23710000000000001</v>
      </c>
      <c r="C157">
        <v>0.25159999999999999</v>
      </c>
      <c r="D157">
        <v>0.2341</v>
      </c>
      <c r="E157">
        <v>0.2442</v>
      </c>
      <c r="F157">
        <v>21789887.199999999</v>
      </c>
      <c r="G157">
        <v>0.2442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0.15428571428571486</v>
      </c>
      <c r="Q157">
        <f t="shared" ref="Q157" si="761">F157*P157</f>
        <v>3361868.3108571554</v>
      </c>
      <c r="R157">
        <f t="shared" ref="R157" si="762">R158+Q157</f>
        <v>-242029534.00109446</v>
      </c>
      <c r="S157">
        <f t="shared" ref="S157" si="763">R157/100000</f>
        <v>-2420.2953400109445</v>
      </c>
      <c r="T157">
        <f t="shared" ref="T157" si="764">S157/1000</f>
        <v>-2.4202953400109446</v>
      </c>
    </row>
    <row r="158" spans="1:20" x14ac:dyDescent="0.25">
      <c r="A158" s="5">
        <v>44435</v>
      </c>
      <c r="B158">
        <v>0.22550000000000001</v>
      </c>
      <c r="C158">
        <v>0.24340000000000001</v>
      </c>
      <c r="D158">
        <v>0.21540000000000001</v>
      </c>
      <c r="E158">
        <v>0.23710000000000001</v>
      </c>
      <c r="F158">
        <v>24968473</v>
      </c>
      <c r="G158">
        <v>0.23710000000000001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0.54999999999999993</v>
      </c>
      <c r="Q158">
        <f t="shared" ref="Q158" si="766">F158*P158</f>
        <v>13732660.149999999</v>
      </c>
      <c r="R158">
        <f t="shared" ref="R158" si="767">R159+Q158</f>
        <v>-245391402.31195161</v>
      </c>
      <c r="S158">
        <f t="shared" ref="S158" si="768">R158/100000</f>
        <v>-2453.9140231195161</v>
      </c>
      <c r="T158">
        <f t="shared" ref="T158" si="769">S158/1000</f>
        <v>-2.4539140231195162</v>
      </c>
    </row>
    <row r="159" spans="1:20" x14ac:dyDescent="0.25">
      <c r="A159" s="5">
        <v>44434</v>
      </c>
      <c r="B159">
        <v>0.25216</v>
      </c>
      <c r="C159">
        <v>0.25808999999999999</v>
      </c>
      <c r="D159">
        <v>0.22209999999999999</v>
      </c>
      <c r="E159">
        <v>0.22559999999999999</v>
      </c>
      <c r="F159">
        <v>19557373.199999999</v>
      </c>
      <c r="G159">
        <v>0.22559999999999999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-0.80550152820227816</v>
      </c>
      <c r="Q159">
        <f t="shared" ref="Q159" si="771">F159*P159</f>
        <v>-15753494.000222279</v>
      </c>
      <c r="R159">
        <f t="shared" ref="R159" si="772">R160+Q159</f>
        <v>-259124062.46195161</v>
      </c>
      <c r="S159">
        <f t="shared" ref="S159" si="773">R159/100000</f>
        <v>-2591.240624619516</v>
      </c>
      <c r="T159">
        <f t="shared" ref="T159" si="774">S159/1000</f>
        <v>-2.5912406246195161</v>
      </c>
    </row>
    <row r="160" spans="1:20" x14ac:dyDescent="0.25">
      <c r="A160" s="5">
        <v>44433</v>
      </c>
      <c r="B160">
        <v>0.24437</v>
      </c>
      <c r="C160">
        <v>0.26671</v>
      </c>
      <c r="D160">
        <v>0.22925000000000001</v>
      </c>
      <c r="E160">
        <v>0.25176999999999999</v>
      </c>
      <c r="F160">
        <v>41759543</v>
      </c>
      <c r="G160">
        <v>0.25176999999999999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0.20234917245061337</v>
      </c>
      <c r="Q160">
        <f t="shared" ref="Q160" si="776">F160*P160</f>
        <v>8450008.967965804</v>
      </c>
      <c r="R160">
        <f t="shared" ref="R160" si="777">R161+Q160</f>
        <v>-243370568.46172935</v>
      </c>
      <c r="S160">
        <f t="shared" ref="S160" si="778">R160/100000</f>
        <v>-2433.7056846172936</v>
      </c>
      <c r="T160">
        <f t="shared" ref="T160" si="779">S160/1000</f>
        <v>-2.4337056846172938</v>
      </c>
    </row>
    <row r="161" spans="1:20" x14ac:dyDescent="0.25">
      <c r="A161" s="5">
        <v>44432</v>
      </c>
      <c r="B161">
        <v>0.26185999999999998</v>
      </c>
      <c r="C161">
        <v>0.27535999999999999</v>
      </c>
      <c r="D161">
        <v>0.24</v>
      </c>
      <c r="E161">
        <v>0.24467</v>
      </c>
      <c r="F161">
        <v>22005215.100000001</v>
      </c>
      <c r="G161">
        <v>0.24467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-0.73585972850678694</v>
      </c>
      <c r="Q161">
        <f t="shared" ref="Q161" si="781">F161*P161</f>
        <v>-16192751.609219449</v>
      </c>
      <c r="R161">
        <f t="shared" ref="R161" si="782">R162+Q161</f>
        <v>-251820577.42969516</v>
      </c>
      <c r="S161">
        <f t="shared" ref="S161" si="783">R161/100000</f>
        <v>-2518.2057742969514</v>
      </c>
      <c r="T161">
        <f t="shared" ref="T161" si="784">S161/1000</f>
        <v>-2.5182057742969515</v>
      </c>
    </row>
    <row r="162" spans="1:20" x14ac:dyDescent="0.25">
      <c r="A162" s="5">
        <v>44431</v>
      </c>
      <c r="B162">
        <v>0.25867000000000001</v>
      </c>
      <c r="C162">
        <v>0.27727000000000002</v>
      </c>
      <c r="D162">
        <v>0.25380999999999998</v>
      </c>
      <c r="E162">
        <v>0.26185999999999998</v>
      </c>
      <c r="F162">
        <v>28529633.600000001</v>
      </c>
      <c r="G162">
        <v>0.26185999999999998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-0.31372549019607937</v>
      </c>
      <c r="Q162">
        <f t="shared" ref="Q162" si="786">F162*P162</f>
        <v>-8950473.2862745374</v>
      </c>
      <c r="R162">
        <f t="shared" ref="R162" si="787">R163+Q162</f>
        <v>-235627825.8204757</v>
      </c>
      <c r="S162">
        <f t="shared" ref="S162" si="788">R162/100000</f>
        <v>-2356.2782582047571</v>
      </c>
      <c r="T162">
        <f t="shared" ref="T162" si="789">S162/1000</f>
        <v>-2.3562782582047572</v>
      </c>
    </row>
    <row r="163" spans="1:20" x14ac:dyDescent="0.25">
      <c r="A163" s="5">
        <v>44430</v>
      </c>
      <c r="B163">
        <v>0.25445000000000001</v>
      </c>
      <c r="C163">
        <v>0.25697999999999999</v>
      </c>
      <c r="D163">
        <v>0.24875</v>
      </c>
      <c r="E163">
        <v>0.25325999999999999</v>
      </c>
      <c r="F163">
        <v>4344854.8</v>
      </c>
      <c r="G163">
        <v>0.25325999999999999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9.5990279465368936E-2</v>
      </c>
      <c r="Q163">
        <f t="shared" ref="Q163" si="791">F163*P163</f>
        <v>417063.82648844965</v>
      </c>
      <c r="R163">
        <f t="shared" ref="R163" si="792">R164+Q163</f>
        <v>-226677352.53420115</v>
      </c>
      <c r="S163">
        <f t="shared" ref="S163" si="793">R163/100000</f>
        <v>-2266.7735253420115</v>
      </c>
      <c r="T163">
        <f t="shared" ref="T163" si="794">S163/1000</f>
        <v>-2.2667735253420114</v>
      </c>
    </row>
    <row r="164" spans="1:20" x14ac:dyDescent="0.25">
      <c r="A164" s="5">
        <v>44429</v>
      </c>
      <c r="B164">
        <v>0.25220999999999999</v>
      </c>
      <c r="C164">
        <v>0.27145000000000002</v>
      </c>
      <c r="D164">
        <v>0.24584</v>
      </c>
      <c r="E164">
        <v>0.25440000000000002</v>
      </c>
      <c r="F164">
        <v>33077224.600000001</v>
      </c>
      <c r="G164">
        <v>0.25440000000000002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-0.33151112846544278</v>
      </c>
      <c r="Q164">
        <f t="shared" ref="Q164" si="796">F164*P164</f>
        <v>-10965468.053650904</v>
      </c>
      <c r="R164">
        <f t="shared" ref="R164" si="797">R165+Q164</f>
        <v>-227094416.36068958</v>
      </c>
      <c r="S164">
        <f t="shared" ref="S164" si="798">R164/100000</f>
        <v>-2270.9441636068959</v>
      </c>
      <c r="T164">
        <f t="shared" ref="T164" si="799">S164/1000</f>
        <v>-2.2709441636068961</v>
      </c>
    </row>
    <row r="165" spans="1:20" x14ac:dyDescent="0.25">
      <c r="A165" s="5">
        <v>44428</v>
      </c>
      <c r="B165">
        <v>0.24615999999999999</v>
      </c>
      <c r="C165">
        <v>0.25944</v>
      </c>
      <c r="D165">
        <v>0.23952000000000001</v>
      </c>
      <c r="E165">
        <v>0.25220999999999999</v>
      </c>
      <c r="F165">
        <v>26904599.300000001</v>
      </c>
      <c r="G165">
        <v>0.25220999999999999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0.27409638554216703</v>
      </c>
      <c r="Q165">
        <f t="shared" ref="Q165" si="801">F165*P165</f>
        <v>7374453.4225903172</v>
      </c>
      <c r="R165">
        <f t="shared" ref="R165" si="802">R166+Q165</f>
        <v>-216128948.30703866</v>
      </c>
      <c r="S165">
        <f t="shared" ref="S165" si="803">R165/100000</f>
        <v>-2161.2894830703867</v>
      </c>
      <c r="T165">
        <f t="shared" ref="T165" si="804">S165/1000</f>
        <v>-2.1612894830703868</v>
      </c>
    </row>
    <row r="166" spans="1:20" x14ac:dyDescent="0.25">
      <c r="A166" s="5">
        <v>44427</v>
      </c>
      <c r="B166">
        <v>0.22123999999999999</v>
      </c>
      <c r="C166">
        <v>0.25281999999999999</v>
      </c>
      <c r="D166">
        <v>0.21728</v>
      </c>
      <c r="E166">
        <v>0.246</v>
      </c>
      <c r="F166">
        <v>39268752.899999999</v>
      </c>
      <c r="G166">
        <v>0.246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0.61620709060213874</v>
      </c>
      <c r="Q166">
        <f t="shared" ref="Q166" si="806">F166*P166</f>
        <v>24197683.976083297</v>
      </c>
      <c r="R166">
        <f t="shared" ref="R166" si="807">R167+Q166</f>
        <v>-223503401.72962898</v>
      </c>
      <c r="S166">
        <f t="shared" ref="S166" si="808">R166/100000</f>
        <v>-2235.0340172962897</v>
      </c>
      <c r="T166">
        <f t="shared" ref="T166" si="809">S166/1000</f>
        <v>-2.2350340172962895</v>
      </c>
    </row>
    <row r="167" spans="1:20" x14ac:dyDescent="0.25">
      <c r="A167" s="5">
        <v>44426</v>
      </c>
      <c r="B167">
        <v>0.22472</v>
      </c>
      <c r="C167">
        <v>0.23486000000000001</v>
      </c>
      <c r="D167">
        <v>0.20721999999999999</v>
      </c>
      <c r="E167">
        <v>0.22091</v>
      </c>
      <c r="F167">
        <v>25804563.699999999</v>
      </c>
      <c r="G167">
        <v>0.22091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-9.4066570188136751E-3</v>
      </c>
      <c r="Q167">
        <f t="shared" ref="Q167" si="811">F167*P167</f>
        <v>-242734.68024602957</v>
      </c>
      <c r="R167">
        <f t="shared" ref="R167" si="812">R168+Q167</f>
        <v>-247701085.70571229</v>
      </c>
      <c r="S167">
        <f t="shared" ref="S167" si="813">R167/100000</f>
        <v>-2477.0108570571228</v>
      </c>
      <c r="T167">
        <f t="shared" ref="T167" si="814">S167/1000</f>
        <v>-2.477010857057123</v>
      </c>
    </row>
    <row r="168" spans="1:20" x14ac:dyDescent="0.25">
      <c r="A168" s="5">
        <v>44425</v>
      </c>
      <c r="B168">
        <v>0.23524</v>
      </c>
      <c r="C168">
        <v>0.25600000000000001</v>
      </c>
      <c r="D168">
        <v>0.22031999999999999</v>
      </c>
      <c r="E168">
        <v>0.22516</v>
      </c>
      <c r="F168">
        <v>40097248.399999999</v>
      </c>
      <c r="G168">
        <v>0.22516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-0.72869955156950628</v>
      </c>
      <c r="Q168">
        <f t="shared" ref="Q168" si="816">F168*P168</f>
        <v>-29218846.928251103</v>
      </c>
      <c r="R168">
        <f t="shared" ref="R168" si="817">R169+Q168</f>
        <v>-247458351.02546626</v>
      </c>
      <c r="S168">
        <f t="shared" ref="S168" si="818">R168/100000</f>
        <v>-2474.5835102546625</v>
      </c>
      <c r="T168">
        <f t="shared" ref="T168" si="819">S168/1000</f>
        <v>-2.4745835102546625</v>
      </c>
    </row>
    <row r="169" spans="1:20" x14ac:dyDescent="0.25">
      <c r="A169" s="5">
        <v>44424</v>
      </c>
      <c r="B169">
        <v>0.24382000000000001</v>
      </c>
      <c r="C169">
        <v>0.25829999999999997</v>
      </c>
      <c r="D169">
        <v>0.23119999999999999</v>
      </c>
      <c r="E169">
        <v>0.23552000000000001</v>
      </c>
      <c r="F169">
        <v>39487612.700000003</v>
      </c>
      <c r="G169">
        <v>0.23552000000000001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-0.68118081180811652</v>
      </c>
      <c r="Q169">
        <f t="shared" ref="Q169" si="821">F169*P169</f>
        <v>-26898204.075350493</v>
      </c>
      <c r="R169">
        <f t="shared" ref="R169" si="822">R170+Q169</f>
        <v>-218239504.09721518</v>
      </c>
      <c r="S169">
        <f t="shared" ref="S169" si="823">R169/100000</f>
        <v>-2182.3950409721519</v>
      </c>
      <c r="T169">
        <f t="shared" ref="T169" si="824">S169/1000</f>
        <v>-2.182395040972152</v>
      </c>
    </row>
    <row r="170" spans="1:20" x14ac:dyDescent="0.25">
      <c r="A170" s="5">
        <v>44423</v>
      </c>
      <c r="B170">
        <v>0.23053000000000001</v>
      </c>
      <c r="C170">
        <v>0.25402000000000002</v>
      </c>
      <c r="D170">
        <v>0.22677</v>
      </c>
      <c r="E170">
        <v>0.24376</v>
      </c>
      <c r="F170">
        <v>41572603.299999997</v>
      </c>
      <c r="G170">
        <v>0.24376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0.24697247706421946</v>
      </c>
      <c r="Q170">
        <f t="shared" ref="Q170" si="826">F170*P170</f>
        <v>10267288.815009143</v>
      </c>
      <c r="R170">
        <f t="shared" ref="R170" si="827">R171+Q170</f>
        <v>-191341300.02186468</v>
      </c>
      <c r="S170">
        <f t="shared" ref="S170" si="828">R170/100000</f>
        <v>-1913.4130002186469</v>
      </c>
      <c r="T170">
        <f t="shared" ref="T170" si="829">S170/1000</f>
        <v>-1.9134130002186469</v>
      </c>
    </row>
    <row r="171" spans="1:20" x14ac:dyDescent="0.25">
      <c r="A171" s="5">
        <v>44422</v>
      </c>
      <c r="B171">
        <v>0.2334</v>
      </c>
      <c r="C171">
        <v>0.24049999999999999</v>
      </c>
      <c r="D171">
        <v>0.22</v>
      </c>
      <c r="E171">
        <v>0.23044999999999999</v>
      </c>
      <c r="F171">
        <v>30564598.699999999</v>
      </c>
      <c r="G171">
        <v>0.23044999999999999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1.9512195121950432E-2</v>
      </c>
      <c r="Q171">
        <f t="shared" ref="Q171" si="831">F171*P171</f>
        <v>596382.41365851252</v>
      </c>
      <c r="R171">
        <f t="shared" ref="R171" si="832">R172+Q171</f>
        <v>-201608588.83687383</v>
      </c>
      <c r="S171">
        <f t="shared" ref="S171" si="833">R171/100000</f>
        <v>-2016.0858883687383</v>
      </c>
      <c r="T171">
        <f t="shared" ref="T171" si="834">S171/1000</f>
        <v>-2.0160858883687385</v>
      </c>
    </row>
    <row r="172" spans="1:20" x14ac:dyDescent="0.25">
      <c r="A172" s="5">
        <v>44421</v>
      </c>
      <c r="B172">
        <v>0.22925999999999999</v>
      </c>
      <c r="C172">
        <v>0.2407</v>
      </c>
      <c r="D172">
        <v>0.22131999999999999</v>
      </c>
      <c r="E172">
        <v>0.2334</v>
      </c>
      <c r="F172">
        <v>39342933.299999997</v>
      </c>
      <c r="G172">
        <v>0.2334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0.24664602683178558</v>
      </c>
      <c r="Q172">
        <f t="shared" ref="Q172" si="836">F172*P172</f>
        <v>9703778.1823529489</v>
      </c>
      <c r="R172">
        <f t="shared" ref="R172" si="837">R173+Q172</f>
        <v>-202204971.25053233</v>
      </c>
      <c r="S172">
        <f t="shared" ref="S172" si="838">R172/100000</f>
        <v>-2022.0497125053232</v>
      </c>
      <c r="T172">
        <f t="shared" ref="T172" si="839">S172/1000</f>
        <v>-2.0220497125053232</v>
      </c>
    </row>
    <row r="173" spans="1:20" x14ac:dyDescent="0.25">
      <c r="A173" s="5">
        <v>44420</v>
      </c>
      <c r="B173">
        <v>0.20977000000000001</v>
      </c>
      <c r="C173">
        <v>0.23178000000000001</v>
      </c>
      <c r="D173">
        <v>0.20096</v>
      </c>
      <c r="E173">
        <v>0.22885</v>
      </c>
      <c r="F173">
        <v>40756430.399999999</v>
      </c>
      <c r="G173">
        <v>0.22885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0.80986372485398994</v>
      </c>
      <c r="Q173">
        <f t="shared" ref="Q173" si="841">F173*P173</f>
        <v>33007154.535496391</v>
      </c>
      <c r="R173">
        <f t="shared" ref="R173" si="842">R174+Q173</f>
        <v>-211908749.43288529</v>
      </c>
      <c r="S173">
        <f t="shared" ref="S173" si="843">R173/100000</f>
        <v>-2119.0874943288527</v>
      </c>
      <c r="T173">
        <f t="shared" ref="T173" si="844">S173/1000</f>
        <v>-2.1190874943288529</v>
      </c>
    </row>
    <row r="174" spans="1:20" x14ac:dyDescent="0.25">
      <c r="A174" s="5">
        <v>44419</v>
      </c>
      <c r="B174">
        <v>0.19800999999999999</v>
      </c>
      <c r="C174">
        <v>0.22877</v>
      </c>
      <c r="D174">
        <v>0.19800999999999999</v>
      </c>
      <c r="E174">
        <v>0.20995</v>
      </c>
      <c r="F174">
        <v>48257321</v>
      </c>
      <c r="G174">
        <v>0.20995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-0.22366710013003885</v>
      </c>
      <c r="Q174">
        <f t="shared" ref="Q174" si="846">F174*P174</f>
        <v>-10793575.048114426</v>
      </c>
      <c r="R174">
        <f t="shared" ref="R174" si="847">R175+Q174</f>
        <v>-244915903.96838167</v>
      </c>
      <c r="S174">
        <f t="shared" ref="S174" si="848">R174/100000</f>
        <v>-2449.1590396838169</v>
      </c>
      <c r="T174">
        <f t="shared" ref="T174" si="849">S174/1000</f>
        <v>-2.449159039683817</v>
      </c>
    </row>
    <row r="175" spans="1:20" x14ac:dyDescent="0.25">
      <c r="A175" s="5">
        <v>44418</v>
      </c>
      <c r="B175">
        <v>0.19109999999999999</v>
      </c>
      <c r="C175">
        <v>0.20705000000000001</v>
      </c>
      <c r="D175">
        <v>0.18662000000000001</v>
      </c>
      <c r="E175">
        <v>0.19769999999999999</v>
      </c>
      <c r="F175">
        <v>55728383.5</v>
      </c>
      <c r="G175">
        <v>0.19769999999999999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8.4679393049434823E-2</v>
      </c>
      <c r="Q175">
        <f t="shared" ref="Q175" si="851">F175*P175</f>
        <v>4719045.6904061381</v>
      </c>
      <c r="R175">
        <f t="shared" ref="R175" si="852">R176+Q175</f>
        <v>-234122328.92026725</v>
      </c>
      <c r="S175">
        <f t="shared" ref="S175" si="853">R175/100000</f>
        <v>-2341.2232892026727</v>
      </c>
      <c r="T175">
        <f t="shared" ref="T175" si="854">S175/1000</f>
        <v>-2.3412232892026728</v>
      </c>
    </row>
    <row r="176" spans="1:20" x14ac:dyDescent="0.25">
      <c r="A176" s="5">
        <v>44417</v>
      </c>
      <c r="B176">
        <v>0.17782999999999999</v>
      </c>
      <c r="C176">
        <v>0.19389999999999999</v>
      </c>
      <c r="D176">
        <v>0.17135</v>
      </c>
      <c r="E176">
        <v>0.19109999999999999</v>
      </c>
      <c r="F176">
        <v>31735198.399999999</v>
      </c>
      <c r="G176">
        <v>0.19109999999999999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0.75166297117516645</v>
      </c>
      <c r="Q176">
        <f t="shared" ref="Q176" si="856">F176*P176</f>
        <v>23854173.520177387</v>
      </c>
      <c r="R176">
        <f t="shared" ref="R176" si="857">R177+Q176</f>
        <v>-238841374.6106734</v>
      </c>
      <c r="S176">
        <f t="shared" ref="S176" si="858">R176/100000</f>
        <v>-2388.4137461067339</v>
      </c>
      <c r="T176">
        <f t="shared" ref="T176" si="859">S176/1000</f>
        <v>-2.3884137461067341</v>
      </c>
    </row>
    <row r="177" spans="1:20" x14ac:dyDescent="0.25">
      <c r="A177" s="5">
        <v>44416</v>
      </c>
      <c r="B177">
        <v>0.19305</v>
      </c>
      <c r="C177">
        <v>0.19464999999999999</v>
      </c>
      <c r="D177">
        <v>0.17485999999999999</v>
      </c>
      <c r="E177">
        <v>0.17784</v>
      </c>
      <c r="F177">
        <v>16770642.800000001</v>
      </c>
      <c r="G177">
        <v>0.17784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-0.69883779686710357</v>
      </c>
      <c r="Q177">
        <f t="shared" ref="Q177" si="861">F177*P177</f>
        <v>-11719959.066397153</v>
      </c>
      <c r="R177">
        <f t="shared" ref="R177" si="862">R178+Q177</f>
        <v>-262695548.13085079</v>
      </c>
      <c r="S177">
        <f t="shared" ref="S177" si="863">R177/100000</f>
        <v>-2626.9554813085078</v>
      </c>
      <c r="T177">
        <f t="shared" ref="T177" si="864">S177/1000</f>
        <v>-2.6269554813085079</v>
      </c>
    </row>
    <row r="178" spans="1:20" x14ac:dyDescent="0.25">
      <c r="A178" s="5">
        <v>44415</v>
      </c>
      <c r="B178">
        <v>0.18812000000000001</v>
      </c>
      <c r="C178">
        <v>0.20122000000000001</v>
      </c>
      <c r="D178">
        <v>0.18265000000000001</v>
      </c>
      <c r="E178">
        <v>0.19325000000000001</v>
      </c>
      <c r="F178">
        <v>28735996.399999999</v>
      </c>
      <c r="G178">
        <v>0.19325000000000001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0.14162627894453381</v>
      </c>
      <c r="Q178">
        <f t="shared" ref="Q178" si="866">F178*P178</f>
        <v>4069772.2418955192</v>
      </c>
      <c r="R178">
        <f t="shared" ref="R178" si="867">R179+Q178</f>
        <v>-250975589.06445363</v>
      </c>
      <c r="S178">
        <f t="shared" ref="S178" si="868">R178/100000</f>
        <v>-2509.7558906445365</v>
      </c>
      <c r="T178">
        <f t="shared" ref="T178" si="869">S178/1000</f>
        <v>-2.5097558906445365</v>
      </c>
    </row>
    <row r="179" spans="1:20" x14ac:dyDescent="0.25">
      <c r="A179" s="5">
        <v>44414</v>
      </c>
      <c r="B179">
        <v>0.18378</v>
      </c>
      <c r="C179">
        <v>0.19550999999999999</v>
      </c>
      <c r="D179">
        <v>0.17931</v>
      </c>
      <c r="E179">
        <v>0.18812000000000001</v>
      </c>
      <c r="F179">
        <v>25937602.100000001</v>
      </c>
      <c r="G179">
        <v>0.18812000000000001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8.7654320987656353E-2</v>
      </c>
      <c r="Q179">
        <f t="shared" ref="Q179" si="871">F179*P179</f>
        <v>2273542.9001235096</v>
      </c>
      <c r="R179">
        <f t="shared" ref="R179" si="872">R180+Q179</f>
        <v>-255045361.30634916</v>
      </c>
      <c r="S179">
        <f t="shared" ref="S179" si="873">R179/100000</f>
        <v>-2550.4536130634915</v>
      </c>
      <c r="T179">
        <f t="shared" ref="T179" si="874">S179/1000</f>
        <v>-2.5504536130634916</v>
      </c>
    </row>
    <row r="180" spans="1:20" x14ac:dyDescent="0.25">
      <c r="A180" s="5">
        <v>44413</v>
      </c>
      <c r="B180">
        <v>0.17347000000000001</v>
      </c>
      <c r="C180">
        <v>0.1857</v>
      </c>
      <c r="D180">
        <v>0.16972999999999999</v>
      </c>
      <c r="E180">
        <v>0.18343000000000001</v>
      </c>
      <c r="F180">
        <v>26507777.300000001</v>
      </c>
      <c r="G180">
        <v>0.18343000000000001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0.7157169693174712</v>
      </c>
      <c r="Q180">
        <f t="shared" ref="Q180" si="876">F180*P180</f>
        <v>18972066.03249846</v>
      </c>
      <c r="R180">
        <f t="shared" ref="R180" si="877">R181+Q180</f>
        <v>-257318904.20647267</v>
      </c>
      <c r="S180">
        <f t="shared" ref="S180" si="878">R180/100000</f>
        <v>-2573.1890420647264</v>
      </c>
      <c r="T180">
        <f t="shared" ref="T180" si="879">S180/1000</f>
        <v>-2.5731890420647265</v>
      </c>
    </row>
    <row r="181" spans="1:20" x14ac:dyDescent="0.25">
      <c r="A181" s="5">
        <v>44412</v>
      </c>
      <c r="B181">
        <v>0.17197999999999999</v>
      </c>
      <c r="C181">
        <v>0.18084</v>
      </c>
      <c r="D181">
        <v>0.16768</v>
      </c>
      <c r="E181">
        <v>0.17335999999999999</v>
      </c>
      <c r="F181">
        <v>25896662.899999999</v>
      </c>
      <c r="G181">
        <v>0.17335999999999999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-0.13677811550152152</v>
      </c>
      <c r="Q181">
        <f t="shared" ref="Q181" si="881">F181*P181</f>
        <v>-3542096.749240167</v>
      </c>
      <c r="R181">
        <f t="shared" ref="R181" si="882">R182+Q181</f>
        <v>-276290970.23897111</v>
      </c>
      <c r="S181">
        <f t="shared" ref="S181" si="883">R181/100000</f>
        <v>-2762.9097023897111</v>
      </c>
      <c r="T181">
        <f t="shared" ref="T181" si="884">S181/1000</f>
        <v>-2.7629097023897113</v>
      </c>
    </row>
    <row r="182" spans="1:20" x14ac:dyDescent="0.25">
      <c r="A182" s="5">
        <v>44411</v>
      </c>
      <c r="B182">
        <v>0.17086999999999999</v>
      </c>
      <c r="C182">
        <v>0.17433000000000001</v>
      </c>
      <c r="D182">
        <v>0.15762999999999999</v>
      </c>
      <c r="E182">
        <v>0.17182</v>
      </c>
      <c r="F182">
        <v>23283469.600000001</v>
      </c>
      <c r="G182">
        <v>0.17182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0.69940119760478936</v>
      </c>
      <c r="Q182">
        <f t="shared" ref="Q182" si="886">F182*P182</f>
        <v>16284486.522634707</v>
      </c>
      <c r="R182">
        <f t="shared" ref="R182" si="887">R183+Q182</f>
        <v>-272748873.48973095</v>
      </c>
      <c r="S182">
        <f t="shared" ref="S182" si="888">R182/100000</f>
        <v>-2727.4887348973098</v>
      </c>
      <c r="T182">
        <f t="shared" ref="T182" si="889">S182/1000</f>
        <v>-2.7274887348973098</v>
      </c>
    </row>
    <row r="183" spans="1:20" x14ac:dyDescent="0.25">
      <c r="A183" s="5">
        <v>44410</v>
      </c>
      <c r="B183">
        <v>0.16500000000000001</v>
      </c>
      <c r="C183">
        <v>0.17488999999999999</v>
      </c>
      <c r="D183">
        <v>0.16209999999999999</v>
      </c>
      <c r="E183">
        <v>0.17091000000000001</v>
      </c>
      <c r="F183">
        <v>24522048.600000001</v>
      </c>
      <c r="G183">
        <v>0.17091000000000001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0.37763878029710951</v>
      </c>
      <c r="Q183">
        <f t="shared" ref="Q183" si="891">F183*P183</f>
        <v>9260476.5236904416</v>
      </c>
      <c r="R183">
        <f t="shared" ref="R183" si="892">R184+Q183</f>
        <v>-289033360.01236564</v>
      </c>
      <c r="S183">
        <f t="shared" ref="S183" si="893">R183/100000</f>
        <v>-2890.3336001236562</v>
      </c>
      <c r="T183">
        <f t="shared" ref="T183" si="894">S183/1000</f>
        <v>-2.8903336001236561</v>
      </c>
    </row>
    <row r="184" spans="1:20" x14ac:dyDescent="0.25">
      <c r="A184" s="5">
        <v>44409</v>
      </c>
      <c r="B184">
        <v>0.17194000000000001</v>
      </c>
      <c r="C184">
        <v>0.18806999999999999</v>
      </c>
      <c r="D184">
        <v>0.15925</v>
      </c>
      <c r="E184">
        <v>0.16500000000000001</v>
      </c>
      <c r="F184">
        <v>52886733.700000003</v>
      </c>
      <c r="G184">
        <v>0.16500000000000001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-0.60097154753643245</v>
      </c>
      <c r="Q184">
        <f t="shared" ref="Q184" si="896">F184*P184</f>
        <v>-31783422.195836198</v>
      </c>
      <c r="R184">
        <f t="shared" ref="R184" si="897">R185+Q184</f>
        <v>-298293836.5360561</v>
      </c>
      <c r="S184">
        <f t="shared" ref="S184" si="898">R184/100000</f>
        <v>-2982.938365360561</v>
      </c>
      <c r="T184">
        <f t="shared" ref="T184" si="899">S184/1000</f>
        <v>-2.9829383653605608</v>
      </c>
    </row>
    <row r="185" spans="1:20" x14ac:dyDescent="0.25">
      <c r="A185" s="5">
        <v>44408</v>
      </c>
      <c r="B185">
        <v>0.16755</v>
      </c>
      <c r="C185">
        <v>0.1767</v>
      </c>
      <c r="D185">
        <v>0.16084999999999999</v>
      </c>
      <c r="E185">
        <v>0.17152999999999999</v>
      </c>
      <c r="F185">
        <v>25497869.100000001</v>
      </c>
      <c r="G185">
        <v>0.17152999999999999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0.34763406940063002</v>
      </c>
      <c r="Q185">
        <f t="shared" ref="Q185" si="901">F185*P185</f>
        <v>8863927.99627758</v>
      </c>
      <c r="R185">
        <f t="shared" ref="R185" si="902">R186+Q185</f>
        <v>-266510414.34021991</v>
      </c>
      <c r="S185">
        <f t="shared" ref="S185" si="903">R185/100000</f>
        <v>-2665.104143402199</v>
      </c>
      <c r="T185">
        <f t="shared" ref="T185" si="904">S185/1000</f>
        <v>-2.6651041434021989</v>
      </c>
    </row>
    <row r="186" spans="1:20" x14ac:dyDescent="0.25">
      <c r="A186" s="5">
        <v>44407</v>
      </c>
      <c r="B186">
        <v>0.16361999999999999</v>
      </c>
      <c r="C186">
        <v>0.16894999999999999</v>
      </c>
      <c r="D186">
        <v>0.15409999999999999</v>
      </c>
      <c r="E186">
        <v>0.16711000000000001</v>
      </c>
      <c r="F186">
        <v>21933007.399999999</v>
      </c>
      <c r="G186">
        <v>0.16711000000000001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0.75218855218855485</v>
      </c>
      <c r="Q186">
        <f t="shared" ref="Q186" si="906">F186*P186</f>
        <v>16497757.081346858</v>
      </c>
      <c r="R186">
        <f t="shared" ref="R186" si="907">R187+Q186</f>
        <v>-275374342.33649749</v>
      </c>
      <c r="S186">
        <f t="shared" ref="S186" si="908">R186/100000</f>
        <v>-2753.7434233649747</v>
      </c>
      <c r="T186">
        <f t="shared" ref="T186" si="909">S186/1000</f>
        <v>-2.7537434233649747</v>
      </c>
    </row>
    <row r="187" spans="1:20" x14ac:dyDescent="0.25">
      <c r="A187" s="5">
        <v>44406</v>
      </c>
      <c r="B187">
        <v>0.15844</v>
      </c>
      <c r="C187">
        <v>0.16531000000000001</v>
      </c>
      <c r="D187">
        <v>0.15318000000000001</v>
      </c>
      <c r="E187">
        <v>0.16364999999999999</v>
      </c>
      <c r="F187">
        <v>35846633.299999997</v>
      </c>
      <c r="G187">
        <v>0.16364999999999999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0.72629843363561053</v>
      </c>
      <c r="Q187">
        <f t="shared" ref="Q187" si="911">F187*P187</f>
        <v>26035353.616900112</v>
      </c>
      <c r="R187">
        <f t="shared" ref="R187" si="912">R188+Q187</f>
        <v>-291872099.41784436</v>
      </c>
      <c r="S187">
        <f t="shared" ref="S187" si="913">R187/100000</f>
        <v>-2918.7209941784436</v>
      </c>
      <c r="T187">
        <f t="shared" ref="T187" si="914">S187/1000</f>
        <v>-2.9187209941784436</v>
      </c>
    </row>
    <row r="188" spans="1:20" x14ac:dyDescent="0.25">
      <c r="A188" s="5">
        <v>44405</v>
      </c>
      <c r="B188">
        <v>0.15443000000000001</v>
      </c>
      <c r="C188">
        <v>0.16561000000000001</v>
      </c>
      <c r="D188">
        <v>0.15062999999999999</v>
      </c>
      <c r="E188">
        <v>0.15837999999999999</v>
      </c>
      <c r="F188">
        <v>34910439.100000001</v>
      </c>
      <c r="G188">
        <v>0.15837999999999999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3.4712950600800534E-2</v>
      </c>
      <c r="Q188">
        <f t="shared" ref="Q188" si="916">F188*P188</f>
        <v>1211844.3479305555</v>
      </c>
      <c r="R188">
        <f t="shared" ref="R188" si="917">R189+Q188</f>
        <v>-317907453.03474444</v>
      </c>
      <c r="S188">
        <f t="shared" ref="S188" si="918">R188/100000</f>
        <v>-3179.0745303474446</v>
      </c>
      <c r="T188">
        <f t="shared" ref="T188" si="919">S188/1000</f>
        <v>-3.1790745303474446</v>
      </c>
    </row>
    <row r="189" spans="1:20" x14ac:dyDescent="0.25">
      <c r="A189" s="5">
        <v>44404</v>
      </c>
      <c r="B189">
        <v>0.14851</v>
      </c>
      <c r="C189">
        <v>0.15978999999999999</v>
      </c>
      <c r="D189">
        <v>0.14327999999999999</v>
      </c>
      <c r="E189">
        <v>0.1545</v>
      </c>
      <c r="F189">
        <v>35407458.600000001</v>
      </c>
      <c r="G189">
        <v>0.1545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0.3591762568140533</v>
      </c>
      <c r="Q189">
        <f t="shared" ref="Q189" si="921">F189*P189</f>
        <v>12717518.44324656</v>
      </c>
      <c r="R189">
        <f t="shared" ref="R189" si="922">R190+Q189</f>
        <v>-319119297.38267499</v>
      </c>
      <c r="S189">
        <f t="shared" ref="S189" si="923">R189/100000</f>
        <v>-3191.1929738267499</v>
      </c>
      <c r="T189">
        <f t="shared" ref="T189" si="924">S189/1000</f>
        <v>-3.1911929738267499</v>
      </c>
    </row>
    <row r="190" spans="1:20" x14ac:dyDescent="0.25">
      <c r="A190" s="5">
        <v>44403</v>
      </c>
      <c r="B190">
        <v>0.14652000000000001</v>
      </c>
      <c r="C190">
        <v>0.17799999999999999</v>
      </c>
      <c r="D190">
        <v>0.14577000000000001</v>
      </c>
      <c r="E190">
        <v>0.14871000000000001</v>
      </c>
      <c r="F190">
        <v>85637383.799999997</v>
      </c>
      <c r="G190">
        <v>0.14871000000000001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-0.81756127831213155</v>
      </c>
      <c r="Q190">
        <f t="shared" ref="Q190" si="926">F190*P190</f>
        <v>-70013808.970834628</v>
      </c>
      <c r="R190">
        <f t="shared" ref="R190" si="927">R191+Q190</f>
        <v>-331836815.82592154</v>
      </c>
      <c r="S190">
        <f t="shared" ref="S190" si="928">R190/100000</f>
        <v>-3318.3681582592153</v>
      </c>
      <c r="T190">
        <f t="shared" ref="T190" si="929">S190/1000</f>
        <v>-3.3183681582592155</v>
      </c>
    </row>
    <row r="191" spans="1:20" x14ac:dyDescent="0.25">
      <c r="A191" s="5">
        <v>44402</v>
      </c>
      <c r="B191">
        <v>0.14924999999999999</v>
      </c>
      <c r="C191">
        <v>0.1535</v>
      </c>
      <c r="D191">
        <v>0.14232</v>
      </c>
      <c r="E191">
        <v>0.14652999999999999</v>
      </c>
      <c r="F191">
        <v>37180264.600000001</v>
      </c>
      <c r="G191">
        <v>0.14652999999999999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-0.24686940966010854</v>
      </c>
      <c r="Q191">
        <f t="shared" ref="Q191" si="931">F191*P191</f>
        <v>-9178669.9728086311</v>
      </c>
      <c r="R191">
        <f t="shared" ref="R191" si="932">R192+Q191</f>
        <v>-261823006.85508689</v>
      </c>
      <c r="S191">
        <f t="shared" ref="S191" si="933">R191/100000</f>
        <v>-2618.230068550869</v>
      </c>
      <c r="T191">
        <f t="shared" ref="T191:T197" si="934">S191/1000</f>
        <v>-2.618230068550869</v>
      </c>
    </row>
    <row r="192" spans="1:20" x14ac:dyDescent="0.25">
      <c r="A192" s="5">
        <v>44401</v>
      </c>
      <c r="B192">
        <v>0.15049000000000001</v>
      </c>
      <c r="C192">
        <v>0.16200000000000001</v>
      </c>
      <c r="D192">
        <v>0.14724999999999999</v>
      </c>
      <c r="E192">
        <v>0.14923</v>
      </c>
      <c r="F192">
        <v>52820879.200000003</v>
      </c>
      <c r="G192">
        <v>0.14923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-0.73152542372881246</v>
      </c>
      <c r="Q192">
        <f t="shared" ref="Q192" si="936">F192*P192</f>
        <v>-38639816.038508415</v>
      </c>
      <c r="R192">
        <f t="shared" ref="R192" si="937">R193+Q192</f>
        <v>-252644336.88227826</v>
      </c>
      <c r="S192">
        <f t="shared" ref="S192" si="938">R192/100000</f>
        <v>-2526.4433688227828</v>
      </c>
      <c r="T192">
        <f t="shared" si="934"/>
        <v>-2.526443368822783</v>
      </c>
    </row>
    <row r="193" spans="1:20" x14ac:dyDescent="0.25">
      <c r="A193" s="5">
        <v>44400</v>
      </c>
      <c r="B193">
        <v>0.13794000000000001</v>
      </c>
      <c r="C193">
        <v>0.15648999999999999</v>
      </c>
      <c r="D193">
        <v>0.13522000000000001</v>
      </c>
      <c r="E193">
        <v>0.15024999999999999</v>
      </c>
      <c r="F193">
        <v>69564073.400000006</v>
      </c>
      <c r="G193">
        <v>0.15024999999999999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0.41325811001410434</v>
      </c>
      <c r="Q193">
        <f t="shared" ref="Q193" si="940">F193*P193</f>
        <v>28747917.498166431</v>
      </c>
      <c r="R193">
        <f t="shared" ref="R193" si="941">R194+Q193</f>
        <v>-214004520.84376985</v>
      </c>
      <c r="S193">
        <f t="shared" ref="S193" si="942">R193/100000</f>
        <v>-2140.0452084376984</v>
      </c>
      <c r="T193">
        <f t="shared" si="934"/>
        <v>-2.1400452084376984</v>
      </c>
    </row>
    <row r="194" spans="1:20" x14ac:dyDescent="0.25">
      <c r="A194" s="5">
        <v>44399</v>
      </c>
      <c r="B194">
        <v>0.12837999999999999</v>
      </c>
      <c r="C194">
        <v>0.14394999999999999</v>
      </c>
      <c r="D194">
        <v>0.12640999999999999</v>
      </c>
      <c r="E194">
        <v>0.13766</v>
      </c>
      <c r="F194">
        <v>36480168.299999997</v>
      </c>
      <c r="G194">
        <v>0.13766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0.28278221208666021</v>
      </c>
      <c r="Q194">
        <f t="shared" ref="Q194" si="944">F194*P194</f>
        <v>10315942.689167658</v>
      </c>
      <c r="R194">
        <f t="shared" ref="R194" si="945">R195+Q194</f>
        <v>-242752438.34193629</v>
      </c>
      <c r="S194">
        <f t="shared" ref="S194" si="946">R194/100000</f>
        <v>-2427.5243834193629</v>
      </c>
      <c r="T194">
        <f t="shared" si="934"/>
        <v>-2.4275243834193629</v>
      </c>
    </row>
    <row r="195" spans="1:20" x14ac:dyDescent="0.25">
      <c r="A195" s="5">
        <v>44398</v>
      </c>
      <c r="B195">
        <v>0.11737</v>
      </c>
      <c r="C195">
        <v>0.13278000000000001</v>
      </c>
      <c r="D195">
        <v>0.1135</v>
      </c>
      <c r="E195">
        <v>0.12851000000000001</v>
      </c>
      <c r="F195">
        <v>25319109.399999999</v>
      </c>
      <c r="G195">
        <v>0.12851000000000001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0.55705394190871427</v>
      </c>
      <c r="Q195">
        <f t="shared" ref="Q195" si="948">F195*P195</f>
        <v>14104109.696887981</v>
      </c>
      <c r="R195">
        <f t="shared" ref="R195" si="949">R196+Q195</f>
        <v>-253068381.03110394</v>
      </c>
      <c r="S195">
        <f t="shared" ref="S195" si="950">R195/100000</f>
        <v>-2530.6838103110395</v>
      </c>
      <c r="T195">
        <f t="shared" si="934"/>
        <v>-2.5306838103110394</v>
      </c>
    </row>
    <row r="196" spans="1:20" x14ac:dyDescent="0.25">
      <c r="A196" s="5">
        <v>44397</v>
      </c>
      <c r="B196">
        <v>0.12559000000000001</v>
      </c>
      <c r="C196">
        <v>0.12783</v>
      </c>
      <c r="D196">
        <v>0.1105</v>
      </c>
      <c r="E196">
        <v>0.1171</v>
      </c>
      <c r="F196">
        <v>22365570.899999999</v>
      </c>
      <c r="G196">
        <v>0.1171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-0.23831506058857524</v>
      </c>
      <c r="Q196">
        <f t="shared" ref="Q196" si="952">F196*P196</f>
        <v>-5330052.384131575</v>
      </c>
      <c r="R196">
        <f t="shared" ref="R196" si="953">R197+Q196</f>
        <v>-267172490.72799191</v>
      </c>
      <c r="S196">
        <f t="shared" ref="S196" si="954">R196/100000</f>
        <v>-2671.7249072799191</v>
      </c>
      <c r="T196">
        <f t="shared" si="934"/>
        <v>-2.671724907279919</v>
      </c>
    </row>
    <row r="197" spans="1:20" x14ac:dyDescent="0.25">
      <c r="A197" s="5">
        <v>44396</v>
      </c>
      <c r="B197">
        <v>0.13663</v>
      </c>
      <c r="C197">
        <v>0.13691999999999999</v>
      </c>
      <c r="D197">
        <v>0.12425</v>
      </c>
      <c r="E197">
        <v>0.12540999999999999</v>
      </c>
      <c r="F197">
        <v>21680936.199999999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-0.81689029202841423</v>
      </c>
      <c r="Q197">
        <f t="shared" ref="Q197" si="956">F197*P197</f>
        <v>-17710946.303867418</v>
      </c>
      <c r="R197">
        <f t="shared" ref="R197" si="957">R198+Q197</f>
        <v>-261842438.34386033</v>
      </c>
      <c r="S197">
        <f t="shared" ref="S197" si="958">R197/100000</f>
        <v>-2618.4243834386034</v>
      </c>
      <c r="T197">
        <f t="shared" si="934"/>
        <v>-2.6184243834386036</v>
      </c>
    </row>
    <row r="198" spans="1:20" x14ac:dyDescent="0.25">
      <c r="A198" s="5">
        <v>44395</v>
      </c>
      <c r="B198">
        <v>0.13181000000000001</v>
      </c>
      <c r="C198">
        <v>0.1409</v>
      </c>
      <c r="D198">
        <v>0.13116</v>
      </c>
      <c r="E198">
        <v>0.13649</v>
      </c>
      <c r="F198">
        <v>17344704.300000001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9.4455852156057937E-2</v>
      </c>
      <c r="Q198">
        <f t="shared" ref="Q198:Q261" si="960">F198*P198</f>
        <v>1638308.8250513424</v>
      </c>
      <c r="R198">
        <f t="shared" ref="R198:R261" si="961">R199+Q198</f>
        <v>-244131492.0399929</v>
      </c>
      <c r="S198">
        <f t="shared" ref="S198:S261" si="962">R198/100000</f>
        <v>-2441.3149203999292</v>
      </c>
      <c r="T198">
        <f t="shared" ref="T198:T261" si="963">S198/1000</f>
        <v>-2.4413149203999294</v>
      </c>
    </row>
    <row r="199" spans="1:20" x14ac:dyDescent="0.25">
      <c r="A199" s="5">
        <v>44394</v>
      </c>
      <c r="B199">
        <v>0.13239999999999999</v>
      </c>
      <c r="C199">
        <v>0.13850999999999999</v>
      </c>
      <c r="D199">
        <v>0.12977</v>
      </c>
      <c r="E199">
        <v>0.13181000000000001</v>
      </c>
      <c r="F199">
        <v>31497290.199999999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-0.53318077803203323</v>
      </c>
      <c r="Q199">
        <f t="shared" si="960"/>
        <v>-16793749.694736734</v>
      </c>
      <c r="R199">
        <f t="shared" si="961"/>
        <v>-245769800.86504424</v>
      </c>
      <c r="S199">
        <f t="shared" si="962"/>
        <v>-2457.6980086504423</v>
      </c>
      <c r="T199">
        <f t="shared" si="963"/>
        <v>-2.4576980086504423</v>
      </c>
    </row>
    <row r="200" spans="1:20" x14ac:dyDescent="0.25">
      <c r="A200" s="5">
        <v>44393</v>
      </c>
      <c r="B200">
        <v>0.14940999999999999</v>
      </c>
      <c r="C200">
        <v>0.15564</v>
      </c>
      <c r="D200">
        <v>0.13203000000000001</v>
      </c>
      <c r="E200">
        <v>0.13234000000000001</v>
      </c>
      <c r="F200">
        <v>39581107.5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-0.97373994070309156</v>
      </c>
      <c r="Q200">
        <f t="shared" si="960"/>
        <v>-38541705.270012692</v>
      </c>
      <c r="R200">
        <f t="shared" si="961"/>
        <v>-228976051.17030752</v>
      </c>
      <c r="S200">
        <f t="shared" si="962"/>
        <v>-2289.7605117030753</v>
      </c>
      <c r="T200">
        <f t="shared" si="963"/>
        <v>-2.2897605117030753</v>
      </c>
    </row>
    <row r="201" spans="1:20" x14ac:dyDescent="0.25">
      <c r="A201" s="5">
        <v>44392</v>
      </c>
      <c r="B201">
        <v>0.14133000000000001</v>
      </c>
      <c r="C201">
        <v>0.16830999999999999</v>
      </c>
      <c r="D201">
        <v>0.13827999999999999</v>
      </c>
      <c r="E201">
        <v>0.14940000000000001</v>
      </c>
      <c r="F201">
        <v>106026247</v>
      </c>
      <c r="G201">
        <v>0</v>
      </c>
      <c r="L201" t="s">
        <v>8</v>
      </c>
      <c r="M201" t="s">
        <v>8</v>
      </c>
      <c r="N201" t="s">
        <v>7</v>
      </c>
      <c r="P201">
        <f t="shared" si="959"/>
        <v>-0.25940725940725817</v>
      </c>
      <c r="Q201">
        <f t="shared" si="960"/>
        <v>-27503978.159507029</v>
      </c>
      <c r="R201">
        <f t="shared" si="961"/>
        <v>-190434345.90029484</v>
      </c>
      <c r="S201">
        <f t="shared" si="962"/>
        <v>-1904.3434590029483</v>
      </c>
      <c r="T201">
        <f t="shared" si="963"/>
        <v>-1.9043434590029482</v>
      </c>
    </row>
    <row r="202" spans="1:20" x14ac:dyDescent="0.25">
      <c r="A202" s="5">
        <v>44391</v>
      </c>
      <c r="B202">
        <v>0.13855999999999999</v>
      </c>
      <c r="C202">
        <v>0.14266999999999999</v>
      </c>
      <c r="D202">
        <v>0.12939999999999999</v>
      </c>
      <c r="E202">
        <v>0.14124</v>
      </c>
      <c r="F202">
        <v>20335626.800000001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0.78447626224566902</v>
      </c>
      <c r="Q202">
        <f t="shared" si="960"/>
        <v>15952816.502486855</v>
      </c>
      <c r="R202">
        <f t="shared" si="961"/>
        <v>-162930367.7407878</v>
      </c>
      <c r="S202">
        <f t="shared" si="962"/>
        <v>-1629.303677407878</v>
      </c>
      <c r="T202">
        <f t="shared" si="963"/>
        <v>-1.629303677407878</v>
      </c>
    </row>
    <row r="203" spans="1:20" x14ac:dyDescent="0.25">
      <c r="A203" s="5">
        <v>44390</v>
      </c>
      <c r="B203">
        <v>0.14413999999999999</v>
      </c>
      <c r="C203">
        <v>0.14729</v>
      </c>
      <c r="D203">
        <v>0.13636000000000001</v>
      </c>
      <c r="E203">
        <v>0.13850000000000001</v>
      </c>
      <c r="F203">
        <v>26002232.100000001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-0.60841720036596447</v>
      </c>
      <c r="Q203">
        <f t="shared" si="960"/>
        <v>-15820205.257548014</v>
      </c>
      <c r="R203">
        <f t="shared" si="961"/>
        <v>-178883184.24327466</v>
      </c>
      <c r="S203">
        <f t="shared" si="962"/>
        <v>-1788.8318424327465</v>
      </c>
      <c r="T203">
        <f t="shared" si="963"/>
        <v>-1.7888318424327465</v>
      </c>
    </row>
    <row r="204" spans="1:20" x14ac:dyDescent="0.25">
      <c r="A204" s="5">
        <v>44389</v>
      </c>
      <c r="B204">
        <v>0.14621999999999999</v>
      </c>
      <c r="C204">
        <v>0.14932000000000001</v>
      </c>
      <c r="D204">
        <v>0.14036000000000001</v>
      </c>
      <c r="E204">
        <v>0.14423</v>
      </c>
      <c r="F204">
        <v>29646701.699999999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-0.13616071428571733</v>
      </c>
      <c r="Q204">
        <f t="shared" si="960"/>
        <v>-4036716.0796875902</v>
      </c>
      <c r="R204">
        <f t="shared" si="961"/>
        <v>-163062978.98572665</v>
      </c>
      <c r="S204">
        <f t="shared" si="962"/>
        <v>-1630.6297898572666</v>
      </c>
      <c r="T204">
        <f t="shared" si="963"/>
        <v>-1.6306297898572666</v>
      </c>
    </row>
    <row r="205" spans="1:20" x14ac:dyDescent="0.25">
      <c r="A205" s="5">
        <v>44388</v>
      </c>
      <c r="B205">
        <v>0.14354</v>
      </c>
      <c r="C205">
        <v>0.15185999999999999</v>
      </c>
      <c r="D205">
        <v>0.14011000000000001</v>
      </c>
      <c r="E205">
        <v>0.14612</v>
      </c>
      <c r="F205">
        <v>35649270.200000003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2.2978723404254713E-2</v>
      </c>
      <c r="Q205">
        <f t="shared" si="960"/>
        <v>819174.71948934009</v>
      </c>
      <c r="R205">
        <f t="shared" si="961"/>
        <v>-159026262.90603906</v>
      </c>
      <c r="S205">
        <f t="shared" si="962"/>
        <v>-1590.2626290603905</v>
      </c>
      <c r="T205">
        <f t="shared" si="963"/>
        <v>-1.5902626290603905</v>
      </c>
    </row>
    <row r="206" spans="1:20" x14ac:dyDescent="0.25">
      <c r="A206" s="5">
        <v>44387</v>
      </c>
      <c r="B206">
        <v>0.14796999999999999</v>
      </c>
      <c r="C206">
        <v>0.15129999999999999</v>
      </c>
      <c r="D206">
        <v>0.13877</v>
      </c>
      <c r="E206">
        <v>0.14337</v>
      </c>
      <c r="F206">
        <v>26778468.800000001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-0.265762170790104</v>
      </c>
      <c r="Q206">
        <f t="shared" si="960"/>
        <v>-7116703.998723072</v>
      </c>
      <c r="R206">
        <f t="shared" si="961"/>
        <v>-159845437.6255284</v>
      </c>
      <c r="S206">
        <f t="shared" si="962"/>
        <v>-1598.4543762552839</v>
      </c>
      <c r="T206">
        <f t="shared" si="963"/>
        <v>-1.5984543762552839</v>
      </c>
    </row>
    <row r="207" spans="1:20" x14ac:dyDescent="0.25">
      <c r="A207" s="5">
        <v>44386</v>
      </c>
      <c r="B207">
        <v>0.14757999999999999</v>
      </c>
      <c r="C207">
        <v>0.15</v>
      </c>
      <c r="D207">
        <v>0.13805999999999999</v>
      </c>
      <c r="E207">
        <v>0.14781</v>
      </c>
      <c r="F207">
        <v>20983312.800000001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0.63316582914572928</v>
      </c>
      <c r="Q207">
        <f t="shared" si="960"/>
        <v>13285916.647236194</v>
      </c>
      <c r="R207">
        <f t="shared" si="961"/>
        <v>-152728733.62680534</v>
      </c>
      <c r="S207">
        <f t="shared" si="962"/>
        <v>-1527.2873362680534</v>
      </c>
      <c r="T207">
        <f t="shared" si="963"/>
        <v>-1.5272873362680535</v>
      </c>
    </row>
    <row r="208" spans="1:20" x14ac:dyDescent="0.25">
      <c r="A208" s="5">
        <v>44385</v>
      </c>
      <c r="B208">
        <v>0.16775999999999999</v>
      </c>
      <c r="C208">
        <v>0.16889999999999999</v>
      </c>
      <c r="D208">
        <v>0.14335999999999999</v>
      </c>
      <c r="E208">
        <v>0.14795</v>
      </c>
      <c r="F208">
        <v>38177751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-0.64056382145653801</v>
      </c>
      <c r="Q208">
        <f t="shared" si="960"/>
        <v>-24455286.075176165</v>
      </c>
      <c r="R208">
        <f t="shared" si="961"/>
        <v>-166014650.27404153</v>
      </c>
      <c r="S208">
        <f t="shared" si="962"/>
        <v>-1660.1465027404154</v>
      </c>
      <c r="T208">
        <f t="shared" si="963"/>
        <v>-1.6601465027404154</v>
      </c>
    </row>
    <row r="209" spans="1:20" x14ac:dyDescent="0.25">
      <c r="A209" s="5">
        <v>44384</v>
      </c>
      <c r="B209">
        <v>0.15557000000000001</v>
      </c>
      <c r="C209">
        <v>0.18146999999999999</v>
      </c>
      <c r="D209">
        <v>0.15367</v>
      </c>
      <c r="E209">
        <v>0.16769999999999999</v>
      </c>
      <c r="F209">
        <v>60677106.100000001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9.3525179856108823E-3</v>
      </c>
      <c r="Q209">
        <f t="shared" si="960"/>
        <v>567483.72611506982</v>
      </c>
      <c r="R209">
        <f t="shared" si="961"/>
        <v>-141559364.19886535</v>
      </c>
      <c r="S209">
        <f t="shared" si="962"/>
        <v>-1415.5936419886536</v>
      </c>
      <c r="T209">
        <f t="shared" si="963"/>
        <v>-1.4155936419886537</v>
      </c>
    </row>
    <row r="210" spans="1:20" x14ac:dyDescent="0.25">
      <c r="A210" s="5">
        <v>44383</v>
      </c>
      <c r="B210">
        <v>0.14715</v>
      </c>
      <c r="C210">
        <v>0.16</v>
      </c>
      <c r="D210">
        <v>0.14685999999999999</v>
      </c>
      <c r="E210">
        <v>0.15522</v>
      </c>
      <c r="F210">
        <v>33607307.399999999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0.27245053272450503</v>
      </c>
      <c r="Q210">
        <f t="shared" si="960"/>
        <v>9156328.804566199</v>
      </c>
      <c r="R210">
        <f t="shared" si="961"/>
        <v>-142126847.92498043</v>
      </c>
      <c r="S210">
        <f t="shared" si="962"/>
        <v>-1421.2684792498044</v>
      </c>
      <c r="T210">
        <f t="shared" si="963"/>
        <v>-1.4212684792498045</v>
      </c>
    </row>
    <row r="211" spans="1:20" x14ac:dyDescent="0.25">
      <c r="A211" s="5">
        <v>44382</v>
      </c>
      <c r="B211">
        <v>0.15098</v>
      </c>
      <c r="C211">
        <v>0.15204000000000001</v>
      </c>
      <c r="D211">
        <v>0.14027000000000001</v>
      </c>
      <c r="E211">
        <v>0.14712</v>
      </c>
      <c r="F211">
        <v>23129934.800000001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0.16397621070518156</v>
      </c>
      <c r="Q211">
        <f t="shared" si="960"/>
        <v>3792759.0623619119</v>
      </c>
      <c r="R211">
        <f t="shared" si="961"/>
        <v>-151283176.72954664</v>
      </c>
      <c r="S211">
        <f t="shared" si="962"/>
        <v>-1512.8317672954663</v>
      </c>
      <c r="T211">
        <f t="shared" si="963"/>
        <v>-1.5128317672954663</v>
      </c>
    </row>
    <row r="212" spans="1:20" x14ac:dyDescent="0.25">
      <c r="A212" s="5">
        <v>44381</v>
      </c>
      <c r="B212">
        <v>0.15364</v>
      </c>
      <c r="C212">
        <v>0.15989</v>
      </c>
      <c r="D212">
        <v>0.14838000000000001</v>
      </c>
      <c r="E212">
        <v>0.15106</v>
      </c>
      <c r="F212">
        <v>33386292.5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-0.53431798436142663</v>
      </c>
      <c r="Q212">
        <f t="shared" si="960"/>
        <v>-17838896.513901014</v>
      </c>
      <c r="R212">
        <f t="shared" si="961"/>
        <v>-155075935.79190856</v>
      </c>
      <c r="S212">
        <f t="shared" si="962"/>
        <v>-1550.7593579190857</v>
      </c>
      <c r="T212">
        <f t="shared" si="963"/>
        <v>-1.5507593579190857</v>
      </c>
    </row>
    <row r="213" spans="1:20" x14ac:dyDescent="0.25">
      <c r="A213" s="5">
        <v>44380</v>
      </c>
      <c r="B213">
        <v>0.13979</v>
      </c>
      <c r="C213">
        <v>0.15855</v>
      </c>
      <c r="D213">
        <v>0.13624</v>
      </c>
      <c r="E213">
        <v>0.15345</v>
      </c>
      <c r="F213">
        <v>47562773.700000003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0.54280591662931477</v>
      </c>
      <c r="Q213">
        <f t="shared" si="960"/>
        <v>25817354.975661166</v>
      </c>
      <c r="R213">
        <f t="shared" si="961"/>
        <v>-137237039.27800754</v>
      </c>
      <c r="S213">
        <f t="shared" si="962"/>
        <v>-1372.3703927800755</v>
      </c>
      <c r="T213">
        <f t="shared" si="963"/>
        <v>-1.3723703927800754</v>
      </c>
    </row>
    <row r="214" spans="1:20" x14ac:dyDescent="0.25">
      <c r="A214" s="5">
        <v>44379</v>
      </c>
      <c r="B214">
        <v>0.13779</v>
      </c>
      <c r="C214">
        <v>0.14384</v>
      </c>
      <c r="D214">
        <v>0.13031999999999999</v>
      </c>
      <c r="E214">
        <v>0.13979</v>
      </c>
      <c r="F214">
        <v>20170431.399999999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0.40088757396449753</v>
      </c>
      <c r="Q214">
        <f t="shared" si="960"/>
        <v>8086075.3097633226</v>
      </c>
      <c r="R214">
        <f t="shared" si="961"/>
        <v>-163054394.2536687</v>
      </c>
      <c r="S214">
        <f t="shared" si="962"/>
        <v>-1630.5439425366869</v>
      </c>
      <c r="T214">
        <f t="shared" si="963"/>
        <v>-1.630543942536687</v>
      </c>
    </row>
    <row r="215" spans="1:20" x14ac:dyDescent="0.25">
      <c r="A215" s="5">
        <v>44378</v>
      </c>
      <c r="B215">
        <v>0.14868999999999999</v>
      </c>
      <c r="C215">
        <v>0.15112</v>
      </c>
      <c r="D215">
        <v>0.13466</v>
      </c>
      <c r="E215">
        <v>0.13814000000000001</v>
      </c>
      <c r="F215">
        <v>20155347.199999999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-0.57715674362089786</v>
      </c>
      <c r="Q215">
        <f t="shared" si="960"/>
        <v>-11632794.556500582</v>
      </c>
      <c r="R215">
        <f t="shared" si="961"/>
        <v>-171140469.56343201</v>
      </c>
      <c r="S215">
        <f t="shared" si="962"/>
        <v>-1711.40469563432</v>
      </c>
      <c r="T215">
        <f t="shared" si="963"/>
        <v>-1.7114046956343201</v>
      </c>
    </row>
    <row r="216" spans="1:20" x14ac:dyDescent="0.25">
      <c r="A216" s="5">
        <v>44377</v>
      </c>
      <c r="B216">
        <v>0.15336</v>
      </c>
      <c r="C216">
        <v>0.158</v>
      </c>
      <c r="D216">
        <v>0.13808999999999999</v>
      </c>
      <c r="E216">
        <v>0.14843999999999999</v>
      </c>
      <c r="F216">
        <v>18916399.800000001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3.9678553490707417E-2</v>
      </c>
      <c r="Q216">
        <f t="shared" si="960"/>
        <v>750575.38131590711</v>
      </c>
      <c r="R216">
        <f t="shared" si="961"/>
        <v>-159507675.00693142</v>
      </c>
      <c r="S216">
        <f t="shared" si="962"/>
        <v>-1595.0767500693141</v>
      </c>
      <c r="T216">
        <f t="shared" si="963"/>
        <v>-1.5950767500693142</v>
      </c>
    </row>
    <row r="217" spans="1:20" x14ac:dyDescent="0.25">
      <c r="A217" s="5">
        <v>44376</v>
      </c>
      <c r="B217">
        <v>0.13994999999999999</v>
      </c>
      <c r="C217">
        <v>0.15515000000000001</v>
      </c>
      <c r="D217">
        <v>0.13821</v>
      </c>
      <c r="E217">
        <v>0.15347</v>
      </c>
      <c r="F217">
        <v>24056900.600000001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0.8016528925619818</v>
      </c>
      <c r="Q217">
        <f t="shared" si="960"/>
        <v>19285283.952066075</v>
      </c>
      <c r="R217">
        <f t="shared" si="961"/>
        <v>-160258250.38824734</v>
      </c>
      <c r="S217">
        <f t="shared" si="962"/>
        <v>-1602.5825038824735</v>
      </c>
      <c r="T217">
        <f t="shared" si="963"/>
        <v>-1.6025825038824735</v>
      </c>
    </row>
    <row r="218" spans="1:20" x14ac:dyDescent="0.25">
      <c r="A218" s="5">
        <v>44375</v>
      </c>
      <c r="B218">
        <v>0.13299</v>
      </c>
      <c r="C218">
        <v>0.1431</v>
      </c>
      <c r="D218">
        <v>0.13122</v>
      </c>
      <c r="E218">
        <v>0.13979</v>
      </c>
      <c r="F218">
        <v>21619258.699999999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0.44276094276094158</v>
      </c>
      <c r="Q218">
        <f t="shared" si="960"/>
        <v>9572163.3638046887</v>
      </c>
      <c r="R218">
        <f t="shared" si="961"/>
        <v>-179543534.3403134</v>
      </c>
      <c r="S218">
        <f t="shared" si="962"/>
        <v>-1795.4353434031341</v>
      </c>
      <c r="T218">
        <f t="shared" si="963"/>
        <v>-1.795435343403134</v>
      </c>
    </row>
    <row r="219" spans="1:20" x14ac:dyDescent="0.25">
      <c r="A219" s="5">
        <v>44374</v>
      </c>
      <c r="B219">
        <v>0.12720000000000001</v>
      </c>
      <c r="C219">
        <v>0.13420000000000001</v>
      </c>
      <c r="D219">
        <v>0.12148</v>
      </c>
      <c r="E219">
        <v>0.13225000000000001</v>
      </c>
      <c r="F219">
        <v>16209554.800000001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0.69339622641509346</v>
      </c>
      <c r="Q219">
        <f t="shared" si="960"/>
        <v>11239644.130188666</v>
      </c>
      <c r="R219">
        <f t="shared" si="961"/>
        <v>-189115697.7041181</v>
      </c>
      <c r="S219">
        <f t="shared" si="962"/>
        <v>-1891.1569770411811</v>
      </c>
      <c r="T219">
        <f t="shared" si="963"/>
        <v>-1.8911569770411811</v>
      </c>
    </row>
    <row r="220" spans="1:20" x14ac:dyDescent="0.25">
      <c r="A220" s="5">
        <v>44373</v>
      </c>
      <c r="B220">
        <v>0.12970000000000001</v>
      </c>
      <c r="C220">
        <v>0.13483000000000001</v>
      </c>
      <c r="D220">
        <v>0.12002</v>
      </c>
      <c r="E220">
        <v>0.12695000000000001</v>
      </c>
      <c r="F220">
        <v>19499481.899999999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-6.4145847400404604E-2</v>
      </c>
      <c r="Q220">
        <f t="shared" si="960"/>
        <v>-1250810.7903443514</v>
      </c>
      <c r="R220">
        <f t="shared" si="961"/>
        <v>-200355341.83430678</v>
      </c>
      <c r="S220">
        <f t="shared" si="962"/>
        <v>-2003.5534183430677</v>
      </c>
      <c r="T220">
        <f t="shared" si="963"/>
        <v>-2.0035534183430679</v>
      </c>
    </row>
    <row r="221" spans="1:20" x14ac:dyDescent="0.25">
      <c r="A221" s="5">
        <v>44372</v>
      </c>
      <c r="B221">
        <v>0.14473</v>
      </c>
      <c r="C221">
        <v>0.14868000000000001</v>
      </c>
      <c r="D221">
        <v>0.12648999999999999</v>
      </c>
      <c r="E221">
        <v>0.12984999999999999</v>
      </c>
      <c r="F221">
        <v>15751365.4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-0.69716088328075709</v>
      </c>
      <c r="Q221">
        <f t="shared" si="960"/>
        <v>-10981235.815141955</v>
      </c>
      <c r="R221">
        <f t="shared" si="961"/>
        <v>-199104531.04396242</v>
      </c>
      <c r="S221">
        <f t="shared" si="962"/>
        <v>-1991.0453104396242</v>
      </c>
      <c r="T221">
        <f t="shared" si="963"/>
        <v>-1.9910453104396242</v>
      </c>
    </row>
    <row r="222" spans="1:20" x14ac:dyDescent="0.25">
      <c r="A222" s="5">
        <v>44371</v>
      </c>
      <c r="B222">
        <v>0.13713</v>
      </c>
      <c r="C222">
        <v>0.15024000000000001</v>
      </c>
      <c r="D222">
        <v>0.12989999999999999</v>
      </c>
      <c r="E222">
        <v>0.14391000000000001</v>
      </c>
      <c r="F222">
        <v>16893849.399999999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0.37758112094395335</v>
      </c>
      <c r="Q222">
        <f t="shared" si="960"/>
        <v>6378798.5935103334</v>
      </c>
      <c r="R222">
        <f t="shared" si="961"/>
        <v>-188123295.22882047</v>
      </c>
      <c r="S222">
        <f t="shared" si="962"/>
        <v>-1881.2329522882048</v>
      </c>
      <c r="T222">
        <f t="shared" si="963"/>
        <v>-1.8812329522882048</v>
      </c>
    </row>
    <row r="223" spans="1:20" x14ac:dyDescent="0.25">
      <c r="A223" s="5">
        <v>44370</v>
      </c>
      <c r="B223">
        <v>0.12809000000000001</v>
      </c>
      <c r="C223">
        <v>0.14699999999999999</v>
      </c>
      <c r="D223">
        <v>0.12094000000000001</v>
      </c>
      <c r="E223">
        <v>0.13689999999999999</v>
      </c>
      <c r="F223">
        <v>21350845.800000001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0.22486569455103581</v>
      </c>
      <c r="Q223">
        <f t="shared" si="960"/>
        <v>4801072.7700690655</v>
      </c>
      <c r="R223">
        <f t="shared" si="961"/>
        <v>-194502093.8223308</v>
      </c>
      <c r="S223">
        <f t="shared" si="962"/>
        <v>-1945.0209382233081</v>
      </c>
      <c r="T223">
        <f t="shared" si="963"/>
        <v>-1.9450209382233081</v>
      </c>
    </row>
    <row r="224" spans="1:20" x14ac:dyDescent="0.25">
      <c r="A224" s="5">
        <v>44369</v>
      </c>
      <c r="B224">
        <v>0.13184999999999999</v>
      </c>
      <c r="C224">
        <v>0.14449000000000001</v>
      </c>
      <c r="D224">
        <v>0.10818999999999999</v>
      </c>
      <c r="E224">
        <v>0.12737000000000001</v>
      </c>
      <c r="F224">
        <v>30726487.399999999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5.6749311294766375E-2</v>
      </c>
      <c r="Q224">
        <f t="shared" si="960"/>
        <v>1743706.9984573165</v>
      </c>
      <c r="R224">
        <f t="shared" si="961"/>
        <v>-199303166.59239987</v>
      </c>
      <c r="S224">
        <f t="shared" si="962"/>
        <v>-1993.0316659239986</v>
      </c>
      <c r="T224">
        <f t="shared" si="963"/>
        <v>-1.9930316659239986</v>
      </c>
    </row>
    <row r="225" spans="1:20" x14ac:dyDescent="0.25">
      <c r="A225" s="5">
        <v>44368</v>
      </c>
      <c r="B225">
        <v>0.17341000000000001</v>
      </c>
      <c r="C225">
        <v>0.17502999999999999</v>
      </c>
      <c r="D225">
        <v>0.13136</v>
      </c>
      <c r="E225">
        <v>0.13264000000000001</v>
      </c>
      <c r="F225">
        <v>23588524.5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-0.94137852072360872</v>
      </c>
      <c r="Q225">
        <f t="shared" si="960"/>
        <v>-22205730.299862601</v>
      </c>
      <c r="R225">
        <f t="shared" si="961"/>
        <v>-201046873.59085718</v>
      </c>
      <c r="S225">
        <f t="shared" si="962"/>
        <v>-2010.4687359085717</v>
      </c>
      <c r="T225">
        <f t="shared" si="963"/>
        <v>-2.0104687359085718</v>
      </c>
    </row>
    <row r="226" spans="1:20" x14ac:dyDescent="0.25">
      <c r="A226" s="5">
        <v>44367</v>
      </c>
      <c r="B226">
        <v>0.17077000000000001</v>
      </c>
      <c r="C226">
        <v>0.17645</v>
      </c>
      <c r="D226">
        <v>0.15806000000000001</v>
      </c>
      <c r="E226">
        <v>0.17332</v>
      </c>
      <c r="F226">
        <v>16765526.199999999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0.65959760739532403</v>
      </c>
      <c r="Q226">
        <f t="shared" si="960"/>
        <v>11058500.968243618</v>
      </c>
      <c r="R226">
        <f t="shared" si="961"/>
        <v>-178841143.29099458</v>
      </c>
      <c r="S226">
        <f t="shared" si="962"/>
        <v>-1788.4114329099459</v>
      </c>
      <c r="T226">
        <f t="shared" si="963"/>
        <v>-1.7884114329099459</v>
      </c>
    </row>
    <row r="227" spans="1:20" x14ac:dyDescent="0.25">
      <c r="A227" s="5">
        <v>44366</v>
      </c>
      <c r="B227">
        <v>0.17637</v>
      </c>
      <c r="C227">
        <v>0.18045</v>
      </c>
      <c r="D227">
        <v>0.16994999999999999</v>
      </c>
      <c r="E227">
        <v>0.17102000000000001</v>
      </c>
      <c r="F227">
        <v>10468263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-0.79619047619047345</v>
      </c>
      <c r="Q227">
        <f t="shared" si="960"/>
        <v>-8334731.302857114</v>
      </c>
      <c r="R227">
        <f t="shared" si="961"/>
        <v>-189899644.25923821</v>
      </c>
      <c r="S227">
        <f t="shared" si="962"/>
        <v>-1898.9964425923822</v>
      </c>
      <c r="T227">
        <f t="shared" si="963"/>
        <v>-1.8989964425923822</v>
      </c>
    </row>
    <row r="228" spans="1:20" x14ac:dyDescent="0.25">
      <c r="A228" s="5">
        <v>44365</v>
      </c>
      <c r="B228">
        <v>0.18823000000000001</v>
      </c>
      <c r="C228">
        <v>0.18919</v>
      </c>
      <c r="D228">
        <v>0.16844999999999999</v>
      </c>
      <c r="E228">
        <v>0.17693</v>
      </c>
      <c r="F228">
        <v>21862676.800000001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-0.18225650916104033</v>
      </c>
      <c r="Q228">
        <f t="shared" si="960"/>
        <v>-3984615.1544840639</v>
      </c>
      <c r="R228">
        <f t="shared" si="961"/>
        <v>-181564912.95638111</v>
      </c>
      <c r="S228">
        <f t="shared" si="962"/>
        <v>-1815.6491295638111</v>
      </c>
      <c r="T228">
        <f t="shared" si="963"/>
        <v>-1.8156491295638111</v>
      </c>
    </row>
    <row r="229" spans="1:20" x14ac:dyDescent="0.25">
      <c r="A229" s="5">
        <v>44364</v>
      </c>
      <c r="B229">
        <v>0.20286999999999999</v>
      </c>
      <c r="C229">
        <v>0.21199000000000001</v>
      </c>
      <c r="D229">
        <v>0.18417</v>
      </c>
      <c r="E229">
        <v>0.18865000000000001</v>
      </c>
      <c r="F229">
        <v>39149698.899999999</v>
      </c>
      <c r="G229">
        <v>0</v>
      </c>
      <c r="L229" t="s">
        <v>7</v>
      </c>
      <c r="M229" t="s">
        <v>7</v>
      </c>
      <c r="N229" t="s">
        <v>8</v>
      </c>
      <c r="P229">
        <f t="shared" si="959"/>
        <v>-0.6779295470884249</v>
      </c>
      <c r="Q229">
        <f t="shared" si="960"/>
        <v>-26540737.643925205</v>
      </c>
      <c r="R229">
        <f t="shared" si="961"/>
        <v>-177580297.80189705</v>
      </c>
      <c r="S229">
        <f t="shared" si="962"/>
        <v>-1775.8029780189704</v>
      </c>
      <c r="T229">
        <f t="shared" si="963"/>
        <v>-1.7758029780189704</v>
      </c>
    </row>
    <row r="230" spans="1:20" x14ac:dyDescent="0.25">
      <c r="A230" s="5">
        <v>44363</v>
      </c>
      <c r="B230">
        <v>0.18443000000000001</v>
      </c>
      <c r="C230">
        <v>0.23400000000000001</v>
      </c>
      <c r="D230">
        <v>0.17904999999999999</v>
      </c>
      <c r="E230">
        <v>0.20286000000000001</v>
      </c>
      <c r="F230">
        <v>114579703</v>
      </c>
      <c r="G230">
        <v>0</v>
      </c>
      <c r="L230" t="s">
        <v>8</v>
      </c>
      <c r="M230" t="s">
        <v>8</v>
      </c>
      <c r="N230" t="s">
        <v>8</v>
      </c>
      <c r="P230">
        <f t="shared" si="959"/>
        <v>-0.13339399454049083</v>
      </c>
      <c r="Q230">
        <f t="shared" si="960"/>
        <v>-15284244.276433062</v>
      </c>
      <c r="R230">
        <f t="shared" si="961"/>
        <v>-151039560.15797186</v>
      </c>
      <c r="S230">
        <f t="shared" si="962"/>
        <v>-1510.3956015797187</v>
      </c>
      <c r="T230">
        <f t="shared" si="963"/>
        <v>-1.5103956015797186</v>
      </c>
    </row>
    <row r="231" spans="1:20" x14ac:dyDescent="0.25">
      <c r="A231" s="5">
        <v>44362</v>
      </c>
      <c r="B231">
        <v>0.18901000000000001</v>
      </c>
      <c r="C231">
        <v>0.19736999999999999</v>
      </c>
      <c r="D231">
        <v>0.18065999999999999</v>
      </c>
      <c r="E231">
        <v>0.18456</v>
      </c>
      <c r="F231">
        <v>17338342.899999999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-0.53321364452423536</v>
      </c>
      <c r="Q231">
        <f t="shared" si="960"/>
        <v>-9245041.0077198986</v>
      </c>
      <c r="R231">
        <f t="shared" si="961"/>
        <v>-135755315.88153881</v>
      </c>
      <c r="S231">
        <f t="shared" si="962"/>
        <v>-1357.5531588153881</v>
      </c>
      <c r="T231">
        <f t="shared" si="963"/>
        <v>-1.3575531588153882</v>
      </c>
    </row>
    <row r="232" spans="1:20" x14ac:dyDescent="0.25">
      <c r="A232" s="5">
        <v>44361</v>
      </c>
      <c r="B232">
        <v>0.17829</v>
      </c>
      <c r="C232">
        <v>0.2</v>
      </c>
      <c r="D232">
        <v>0.17544000000000001</v>
      </c>
      <c r="E232">
        <v>0.18926000000000001</v>
      </c>
      <c r="F232">
        <v>29907992.399999999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0.12540716612377847</v>
      </c>
      <c r="Q232">
        <f t="shared" si="960"/>
        <v>3750676.5713355038</v>
      </c>
      <c r="R232">
        <f t="shared" si="961"/>
        <v>-126510274.87381892</v>
      </c>
      <c r="S232">
        <f t="shared" si="962"/>
        <v>-1265.1027487381891</v>
      </c>
      <c r="T232">
        <f t="shared" si="963"/>
        <v>-1.2651027487381892</v>
      </c>
    </row>
    <row r="233" spans="1:20" x14ac:dyDescent="0.25">
      <c r="A233" s="5">
        <v>44360</v>
      </c>
      <c r="B233">
        <v>0.17138</v>
      </c>
      <c r="C233">
        <v>0.1822</v>
      </c>
      <c r="D233">
        <v>0.16389000000000001</v>
      </c>
      <c r="E233">
        <v>0.17857000000000001</v>
      </c>
      <c r="F233">
        <v>23585736.5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0.60349535772801799</v>
      </c>
      <c r="Q233">
        <f t="shared" si="960"/>
        <v>14233882.486346271</v>
      </c>
      <c r="R233">
        <f t="shared" si="961"/>
        <v>-130260951.44515443</v>
      </c>
      <c r="S233">
        <f t="shared" si="962"/>
        <v>-1302.6095144515443</v>
      </c>
      <c r="T233">
        <f t="shared" si="963"/>
        <v>-1.3026095144515444</v>
      </c>
    </row>
    <row r="234" spans="1:20" x14ac:dyDescent="0.25">
      <c r="A234" s="5">
        <v>44359</v>
      </c>
      <c r="B234">
        <v>0.17212</v>
      </c>
      <c r="C234">
        <v>0.18046999999999999</v>
      </c>
      <c r="D234">
        <v>0.1605</v>
      </c>
      <c r="E234">
        <v>0.17127999999999999</v>
      </c>
      <c r="F234">
        <v>23974367.100000001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7.9619429143714643E-2</v>
      </c>
      <c r="Q234">
        <f t="shared" si="960"/>
        <v>1908825.4225838536</v>
      </c>
      <c r="R234">
        <f t="shared" si="961"/>
        <v>-144494833.9315007</v>
      </c>
      <c r="S234">
        <f t="shared" si="962"/>
        <v>-1444.9483393150069</v>
      </c>
      <c r="T234">
        <f t="shared" si="963"/>
        <v>-1.4449483393150069</v>
      </c>
    </row>
    <row r="235" spans="1:20" x14ac:dyDescent="0.25">
      <c r="A235" s="5">
        <v>44358</v>
      </c>
      <c r="B235">
        <v>0.19198000000000001</v>
      </c>
      <c r="C235">
        <v>0.19603000000000001</v>
      </c>
      <c r="D235">
        <v>0.16736000000000001</v>
      </c>
      <c r="E235">
        <v>0.17205999999999999</v>
      </c>
      <c r="F235">
        <v>29728405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-0.67213114754098491</v>
      </c>
      <c r="Q235">
        <f t="shared" si="960"/>
        <v>-19981386.967213154</v>
      </c>
      <c r="R235">
        <f t="shared" si="961"/>
        <v>-146403659.35408455</v>
      </c>
      <c r="S235">
        <f t="shared" si="962"/>
        <v>-1464.0365935408456</v>
      </c>
      <c r="T235">
        <f t="shared" si="963"/>
        <v>-1.4640365935408457</v>
      </c>
    </row>
    <row r="236" spans="1:20" x14ac:dyDescent="0.25">
      <c r="A236" s="5">
        <v>44357</v>
      </c>
      <c r="B236">
        <v>0.20655000000000001</v>
      </c>
      <c r="C236">
        <v>0.2349</v>
      </c>
      <c r="D236">
        <v>0.19094</v>
      </c>
      <c r="E236">
        <v>0.19126000000000001</v>
      </c>
      <c r="F236">
        <v>95352262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-0.98544131028207393</v>
      </c>
      <c r="Q236">
        <f t="shared" si="960"/>
        <v>-93964058.003639609</v>
      </c>
      <c r="R236">
        <f t="shared" si="961"/>
        <v>-126422272.38687138</v>
      </c>
      <c r="S236">
        <f t="shared" si="962"/>
        <v>-1264.2227238687137</v>
      </c>
      <c r="T236">
        <f t="shared" si="963"/>
        <v>-1.2642227238687138</v>
      </c>
    </row>
    <row r="237" spans="1:20" x14ac:dyDescent="0.25">
      <c r="A237" s="5">
        <v>44356</v>
      </c>
      <c r="B237">
        <v>0.17483000000000001</v>
      </c>
      <c r="C237">
        <v>0.24</v>
      </c>
      <c r="D237">
        <v>0.16638</v>
      </c>
      <c r="E237">
        <v>0.20655000000000001</v>
      </c>
      <c r="F237">
        <v>101403316.5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9.1279543602282423E-2</v>
      </c>
      <c r="Q237">
        <f t="shared" si="960"/>
        <v>9256048.4498777948</v>
      </c>
      <c r="R237">
        <f t="shared" si="961"/>
        <v>-32458214.383231778</v>
      </c>
      <c r="S237">
        <f t="shared" si="962"/>
        <v>-324.5821438323178</v>
      </c>
      <c r="T237">
        <f t="shared" si="963"/>
        <v>-0.32458214383231782</v>
      </c>
    </row>
    <row r="238" spans="1:20" x14ac:dyDescent="0.25">
      <c r="A238" s="5">
        <v>44355</v>
      </c>
      <c r="B238">
        <v>0.17693999999999999</v>
      </c>
      <c r="C238">
        <v>0.18001</v>
      </c>
      <c r="D238">
        <v>0.15567</v>
      </c>
      <c r="E238">
        <v>0.17483000000000001</v>
      </c>
      <c r="F238">
        <v>24775343.199999999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0.5743631881676261</v>
      </c>
      <c r="Q238">
        <f t="shared" si="960"/>
        <v>14230045.108299116</v>
      </c>
      <c r="R238">
        <f t="shared" si="961"/>
        <v>-41714262.833109573</v>
      </c>
      <c r="S238">
        <f t="shared" si="962"/>
        <v>-417.14262833109575</v>
      </c>
      <c r="T238">
        <f t="shared" si="963"/>
        <v>-0.41714262833109578</v>
      </c>
    </row>
    <row r="239" spans="1:20" x14ac:dyDescent="0.25">
      <c r="A239" s="5">
        <v>44354</v>
      </c>
      <c r="B239">
        <v>0.19806000000000001</v>
      </c>
      <c r="C239">
        <v>0.21354999999999999</v>
      </c>
      <c r="D239">
        <v>0.17438000000000001</v>
      </c>
      <c r="E239">
        <v>0.17699000000000001</v>
      </c>
      <c r="F239">
        <v>23789759.100000001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-0.86673474597906552</v>
      </c>
      <c r="Q239">
        <f t="shared" si="960"/>
        <v>-20619410.810441665</v>
      </c>
      <c r="R239">
        <f t="shared" si="961"/>
        <v>-55944307.941408686</v>
      </c>
      <c r="S239">
        <f t="shared" si="962"/>
        <v>-559.44307941408681</v>
      </c>
      <c r="T239">
        <f t="shared" si="963"/>
        <v>-0.55944307941408677</v>
      </c>
    </row>
    <row r="240" spans="1:20" x14ac:dyDescent="0.25">
      <c r="A240" s="5">
        <v>44353</v>
      </c>
      <c r="B240">
        <v>0.19</v>
      </c>
      <c r="C240">
        <v>0.20276</v>
      </c>
      <c r="D240">
        <v>0.18842999999999999</v>
      </c>
      <c r="E240">
        <v>0.19808999999999999</v>
      </c>
      <c r="F240">
        <v>11582511.800000001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0.34822051639916196</v>
      </c>
      <c r="Q240">
        <f t="shared" si="960"/>
        <v>4033268.240195387</v>
      </c>
      <c r="R240">
        <f t="shared" si="961"/>
        <v>-35324897.130967021</v>
      </c>
      <c r="S240">
        <f t="shared" si="962"/>
        <v>-353.2489713096702</v>
      </c>
      <c r="T240">
        <f t="shared" si="963"/>
        <v>-0.3532489713096702</v>
      </c>
    </row>
    <row r="241" spans="1:20" x14ac:dyDescent="0.25">
      <c r="A241" s="5">
        <v>44352</v>
      </c>
      <c r="B241">
        <v>0.19946</v>
      </c>
      <c r="C241">
        <v>0.2135</v>
      </c>
      <c r="D241">
        <v>0.18468999999999999</v>
      </c>
      <c r="E241">
        <v>0.19</v>
      </c>
      <c r="F241">
        <v>17737899.800000001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-0.63137799375216874</v>
      </c>
      <c r="Q241">
        <f t="shared" si="960"/>
        <v>-11199319.589100996</v>
      </c>
      <c r="R241">
        <f t="shared" si="961"/>
        <v>-39358165.371162407</v>
      </c>
      <c r="S241">
        <f t="shared" si="962"/>
        <v>-393.58165371162409</v>
      </c>
      <c r="T241">
        <f t="shared" si="963"/>
        <v>-0.39358165371162407</v>
      </c>
    </row>
    <row r="242" spans="1:20" x14ac:dyDescent="0.25">
      <c r="A242" s="5">
        <v>44351</v>
      </c>
      <c r="B242">
        <v>0.22816</v>
      </c>
      <c r="C242">
        <v>0.22871</v>
      </c>
      <c r="D242">
        <v>0.18864</v>
      </c>
      <c r="E242">
        <v>0.20025000000000001</v>
      </c>
      <c r="F242">
        <v>24555913.199999999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-0.42051410032443171</v>
      </c>
      <c r="Q242">
        <f t="shared" si="960"/>
        <v>-10326107.746942837</v>
      </c>
      <c r="R242">
        <f t="shared" si="961"/>
        <v>-28158845.782061409</v>
      </c>
      <c r="S242">
        <f t="shared" si="962"/>
        <v>-281.58845782061411</v>
      </c>
      <c r="T242">
        <f t="shared" si="963"/>
        <v>-0.28158845782061409</v>
      </c>
    </row>
    <row r="243" spans="1:20" x14ac:dyDescent="0.25">
      <c r="A243" s="5">
        <v>44350</v>
      </c>
      <c r="B243">
        <v>0.21868000000000001</v>
      </c>
      <c r="C243">
        <v>0.2389</v>
      </c>
      <c r="D243">
        <v>0.21490999999999999</v>
      </c>
      <c r="E243">
        <v>0.22842999999999999</v>
      </c>
      <c r="F243">
        <v>28364213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0.12713630679449753</v>
      </c>
      <c r="Q243">
        <f t="shared" si="960"/>
        <v>3606121.2859524749</v>
      </c>
      <c r="R243">
        <f t="shared" si="961"/>
        <v>-17832738.035118572</v>
      </c>
      <c r="S243">
        <f t="shared" si="962"/>
        <v>-178.32738035118572</v>
      </c>
      <c r="T243">
        <f t="shared" si="963"/>
        <v>-0.17832738035118573</v>
      </c>
    </row>
    <row r="244" spans="1:20" x14ac:dyDescent="0.25">
      <c r="A244" s="5">
        <v>44349</v>
      </c>
      <c r="B244">
        <v>0.21251</v>
      </c>
      <c r="C244">
        <v>0.23427000000000001</v>
      </c>
      <c r="D244">
        <v>0.20322000000000001</v>
      </c>
      <c r="E244">
        <v>0.21881999999999999</v>
      </c>
      <c r="F244">
        <v>33740670.600000001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4.83091787439471E-3</v>
      </c>
      <c r="Q244">
        <f t="shared" si="960"/>
        <v>162998.4086956041</v>
      </c>
      <c r="R244">
        <f t="shared" si="961"/>
        <v>-21438859.321071047</v>
      </c>
      <c r="S244">
        <f t="shared" si="962"/>
        <v>-214.38859321071047</v>
      </c>
      <c r="T244">
        <f t="shared" si="963"/>
        <v>-0.21438859321071047</v>
      </c>
    </row>
    <row r="245" spans="1:20" x14ac:dyDescent="0.25">
      <c r="A245" s="5">
        <v>44348</v>
      </c>
      <c r="B245">
        <v>0.22341</v>
      </c>
      <c r="C245">
        <v>0.23899999999999999</v>
      </c>
      <c r="D245">
        <v>0.20599999999999999</v>
      </c>
      <c r="E245">
        <v>0.21187</v>
      </c>
      <c r="F245">
        <v>22075848.100000001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-0.64424242424242339</v>
      </c>
      <c r="Q245">
        <f t="shared" si="960"/>
        <v>-14222197.897151498</v>
      </c>
      <c r="R245">
        <f t="shared" si="961"/>
        <v>-21601857.729766652</v>
      </c>
      <c r="S245">
        <f t="shared" si="962"/>
        <v>-216.01857729766652</v>
      </c>
      <c r="T245">
        <f t="shared" si="963"/>
        <v>-0.21601857729766652</v>
      </c>
    </row>
    <row r="246" spans="1:20" x14ac:dyDescent="0.25">
      <c r="A246" s="5">
        <v>44347</v>
      </c>
      <c r="B246">
        <v>0.19991999999999999</v>
      </c>
      <c r="C246">
        <v>0.22389000000000001</v>
      </c>
      <c r="D246">
        <v>0.18670999999999999</v>
      </c>
      <c r="E246">
        <v>0.22331999999999999</v>
      </c>
      <c r="F246">
        <v>31125697.399999999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0.9693383539537378</v>
      </c>
      <c r="Q246">
        <f t="shared" si="960"/>
        <v>30171332.283378135</v>
      </c>
      <c r="R246">
        <f t="shared" si="961"/>
        <v>-7379659.8326151557</v>
      </c>
      <c r="S246">
        <f t="shared" si="962"/>
        <v>-73.796598326151553</v>
      </c>
      <c r="T246">
        <f t="shared" si="963"/>
        <v>-7.3796598326151555E-2</v>
      </c>
    </row>
    <row r="247" spans="1:20" x14ac:dyDescent="0.25">
      <c r="A247" s="5">
        <v>44346</v>
      </c>
      <c r="B247">
        <v>0.18933</v>
      </c>
      <c r="C247">
        <v>0.21607999999999999</v>
      </c>
      <c r="D247">
        <v>0.17602000000000001</v>
      </c>
      <c r="E247">
        <v>0.19999</v>
      </c>
      <c r="F247">
        <v>21628367.600000001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0.19670494258612084</v>
      </c>
      <c r="Q247">
        <f t="shared" si="960"/>
        <v>4254406.8069895161</v>
      </c>
      <c r="R247">
        <f t="shared" si="961"/>
        <v>-37550992.115993291</v>
      </c>
      <c r="S247">
        <f t="shared" si="962"/>
        <v>-375.5099211599329</v>
      </c>
      <c r="T247">
        <f t="shared" si="963"/>
        <v>-0.37550992115993292</v>
      </c>
    </row>
    <row r="248" spans="1:20" x14ac:dyDescent="0.25">
      <c r="A248" s="5">
        <v>44345</v>
      </c>
      <c r="B248">
        <v>0.19874</v>
      </c>
      <c r="C248">
        <v>0.218</v>
      </c>
      <c r="D248">
        <v>0.1757</v>
      </c>
      <c r="E248">
        <v>0.18845999999999999</v>
      </c>
      <c r="F248">
        <v>35373641.899999999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-0.39669030732860555</v>
      </c>
      <c r="Q248">
        <f t="shared" si="960"/>
        <v>-14032380.876643037</v>
      </c>
      <c r="R248">
        <f t="shared" si="961"/>
        <v>-41805398.922982804</v>
      </c>
      <c r="S248">
        <f t="shared" si="962"/>
        <v>-418.05398922982806</v>
      </c>
      <c r="T248">
        <f t="shared" si="963"/>
        <v>-0.41805398922982806</v>
      </c>
    </row>
    <row r="249" spans="1:20" x14ac:dyDescent="0.25">
      <c r="A249" s="5">
        <v>44344</v>
      </c>
      <c r="B249">
        <v>0.23066</v>
      </c>
      <c r="C249">
        <v>0.23493</v>
      </c>
      <c r="D249">
        <v>0.18776999999999999</v>
      </c>
      <c r="E249">
        <v>0.19903999999999999</v>
      </c>
      <c r="F249">
        <v>35500638.5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-0.5220525869380831</v>
      </c>
      <c r="Q249">
        <f t="shared" si="960"/>
        <v>-18533200.166878711</v>
      </c>
      <c r="R249">
        <f t="shared" si="961"/>
        <v>-27773018.046339769</v>
      </c>
      <c r="S249">
        <f t="shared" si="962"/>
        <v>-277.73018046339769</v>
      </c>
      <c r="T249">
        <f t="shared" si="963"/>
        <v>-0.2777301804633977</v>
      </c>
    </row>
    <row r="250" spans="1:20" x14ac:dyDescent="0.25">
      <c r="A250" s="5">
        <v>44343</v>
      </c>
      <c r="B250">
        <v>0.25169000000000002</v>
      </c>
      <c r="C250">
        <v>0.27</v>
      </c>
      <c r="D250">
        <v>0.22628000000000001</v>
      </c>
      <c r="E250">
        <v>0.23046</v>
      </c>
      <c r="F250">
        <v>67010919.700000003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-0.80878316559926855</v>
      </c>
      <c r="Q250">
        <f t="shared" si="960"/>
        <v>-54197303.764684387</v>
      </c>
      <c r="R250">
        <f t="shared" si="961"/>
        <v>-9239817.8794610575</v>
      </c>
      <c r="S250">
        <f t="shared" si="962"/>
        <v>-92.398178794610573</v>
      </c>
      <c r="T250">
        <f t="shared" si="963"/>
        <v>-9.2398178794610569E-2</v>
      </c>
    </row>
    <row r="251" spans="1:20" x14ac:dyDescent="0.25">
      <c r="A251" s="5">
        <v>44342</v>
      </c>
      <c r="B251">
        <v>0.18489</v>
      </c>
      <c r="C251">
        <v>0.28754999999999997</v>
      </c>
      <c r="D251">
        <v>0.17813000000000001</v>
      </c>
      <c r="E251">
        <v>0.25167</v>
      </c>
      <c r="F251">
        <v>298247579.39999998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0.34417839517455712</v>
      </c>
      <c r="Q251">
        <f t="shared" si="960"/>
        <v>102650373.2425883</v>
      </c>
      <c r="R251">
        <f t="shared" si="961"/>
        <v>44957485.885223329</v>
      </c>
      <c r="S251">
        <f t="shared" si="962"/>
        <v>449.57485885223326</v>
      </c>
      <c r="T251">
        <f t="shared" si="963"/>
        <v>0.44957485885223325</v>
      </c>
    </row>
    <row r="252" spans="1:20" x14ac:dyDescent="0.25">
      <c r="A252" s="5">
        <v>44341</v>
      </c>
      <c r="B252">
        <v>0.19752</v>
      </c>
      <c r="C252">
        <v>0.20649999999999999</v>
      </c>
      <c r="D252">
        <v>0.16675999999999999</v>
      </c>
      <c r="E252">
        <v>0.18428</v>
      </c>
      <c r="F252">
        <v>60154221.899999999</v>
      </c>
      <c r="G252">
        <v>0</v>
      </c>
      <c r="L252" t="s">
        <v>8</v>
      </c>
      <c r="M252" t="s">
        <v>7</v>
      </c>
      <c r="N252" t="s">
        <v>8</v>
      </c>
      <c r="P252">
        <f t="shared" si="959"/>
        <v>-0.11826874685455416</v>
      </c>
      <c r="Q252">
        <f t="shared" si="960"/>
        <v>-7114364.4421237772</v>
      </c>
      <c r="R252">
        <f t="shared" si="961"/>
        <v>-57692887.357364967</v>
      </c>
      <c r="S252">
        <f t="shared" si="962"/>
        <v>-576.92887357364964</v>
      </c>
      <c r="T252">
        <f t="shared" si="963"/>
        <v>-0.57692887357364964</v>
      </c>
    </row>
    <row r="253" spans="1:20" x14ac:dyDescent="0.25">
      <c r="A253" s="5">
        <v>44340</v>
      </c>
      <c r="B253">
        <v>0.14277000000000001</v>
      </c>
      <c r="C253">
        <v>0.20497000000000001</v>
      </c>
      <c r="D253">
        <v>0.13780999999999999</v>
      </c>
      <c r="E253">
        <v>0.19717000000000001</v>
      </c>
      <c r="F253">
        <v>65500794.100000001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0.76771888028588453</v>
      </c>
      <c r="Q253">
        <f t="shared" si="960"/>
        <v>50286196.304288276</v>
      </c>
      <c r="R253">
        <f t="shared" si="961"/>
        <v>-50578522.915241189</v>
      </c>
      <c r="S253">
        <f t="shared" si="962"/>
        <v>-505.78522915241189</v>
      </c>
      <c r="T253">
        <f t="shared" si="963"/>
        <v>-0.50578522915241186</v>
      </c>
    </row>
    <row r="254" spans="1:20" x14ac:dyDescent="0.25">
      <c r="A254" s="5">
        <v>44339</v>
      </c>
      <c r="B254">
        <v>0.17774999999999999</v>
      </c>
      <c r="C254">
        <v>0.18729000000000001</v>
      </c>
      <c r="D254">
        <v>0.11287999999999999</v>
      </c>
      <c r="E254">
        <v>0.14269999999999999</v>
      </c>
      <c r="F254">
        <v>56314700.799999997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-0.19849482596425233</v>
      </c>
      <c r="Q254">
        <f t="shared" si="960"/>
        <v>-11178176.734524941</v>
      </c>
      <c r="R254">
        <f t="shared" si="961"/>
        <v>-100864719.21952946</v>
      </c>
      <c r="S254">
        <f t="shared" si="962"/>
        <v>-1008.6471921952947</v>
      </c>
      <c r="T254">
        <f t="shared" si="963"/>
        <v>-1.0086471921952946</v>
      </c>
    </row>
    <row r="255" spans="1:20" x14ac:dyDescent="0.25">
      <c r="A255" s="5">
        <v>44338</v>
      </c>
      <c r="B255">
        <v>0.19994000000000001</v>
      </c>
      <c r="C255">
        <v>0.20269000000000001</v>
      </c>
      <c r="D255">
        <v>0.16796</v>
      </c>
      <c r="E255">
        <v>0.17777999999999999</v>
      </c>
      <c r="F255">
        <v>33263316.699999999</v>
      </c>
      <c r="G255">
        <v>0</v>
      </c>
      <c r="L255" t="s">
        <v>7</v>
      </c>
      <c r="M255" t="s">
        <v>8</v>
      </c>
      <c r="N255" t="s">
        <v>7</v>
      </c>
      <c r="P255">
        <f t="shared" si="959"/>
        <v>-0.43449467319320517</v>
      </c>
      <c r="Q255">
        <f t="shared" si="960"/>
        <v>-14452733.918888584</v>
      </c>
      <c r="R255">
        <f t="shared" si="961"/>
        <v>-89686542.485004529</v>
      </c>
      <c r="S255">
        <f t="shared" si="962"/>
        <v>-896.86542485004531</v>
      </c>
      <c r="T255">
        <f t="shared" si="963"/>
        <v>-0.89686542485004528</v>
      </c>
    </row>
    <row r="256" spans="1:20" x14ac:dyDescent="0.25">
      <c r="A256" s="5">
        <v>44337</v>
      </c>
      <c r="B256">
        <v>0.24603</v>
      </c>
      <c r="C256">
        <v>0.26102999999999998</v>
      </c>
      <c r="D256">
        <v>0.17</v>
      </c>
      <c r="E256">
        <v>0.19961000000000001</v>
      </c>
      <c r="F256">
        <v>62591196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-0.34944523783368109</v>
      </c>
      <c r="Q256">
        <f t="shared" si="960"/>
        <v>-21872195.37251455</v>
      </c>
      <c r="R256">
        <f t="shared" si="961"/>
        <v>-75233808.566115946</v>
      </c>
      <c r="S256">
        <f t="shared" si="962"/>
        <v>-752.33808566115943</v>
      </c>
      <c r="T256">
        <f t="shared" si="963"/>
        <v>-0.75233808566115945</v>
      </c>
    </row>
    <row r="257" spans="1:20" x14ac:dyDescent="0.25">
      <c r="A257" s="5">
        <v>44336</v>
      </c>
      <c r="B257">
        <v>0.23396</v>
      </c>
      <c r="C257">
        <v>0.27883000000000002</v>
      </c>
      <c r="D257">
        <v>0.20676</v>
      </c>
      <c r="E257">
        <v>0.24548</v>
      </c>
      <c r="F257">
        <v>81565663.299999997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7.4510892188150185E-2</v>
      </c>
      <c r="Q257">
        <f t="shared" si="960"/>
        <v>6077530.344401258</v>
      </c>
      <c r="R257">
        <f t="shared" si="961"/>
        <v>-53361613.1936014</v>
      </c>
      <c r="S257">
        <f t="shared" si="962"/>
        <v>-533.61613193601397</v>
      </c>
      <c r="T257">
        <f t="shared" si="963"/>
        <v>-0.53361613193601398</v>
      </c>
    </row>
    <row r="258" spans="1:20" x14ac:dyDescent="0.25">
      <c r="A258" s="5">
        <v>44335</v>
      </c>
      <c r="B258">
        <v>0.39394000000000001</v>
      </c>
      <c r="C258">
        <v>0.39878000000000002</v>
      </c>
      <c r="D258">
        <v>0.14000000000000001</v>
      </c>
      <c r="E258">
        <v>0.23419999999999999</v>
      </c>
      <c r="F258">
        <v>109799739.5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-0.271968467424067</v>
      </c>
      <c r="Q258">
        <f t="shared" si="960"/>
        <v>-29862066.875376791</v>
      </c>
      <c r="R258">
        <f t="shared" si="961"/>
        <v>-59439143.538002655</v>
      </c>
      <c r="S258">
        <f t="shared" si="962"/>
        <v>-594.39143538002656</v>
      </c>
      <c r="T258">
        <f t="shared" si="963"/>
        <v>-0.59439143538002659</v>
      </c>
    </row>
    <row r="259" spans="1:20" x14ac:dyDescent="0.25">
      <c r="A259" s="5">
        <v>44334</v>
      </c>
      <c r="B259">
        <v>0.35024</v>
      </c>
      <c r="C259">
        <v>0.42499999999999999</v>
      </c>
      <c r="D259">
        <v>0.34403</v>
      </c>
      <c r="E259">
        <v>0.39360000000000001</v>
      </c>
      <c r="F259">
        <v>65655358.200000003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0.22440410028405611</v>
      </c>
      <c r="Q259">
        <f t="shared" si="960"/>
        <v>14733331.585698426</v>
      </c>
      <c r="R259">
        <f t="shared" si="961"/>
        <v>-29577076.662625864</v>
      </c>
      <c r="S259">
        <f t="shared" si="962"/>
        <v>-295.77076662625865</v>
      </c>
      <c r="T259">
        <f t="shared" si="963"/>
        <v>-0.29577076662625867</v>
      </c>
    </row>
    <row r="260" spans="1:20" x14ac:dyDescent="0.25">
      <c r="A260" s="5">
        <v>44333</v>
      </c>
      <c r="B260">
        <v>0.40122000000000002</v>
      </c>
      <c r="C260">
        <v>0.40140999999999999</v>
      </c>
      <c r="D260">
        <v>0.34162999999999999</v>
      </c>
      <c r="E260">
        <v>0.35127999999999998</v>
      </c>
      <c r="F260">
        <v>35955416.700000003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-0.67714954834392804</v>
      </c>
      <c r="Q260">
        <f t="shared" si="960"/>
        <v>-24347194.178922731</v>
      </c>
      <c r="R260">
        <f t="shared" si="961"/>
        <v>-44310408.24832429</v>
      </c>
      <c r="S260">
        <f t="shared" si="962"/>
        <v>-443.10408248324291</v>
      </c>
      <c r="T260">
        <f t="shared" si="963"/>
        <v>-0.4431040824832429</v>
      </c>
    </row>
    <row r="261" spans="1:20" x14ac:dyDescent="0.25">
      <c r="A261" s="5">
        <v>44332</v>
      </c>
      <c r="B261">
        <v>0.41527999999999998</v>
      </c>
      <c r="C261">
        <v>0.44180000000000003</v>
      </c>
      <c r="D261">
        <v>0.37518000000000001</v>
      </c>
      <c r="E261">
        <v>0.40122000000000002</v>
      </c>
      <c r="F261">
        <v>69406113.200000003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-0.21825277694386061</v>
      </c>
      <c r="Q261">
        <f t="shared" si="960"/>
        <v>-15148076.94277994</v>
      </c>
      <c r="R261">
        <f t="shared" si="961"/>
        <v>-19963214.069401562</v>
      </c>
      <c r="S261">
        <f t="shared" si="962"/>
        <v>-199.63214069401562</v>
      </c>
      <c r="T261">
        <f t="shared" si="963"/>
        <v>-0.19963214069401561</v>
      </c>
    </row>
    <row r="262" spans="1:20" x14ac:dyDescent="0.25">
      <c r="A262" s="5">
        <v>44331</v>
      </c>
      <c r="B262">
        <v>0.36326000000000003</v>
      </c>
      <c r="C262">
        <v>0.49</v>
      </c>
      <c r="D262">
        <v>0.35211999999999999</v>
      </c>
      <c r="E262">
        <v>0.41449000000000003</v>
      </c>
      <c r="F262">
        <v>157526407.19999999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-9.5300261096605235E-2</v>
      </c>
      <c r="Q262">
        <f t="shared" ref="Q262:Q325" si="965">F262*P262</f>
        <v>-15012307.735770153</v>
      </c>
      <c r="R262">
        <f t="shared" ref="R262:R325" si="966">R263+Q262</f>
        <v>-4815137.1266216207</v>
      </c>
      <c r="S262">
        <f t="shared" ref="S262:S325" si="967">R262/100000</f>
        <v>-48.151371266216209</v>
      </c>
      <c r="T262">
        <f t="shared" ref="T262:T325" si="968">S262/1000</f>
        <v>-4.8151371266216207E-2</v>
      </c>
    </row>
    <row r="263" spans="1:20" x14ac:dyDescent="0.25">
      <c r="A263" s="5">
        <v>44330</v>
      </c>
      <c r="B263">
        <v>0.39182</v>
      </c>
      <c r="C263">
        <v>0.4199</v>
      </c>
      <c r="D263">
        <v>0.34645999999999999</v>
      </c>
      <c r="E263">
        <v>0.36251</v>
      </c>
      <c r="F263">
        <v>54441011.799999997</v>
      </c>
      <c r="G263">
        <v>0</v>
      </c>
      <c r="L263" t="s">
        <v>7</v>
      </c>
      <c r="M263" t="s">
        <v>8</v>
      </c>
      <c r="N263" t="s">
        <v>7</v>
      </c>
      <c r="P263">
        <f t="shared" si="964"/>
        <v>-0.56290849673202592</v>
      </c>
      <c r="Q263">
        <f t="shared" si="965"/>
        <v>-30645308.112908483</v>
      </c>
      <c r="R263">
        <f t="shared" si="966"/>
        <v>10197170.609148532</v>
      </c>
      <c r="S263">
        <f t="shared" si="967"/>
        <v>101.97170609148532</v>
      </c>
      <c r="T263">
        <f t="shared" si="968"/>
        <v>0.10197170609148531</v>
      </c>
    </row>
    <row r="264" spans="1:20" x14ac:dyDescent="0.25">
      <c r="A264" s="5">
        <v>44329</v>
      </c>
      <c r="B264">
        <v>0.31938</v>
      </c>
      <c r="C264">
        <v>0.42271999999999998</v>
      </c>
      <c r="D264">
        <v>0.29310999999999998</v>
      </c>
      <c r="E264">
        <v>0.39255000000000001</v>
      </c>
      <c r="F264">
        <v>96868532.700000003</v>
      </c>
      <c r="G264">
        <v>0</v>
      </c>
      <c r="L264" t="s">
        <v>8</v>
      </c>
      <c r="M264" t="s">
        <v>7</v>
      </c>
      <c r="N264" t="s">
        <v>7</v>
      </c>
      <c r="P264">
        <f t="shared" si="964"/>
        <v>0.53444950235321387</v>
      </c>
      <c r="Q264">
        <f t="shared" si="965"/>
        <v>51771339.095201023</v>
      </c>
      <c r="R264">
        <f t="shared" si="966"/>
        <v>40842478.722057015</v>
      </c>
      <c r="S264">
        <f t="shared" si="967"/>
        <v>408.42478722057012</v>
      </c>
      <c r="T264">
        <f t="shared" si="968"/>
        <v>0.40842478722057013</v>
      </c>
    </row>
    <row r="265" spans="1:20" x14ac:dyDescent="0.25">
      <c r="A265" s="5">
        <v>44328</v>
      </c>
      <c r="B265">
        <v>0.36438999999999999</v>
      </c>
      <c r="C265">
        <v>0.39800000000000002</v>
      </c>
      <c r="D265">
        <v>0.308</v>
      </c>
      <c r="E265">
        <v>0.31890000000000002</v>
      </c>
      <c r="F265">
        <v>37094191.100000001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-0.75777777777777733</v>
      </c>
      <c r="Q265">
        <f t="shared" si="965"/>
        <v>-28109153.700222205</v>
      </c>
      <c r="R265">
        <f t="shared" si="966"/>
        <v>-10928860.373144012</v>
      </c>
      <c r="S265">
        <f t="shared" si="967"/>
        <v>-109.28860373144012</v>
      </c>
      <c r="T265">
        <f t="shared" si="968"/>
        <v>-0.10928860373144011</v>
      </c>
    </row>
    <row r="266" spans="1:20" x14ac:dyDescent="0.25">
      <c r="A266" s="5">
        <v>44327</v>
      </c>
      <c r="B266">
        <v>0.34655999999999998</v>
      </c>
      <c r="C266">
        <v>0.36693999999999999</v>
      </c>
      <c r="D266">
        <v>0.33387</v>
      </c>
      <c r="E266">
        <v>0.36424000000000001</v>
      </c>
      <c r="F266">
        <v>12891337.6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0.83671000907166726</v>
      </c>
      <c r="Q266">
        <f t="shared" si="965"/>
        <v>10786311.200241925</v>
      </c>
      <c r="R266">
        <f t="shared" si="966"/>
        <v>17180293.327078193</v>
      </c>
      <c r="S266">
        <f t="shared" si="967"/>
        <v>171.80293327078192</v>
      </c>
      <c r="T266">
        <f t="shared" si="968"/>
        <v>0.17180293327078192</v>
      </c>
    </row>
    <row r="267" spans="1:20" x14ac:dyDescent="0.25">
      <c r="A267" s="5">
        <v>44326</v>
      </c>
      <c r="B267">
        <v>0.40255999999999997</v>
      </c>
      <c r="C267">
        <v>0.42288999999999999</v>
      </c>
      <c r="D267">
        <v>0.32734000000000002</v>
      </c>
      <c r="E267">
        <v>0.34731000000000001</v>
      </c>
      <c r="F267">
        <v>40139696.299999997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-0.58199895342752495</v>
      </c>
      <c r="Q267">
        <f t="shared" si="965"/>
        <v>-23361261.237498693</v>
      </c>
      <c r="R267">
        <f t="shared" si="966"/>
        <v>6393982.1268362701</v>
      </c>
      <c r="S267">
        <f t="shared" si="967"/>
        <v>63.939821268362699</v>
      </c>
      <c r="T267">
        <f t="shared" si="968"/>
        <v>6.3939821268362701E-2</v>
      </c>
    </row>
    <row r="268" spans="1:20" x14ac:dyDescent="0.25">
      <c r="A268" s="5">
        <v>44325</v>
      </c>
      <c r="B268">
        <v>0.37508000000000002</v>
      </c>
      <c r="C268">
        <v>0.40705999999999998</v>
      </c>
      <c r="D268">
        <v>0.35155999999999998</v>
      </c>
      <c r="E268">
        <v>0.40200000000000002</v>
      </c>
      <c r="F268">
        <v>32576503.600000001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0.8176576576576593</v>
      </c>
      <c r="Q268">
        <f t="shared" si="965"/>
        <v>26636427.628252305</v>
      </c>
      <c r="R268">
        <f t="shared" si="966"/>
        <v>29755243.364334963</v>
      </c>
      <c r="S268">
        <f t="shared" si="967"/>
        <v>297.55243364334962</v>
      </c>
      <c r="T268">
        <f t="shared" si="968"/>
        <v>0.2975524336433496</v>
      </c>
    </row>
    <row r="269" spans="1:20" x14ac:dyDescent="0.25">
      <c r="A269" s="5">
        <v>44324</v>
      </c>
      <c r="B269">
        <v>0.37548999999999999</v>
      </c>
      <c r="C269">
        <v>0.38973999999999998</v>
      </c>
      <c r="D269">
        <v>0.36864000000000002</v>
      </c>
      <c r="E269">
        <v>0.37548999999999999</v>
      </c>
      <c r="F269">
        <v>16000219.4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-0.35071090047393527</v>
      </c>
      <c r="Q269">
        <f t="shared" si="965"/>
        <v>-5611451.3535545282</v>
      </c>
      <c r="R269">
        <f t="shared" si="966"/>
        <v>3118815.7360826582</v>
      </c>
      <c r="S269">
        <f t="shared" si="967"/>
        <v>31.188157360826583</v>
      </c>
      <c r="T269">
        <f t="shared" si="968"/>
        <v>3.1188157360826581E-2</v>
      </c>
    </row>
    <row r="270" spans="1:20" x14ac:dyDescent="0.25">
      <c r="A270" s="5">
        <v>44323</v>
      </c>
      <c r="B270">
        <v>0.38556000000000001</v>
      </c>
      <c r="C270">
        <v>0.4</v>
      </c>
      <c r="D270">
        <v>0.36431999999999998</v>
      </c>
      <c r="E270">
        <v>0.37525999999999998</v>
      </c>
      <c r="F270">
        <v>23161906.199999999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-0.38677130044843094</v>
      </c>
      <c r="Q270">
        <f t="shared" si="965"/>
        <v>-8958360.5818385743</v>
      </c>
      <c r="R270">
        <f t="shared" si="966"/>
        <v>8730267.0896371864</v>
      </c>
      <c r="S270">
        <f t="shared" si="967"/>
        <v>87.302670896371865</v>
      </c>
      <c r="T270">
        <f t="shared" si="968"/>
        <v>8.7302670896371865E-2</v>
      </c>
    </row>
    <row r="271" spans="1:20" x14ac:dyDescent="0.25">
      <c r="A271" s="5">
        <v>44322</v>
      </c>
      <c r="B271">
        <v>0.40611999999999998</v>
      </c>
      <c r="C271">
        <v>0.41954999999999998</v>
      </c>
      <c r="D271">
        <v>0.37547999999999998</v>
      </c>
      <c r="E271">
        <v>0.38552999999999998</v>
      </c>
      <c r="F271">
        <v>28629470.300000001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-0.54390742001361458</v>
      </c>
      <c r="Q271">
        <f t="shared" si="965"/>
        <v>-15571781.327229405</v>
      </c>
      <c r="R271">
        <f t="shared" si="966"/>
        <v>17688627.671475761</v>
      </c>
      <c r="S271">
        <f t="shared" si="967"/>
        <v>176.8862767147576</v>
      </c>
      <c r="T271">
        <f t="shared" si="968"/>
        <v>0.1768862767147576</v>
      </c>
    </row>
    <row r="272" spans="1:20" x14ac:dyDescent="0.25">
      <c r="A272" s="5">
        <v>44321</v>
      </c>
      <c r="B272">
        <v>0.37877</v>
      </c>
      <c r="C272">
        <v>0.41184999999999999</v>
      </c>
      <c r="D272">
        <v>0.37214999999999998</v>
      </c>
      <c r="E272">
        <v>0.40547</v>
      </c>
      <c r="F272">
        <v>21980768.399999999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0.67858942065491212</v>
      </c>
      <c r="Q272">
        <f t="shared" si="965"/>
        <v>14915916.894105799</v>
      </c>
      <c r="R272">
        <f t="shared" si="966"/>
        <v>33260408.998705167</v>
      </c>
      <c r="S272">
        <f t="shared" si="967"/>
        <v>332.60408998705168</v>
      </c>
      <c r="T272">
        <f t="shared" si="968"/>
        <v>0.33260408998705165</v>
      </c>
    </row>
    <row r="273" spans="1:20" x14ac:dyDescent="0.25">
      <c r="A273" s="5">
        <v>44320</v>
      </c>
      <c r="B273">
        <v>0.44253999999999999</v>
      </c>
      <c r="C273">
        <v>0.44425999999999999</v>
      </c>
      <c r="D273">
        <v>0.36049999999999999</v>
      </c>
      <c r="E273">
        <v>0.37874999999999998</v>
      </c>
      <c r="F273">
        <v>47234725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-0.56423113658070712</v>
      </c>
      <c r="Q273">
        <f t="shared" si="965"/>
        <v>-26651302.572827142</v>
      </c>
      <c r="R273">
        <f t="shared" si="966"/>
        <v>18344492.104599368</v>
      </c>
      <c r="S273">
        <f t="shared" si="967"/>
        <v>183.44492104599368</v>
      </c>
      <c r="T273">
        <f t="shared" si="968"/>
        <v>0.18344492104599369</v>
      </c>
    </row>
    <row r="274" spans="1:20" x14ac:dyDescent="0.25">
      <c r="A274" s="5">
        <v>44319</v>
      </c>
      <c r="B274">
        <v>0.40268999999999999</v>
      </c>
      <c r="C274">
        <v>0.47544999999999998</v>
      </c>
      <c r="D274">
        <v>0.40268999999999999</v>
      </c>
      <c r="E274">
        <v>0.44248999999999999</v>
      </c>
      <c r="F274">
        <v>48205238.399999999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9.400769653655873E-2</v>
      </c>
      <c r="Q274">
        <f t="shared" si="965"/>
        <v>4531663.4229796678</v>
      </c>
      <c r="R274">
        <f t="shared" si="966"/>
        <v>44995794.67742651</v>
      </c>
      <c r="S274">
        <f t="shared" si="967"/>
        <v>449.95794677426511</v>
      </c>
      <c r="T274">
        <f t="shared" si="968"/>
        <v>0.44995794677426509</v>
      </c>
    </row>
    <row r="275" spans="1:20" x14ac:dyDescent="0.25">
      <c r="A275" s="5">
        <v>44318</v>
      </c>
      <c r="B275">
        <v>0.41959000000000002</v>
      </c>
      <c r="C275">
        <v>0.42115999999999998</v>
      </c>
      <c r="D275">
        <v>0.38550000000000001</v>
      </c>
      <c r="E275">
        <v>0.40322999999999998</v>
      </c>
      <c r="F275">
        <v>17264945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-5.6085249579370068E-3</v>
      </c>
      <c r="Q275">
        <f t="shared" si="965"/>
        <v>-96830.87492990974</v>
      </c>
      <c r="R275">
        <f t="shared" si="966"/>
        <v>40464131.254446842</v>
      </c>
      <c r="S275">
        <f t="shared" si="967"/>
        <v>404.64131254446841</v>
      </c>
      <c r="T275">
        <f t="shared" si="968"/>
        <v>0.40464131254446839</v>
      </c>
    </row>
    <row r="276" spans="1:20" x14ac:dyDescent="0.25">
      <c r="A276" s="5">
        <v>44317</v>
      </c>
      <c r="B276">
        <v>0.42954999999999999</v>
      </c>
      <c r="C276">
        <v>0.44192999999999999</v>
      </c>
      <c r="D276">
        <v>0.39198</v>
      </c>
      <c r="E276">
        <v>0.41932999999999998</v>
      </c>
      <c r="F276">
        <v>21634768.899999999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9.5095095095094631E-2</v>
      </c>
      <c r="Q276">
        <f t="shared" si="965"/>
        <v>2057360.4059058956</v>
      </c>
      <c r="R276">
        <f t="shared" si="966"/>
        <v>40560962.129376754</v>
      </c>
      <c r="S276">
        <f t="shared" si="967"/>
        <v>405.60962129376753</v>
      </c>
      <c r="T276">
        <f t="shared" si="968"/>
        <v>0.40560962129376754</v>
      </c>
    </row>
    <row r="277" spans="1:20" x14ac:dyDescent="0.25">
      <c r="A277" s="5">
        <v>44316</v>
      </c>
      <c r="B277">
        <v>0.41861999999999999</v>
      </c>
      <c r="C277">
        <v>0.45200000000000001</v>
      </c>
      <c r="D277">
        <v>0.41577999999999998</v>
      </c>
      <c r="E277">
        <v>0.42954999999999999</v>
      </c>
      <c r="F277">
        <v>43225960.899999999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-0.23964660408614064</v>
      </c>
      <c r="Q277">
        <f t="shared" si="965"/>
        <v>-10358954.738045296</v>
      </c>
      <c r="R277">
        <f t="shared" si="966"/>
        <v>38503601.723470859</v>
      </c>
      <c r="S277">
        <f t="shared" si="967"/>
        <v>385.03601723470859</v>
      </c>
      <c r="T277">
        <f t="shared" si="968"/>
        <v>0.38503601723470859</v>
      </c>
    </row>
    <row r="278" spans="1:20" x14ac:dyDescent="0.25">
      <c r="A278" s="5">
        <v>44315</v>
      </c>
      <c r="B278">
        <v>0.37667</v>
      </c>
      <c r="C278">
        <v>0.42876999999999998</v>
      </c>
      <c r="D278">
        <v>0.36312</v>
      </c>
      <c r="E278">
        <v>0.41813</v>
      </c>
      <c r="F278">
        <v>48617804.200000003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0.67585681645087636</v>
      </c>
      <c r="Q278">
        <f t="shared" si="965"/>
        <v>32858674.369444046</v>
      </c>
      <c r="R278">
        <f t="shared" si="966"/>
        <v>48862556.461516157</v>
      </c>
      <c r="S278">
        <f t="shared" si="967"/>
        <v>488.62556461516158</v>
      </c>
      <c r="T278">
        <f t="shared" si="968"/>
        <v>0.4886255646151616</v>
      </c>
    </row>
    <row r="279" spans="1:20" x14ac:dyDescent="0.25">
      <c r="A279" s="5">
        <v>44314</v>
      </c>
      <c r="B279">
        <v>0.40004000000000001</v>
      </c>
      <c r="C279">
        <v>0.41</v>
      </c>
      <c r="D279">
        <v>0.35487000000000002</v>
      </c>
      <c r="E279">
        <v>0.37667</v>
      </c>
      <c r="F279">
        <v>35044085.299999997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-0.20914202793397413</v>
      </c>
      <c r="Q279">
        <f t="shared" si="965"/>
        <v>-7329191.0667331712</v>
      </c>
      <c r="R279">
        <f t="shared" si="966"/>
        <v>16003882.092072111</v>
      </c>
      <c r="S279">
        <f t="shared" si="967"/>
        <v>160.03882092072109</v>
      </c>
      <c r="T279">
        <f t="shared" si="968"/>
        <v>0.16003882092072108</v>
      </c>
    </row>
    <row r="280" spans="1:20" x14ac:dyDescent="0.25">
      <c r="A280" s="5">
        <v>44313</v>
      </c>
      <c r="B280">
        <v>0.35396</v>
      </c>
      <c r="C280">
        <v>0.40855999999999998</v>
      </c>
      <c r="D280">
        <v>0.34384999999999999</v>
      </c>
      <c r="E280">
        <v>0.40057999999999999</v>
      </c>
      <c r="F280">
        <v>49008085.299999997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0.75336114974501656</v>
      </c>
      <c r="Q280">
        <f t="shared" si="965"/>
        <v>36920787.48840984</v>
      </c>
      <c r="R280">
        <f t="shared" si="966"/>
        <v>23333073.158805281</v>
      </c>
      <c r="S280">
        <f t="shared" si="967"/>
        <v>233.3307315880528</v>
      </c>
      <c r="T280">
        <f t="shared" si="968"/>
        <v>0.23333073158805279</v>
      </c>
    </row>
    <row r="281" spans="1:20" x14ac:dyDescent="0.25">
      <c r="A281" s="5">
        <v>44312</v>
      </c>
      <c r="B281">
        <v>0.29103000000000001</v>
      </c>
      <c r="C281">
        <v>0.36665999999999999</v>
      </c>
      <c r="D281">
        <v>0.28669</v>
      </c>
      <c r="E281">
        <v>0.35426000000000002</v>
      </c>
      <c r="F281">
        <v>35660444.5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0.68988370638989704</v>
      </c>
      <c r="Q281">
        <f t="shared" si="965"/>
        <v>24601559.623171218</v>
      </c>
      <c r="R281">
        <f t="shared" si="966"/>
        <v>-13587714.329604559</v>
      </c>
      <c r="S281">
        <f t="shared" si="967"/>
        <v>-135.87714329604557</v>
      </c>
      <c r="T281">
        <f t="shared" si="968"/>
        <v>-0.13587714329604558</v>
      </c>
    </row>
    <row r="282" spans="1:20" x14ac:dyDescent="0.25">
      <c r="A282" s="5">
        <v>44311</v>
      </c>
      <c r="B282">
        <v>0.28182000000000001</v>
      </c>
      <c r="C282">
        <v>0.32</v>
      </c>
      <c r="D282">
        <v>0.27121000000000001</v>
      </c>
      <c r="E282">
        <v>0.29099000000000003</v>
      </c>
      <c r="F282">
        <v>28346936.399999999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-0.18917811026849682</v>
      </c>
      <c r="Q282">
        <f t="shared" si="965"/>
        <v>-5362619.8600532664</v>
      </c>
      <c r="R282">
        <f t="shared" si="966"/>
        <v>-38189273.952775776</v>
      </c>
      <c r="S282">
        <f t="shared" si="967"/>
        <v>-381.89273952775778</v>
      </c>
      <c r="T282">
        <f t="shared" si="968"/>
        <v>-0.38189273952775776</v>
      </c>
    </row>
    <row r="283" spans="1:20" x14ac:dyDescent="0.25">
      <c r="A283" s="5">
        <v>44310</v>
      </c>
      <c r="B283">
        <v>0.32089000000000001</v>
      </c>
      <c r="C283">
        <v>0.32139000000000001</v>
      </c>
      <c r="D283">
        <v>0.27892</v>
      </c>
      <c r="E283">
        <v>0.28167999999999999</v>
      </c>
      <c r="F283">
        <v>22245065.699999999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-0.87002590063574359</v>
      </c>
      <c r="Q283">
        <f t="shared" si="965"/>
        <v>-19353783.320343789</v>
      </c>
      <c r="R283">
        <f t="shared" si="966"/>
        <v>-32826654.092722509</v>
      </c>
      <c r="S283">
        <f t="shared" si="967"/>
        <v>-328.26654092722509</v>
      </c>
      <c r="T283">
        <f t="shared" si="968"/>
        <v>-0.32826654092722507</v>
      </c>
    </row>
    <row r="284" spans="1:20" x14ac:dyDescent="0.25">
      <c r="A284" s="5">
        <v>44309</v>
      </c>
      <c r="B284">
        <v>0.32408999999999999</v>
      </c>
      <c r="C284">
        <v>0.33126</v>
      </c>
      <c r="D284">
        <v>0.25689000000000001</v>
      </c>
      <c r="E284">
        <v>0.32089000000000001</v>
      </c>
      <c r="F284">
        <v>54366228.899999999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0.72112410918381087</v>
      </c>
      <c r="Q284">
        <f t="shared" si="965"/>
        <v>39204798.38519565</v>
      </c>
      <c r="R284">
        <f t="shared" si="966"/>
        <v>-13472870.77237872</v>
      </c>
      <c r="S284">
        <f t="shared" si="967"/>
        <v>-134.72870772378721</v>
      </c>
      <c r="T284">
        <f t="shared" si="968"/>
        <v>-0.1347287077237872</v>
      </c>
    </row>
    <row r="285" spans="1:20" x14ac:dyDescent="0.25">
      <c r="A285" s="5">
        <v>44308</v>
      </c>
      <c r="B285">
        <v>0.36404999999999998</v>
      </c>
      <c r="C285">
        <v>0.38813999999999999</v>
      </c>
      <c r="D285">
        <v>0.29121000000000002</v>
      </c>
      <c r="E285">
        <v>0.32408999999999999</v>
      </c>
      <c r="F285">
        <v>38974366.600000001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-0.32157226864747801</v>
      </c>
      <c r="Q285">
        <f t="shared" si="965"/>
        <v>-12533075.486660495</v>
      </c>
      <c r="R285">
        <f t="shared" si="966"/>
        <v>-52677669.157574371</v>
      </c>
      <c r="S285">
        <f t="shared" si="967"/>
        <v>-526.77669157574371</v>
      </c>
      <c r="T285">
        <f t="shared" si="968"/>
        <v>-0.52677669157574369</v>
      </c>
    </row>
    <row r="286" spans="1:20" x14ac:dyDescent="0.25">
      <c r="A286" s="5">
        <v>44307</v>
      </c>
      <c r="B286">
        <v>0.38915</v>
      </c>
      <c r="C286">
        <v>0.43099999999999999</v>
      </c>
      <c r="D286">
        <v>0.36262</v>
      </c>
      <c r="E286">
        <v>0.36470999999999998</v>
      </c>
      <c r="F286">
        <v>44722267.700000003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-0.93887101491664282</v>
      </c>
      <c r="Q286">
        <f t="shared" si="965"/>
        <v>-41988440.864872798</v>
      </c>
      <c r="R286">
        <f t="shared" si="966"/>
        <v>-40144593.670913875</v>
      </c>
      <c r="S286">
        <f t="shared" si="967"/>
        <v>-401.44593670913878</v>
      </c>
      <c r="T286">
        <f t="shared" si="968"/>
        <v>-0.40144593670913875</v>
      </c>
    </row>
    <row r="287" spans="1:20" x14ac:dyDescent="0.25">
      <c r="A287" s="5">
        <v>44306</v>
      </c>
      <c r="B287">
        <v>0.38111</v>
      </c>
      <c r="C287">
        <v>0.39384000000000002</v>
      </c>
      <c r="D287">
        <v>0.33178000000000002</v>
      </c>
      <c r="E287">
        <v>0.38923999999999997</v>
      </c>
      <c r="F287">
        <v>32988332.399999999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0.85175636480824857</v>
      </c>
      <c r="Q287">
        <f t="shared" si="965"/>
        <v>28098022.086110163</v>
      </c>
      <c r="R287">
        <f t="shared" si="966"/>
        <v>1843847.1939589195</v>
      </c>
      <c r="S287">
        <f t="shared" si="967"/>
        <v>18.438471939589196</v>
      </c>
      <c r="T287">
        <f t="shared" si="968"/>
        <v>1.8438471939589196E-2</v>
      </c>
    </row>
    <row r="288" spans="1:20" x14ac:dyDescent="0.25">
      <c r="A288" s="5">
        <v>44305</v>
      </c>
      <c r="B288">
        <v>0.43779000000000001</v>
      </c>
      <c r="C288">
        <v>0.45300000000000001</v>
      </c>
      <c r="D288">
        <v>0.37</v>
      </c>
      <c r="E288">
        <v>0.38024999999999998</v>
      </c>
      <c r="F288">
        <v>29784833.199999999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-0.75301204819277157</v>
      </c>
      <c r="Q288">
        <f t="shared" si="965"/>
        <v>-22428338.253012061</v>
      </c>
      <c r="R288">
        <f t="shared" si="966"/>
        <v>-26254174.892151244</v>
      </c>
      <c r="S288">
        <f t="shared" si="967"/>
        <v>-262.54174892151246</v>
      </c>
      <c r="T288">
        <f t="shared" si="968"/>
        <v>-0.26254174892151244</v>
      </c>
    </row>
    <row r="289" spans="1:20" x14ac:dyDescent="0.25">
      <c r="A289" s="5">
        <v>44304</v>
      </c>
      <c r="B289">
        <v>0.52844000000000002</v>
      </c>
      <c r="C289">
        <v>0.53603999999999996</v>
      </c>
      <c r="D289">
        <v>0.34236</v>
      </c>
      <c r="E289">
        <v>0.43842999999999999</v>
      </c>
      <c r="F289">
        <v>57561383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-7.9512598099957983E-3</v>
      </c>
      <c r="Q289">
        <f t="shared" si="965"/>
        <v>-457685.5112556754</v>
      </c>
      <c r="R289">
        <f t="shared" si="966"/>
        <v>-3825836.6391391843</v>
      </c>
      <c r="S289">
        <f t="shared" si="967"/>
        <v>-38.258366391391846</v>
      </c>
      <c r="T289">
        <f t="shared" si="968"/>
        <v>-3.8258366391391845E-2</v>
      </c>
    </row>
    <row r="290" spans="1:20" x14ac:dyDescent="0.25">
      <c r="A290" s="5">
        <v>44303</v>
      </c>
      <c r="B290">
        <v>0.50746000000000002</v>
      </c>
      <c r="C290">
        <v>0.5756</v>
      </c>
      <c r="D290">
        <v>0.50416000000000005</v>
      </c>
      <c r="E290">
        <v>0.52856999999999998</v>
      </c>
      <c r="F290">
        <v>63084992.399999999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-0.31662933930571252</v>
      </c>
      <c r="Q290">
        <f t="shared" si="965"/>
        <v>-19974559.463717896</v>
      </c>
      <c r="R290">
        <f t="shared" si="966"/>
        <v>-3368151.1278835088</v>
      </c>
      <c r="S290">
        <f t="shared" si="967"/>
        <v>-33.681511278835089</v>
      </c>
      <c r="T290">
        <f t="shared" si="968"/>
        <v>-3.3681511278835091E-2</v>
      </c>
    </row>
    <row r="291" spans="1:20" x14ac:dyDescent="0.25">
      <c r="A291" s="5">
        <v>44302</v>
      </c>
      <c r="B291">
        <v>0.53354999999999997</v>
      </c>
      <c r="C291">
        <v>0.53732999999999997</v>
      </c>
      <c r="D291">
        <v>0.48399999999999999</v>
      </c>
      <c r="E291">
        <v>0.50746000000000002</v>
      </c>
      <c r="F291">
        <v>41304153.899999999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-0.12019501218826022</v>
      </c>
      <c r="Q291">
        <f t="shared" si="965"/>
        <v>-4964553.2814362757</v>
      </c>
      <c r="R291">
        <f t="shared" si="966"/>
        <v>16606408.335834388</v>
      </c>
      <c r="S291">
        <f t="shared" si="967"/>
        <v>166.06408335834388</v>
      </c>
      <c r="T291">
        <f t="shared" si="968"/>
        <v>0.16606408335834388</v>
      </c>
    </row>
    <row r="292" spans="1:20" x14ac:dyDescent="0.25">
      <c r="A292" s="5">
        <v>44301</v>
      </c>
      <c r="B292">
        <v>0.49972</v>
      </c>
      <c r="C292">
        <v>0.55300000000000005</v>
      </c>
      <c r="D292">
        <v>0.49519999999999997</v>
      </c>
      <c r="E292">
        <v>0.53229000000000004</v>
      </c>
      <c r="F292">
        <v>37274624.700000003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0.28339100346020829</v>
      </c>
      <c r="Q292">
        <f t="shared" si="965"/>
        <v>10563293.297335666</v>
      </c>
      <c r="R292">
        <f t="shared" si="966"/>
        <v>21570961.617270663</v>
      </c>
      <c r="S292">
        <f t="shared" si="967"/>
        <v>215.70961617270663</v>
      </c>
      <c r="T292">
        <f t="shared" si="968"/>
        <v>0.21570961617270662</v>
      </c>
    </row>
    <row r="293" spans="1:20" x14ac:dyDescent="0.25">
      <c r="A293" s="5">
        <v>44300</v>
      </c>
      <c r="B293">
        <v>0.5071</v>
      </c>
      <c r="C293">
        <v>0.53800000000000003</v>
      </c>
      <c r="D293">
        <v>0.47693999999999998</v>
      </c>
      <c r="E293">
        <v>0.50029000000000001</v>
      </c>
      <c r="F293">
        <v>38961477.700000003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-0.23517851293809319</v>
      </c>
      <c r="Q293">
        <f t="shared" si="965"/>
        <v>-9162902.3873566799</v>
      </c>
      <c r="R293">
        <f t="shared" si="966"/>
        <v>11007668.319934998</v>
      </c>
      <c r="S293">
        <f t="shared" si="967"/>
        <v>110.07668319934997</v>
      </c>
      <c r="T293">
        <f t="shared" si="968"/>
        <v>0.11007668319934998</v>
      </c>
    </row>
    <row r="294" spans="1:20" x14ac:dyDescent="0.25">
      <c r="A294" s="5">
        <v>44299</v>
      </c>
      <c r="B294">
        <v>0.50292999999999999</v>
      </c>
      <c r="C294">
        <v>0.56932000000000005</v>
      </c>
      <c r="D294">
        <v>0.49553999999999998</v>
      </c>
      <c r="E294">
        <v>0.50756000000000001</v>
      </c>
      <c r="F294">
        <v>42841533.399999999</v>
      </c>
      <c r="G294">
        <v>0</v>
      </c>
      <c r="L294" t="s">
        <v>8</v>
      </c>
      <c r="M294" t="s">
        <v>7</v>
      </c>
      <c r="N294" t="s">
        <v>8</v>
      </c>
      <c r="P294">
        <f t="shared" si="964"/>
        <v>-0.67416644076985577</v>
      </c>
      <c r="Q294">
        <f t="shared" si="965"/>
        <v>-28882324.089400895</v>
      </c>
      <c r="R294">
        <f t="shared" si="966"/>
        <v>20170570.707291678</v>
      </c>
      <c r="S294">
        <f t="shared" si="967"/>
        <v>201.70570707291677</v>
      </c>
      <c r="T294">
        <f t="shared" si="968"/>
        <v>0.20170570707291677</v>
      </c>
    </row>
    <row r="295" spans="1:20" x14ac:dyDescent="0.25">
      <c r="A295" s="5">
        <v>44298</v>
      </c>
      <c r="B295">
        <v>0.51146000000000003</v>
      </c>
      <c r="C295">
        <v>0.51707999999999998</v>
      </c>
      <c r="D295">
        <v>0.48438999999999999</v>
      </c>
      <c r="E295">
        <v>0.50212999999999997</v>
      </c>
      <c r="F295">
        <v>19029750.600000001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8.5347200978891383E-2</v>
      </c>
      <c r="Q295">
        <f t="shared" si="965"/>
        <v>1624135.9490363791</v>
      </c>
      <c r="R295">
        <f t="shared" si="966"/>
        <v>49052894.796692573</v>
      </c>
      <c r="S295">
        <f t="shared" si="967"/>
        <v>490.52894796692573</v>
      </c>
      <c r="T295">
        <f t="shared" si="968"/>
        <v>0.49052894796692575</v>
      </c>
    </row>
    <row r="296" spans="1:20" x14ac:dyDescent="0.25">
      <c r="A296" s="5">
        <v>44297</v>
      </c>
      <c r="B296">
        <v>0.51041000000000003</v>
      </c>
      <c r="C296">
        <v>0.54418</v>
      </c>
      <c r="D296">
        <v>0.48998000000000003</v>
      </c>
      <c r="E296">
        <v>0.5111</v>
      </c>
      <c r="F296">
        <v>24770960.699999999</v>
      </c>
      <c r="G296">
        <v>0</v>
      </c>
      <c r="L296" t="s">
        <v>8</v>
      </c>
      <c r="M296" t="s">
        <v>7</v>
      </c>
      <c r="N296" t="s">
        <v>8</v>
      </c>
      <c r="P296">
        <f t="shared" si="964"/>
        <v>-0.22066420664206701</v>
      </c>
      <c r="Q296">
        <f t="shared" si="965"/>
        <v>-5466064.3906273209</v>
      </c>
      <c r="R296">
        <f t="shared" si="966"/>
        <v>47428758.84765619</v>
      </c>
      <c r="S296">
        <f t="shared" si="967"/>
        <v>474.28758847656189</v>
      </c>
      <c r="T296">
        <f t="shared" si="968"/>
        <v>0.47428758847656188</v>
      </c>
    </row>
    <row r="297" spans="1:20" x14ac:dyDescent="0.25">
      <c r="A297" s="5">
        <v>44296</v>
      </c>
      <c r="B297">
        <v>0.53083000000000002</v>
      </c>
      <c r="C297">
        <v>0.54342000000000001</v>
      </c>
      <c r="D297">
        <v>0.48925000000000002</v>
      </c>
      <c r="E297">
        <v>0.51019999999999999</v>
      </c>
      <c r="F297">
        <v>20696176.399999999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-0.22650913789920729</v>
      </c>
      <c r="Q297">
        <f t="shared" si="965"/>
        <v>-4687873.0741739189</v>
      </c>
      <c r="R297">
        <f t="shared" si="966"/>
        <v>52894823.238283515</v>
      </c>
      <c r="S297">
        <f t="shared" si="967"/>
        <v>528.94823238283516</v>
      </c>
      <c r="T297">
        <f t="shared" si="968"/>
        <v>0.52894823238283517</v>
      </c>
    </row>
    <row r="298" spans="1:20" x14ac:dyDescent="0.25">
      <c r="A298" s="5">
        <v>44295</v>
      </c>
      <c r="B298">
        <v>0.55047999999999997</v>
      </c>
      <c r="C298">
        <v>0.56110000000000004</v>
      </c>
      <c r="D298">
        <v>0.52698999999999996</v>
      </c>
      <c r="E298">
        <v>0.53025</v>
      </c>
      <c r="F298">
        <v>32741762.600000001</v>
      </c>
      <c r="G298">
        <v>0</v>
      </c>
      <c r="L298" t="s">
        <v>7</v>
      </c>
      <c r="M298" t="s">
        <v>8</v>
      </c>
      <c r="N298" t="s">
        <v>8</v>
      </c>
      <c r="P298">
        <f t="shared" si="964"/>
        <v>-0.80885370858985439</v>
      </c>
      <c r="Q298">
        <f t="shared" si="965"/>
        <v>-26483296.104778595</v>
      </c>
      <c r="R298">
        <f t="shared" si="966"/>
        <v>57582696.312457435</v>
      </c>
      <c r="S298">
        <f t="shared" si="967"/>
        <v>575.82696312457438</v>
      </c>
      <c r="T298">
        <f t="shared" si="968"/>
        <v>0.57582696312457438</v>
      </c>
    </row>
    <row r="299" spans="1:20" x14ac:dyDescent="0.25">
      <c r="A299" s="5">
        <v>44294</v>
      </c>
      <c r="B299">
        <v>0.50056</v>
      </c>
      <c r="C299">
        <v>0.60897000000000001</v>
      </c>
      <c r="D299">
        <v>0.48705999999999999</v>
      </c>
      <c r="E299">
        <v>0.55066999999999999</v>
      </c>
      <c r="F299">
        <v>90569253.299999997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4.3556722172094012E-2</v>
      </c>
      <c r="Q299">
        <f t="shared" si="965"/>
        <v>3944899.8033221085</v>
      </c>
      <c r="R299">
        <f t="shared" si="966"/>
        <v>84065992.41723603</v>
      </c>
      <c r="S299">
        <f t="shared" si="967"/>
        <v>840.65992417236032</v>
      </c>
      <c r="T299">
        <f t="shared" si="968"/>
        <v>0.84065992417236035</v>
      </c>
    </row>
    <row r="300" spans="1:20" x14ac:dyDescent="0.25">
      <c r="A300" s="5">
        <v>44293</v>
      </c>
      <c r="B300">
        <v>0.49215999999999999</v>
      </c>
      <c r="C300">
        <v>0.53256999999999999</v>
      </c>
      <c r="D300">
        <v>0.41125</v>
      </c>
      <c r="E300">
        <v>0.49929000000000001</v>
      </c>
      <c r="F300">
        <v>43305954.899999999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0.4513682822288167</v>
      </c>
      <c r="Q300">
        <f t="shared" si="965"/>
        <v>19546934.473491605</v>
      </c>
      <c r="R300">
        <f t="shared" si="966"/>
        <v>80121092.613913924</v>
      </c>
      <c r="S300">
        <f t="shared" si="967"/>
        <v>801.21092613913925</v>
      </c>
      <c r="T300">
        <f t="shared" si="968"/>
        <v>0.80121092613913925</v>
      </c>
    </row>
    <row r="301" spans="1:20" x14ac:dyDescent="0.25">
      <c r="A301" s="5">
        <v>44292</v>
      </c>
      <c r="B301">
        <v>0.51888000000000001</v>
      </c>
      <c r="C301">
        <v>0.55313000000000001</v>
      </c>
      <c r="D301">
        <v>0.48194999999999999</v>
      </c>
      <c r="E301">
        <v>0.49199999999999999</v>
      </c>
      <c r="F301">
        <v>28655956.800000001</v>
      </c>
      <c r="G301">
        <v>0</v>
      </c>
      <c r="L301" t="s">
        <v>8</v>
      </c>
      <c r="M301" t="s">
        <v>7</v>
      </c>
      <c r="N301" t="s">
        <v>7</v>
      </c>
      <c r="P301">
        <f t="shared" si="964"/>
        <v>-0.71761730823264958</v>
      </c>
      <c r="Q301">
        <f t="shared" si="965"/>
        <v>-20564010.583647091</v>
      </c>
      <c r="R301">
        <f t="shared" si="966"/>
        <v>60574158.140422314</v>
      </c>
      <c r="S301">
        <f t="shared" si="967"/>
        <v>605.7415814042231</v>
      </c>
      <c r="T301">
        <f t="shared" si="968"/>
        <v>0.60574158140422307</v>
      </c>
    </row>
    <row r="302" spans="1:20" x14ac:dyDescent="0.25">
      <c r="A302" s="5">
        <v>44291</v>
      </c>
      <c r="B302">
        <v>0.49430000000000002</v>
      </c>
      <c r="C302">
        <v>0.53979999999999995</v>
      </c>
      <c r="D302">
        <v>0.47177999999999998</v>
      </c>
      <c r="E302">
        <v>0.51910000000000001</v>
      </c>
      <c r="F302">
        <v>32966714.100000001</v>
      </c>
      <c r="G302">
        <v>0</v>
      </c>
      <c r="L302" t="s">
        <v>8</v>
      </c>
      <c r="M302" t="s">
        <v>7</v>
      </c>
      <c r="N302" t="s">
        <v>7</v>
      </c>
      <c r="P302">
        <f t="shared" si="964"/>
        <v>0.39135548368127171</v>
      </c>
      <c r="Q302">
        <f t="shared" si="965"/>
        <v>12901704.341987701</v>
      </c>
      <c r="R302">
        <f t="shared" si="966"/>
        <v>81138168.724069402</v>
      </c>
      <c r="S302">
        <f t="shared" si="967"/>
        <v>811.38168724069396</v>
      </c>
      <c r="T302">
        <f t="shared" si="968"/>
        <v>0.81138168724069393</v>
      </c>
    </row>
    <row r="303" spans="1:20" x14ac:dyDescent="0.25">
      <c r="A303" s="5">
        <v>44290</v>
      </c>
      <c r="B303">
        <v>0.46700000000000003</v>
      </c>
      <c r="C303">
        <v>0.50985000000000003</v>
      </c>
      <c r="D303">
        <v>0.45967000000000002</v>
      </c>
      <c r="E303">
        <v>0.49458999999999997</v>
      </c>
      <c r="F303">
        <v>22738372.5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0.39178955759266437</v>
      </c>
      <c r="Q303">
        <f t="shared" si="965"/>
        <v>8908656.9021522049</v>
      </c>
      <c r="R303">
        <f t="shared" si="966"/>
        <v>68236464.382081702</v>
      </c>
      <c r="S303">
        <f t="shared" si="967"/>
        <v>682.36464382081704</v>
      </c>
      <c r="T303">
        <f t="shared" si="968"/>
        <v>0.68236464382081707</v>
      </c>
    </row>
    <row r="304" spans="1:20" x14ac:dyDescent="0.25">
      <c r="A304" s="5">
        <v>44289</v>
      </c>
      <c r="B304">
        <v>0.53163000000000005</v>
      </c>
      <c r="C304">
        <v>0.53268000000000004</v>
      </c>
      <c r="D304">
        <v>0.46376000000000001</v>
      </c>
      <c r="E304">
        <v>0.46708</v>
      </c>
      <c r="F304">
        <v>33484496.5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-0.90365641323273393</v>
      </c>
      <c r="Q304">
        <f t="shared" si="965"/>
        <v>-30258480.006094035</v>
      </c>
      <c r="R304">
        <f t="shared" si="966"/>
        <v>59327807.479929492</v>
      </c>
      <c r="S304">
        <f t="shared" si="967"/>
        <v>593.27807479929493</v>
      </c>
      <c r="T304">
        <f t="shared" si="968"/>
        <v>0.59327807479929495</v>
      </c>
    </row>
    <row r="305" spans="1:20" x14ac:dyDescent="0.25">
      <c r="A305" s="5">
        <v>44288</v>
      </c>
      <c r="B305">
        <v>0.54108999999999996</v>
      </c>
      <c r="C305">
        <v>0.55000000000000004</v>
      </c>
      <c r="D305">
        <v>0.52054999999999996</v>
      </c>
      <c r="E305">
        <v>0.53171000000000002</v>
      </c>
      <c r="F305">
        <v>32367952.100000001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-0.24210526315789299</v>
      </c>
      <c r="Q305">
        <f t="shared" si="965"/>
        <v>-7836451.5610525757</v>
      </c>
      <c r="R305">
        <f t="shared" si="966"/>
        <v>89586287.48602353</v>
      </c>
      <c r="S305">
        <f t="shared" si="967"/>
        <v>895.86287486023525</v>
      </c>
      <c r="T305">
        <f t="shared" si="968"/>
        <v>0.8958628748602353</v>
      </c>
    </row>
    <row r="306" spans="1:20" x14ac:dyDescent="0.25">
      <c r="A306" s="5">
        <v>44287</v>
      </c>
      <c r="B306">
        <v>0.48909999999999998</v>
      </c>
      <c r="C306">
        <v>0.62222</v>
      </c>
      <c r="D306">
        <v>0.48137999999999997</v>
      </c>
      <c r="E306">
        <v>0.54215000000000002</v>
      </c>
      <c r="F306">
        <v>74447877.400000006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-0.13703493325759675</v>
      </c>
      <c r="Q306">
        <f t="shared" si="965"/>
        <v>-10201959.910678746</v>
      </c>
      <c r="R306">
        <f t="shared" si="966"/>
        <v>97422739.047076106</v>
      </c>
      <c r="S306">
        <f t="shared" si="967"/>
        <v>974.22739047076107</v>
      </c>
      <c r="T306">
        <f t="shared" si="968"/>
        <v>0.97422739047076101</v>
      </c>
    </row>
    <row r="307" spans="1:20" x14ac:dyDescent="0.25">
      <c r="A307" s="5">
        <v>44286</v>
      </c>
      <c r="B307">
        <v>0.52436000000000005</v>
      </c>
      <c r="C307">
        <v>0.53671999999999997</v>
      </c>
      <c r="D307">
        <v>0.46638000000000002</v>
      </c>
      <c r="E307">
        <v>0.48996000000000001</v>
      </c>
      <c r="F307">
        <v>33571196.700000003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-0.32954222348592538</v>
      </c>
      <c r="Q307">
        <f t="shared" si="965"/>
        <v>-11063126.805601362</v>
      </c>
      <c r="R307">
        <f t="shared" si="966"/>
        <v>107624698.95775485</v>
      </c>
      <c r="S307">
        <f t="shared" si="967"/>
        <v>1076.2469895775484</v>
      </c>
      <c r="T307">
        <f t="shared" si="968"/>
        <v>1.0762469895775484</v>
      </c>
    </row>
    <row r="308" spans="1:20" x14ac:dyDescent="0.25">
      <c r="A308" s="5">
        <v>44285</v>
      </c>
      <c r="B308">
        <v>0.51905999999999997</v>
      </c>
      <c r="C308">
        <v>0.57435999999999998</v>
      </c>
      <c r="D308">
        <v>0.50810999999999995</v>
      </c>
      <c r="E308">
        <v>0.52508999999999995</v>
      </c>
      <c r="F308">
        <v>40513725.600000001</v>
      </c>
      <c r="G308">
        <v>0</v>
      </c>
      <c r="L308" t="s">
        <v>8</v>
      </c>
      <c r="M308" t="s">
        <v>7</v>
      </c>
      <c r="N308" t="s">
        <v>8</v>
      </c>
      <c r="P308">
        <f t="shared" si="964"/>
        <v>-0.48739622641509472</v>
      </c>
      <c r="Q308">
        <f t="shared" si="965"/>
        <v>-19746236.975456621</v>
      </c>
      <c r="R308">
        <f t="shared" si="966"/>
        <v>118687825.76335621</v>
      </c>
      <c r="S308">
        <f t="shared" si="967"/>
        <v>1186.878257633562</v>
      </c>
      <c r="T308">
        <f t="shared" si="968"/>
        <v>1.1868782576335621</v>
      </c>
    </row>
    <row r="309" spans="1:20" x14ac:dyDescent="0.25">
      <c r="A309" s="5">
        <v>44284</v>
      </c>
      <c r="B309">
        <v>0.52200999999999997</v>
      </c>
      <c r="C309">
        <v>0.54535</v>
      </c>
      <c r="D309">
        <v>0.49890000000000001</v>
      </c>
      <c r="E309">
        <v>0.51865000000000006</v>
      </c>
      <c r="F309">
        <v>43316883.899999999</v>
      </c>
      <c r="G309">
        <v>0</v>
      </c>
      <c r="L309" t="s">
        <v>7</v>
      </c>
      <c r="M309" t="s">
        <v>7</v>
      </c>
      <c r="N309" t="s">
        <v>8</v>
      </c>
      <c r="P309">
        <f t="shared" si="964"/>
        <v>-0.14962325080731759</v>
      </c>
      <c r="Q309">
        <f t="shared" si="965"/>
        <v>-6481212.9839611566</v>
      </c>
      <c r="R309">
        <f t="shared" si="966"/>
        <v>138434062.73881283</v>
      </c>
      <c r="S309">
        <f t="shared" si="967"/>
        <v>1384.3406273881283</v>
      </c>
      <c r="T309">
        <f t="shared" si="968"/>
        <v>1.3843406273881282</v>
      </c>
    </row>
    <row r="310" spans="1:20" x14ac:dyDescent="0.25">
      <c r="A310" s="5">
        <v>44283</v>
      </c>
      <c r="B310">
        <v>0.55159999999999998</v>
      </c>
      <c r="C310">
        <v>0.66788999999999998</v>
      </c>
      <c r="D310">
        <v>0.51136999999999999</v>
      </c>
      <c r="E310">
        <v>0.52203999999999995</v>
      </c>
      <c r="F310">
        <v>112455951.3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-0.86365959621773625</v>
      </c>
      <c r="Q310">
        <f t="shared" si="965"/>
        <v>-97123661.492039412</v>
      </c>
      <c r="R310">
        <f t="shared" si="966"/>
        <v>144915275.722774</v>
      </c>
      <c r="S310">
        <f t="shared" si="967"/>
        <v>1449.15275722774</v>
      </c>
      <c r="T310">
        <f t="shared" si="968"/>
        <v>1.4491527572277401</v>
      </c>
    </row>
    <row r="311" spans="1:20" x14ac:dyDescent="0.25">
      <c r="A311" s="5">
        <v>44282</v>
      </c>
      <c r="B311">
        <v>0.41363</v>
      </c>
      <c r="C311">
        <v>0.63</v>
      </c>
      <c r="D311">
        <v>0.41344999999999998</v>
      </c>
      <c r="E311">
        <v>0.55032000000000003</v>
      </c>
      <c r="F311">
        <v>211996771.69999999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0.26409605172015732</v>
      </c>
      <c r="Q311">
        <f t="shared" si="965"/>
        <v>55987510.383389577</v>
      </c>
      <c r="R311">
        <f t="shared" si="966"/>
        <v>242038937.21481341</v>
      </c>
      <c r="S311">
        <f t="shared" si="967"/>
        <v>2420.389372148134</v>
      </c>
      <c r="T311">
        <f t="shared" si="968"/>
        <v>2.4203893721481342</v>
      </c>
    </row>
    <row r="312" spans="1:20" x14ac:dyDescent="0.25">
      <c r="A312" s="5">
        <v>44281</v>
      </c>
      <c r="B312">
        <v>0.39810000000000001</v>
      </c>
      <c r="C312">
        <v>0.43314000000000002</v>
      </c>
      <c r="D312">
        <v>0.39317000000000002</v>
      </c>
      <c r="E312">
        <v>0.41363</v>
      </c>
      <c r="F312">
        <v>44357074.200000003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2.3767825869400818E-2</v>
      </c>
      <c r="Q312">
        <f t="shared" si="965"/>
        <v>1054271.2156616917</v>
      </c>
      <c r="R312">
        <f t="shared" si="966"/>
        <v>186051426.83142385</v>
      </c>
      <c r="S312">
        <f t="shared" si="967"/>
        <v>1860.5142683142385</v>
      </c>
      <c r="T312">
        <f t="shared" si="968"/>
        <v>1.8605142683142386</v>
      </c>
    </row>
    <row r="313" spans="1:20" x14ac:dyDescent="0.25">
      <c r="A313" s="5">
        <v>44280</v>
      </c>
      <c r="B313">
        <v>0.36286000000000002</v>
      </c>
      <c r="C313">
        <v>0.4047</v>
      </c>
      <c r="D313">
        <v>0.33810000000000001</v>
      </c>
      <c r="E313">
        <v>0.39810000000000001</v>
      </c>
      <c r="F313">
        <v>57724383.5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0.80180180180180194</v>
      </c>
      <c r="Q313">
        <f t="shared" si="965"/>
        <v>46283514.698198207</v>
      </c>
      <c r="R313">
        <f t="shared" si="966"/>
        <v>184997155.61576214</v>
      </c>
      <c r="S313">
        <f t="shared" si="967"/>
        <v>1849.9715561576215</v>
      </c>
      <c r="T313">
        <f t="shared" si="968"/>
        <v>1.8499715561576215</v>
      </c>
    </row>
    <row r="314" spans="1:20" x14ac:dyDescent="0.25">
      <c r="A314" s="5">
        <v>44279</v>
      </c>
      <c r="B314">
        <v>0.39589000000000002</v>
      </c>
      <c r="C314">
        <v>0.43493999999999999</v>
      </c>
      <c r="D314">
        <v>0.34071000000000001</v>
      </c>
      <c r="E314">
        <v>0.36320999999999998</v>
      </c>
      <c r="F314">
        <v>79520536.799999997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-0.52244508118433686</v>
      </c>
      <c r="Q314">
        <f t="shared" si="965"/>
        <v>-41545113.304298043</v>
      </c>
      <c r="R314">
        <f t="shared" si="966"/>
        <v>138713640.91756395</v>
      </c>
      <c r="S314">
        <f t="shared" si="967"/>
        <v>1387.1364091756395</v>
      </c>
      <c r="T314">
        <f t="shared" si="968"/>
        <v>1.3871364091756395</v>
      </c>
    </row>
    <row r="315" spans="1:20" x14ac:dyDescent="0.25">
      <c r="A315" s="5">
        <v>44278</v>
      </c>
      <c r="B315">
        <v>0.32362999999999997</v>
      </c>
      <c r="C315">
        <v>0.45117000000000002</v>
      </c>
      <c r="D315">
        <v>0.3</v>
      </c>
      <c r="E315">
        <v>0.39633000000000002</v>
      </c>
      <c r="F315">
        <v>166285620.40000001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0.27445921809882928</v>
      </c>
      <c r="Q315">
        <f t="shared" si="965"/>
        <v>45638621.35606274</v>
      </c>
      <c r="R315">
        <f t="shared" si="966"/>
        <v>180258754.22186199</v>
      </c>
      <c r="S315">
        <f t="shared" si="967"/>
        <v>1802.5875422186198</v>
      </c>
      <c r="T315">
        <f t="shared" si="968"/>
        <v>1.8025875422186197</v>
      </c>
    </row>
    <row r="316" spans="1:20" x14ac:dyDescent="0.25">
      <c r="A316" s="5">
        <v>44277</v>
      </c>
      <c r="B316">
        <v>0.36614999999999998</v>
      </c>
      <c r="C316">
        <v>0.39677000000000001</v>
      </c>
      <c r="D316">
        <v>0.31564999999999999</v>
      </c>
      <c r="E316">
        <v>0.32413999999999998</v>
      </c>
      <c r="F316">
        <v>30260964.800000001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-0.79068047337278125</v>
      </c>
      <c r="Q316">
        <f t="shared" si="965"/>
        <v>-23926753.97278107</v>
      </c>
      <c r="R316">
        <f t="shared" si="966"/>
        <v>134620132.86579925</v>
      </c>
      <c r="S316">
        <f t="shared" si="967"/>
        <v>1346.2013286579925</v>
      </c>
      <c r="T316">
        <f t="shared" si="968"/>
        <v>1.3462013286579924</v>
      </c>
    </row>
    <row r="317" spans="1:20" x14ac:dyDescent="0.25">
      <c r="A317" s="5">
        <v>44276</v>
      </c>
      <c r="B317">
        <v>0.36687999999999998</v>
      </c>
      <c r="C317">
        <v>0.375</v>
      </c>
      <c r="D317">
        <v>0.34336</v>
      </c>
      <c r="E317">
        <v>0.36596000000000001</v>
      </c>
      <c r="F317">
        <v>33020658.100000001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0.42857142857142905</v>
      </c>
      <c r="Q317">
        <f t="shared" si="965"/>
        <v>14151710.61428573</v>
      </c>
      <c r="R317">
        <f t="shared" si="966"/>
        <v>158546886.83858031</v>
      </c>
      <c r="S317">
        <f t="shared" si="967"/>
        <v>1585.468868385803</v>
      </c>
      <c r="T317">
        <f t="shared" si="968"/>
        <v>1.5854688683858031</v>
      </c>
    </row>
    <row r="318" spans="1:20" x14ac:dyDescent="0.25">
      <c r="A318" s="5">
        <v>44275</v>
      </c>
      <c r="B318">
        <v>0.38585999999999998</v>
      </c>
      <c r="C318">
        <v>0.41237000000000001</v>
      </c>
      <c r="D318">
        <v>0.36499999999999999</v>
      </c>
      <c r="E318">
        <v>0.36699999999999999</v>
      </c>
      <c r="F318">
        <v>27173782.899999999</v>
      </c>
      <c r="G318">
        <v>0</v>
      </c>
      <c r="L318" t="s">
        <v>7</v>
      </c>
      <c r="M318" t="s">
        <v>7</v>
      </c>
      <c r="N318" t="s">
        <v>8</v>
      </c>
      <c r="P318">
        <f t="shared" si="964"/>
        <v>-0.9155583702765463</v>
      </c>
      <c r="Q318">
        <f t="shared" si="965"/>
        <v>-24879184.386172682</v>
      </c>
      <c r="R318">
        <f t="shared" si="966"/>
        <v>144395176.22429457</v>
      </c>
      <c r="S318">
        <f t="shared" si="967"/>
        <v>1443.9517622429457</v>
      </c>
      <c r="T318">
        <f t="shared" si="968"/>
        <v>1.4439517622429456</v>
      </c>
    </row>
    <row r="319" spans="1:20" x14ac:dyDescent="0.25">
      <c r="A319" s="5">
        <v>44274</v>
      </c>
      <c r="B319">
        <v>0.39604</v>
      </c>
      <c r="C319">
        <v>0.41199999999999998</v>
      </c>
      <c r="D319">
        <v>0.38</v>
      </c>
      <c r="E319">
        <v>0.38513999999999998</v>
      </c>
      <c r="F319">
        <v>31681787.300000001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-0.67875000000000107</v>
      </c>
      <c r="Q319">
        <f t="shared" si="965"/>
        <v>-21504013.129875034</v>
      </c>
      <c r="R319">
        <f t="shared" si="966"/>
        <v>169274360.61046726</v>
      </c>
      <c r="S319">
        <f t="shared" si="967"/>
        <v>1692.7436061046726</v>
      </c>
      <c r="T319">
        <f t="shared" si="968"/>
        <v>1.6927436061046726</v>
      </c>
    </row>
    <row r="320" spans="1:20" x14ac:dyDescent="0.25">
      <c r="A320" s="5">
        <v>44273</v>
      </c>
      <c r="B320">
        <v>0.45195000000000002</v>
      </c>
      <c r="C320">
        <v>0.45274999999999999</v>
      </c>
      <c r="D320">
        <v>0.39100000000000001</v>
      </c>
      <c r="E320">
        <v>0.39604</v>
      </c>
      <c r="F320">
        <v>55355154</v>
      </c>
      <c r="G320">
        <v>0</v>
      </c>
      <c r="L320" t="s">
        <v>7</v>
      </c>
      <c r="M320" t="s">
        <v>7</v>
      </c>
      <c r="N320" t="s">
        <v>8</v>
      </c>
      <c r="P320">
        <f t="shared" si="964"/>
        <v>-0.83676113360323912</v>
      </c>
      <c r="Q320">
        <f t="shared" si="965"/>
        <v>-46319041.411821879</v>
      </c>
      <c r="R320">
        <f t="shared" si="966"/>
        <v>190778373.74034229</v>
      </c>
      <c r="S320">
        <f t="shared" si="967"/>
        <v>1907.7837374034229</v>
      </c>
      <c r="T320">
        <f t="shared" si="968"/>
        <v>1.907783737403423</v>
      </c>
    </row>
    <row r="321" spans="1:20" x14ac:dyDescent="0.25">
      <c r="A321" s="5">
        <v>44272</v>
      </c>
      <c r="B321">
        <v>0.36556</v>
      </c>
      <c r="C321">
        <v>0.46851999999999999</v>
      </c>
      <c r="D321">
        <v>0.35475000000000001</v>
      </c>
      <c r="E321">
        <v>0.45195000000000002</v>
      </c>
      <c r="F321">
        <v>104960870.7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0.7087105563856908</v>
      </c>
      <c r="Q321">
        <f t="shared" si="965"/>
        <v>74386877.072523549</v>
      </c>
      <c r="R321">
        <f t="shared" si="966"/>
        <v>237097415.15216416</v>
      </c>
      <c r="S321">
        <f t="shared" si="967"/>
        <v>2370.9741515216415</v>
      </c>
      <c r="T321">
        <f t="shared" si="968"/>
        <v>2.3709741515216414</v>
      </c>
    </row>
    <row r="322" spans="1:20" x14ac:dyDescent="0.25">
      <c r="A322" s="5">
        <v>44271</v>
      </c>
      <c r="B322">
        <v>0.38591999999999999</v>
      </c>
      <c r="C322">
        <v>0.39341999999999999</v>
      </c>
      <c r="D322">
        <v>0.34838000000000002</v>
      </c>
      <c r="E322">
        <v>0.36557000000000001</v>
      </c>
      <c r="F322">
        <v>42044958.899999999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-0.23667850799289544</v>
      </c>
      <c r="Q322">
        <f t="shared" si="965"/>
        <v>-9951138.1410746109</v>
      </c>
      <c r="R322">
        <f t="shared" si="966"/>
        <v>162710538.0796406</v>
      </c>
      <c r="S322">
        <f t="shared" si="967"/>
        <v>1627.1053807964061</v>
      </c>
      <c r="T322">
        <f t="shared" si="968"/>
        <v>1.627105380796406</v>
      </c>
    </row>
    <row r="323" spans="1:20" x14ac:dyDescent="0.25">
      <c r="A323" s="5">
        <v>44270</v>
      </c>
      <c r="B323">
        <v>0.35049999999999998</v>
      </c>
      <c r="C323">
        <v>0.41843999999999998</v>
      </c>
      <c r="D323">
        <v>0.35005999999999998</v>
      </c>
      <c r="E323">
        <v>0.38579000000000002</v>
      </c>
      <c r="F323">
        <v>66014141.899999999</v>
      </c>
      <c r="G323">
        <v>0</v>
      </c>
      <c r="L323" t="s">
        <v>8</v>
      </c>
      <c r="M323" t="s">
        <v>8</v>
      </c>
      <c r="N323" t="s">
        <v>7</v>
      </c>
      <c r="P323">
        <f t="shared" si="964"/>
        <v>4.5042410061422677E-2</v>
      </c>
      <c r="Q323">
        <f t="shared" si="965"/>
        <v>2973436.0493127443</v>
      </c>
      <c r="R323">
        <f t="shared" si="966"/>
        <v>172661676.22071519</v>
      </c>
      <c r="S323">
        <f t="shared" si="967"/>
        <v>1726.6167622071519</v>
      </c>
      <c r="T323">
        <f t="shared" si="968"/>
        <v>1.7266167622071518</v>
      </c>
    </row>
    <row r="324" spans="1:20" x14ac:dyDescent="0.25">
      <c r="A324" s="5">
        <v>44269</v>
      </c>
      <c r="B324">
        <v>0.38425999999999999</v>
      </c>
      <c r="C324">
        <v>0.39</v>
      </c>
      <c r="D324">
        <v>0.35021999999999998</v>
      </c>
      <c r="E324">
        <v>0.35049999999999998</v>
      </c>
      <c r="F324">
        <v>46866364.600000001</v>
      </c>
      <c r="G324">
        <v>0</v>
      </c>
      <c r="L324" t="s">
        <v>8</v>
      </c>
      <c r="M324" t="s">
        <v>7</v>
      </c>
      <c r="N324" t="s">
        <v>7</v>
      </c>
      <c r="P324">
        <f t="shared" si="964"/>
        <v>-0.98592257415786821</v>
      </c>
      <c r="Q324">
        <f t="shared" si="965"/>
        <v>-46206606.827853188</v>
      </c>
      <c r="R324">
        <f t="shared" si="966"/>
        <v>169688240.17140245</v>
      </c>
      <c r="S324">
        <f t="shared" si="967"/>
        <v>1696.8824017140246</v>
      </c>
      <c r="T324">
        <f t="shared" si="968"/>
        <v>1.6968824017140245</v>
      </c>
    </row>
    <row r="325" spans="1:20" x14ac:dyDescent="0.25">
      <c r="A325" s="5">
        <v>44268</v>
      </c>
      <c r="B325">
        <v>0.35213</v>
      </c>
      <c r="C325">
        <v>0.43</v>
      </c>
      <c r="D325">
        <v>0.34029999999999999</v>
      </c>
      <c r="E325">
        <v>0.38497999999999999</v>
      </c>
      <c r="F325">
        <v>87769148.700000003</v>
      </c>
      <c r="G325">
        <v>0</v>
      </c>
      <c r="L325" t="s">
        <v>7</v>
      </c>
      <c r="M325" t="s">
        <v>7</v>
      </c>
      <c r="N325" t="s">
        <v>7</v>
      </c>
      <c r="P325">
        <f t="shared" si="964"/>
        <v>-3.7904124860647375E-3</v>
      </c>
      <c r="Q325">
        <f t="shared" si="965"/>
        <v>-332681.27712375263</v>
      </c>
      <c r="R325">
        <f t="shared" si="966"/>
        <v>215894846.99925566</v>
      </c>
      <c r="S325">
        <f t="shared" si="967"/>
        <v>2158.9484699925565</v>
      </c>
      <c r="T325">
        <f t="shared" si="968"/>
        <v>2.1589484699925565</v>
      </c>
    </row>
    <row r="326" spans="1:20" x14ac:dyDescent="0.25">
      <c r="A326" s="5">
        <v>44267</v>
      </c>
      <c r="B326">
        <v>0.38845000000000002</v>
      </c>
      <c r="C326">
        <v>0.44950000000000001</v>
      </c>
      <c r="D326">
        <v>0.34439999999999998</v>
      </c>
      <c r="E326">
        <v>0.35210000000000002</v>
      </c>
      <c r="F326">
        <v>137291087.5</v>
      </c>
      <c r="G326">
        <v>0</v>
      </c>
      <c r="L326" t="s">
        <v>7</v>
      </c>
      <c r="M326" t="s">
        <v>7</v>
      </c>
      <c r="N326" t="s">
        <v>7</v>
      </c>
      <c r="P326">
        <f t="shared" ref="P326:P389" si="969">IF(C326=D326,0,((E326-D326)-(C326-E326))/(C326-D326))</f>
        <v>-0.85347288296860058</v>
      </c>
      <c r="Q326">
        <f t="shared" ref="Q326:Q389" si="970">F326*P326</f>
        <v>-117174220.2545194</v>
      </c>
      <c r="R326">
        <f t="shared" ref="R326:R389" si="971">R327+Q326</f>
        <v>216227528.27637941</v>
      </c>
      <c r="S326">
        <f t="shared" ref="S326:S389" si="972">R326/100000</f>
        <v>2162.2752827637942</v>
      </c>
      <c r="T326">
        <f t="shared" ref="T326:T389" si="973">S326/1000</f>
        <v>2.1622752827637943</v>
      </c>
    </row>
    <row r="327" spans="1:20" x14ac:dyDescent="0.25">
      <c r="A327" s="5">
        <v>44266</v>
      </c>
      <c r="B327">
        <v>0.39540999999999998</v>
      </c>
      <c r="C327">
        <v>0.52827999999999997</v>
      </c>
      <c r="D327">
        <v>0.38558999999999999</v>
      </c>
      <c r="E327">
        <v>0.38817000000000002</v>
      </c>
      <c r="F327">
        <v>167636839.90000001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-0.9638376900974136</v>
      </c>
      <c r="Q327">
        <f t="shared" si="970"/>
        <v>-161574704.54444593</v>
      </c>
      <c r="R327">
        <f t="shared" si="971"/>
        <v>333401748.53089881</v>
      </c>
      <c r="S327">
        <f t="shared" si="972"/>
        <v>3334.0174853089879</v>
      </c>
      <c r="T327">
        <f t="shared" si="973"/>
        <v>3.3340174853089879</v>
      </c>
    </row>
    <row r="328" spans="1:20" x14ac:dyDescent="0.25">
      <c r="A328" s="5">
        <v>44265</v>
      </c>
      <c r="B328">
        <v>0.36514000000000002</v>
      </c>
      <c r="C328">
        <v>0.437</v>
      </c>
      <c r="D328">
        <v>0.32884999999999998</v>
      </c>
      <c r="E328">
        <v>0.39454</v>
      </c>
      <c r="F328">
        <v>119210882.8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0.2147942672214519</v>
      </c>
      <c r="Q328">
        <f t="shared" si="970"/>
        <v>25605814.215848383</v>
      </c>
      <c r="R328">
        <f t="shared" si="971"/>
        <v>494976453.07534474</v>
      </c>
      <c r="S328">
        <f t="shared" si="972"/>
        <v>4949.7645307534476</v>
      </c>
      <c r="T328">
        <f t="shared" si="973"/>
        <v>4.9497645307534475</v>
      </c>
    </row>
    <row r="329" spans="1:20" x14ac:dyDescent="0.25">
      <c r="A329" s="5">
        <v>44264</v>
      </c>
      <c r="B329">
        <v>0.25985999999999998</v>
      </c>
      <c r="C329">
        <v>0.39300000000000002</v>
      </c>
      <c r="D329">
        <v>0.25985999999999998</v>
      </c>
      <c r="E329">
        <v>0.36518</v>
      </c>
      <c r="F329">
        <v>103364949.7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0.5820940363527114</v>
      </c>
      <c r="Q329">
        <f t="shared" si="970"/>
        <v>60168120.788267985</v>
      </c>
      <c r="R329">
        <f t="shared" si="971"/>
        <v>469370638.85949636</v>
      </c>
      <c r="S329">
        <f t="shared" si="972"/>
        <v>4693.7063885949638</v>
      </c>
      <c r="T329">
        <f t="shared" si="973"/>
        <v>4.6937063885949639</v>
      </c>
    </row>
    <row r="330" spans="1:20" x14ac:dyDescent="0.25">
      <c r="A330" s="5">
        <v>44263</v>
      </c>
      <c r="B330">
        <v>0.27577000000000002</v>
      </c>
      <c r="C330">
        <v>0.28466000000000002</v>
      </c>
      <c r="D330">
        <v>0.25169000000000002</v>
      </c>
      <c r="E330">
        <v>0.25918999999999998</v>
      </c>
      <c r="F330">
        <v>41738942.899999999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-0.54504094631483457</v>
      </c>
      <c r="Q330">
        <f t="shared" si="970"/>
        <v>-22749432.936396845</v>
      </c>
      <c r="R330">
        <f t="shared" si="971"/>
        <v>409202518.07122838</v>
      </c>
      <c r="S330">
        <f t="shared" si="972"/>
        <v>4092.0251807122841</v>
      </c>
      <c r="T330">
        <f t="shared" si="973"/>
        <v>4.0920251807122838</v>
      </c>
    </row>
    <row r="331" spans="1:20" x14ac:dyDescent="0.25">
      <c r="A331" s="5">
        <v>44262</v>
      </c>
      <c r="B331">
        <v>0.22281999999999999</v>
      </c>
      <c r="C331">
        <v>0.27966999999999997</v>
      </c>
      <c r="D331">
        <v>0.21789</v>
      </c>
      <c r="E331">
        <v>0.27576000000000001</v>
      </c>
      <c r="F331">
        <v>82577254.900000006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0.87342181935901686</v>
      </c>
      <c r="Q331">
        <f t="shared" si="970"/>
        <v>72124776.212431297</v>
      </c>
      <c r="R331">
        <f t="shared" si="971"/>
        <v>431951951.00762522</v>
      </c>
      <c r="S331">
        <f t="shared" si="972"/>
        <v>4319.5195100762521</v>
      </c>
      <c r="T331">
        <f t="shared" si="973"/>
        <v>4.319519510076252</v>
      </c>
    </row>
    <row r="332" spans="1:20" x14ac:dyDescent="0.25">
      <c r="A332" s="5">
        <v>44261</v>
      </c>
      <c r="B332">
        <v>0.22697999999999999</v>
      </c>
      <c r="C332">
        <v>0.22978999999999999</v>
      </c>
      <c r="D332">
        <v>0.21245</v>
      </c>
      <c r="E332">
        <v>0.22284000000000001</v>
      </c>
      <c r="F332">
        <v>19451641.800000001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0.19838523644752176</v>
      </c>
      <c r="Q332">
        <f t="shared" si="970"/>
        <v>3858918.557785498</v>
      </c>
      <c r="R332">
        <f t="shared" si="971"/>
        <v>359827174.79519391</v>
      </c>
      <c r="S332">
        <f t="shared" si="972"/>
        <v>3598.2717479519392</v>
      </c>
      <c r="T332">
        <f t="shared" si="973"/>
        <v>3.598271747951939</v>
      </c>
    </row>
    <row r="333" spans="1:20" x14ac:dyDescent="0.25">
      <c r="A333" s="5">
        <v>44260</v>
      </c>
      <c r="B333">
        <v>0.21665000000000001</v>
      </c>
      <c r="C333">
        <v>0.23577000000000001</v>
      </c>
      <c r="D333">
        <v>0.20222000000000001</v>
      </c>
      <c r="E333">
        <v>0.22638</v>
      </c>
      <c r="F333">
        <v>39476133.200000003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0.44023845007451501</v>
      </c>
      <c r="Q333">
        <f t="shared" si="970"/>
        <v>17378911.694903105</v>
      </c>
      <c r="R333">
        <f t="shared" si="971"/>
        <v>355968256.2374084</v>
      </c>
      <c r="S333">
        <f t="shared" si="972"/>
        <v>3559.6825623740838</v>
      </c>
      <c r="T333">
        <f t="shared" si="973"/>
        <v>3.5596825623740838</v>
      </c>
    </row>
    <row r="334" spans="1:20" x14ac:dyDescent="0.25">
      <c r="A334" s="5">
        <v>44259</v>
      </c>
      <c r="B334">
        <v>0.2165</v>
      </c>
      <c r="C334">
        <v>0.2392</v>
      </c>
      <c r="D334">
        <v>0.20150000000000001</v>
      </c>
      <c r="E334">
        <v>0.21698999999999999</v>
      </c>
      <c r="F334">
        <v>63705092.799999997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-0.17824933687002745</v>
      </c>
      <c r="Q334">
        <f t="shared" si="970"/>
        <v>-11355390.54684356</v>
      </c>
      <c r="R334">
        <f t="shared" si="971"/>
        <v>338589344.54250532</v>
      </c>
      <c r="S334">
        <f t="shared" si="972"/>
        <v>3385.8934454250534</v>
      </c>
      <c r="T334">
        <f t="shared" si="973"/>
        <v>3.3858934454250535</v>
      </c>
    </row>
    <row r="335" spans="1:20" x14ac:dyDescent="0.25">
      <c r="A335" s="5">
        <v>44258</v>
      </c>
      <c r="B335">
        <v>0.17388999999999999</v>
      </c>
      <c r="C335">
        <v>0.23200000000000001</v>
      </c>
      <c r="D335">
        <v>0.17202000000000001</v>
      </c>
      <c r="E335">
        <v>0.21701000000000001</v>
      </c>
      <c r="F335">
        <v>112700958.5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0.50016672224074687</v>
      </c>
      <c r="Q335">
        <f t="shared" si="970"/>
        <v>56369269.006335437</v>
      </c>
      <c r="R335">
        <f t="shared" si="971"/>
        <v>349944735.08934891</v>
      </c>
      <c r="S335">
        <f t="shared" si="972"/>
        <v>3499.4473508934893</v>
      </c>
      <c r="T335">
        <f t="shared" si="973"/>
        <v>3.4994473508934894</v>
      </c>
    </row>
    <row r="336" spans="1:20" x14ac:dyDescent="0.25">
      <c r="A336" s="5">
        <v>44257</v>
      </c>
      <c r="B336">
        <v>0.18743000000000001</v>
      </c>
      <c r="C336">
        <v>0.18991</v>
      </c>
      <c r="D336">
        <v>0.1653</v>
      </c>
      <c r="E336">
        <v>0.17438000000000001</v>
      </c>
      <c r="F336">
        <v>28128499.5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-0.26208858187728507</v>
      </c>
      <c r="Q336">
        <f t="shared" si="970"/>
        <v>-7372158.5442909217</v>
      </c>
      <c r="R336">
        <f t="shared" si="971"/>
        <v>293575466.08301347</v>
      </c>
      <c r="S336">
        <f t="shared" si="972"/>
        <v>2935.7546608301345</v>
      </c>
      <c r="T336">
        <f t="shared" si="973"/>
        <v>2.9357546608301344</v>
      </c>
    </row>
    <row r="337" spans="1:20" x14ac:dyDescent="0.25">
      <c r="A337" s="5">
        <v>44256</v>
      </c>
      <c r="B337">
        <v>0.17102000000000001</v>
      </c>
      <c r="C337">
        <v>0.193</v>
      </c>
      <c r="D337">
        <v>0.16916999999999999</v>
      </c>
      <c r="E337">
        <v>0.18739</v>
      </c>
      <c r="F337">
        <v>36574988.399999999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0.52916491817037348</v>
      </c>
      <c r="Q337">
        <f t="shared" si="970"/>
        <v>19354200.743768357</v>
      </c>
      <c r="R337">
        <f t="shared" si="971"/>
        <v>300947624.62730438</v>
      </c>
      <c r="S337">
        <f t="shared" si="972"/>
        <v>3009.4762462730437</v>
      </c>
      <c r="T337">
        <f t="shared" si="973"/>
        <v>3.0094762462730436</v>
      </c>
    </row>
    <row r="338" spans="1:20" x14ac:dyDescent="0.25">
      <c r="A338" s="5">
        <v>44255</v>
      </c>
      <c r="B338">
        <v>0.17118</v>
      </c>
      <c r="C338">
        <v>0.17799000000000001</v>
      </c>
      <c r="D338">
        <v>0.15015000000000001</v>
      </c>
      <c r="E338">
        <v>0.17113999999999999</v>
      </c>
      <c r="F338">
        <v>54252527.600000001</v>
      </c>
      <c r="G338">
        <v>0</v>
      </c>
      <c r="L338" t="s">
        <v>7</v>
      </c>
      <c r="M338" t="s">
        <v>8</v>
      </c>
      <c r="N338" t="s">
        <v>7</v>
      </c>
      <c r="P338">
        <f t="shared" si="969"/>
        <v>0.50790229885057314</v>
      </c>
      <c r="Q338">
        <f t="shared" si="970"/>
        <v>27554983.486494169</v>
      </c>
      <c r="R338">
        <f t="shared" si="971"/>
        <v>281593423.88353604</v>
      </c>
      <c r="S338">
        <f t="shared" si="972"/>
        <v>2815.9342388353602</v>
      </c>
      <c r="T338">
        <f t="shared" si="973"/>
        <v>2.8159342388353603</v>
      </c>
    </row>
    <row r="339" spans="1:20" x14ac:dyDescent="0.25">
      <c r="A339" s="5">
        <v>44254</v>
      </c>
      <c r="B339">
        <v>0.15495</v>
      </c>
      <c r="C339">
        <v>0.18068999999999999</v>
      </c>
      <c r="D339">
        <v>0.15337000000000001</v>
      </c>
      <c r="E339">
        <v>0.17132</v>
      </c>
      <c r="F339">
        <v>44503803.799999997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0.31405563689604721</v>
      </c>
      <c r="Q339">
        <f t="shared" si="970"/>
        <v>13976670.446705725</v>
      </c>
      <c r="R339">
        <f t="shared" si="971"/>
        <v>254038440.39704189</v>
      </c>
      <c r="S339">
        <f t="shared" si="972"/>
        <v>2540.384403970419</v>
      </c>
      <c r="T339">
        <f t="shared" si="973"/>
        <v>2.5403844039704189</v>
      </c>
    </row>
    <row r="340" spans="1:20" x14ac:dyDescent="0.25">
      <c r="A340" s="5">
        <v>44253</v>
      </c>
      <c r="B340">
        <v>0.16234999999999999</v>
      </c>
      <c r="C340">
        <v>0.16708999999999999</v>
      </c>
      <c r="D340">
        <v>0.14402000000000001</v>
      </c>
      <c r="E340">
        <v>0.15461</v>
      </c>
      <c r="F340">
        <v>46024300.100000001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-8.1924577373212154E-2</v>
      </c>
      <c r="Q340">
        <f t="shared" si="970"/>
        <v>-3770521.3345903861</v>
      </c>
      <c r="R340">
        <f t="shared" si="971"/>
        <v>240061769.95033616</v>
      </c>
      <c r="S340">
        <f t="shared" si="972"/>
        <v>2400.6176995033616</v>
      </c>
      <c r="T340">
        <f t="shared" si="973"/>
        <v>2.4006176995033615</v>
      </c>
    </row>
    <row r="341" spans="1:20" x14ac:dyDescent="0.25">
      <c r="A341" s="5">
        <v>44252</v>
      </c>
      <c r="B341">
        <v>0.18217</v>
      </c>
      <c r="C341">
        <v>0.19777</v>
      </c>
      <c r="D341">
        <v>0.15966</v>
      </c>
      <c r="E341">
        <v>0.16198000000000001</v>
      </c>
      <c r="F341">
        <v>68443300.799999997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-0.87824717921805218</v>
      </c>
      <c r="Q341">
        <f t="shared" si="970"/>
        <v>-60110135.863972649</v>
      </c>
      <c r="R341">
        <f t="shared" si="971"/>
        <v>243832291.28492653</v>
      </c>
      <c r="S341">
        <f t="shared" si="972"/>
        <v>2438.3229128492653</v>
      </c>
      <c r="T341">
        <f t="shared" si="973"/>
        <v>2.4383229128492654</v>
      </c>
    </row>
    <row r="342" spans="1:20" x14ac:dyDescent="0.25">
      <c r="A342" s="5">
        <v>44251</v>
      </c>
      <c r="B342">
        <v>0.14384</v>
      </c>
      <c r="C342">
        <v>0.21662999999999999</v>
      </c>
      <c r="D342">
        <v>0.13352</v>
      </c>
      <c r="E342">
        <v>0.18282999999999999</v>
      </c>
      <c r="F342">
        <v>181646014.59999999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0.18662014198050775</v>
      </c>
      <c r="Q342">
        <f t="shared" si="970"/>
        <v>33898805.034845382</v>
      </c>
      <c r="R342">
        <f t="shared" si="971"/>
        <v>303942427.1488992</v>
      </c>
      <c r="S342">
        <f t="shared" si="972"/>
        <v>3039.424271488992</v>
      </c>
      <c r="T342">
        <f t="shared" si="973"/>
        <v>3.0394242714889921</v>
      </c>
    </row>
    <row r="343" spans="1:20" x14ac:dyDescent="0.25">
      <c r="A343" s="5">
        <v>44250</v>
      </c>
      <c r="B343">
        <v>0.18790999999999999</v>
      </c>
      <c r="C343">
        <v>0.19020999999999999</v>
      </c>
      <c r="D343">
        <v>0.11144</v>
      </c>
      <c r="E343">
        <v>0.14366999999999999</v>
      </c>
      <c r="F343">
        <v>93201475.799999997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-0.18166814777199447</v>
      </c>
      <c r="Q343">
        <f t="shared" si="970"/>
        <v>-16931739.478202365</v>
      </c>
      <c r="R343">
        <f t="shared" si="971"/>
        <v>270043622.11405379</v>
      </c>
      <c r="S343">
        <f t="shared" si="972"/>
        <v>2700.4362211405378</v>
      </c>
      <c r="T343">
        <f t="shared" si="973"/>
        <v>2.7004362211405377</v>
      </c>
    </row>
    <row r="344" spans="1:20" x14ac:dyDescent="0.25">
      <c r="A344" s="5">
        <v>44249</v>
      </c>
      <c r="B344">
        <v>0.20804</v>
      </c>
      <c r="C344">
        <v>0.21229999999999999</v>
      </c>
      <c r="D344">
        <v>0.1474</v>
      </c>
      <c r="E344">
        <v>0.18773999999999999</v>
      </c>
      <c r="F344">
        <v>57273641.200000003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0.2431432973805854</v>
      </c>
      <c r="Q344">
        <f t="shared" si="970"/>
        <v>13925701.97436055</v>
      </c>
      <c r="R344">
        <f t="shared" si="971"/>
        <v>286975361.59225613</v>
      </c>
      <c r="S344">
        <f t="shared" si="972"/>
        <v>2869.7536159225615</v>
      </c>
      <c r="T344">
        <f t="shared" si="973"/>
        <v>2.8697536159225616</v>
      </c>
    </row>
    <row r="345" spans="1:20" x14ac:dyDescent="0.25">
      <c r="A345" s="5">
        <v>44248</v>
      </c>
      <c r="B345">
        <v>0.2031</v>
      </c>
      <c r="C345">
        <v>0.21712999999999999</v>
      </c>
      <c r="D345">
        <v>0.19667999999999999</v>
      </c>
      <c r="E345">
        <v>0.20849000000000001</v>
      </c>
      <c r="F345">
        <v>19944565.300000001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0.15501222493887698</v>
      </c>
      <c r="Q345">
        <f t="shared" si="970"/>
        <v>3091651.4425917207</v>
      </c>
      <c r="R345">
        <f t="shared" si="971"/>
        <v>273049659.6178956</v>
      </c>
      <c r="S345">
        <f t="shared" si="972"/>
        <v>2730.4965961789562</v>
      </c>
      <c r="T345">
        <f t="shared" si="973"/>
        <v>2.730496596178956</v>
      </c>
    </row>
    <row r="346" spans="1:20" x14ac:dyDescent="0.25">
      <c r="A346" s="5">
        <v>44247</v>
      </c>
      <c r="B346">
        <v>0.22755</v>
      </c>
      <c r="C346">
        <v>0.22872000000000001</v>
      </c>
      <c r="D346">
        <v>0.19</v>
      </c>
      <c r="E346">
        <v>0.20321</v>
      </c>
      <c r="F346">
        <v>29630328.399999999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-0.31766528925619847</v>
      </c>
      <c r="Q346">
        <f t="shared" si="970"/>
        <v>-9412526.841942152</v>
      </c>
      <c r="R346">
        <f t="shared" si="971"/>
        <v>269958008.17530388</v>
      </c>
      <c r="S346">
        <f t="shared" si="972"/>
        <v>2699.5800817530389</v>
      </c>
      <c r="T346">
        <f t="shared" si="973"/>
        <v>2.6995800817530391</v>
      </c>
    </row>
    <row r="347" spans="1:20" x14ac:dyDescent="0.25">
      <c r="A347" s="5">
        <v>44246</v>
      </c>
      <c r="B347">
        <v>0.23973</v>
      </c>
      <c r="C347">
        <v>0.24357999999999999</v>
      </c>
      <c r="D347">
        <v>0.22206000000000001</v>
      </c>
      <c r="E347">
        <v>0.22667999999999999</v>
      </c>
      <c r="F347">
        <v>33403698.100000001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-0.57063197026022405</v>
      </c>
      <c r="Q347">
        <f t="shared" si="970"/>
        <v>-19061218.060780704</v>
      </c>
      <c r="R347">
        <f t="shared" si="971"/>
        <v>279370535.01724601</v>
      </c>
      <c r="S347">
        <f t="shared" si="972"/>
        <v>2793.7053501724599</v>
      </c>
      <c r="T347">
        <f t="shared" si="973"/>
        <v>2.79370535017246</v>
      </c>
    </row>
    <row r="348" spans="1:20" x14ac:dyDescent="0.25">
      <c r="A348" s="5">
        <v>44245</v>
      </c>
      <c r="B348">
        <v>0.23671</v>
      </c>
      <c r="C348">
        <v>0.24531</v>
      </c>
      <c r="D348">
        <v>0.22803000000000001</v>
      </c>
      <c r="E348">
        <v>0.23927999999999999</v>
      </c>
      <c r="F348">
        <v>26428870.699999999</v>
      </c>
      <c r="G348">
        <v>0</v>
      </c>
      <c r="L348" t="s">
        <v>7</v>
      </c>
      <c r="M348" t="s">
        <v>8</v>
      </c>
      <c r="N348" t="s">
        <v>8</v>
      </c>
      <c r="P348">
        <f t="shared" si="969"/>
        <v>0.30208333333333204</v>
      </c>
      <c r="Q348">
        <f t="shared" si="970"/>
        <v>7983721.3572916323</v>
      </c>
      <c r="R348">
        <f t="shared" si="971"/>
        <v>298431753.07802671</v>
      </c>
      <c r="S348">
        <f t="shared" si="972"/>
        <v>2984.3175307802671</v>
      </c>
      <c r="T348">
        <f t="shared" si="973"/>
        <v>2.9843175307802672</v>
      </c>
    </row>
    <row r="349" spans="1:20" x14ac:dyDescent="0.25">
      <c r="A349" s="5">
        <v>44244</v>
      </c>
      <c r="B349">
        <v>0.24021999999999999</v>
      </c>
      <c r="C349">
        <v>0.26500000000000001</v>
      </c>
      <c r="D349">
        <v>0.21445</v>
      </c>
      <c r="E349">
        <v>0.23663999999999999</v>
      </c>
      <c r="F349">
        <v>65153839.100000001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-0.12205736894164264</v>
      </c>
      <c r="Q349">
        <f t="shared" si="970"/>
        <v>-7952506.1769931223</v>
      </c>
      <c r="R349">
        <f t="shared" si="971"/>
        <v>290448031.72073507</v>
      </c>
      <c r="S349">
        <f t="shared" si="972"/>
        <v>2904.4803172073507</v>
      </c>
      <c r="T349">
        <f t="shared" si="973"/>
        <v>2.9044803172073506</v>
      </c>
    </row>
    <row r="350" spans="1:20" x14ac:dyDescent="0.25">
      <c r="A350" s="5">
        <v>44243</v>
      </c>
      <c r="B350">
        <v>0.20288999999999999</v>
      </c>
      <c r="C350">
        <v>0.24268999999999999</v>
      </c>
      <c r="D350">
        <v>0.19417000000000001</v>
      </c>
      <c r="E350">
        <v>0.24081</v>
      </c>
      <c r="F350">
        <v>73951920.099999994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0.92250618301731269</v>
      </c>
      <c r="Q350">
        <f t="shared" si="970"/>
        <v>68221103.538252279</v>
      </c>
      <c r="R350">
        <f t="shared" si="971"/>
        <v>298400537.8977282</v>
      </c>
      <c r="S350">
        <f t="shared" si="972"/>
        <v>2984.0053789772819</v>
      </c>
      <c r="T350">
        <f t="shared" si="973"/>
        <v>2.9840053789772818</v>
      </c>
    </row>
    <row r="351" spans="1:20" x14ac:dyDescent="0.25">
      <c r="A351" s="5">
        <v>44242</v>
      </c>
      <c r="B351">
        <v>0.23469000000000001</v>
      </c>
      <c r="C351">
        <v>0.24426</v>
      </c>
      <c r="D351">
        <v>0.18551000000000001</v>
      </c>
      <c r="E351">
        <v>0.20307</v>
      </c>
      <c r="F351">
        <v>71263825.200000003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-0.40221276595744704</v>
      </c>
      <c r="Q351">
        <f t="shared" si="970"/>
        <v>-28663220.246400017</v>
      </c>
      <c r="R351">
        <f t="shared" si="971"/>
        <v>230179434.35947594</v>
      </c>
      <c r="S351">
        <f t="shared" si="972"/>
        <v>2301.7943435947595</v>
      </c>
      <c r="T351">
        <f t="shared" si="973"/>
        <v>2.3017943435947594</v>
      </c>
    </row>
    <row r="352" spans="1:20" x14ac:dyDescent="0.25">
      <c r="A352" s="5">
        <v>44241</v>
      </c>
      <c r="B352">
        <v>0.22414999999999999</v>
      </c>
      <c r="C352">
        <v>0.26766000000000001</v>
      </c>
      <c r="D352">
        <v>0.19611000000000001</v>
      </c>
      <c r="E352">
        <v>0.23469000000000001</v>
      </c>
      <c r="F352">
        <v>80609546.400000006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7.8406708595387897E-2</v>
      </c>
      <c r="Q352">
        <f t="shared" si="970"/>
        <v>6320329.2145912005</v>
      </c>
      <c r="R352">
        <f t="shared" si="971"/>
        <v>258842654.60587597</v>
      </c>
      <c r="S352">
        <f t="shared" si="972"/>
        <v>2588.4265460587599</v>
      </c>
      <c r="T352">
        <f t="shared" si="973"/>
        <v>2.5884265460587597</v>
      </c>
    </row>
    <row r="353" spans="1:20" x14ac:dyDescent="0.25">
      <c r="A353" s="5">
        <v>44240</v>
      </c>
      <c r="B353">
        <v>0.22012999999999999</v>
      </c>
      <c r="C353">
        <v>0.23050000000000001</v>
      </c>
      <c r="D353">
        <v>0.19442000000000001</v>
      </c>
      <c r="E353">
        <v>0.22417000000000001</v>
      </c>
      <c r="F353">
        <v>38478709.600000001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0.64911308203991114</v>
      </c>
      <c r="Q353">
        <f t="shared" si="970"/>
        <v>24977033.781374719</v>
      </c>
      <c r="R353">
        <f t="shared" si="971"/>
        <v>252522325.39128476</v>
      </c>
      <c r="S353">
        <f t="shared" si="972"/>
        <v>2525.2232539128477</v>
      </c>
      <c r="T353">
        <f t="shared" si="973"/>
        <v>2.5252232539128476</v>
      </c>
    </row>
    <row r="354" spans="1:20" x14ac:dyDescent="0.25">
      <c r="A354" s="5">
        <v>44239</v>
      </c>
      <c r="B354">
        <v>0.19761999999999999</v>
      </c>
      <c r="C354">
        <v>0.22894</v>
      </c>
      <c r="D354">
        <v>0.19006000000000001</v>
      </c>
      <c r="E354">
        <v>0.2205</v>
      </c>
      <c r="F354">
        <v>45143451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0.56584362139917677</v>
      </c>
      <c r="Q354">
        <f t="shared" si="970"/>
        <v>25544133.796296287</v>
      </c>
      <c r="R354">
        <f t="shared" si="971"/>
        <v>227545291.60991004</v>
      </c>
      <c r="S354">
        <f t="shared" si="972"/>
        <v>2275.4529160991005</v>
      </c>
      <c r="T354">
        <f t="shared" si="973"/>
        <v>2.2754529160991006</v>
      </c>
    </row>
    <row r="355" spans="1:20" x14ac:dyDescent="0.25">
      <c r="A355" s="5">
        <v>44238</v>
      </c>
      <c r="B355">
        <v>0.20202999999999999</v>
      </c>
      <c r="C355">
        <v>0.21543999999999999</v>
      </c>
      <c r="D355">
        <v>0.18767</v>
      </c>
      <c r="E355">
        <v>0.19716</v>
      </c>
      <c r="F355">
        <v>74178158.099999994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-0.3165286280158443</v>
      </c>
      <c r="Q355">
        <f t="shared" si="970"/>
        <v>-23479510.612135388</v>
      </c>
      <c r="R355">
        <f t="shared" si="971"/>
        <v>202001157.81361374</v>
      </c>
      <c r="S355">
        <f t="shared" si="972"/>
        <v>2020.0115781361374</v>
      </c>
      <c r="T355">
        <f t="shared" si="973"/>
        <v>2.0200115781361374</v>
      </c>
    </row>
    <row r="356" spans="1:20" x14ac:dyDescent="0.25">
      <c r="A356" s="5">
        <v>44237</v>
      </c>
      <c r="B356">
        <v>0.17007</v>
      </c>
      <c r="C356">
        <v>0.20399</v>
      </c>
      <c r="D356">
        <v>0.14358000000000001</v>
      </c>
      <c r="E356">
        <v>0.20301</v>
      </c>
      <c r="F356">
        <v>121193077.59999999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0.96755504055619901</v>
      </c>
      <c r="Q356">
        <f t="shared" si="970"/>
        <v>117260973.11239856</v>
      </c>
      <c r="R356">
        <f t="shared" si="971"/>
        <v>225480668.42574912</v>
      </c>
      <c r="S356">
        <f t="shared" si="972"/>
        <v>2254.8066842574913</v>
      </c>
      <c r="T356">
        <f t="shared" si="973"/>
        <v>2.2548066842574914</v>
      </c>
    </row>
    <row r="357" spans="1:20" x14ac:dyDescent="0.25">
      <c r="A357" s="5">
        <v>44236</v>
      </c>
      <c r="B357">
        <v>0.14532</v>
      </c>
      <c r="C357">
        <v>0.17699999999999999</v>
      </c>
      <c r="D357">
        <v>0.14263000000000001</v>
      </c>
      <c r="E357">
        <v>0.17008000000000001</v>
      </c>
      <c r="F357">
        <v>63689311.299999997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0.59732324701774886</v>
      </c>
      <c r="Q357">
        <f t="shared" si="970"/>
        <v>38043106.226040199</v>
      </c>
      <c r="R357">
        <f t="shared" si="971"/>
        <v>108219695.31335057</v>
      </c>
      <c r="S357">
        <f t="shared" si="972"/>
        <v>1082.1969531335058</v>
      </c>
      <c r="T357">
        <f t="shared" si="973"/>
        <v>1.0821969531335058</v>
      </c>
    </row>
    <row r="358" spans="1:20" x14ac:dyDescent="0.25">
      <c r="A358" s="5">
        <v>44235</v>
      </c>
      <c r="B358">
        <v>0.1411</v>
      </c>
      <c r="C358">
        <v>0.1515</v>
      </c>
      <c r="D358">
        <v>0.13718</v>
      </c>
      <c r="E358">
        <v>0.14532</v>
      </c>
      <c r="F358">
        <v>29408033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0.13687150837988948</v>
      </c>
      <c r="Q358">
        <f t="shared" si="970"/>
        <v>4025121.8351955665</v>
      </c>
      <c r="R358">
        <f t="shared" si="971"/>
        <v>70176589.087310374</v>
      </c>
      <c r="S358">
        <f t="shared" si="972"/>
        <v>701.76589087310379</v>
      </c>
      <c r="T358">
        <f t="shared" si="973"/>
        <v>0.70176589087310381</v>
      </c>
    </row>
    <row r="359" spans="1:20" x14ac:dyDescent="0.25">
      <c r="A359" s="5">
        <v>44234</v>
      </c>
      <c r="B359">
        <v>0.14507</v>
      </c>
      <c r="C359">
        <v>0.14963000000000001</v>
      </c>
      <c r="D359">
        <v>0.13023000000000001</v>
      </c>
      <c r="E359">
        <v>0.14111000000000001</v>
      </c>
      <c r="F359">
        <v>32656999.699999999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0.12164948453608253</v>
      </c>
      <c r="Q359">
        <f t="shared" si="970"/>
        <v>3972707.1800000016</v>
      </c>
      <c r="R359">
        <f t="shared" si="971"/>
        <v>66151467.25211481</v>
      </c>
      <c r="S359">
        <f t="shared" si="972"/>
        <v>661.5146725211481</v>
      </c>
      <c r="T359">
        <f t="shared" si="973"/>
        <v>0.66151467252114815</v>
      </c>
    </row>
    <row r="360" spans="1:20" x14ac:dyDescent="0.25">
      <c r="A360" s="5">
        <v>44233</v>
      </c>
      <c r="B360">
        <v>0.16192000000000001</v>
      </c>
      <c r="C360">
        <v>0.16370000000000001</v>
      </c>
      <c r="D360">
        <v>0.13900000000000001</v>
      </c>
      <c r="E360">
        <v>0.14466999999999999</v>
      </c>
      <c r="F360">
        <v>29643463.300000001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-0.54089068825911091</v>
      </c>
      <c r="Q360">
        <f t="shared" si="970"/>
        <v>-16033873.266720695</v>
      </c>
      <c r="R360">
        <f t="shared" si="971"/>
        <v>62178760.07211481</v>
      </c>
      <c r="S360">
        <f t="shared" si="972"/>
        <v>621.78760072114812</v>
      </c>
      <c r="T360">
        <f t="shared" si="973"/>
        <v>0.62178760072114814</v>
      </c>
    </row>
    <row r="361" spans="1:20" x14ac:dyDescent="0.25">
      <c r="A361" s="5">
        <v>44232</v>
      </c>
      <c r="B361">
        <v>0.14224999999999999</v>
      </c>
      <c r="C361">
        <v>0.16850000000000001</v>
      </c>
      <c r="D361">
        <v>0.14224999999999999</v>
      </c>
      <c r="E361">
        <v>0.16199</v>
      </c>
      <c r="F361">
        <v>48171584.200000003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0.50399999999999923</v>
      </c>
      <c r="Q361">
        <f t="shared" si="970"/>
        <v>24278478.436799966</v>
      </c>
      <c r="R361">
        <f t="shared" si="971"/>
        <v>78212633.338835508</v>
      </c>
      <c r="S361">
        <f t="shared" si="972"/>
        <v>782.12633338835508</v>
      </c>
      <c r="T361">
        <f t="shared" si="973"/>
        <v>0.78212633338835513</v>
      </c>
    </row>
    <row r="362" spans="1:20" x14ac:dyDescent="0.25">
      <c r="A362" s="5">
        <v>44231</v>
      </c>
      <c r="B362">
        <v>0.15124000000000001</v>
      </c>
      <c r="C362">
        <v>0.1575</v>
      </c>
      <c r="D362">
        <v>0.12503</v>
      </c>
      <c r="E362">
        <v>0.14221</v>
      </c>
      <c r="F362">
        <v>44907074.700000003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5.8207576224207046E-2</v>
      </c>
      <c r="Q362">
        <f t="shared" si="970"/>
        <v>2613931.97360641</v>
      </c>
      <c r="R362">
        <f t="shared" si="971"/>
        <v>53934154.902035542</v>
      </c>
      <c r="S362">
        <f t="shared" si="972"/>
        <v>539.34154902035539</v>
      </c>
      <c r="T362">
        <f t="shared" si="973"/>
        <v>0.53934154902035536</v>
      </c>
    </row>
    <row r="363" spans="1:20" x14ac:dyDescent="0.25">
      <c r="A363" s="5">
        <v>44230</v>
      </c>
      <c r="B363">
        <v>0.14828</v>
      </c>
      <c r="C363">
        <v>0.16195000000000001</v>
      </c>
      <c r="D363">
        <v>0.14199999999999999</v>
      </c>
      <c r="E363">
        <v>0.15124000000000001</v>
      </c>
      <c r="F363">
        <v>40071258.700000003</v>
      </c>
      <c r="G363">
        <v>0</v>
      </c>
      <c r="L363" t="s">
        <v>8</v>
      </c>
      <c r="M363" t="s">
        <v>7</v>
      </c>
      <c r="N363" t="s">
        <v>8</v>
      </c>
      <c r="P363">
        <f t="shared" si="969"/>
        <v>-7.368421052631427E-2</v>
      </c>
      <c r="Q363">
        <f t="shared" si="970"/>
        <v>-2952619.0621052026</v>
      </c>
      <c r="R363">
        <f t="shared" si="971"/>
        <v>51320222.928429134</v>
      </c>
      <c r="S363">
        <f t="shared" si="972"/>
        <v>513.20222928429132</v>
      </c>
      <c r="T363">
        <f t="shared" si="973"/>
        <v>0.51320222928429127</v>
      </c>
    </row>
    <row r="364" spans="1:20" x14ac:dyDescent="0.25">
      <c r="A364" s="5">
        <v>44229</v>
      </c>
      <c r="B364">
        <v>0.16389000000000001</v>
      </c>
      <c r="C364">
        <v>0.16728000000000001</v>
      </c>
      <c r="D364">
        <v>0.13979</v>
      </c>
      <c r="E364">
        <v>0.14804</v>
      </c>
      <c r="F364">
        <v>36879396</v>
      </c>
      <c r="G364">
        <v>0</v>
      </c>
      <c r="L364" t="s">
        <v>7</v>
      </c>
      <c r="M364" t="s">
        <v>7</v>
      </c>
      <c r="N364" t="s">
        <v>8</v>
      </c>
      <c r="P364">
        <f t="shared" si="969"/>
        <v>-0.399781738814114</v>
      </c>
      <c r="Q364">
        <f t="shared" si="970"/>
        <v>-14743709.05929428</v>
      </c>
      <c r="R364">
        <f t="shared" si="971"/>
        <v>54272841.990534335</v>
      </c>
      <c r="S364">
        <f t="shared" si="972"/>
        <v>542.72841990534334</v>
      </c>
      <c r="T364">
        <f t="shared" si="973"/>
        <v>0.54272841990534337</v>
      </c>
    </row>
    <row r="365" spans="1:20" x14ac:dyDescent="0.25">
      <c r="A365" s="5">
        <v>44228</v>
      </c>
      <c r="B365">
        <v>0.13402</v>
      </c>
      <c r="C365">
        <v>0.16800000000000001</v>
      </c>
      <c r="D365">
        <v>0.13020000000000001</v>
      </c>
      <c r="E365">
        <v>0.16381000000000001</v>
      </c>
      <c r="F365">
        <v>47004103.5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0.77830687830687839</v>
      </c>
      <c r="Q365">
        <f t="shared" si="970"/>
        <v>36583617.062698416</v>
      </c>
      <c r="R365">
        <f t="shared" si="971"/>
        <v>69016551.049828619</v>
      </c>
      <c r="S365">
        <f t="shared" si="972"/>
        <v>690.16551049828615</v>
      </c>
      <c r="T365">
        <f t="shared" si="973"/>
        <v>0.69016551049828612</v>
      </c>
    </row>
    <row r="366" spans="1:20" x14ac:dyDescent="0.25">
      <c r="A366" s="5">
        <v>44227</v>
      </c>
      <c r="B366">
        <v>0.13877999999999999</v>
      </c>
      <c r="C366">
        <v>0.14499999999999999</v>
      </c>
      <c r="D366">
        <v>0.13041</v>
      </c>
      <c r="E366">
        <v>0.13400999999999999</v>
      </c>
      <c r="F366">
        <v>18413561.199999999</v>
      </c>
      <c r="G366">
        <v>0</v>
      </c>
      <c r="L366" t="s">
        <v>7</v>
      </c>
      <c r="M366" t="s">
        <v>8</v>
      </c>
      <c r="N366" t="s">
        <v>8</v>
      </c>
      <c r="P366">
        <f t="shared" si="969"/>
        <v>-0.50651130911583353</v>
      </c>
      <c r="Q366">
        <f t="shared" si="970"/>
        <v>-9326676.9888965189</v>
      </c>
      <c r="R366">
        <f t="shared" si="971"/>
        <v>32432933.987130202</v>
      </c>
      <c r="S366">
        <f t="shared" si="972"/>
        <v>324.32933987130201</v>
      </c>
      <c r="T366">
        <f t="shared" si="973"/>
        <v>0.32432933987130202</v>
      </c>
    </row>
    <row r="367" spans="1:20" x14ac:dyDescent="0.25">
      <c r="A367" s="5">
        <v>44226</v>
      </c>
      <c r="B367">
        <v>0.13696</v>
      </c>
      <c r="C367">
        <v>0.14899999999999999</v>
      </c>
      <c r="D367">
        <v>0.13247</v>
      </c>
      <c r="E367">
        <v>0.13883000000000001</v>
      </c>
      <c r="F367">
        <v>22128226.800000001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-0.23049001814881928</v>
      </c>
      <c r="Q367">
        <f t="shared" si="970"/>
        <v>-5100335.396733189</v>
      </c>
      <c r="R367">
        <f t="shared" si="971"/>
        <v>41759610.976026721</v>
      </c>
      <c r="S367">
        <f t="shared" si="972"/>
        <v>417.59610976026721</v>
      </c>
      <c r="T367">
        <f t="shared" si="973"/>
        <v>0.41759610976026723</v>
      </c>
    </row>
    <row r="368" spans="1:20" x14ac:dyDescent="0.25">
      <c r="A368" s="5">
        <v>44225</v>
      </c>
      <c r="B368">
        <v>0.13711999999999999</v>
      </c>
      <c r="C368">
        <v>0.14357</v>
      </c>
      <c r="D368">
        <v>0.13131999999999999</v>
      </c>
      <c r="E368">
        <v>0.13700000000000001</v>
      </c>
      <c r="F368">
        <v>27970905.899999999</v>
      </c>
      <c r="G368">
        <v>0</v>
      </c>
      <c r="L368" t="s">
        <v>7</v>
      </c>
      <c r="M368" t="s">
        <v>8</v>
      </c>
      <c r="N368" t="s">
        <v>8</v>
      </c>
      <c r="P368">
        <f t="shared" si="969"/>
        <v>-7.2653061224487614E-2</v>
      </c>
      <c r="Q368">
        <f t="shared" si="970"/>
        <v>-2032171.9388570818</v>
      </c>
      <c r="R368">
        <f t="shared" si="971"/>
        <v>46859946.372759908</v>
      </c>
      <c r="S368">
        <f t="shared" si="972"/>
        <v>468.59946372759907</v>
      </c>
      <c r="T368">
        <f t="shared" si="973"/>
        <v>0.46859946372759909</v>
      </c>
    </row>
    <row r="369" spans="1:20" x14ac:dyDescent="0.25">
      <c r="A369" s="5">
        <v>44224</v>
      </c>
      <c r="B369">
        <v>0.12401</v>
      </c>
      <c r="C369">
        <v>0.14717</v>
      </c>
      <c r="D369">
        <v>0.12021</v>
      </c>
      <c r="E369">
        <v>0.13738</v>
      </c>
      <c r="F369">
        <v>26203885.5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0.27373887240356126</v>
      </c>
      <c r="Q369">
        <f t="shared" si="970"/>
        <v>7173022.0693620294</v>
      </c>
      <c r="R369">
        <f t="shared" si="971"/>
        <v>48892118.311616987</v>
      </c>
      <c r="S369">
        <f t="shared" si="972"/>
        <v>488.92118311616986</v>
      </c>
      <c r="T369">
        <f t="shared" si="973"/>
        <v>0.48892118311616983</v>
      </c>
    </row>
    <row r="370" spans="1:20" x14ac:dyDescent="0.25">
      <c r="A370" s="5">
        <v>44223</v>
      </c>
      <c r="B370">
        <v>0.14438999999999999</v>
      </c>
      <c r="C370">
        <v>0.14463999999999999</v>
      </c>
      <c r="D370">
        <v>0.11785</v>
      </c>
      <c r="E370">
        <v>0.12452000000000001</v>
      </c>
      <c r="F370">
        <v>23451672.199999999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-0.50205300485255611</v>
      </c>
      <c r="Q370">
        <f t="shared" si="970"/>
        <v>-11773982.496827155</v>
      </c>
      <c r="R370">
        <f t="shared" si="971"/>
        <v>41719096.242254958</v>
      </c>
      <c r="S370">
        <f t="shared" si="972"/>
        <v>417.1909624225496</v>
      </c>
      <c r="T370">
        <f t="shared" si="973"/>
        <v>0.4171909624225496</v>
      </c>
    </row>
    <row r="371" spans="1:20" x14ac:dyDescent="0.25">
      <c r="A371" s="5">
        <v>44222</v>
      </c>
      <c r="B371">
        <v>0.14888999999999999</v>
      </c>
      <c r="C371">
        <v>0.1595</v>
      </c>
      <c r="D371">
        <v>0.13522999999999999</v>
      </c>
      <c r="E371">
        <v>0.14455000000000001</v>
      </c>
      <c r="F371">
        <v>41619353.100000001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-0.23197362999587826</v>
      </c>
      <c r="Q371">
        <f t="shared" si="970"/>
        <v>-9654592.4166872092</v>
      </c>
      <c r="R371">
        <f t="shared" si="971"/>
        <v>53493078.739082113</v>
      </c>
      <c r="S371">
        <f t="shared" si="972"/>
        <v>534.93078739082114</v>
      </c>
      <c r="T371">
        <f t="shared" si="973"/>
        <v>0.53493078739082112</v>
      </c>
    </row>
    <row r="372" spans="1:20" x14ac:dyDescent="0.25">
      <c r="A372" s="5">
        <v>44221</v>
      </c>
      <c r="B372">
        <v>0.13525999999999999</v>
      </c>
      <c r="C372">
        <v>0.15082000000000001</v>
      </c>
      <c r="D372">
        <v>0.13128000000000001</v>
      </c>
      <c r="E372">
        <v>0.14890999999999999</v>
      </c>
      <c r="F372">
        <v>45592341.299999997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0.80450358239508468</v>
      </c>
      <c r="Q372">
        <f t="shared" si="970"/>
        <v>36679201.905629367</v>
      </c>
      <c r="R372">
        <f t="shared" si="971"/>
        <v>63147671.155769318</v>
      </c>
      <c r="S372">
        <f t="shared" si="972"/>
        <v>631.47671155769319</v>
      </c>
      <c r="T372">
        <f t="shared" si="973"/>
        <v>0.63147671155769314</v>
      </c>
    </row>
    <row r="373" spans="1:20" x14ac:dyDescent="0.25">
      <c r="A373" s="5">
        <v>44220</v>
      </c>
      <c r="B373">
        <v>0.14326</v>
      </c>
      <c r="C373">
        <v>0.15110999999999999</v>
      </c>
      <c r="D373">
        <v>0.12906000000000001</v>
      </c>
      <c r="E373">
        <v>0.13521</v>
      </c>
      <c r="F373">
        <v>47243976.5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-0.44217687074829998</v>
      </c>
      <c r="Q373">
        <f t="shared" si="970"/>
        <v>-20890193.69047622</v>
      </c>
      <c r="R373">
        <f t="shared" si="971"/>
        <v>26468469.250139955</v>
      </c>
      <c r="S373">
        <f t="shared" si="972"/>
        <v>264.68469250139958</v>
      </c>
      <c r="T373">
        <f t="shared" si="973"/>
        <v>0.26468469250139959</v>
      </c>
    </row>
    <row r="374" spans="1:20" x14ac:dyDescent="0.25">
      <c r="A374" s="5">
        <v>44219</v>
      </c>
      <c r="B374">
        <v>0.13593</v>
      </c>
      <c r="C374">
        <v>0.152</v>
      </c>
      <c r="D374">
        <v>0.13313</v>
      </c>
      <c r="E374">
        <v>0.14327999999999999</v>
      </c>
      <c r="F374">
        <v>60488961.100000001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7.5781664016957448E-2</v>
      </c>
      <c r="Q374">
        <f t="shared" si="970"/>
        <v>4583954.1268150089</v>
      </c>
      <c r="R374">
        <f t="shared" si="971"/>
        <v>47358662.940616176</v>
      </c>
      <c r="S374">
        <f t="shared" si="972"/>
        <v>473.58662940616176</v>
      </c>
      <c r="T374">
        <f t="shared" si="973"/>
        <v>0.47358662940616175</v>
      </c>
    </row>
    <row r="375" spans="1:20" x14ac:dyDescent="0.25">
      <c r="A375" s="5">
        <v>44218</v>
      </c>
      <c r="B375">
        <v>0.11612</v>
      </c>
      <c r="C375">
        <v>0.14494000000000001</v>
      </c>
      <c r="D375">
        <v>0.108</v>
      </c>
      <c r="E375">
        <v>0.13593</v>
      </c>
      <c r="F375">
        <v>67905440.099999994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0.51218191662154766</v>
      </c>
      <c r="Q375">
        <f t="shared" si="970"/>
        <v>34779938.459447697</v>
      </c>
      <c r="R375">
        <f t="shared" si="971"/>
        <v>42774708.813801169</v>
      </c>
      <c r="S375">
        <f t="shared" si="972"/>
        <v>427.74708813801169</v>
      </c>
      <c r="T375">
        <f t="shared" si="973"/>
        <v>0.42774708813801171</v>
      </c>
    </row>
    <row r="376" spans="1:20" x14ac:dyDescent="0.25">
      <c r="A376" s="5">
        <v>44217</v>
      </c>
      <c r="B376">
        <v>0.15193000000000001</v>
      </c>
      <c r="C376">
        <v>0.15254000000000001</v>
      </c>
      <c r="D376">
        <v>0.11523</v>
      </c>
      <c r="E376">
        <v>0.11617</v>
      </c>
      <c r="F376">
        <v>79231810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-0.94961136424551085</v>
      </c>
      <c r="Q376">
        <f t="shared" si="970"/>
        <v>-75239427.185741112</v>
      </c>
      <c r="R376">
        <f t="shared" si="971"/>
        <v>7994770.3543534726</v>
      </c>
      <c r="S376">
        <f t="shared" si="972"/>
        <v>79.947703543534729</v>
      </c>
      <c r="T376">
        <f t="shared" si="973"/>
        <v>7.9947703543534726E-2</v>
      </c>
    </row>
    <row r="377" spans="1:20" x14ac:dyDescent="0.25">
      <c r="A377" s="5">
        <v>44216</v>
      </c>
      <c r="B377">
        <v>0.14041000000000001</v>
      </c>
      <c r="C377">
        <v>0.16189000000000001</v>
      </c>
      <c r="D377">
        <v>0.13400999999999999</v>
      </c>
      <c r="E377">
        <v>0.15193000000000001</v>
      </c>
      <c r="F377">
        <v>119493293.8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0.28550932568149273</v>
      </c>
      <c r="Q377">
        <f t="shared" si="970"/>
        <v>34116449.736298494</v>
      </c>
      <c r="R377">
        <f t="shared" si="971"/>
        <v>83234197.540094584</v>
      </c>
      <c r="S377">
        <f t="shared" si="972"/>
        <v>832.3419754009459</v>
      </c>
      <c r="T377">
        <f t="shared" si="973"/>
        <v>0.8323419754009459</v>
      </c>
    </row>
    <row r="378" spans="1:20" x14ac:dyDescent="0.25">
      <c r="A378" s="5">
        <v>44215</v>
      </c>
      <c r="B378">
        <v>0.1138</v>
      </c>
      <c r="C378">
        <v>0.14763000000000001</v>
      </c>
      <c r="D378">
        <v>0.1081</v>
      </c>
      <c r="E378">
        <v>0.14029</v>
      </c>
      <c r="F378">
        <v>89471423.200000003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0.62863647862382943</v>
      </c>
      <c r="Q378">
        <f t="shared" si="970"/>
        <v>56245000.417910397</v>
      </c>
      <c r="R378">
        <f t="shared" si="971"/>
        <v>49117747.803796083</v>
      </c>
      <c r="S378">
        <f t="shared" si="972"/>
        <v>491.17747803796084</v>
      </c>
      <c r="T378">
        <f t="shared" si="973"/>
        <v>0.49117747803796086</v>
      </c>
    </row>
    <row r="379" spans="1:20" x14ac:dyDescent="0.25">
      <c r="A379" s="5">
        <v>44214</v>
      </c>
      <c r="B379">
        <v>0.10759000000000001</v>
      </c>
      <c r="C379">
        <v>0.11985999999999999</v>
      </c>
      <c r="D379">
        <v>0.10639999999999999</v>
      </c>
      <c r="E379">
        <v>0.11425</v>
      </c>
      <c r="F379">
        <v>34159705.600000001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0.16641901931649478</v>
      </c>
      <c r="Q379">
        <f t="shared" si="970"/>
        <v>5684824.7060921751</v>
      </c>
      <c r="R379">
        <f t="shared" si="971"/>
        <v>-7127252.6141143143</v>
      </c>
      <c r="S379">
        <f t="shared" si="972"/>
        <v>-71.272526141143146</v>
      </c>
      <c r="T379">
        <f t="shared" si="973"/>
        <v>-7.1272526141143142E-2</v>
      </c>
    </row>
    <row r="380" spans="1:20" x14ac:dyDescent="0.25">
      <c r="A380" s="5">
        <v>44213</v>
      </c>
      <c r="B380">
        <v>9.5030000000000003E-2</v>
      </c>
      <c r="C380">
        <v>0.112</v>
      </c>
      <c r="D380">
        <v>8.831E-2</v>
      </c>
      <c r="E380">
        <v>0.10774</v>
      </c>
      <c r="F380">
        <v>42451717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0.64035457999155765</v>
      </c>
      <c r="Q380">
        <f t="shared" si="970"/>
        <v>27184151.409455467</v>
      </c>
      <c r="R380">
        <f t="shared" si="971"/>
        <v>-12812077.320206489</v>
      </c>
      <c r="S380">
        <f t="shared" si="972"/>
        <v>-128.1207732020649</v>
      </c>
      <c r="T380">
        <f t="shared" si="973"/>
        <v>-0.12812077320206489</v>
      </c>
    </row>
    <row r="381" spans="1:20" x14ac:dyDescent="0.25">
      <c r="A381" s="5">
        <v>44212</v>
      </c>
      <c r="B381">
        <v>8.6019999999999999E-2</v>
      </c>
      <c r="C381">
        <v>0.10097</v>
      </c>
      <c r="D381">
        <v>8.6019999999999999E-2</v>
      </c>
      <c r="E381">
        <v>9.5100000000000004E-2</v>
      </c>
      <c r="F381">
        <v>36909502.299999997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0.21471571906354539</v>
      </c>
      <c r="Q381">
        <f t="shared" si="970"/>
        <v>7925050.3266220819</v>
      </c>
      <c r="R381">
        <f t="shared" si="971"/>
        <v>-39996228.729661956</v>
      </c>
      <c r="S381">
        <f t="shared" si="972"/>
        <v>-399.96228729661954</v>
      </c>
      <c r="T381">
        <f t="shared" si="973"/>
        <v>-0.39996228729661953</v>
      </c>
    </row>
    <row r="382" spans="1:20" x14ac:dyDescent="0.25">
      <c r="A382" s="5">
        <v>44211</v>
      </c>
      <c r="B382">
        <v>7.9649999999999999E-2</v>
      </c>
      <c r="C382">
        <v>9.2999999999999999E-2</v>
      </c>
      <c r="D382">
        <v>7.6420000000000002E-2</v>
      </c>
      <c r="E382">
        <v>8.5940000000000003E-2</v>
      </c>
      <c r="F382">
        <v>32377441.600000001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0.14837153196622463</v>
      </c>
      <c r="Q382">
        <f t="shared" si="970"/>
        <v>4803890.6113389712</v>
      </c>
      <c r="R382">
        <f t="shared" si="971"/>
        <v>-47921279.05628404</v>
      </c>
      <c r="S382">
        <f t="shared" si="972"/>
        <v>-479.21279056284038</v>
      </c>
      <c r="T382">
        <f t="shared" si="973"/>
        <v>-0.47921279056284039</v>
      </c>
    </row>
    <row r="383" spans="1:20" x14ac:dyDescent="0.25">
      <c r="A383" s="5">
        <v>44210</v>
      </c>
      <c r="B383">
        <v>7.8299999999999995E-2</v>
      </c>
      <c r="C383">
        <v>8.2600000000000007E-2</v>
      </c>
      <c r="D383">
        <v>7.4709999999999999E-2</v>
      </c>
      <c r="E383">
        <v>7.9420000000000004E-2</v>
      </c>
      <c r="F383">
        <v>20963816.5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0.19391634980988617</v>
      </c>
      <c r="Q383">
        <f t="shared" si="970"/>
        <v>4065226.7737642638</v>
      </c>
      <c r="R383">
        <f t="shared" si="971"/>
        <v>-52725169.667623013</v>
      </c>
      <c r="S383">
        <f t="shared" si="972"/>
        <v>-527.25169667623015</v>
      </c>
      <c r="T383">
        <f t="shared" si="973"/>
        <v>-0.52725169667623017</v>
      </c>
    </row>
    <row r="384" spans="1:20" x14ac:dyDescent="0.25">
      <c r="A384" s="5">
        <v>44209</v>
      </c>
      <c r="B384">
        <v>6.9430000000000006E-2</v>
      </c>
      <c r="C384">
        <v>7.8759999999999997E-2</v>
      </c>
      <c r="D384">
        <v>6.6019999999999995E-2</v>
      </c>
      <c r="E384">
        <v>7.8299999999999995E-2</v>
      </c>
      <c r="F384">
        <v>24202548.5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0.92778649921507028</v>
      </c>
      <c r="Q384">
        <f t="shared" si="970"/>
        <v>22454797.74489795</v>
      </c>
      <c r="R384">
        <f t="shared" si="971"/>
        <v>-56790396.441387281</v>
      </c>
      <c r="S384">
        <f t="shared" si="972"/>
        <v>-567.90396441387281</v>
      </c>
      <c r="T384">
        <f t="shared" si="973"/>
        <v>-0.56790396441387281</v>
      </c>
    </row>
    <row r="385" spans="1:20" x14ac:dyDescent="0.25">
      <c r="A385" s="5">
        <v>44208</v>
      </c>
      <c r="B385">
        <v>7.0749999999999993E-2</v>
      </c>
      <c r="C385">
        <v>7.6569999999999999E-2</v>
      </c>
      <c r="D385">
        <v>6.5680000000000002E-2</v>
      </c>
      <c r="E385">
        <v>6.9260000000000002E-2</v>
      </c>
      <c r="F385">
        <v>26005334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-0.3425160697887969</v>
      </c>
      <c r="Q385">
        <f t="shared" si="970"/>
        <v>-8907244.7952249721</v>
      </c>
      <c r="R385">
        <f t="shared" si="971"/>
        <v>-79245194.186285228</v>
      </c>
      <c r="S385">
        <f t="shared" si="972"/>
        <v>-792.45194186285232</v>
      </c>
      <c r="T385">
        <f t="shared" si="973"/>
        <v>-0.79245194186285228</v>
      </c>
    </row>
    <row r="386" spans="1:20" x14ac:dyDescent="0.25">
      <c r="A386" s="5">
        <v>44207</v>
      </c>
      <c r="B386">
        <v>8.7709999999999996E-2</v>
      </c>
      <c r="C386">
        <v>8.8569999999999996E-2</v>
      </c>
      <c r="D386">
        <v>6.2210000000000001E-2</v>
      </c>
      <c r="E386">
        <v>7.0900000000000005E-2</v>
      </c>
      <c r="F386">
        <v>45457519.5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-0.34066767830045486</v>
      </c>
      <c r="Q386">
        <f t="shared" si="970"/>
        <v>-15485907.629362654</v>
      </c>
      <c r="R386">
        <f t="shared" si="971"/>
        <v>-70337949.391060263</v>
      </c>
      <c r="S386">
        <f t="shared" si="972"/>
        <v>-703.3794939106026</v>
      </c>
      <c r="T386">
        <f t="shared" si="973"/>
        <v>-0.70337949391060262</v>
      </c>
    </row>
    <row r="387" spans="1:20" x14ac:dyDescent="0.25">
      <c r="A387" s="5">
        <v>44206</v>
      </c>
      <c r="B387">
        <v>9.0490000000000001E-2</v>
      </c>
      <c r="C387">
        <v>9.8140000000000005E-2</v>
      </c>
      <c r="D387">
        <v>7.9869999999999997E-2</v>
      </c>
      <c r="E387">
        <v>8.7720000000000006E-2</v>
      </c>
      <c r="F387">
        <v>27401996.600000001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-0.14066776135741585</v>
      </c>
      <c r="Q387">
        <f t="shared" si="970"/>
        <v>-3854577.5184455207</v>
      </c>
      <c r="R387">
        <f t="shared" si="971"/>
        <v>-54852041.761697613</v>
      </c>
      <c r="S387">
        <f t="shared" si="972"/>
        <v>-548.52041761697615</v>
      </c>
      <c r="T387">
        <f t="shared" si="973"/>
        <v>-0.54852041761697612</v>
      </c>
    </row>
    <row r="388" spans="1:20" x14ac:dyDescent="0.25">
      <c r="A388" s="5">
        <v>44205</v>
      </c>
      <c r="B388">
        <v>7.8810000000000005E-2</v>
      </c>
      <c r="C388">
        <v>9.4719999999999999E-2</v>
      </c>
      <c r="D388">
        <v>7.5499999999999998E-2</v>
      </c>
      <c r="E388">
        <v>9.0490000000000001E-2</v>
      </c>
      <c r="F388">
        <v>26507374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0.55983350676378796</v>
      </c>
      <c r="Q388">
        <f t="shared" si="970"/>
        <v>14839716.141519258</v>
      </c>
      <c r="R388">
        <f t="shared" si="971"/>
        <v>-50997464.243252091</v>
      </c>
      <c r="S388">
        <f t="shared" si="972"/>
        <v>-509.97464243252091</v>
      </c>
      <c r="T388">
        <f t="shared" si="973"/>
        <v>-0.50997464243252089</v>
      </c>
    </row>
    <row r="389" spans="1:20" x14ac:dyDescent="0.25">
      <c r="A389" s="5">
        <v>44204</v>
      </c>
      <c r="B389">
        <v>8.0549999999999997E-2</v>
      </c>
      <c r="C389">
        <v>8.2949999999999996E-2</v>
      </c>
      <c r="D389">
        <v>6.8000000000000005E-2</v>
      </c>
      <c r="E389">
        <v>7.8810000000000005E-2</v>
      </c>
      <c r="F389">
        <v>33890766.200000003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0.44615384615384707</v>
      </c>
      <c r="Q389">
        <f t="shared" si="970"/>
        <v>15120495.689230802</v>
      </c>
      <c r="R389">
        <f t="shared" si="971"/>
        <v>-65837180.384771347</v>
      </c>
      <c r="S389">
        <f t="shared" si="972"/>
        <v>-658.37180384771352</v>
      </c>
      <c r="T389">
        <f t="shared" si="973"/>
        <v>-0.65837180384771354</v>
      </c>
    </row>
    <row r="390" spans="1:20" x14ac:dyDescent="0.25">
      <c r="A390" s="5">
        <v>44203</v>
      </c>
      <c r="B390">
        <v>8.4690000000000001E-2</v>
      </c>
      <c r="C390">
        <v>9.5430000000000001E-2</v>
      </c>
      <c r="D390">
        <v>7.6499999999999999E-2</v>
      </c>
      <c r="E390">
        <v>8.0549999999999997E-2</v>
      </c>
      <c r="F390">
        <v>32505736.100000001</v>
      </c>
      <c r="G390">
        <v>0</v>
      </c>
      <c r="L390" t="s">
        <v>8</v>
      </c>
      <c r="M390" t="s">
        <v>7</v>
      </c>
      <c r="N390" t="s">
        <v>8</v>
      </c>
      <c r="P390">
        <f t="shared" ref="P390:P453" si="974">IF(C390=D390,0,((E390-D390)-(C390-E390))/(C390-D390))</f>
        <v>-0.57210776545166431</v>
      </c>
      <c r="Q390">
        <f t="shared" ref="Q390:Q453" si="975">F390*P390</f>
        <v>-18596784.044532496</v>
      </c>
      <c r="R390">
        <f t="shared" ref="R390:R453" si="976">R391+Q390</f>
        <v>-80957676.074002147</v>
      </c>
      <c r="S390">
        <f t="shared" ref="S390:S453" si="977">R390/100000</f>
        <v>-809.57676074002143</v>
      </c>
      <c r="T390">
        <f t="shared" ref="T390:T453" si="978">S390/1000</f>
        <v>-0.80957676074002138</v>
      </c>
    </row>
    <row r="391" spans="1:20" x14ac:dyDescent="0.25">
      <c r="A391" s="5">
        <v>44202</v>
      </c>
      <c r="B391">
        <v>8.165E-2</v>
      </c>
      <c r="C391">
        <v>9.4200000000000006E-2</v>
      </c>
      <c r="D391">
        <v>7.8E-2</v>
      </c>
      <c r="E391">
        <v>8.4489999999999996E-2</v>
      </c>
      <c r="F391">
        <v>43615558.600000001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-0.19876543209876626</v>
      </c>
      <c r="Q391">
        <f t="shared" si="975"/>
        <v>-8669265.3513580617</v>
      </c>
      <c r="R391">
        <f t="shared" si="976"/>
        <v>-62360892.029469654</v>
      </c>
      <c r="S391">
        <f t="shared" si="977"/>
        <v>-623.60892029469653</v>
      </c>
      <c r="T391">
        <f t="shared" si="978"/>
        <v>-0.6236089202946965</v>
      </c>
    </row>
    <row r="392" spans="1:20" x14ac:dyDescent="0.25">
      <c r="A392" s="5">
        <v>44201</v>
      </c>
      <c r="B392">
        <v>7.1919999999999998E-2</v>
      </c>
      <c r="C392">
        <v>8.3269999999999997E-2</v>
      </c>
      <c r="D392">
        <v>6.83E-2</v>
      </c>
      <c r="E392">
        <v>8.1119999999999998E-2</v>
      </c>
      <c r="F392">
        <v>50136023.700000003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0.71275885103540415</v>
      </c>
      <c r="Q392">
        <f t="shared" si="975"/>
        <v>35734894.647895791</v>
      </c>
      <c r="R392">
        <f t="shared" si="976"/>
        <v>-53691626.67811159</v>
      </c>
      <c r="S392">
        <f t="shared" si="977"/>
        <v>-536.91626678111595</v>
      </c>
      <c r="T392">
        <f t="shared" si="978"/>
        <v>-0.53691626678111593</v>
      </c>
    </row>
    <row r="393" spans="1:20" x14ac:dyDescent="0.25">
      <c r="A393" s="5">
        <v>44200</v>
      </c>
      <c r="B393">
        <v>6.7979999999999999E-2</v>
      </c>
      <c r="C393">
        <v>7.5980000000000006E-2</v>
      </c>
      <c r="D393">
        <v>6.4000000000000001E-2</v>
      </c>
      <c r="E393">
        <v>7.1919999999999998E-2</v>
      </c>
      <c r="F393">
        <v>22533824.899999999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0.3222036727879789</v>
      </c>
      <c r="Q393">
        <f t="shared" si="975"/>
        <v>7260481.1447412111</v>
      </c>
      <c r="R393">
        <f t="shared" si="976"/>
        <v>-89426521.326007381</v>
      </c>
      <c r="S393">
        <f t="shared" si="977"/>
        <v>-894.26521326007378</v>
      </c>
      <c r="T393">
        <f t="shared" si="978"/>
        <v>-0.8942652132600738</v>
      </c>
    </row>
    <row r="394" spans="1:20" x14ac:dyDescent="0.25">
      <c r="A394" s="5">
        <v>44199</v>
      </c>
      <c r="B394">
        <v>6.2729999999999994E-2</v>
      </c>
      <c r="C394">
        <v>6.8709999999999993E-2</v>
      </c>
      <c r="D394">
        <v>6.0999999999999999E-2</v>
      </c>
      <c r="E394">
        <v>6.7470000000000002E-2</v>
      </c>
      <c r="F394">
        <v>16575541.800000001</v>
      </c>
      <c r="G394">
        <v>0</v>
      </c>
      <c r="L394" t="s">
        <v>7</v>
      </c>
      <c r="M394" t="s">
        <v>8</v>
      </c>
      <c r="N394" t="s">
        <v>8</v>
      </c>
      <c r="P394">
        <f t="shared" si="974"/>
        <v>0.67833981841764146</v>
      </c>
      <c r="Q394">
        <f t="shared" si="975"/>
        <v>11243850.014786026</v>
      </c>
      <c r="R394">
        <f t="shared" si="976"/>
        <v>-96687002.470748588</v>
      </c>
      <c r="S394">
        <f t="shared" si="977"/>
        <v>-966.87002470748587</v>
      </c>
      <c r="T394">
        <f t="shared" si="978"/>
        <v>-0.96687002470748584</v>
      </c>
    </row>
    <row r="395" spans="1:20" x14ac:dyDescent="0.25">
      <c r="A395" s="5">
        <v>44198</v>
      </c>
      <c r="B395">
        <v>6.5280000000000005E-2</v>
      </c>
      <c r="C395">
        <v>6.5420000000000006E-2</v>
      </c>
      <c r="D395">
        <v>6.2300000000000001E-2</v>
      </c>
      <c r="E395">
        <v>6.2859999999999999E-2</v>
      </c>
      <c r="F395">
        <v>9644580.5</v>
      </c>
      <c r="G395">
        <v>0</v>
      </c>
      <c r="L395" t="s">
        <v>7</v>
      </c>
      <c r="M395" t="s">
        <v>8</v>
      </c>
      <c r="N395" t="s">
        <v>8</v>
      </c>
      <c r="P395">
        <f t="shared" si="974"/>
        <v>-0.64102564102564286</v>
      </c>
      <c r="Q395">
        <f t="shared" si="975"/>
        <v>-6182423.3974359147</v>
      </c>
      <c r="R395">
        <f t="shared" si="976"/>
        <v>-107930852.48553461</v>
      </c>
      <c r="S395">
        <f t="shared" si="977"/>
        <v>-1079.3085248553461</v>
      </c>
      <c r="T395">
        <f t="shared" si="978"/>
        <v>-1.0793085248553462</v>
      </c>
    </row>
    <row r="396" spans="1:20" x14ac:dyDescent="0.25">
      <c r="A396" s="5">
        <v>44197</v>
      </c>
      <c r="B396">
        <v>6.0589999999999998E-2</v>
      </c>
      <c r="C396">
        <v>6.9459999999999994E-2</v>
      </c>
      <c r="D396">
        <v>5.9610000000000003E-2</v>
      </c>
      <c r="E396">
        <v>6.5290000000000001E-2</v>
      </c>
      <c r="F396">
        <v>16030832.699999999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0.15329949238578738</v>
      </c>
      <c r="Q396">
        <f t="shared" si="975"/>
        <v>2457518.5154314814</v>
      </c>
      <c r="R396">
        <f t="shared" si="976"/>
        <v>-101748429.08809869</v>
      </c>
      <c r="S396">
        <f t="shared" si="977"/>
        <v>-1017.4842908809869</v>
      </c>
      <c r="T396">
        <f t="shared" si="978"/>
        <v>-1.0174842908809869</v>
      </c>
    </row>
    <row r="397" spans="1:20" x14ac:dyDescent="0.25">
      <c r="A397" s="5">
        <v>44196</v>
      </c>
      <c r="B397">
        <v>6.4210000000000003E-2</v>
      </c>
      <c r="C397">
        <v>6.4380000000000007E-2</v>
      </c>
      <c r="D397">
        <v>5.8459999999999998E-2</v>
      </c>
      <c r="E397">
        <v>6.0440000000000001E-2</v>
      </c>
      <c r="F397">
        <v>11017290.9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-0.3310810810810812</v>
      </c>
      <c r="Q397">
        <f t="shared" si="975"/>
        <v>-3647616.581756758</v>
      </c>
      <c r="R397">
        <f t="shared" si="976"/>
        <v>-104205947.60353017</v>
      </c>
      <c r="S397">
        <f t="shared" si="977"/>
        <v>-1042.0594760353017</v>
      </c>
      <c r="T397">
        <f t="shared" si="978"/>
        <v>-1.0420594760353017</v>
      </c>
    </row>
    <row r="398" spans="1:20" x14ac:dyDescent="0.25">
      <c r="A398" s="5">
        <v>44195</v>
      </c>
      <c r="B398">
        <v>6.7369999999999999E-2</v>
      </c>
      <c r="C398">
        <v>6.7699999999999996E-2</v>
      </c>
      <c r="D398">
        <v>6.2129999999999998E-2</v>
      </c>
      <c r="E398">
        <v>6.4089999999999994E-2</v>
      </c>
      <c r="F398">
        <v>10314068.4</v>
      </c>
      <c r="G398">
        <v>0</v>
      </c>
      <c r="L398" t="s">
        <v>7</v>
      </c>
      <c r="M398" t="s">
        <v>7</v>
      </c>
      <c r="N398" t="s">
        <v>8</v>
      </c>
      <c r="P398">
        <f t="shared" si="974"/>
        <v>-0.29622980251346609</v>
      </c>
      <c r="Q398">
        <f t="shared" si="975"/>
        <v>-3055334.4452423812</v>
      </c>
      <c r="R398">
        <f t="shared" si="976"/>
        <v>-100558331.02177341</v>
      </c>
      <c r="S398">
        <f t="shared" si="977"/>
        <v>-1005.5833102177342</v>
      </c>
      <c r="T398">
        <f t="shared" si="978"/>
        <v>-1.0055833102177341</v>
      </c>
    </row>
    <row r="399" spans="1:20" x14ac:dyDescent="0.25">
      <c r="A399" s="5">
        <v>44194</v>
      </c>
      <c r="B399">
        <v>7.2459999999999997E-2</v>
      </c>
      <c r="C399">
        <v>7.3969999999999994E-2</v>
      </c>
      <c r="D399">
        <v>6.4130000000000006E-2</v>
      </c>
      <c r="E399">
        <v>6.7339999999999997E-2</v>
      </c>
      <c r="F399">
        <v>20403831.899999999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-0.34756097560975718</v>
      </c>
      <c r="Q399">
        <f t="shared" si="975"/>
        <v>-7091575.7213414852</v>
      </c>
      <c r="R399">
        <f t="shared" si="976"/>
        <v>-97502996.576531038</v>
      </c>
      <c r="S399">
        <f t="shared" si="977"/>
        <v>-975.02996576531041</v>
      </c>
      <c r="T399">
        <f t="shared" si="978"/>
        <v>-0.97502996576531042</v>
      </c>
    </row>
    <row r="400" spans="1:20" x14ac:dyDescent="0.25">
      <c r="A400" s="5">
        <v>44193</v>
      </c>
      <c r="B400">
        <v>6.7199999999999996E-2</v>
      </c>
      <c r="C400">
        <v>7.7770000000000006E-2</v>
      </c>
      <c r="D400">
        <v>6.6699999999999995E-2</v>
      </c>
      <c r="E400">
        <v>7.2459999999999997E-2</v>
      </c>
      <c r="F400">
        <v>44385944.200000003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4.0650406504064283E-2</v>
      </c>
      <c r="Q400">
        <f t="shared" si="975"/>
        <v>1804306.6747967144</v>
      </c>
      <c r="R400">
        <f t="shared" si="976"/>
        <v>-90411420.855189547</v>
      </c>
      <c r="S400">
        <f t="shared" si="977"/>
        <v>-904.11420855189544</v>
      </c>
      <c r="T400">
        <f t="shared" si="978"/>
        <v>-0.90411420855189539</v>
      </c>
    </row>
    <row r="401" spans="1:20" x14ac:dyDescent="0.25">
      <c r="A401" s="5">
        <v>44192</v>
      </c>
      <c r="B401">
        <v>5.9299999999999999E-2</v>
      </c>
      <c r="C401">
        <v>7.4289999999999995E-2</v>
      </c>
      <c r="D401">
        <v>5.6899999999999999E-2</v>
      </c>
      <c r="E401">
        <v>6.694E-2</v>
      </c>
      <c r="F401">
        <v>42315474.899999999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0.15468660149511246</v>
      </c>
      <c r="Q401">
        <f t="shared" si="975"/>
        <v>6545637.0029327339</v>
      </c>
      <c r="R401">
        <f t="shared" si="976"/>
        <v>-92215727.529986262</v>
      </c>
      <c r="S401">
        <f t="shared" si="977"/>
        <v>-922.15727529986259</v>
      </c>
      <c r="T401">
        <f t="shared" si="978"/>
        <v>-0.92215727529986258</v>
      </c>
    </row>
    <row r="402" spans="1:20" x14ac:dyDescent="0.25">
      <c r="A402" s="5">
        <v>44191</v>
      </c>
      <c r="B402">
        <v>5.6910000000000002E-2</v>
      </c>
      <c r="C402">
        <v>5.9459999999999999E-2</v>
      </c>
      <c r="D402">
        <v>5.1659999999999998E-2</v>
      </c>
      <c r="E402">
        <v>5.9279999999999999E-2</v>
      </c>
      <c r="F402">
        <v>18102966.800000001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0.95384615384615401</v>
      </c>
      <c r="Q402">
        <f t="shared" si="975"/>
        <v>17267445.25538462</v>
      </c>
      <c r="R402">
        <f t="shared" si="976"/>
        <v>-98761364.53291899</v>
      </c>
      <c r="S402">
        <f t="shared" si="977"/>
        <v>-987.61364532918992</v>
      </c>
      <c r="T402">
        <f t="shared" si="978"/>
        <v>-0.98761364532918994</v>
      </c>
    </row>
    <row r="403" spans="1:20" x14ac:dyDescent="0.25">
      <c r="A403" s="5">
        <v>44190</v>
      </c>
      <c r="B403">
        <v>5.824E-2</v>
      </c>
      <c r="C403">
        <v>6.1490000000000003E-2</v>
      </c>
      <c r="D403">
        <v>5.518E-2</v>
      </c>
      <c r="E403">
        <v>5.7110000000000001E-2</v>
      </c>
      <c r="F403">
        <v>10247769.1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-0.38827258320126778</v>
      </c>
      <c r="Q403">
        <f t="shared" si="975"/>
        <v>-3978927.780507131</v>
      </c>
      <c r="R403">
        <f t="shared" si="976"/>
        <v>-116028809.78830361</v>
      </c>
      <c r="S403">
        <f t="shared" si="977"/>
        <v>-1160.2880978830362</v>
      </c>
      <c r="T403">
        <f t="shared" si="978"/>
        <v>-1.1602880978830363</v>
      </c>
    </row>
    <row r="404" spans="1:20" x14ac:dyDescent="0.25">
      <c r="A404" s="5">
        <v>44189</v>
      </c>
      <c r="B404">
        <v>4.9250000000000002E-2</v>
      </c>
      <c r="C404">
        <v>5.849E-2</v>
      </c>
      <c r="D404">
        <v>4.6699999999999998E-2</v>
      </c>
      <c r="E404">
        <v>5.8069999999999997E-2</v>
      </c>
      <c r="F404">
        <v>14960833.300000001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0.92875318066157697</v>
      </c>
      <c r="Q404">
        <f t="shared" si="975"/>
        <v>13894921.512722638</v>
      </c>
      <c r="R404">
        <f t="shared" si="976"/>
        <v>-112049882.00779648</v>
      </c>
      <c r="S404">
        <f t="shared" si="977"/>
        <v>-1120.4988200779649</v>
      </c>
      <c r="T404">
        <f t="shared" si="978"/>
        <v>-1.1204988200779649</v>
      </c>
    </row>
    <row r="405" spans="1:20" x14ac:dyDescent="0.25">
      <c r="A405" s="5">
        <v>44188</v>
      </c>
      <c r="B405">
        <v>6.2059999999999997E-2</v>
      </c>
      <c r="C405">
        <v>6.25E-2</v>
      </c>
      <c r="D405">
        <v>4.521E-2</v>
      </c>
      <c r="E405">
        <v>4.9189999999999998E-2</v>
      </c>
      <c r="F405">
        <v>16494957.199999999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-0.53961827646038196</v>
      </c>
      <c r="Q405">
        <f t="shared" si="975"/>
        <v>-8900980.3745517675</v>
      </c>
      <c r="R405">
        <f t="shared" si="976"/>
        <v>-125944803.52051912</v>
      </c>
      <c r="S405">
        <f t="shared" si="977"/>
        <v>-1259.4480352051912</v>
      </c>
      <c r="T405">
        <f t="shared" si="978"/>
        <v>-1.2594480352051911</v>
      </c>
    </row>
    <row r="406" spans="1:20" x14ac:dyDescent="0.25">
      <c r="A406" s="5">
        <v>44187</v>
      </c>
      <c r="B406">
        <v>6.4000000000000001E-2</v>
      </c>
      <c r="C406">
        <v>6.5329999999999999E-2</v>
      </c>
      <c r="D406">
        <v>5.8529999999999999E-2</v>
      </c>
      <c r="E406">
        <v>6.191E-2</v>
      </c>
      <c r="F406">
        <v>8641164.0999999996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-5.8823529411762302E-3</v>
      </c>
      <c r="Q406">
        <f t="shared" si="975"/>
        <v>-50830.377058821454</v>
      </c>
      <c r="R406">
        <f t="shared" si="976"/>
        <v>-117043823.14596735</v>
      </c>
      <c r="S406">
        <f t="shared" si="977"/>
        <v>-1170.4382314596735</v>
      </c>
      <c r="T406">
        <f t="shared" si="978"/>
        <v>-1.1704382314596735</v>
      </c>
    </row>
    <row r="407" spans="1:20" x14ac:dyDescent="0.25">
      <c r="A407" s="5">
        <v>44186</v>
      </c>
      <c r="B407">
        <v>6.9199999999999998E-2</v>
      </c>
      <c r="C407">
        <v>7.0239999999999997E-2</v>
      </c>
      <c r="D407">
        <v>6.2370000000000002E-2</v>
      </c>
      <c r="E407">
        <v>6.3630000000000006E-2</v>
      </c>
      <c r="F407">
        <v>10260502.5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-0.67979669631511941</v>
      </c>
      <c r="Q407">
        <f t="shared" si="975"/>
        <v>-6975055.7020330233</v>
      </c>
      <c r="R407">
        <f t="shared" si="976"/>
        <v>-116992992.76890853</v>
      </c>
      <c r="S407">
        <f t="shared" si="977"/>
        <v>-1169.9299276890854</v>
      </c>
      <c r="T407">
        <f t="shared" si="978"/>
        <v>-1.1699299276890853</v>
      </c>
    </row>
    <row r="408" spans="1:20" x14ac:dyDescent="0.25">
      <c r="A408" s="5">
        <v>44185</v>
      </c>
      <c r="B408">
        <v>7.1059999999999998E-2</v>
      </c>
      <c r="C408">
        <v>7.6340000000000005E-2</v>
      </c>
      <c r="D408">
        <v>6.83E-2</v>
      </c>
      <c r="E408">
        <v>6.9199999999999998E-2</v>
      </c>
      <c r="F408">
        <v>17163488.800000001</v>
      </c>
      <c r="G408">
        <v>0</v>
      </c>
      <c r="L408" t="s">
        <v>8</v>
      </c>
      <c r="M408" t="s">
        <v>8</v>
      </c>
      <c r="N408" t="s">
        <v>7</v>
      </c>
      <c r="P408">
        <f t="shared" si="974"/>
        <v>-0.77611940298507531</v>
      </c>
      <c r="Q408">
        <f t="shared" si="975"/>
        <v>-13320916.680597028</v>
      </c>
      <c r="R408">
        <f t="shared" si="976"/>
        <v>-110017937.0668755</v>
      </c>
      <c r="S408">
        <f t="shared" si="977"/>
        <v>-1100.1793706687549</v>
      </c>
      <c r="T408">
        <f t="shared" si="978"/>
        <v>-1.1001793706687548</v>
      </c>
    </row>
    <row r="409" spans="1:20" x14ac:dyDescent="0.25">
      <c r="A409" s="5">
        <v>44184</v>
      </c>
      <c r="B409">
        <v>6.7489999999999994E-2</v>
      </c>
      <c r="C409">
        <v>7.2690000000000005E-2</v>
      </c>
      <c r="D409">
        <v>6.7040000000000002E-2</v>
      </c>
      <c r="E409">
        <v>7.1300000000000002E-2</v>
      </c>
      <c r="F409">
        <v>15804570.6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0.50796460176991087</v>
      </c>
      <c r="Q409">
        <f t="shared" si="975"/>
        <v>8028162.4109734409</v>
      </c>
      <c r="R409">
        <f t="shared" si="976"/>
        <v>-96697020.38627848</v>
      </c>
      <c r="S409">
        <f t="shared" si="977"/>
        <v>-966.97020386278484</v>
      </c>
      <c r="T409">
        <f t="shared" si="978"/>
        <v>-0.96697020386278487</v>
      </c>
    </row>
    <row r="410" spans="1:20" x14ac:dyDescent="0.25">
      <c r="A410" s="5">
        <v>44183</v>
      </c>
      <c r="B410">
        <v>6.5240000000000006E-2</v>
      </c>
      <c r="C410">
        <v>6.7830000000000001E-2</v>
      </c>
      <c r="D410">
        <v>6.4019999999999994E-2</v>
      </c>
      <c r="E410">
        <v>6.7489999999999994E-2</v>
      </c>
      <c r="F410">
        <v>5349175.3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0.82152230971128282</v>
      </c>
      <c r="Q410">
        <f t="shared" si="975"/>
        <v>4394466.8475065436</v>
      </c>
      <c r="R410">
        <f t="shared" si="976"/>
        <v>-104725182.79725192</v>
      </c>
      <c r="S410">
        <f t="shared" si="977"/>
        <v>-1047.2518279725193</v>
      </c>
      <c r="T410">
        <f t="shared" si="978"/>
        <v>-1.0472518279725194</v>
      </c>
    </row>
    <row r="411" spans="1:20" x14ac:dyDescent="0.25">
      <c r="A411" s="5">
        <v>44182</v>
      </c>
      <c r="B411">
        <v>6.8279999999999993E-2</v>
      </c>
      <c r="C411">
        <v>7.034E-2</v>
      </c>
      <c r="D411">
        <v>6.4420000000000005E-2</v>
      </c>
      <c r="E411">
        <v>6.5229999999999996E-2</v>
      </c>
      <c r="F411">
        <v>23593918.300000001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-0.72635135135135409</v>
      </c>
      <c r="Q411">
        <f t="shared" si="975"/>
        <v>-17137474.440878443</v>
      </c>
      <c r="R411">
        <f t="shared" si="976"/>
        <v>-109119649.64475846</v>
      </c>
      <c r="S411">
        <f t="shared" si="977"/>
        <v>-1091.1964964475847</v>
      </c>
      <c r="T411">
        <f t="shared" si="978"/>
        <v>-1.0911964964475847</v>
      </c>
    </row>
    <row r="412" spans="1:20" x14ac:dyDescent="0.25">
      <c r="A412" s="5">
        <v>44181</v>
      </c>
      <c r="B412">
        <v>6.7769999999999997E-2</v>
      </c>
      <c r="C412">
        <v>6.991E-2</v>
      </c>
      <c r="D412">
        <v>6.6180000000000003E-2</v>
      </c>
      <c r="E412">
        <v>6.8390000000000006E-2</v>
      </c>
      <c r="F412">
        <v>9114953.8000000007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0.18498659517426558</v>
      </c>
      <c r="Q412">
        <f t="shared" si="975"/>
        <v>1686144.2686327337</v>
      </c>
      <c r="R412">
        <f t="shared" si="976"/>
        <v>-91982175.203880012</v>
      </c>
      <c r="S412">
        <f t="shared" si="977"/>
        <v>-919.82175203880013</v>
      </c>
      <c r="T412">
        <f t="shared" si="978"/>
        <v>-0.91982175203880012</v>
      </c>
    </row>
    <row r="413" spans="1:20" x14ac:dyDescent="0.25">
      <c r="A413" s="5">
        <v>44180</v>
      </c>
      <c r="B413">
        <v>6.9940000000000002E-2</v>
      </c>
      <c r="C413">
        <v>7.0499999999999993E-2</v>
      </c>
      <c r="D413">
        <v>6.7140000000000005E-2</v>
      </c>
      <c r="E413">
        <v>6.7680000000000004E-2</v>
      </c>
      <c r="F413">
        <v>7265077.0999999996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-0.67857142857142816</v>
      </c>
      <c r="Q413">
        <f t="shared" si="975"/>
        <v>-4929873.7464285679</v>
      </c>
      <c r="R413">
        <f t="shared" si="976"/>
        <v>-93668319.472512752</v>
      </c>
      <c r="S413">
        <f t="shared" si="977"/>
        <v>-936.68319472512746</v>
      </c>
      <c r="T413">
        <f t="shared" si="978"/>
        <v>-0.93668319472512751</v>
      </c>
    </row>
    <row r="414" spans="1:20" x14ac:dyDescent="0.25">
      <c r="A414" s="5">
        <v>44179</v>
      </c>
      <c r="B414">
        <v>7.0300000000000001E-2</v>
      </c>
      <c r="C414">
        <v>7.1300000000000002E-2</v>
      </c>
      <c r="D414">
        <v>6.8220000000000003E-2</v>
      </c>
      <c r="E414">
        <v>6.9879999999999998E-2</v>
      </c>
      <c r="F414">
        <v>8523376.5999999996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7.7922077922074756E-2</v>
      </c>
      <c r="Q414">
        <f t="shared" si="975"/>
        <v>664159.21558438858</v>
      </c>
      <c r="R414">
        <f t="shared" si="976"/>
        <v>-88738445.726084188</v>
      </c>
      <c r="S414">
        <f t="shared" si="977"/>
        <v>-887.38445726084183</v>
      </c>
      <c r="T414">
        <f t="shared" si="978"/>
        <v>-0.88738445726084181</v>
      </c>
    </row>
    <row r="415" spans="1:20" x14ac:dyDescent="0.25">
      <c r="A415" s="5">
        <v>44178</v>
      </c>
      <c r="B415">
        <v>6.4920000000000005E-2</v>
      </c>
      <c r="C415">
        <v>7.0459999999999995E-2</v>
      </c>
      <c r="D415">
        <v>6.3899999999999998E-2</v>
      </c>
      <c r="E415">
        <v>7.0279999999999995E-2</v>
      </c>
      <c r="F415">
        <v>12781966.199999999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0.94512195121951226</v>
      </c>
      <c r="Q415">
        <f t="shared" si="975"/>
        <v>12080516.835365854</v>
      </c>
      <c r="R415">
        <f t="shared" si="976"/>
        <v>-89402604.94166857</v>
      </c>
      <c r="S415">
        <f t="shared" si="977"/>
        <v>-894.02604941668574</v>
      </c>
      <c r="T415">
        <f t="shared" si="978"/>
        <v>-0.89402604941668573</v>
      </c>
    </row>
    <row r="416" spans="1:20" x14ac:dyDescent="0.25">
      <c r="A416" s="5">
        <v>44177</v>
      </c>
      <c r="B416">
        <v>6.1359999999999998E-2</v>
      </c>
      <c r="C416">
        <v>6.5759999999999999E-2</v>
      </c>
      <c r="D416">
        <v>6.1159999999999999E-2</v>
      </c>
      <c r="E416">
        <v>6.4680000000000001E-2</v>
      </c>
      <c r="F416">
        <v>6385042.2000000002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0.5304347826086967</v>
      </c>
      <c r="Q416">
        <f t="shared" si="975"/>
        <v>3386848.4713043547</v>
      </c>
      <c r="R416">
        <f t="shared" si="976"/>
        <v>-101483121.77703443</v>
      </c>
      <c r="S416">
        <f t="shared" si="977"/>
        <v>-1014.8312177703443</v>
      </c>
      <c r="T416">
        <f t="shared" si="978"/>
        <v>-1.0148312177703442</v>
      </c>
    </row>
    <row r="417" spans="1:20" x14ac:dyDescent="0.25">
      <c r="A417" s="5">
        <v>44176</v>
      </c>
      <c r="B417">
        <v>6.5839999999999996E-2</v>
      </c>
      <c r="C417">
        <v>6.5839999999999996E-2</v>
      </c>
      <c r="D417">
        <v>6.0019999999999997E-2</v>
      </c>
      <c r="E417">
        <v>6.1199999999999997E-2</v>
      </c>
      <c r="F417">
        <v>7960292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-0.59450171821305819</v>
      </c>
      <c r="Q417">
        <f t="shared" si="975"/>
        <v>-4732407.2714776611</v>
      </c>
      <c r="R417">
        <f t="shared" si="976"/>
        <v>-104869970.24833879</v>
      </c>
      <c r="S417">
        <f t="shared" si="977"/>
        <v>-1048.6997024833879</v>
      </c>
      <c r="T417">
        <f t="shared" si="978"/>
        <v>-1.048699702483388</v>
      </c>
    </row>
    <row r="418" spans="1:20" x14ac:dyDescent="0.25">
      <c r="A418" s="5">
        <v>44175</v>
      </c>
      <c r="B418">
        <v>6.8500000000000005E-2</v>
      </c>
      <c r="C418">
        <v>6.8839999999999998E-2</v>
      </c>
      <c r="D418">
        <v>6.4579999999999999E-2</v>
      </c>
      <c r="E418">
        <v>6.5600000000000006E-2</v>
      </c>
      <c r="F418">
        <v>4588214.3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-0.52112676056337692</v>
      </c>
      <c r="Q418">
        <f t="shared" si="975"/>
        <v>-2391041.2549295621</v>
      </c>
      <c r="R418">
        <f t="shared" si="976"/>
        <v>-100137562.97686113</v>
      </c>
      <c r="S418">
        <f t="shared" si="977"/>
        <v>-1001.3756297686114</v>
      </c>
      <c r="T418">
        <f t="shared" si="978"/>
        <v>-1.0013756297686114</v>
      </c>
    </row>
    <row r="419" spans="1:20" x14ac:dyDescent="0.25">
      <c r="A419" s="5">
        <v>44174</v>
      </c>
      <c r="B419">
        <v>6.8510000000000001E-2</v>
      </c>
      <c r="C419">
        <v>6.9260000000000002E-2</v>
      </c>
      <c r="D419">
        <v>6.3909999999999995E-2</v>
      </c>
      <c r="E419">
        <v>6.837E-2</v>
      </c>
      <c r="F419">
        <v>6787893.9000000004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0.66728971962616801</v>
      </c>
      <c r="Q419">
        <f t="shared" si="975"/>
        <v>4529491.8173831766</v>
      </c>
      <c r="R419">
        <f t="shared" si="976"/>
        <v>-97746521.721931577</v>
      </c>
      <c r="S419">
        <f t="shared" si="977"/>
        <v>-977.46521721931572</v>
      </c>
      <c r="T419">
        <f t="shared" si="978"/>
        <v>-0.97746521721931567</v>
      </c>
    </row>
    <row r="420" spans="1:20" x14ac:dyDescent="0.25">
      <c r="A420" s="5">
        <v>44173</v>
      </c>
      <c r="B420">
        <v>7.3800000000000004E-2</v>
      </c>
      <c r="C420">
        <v>7.5300000000000006E-2</v>
      </c>
      <c r="D420">
        <v>6.726E-2</v>
      </c>
      <c r="E420">
        <v>6.8559999999999996E-2</v>
      </c>
      <c r="F420">
        <v>7726135.2999999998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-0.67661691542288693</v>
      </c>
      <c r="Q420">
        <f t="shared" si="975"/>
        <v>-5227633.8348258808</v>
      </c>
      <c r="R420">
        <f t="shared" si="976"/>
        <v>-102276013.53931475</v>
      </c>
      <c r="S420">
        <f t="shared" si="977"/>
        <v>-1022.7601353931475</v>
      </c>
      <c r="T420">
        <f t="shared" si="978"/>
        <v>-1.0227601353931475</v>
      </c>
    </row>
    <row r="421" spans="1:20" x14ac:dyDescent="0.25">
      <c r="A421" s="5">
        <v>44172</v>
      </c>
      <c r="B421">
        <v>7.578E-2</v>
      </c>
      <c r="C421">
        <v>7.5840000000000005E-2</v>
      </c>
      <c r="D421">
        <v>7.2819999999999996E-2</v>
      </c>
      <c r="E421">
        <v>7.4209999999999998E-2</v>
      </c>
      <c r="F421">
        <v>4211005.9000000004</v>
      </c>
      <c r="G421">
        <v>0</v>
      </c>
      <c r="L421" t="s">
        <v>7</v>
      </c>
      <c r="M421" t="s">
        <v>8</v>
      </c>
      <c r="N421" t="s">
        <v>7</v>
      </c>
      <c r="P421">
        <f t="shared" si="974"/>
        <v>-7.9470198675497816E-2</v>
      </c>
      <c r="Q421">
        <f t="shared" si="975"/>
        <v>-334649.47549669351</v>
      </c>
      <c r="R421">
        <f t="shared" si="976"/>
        <v>-97048379.704488859</v>
      </c>
      <c r="S421">
        <f t="shared" si="977"/>
        <v>-970.48379704488855</v>
      </c>
      <c r="T421">
        <f t="shared" si="978"/>
        <v>-0.97048379704488852</v>
      </c>
    </row>
    <row r="422" spans="1:20" x14ac:dyDescent="0.25">
      <c r="A422" s="5">
        <v>44171</v>
      </c>
      <c r="B422">
        <v>7.6780000000000001E-2</v>
      </c>
      <c r="C422">
        <v>7.7829999999999996E-2</v>
      </c>
      <c r="D422">
        <v>7.2599999999999998E-2</v>
      </c>
      <c r="E422">
        <v>7.5899999999999995E-2</v>
      </c>
      <c r="F422">
        <v>6107041.5999999996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0.2619502868068827</v>
      </c>
      <c r="Q422">
        <f t="shared" si="975"/>
        <v>1599741.2986615638</v>
      </c>
      <c r="R422">
        <f t="shared" si="976"/>
        <v>-96713730.228992164</v>
      </c>
      <c r="S422">
        <f t="shared" si="977"/>
        <v>-967.13730228992165</v>
      </c>
      <c r="T422">
        <f t="shared" si="978"/>
        <v>-0.96713730228992167</v>
      </c>
    </row>
    <row r="423" spans="1:20" x14ac:dyDescent="0.25">
      <c r="A423" s="5">
        <v>44170</v>
      </c>
      <c r="B423">
        <v>7.3580000000000007E-2</v>
      </c>
      <c r="C423">
        <v>7.732E-2</v>
      </c>
      <c r="D423">
        <v>7.263E-2</v>
      </c>
      <c r="E423">
        <v>7.6700000000000004E-2</v>
      </c>
      <c r="F423">
        <v>5292831.8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0.73560767590618525</v>
      </c>
      <c r="Q423">
        <f t="shared" si="975"/>
        <v>3893447.6993603511</v>
      </c>
      <c r="R423">
        <f t="shared" si="976"/>
        <v>-98313471.527653724</v>
      </c>
      <c r="S423">
        <f t="shared" si="977"/>
        <v>-983.13471527653724</v>
      </c>
      <c r="T423">
        <f t="shared" si="978"/>
        <v>-0.98313471527653729</v>
      </c>
    </row>
    <row r="424" spans="1:20" x14ac:dyDescent="0.25">
      <c r="A424" s="5">
        <v>44169</v>
      </c>
      <c r="B424">
        <v>8.1379999999999994E-2</v>
      </c>
      <c r="C424">
        <v>8.2799999999999999E-2</v>
      </c>
      <c r="D424">
        <v>7.2800000000000004E-2</v>
      </c>
      <c r="E424">
        <v>7.3889999999999997E-2</v>
      </c>
      <c r="F424">
        <v>8773200.0999999996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-0.78200000000000114</v>
      </c>
      <c r="Q424">
        <f t="shared" si="975"/>
        <v>-6860642.47820001</v>
      </c>
      <c r="R424">
        <f t="shared" si="976"/>
        <v>-102206919.22701408</v>
      </c>
      <c r="S424">
        <f t="shared" si="977"/>
        <v>-1022.0691922701408</v>
      </c>
      <c r="T424">
        <f t="shared" si="978"/>
        <v>-1.0220691922701408</v>
      </c>
    </row>
    <row r="425" spans="1:20" x14ac:dyDescent="0.25">
      <c r="A425" s="5">
        <v>44168</v>
      </c>
      <c r="B425">
        <v>8.2290000000000002E-2</v>
      </c>
      <c r="C425">
        <v>8.3180000000000004E-2</v>
      </c>
      <c r="D425">
        <v>8.0259999999999998E-2</v>
      </c>
      <c r="E425">
        <v>8.1530000000000005E-2</v>
      </c>
      <c r="F425">
        <v>6800080.2999999998</v>
      </c>
      <c r="G425">
        <v>0</v>
      </c>
      <c r="L425" t="s">
        <v>7</v>
      </c>
      <c r="M425" t="s">
        <v>8</v>
      </c>
      <c r="N425" t="s">
        <v>7</v>
      </c>
      <c r="P425">
        <f t="shared" si="974"/>
        <v>-0.13013698630136666</v>
      </c>
      <c r="Q425">
        <f t="shared" si="975"/>
        <v>-884941.95684929332</v>
      </c>
      <c r="R425">
        <f t="shared" si="976"/>
        <v>-95346276.748814076</v>
      </c>
      <c r="S425">
        <f t="shared" si="977"/>
        <v>-953.4627674881408</v>
      </c>
      <c r="T425">
        <f t="shared" si="978"/>
        <v>-0.95346276748814085</v>
      </c>
    </row>
    <row r="426" spans="1:20" x14ac:dyDescent="0.25">
      <c r="A426" s="5">
        <v>44167</v>
      </c>
      <c r="B426">
        <v>7.7009999999999995E-2</v>
      </c>
      <c r="C426">
        <v>8.6669999999999997E-2</v>
      </c>
      <c r="D426">
        <v>7.5889999999999999E-2</v>
      </c>
      <c r="E426">
        <v>8.2739999999999994E-2</v>
      </c>
      <c r="F426">
        <v>12603803.9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0.27087198515769878</v>
      </c>
      <c r="Q426">
        <f t="shared" si="975"/>
        <v>3414017.3829313461</v>
      </c>
      <c r="R426">
        <f t="shared" si="976"/>
        <v>-94461334.791964784</v>
      </c>
      <c r="S426">
        <f t="shared" si="977"/>
        <v>-944.61334791964782</v>
      </c>
      <c r="T426">
        <f t="shared" si="978"/>
        <v>-0.94461334791964779</v>
      </c>
    </row>
    <row r="427" spans="1:20" x14ac:dyDescent="0.25">
      <c r="A427" s="5">
        <v>44166</v>
      </c>
      <c r="B427">
        <v>7.7219999999999997E-2</v>
      </c>
      <c r="C427">
        <v>8.2150000000000001E-2</v>
      </c>
      <c r="D427">
        <v>7.3109999999999994E-2</v>
      </c>
      <c r="E427">
        <v>7.7229999999999993E-2</v>
      </c>
      <c r="F427">
        <v>15767197.800000001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-8.8495575221239881E-2</v>
      </c>
      <c r="Q427">
        <f t="shared" si="975"/>
        <v>-1395327.238938068</v>
      </c>
      <c r="R427">
        <f t="shared" si="976"/>
        <v>-97875352.174896136</v>
      </c>
      <c r="S427">
        <f t="shared" si="977"/>
        <v>-978.75352174896136</v>
      </c>
      <c r="T427">
        <f t="shared" si="978"/>
        <v>-0.97875352174896135</v>
      </c>
    </row>
    <row r="428" spans="1:20" x14ac:dyDescent="0.25">
      <c r="A428" s="5">
        <v>44165</v>
      </c>
      <c r="B428">
        <v>7.4060000000000001E-2</v>
      </c>
      <c r="C428">
        <v>7.8380000000000005E-2</v>
      </c>
      <c r="D428">
        <v>7.2319999999999995E-2</v>
      </c>
      <c r="E428">
        <v>7.7200000000000005E-2</v>
      </c>
      <c r="F428">
        <v>9840877.0999999996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0.61056105610561107</v>
      </c>
      <c r="Q428">
        <f t="shared" si="975"/>
        <v>6008456.3151815226</v>
      </c>
      <c r="R428">
        <f t="shared" si="976"/>
        <v>-96480024.935958073</v>
      </c>
      <c r="S428">
        <f t="shared" si="977"/>
        <v>-964.80024935958068</v>
      </c>
      <c r="T428">
        <f t="shared" si="978"/>
        <v>-0.96480024935958064</v>
      </c>
    </row>
    <row r="429" spans="1:20" x14ac:dyDescent="0.25">
      <c r="A429" s="5">
        <v>44164</v>
      </c>
      <c r="B429">
        <v>7.3190000000000005E-2</v>
      </c>
      <c r="C429">
        <v>7.7280000000000001E-2</v>
      </c>
      <c r="D429">
        <v>7.1319999999999995E-2</v>
      </c>
      <c r="E429">
        <v>7.4060000000000001E-2</v>
      </c>
      <c r="F429">
        <v>9534224.5999999996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-8.0536912751676806E-2</v>
      </c>
      <c r="Q429">
        <f t="shared" si="975"/>
        <v>-767857.01476509066</v>
      </c>
      <c r="R429">
        <f t="shared" si="976"/>
        <v>-102488481.2511396</v>
      </c>
      <c r="S429">
        <f t="shared" si="977"/>
        <v>-1024.8848125113959</v>
      </c>
      <c r="T429">
        <f t="shared" si="978"/>
        <v>-1.0248848125113958</v>
      </c>
    </row>
    <row r="430" spans="1:20" x14ac:dyDescent="0.25">
      <c r="A430" s="5">
        <v>44163</v>
      </c>
      <c r="B430">
        <v>7.3520000000000002E-2</v>
      </c>
      <c r="C430">
        <v>7.6380000000000003E-2</v>
      </c>
      <c r="D430">
        <v>6.9989999999999997E-2</v>
      </c>
      <c r="E430">
        <v>7.3080000000000006E-2</v>
      </c>
      <c r="F430">
        <v>7725889</v>
      </c>
      <c r="G430">
        <v>0</v>
      </c>
      <c r="L430" t="s">
        <v>7</v>
      </c>
      <c r="M430" t="s">
        <v>7</v>
      </c>
      <c r="N430" t="s">
        <v>7</v>
      </c>
      <c r="P430">
        <f t="shared" si="974"/>
        <v>-3.2863849765256296E-2</v>
      </c>
      <c r="Q430">
        <f t="shared" si="975"/>
        <v>-253902.45539904622</v>
      </c>
      <c r="R430">
        <f t="shared" si="976"/>
        <v>-101720624.23637451</v>
      </c>
      <c r="S430">
        <f t="shared" si="977"/>
        <v>-1017.2062423637451</v>
      </c>
      <c r="T430">
        <f t="shared" si="978"/>
        <v>-1.0172062423637451</v>
      </c>
    </row>
    <row r="431" spans="1:20" x14ac:dyDescent="0.25">
      <c r="A431" s="5">
        <v>44162</v>
      </c>
      <c r="B431">
        <v>7.5670000000000001E-2</v>
      </c>
      <c r="C431">
        <v>7.8700000000000006E-2</v>
      </c>
      <c r="D431">
        <v>6.8510000000000001E-2</v>
      </c>
      <c r="E431">
        <v>7.3150000000000007E-2</v>
      </c>
      <c r="F431">
        <v>12703878.9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-8.9303238469086721E-2</v>
      </c>
      <c r="Q431">
        <f t="shared" si="975"/>
        <v>-1134497.526889099</v>
      </c>
      <c r="R431">
        <f t="shared" si="976"/>
        <v>-101466721.78097546</v>
      </c>
      <c r="S431">
        <f t="shared" si="977"/>
        <v>-1014.6672178097546</v>
      </c>
      <c r="T431">
        <f t="shared" si="978"/>
        <v>-1.0146672178097547</v>
      </c>
    </row>
    <row r="432" spans="1:20" x14ac:dyDescent="0.25">
      <c r="A432" s="5">
        <v>44161</v>
      </c>
      <c r="B432">
        <v>8.949E-2</v>
      </c>
      <c r="C432">
        <v>9.5219999999999999E-2</v>
      </c>
      <c r="D432">
        <v>6.7549999999999999E-2</v>
      </c>
      <c r="E432">
        <v>7.5520000000000004E-2</v>
      </c>
      <c r="F432">
        <v>32255853.300000001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-0.4239248283339353</v>
      </c>
      <c r="Q432">
        <f t="shared" si="975"/>
        <v>-13674057.072967101</v>
      </c>
      <c r="R432">
        <f t="shared" si="976"/>
        <v>-100332224.25408636</v>
      </c>
      <c r="S432">
        <f t="shared" si="977"/>
        <v>-1003.3222425408636</v>
      </c>
      <c r="T432">
        <f t="shared" si="978"/>
        <v>-1.0033222425408637</v>
      </c>
    </row>
    <row r="433" spans="1:20" x14ac:dyDescent="0.25">
      <c r="A433" s="5">
        <v>44160</v>
      </c>
      <c r="B433">
        <v>9.4890000000000002E-2</v>
      </c>
      <c r="C433">
        <v>0.10635</v>
      </c>
      <c r="D433">
        <v>8.5220000000000004E-2</v>
      </c>
      <c r="E433">
        <v>8.9410000000000003E-2</v>
      </c>
      <c r="F433">
        <v>29518015.5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-0.60340747752011359</v>
      </c>
      <c r="Q433">
        <f t="shared" si="975"/>
        <v>-17811391.274254613</v>
      </c>
      <c r="R433">
        <f t="shared" si="976"/>
        <v>-86658167.181119263</v>
      </c>
      <c r="S433">
        <f t="shared" si="977"/>
        <v>-866.58167181119268</v>
      </c>
      <c r="T433">
        <f t="shared" si="978"/>
        <v>-0.86658167181119272</v>
      </c>
    </row>
    <row r="434" spans="1:20" x14ac:dyDescent="0.25">
      <c r="A434" s="5">
        <v>44159</v>
      </c>
      <c r="B434">
        <v>8.5260000000000002E-2</v>
      </c>
      <c r="C434">
        <v>0.10269</v>
      </c>
      <c r="D434">
        <v>8.4110000000000004E-2</v>
      </c>
      <c r="E434">
        <v>9.4789999999999999E-2</v>
      </c>
      <c r="F434">
        <v>33663272.700000003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0.1496232508073192</v>
      </c>
      <c r="Q434">
        <f t="shared" si="975"/>
        <v>5036808.2941872813</v>
      </c>
      <c r="R434">
        <f t="shared" si="976"/>
        <v>-68846775.906864643</v>
      </c>
      <c r="S434">
        <f t="shared" si="977"/>
        <v>-688.46775906864639</v>
      </c>
      <c r="T434">
        <f t="shared" si="978"/>
        <v>-0.68846775906864643</v>
      </c>
    </row>
    <row r="435" spans="1:20" x14ac:dyDescent="0.25">
      <c r="A435" s="5">
        <v>44158</v>
      </c>
      <c r="B435">
        <v>8.7340000000000001E-2</v>
      </c>
      <c r="C435">
        <v>9.2649999999999996E-2</v>
      </c>
      <c r="D435">
        <v>8.0619999999999997E-2</v>
      </c>
      <c r="E435">
        <v>8.5279999999999995E-2</v>
      </c>
      <c r="F435">
        <v>27831553.899999999</v>
      </c>
      <c r="G435">
        <v>0</v>
      </c>
      <c r="L435" t="s">
        <v>7</v>
      </c>
      <c r="M435" t="s">
        <v>8</v>
      </c>
      <c r="N435" t="s">
        <v>8</v>
      </c>
      <c r="P435">
        <f t="shared" si="974"/>
        <v>-0.22527015793848748</v>
      </c>
      <c r="Q435">
        <f t="shared" si="975"/>
        <v>-6269618.542726527</v>
      </c>
      <c r="R435">
        <f t="shared" si="976"/>
        <v>-73883584.201051921</v>
      </c>
      <c r="S435">
        <f t="shared" si="977"/>
        <v>-738.83584201051917</v>
      </c>
      <c r="T435">
        <f t="shared" si="978"/>
        <v>-0.73883584201051922</v>
      </c>
    </row>
    <row r="436" spans="1:20" x14ac:dyDescent="0.25">
      <c r="A436" s="5">
        <v>44157</v>
      </c>
      <c r="B436">
        <v>7.5840000000000005E-2</v>
      </c>
      <c r="C436">
        <v>9.3899999999999997E-2</v>
      </c>
      <c r="D436">
        <v>7.2489999999999999E-2</v>
      </c>
      <c r="E436">
        <v>8.695E-2</v>
      </c>
      <c r="F436">
        <v>36034983.299999997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0.35077066791219075</v>
      </c>
      <c r="Q436">
        <f t="shared" si="975"/>
        <v>12640015.160345638</v>
      </c>
      <c r="R436">
        <f t="shared" si="976"/>
        <v>-67613965.658325389</v>
      </c>
      <c r="S436">
        <f t="shared" si="977"/>
        <v>-676.1396565832539</v>
      </c>
      <c r="T436">
        <f t="shared" si="978"/>
        <v>-0.67613965658325392</v>
      </c>
    </row>
    <row r="437" spans="1:20" x14ac:dyDescent="0.25">
      <c r="A437" s="5">
        <v>44156</v>
      </c>
      <c r="B437">
        <v>6.6799999999999998E-2</v>
      </c>
      <c r="C437">
        <v>7.7880000000000005E-2</v>
      </c>
      <c r="D437">
        <v>6.4899999999999999E-2</v>
      </c>
      <c r="E437">
        <v>7.5870000000000007E-2</v>
      </c>
      <c r="F437">
        <v>18755325.100000001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0.69029275808936874</v>
      </c>
      <c r="Q437">
        <f t="shared" si="975"/>
        <v>12946665.092141766</v>
      </c>
      <c r="R437">
        <f t="shared" si="976"/>
        <v>-80253980.818671033</v>
      </c>
      <c r="S437">
        <f t="shared" si="977"/>
        <v>-802.53980818671027</v>
      </c>
      <c r="T437">
        <f t="shared" si="978"/>
        <v>-0.80253980818671022</v>
      </c>
    </row>
    <row r="438" spans="1:20" x14ac:dyDescent="0.25">
      <c r="A438" s="5">
        <v>44155</v>
      </c>
      <c r="B438">
        <v>6.6750000000000004E-2</v>
      </c>
      <c r="C438">
        <v>7.1730000000000002E-2</v>
      </c>
      <c r="D438">
        <v>6.5809999999999994E-2</v>
      </c>
      <c r="E438">
        <v>6.6769999999999996E-2</v>
      </c>
      <c r="F438">
        <v>16134134.300000001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-0.67567567567567532</v>
      </c>
      <c r="Q438">
        <f t="shared" si="975"/>
        <v>-10901442.094594589</v>
      </c>
      <c r="R438">
        <f t="shared" si="976"/>
        <v>-93200645.910812795</v>
      </c>
      <c r="S438">
        <f t="shared" si="977"/>
        <v>-932.00645910812796</v>
      </c>
      <c r="T438">
        <f t="shared" si="978"/>
        <v>-0.93200645910812796</v>
      </c>
    </row>
    <row r="439" spans="1:20" x14ac:dyDescent="0.25">
      <c r="A439" s="5">
        <v>44154</v>
      </c>
      <c r="B439">
        <v>6.4979999999999996E-2</v>
      </c>
      <c r="C439">
        <v>6.7849999999999994E-2</v>
      </c>
      <c r="D439">
        <v>6.1559999999999997E-2</v>
      </c>
      <c r="E439">
        <v>6.6710000000000005E-2</v>
      </c>
      <c r="F439">
        <v>9245408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0.63751987281399403</v>
      </c>
      <c r="Q439">
        <f t="shared" si="975"/>
        <v>5894131.3322734833</v>
      </c>
      <c r="R439">
        <f t="shared" si="976"/>
        <v>-82299203.816218212</v>
      </c>
      <c r="S439">
        <f t="shared" si="977"/>
        <v>-822.9920381621821</v>
      </c>
      <c r="T439">
        <f t="shared" si="978"/>
        <v>-0.82299203816218214</v>
      </c>
    </row>
    <row r="440" spans="1:20" x14ac:dyDescent="0.25">
      <c r="A440" s="5">
        <v>44153</v>
      </c>
      <c r="B440">
        <v>6.9790000000000005E-2</v>
      </c>
      <c r="C440">
        <v>7.0510000000000003E-2</v>
      </c>
      <c r="D440">
        <v>6.1019999999999998E-2</v>
      </c>
      <c r="E440">
        <v>6.5049999999999997E-2</v>
      </c>
      <c r="F440">
        <v>12660580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-0.15068493150685003</v>
      </c>
      <c r="Q440">
        <f t="shared" si="975"/>
        <v>-1907758.6301369953</v>
      </c>
      <c r="R440">
        <f t="shared" si="976"/>
        <v>-88193335.148491696</v>
      </c>
      <c r="S440">
        <f t="shared" si="977"/>
        <v>-881.93335148491701</v>
      </c>
      <c r="T440">
        <f t="shared" si="978"/>
        <v>-0.88193335148491703</v>
      </c>
    </row>
    <row r="441" spans="1:20" x14ac:dyDescent="0.25">
      <c r="A441" s="5">
        <v>44152</v>
      </c>
      <c r="B441">
        <v>6.7629999999999996E-2</v>
      </c>
      <c r="C441">
        <v>7.3849999999999999E-2</v>
      </c>
      <c r="D441">
        <v>6.7019999999999996E-2</v>
      </c>
      <c r="E441">
        <v>6.9709999999999994E-2</v>
      </c>
      <c r="F441">
        <v>11740711.4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-0.21229868228404192</v>
      </c>
      <c r="Q441">
        <f t="shared" si="975"/>
        <v>-2492537.5592972292</v>
      </c>
      <c r="R441">
        <f t="shared" si="976"/>
        <v>-86285576.518354699</v>
      </c>
      <c r="S441">
        <f t="shared" si="977"/>
        <v>-862.85576518354696</v>
      </c>
      <c r="T441">
        <f t="shared" si="978"/>
        <v>-0.86285576518354701</v>
      </c>
    </row>
    <row r="442" spans="1:20" x14ac:dyDescent="0.25">
      <c r="A442" s="5">
        <v>44151</v>
      </c>
      <c r="B442">
        <v>6.5110000000000001E-2</v>
      </c>
      <c r="C442">
        <v>7.0599999999999996E-2</v>
      </c>
      <c r="D442">
        <v>6.3899999999999998E-2</v>
      </c>
      <c r="E442">
        <v>6.7849999999999994E-2</v>
      </c>
      <c r="F442">
        <v>9458647</v>
      </c>
      <c r="G442">
        <v>0</v>
      </c>
      <c r="L442" t="s">
        <v>8</v>
      </c>
      <c r="M442" t="s">
        <v>7</v>
      </c>
      <c r="N442" t="s">
        <v>8</v>
      </c>
      <c r="P442">
        <f t="shared" si="974"/>
        <v>0.17910447761193929</v>
      </c>
      <c r="Q442">
        <f t="shared" si="975"/>
        <v>1694086.0298507367</v>
      </c>
      <c r="R442">
        <f t="shared" si="976"/>
        <v>-83793038.959057465</v>
      </c>
      <c r="S442">
        <f t="shared" si="977"/>
        <v>-837.93038959057469</v>
      </c>
      <c r="T442">
        <f t="shared" si="978"/>
        <v>-0.83793038959057464</v>
      </c>
    </row>
    <row r="443" spans="1:20" x14ac:dyDescent="0.25">
      <c r="A443" s="5">
        <v>44150</v>
      </c>
      <c r="B443">
        <v>7.0690000000000003E-2</v>
      </c>
      <c r="C443">
        <v>7.349E-2</v>
      </c>
      <c r="D443">
        <v>6.2719999999999998E-2</v>
      </c>
      <c r="E443">
        <v>6.5320000000000003E-2</v>
      </c>
      <c r="F443">
        <v>10096808.9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-0.51717734447539376</v>
      </c>
      <c r="Q443">
        <f t="shared" si="975"/>
        <v>-5221840.8145775218</v>
      </c>
      <c r="R443">
        <f t="shared" si="976"/>
        <v>-85487124.988908201</v>
      </c>
      <c r="S443">
        <f t="shared" si="977"/>
        <v>-854.87124988908204</v>
      </c>
      <c r="T443">
        <f t="shared" si="978"/>
        <v>-0.85487124988908203</v>
      </c>
    </row>
    <row r="444" spans="1:20" x14ac:dyDescent="0.25">
      <c r="A444" s="5">
        <v>44149</v>
      </c>
      <c r="B444">
        <v>7.3370000000000005E-2</v>
      </c>
      <c r="C444">
        <v>7.3370000000000005E-2</v>
      </c>
      <c r="D444">
        <v>6.4130000000000006E-2</v>
      </c>
      <c r="E444">
        <v>7.0290000000000005E-2</v>
      </c>
      <c r="F444">
        <v>12061965.6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0.33333333333333331</v>
      </c>
      <c r="Q444">
        <f t="shared" si="975"/>
        <v>4020655.1999999997</v>
      </c>
      <c r="R444">
        <f t="shared" si="976"/>
        <v>-80265284.174330682</v>
      </c>
      <c r="S444">
        <f t="shared" si="977"/>
        <v>-802.65284174330679</v>
      </c>
      <c r="T444">
        <f t="shared" si="978"/>
        <v>-0.80265284174330676</v>
      </c>
    </row>
    <row r="445" spans="1:20" x14ac:dyDescent="0.25">
      <c r="A445" s="5">
        <v>44148</v>
      </c>
      <c r="B445">
        <v>6.8570000000000006E-2</v>
      </c>
      <c r="C445">
        <v>7.6270000000000004E-2</v>
      </c>
      <c r="D445">
        <v>6.8559999999999996E-2</v>
      </c>
      <c r="E445">
        <v>7.3219999999999993E-2</v>
      </c>
      <c r="F445">
        <v>6609985.7999999998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0.20881971465628854</v>
      </c>
      <c r="Q445">
        <f t="shared" si="975"/>
        <v>1380295.3486381192</v>
      </c>
      <c r="R445">
        <f t="shared" si="976"/>
        <v>-84285939.374330685</v>
      </c>
      <c r="S445">
        <f t="shared" si="977"/>
        <v>-842.8593937433069</v>
      </c>
      <c r="T445">
        <f t="shared" si="978"/>
        <v>-0.84285939374330687</v>
      </c>
    </row>
    <row r="446" spans="1:20" x14ac:dyDescent="0.25">
      <c r="A446" s="5">
        <v>44147</v>
      </c>
      <c r="B446">
        <v>7.3859999999999995E-2</v>
      </c>
      <c r="C446">
        <v>7.757E-2</v>
      </c>
      <c r="D446">
        <v>6.6989999999999994E-2</v>
      </c>
      <c r="E446">
        <v>6.8349999999999994E-2</v>
      </c>
      <c r="F446">
        <v>7587651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-0.74291115311909273</v>
      </c>
      <c r="Q446">
        <f t="shared" si="975"/>
        <v>-5636950.5538752368</v>
      </c>
      <c r="R446">
        <f t="shared" si="976"/>
        <v>-85666234.722968802</v>
      </c>
      <c r="S446">
        <f t="shared" si="977"/>
        <v>-856.66234722968807</v>
      </c>
      <c r="T446">
        <f t="shared" si="978"/>
        <v>-0.85666234722968804</v>
      </c>
    </row>
    <row r="447" spans="1:20" x14ac:dyDescent="0.25">
      <c r="A447" s="5">
        <v>44146</v>
      </c>
      <c r="B447">
        <v>8.0530000000000004E-2</v>
      </c>
      <c r="C447">
        <v>8.3820000000000006E-2</v>
      </c>
      <c r="D447">
        <v>7.2900000000000006E-2</v>
      </c>
      <c r="E447">
        <v>7.3859999999999995E-2</v>
      </c>
      <c r="F447">
        <v>9936852.6999999993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-0.82417582417582624</v>
      </c>
      <c r="Q447">
        <f t="shared" si="975"/>
        <v>-8189713.7637362834</v>
      </c>
      <c r="R447">
        <f t="shared" si="976"/>
        <v>-80029284.169093564</v>
      </c>
      <c r="S447">
        <f t="shared" si="977"/>
        <v>-800.29284169093569</v>
      </c>
      <c r="T447">
        <f t="shared" si="978"/>
        <v>-0.80029284169093573</v>
      </c>
    </row>
    <row r="448" spans="1:20" x14ac:dyDescent="0.25">
      <c r="A448" s="5">
        <v>44145</v>
      </c>
      <c r="B448">
        <v>6.8760000000000002E-2</v>
      </c>
      <c r="C448">
        <v>8.2449999999999996E-2</v>
      </c>
      <c r="D448">
        <v>6.8510000000000001E-2</v>
      </c>
      <c r="E448">
        <v>8.0530000000000004E-2</v>
      </c>
      <c r="F448">
        <v>14172471.4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0.72453371592539573</v>
      </c>
      <c r="Q448">
        <f t="shared" si="975"/>
        <v>10268433.367288396</v>
      </c>
      <c r="R448">
        <f t="shared" si="976"/>
        <v>-71839570.405357286</v>
      </c>
      <c r="S448">
        <f t="shared" si="977"/>
        <v>-718.3957040535729</v>
      </c>
      <c r="T448">
        <f t="shared" si="978"/>
        <v>-0.71839570405357289</v>
      </c>
    </row>
    <row r="449" spans="1:20" x14ac:dyDescent="0.25">
      <c r="A449" s="5">
        <v>44144</v>
      </c>
      <c r="B449">
        <v>7.1300000000000002E-2</v>
      </c>
      <c r="C449">
        <v>7.3779999999999998E-2</v>
      </c>
      <c r="D449">
        <v>6.6479999999999997E-2</v>
      </c>
      <c r="E449">
        <v>6.898E-2</v>
      </c>
      <c r="F449">
        <v>10611334.199999999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-0.31506849315068441</v>
      </c>
      <c r="Q449">
        <f t="shared" si="975"/>
        <v>-3343297.0767123229</v>
      </c>
      <c r="R449">
        <f t="shared" si="976"/>
        <v>-82108003.772645682</v>
      </c>
      <c r="S449">
        <f t="shared" si="977"/>
        <v>-821.08003772645679</v>
      </c>
      <c r="T449">
        <f t="shared" si="978"/>
        <v>-0.82108003772645677</v>
      </c>
    </row>
    <row r="450" spans="1:20" x14ac:dyDescent="0.25">
      <c r="A450" s="5">
        <v>44143</v>
      </c>
      <c r="B450">
        <v>6.3130000000000006E-2</v>
      </c>
      <c r="C450">
        <v>7.2989999999999999E-2</v>
      </c>
      <c r="D450">
        <v>6.1800000000000001E-2</v>
      </c>
      <c r="E450">
        <v>7.0999999999999994E-2</v>
      </c>
      <c r="F450">
        <v>15389916.4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0.64432529043788989</v>
      </c>
      <c r="Q450">
        <f t="shared" si="975"/>
        <v>9916112.354244845</v>
      </c>
      <c r="R450">
        <f t="shared" si="976"/>
        <v>-78764706.695933357</v>
      </c>
      <c r="S450">
        <f t="shared" si="977"/>
        <v>-787.64706695933353</v>
      </c>
      <c r="T450">
        <f t="shared" si="978"/>
        <v>-0.78764706695933351</v>
      </c>
    </row>
    <row r="451" spans="1:20" x14ac:dyDescent="0.25">
      <c r="A451" s="5">
        <v>44142</v>
      </c>
      <c r="B451">
        <v>6.7089999999999997E-2</v>
      </c>
      <c r="C451">
        <v>7.7679999999999999E-2</v>
      </c>
      <c r="D451">
        <v>6.021E-2</v>
      </c>
      <c r="E451">
        <v>6.3079999999999997E-2</v>
      </c>
      <c r="F451">
        <v>25896549.199999999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-0.67143674871207815</v>
      </c>
      <c r="Q451">
        <f t="shared" si="975"/>
        <v>-17387894.797710367</v>
      </c>
      <c r="R451">
        <f t="shared" si="976"/>
        <v>-88680819.0501782</v>
      </c>
      <c r="S451">
        <f t="shared" si="977"/>
        <v>-886.80819050178195</v>
      </c>
      <c r="T451">
        <f t="shared" si="978"/>
        <v>-0.88680819050178195</v>
      </c>
    </row>
    <row r="452" spans="1:20" x14ac:dyDescent="0.25">
      <c r="A452" s="5">
        <v>44141</v>
      </c>
      <c r="B452">
        <v>5.6739999999999999E-2</v>
      </c>
      <c r="C452">
        <v>6.8430000000000005E-2</v>
      </c>
      <c r="D452">
        <v>5.6419999999999998E-2</v>
      </c>
      <c r="E452">
        <v>6.7309999999999995E-2</v>
      </c>
      <c r="F452">
        <v>14154680.699999999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0.81348875936719245</v>
      </c>
      <c r="Q452">
        <f t="shared" si="975"/>
        <v>11514673.641881743</v>
      </c>
      <c r="R452">
        <f t="shared" si="976"/>
        <v>-71292924.252467841</v>
      </c>
      <c r="S452">
        <f t="shared" si="977"/>
        <v>-712.92924252467844</v>
      </c>
      <c r="T452">
        <f t="shared" si="978"/>
        <v>-0.71292924252467849</v>
      </c>
    </row>
    <row r="453" spans="1:20" x14ac:dyDescent="0.25">
      <c r="A453" s="5">
        <v>44140</v>
      </c>
      <c r="B453">
        <v>5.3220000000000003E-2</v>
      </c>
      <c r="C453">
        <v>5.7639999999999997E-2</v>
      </c>
      <c r="D453">
        <v>5.1589999999999997E-2</v>
      </c>
      <c r="E453">
        <v>5.6680000000000001E-2</v>
      </c>
      <c r="F453">
        <v>13374052.300000001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0.68264462809917503</v>
      </c>
      <c r="Q453">
        <f t="shared" si="975"/>
        <v>9129724.9585124161</v>
      </c>
      <c r="R453">
        <f t="shared" si="976"/>
        <v>-82807597.89434959</v>
      </c>
      <c r="S453">
        <f t="shared" si="977"/>
        <v>-828.0759789434959</v>
      </c>
      <c r="T453">
        <f t="shared" si="978"/>
        <v>-0.82807597894349594</v>
      </c>
    </row>
    <row r="454" spans="1:20" x14ac:dyDescent="0.25">
      <c r="A454" s="5">
        <v>44139</v>
      </c>
      <c r="B454">
        <v>5.4039999999999998E-2</v>
      </c>
      <c r="C454">
        <v>5.5710000000000003E-2</v>
      </c>
      <c r="D454">
        <v>5.0110000000000002E-2</v>
      </c>
      <c r="E454">
        <v>5.3019999999999998E-2</v>
      </c>
      <c r="F454">
        <v>9134381.6999999993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3.9285714285712682E-2</v>
      </c>
      <c r="Q454">
        <f t="shared" ref="Q454:Q517" si="980">F454*P454</f>
        <v>358850.70964284247</v>
      </c>
      <c r="R454">
        <f t="shared" ref="R454:R517" si="981">R455+Q454</f>
        <v>-91937322.852862</v>
      </c>
      <c r="S454">
        <f t="shared" ref="S454:S517" si="982">R454/100000</f>
        <v>-919.37322852861996</v>
      </c>
      <c r="T454">
        <f t="shared" ref="T454:T517" si="983">S454/1000</f>
        <v>-0.91937322852861991</v>
      </c>
    </row>
    <row r="455" spans="1:20" x14ac:dyDescent="0.25">
      <c r="A455" s="5">
        <v>44138</v>
      </c>
      <c r="B455">
        <v>5.7579999999999999E-2</v>
      </c>
      <c r="C455">
        <v>5.7729999999999997E-2</v>
      </c>
      <c r="D455">
        <v>5.2229999999999999E-2</v>
      </c>
      <c r="E455">
        <v>5.4300000000000001E-2</v>
      </c>
      <c r="F455">
        <v>11990548.4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-0.24727272727272612</v>
      </c>
      <c r="Q455">
        <f t="shared" si="980"/>
        <v>-2964935.6043636226</v>
      </c>
      <c r="R455">
        <f t="shared" si="981"/>
        <v>-92296173.562504843</v>
      </c>
      <c r="S455">
        <f t="shared" si="982"/>
        <v>-922.96173562504839</v>
      </c>
      <c r="T455">
        <f t="shared" si="983"/>
        <v>-0.92296173562504835</v>
      </c>
    </row>
    <row r="456" spans="1:20" x14ac:dyDescent="0.25">
      <c r="A456" s="5">
        <v>44137</v>
      </c>
      <c r="B456">
        <v>5.9180000000000003E-2</v>
      </c>
      <c r="C456">
        <v>6.0999999999999999E-2</v>
      </c>
      <c r="D456">
        <v>5.6669999999999998E-2</v>
      </c>
      <c r="E456">
        <v>5.7540000000000001E-2</v>
      </c>
      <c r="F456">
        <v>7439253.5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-0.59815242494226206</v>
      </c>
      <c r="Q456">
        <f t="shared" si="980"/>
        <v>-4449807.5207852107</v>
      </c>
      <c r="R456">
        <f t="shared" si="981"/>
        <v>-89331237.958141223</v>
      </c>
      <c r="S456">
        <f t="shared" si="982"/>
        <v>-893.31237958141219</v>
      </c>
      <c r="T456">
        <f t="shared" si="983"/>
        <v>-0.89331237958141219</v>
      </c>
    </row>
    <row r="457" spans="1:20" x14ac:dyDescent="0.25">
      <c r="A457" s="5">
        <v>44136</v>
      </c>
      <c r="B457">
        <v>5.978E-2</v>
      </c>
      <c r="C457">
        <v>6.0940000000000001E-2</v>
      </c>
      <c r="D457">
        <v>5.7669999999999999E-2</v>
      </c>
      <c r="E457">
        <v>5.9130000000000002E-2</v>
      </c>
      <c r="F457">
        <v>6690946.2999999998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-0.10703363914372964</v>
      </c>
      <c r="Q457">
        <f t="shared" si="980"/>
        <v>-716156.33180427295</v>
      </c>
      <c r="R457">
        <f t="shared" si="981"/>
        <v>-84881430.43735601</v>
      </c>
      <c r="S457">
        <f t="shared" si="982"/>
        <v>-848.81430437356005</v>
      </c>
      <c r="T457">
        <f t="shared" si="983"/>
        <v>-0.84881430437356009</v>
      </c>
    </row>
    <row r="458" spans="1:20" x14ac:dyDescent="0.25">
      <c r="A458" s="5">
        <v>44135</v>
      </c>
      <c r="B458">
        <v>6.2770000000000006E-2</v>
      </c>
      <c r="C458">
        <v>6.4229999999999995E-2</v>
      </c>
      <c r="D458">
        <v>5.9470000000000002E-2</v>
      </c>
      <c r="E458">
        <v>5.9909999999999998E-2</v>
      </c>
      <c r="F458">
        <v>5077910.3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-0.8151260504201695</v>
      </c>
      <c r="Q458">
        <f t="shared" si="980"/>
        <v>-4139136.9672268978</v>
      </c>
      <c r="R458">
        <f t="shared" si="981"/>
        <v>-84165274.105551735</v>
      </c>
      <c r="S458">
        <f t="shared" si="982"/>
        <v>-841.65274105551737</v>
      </c>
      <c r="T458">
        <f t="shared" si="983"/>
        <v>-0.84165274105551735</v>
      </c>
    </row>
    <row r="459" spans="1:20" x14ac:dyDescent="0.25">
      <c r="A459" s="5">
        <v>44134</v>
      </c>
      <c r="B459">
        <v>6.5579999999999999E-2</v>
      </c>
      <c r="C459">
        <v>6.6710000000000005E-2</v>
      </c>
      <c r="D459">
        <v>5.8689999999999999E-2</v>
      </c>
      <c r="E459">
        <v>6.2820000000000001E-2</v>
      </c>
      <c r="F459">
        <v>6591359.5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2.9925187032418574E-2</v>
      </c>
      <c r="Q459">
        <f t="shared" si="980"/>
        <v>197247.66583540896</v>
      </c>
      <c r="R459">
        <f t="shared" si="981"/>
        <v>-80026137.138324842</v>
      </c>
      <c r="S459">
        <f t="shared" si="982"/>
        <v>-800.26137138324839</v>
      </c>
      <c r="T459">
        <f t="shared" si="983"/>
        <v>-0.80026137138324838</v>
      </c>
    </row>
    <row r="460" spans="1:20" x14ac:dyDescent="0.25">
      <c r="A460" s="5">
        <v>44133</v>
      </c>
      <c r="B460">
        <v>6.8099999999999994E-2</v>
      </c>
      <c r="C460">
        <v>6.9940000000000002E-2</v>
      </c>
      <c r="D460">
        <v>6.4189999999999997E-2</v>
      </c>
      <c r="E460">
        <v>6.5589999999999996E-2</v>
      </c>
      <c r="F460">
        <v>4244960.5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-0.51304347826087049</v>
      </c>
      <c r="Q460">
        <f t="shared" si="980"/>
        <v>-2177849.300000004</v>
      </c>
      <c r="R460">
        <f t="shared" si="981"/>
        <v>-80223384.804160252</v>
      </c>
      <c r="S460">
        <f t="shared" si="982"/>
        <v>-802.23384804160253</v>
      </c>
      <c r="T460">
        <f t="shared" si="983"/>
        <v>-0.80223384804160258</v>
      </c>
    </row>
    <row r="461" spans="1:20" x14ac:dyDescent="0.25">
      <c r="A461" s="5">
        <v>44132</v>
      </c>
      <c r="B461">
        <v>7.7289999999999998E-2</v>
      </c>
      <c r="C461">
        <v>7.775E-2</v>
      </c>
      <c r="D461">
        <v>6.5949999999999995E-2</v>
      </c>
      <c r="E461">
        <v>6.8309999999999996E-2</v>
      </c>
      <c r="F461">
        <v>8100577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</v>
      </c>
      <c r="Q461">
        <f t="shared" si="980"/>
        <v>-4860346.2</v>
      </c>
      <c r="R461">
        <f t="shared" si="981"/>
        <v>-78045535.504160255</v>
      </c>
      <c r="S461">
        <f t="shared" si="982"/>
        <v>-780.4553550416025</v>
      </c>
      <c r="T461">
        <f t="shared" si="983"/>
        <v>-0.78045535504160246</v>
      </c>
    </row>
    <row r="462" spans="1:20" x14ac:dyDescent="0.25">
      <c r="A462" s="5">
        <v>44131</v>
      </c>
      <c r="B462">
        <v>7.8390000000000001E-2</v>
      </c>
      <c r="C462">
        <v>8.0530000000000004E-2</v>
      </c>
      <c r="D462">
        <v>7.4999999999999997E-2</v>
      </c>
      <c r="E462">
        <v>7.7420000000000003E-2</v>
      </c>
      <c r="F462">
        <v>8030031.5999999996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-0.12477396021699734</v>
      </c>
      <c r="Q462">
        <f t="shared" si="980"/>
        <v>-1001938.8433996314</v>
      </c>
      <c r="R462">
        <f t="shared" si="981"/>
        <v>-73185189.304160252</v>
      </c>
      <c r="S462">
        <f t="shared" si="982"/>
        <v>-731.85189304160247</v>
      </c>
      <c r="T462">
        <f t="shared" si="983"/>
        <v>-0.73185189304160247</v>
      </c>
    </row>
    <row r="463" spans="1:20" x14ac:dyDescent="0.25">
      <c r="A463" s="5">
        <v>44130</v>
      </c>
      <c r="B463">
        <v>8.6480000000000001E-2</v>
      </c>
      <c r="C463">
        <v>8.7179999999999994E-2</v>
      </c>
      <c r="D463">
        <v>7.5999999999999998E-2</v>
      </c>
      <c r="E463">
        <v>7.8289999999999998E-2</v>
      </c>
      <c r="F463">
        <v>9865331.9000000004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-0.59033989266547382</v>
      </c>
      <c r="Q463">
        <f t="shared" si="980"/>
        <v>-5823898.9749552747</v>
      </c>
      <c r="R463">
        <f t="shared" si="981"/>
        <v>-72183250.460760623</v>
      </c>
      <c r="S463">
        <f t="shared" si="982"/>
        <v>-721.83250460760621</v>
      </c>
      <c r="T463">
        <f t="shared" si="983"/>
        <v>-0.72183250460760617</v>
      </c>
    </row>
    <row r="464" spans="1:20" x14ac:dyDescent="0.25">
      <c r="A464" s="5">
        <v>44129</v>
      </c>
      <c r="B464">
        <v>8.7239999999999998E-2</v>
      </c>
      <c r="C464">
        <v>9.1889999999999999E-2</v>
      </c>
      <c r="D464">
        <v>8.3409999999999998E-2</v>
      </c>
      <c r="E464">
        <v>8.6400000000000005E-2</v>
      </c>
      <c r="F464">
        <v>14080082.1</v>
      </c>
      <c r="G464">
        <v>0</v>
      </c>
      <c r="L464" t="s">
        <v>8</v>
      </c>
      <c r="M464" t="s">
        <v>8</v>
      </c>
      <c r="N464" t="s">
        <v>7</v>
      </c>
      <c r="P464">
        <f t="shared" si="979"/>
        <v>-0.29481132075471556</v>
      </c>
      <c r="Q464">
        <f t="shared" si="980"/>
        <v>-4150967.6002358287</v>
      </c>
      <c r="R464">
        <f t="shared" si="981"/>
        <v>-66359351.485805348</v>
      </c>
      <c r="S464">
        <f t="shared" si="982"/>
        <v>-663.59351485805348</v>
      </c>
      <c r="T464">
        <f t="shared" si="983"/>
        <v>-0.66359351485805351</v>
      </c>
    </row>
    <row r="465" spans="1:20" x14ac:dyDescent="0.25">
      <c r="A465" s="5">
        <v>44128</v>
      </c>
      <c r="B465">
        <v>8.0549999999999997E-2</v>
      </c>
      <c r="C465">
        <v>8.9700000000000002E-2</v>
      </c>
      <c r="D465">
        <v>7.9799999999999996E-2</v>
      </c>
      <c r="E465">
        <v>8.7690000000000004E-2</v>
      </c>
      <c r="F465">
        <v>8791831.9000000004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0.59393939393939466</v>
      </c>
      <c r="Q465">
        <f t="shared" si="980"/>
        <v>5221815.3103030371</v>
      </c>
      <c r="R465">
        <f t="shared" si="981"/>
        <v>-62208383.88556952</v>
      </c>
      <c r="S465">
        <f t="shared" si="982"/>
        <v>-622.08383885569515</v>
      </c>
      <c r="T465">
        <f t="shared" si="983"/>
        <v>-0.62208383885569518</v>
      </c>
    </row>
    <row r="466" spans="1:20" x14ac:dyDescent="0.25">
      <c r="A466" s="5">
        <v>44127</v>
      </c>
      <c r="B466">
        <v>8.5080000000000003E-2</v>
      </c>
      <c r="C466">
        <v>8.5209999999999994E-2</v>
      </c>
      <c r="D466">
        <v>7.8600000000000003E-2</v>
      </c>
      <c r="E466">
        <v>8.0780000000000005E-2</v>
      </c>
      <c r="F466">
        <v>7404238.5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-0.34039334341906069</v>
      </c>
      <c r="Q466">
        <f t="shared" si="980"/>
        <v>-2520353.4984871307</v>
      </c>
      <c r="R466">
        <f t="shared" si="981"/>
        <v>-67430199.19587256</v>
      </c>
      <c r="S466">
        <f t="shared" si="982"/>
        <v>-674.30199195872558</v>
      </c>
      <c r="T466">
        <f t="shared" si="983"/>
        <v>-0.67430199195872553</v>
      </c>
    </row>
    <row r="467" spans="1:20" x14ac:dyDescent="0.25">
      <c r="A467" s="5">
        <v>44126</v>
      </c>
      <c r="B467">
        <v>7.8729999999999994E-2</v>
      </c>
      <c r="C467">
        <v>8.8739999999999999E-2</v>
      </c>
      <c r="D467">
        <v>7.8729999999999994E-2</v>
      </c>
      <c r="E467">
        <v>8.5209999999999994E-2</v>
      </c>
      <c r="F467">
        <v>9990684.8000000007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0.294705294705294</v>
      </c>
      <c r="Q467">
        <f t="shared" si="980"/>
        <v>2944307.7082917015</v>
      </c>
      <c r="R467">
        <f t="shared" si="981"/>
        <v>-64909845.697385423</v>
      </c>
      <c r="S467">
        <f t="shared" si="982"/>
        <v>-649.09845697385424</v>
      </c>
      <c r="T467">
        <f t="shared" si="983"/>
        <v>-0.64909845697385427</v>
      </c>
    </row>
    <row r="468" spans="1:20" x14ac:dyDescent="0.25">
      <c r="A468" s="5">
        <v>44125</v>
      </c>
      <c r="B468">
        <v>7.6439999999999994E-2</v>
      </c>
      <c r="C468">
        <v>8.5000000000000006E-2</v>
      </c>
      <c r="D468">
        <v>7.6300000000000007E-2</v>
      </c>
      <c r="E468">
        <v>7.9009999999999997E-2</v>
      </c>
      <c r="F468">
        <v>10473265.199999999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-0.37701149425287578</v>
      </c>
      <c r="Q468">
        <f t="shared" si="980"/>
        <v>-3948541.3627586435</v>
      </c>
      <c r="R468">
        <f t="shared" si="981"/>
        <v>-67854153.405677125</v>
      </c>
      <c r="S468">
        <f t="shared" si="982"/>
        <v>-678.5415340567713</v>
      </c>
      <c r="T468">
        <f t="shared" si="983"/>
        <v>-0.67854153405677131</v>
      </c>
    </row>
    <row r="469" spans="1:20" x14ac:dyDescent="0.25">
      <c r="A469" s="5">
        <v>44124</v>
      </c>
      <c r="B469">
        <v>8.2519999999999996E-2</v>
      </c>
      <c r="C469">
        <v>8.2669999999999993E-2</v>
      </c>
      <c r="D469">
        <v>7.5069999999999998E-2</v>
      </c>
      <c r="E469">
        <v>7.6149999999999995E-2</v>
      </c>
      <c r="F469">
        <v>10450371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-0.71578947368421098</v>
      </c>
      <c r="Q469">
        <f t="shared" si="980"/>
        <v>-7480265.5578947412</v>
      </c>
      <c r="R469">
        <f t="shared" si="981"/>
        <v>-63905612.042918488</v>
      </c>
      <c r="S469">
        <f t="shared" si="982"/>
        <v>-639.05612042918483</v>
      </c>
      <c r="T469">
        <f t="shared" si="983"/>
        <v>-0.6390561204291848</v>
      </c>
    </row>
    <row r="470" spans="1:20" x14ac:dyDescent="0.25">
      <c r="A470" s="5">
        <v>44123</v>
      </c>
      <c r="B470">
        <v>9.1079999999999994E-2</v>
      </c>
      <c r="C470">
        <v>9.1079999999999994E-2</v>
      </c>
      <c r="D470">
        <v>8.0810000000000007E-2</v>
      </c>
      <c r="E470">
        <v>8.2669999999999993E-2</v>
      </c>
      <c r="F470">
        <v>8970388.0999999996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-0.63777994157741213</v>
      </c>
      <c r="Q470">
        <f t="shared" si="980"/>
        <v>-5721133.5983447125</v>
      </c>
      <c r="R470">
        <f t="shared" si="981"/>
        <v>-56425346.485023744</v>
      </c>
      <c r="S470">
        <f t="shared" si="982"/>
        <v>-564.25346485023749</v>
      </c>
      <c r="T470">
        <f t="shared" si="983"/>
        <v>-0.56425346485023753</v>
      </c>
    </row>
    <row r="471" spans="1:20" x14ac:dyDescent="0.25">
      <c r="A471" s="5">
        <v>44122</v>
      </c>
      <c r="B471">
        <v>8.8730000000000003E-2</v>
      </c>
      <c r="C471">
        <v>9.425E-2</v>
      </c>
      <c r="D471">
        <v>8.8109999999999994E-2</v>
      </c>
      <c r="E471">
        <v>9.1149999999999995E-2</v>
      </c>
      <c r="F471">
        <v>4280786.7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-9.7719869706847599E-3</v>
      </c>
      <c r="Q471">
        <f t="shared" si="980"/>
        <v>-41831.791856680611</v>
      </c>
      <c r="R471">
        <f t="shared" si="981"/>
        <v>-50704212.886679031</v>
      </c>
      <c r="S471">
        <f t="shared" si="982"/>
        <v>-507.04212886679034</v>
      </c>
      <c r="T471">
        <f t="shared" si="983"/>
        <v>-0.50704212886679034</v>
      </c>
    </row>
    <row r="472" spans="1:20" x14ac:dyDescent="0.25">
      <c r="A472" s="5">
        <v>44121</v>
      </c>
      <c r="B472">
        <v>8.4459999999999993E-2</v>
      </c>
      <c r="C472">
        <v>9.1999999999999998E-2</v>
      </c>
      <c r="D472">
        <v>8.2220000000000001E-2</v>
      </c>
      <c r="E472">
        <v>8.8730000000000003E-2</v>
      </c>
      <c r="F472">
        <v>4929181.2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0.33128834355828302</v>
      </c>
      <c r="Q472">
        <f t="shared" si="980"/>
        <v>1632980.2748466297</v>
      </c>
      <c r="R472">
        <f t="shared" si="981"/>
        <v>-50662381.094822347</v>
      </c>
      <c r="S472">
        <f t="shared" si="982"/>
        <v>-506.62381094822348</v>
      </c>
      <c r="T472">
        <f t="shared" si="983"/>
        <v>-0.50662381094822351</v>
      </c>
    </row>
    <row r="473" spans="1:20" x14ac:dyDescent="0.25">
      <c r="A473" s="5">
        <v>44120</v>
      </c>
      <c r="B473">
        <v>9.5930000000000001E-2</v>
      </c>
      <c r="C473">
        <v>9.622E-2</v>
      </c>
      <c r="D473">
        <v>8.4059999999999996E-2</v>
      </c>
      <c r="E473">
        <v>8.4449999999999997E-2</v>
      </c>
      <c r="F473">
        <v>14567290.199999999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-0.93585526315789447</v>
      </c>
      <c r="Q473">
        <f t="shared" si="980"/>
        <v>-13632875.203618417</v>
      </c>
      <c r="R473">
        <f t="shared" si="981"/>
        <v>-52295361.369668975</v>
      </c>
      <c r="S473">
        <f t="shared" si="982"/>
        <v>-522.95361369668979</v>
      </c>
      <c r="T473">
        <f t="shared" si="983"/>
        <v>-0.5229536136966898</v>
      </c>
    </row>
    <row r="474" spans="1:20" x14ac:dyDescent="0.25">
      <c r="A474" s="5">
        <v>44119</v>
      </c>
      <c r="B474">
        <v>0.10169</v>
      </c>
      <c r="C474">
        <v>0.10177</v>
      </c>
      <c r="D474">
        <v>9.5630000000000007E-2</v>
      </c>
      <c r="E474">
        <v>9.5920000000000005E-2</v>
      </c>
      <c r="F474">
        <v>8401440.4000000004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-0.90553745928338791</v>
      </c>
      <c r="Q474">
        <f t="shared" si="980"/>
        <v>-7607818.9941368103</v>
      </c>
      <c r="R474">
        <f t="shared" si="981"/>
        <v>-38662486.166050561</v>
      </c>
      <c r="S474">
        <f t="shared" si="982"/>
        <v>-386.62486166050559</v>
      </c>
      <c r="T474">
        <f t="shared" si="983"/>
        <v>-0.38662486166050558</v>
      </c>
    </row>
    <row r="475" spans="1:20" x14ac:dyDescent="0.25">
      <c r="A475" s="5">
        <v>44118</v>
      </c>
      <c r="B475">
        <v>0.11269</v>
      </c>
      <c r="C475">
        <v>0.11695</v>
      </c>
      <c r="D475">
        <v>9.8720000000000002E-2</v>
      </c>
      <c r="E475">
        <v>0.1017</v>
      </c>
      <c r="F475">
        <v>13507131.9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-0.67306637410861248</v>
      </c>
      <c r="Q475">
        <f t="shared" si="980"/>
        <v>-9091196.2925397735</v>
      </c>
      <c r="R475">
        <f t="shared" si="981"/>
        <v>-31054667.17191375</v>
      </c>
      <c r="S475">
        <f t="shared" si="982"/>
        <v>-310.54667171913752</v>
      </c>
      <c r="T475">
        <f t="shared" si="983"/>
        <v>-0.31054667171913752</v>
      </c>
    </row>
    <row r="476" spans="1:20" x14ac:dyDescent="0.25">
      <c r="A476" s="5">
        <v>44117</v>
      </c>
      <c r="B476">
        <v>0.11339</v>
      </c>
      <c r="C476">
        <v>0.11799999999999999</v>
      </c>
      <c r="D476">
        <v>0.10758</v>
      </c>
      <c r="E476">
        <v>0.1123</v>
      </c>
      <c r="F476">
        <v>12598182.800000001</v>
      </c>
      <c r="G476">
        <v>0</v>
      </c>
      <c r="L476" t="s">
        <v>7</v>
      </c>
      <c r="M476" t="s">
        <v>7</v>
      </c>
      <c r="N476" t="s">
        <v>8</v>
      </c>
      <c r="P476">
        <f t="shared" si="979"/>
        <v>-9.4049904030709688E-2</v>
      </c>
      <c r="Q476">
        <f t="shared" si="980"/>
        <v>-1184857.8833013375</v>
      </c>
      <c r="R476">
        <f t="shared" si="981"/>
        <v>-21963470.879373979</v>
      </c>
      <c r="S476">
        <f t="shared" si="982"/>
        <v>-219.63470879373978</v>
      </c>
      <c r="T476">
        <f t="shared" si="983"/>
        <v>-0.21963470879373978</v>
      </c>
    </row>
    <row r="477" spans="1:20" x14ac:dyDescent="0.25">
      <c r="A477" s="5">
        <v>44116</v>
      </c>
      <c r="B477">
        <v>0.11923</v>
      </c>
      <c r="C477">
        <v>0.12241</v>
      </c>
      <c r="D477">
        <v>0.11114</v>
      </c>
      <c r="E477">
        <v>0.1134</v>
      </c>
      <c r="F477">
        <v>18951345.600000001</v>
      </c>
      <c r="G477">
        <v>0</v>
      </c>
      <c r="L477" t="s">
        <v>7</v>
      </c>
      <c r="M477" t="s">
        <v>7</v>
      </c>
      <c r="N477" t="s">
        <v>8</v>
      </c>
      <c r="P477">
        <f t="shared" si="979"/>
        <v>-0.5989352262644192</v>
      </c>
      <c r="Q477">
        <f t="shared" si="980"/>
        <v>-11350628.464951206</v>
      </c>
      <c r="R477">
        <f t="shared" si="981"/>
        <v>-20778612.996072643</v>
      </c>
      <c r="S477">
        <f t="shared" si="982"/>
        <v>-207.78612996072641</v>
      </c>
      <c r="T477">
        <f t="shared" si="983"/>
        <v>-0.2077861299607264</v>
      </c>
    </row>
    <row r="478" spans="1:20" x14ac:dyDescent="0.25">
      <c r="A478" s="5">
        <v>44115</v>
      </c>
      <c r="B478">
        <v>0.12581000000000001</v>
      </c>
      <c r="C478">
        <v>0.12773000000000001</v>
      </c>
      <c r="D478">
        <v>0.11567</v>
      </c>
      <c r="E478">
        <v>0.11873</v>
      </c>
      <c r="F478">
        <v>13728460.199999999</v>
      </c>
      <c r="G478">
        <v>0</v>
      </c>
      <c r="L478" t="s">
        <v>7</v>
      </c>
      <c r="M478" t="s">
        <v>8</v>
      </c>
      <c r="N478" t="s">
        <v>8</v>
      </c>
      <c r="P478">
        <f t="shared" si="979"/>
        <v>-0.49253731343283524</v>
      </c>
      <c r="Q478">
        <f t="shared" si="980"/>
        <v>-6761778.9044776037</v>
      </c>
      <c r="R478">
        <f t="shared" si="981"/>
        <v>-9427984.5311214346</v>
      </c>
      <c r="S478">
        <f t="shared" si="982"/>
        <v>-94.279845311214345</v>
      </c>
      <c r="T478">
        <f t="shared" si="983"/>
        <v>-9.4279845311214347E-2</v>
      </c>
    </row>
    <row r="479" spans="1:20" x14ac:dyDescent="0.25">
      <c r="A479" s="5">
        <v>44114</v>
      </c>
      <c r="B479">
        <v>0.10316</v>
      </c>
      <c r="C479">
        <v>0.13100000000000001</v>
      </c>
      <c r="D479">
        <v>0.10204000000000001</v>
      </c>
      <c r="E479">
        <v>0.12584999999999999</v>
      </c>
      <c r="F479">
        <v>22660836.800000001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0.64433701657458453</v>
      </c>
      <c r="Q479">
        <f t="shared" si="980"/>
        <v>14601215.976795556</v>
      </c>
      <c r="R479">
        <f t="shared" si="981"/>
        <v>-2666205.6266438309</v>
      </c>
      <c r="S479">
        <f t="shared" si="982"/>
        <v>-26.662056266438309</v>
      </c>
      <c r="T479">
        <f t="shared" si="983"/>
        <v>-2.6662056266438309E-2</v>
      </c>
    </row>
    <row r="480" spans="1:20" x14ac:dyDescent="0.25">
      <c r="A480" s="5">
        <v>44113</v>
      </c>
      <c r="B480">
        <v>0.10247000000000001</v>
      </c>
      <c r="C480">
        <v>0.10693999999999999</v>
      </c>
      <c r="D480">
        <v>9.8629999999999995E-2</v>
      </c>
      <c r="E480">
        <v>0.1028</v>
      </c>
      <c r="F480">
        <v>6483503.5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3.6101083032510388E-3</v>
      </c>
      <c r="Q480">
        <f t="shared" si="980"/>
        <v>23406.149819507173</v>
      </c>
      <c r="R480">
        <f t="shared" si="981"/>
        <v>-17267421.603439387</v>
      </c>
      <c r="S480">
        <f t="shared" si="982"/>
        <v>-172.67421603439388</v>
      </c>
      <c r="T480">
        <f t="shared" si="983"/>
        <v>-0.17267421603439387</v>
      </c>
    </row>
    <row r="481" spans="1:20" x14ac:dyDescent="0.25">
      <c r="A481" s="5">
        <v>44112</v>
      </c>
      <c r="B481">
        <v>9.5909999999999995E-2</v>
      </c>
      <c r="C481">
        <v>0.10369</v>
      </c>
      <c r="D481">
        <v>9.1969999999999996E-2</v>
      </c>
      <c r="E481">
        <v>0.10259</v>
      </c>
      <c r="F481">
        <v>8356433</v>
      </c>
      <c r="G481">
        <v>0</v>
      </c>
      <c r="L481" t="s">
        <v>8</v>
      </c>
      <c r="M481" t="s">
        <v>7</v>
      </c>
      <c r="N481" t="s">
        <v>8</v>
      </c>
      <c r="P481">
        <f t="shared" si="979"/>
        <v>0.81228668941979476</v>
      </c>
      <c r="Q481">
        <f t="shared" si="980"/>
        <v>6787819.2969283238</v>
      </c>
      <c r="R481">
        <f t="shared" si="981"/>
        <v>-17290827.753258895</v>
      </c>
      <c r="S481">
        <f t="shared" si="982"/>
        <v>-172.90827753258895</v>
      </c>
      <c r="T481">
        <f t="shared" si="983"/>
        <v>-0.17290827753258894</v>
      </c>
    </row>
    <row r="482" spans="1:20" x14ac:dyDescent="0.25">
      <c r="A482" s="5">
        <v>44111</v>
      </c>
      <c r="B482">
        <v>9.5310000000000006E-2</v>
      </c>
      <c r="C482">
        <v>9.6490000000000006E-2</v>
      </c>
      <c r="D482">
        <v>8.7379999999999999E-2</v>
      </c>
      <c r="E482">
        <v>9.5659999999999995E-2</v>
      </c>
      <c r="F482">
        <v>7193245.9000000004</v>
      </c>
      <c r="G482">
        <v>0</v>
      </c>
      <c r="L482" t="s">
        <v>7</v>
      </c>
      <c r="M482" t="s">
        <v>7</v>
      </c>
      <c r="N482" t="s">
        <v>8</v>
      </c>
      <c r="P482">
        <f t="shared" si="979"/>
        <v>0.81778265642151249</v>
      </c>
      <c r="Q482">
        <f t="shared" si="980"/>
        <v>5882511.7403951539</v>
      </c>
      <c r="R482">
        <f t="shared" si="981"/>
        <v>-24078647.050187219</v>
      </c>
      <c r="S482">
        <f t="shared" si="982"/>
        <v>-240.7864705018722</v>
      </c>
      <c r="T482">
        <f t="shared" si="983"/>
        <v>-0.24078647050187221</v>
      </c>
    </row>
    <row r="483" spans="1:20" x14ac:dyDescent="0.25">
      <c r="A483" s="5">
        <v>44110</v>
      </c>
      <c r="B483">
        <v>0.10829</v>
      </c>
      <c r="C483">
        <v>0.10829</v>
      </c>
      <c r="D483">
        <v>9.4780000000000003E-2</v>
      </c>
      <c r="E483">
        <v>9.64E-2</v>
      </c>
      <c r="F483">
        <v>6856489.7000000002</v>
      </c>
      <c r="G483">
        <v>0</v>
      </c>
      <c r="L483" t="s">
        <v>7</v>
      </c>
      <c r="M483" t="s">
        <v>8</v>
      </c>
      <c r="N483" t="s">
        <v>8</v>
      </c>
      <c r="P483">
        <f t="shared" si="979"/>
        <v>-0.76017764618800931</v>
      </c>
      <c r="Q483">
        <f t="shared" si="980"/>
        <v>-5212150.2012583306</v>
      </c>
      <c r="R483">
        <f t="shared" si="981"/>
        <v>-29961158.790582374</v>
      </c>
      <c r="S483">
        <f t="shared" si="982"/>
        <v>-299.61158790582374</v>
      </c>
      <c r="T483">
        <f t="shared" si="983"/>
        <v>-0.29961158790582376</v>
      </c>
    </row>
    <row r="484" spans="1:20" x14ac:dyDescent="0.25">
      <c r="A484" s="5">
        <v>44109</v>
      </c>
      <c r="B484">
        <v>0.10465000000000001</v>
      </c>
      <c r="C484">
        <v>0.11</v>
      </c>
      <c r="D484">
        <v>0.10227</v>
      </c>
      <c r="E484">
        <v>0.10793999999999999</v>
      </c>
      <c r="F484">
        <v>5916612.9000000004</v>
      </c>
      <c r="G484">
        <v>0</v>
      </c>
      <c r="L484" t="s">
        <v>8</v>
      </c>
      <c r="M484" t="s">
        <v>8</v>
      </c>
      <c r="N484" t="s">
        <v>8</v>
      </c>
      <c r="P484">
        <f t="shared" si="979"/>
        <v>0.46701164294954567</v>
      </c>
      <c r="Q484">
        <f t="shared" si="980"/>
        <v>2763127.1111254762</v>
      </c>
      <c r="R484">
        <f t="shared" si="981"/>
        <v>-24749008.589324042</v>
      </c>
      <c r="S484">
        <f t="shared" si="982"/>
        <v>-247.49008589324043</v>
      </c>
      <c r="T484">
        <f t="shared" si="983"/>
        <v>-0.24749008589324042</v>
      </c>
    </row>
    <row r="485" spans="1:20" x14ac:dyDescent="0.25">
      <c r="A485" s="5">
        <v>44108</v>
      </c>
      <c r="B485">
        <v>0.10313</v>
      </c>
      <c r="C485">
        <v>0.10514</v>
      </c>
      <c r="D485">
        <v>9.8379999999999995E-2</v>
      </c>
      <c r="E485">
        <v>0.10489999999999999</v>
      </c>
      <c r="F485">
        <v>4479641</v>
      </c>
      <c r="G485">
        <v>0</v>
      </c>
      <c r="L485" t="s">
        <v>7</v>
      </c>
      <c r="M485" t="s">
        <v>8</v>
      </c>
      <c r="N485" t="s">
        <v>8</v>
      </c>
      <c r="P485">
        <f t="shared" si="979"/>
        <v>0.92899408284023555</v>
      </c>
      <c r="Q485">
        <f t="shared" si="980"/>
        <v>4161559.9822485158</v>
      </c>
      <c r="R485">
        <f t="shared" si="981"/>
        <v>-27512135.700449519</v>
      </c>
      <c r="S485">
        <f t="shared" si="982"/>
        <v>-275.12135700449517</v>
      </c>
      <c r="T485">
        <f t="shared" si="983"/>
        <v>-0.27512135700449519</v>
      </c>
    </row>
    <row r="486" spans="1:20" x14ac:dyDescent="0.25">
      <c r="A486" s="5">
        <v>44107</v>
      </c>
      <c r="B486">
        <v>9.844E-2</v>
      </c>
      <c r="C486">
        <v>0.10681</v>
      </c>
      <c r="D486">
        <v>9.7040000000000001E-2</v>
      </c>
      <c r="E486">
        <v>0.10342999999999999</v>
      </c>
      <c r="F486">
        <v>5146121</v>
      </c>
      <c r="G486">
        <v>0</v>
      </c>
      <c r="L486" t="s">
        <v>8</v>
      </c>
      <c r="M486" t="s">
        <v>8</v>
      </c>
      <c r="N486" t="s">
        <v>8</v>
      </c>
      <c r="P486">
        <f t="shared" si="979"/>
        <v>0.30808597748208644</v>
      </c>
      <c r="Q486">
        <f t="shared" si="980"/>
        <v>1585447.7185260921</v>
      </c>
      <c r="R486">
        <f t="shared" si="981"/>
        <v>-31673695.682698034</v>
      </c>
      <c r="S486">
        <f t="shared" si="982"/>
        <v>-316.73695682698036</v>
      </c>
      <c r="T486">
        <f t="shared" si="983"/>
        <v>-0.31673695682698039</v>
      </c>
    </row>
    <row r="487" spans="1:20" x14ac:dyDescent="0.25">
      <c r="A487" s="5">
        <v>44106</v>
      </c>
      <c r="B487">
        <v>0.10487</v>
      </c>
      <c r="C487">
        <v>0.10872</v>
      </c>
      <c r="D487">
        <v>8.8999999999999996E-2</v>
      </c>
      <c r="E487">
        <v>9.8339999999999997E-2</v>
      </c>
      <c r="F487">
        <v>11476248.699999999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-5.2738336713995901E-2</v>
      </c>
      <c r="Q487">
        <f t="shared" si="980"/>
        <v>-605238.26815415767</v>
      </c>
      <c r="R487">
        <f t="shared" si="981"/>
        <v>-33259143.401224125</v>
      </c>
      <c r="S487">
        <f t="shared" si="982"/>
        <v>-332.59143401224128</v>
      </c>
      <c r="T487">
        <f t="shared" si="983"/>
        <v>-0.33259143401224128</v>
      </c>
    </row>
    <row r="488" spans="1:20" x14ac:dyDescent="0.25">
      <c r="A488" s="5">
        <v>44105</v>
      </c>
      <c r="B488">
        <v>0.11487</v>
      </c>
      <c r="C488">
        <v>0.11572</v>
      </c>
      <c r="D488">
        <v>0.10153</v>
      </c>
      <c r="E488">
        <v>0.10546</v>
      </c>
      <c r="F488">
        <v>6701695.0999999996</v>
      </c>
      <c r="G488">
        <v>0</v>
      </c>
      <c r="L488" t="s">
        <v>7</v>
      </c>
      <c r="M488" t="s">
        <v>8</v>
      </c>
      <c r="N488" t="s">
        <v>8</v>
      </c>
      <c r="P488">
        <f t="shared" si="979"/>
        <v>-0.44608879492600412</v>
      </c>
      <c r="Q488">
        <f t="shared" si="980"/>
        <v>-2989551.0911205066</v>
      </c>
      <c r="R488">
        <f t="shared" si="981"/>
        <v>-32653905.133069966</v>
      </c>
      <c r="S488">
        <f t="shared" si="982"/>
        <v>-326.53905133069964</v>
      </c>
      <c r="T488">
        <f t="shared" si="983"/>
        <v>-0.32653905133069966</v>
      </c>
    </row>
    <row r="489" spans="1:20" x14ac:dyDescent="0.25">
      <c r="A489" s="5">
        <v>44104</v>
      </c>
      <c r="B489">
        <v>0.11593000000000001</v>
      </c>
      <c r="C489">
        <v>0.12025</v>
      </c>
      <c r="D489">
        <v>0.11065999999999999</v>
      </c>
      <c r="E489">
        <v>0.11476</v>
      </c>
      <c r="F489">
        <v>8125837.7000000002</v>
      </c>
      <c r="G489">
        <v>0</v>
      </c>
      <c r="L489" t="s">
        <v>7</v>
      </c>
      <c r="M489" t="s">
        <v>8</v>
      </c>
      <c r="N489" t="s">
        <v>8</v>
      </c>
      <c r="P489">
        <f t="shared" si="979"/>
        <v>-0.1449426485922824</v>
      </c>
      <c r="Q489">
        <f t="shared" si="980"/>
        <v>-1177780.4382690203</v>
      </c>
      <c r="R489">
        <f t="shared" si="981"/>
        <v>-29664354.041949458</v>
      </c>
      <c r="S489">
        <f t="shared" si="982"/>
        <v>-296.64354041949457</v>
      </c>
      <c r="T489">
        <f t="shared" si="983"/>
        <v>-0.29664354041949459</v>
      </c>
    </row>
    <row r="490" spans="1:20" x14ac:dyDescent="0.25">
      <c r="A490" s="5">
        <v>44103</v>
      </c>
      <c r="B490">
        <v>0.10439</v>
      </c>
      <c r="C490">
        <v>0.12034</v>
      </c>
      <c r="D490">
        <v>0.10227</v>
      </c>
      <c r="E490">
        <v>0.1159</v>
      </c>
      <c r="F490">
        <v>18292585.800000001</v>
      </c>
      <c r="G490">
        <v>0</v>
      </c>
      <c r="L490" t="s">
        <v>8</v>
      </c>
      <c r="M490" t="s">
        <v>8</v>
      </c>
      <c r="N490" t="s">
        <v>8</v>
      </c>
      <c r="P490">
        <f t="shared" si="979"/>
        <v>0.50857775318206988</v>
      </c>
      <c r="Q490">
        <f t="shared" si="980"/>
        <v>9303202.1860542372</v>
      </c>
      <c r="R490">
        <f t="shared" si="981"/>
        <v>-28486573.603680439</v>
      </c>
      <c r="S490">
        <f t="shared" si="982"/>
        <v>-284.86573603680438</v>
      </c>
      <c r="T490">
        <f t="shared" si="983"/>
        <v>-0.28486573603680437</v>
      </c>
    </row>
    <row r="491" spans="1:20" x14ac:dyDescent="0.25">
      <c r="A491" s="5">
        <v>44102</v>
      </c>
      <c r="B491">
        <v>9.3950000000000006E-2</v>
      </c>
      <c r="C491">
        <v>0.1133</v>
      </c>
      <c r="D491">
        <v>9.3880000000000005E-2</v>
      </c>
      <c r="E491">
        <v>0.10439</v>
      </c>
      <c r="F491">
        <v>15971479.6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8.2389289392378523E-2</v>
      </c>
      <c r="Q491">
        <f t="shared" si="980"/>
        <v>1315878.8547888699</v>
      </c>
      <c r="R491">
        <f t="shared" si="981"/>
        <v>-37789775.789734676</v>
      </c>
      <c r="S491">
        <f t="shared" si="982"/>
        <v>-377.89775789734676</v>
      </c>
      <c r="T491">
        <f t="shared" si="983"/>
        <v>-0.37789775789734675</v>
      </c>
    </row>
    <row r="492" spans="1:20" x14ac:dyDescent="0.25">
      <c r="A492" s="5">
        <v>44101</v>
      </c>
      <c r="B492">
        <v>9.7549999999999998E-2</v>
      </c>
      <c r="C492">
        <v>9.955E-2</v>
      </c>
      <c r="D492">
        <v>8.6760000000000004E-2</v>
      </c>
      <c r="E492">
        <v>9.307E-2</v>
      </c>
      <c r="F492">
        <v>6635973.2000000002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-1.3291634089132412E-2</v>
      </c>
      <c r="Q492">
        <f t="shared" si="980"/>
        <v>-88202.927599689094</v>
      </c>
      <c r="R492">
        <f t="shared" si="981"/>
        <v>-39105654.644523546</v>
      </c>
      <c r="S492">
        <f t="shared" si="982"/>
        <v>-391.05654644523548</v>
      </c>
      <c r="T492">
        <f t="shared" si="983"/>
        <v>-0.39105654644523546</v>
      </c>
    </row>
    <row r="493" spans="1:20" x14ac:dyDescent="0.25">
      <c r="A493" s="5">
        <v>44100</v>
      </c>
      <c r="B493">
        <v>9.4700000000000006E-2</v>
      </c>
      <c r="C493">
        <v>9.9430000000000004E-2</v>
      </c>
      <c r="D493">
        <v>8.9690000000000006E-2</v>
      </c>
      <c r="E493">
        <v>9.7379999999999994E-2</v>
      </c>
      <c r="F493">
        <v>7622571.0999999996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0.57905544147843724</v>
      </c>
      <c r="Q493">
        <f t="shared" si="980"/>
        <v>4413891.2735112766</v>
      </c>
      <c r="R493">
        <f t="shared" si="981"/>
        <v>-39017451.716923855</v>
      </c>
      <c r="S493">
        <f t="shared" si="982"/>
        <v>-390.17451716923853</v>
      </c>
      <c r="T493">
        <f t="shared" si="983"/>
        <v>-0.39017451716923851</v>
      </c>
    </row>
    <row r="494" spans="1:20" x14ac:dyDescent="0.25">
      <c r="A494" s="5">
        <v>44099</v>
      </c>
      <c r="B494">
        <v>8.5440000000000002E-2</v>
      </c>
      <c r="C494">
        <v>9.6930000000000002E-2</v>
      </c>
      <c r="D494">
        <v>8.0390000000000003E-2</v>
      </c>
      <c r="E494">
        <v>9.4140000000000001E-2</v>
      </c>
      <c r="F494">
        <v>8871333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0.66263603385731551</v>
      </c>
      <c r="Q494">
        <f t="shared" si="980"/>
        <v>5878464.9141475204</v>
      </c>
      <c r="R494">
        <f t="shared" si="981"/>
        <v>-43431342.990435131</v>
      </c>
      <c r="S494">
        <f t="shared" si="982"/>
        <v>-434.31342990435132</v>
      </c>
      <c r="T494">
        <f t="shared" si="983"/>
        <v>-0.43431342990435134</v>
      </c>
    </row>
    <row r="495" spans="1:20" x14ac:dyDescent="0.25">
      <c r="A495" s="5">
        <v>44098</v>
      </c>
      <c r="B495">
        <v>7.6160000000000005E-2</v>
      </c>
      <c r="C495">
        <v>8.6989999999999998E-2</v>
      </c>
      <c r="D495">
        <v>7.5560000000000002E-2</v>
      </c>
      <c r="E495">
        <v>8.5489999999999997E-2</v>
      </c>
      <c r="F495">
        <v>7267462.7000000002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0.73753280839894975</v>
      </c>
      <c r="Q495">
        <f t="shared" si="980"/>
        <v>5359992.1750656143</v>
      </c>
      <c r="R495">
        <f t="shared" si="981"/>
        <v>-49309807.904582649</v>
      </c>
      <c r="S495">
        <f t="shared" si="982"/>
        <v>-493.09807904582647</v>
      </c>
      <c r="T495">
        <f t="shared" si="983"/>
        <v>-0.49309807904582648</v>
      </c>
    </row>
    <row r="496" spans="1:20" x14ac:dyDescent="0.25">
      <c r="A496" s="5">
        <v>44097</v>
      </c>
      <c r="B496">
        <v>8.6989999999999998E-2</v>
      </c>
      <c r="C496">
        <v>9.2810000000000004E-2</v>
      </c>
      <c r="D496">
        <v>7.4940000000000007E-2</v>
      </c>
      <c r="E496">
        <v>7.6130000000000003E-2</v>
      </c>
      <c r="F496">
        <v>13043271.199999999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-0.86681589255735902</v>
      </c>
      <c r="Q496">
        <f t="shared" si="980"/>
        <v>-11306114.767095694</v>
      </c>
      <c r="R496">
        <f t="shared" si="981"/>
        <v>-54669800.079648264</v>
      </c>
      <c r="S496">
        <f t="shared" si="982"/>
        <v>-546.69800079648269</v>
      </c>
      <c r="T496">
        <f t="shared" si="983"/>
        <v>-0.54669800079648267</v>
      </c>
    </row>
    <row r="497" spans="1:20" x14ac:dyDescent="0.25">
      <c r="A497" s="5">
        <v>44096</v>
      </c>
      <c r="B497">
        <v>8.4409999999999999E-2</v>
      </c>
      <c r="C497">
        <v>8.9679999999999996E-2</v>
      </c>
      <c r="D497">
        <v>8.1970000000000001E-2</v>
      </c>
      <c r="E497">
        <v>8.7249999999999994E-2</v>
      </c>
      <c r="F497">
        <v>7601218.2000000002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0.36964980544746995</v>
      </c>
      <c r="Q497">
        <f t="shared" si="980"/>
        <v>2809788.8287937678</v>
      </c>
      <c r="R497">
        <f t="shared" si="981"/>
        <v>-43363685.312552571</v>
      </c>
      <c r="S497">
        <f t="shared" si="982"/>
        <v>-433.6368531255257</v>
      </c>
      <c r="T497">
        <f t="shared" si="983"/>
        <v>-0.43363685312552569</v>
      </c>
    </row>
    <row r="498" spans="1:20" x14ac:dyDescent="0.25">
      <c r="A498" s="5">
        <v>44095</v>
      </c>
      <c r="B498">
        <v>0.10457</v>
      </c>
      <c r="C498">
        <v>0.10589999999999999</v>
      </c>
      <c r="D498">
        <v>8.2320000000000004E-2</v>
      </c>
      <c r="E498">
        <v>8.4400000000000003E-2</v>
      </c>
      <c r="F498">
        <v>15242952.1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-0.82357930449533512</v>
      </c>
      <c r="Q498">
        <f t="shared" si="980"/>
        <v>-12553779.888973707</v>
      </c>
      <c r="R498">
        <f t="shared" si="981"/>
        <v>-46173474.141346335</v>
      </c>
      <c r="S498">
        <f t="shared" si="982"/>
        <v>-461.73474141346338</v>
      </c>
      <c r="T498">
        <f t="shared" si="983"/>
        <v>-0.46173474141346338</v>
      </c>
    </row>
    <row r="499" spans="1:20" x14ac:dyDescent="0.25">
      <c r="A499" s="5">
        <v>44094</v>
      </c>
      <c r="B499">
        <v>0.11656999999999999</v>
      </c>
      <c r="C499">
        <v>0.11913</v>
      </c>
      <c r="D499">
        <v>0.10008</v>
      </c>
      <c r="E499">
        <v>0.10449</v>
      </c>
      <c r="F499">
        <v>10542584.6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-0.53700787401574823</v>
      </c>
      <c r="Q499">
        <f t="shared" si="980"/>
        <v>-5661450.9426771672</v>
      </c>
      <c r="R499">
        <f t="shared" si="981"/>
        <v>-33619694.25237263</v>
      </c>
      <c r="S499">
        <f t="shared" si="982"/>
        <v>-336.19694252372631</v>
      </c>
      <c r="T499">
        <f t="shared" si="983"/>
        <v>-0.33619694252372628</v>
      </c>
    </row>
    <row r="500" spans="1:20" x14ac:dyDescent="0.25">
      <c r="A500" s="5">
        <v>44093</v>
      </c>
      <c r="B500">
        <v>0.11910999999999999</v>
      </c>
      <c r="C500">
        <v>0.11992</v>
      </c>
      <c r="D500">
        <v>0.11203</v>
      </c>
      <c r="E500">
        <v>0.1166</v>
      </c>
      <c r="F500">
        <v>6546250.2000000002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0.15842839036755235</v>
      </c>
      <c r="Q500">
        <f t="shared" si="980"/>
        <v>1037111.8821292677</v>
      </c>
      <c r="R500">
        <f t="shared" si="981"/>
        <v>-27958243.309695464</v>
      </c>
      <c r="S500">
        <f t="shared" si="982"/>
        <v>-279.58243309695462</v>
      </c>
      <c r="T500">
        <f t="shared" si="983"/>
        <v>-0.27958243309695463</v>
      </c>
    </row>
    <row r="501" spans="1:20" x14ac:dyDescent="0.25">
      <c r="A501" s="5">
        <v>44092</v>
      </c>
      <c r="B501">
        <v>0.11947000000000001</v>
      </c>
      <c r="C501">
        <v>0.12397</v>
      </c>
      <c r="D501">
        <v>0.11422</v>
      </c>
      <c r="E501">
        <v>0.11831999999999999</v>
      </c>
      <c r="F501">
        <v>7253764.7999999998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-0.15897435897436005</v>
      </c>
      <c r="Q501">
        <f t="shared" si="980"/>
        <v>-1153162.609230777</v>
      </c>
      <c r="R501">
        <f t="shared" si="981"/>
        <v>-28995355.19182473</v>
      </c>
      <c r="S501">
        <f t="shared" si="982"/>
        <v>-289.95355191824729</v>
      </c>
      <c r="T501">
        <f t="shared" si="983"/>
        <v>-0.28995355191824729</v>
      </c>
    </row>
    <row r="502" spans="1:20" x14ac:dyDescent="0.25">
      <c r="A502" s="5">
        <v>44091</v>
      </c>
      <c r="B502">
        <v>0.12046999999999999</v>
      </c>
      <c r="C502">
        <v>0.12572</v>
      </c>
      <c r="D502">
        <v>0.11173</v>
      </c>
      <c r="E502">
        <v>0.11955</v>
      </c>
      <c r="F502">
        <v>6106778.9000000004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0.11794138670479001</v>
      </c>
      <c r="Q502">
        <f t="shared" si="980"/>
        <v>720241.97176555218</v>
      </c>
      <c r="R502">
        <f t="shared" si="981"/>
        <v>-27842192.582593955</v>
      </c>
      <c r="S502">
        <f t="shared" si="982"/>
        <v>-278.42192582593952</v>
      </c>
      <c r="T502">
        <f t="shared" si="983"/>
        <v>-0.2784219258259395</v>
      </c>
    </row>
    <row r="503" spans="1:20" x14ac:dyDescent="0.25">
      <c r="A503" s="5">
        <v>44090</v>
      </c>
      <c r="B503">
        <v>0.11591</v>
      </c>
      <c r="C503">
        <v>0.1293</v>
      </c>
      <c r="D503">
        <v>0.10971</v>
      </c>
      <c r="E503">
        <v>0.12048</v>
      </c>
      <c r="F503">
        <v>8407677.3000000007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9.9540581929556282E-2</v>
      </c>
      <c r="Q503">
        <f t="shared" si="980"/>
        <v>836905.09111792059</v>
      </c>
      <c r="R503">
        <f t="shared" si="981"/>
        <v>-28562434.554359507</v>
      </c>
      <c r="S503">
        <f t="shared" si="982"/>
        <v>-285.62434554359504</v>
      </c>
      <c r="T503">
        <f t="shared" si="983"/>
        <v>-0.28562434554359506</v>
      </c>
    </row>
    <row r="504" spans="1:20" x14ac:dyDescent="0.25">
      <c r="A504" s="5">
        <v>44089</v>
      </c>
      <c r="B504">
        <v>0.11976000000000001</v>
      </c>
      <c r="C504">
        <v>0.13497000000000001</v>
      </c>
      <c r="D504">
        <v>0.11475</v>
      </c>
      <c r="E504">
        <v>0.11591</v>
      </c>
      <c r="F504">
        <v>13119522.9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-0.8852621167161232</v>
      </c>
      <c r="Q504">
        <f t="shared" si="980"/>
        <v>-11614216.612759652</v>
      </c>
      <c r="R504">
        <f t="shared" si="981"/>
        <v>-29399339.645477429</v>
      </c>
      <c r="S504">
        <f t="shared" si="982"/>
        <v>-293.99339645477431</v>
      </c>
      <c r="T504">
        <f t="shared" si="983"/>
        <v>-0.29399339645477429</v>
      </c>
    </row>
    <row r="505" spans="1:20" x14ac:dyDescent="0.25">
      <c r="A505" s="5">
        <v>44088</v>
      </c>
      <c r="B505">
        <v>0.12048</v>
      </c>
      <c r="C505">
        <v>0.1241</v>
      </c>
      <c r="D505">
        <v>0.11688999999999999</v>
      </c>
      <c r="E505">
        <v>0.1195</v>
      </c>
      <c r="F505">
        <v>3899771.1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-0.27600554785020853</v>
      </c>
      <c r="Q505">
        <f t="shared" si="980"/>
        <v>-1076358.4589459104</v>
      </c>
      <c r="R505">
        <f t="shared" si="981"/>
        <v>-17785123.032717779</v>
      </c>
      <c r="S505">
        <f t="shared" si="982"/>
        <v>-177.8512303271778</v>
      </c>
      <c r="T505">
        <f t="shared" si="983"/>
        <v>-0.17785123032717781</v>
      </c>
    </row>
    <row r="506" spans="1:20" x14ac:dyDescent="0.25">
      <c r="A506" s="5">
        <v>44087</v>
      </c>
      <c r="B506">
        <v>0.13098000000000001</v>
      </c>
      <c r="C506">
        <v>0.13522999999999999</v>
      </c>
      <c r="D506">
        <v>0.11663999999999999</v>
      </c>
      <c r="E506">
        <v>0.12118</v>
      </c>
      <c r="F506">
        <v>6509929.5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-0.51156535771920353</v>
      </c>
      <c r="Q506">
        <f t="shared" si="980"/>
        <v>-3330254.4133942956</v>
      </c>
      <c r="R506">
        <f t="shared" si="981"/>
        <v>-16708764.573771868</v>
      </c>
      <c r="S506">
        <f t="shared" si="982"/>
        <v>-167.08764573771867</v>
      </c>
      <c r="T506">
        <f t="shared" si="983"/>
        <v>-0.16708764573771867</v>
      </c>
    </row>
    <row r="507" spans="1:20" x14ac:dyDescent="0.25">
      <c r="A507" s="5">
        <v>44086</v>
      </c>
      <c r="B507">
        <v>0.13339000000000001</v>
      </c>
      <c r="C507">
        <v>0.13624</v>
      </c>
      <c r="D507">
        <v>0.12665999999999999</v>
      </c>
      <c r="E507">
        <v>0.13083</v>
      </c>
      <c r="F507">
        <v>5259546.2</v>
      </c>
      <c r="G507">
        <v>0</v>
      </c>
      <c r="L507" t="s">
        <v>7</v>
      </c>
      <c r="M507" t="s">
        <v>8</v>
      </c>
      <c r="N507" t="s">
        <v>7</v>
      </c>
      <c r="P507">
        <f t="shared" si="979"/>
        <v>-0.12943632567849586</v>
      </c>
      <c r="Q507">
        <f t="shared" si="980"/>
        <v>-680776.33486429532</v>
      </c>
      <c r="R507">
        <f t="shared" si="981"/>
        <v>-13378510.160377573</v>
      </c>
      <c r="S507">
        <f t="shared" si="982"/>
        <v>-133.78510160377573</v>
      </c>
      <c r="T507">
        <f t="shared" si="983"/>
        <v>-0.13378510160377574</v>
      </c>
    </row>
    <row r="508" spans="1:20" x14ac:dyDescent="0.25">
      <c r="A508" s="5">
        <v>44085</v>
      </c>
      <c r="B508">
        <v>0.12013</v>
      </c>
      <c r="C508">
        <v>0.14365</v>
      </c>
      <c r="D508">
        <v>0.11345</v>
      </c>
      <c r="E508">
        <v>0.13369</v>
      </c>
      <c r="F508">
        <v>17539326.399999999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0.34039735099337781</v>
      </c>
      <c r="Q508">
        <f t="shared" si="980"/>
        <v>5970340.2447682172</v>
      </c>
      <c r="R508">
        <f t="shared" si="981"/>
        <v>-12697733.825513277</v>
      </c>
      <c r="S508">
        <f t="shared" si="982"/>
        <v>-126.97733825513278</v>
      </c>
      <c r="T508">
        <f t="shared" si="983"/>
        <v>-0.12697733825513277</v>
      </c>
    </row>
    <row r="509" spans="1:20" x14ac:dyDescent="0.25">
      <c r="A509" s="5">
        <v>44084</v>
      </c>
      <c r="B509">
        <v>0.11761000000000001</v>
      </c>
      <c r="C509">
        <v>0.12831999999999999</v>
      </c>
      <c r="D509">
        <v>0.11718000000000001</v>
      </c>
      <c r="E509">
        <v>0.12013</v>
      </c>
      <c r="F509">
        <v>7781433.7999999998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-0.4703770197486537</v>
      </c>
      <c r="Q509">
        <f t="shared" si="980"/>
        <v>-3660207.6402154411</v>
      </c>
      <c r="R509">
        <f t="shared" si="981"/>
        <v>-18668074.070281494</v>
      </c>
      <c r="S509">
        <f t="shared" si="982"/>
        <v>-186.68074070281494</v>
      </c>
      <c r="T509">
        <f t="shared" si="983"/>
        <v>-0.18668074070281496</v>
      </c>
    </row>
    <row r="510" spans="1:20" x14ac:dyDescent="0.25">
      <c r="A510" s="5">
        <v>44083</v>
      </c>
      <c r="B510">
        <v>0.11532000000000001</v>
      </c>
      <c r="C510">
        <v>0.12350999999999999</v>
      </c>
      <c r="D510">
        <v>0.109</v>
      </c>
      <c r="E510">
        <v>0.11747</v>
      </c>
      <c r="F510">
        <v>7407909.7999999998</v>
      </c>
      <c r="G510">
        <v>0</v>
      </c>
      <c r="L510" t="s">
        <v>7</v>
      </c>
      <c r="M510" t="s">
        <v>7</v>
      </c>
      <c r="N510" t="s">
        <v>7</v>
      </c>
      <c r="P510">
        <f t="shared" si="979"/>
        <v>0.16747070985527335</v>
      </c>
      <c r="Q510">
        <f t="shared" si="980"/>
        <v>1240607.912749836</v>
      </c>
      <c r="R510">
        <f t="shared" si="981"/>
        <v>-15007866.430066055</v>
      </c>
      <c r="S510">
        <f t="shared" si="982"/>
        <v>-150.07866430066053</v>
      </c>
      <c r="T510">
        <f t="shared" si="983"/>
        <v>-0.15007866430066052</v>
      </c>
    </row>
    <row r="511" spans="1:20" x14ac:dyDescent="0.25">
      <c r="A511" s="5">
        <v>44082</v>
      </c>
      <c r="B511">
        <v>0.12922</v>
      </c>
      <c r="C511">
        <v>0.13005</v>
      </c>
      <c r="D511">
        <v>0.11032</v>
      </c>
      <c r="E511">
        <v>0.11568000000000001</v>
      </c>
      <c r="F511">
        <v>8523580.4000000004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-0.45666497719209281</v>
      </c>
      <c r="Q511">
        <f t="shared" si="980"/>
        <v>-3892420.6489609694</v>
      </c>
      <c r="R511">
        <f t="shared" si="981"/>
        <v>-16248474.342815891</v>
      </c>
      <c r="S511">
        <f t="shared" si="982"/>
        <v>-162.48474342815891</v>
      </c>
      <c r="T511">
        <f t="shared" si="983"/>
        <v>-0.16248474342815891</v>
      </c>
    </row>
    <row r="512" spans="1:20" x14ac:dyDescent="0.25">
      <c r="A512" s="5">
        <v>44081</v>
      </c>
      <c r="B512">
        <v>0.13133</v>
      </c>
      <c r="C512">
        <v>0.13647999999999999</v>
      </c>
      <c r="D512">
        <v>0.10929999999999999</v>
      </c>
      <c r="E512">
        <v>0.129</v>
      </c>
      <c r="F512">
        <v>16775087.6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0.44959529065489418</v>
      </c>
      <c r="Q512">
        <f t="shared" si="980"/>
        <v>7542000.3852833109</v>
      </c>
      <c r="R512">
        <f t="shared" si="981"/>
        <v>-12356053.693854921</v>
      </c>
      <c r="S512">
        <f t="shared" si="982"/>
        <v>-123.56053693854921</v>
      </c>
      <c r="T512">
        <f t="shared" si="983"/>
        <v>-0.12356053693854921</v>
      </c>
    </row>
    <row r="513" spans="1:20" x14ac:dyDescent="0.25">
      <c r="A513" s="5">
        <v>44080</v>
      </c>
      <c r="B513">
        <v>0.12683</v>
      </c>
      <c r="C513">
        <v>0.14795</v>
      </c>
      <c r="D513">
        <v>0.11393</v>
      </c>
      <c r="E513">
        <v>0.13141</v>
      </c>
      <c r="F513">
        <v>19435034.800000001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2.7630805408583085E-2</v>
      </c>
      <c r="Q513">
        <f t="shared" si="980"/>
        <v>537005.66466784046</v>
      </c>
      <c r="R513">
        <f t="shared" si="981"/>
        <v>-19898054.079138231</v>
      </c>
      <c r="S513">
        <f t="shared" si="982"/>
        <v>-198.98054079138231</v>
      </c>
      <c r="T513">
        <f t="shared" si="983"/>
        <v>-0.1989805407913823</v>
      </c>
    </row>
    <row r="514" spans="1:20" x14ac:dyDescent="0.25">
      <c r="A514" s="5">
        <v>44079</v>
      </c>
      <c r="B514">
        <v>0.14713000000000001</v>
      </c>
      <c r="C514">
        <v>0.15557000000000001</v>
      </c>
      <c r="D514">
        <v>0.111</v>
      </c>
      <c r="E514">
        <v>0.12640000000000001</v>
      </c>
      <c r="F514">
        <v>29386967.5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-0.30895221000673068</v>
      </c>
      <c r="Q514">
        <f t="shared" si="980"/>
        <v>-9079168.5545209683</v>
      </c>
      <c r="R514">
        <f t="shared" si="981"/>
        <v>-20435059.743806072</v>
      </c>
      <c r="S514">
        <f t="shared" si="982"/>
        <v>-204.3505974380607</v>
      </c>
      <c r="T514">
        <f t="shared" si="983"/>
        <v>-0.20435059743806069</v>
      </c>
    </row>
    <row r="515" spans="1:20" x14ac:dyDescent="0.25">
      <c r="A515" s="5">
        <v>44078</v>
      </c>
      <c r="B515">
        <v>9.9349999999999994E-2</v>
      </c>
      <c r="C515">
        <v>0.16148000000000001</v>
      </c>
      <c r="D515">
        <v>9.8500000000000004E-2</v>
      </c>
      <c r="E515">
        <v>0.14651</v>
      </c>
      <c r="F515">
        <v>36220320.5</v>
      </c>
      <c r="G515">
        <v>0</v>
      </c>
      <c r="L515" t="s">
        <v>8</v>
      </c>
      <c r="M515" t="s">
        <v>8</v>
      </c>
      <c r="N515" t="s">
        <v>8</v>
      </c>
      <c r="P515">
        <f t="shared" si="979"/>
        <v>0.5246109876151156</v>
      </c>
      <c r="Q515">
        <f t="shared" si="980"/>
        <v>19001578.109241016</v>
      </c>
      <c r="R515">
        <f t="shared" si="981"/>
        <v>-11355891.189285103</v>
      </c>
      <c r="S515">
        <f t="shared" si="982"/>
        <v>-113.55891189285103</v>
      </c>
      <c r="T515">
        <f t="shared" si="983"/>
        <v>-0.11355891189285103</v>
      </c>
    </row>
    <row r="516" spans="1:20" x14ac:dyDescent="0.25">
      <c r="A516" s="5">
        <v>44077</v>
      </c>
      <c r="B516">
        <v>0.14244000000000001</v>
      </c>
      <c r="C516">
        <v>0.14344000000000001</v>
      </c>
      <c r="D516">
        <v>9.8280000000000006E-2</v>
      </c>
      <c r="E516">
        <v>9.9500000000000005E-2</v>
      </c>
      <c r="F516">
        <v>11846539.6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-0.94596988485385303</v>
      </c>
      <c r="Q516">
        <f t="shared" si="980"/>
        <v>-11206469.701328609</v>
      </c>
      <c r="R516">
        <f t="shared" si="981"/>
        <v>-30357469.298526119</v>
      </c>
      <c r="S516">
        <f t="shared" si="982"/>
        <v>-303.57469298526121</v>
      </c>
      <c r="T516">
        <f t="shared" si="983"/>
        <v>-0.30357469298526119</v>
      </c>
    </row>
    <row r="517" spans="1:20" x14ac:dyDescent="0.25">
      <c r="A517" s="5">
        <v>44076</v>
      </c>
      <c r="B517">
        <v>0.15223999999999999</v>
      </c>
      <c r="C517">
        <v>0.15837999999999999</v>
      </c>
      <c r="D517">
        <v>0.1358</v>
      </c>
      <c r="E517">
        <v>0.14244000000000001</v>
      </c>
      <c r="F517">
        <v>8255346.7000000002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-0.41186891054030023</v>
      </c>
      <c r="Q517">
        <f t="shared" si="980"/>
        <v>-3400120.651461463</v>
      </c>
      <c r="R517">
        <f t="shared" si="981"/>
        <v>-19150999.59719751</v>
      </c>
      <c r="S517">
        <f t="shared" si="982"/>
        <v>-191.50999597197512</v>
      </c>
      <c r="T517">
        <f t="shared" si="983"/>
        <v>-0.19150999597197513</v>
      </c>
    </row>
    <row r="518" spans="1:20" x14ac:dyDescent="0.25">
      <c r="A518" s="5">
        <v>44075</v>
      </c>
      <c r="B518">
        <v>0.16019</v>
      </c>
      <c r="C518">
        <v>0.16225999999999999</v>
      </c>
      <c r="D518">
        <v>0.14581</v>
      </c>
      <c r="E518">
        <v>0.15153</v>
      </c>
      <c r="F518">
        <v>13728071.5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-0.30455927051671666</v>
      </c>
      <c r="Q518">
        <f t="shared" ref="Q518:Q581" si="985">F518*P518</f>
        <v>-4181011.4416413284</v>
      </c>
      <c r="R518">
        <f t="shared" ref="R518:R581" si="986">R519+Q518</f>
        <v>-15750878.945736049</v>
      </c>
      <c r="S518">
        <f t="shared" ref="S518:S581" si="987">R518/100000</f>
        <v>-157.50878945736048</v>
      </c>
      <c r="T518">
        <f t="shared" ref="T518:T581" si="988">S518/1000</f>
        <v>-0.15750878945736047</v>
      </c>
    </row>
    <row r="519" spans="1:20" x14ac:dyDescent="0.25">
      <c r="A519" s="5">
        <v>44074</v>
      </c>
      <c r="B519">
        <v>0.16461999999999999</v>
      </c>
      <c r="C519">
        <v>0.17369999999999999</v>
      </c>
      <c r="D519">
        <v>0.1595</v>
      </c>
      <c r="E519">
        <v>0.16045999999999999</v>
      </c>
      <c r="F519">
        <v>7931909.0999999996</v>
      </c>
      <c r="G519">
        <v>0</v>
      </c>
      <c r="L519" t="s">
        <v>7</v>
      </c>
      <c r="M519" t="s">
        <v>7</v>
      </c>
      <c r="N519" t="s">
        <v>8</v>
      </c>
      <c r="P519">
        <f t="shared" si="984"/>
        <v>-0.86478873239436771</v>
      </c>
      <c r="Q519">
        <f t="shared" si="985"/>
        <v>-6859425.6160563501</v>
      </c>
      <c r="R519">
        <f t="shared" si="986"/>
        <v>-11569867.50409472</v>
      </c>
      <c r="S519">
        <f t="shared" si="987"/>
        <v>-115.69867504094719</v>
      </c>
      <c r="T519">
        <f t="shared" si="988"/>
        <v>-0.11569867504094719</v>
      </c>
    </row>
    <row r="520" spans="1:20" x14ac:dyDescent="0.25">
      <c r="A520" s="5">
        <v>44073</v>
      </c>
      <c r="B520">
        <v>0.17227999999999999</v>
      </c>
      <c r="C520">
        <v>0.17843999999999999</v>
      </c>
      <c r="D520">
        <v>0.16197</v>
      </c>
      <c r="E520">
        <v>0.16467000000000001</v>
      </c>
      <c r="F520">
        <v>12026988.300000001</v>
      </c>
      <c r="G520">
        <v>0</v>
      </c>
      <c r="L520" t="s">
        <v>7</v>
      </c>
      <c r="M520" t="s">
        <v>7</v>
      </c>
      <c r="N520" t="s">
        <v>8</v>
      </c>
      <c r="P520">
        <f t="shared" si="984"/>
        <v>-0.67213114754098235</v>
      </c>
      <c r="Q520">
        <f t="shared" si="985"/>
        <v>-8083713.4475409687</v>
      </c>
      <c r="R520">
        <f t="shared" si="986"/>
        <v>-4710441.8880383708</v>
      </c>
      <c r="S520">
        <f t="shared" si="987"/>
        <v>-47.104418880383705</v>
      </c>
      <c r="T520">
        <f t="shared" si="988"/>
        <v>-4.7104418880383706E-2</v>
      </c>
    </row>
    <row r="521" spans="1:20" x14ac:dyDescent="0.25">
      <c r="A521" s="5">
        <v>44072</v>
      </c>
      <c r="B521">
        <v>0.17821000000000001</v>
      </c>
      <c r="C521">
        <v>0.20580000000000001</v>
      </c>
      <c r="D521">
        <v>0.17163999999999999</v>
      </c>
      <c r="E521">
        <v>0.17219999999999999</v>
      </c>
      <c r="F521">
        <v>29417722.5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-0.9672131147540981</v>
      </c>
      <c r="Q521">
        <f t="shared" si="985"/>
        <v>-28453207.008196715</v>
      </c>
      <c r="R521">
        <f t="shared" si="986"/>
        <v>3373271.5595025979</v>
      </c>
      <c r="S521">
        <f t="shared" si="987"/>
        <v>33.732715595025979</v>
      </c>
      <c r="T521">
        <f t="shared" si="988"/>
        <v>3.3732715595025976E-2</v>
      </c>
    </row>
    <row r="522" spans="1:20" x14ac:dyDescent="0.25">
      <c r="A522" s="5">
        <v>44071</v>
      </c>
      <c r="B522">
        <v>0.14607999999999999</v>
      </c>
      <c r="C522">
        <v>0.189</v>
      </c>
      <c r="D522">
        <v>0.14445</v>
      </c>
      <c r="E522">
        <v>0.17821000000000001</v>
      </c>
      <c r="F522">
        <v>32927840.5</v>
      </c>
      <c r="G522">
        <v>0</v>
      </c>
      <c r="L522" t="s">
        <v>8</v>
      </c>
      <c r="M522" t="s">
        <v>8</v>
      </c>
      <c r="N522" t="s">
        <v>8</v>
      </c>
      <c r="P522">
        <f t="shared" si="984"/>
        <v>0.51560044893378265</v>
      </c>
      <c r="Q522">
        <f t="shared" si="985"/>
        <v>16977609.34421999</v>
      </c>
      <c r="R522">
        <f t="shared" si="986"/>
        <v>31826478.567699313</v>
      </c>
      <c r="S522">
        <f t="shared" si="987"/>
        <v>318.26478567699314</v>
      </c>
      <c r="T522">
        <f t="shared" si="988"/>
        <v>0.31826478567699312</v>
      </c>
    </row>
    <row r="523" spans="1:20" x14ac:dyDescent="0.25">
      <c r="A523" s="5">
        <v>44070</v>
      </c>
      <c r="B523">
        <v>0.1275</v>
      </c>
      <c r="C523">
        <v>0.15329999999999999</v>
      </c>
      <c r="D523">
        <v>0.12745999999999999</v>
      </c>
      <c r="E523">
        <v>0.14632000000000001</v>
      </c>
      <c r="F523">
        <v>32113528.300000001</v>
      </c>
      <c r="G523">
        <v>0</v>
      </c>
      <c r="L523" t="s">
        <v>8</v>
      </c>
      <c r="M523" t="s">
        <v>8</v>
      </c>
      <c r="N523" t="s">
        <v>8</v>
      </c>
      <c r="P523">
        <f t="shared" si="984"/>
        <v>0.45975232198142524</v>
      </c>
      <c r="Q523">
        <f t="shared" si="985"/>
        <v>14764269.202941211</v>
      </c>
      <c r="R523">
        <f t="shared" si="986"/>
        <v>14848869.223479323</v>
      </c>
      <c r="S523">
        <f t="shared" si="987"/>
        <v>148.48869223479323</v>
      </c>
      <c r="T523">
        <f t="shared" si="988"/>
        <v>0.14848869223479325</v>
      </c>
    </row>
    <row r="524" spans="1:20" x14ac:dyDescent="0.25">
      <c r="A524" s="5">
        <v>44069</v>
      </c>
      <c r="B524">
        <v>0.11960999999999999</v>
      </c>
      <c r="C524">
        <v>0.12948999999999999</v>
      </c>
      <c r="D524">
        <v>0.11701</v>
      </c>
      <c r="E524">
        <v>0.12781999999999999</v>
      </c>
      <c r="F524">
        <v>4542836.5999999996</v>
      </c>
      <c r="G524">
        <v>0</v>
      </c>
      <c r="L524" t="s">
        <v>8</v>
      </c>
      <c r="M524" t="s">
        <v>8</v>
      </c>
      <c r="N524" t="s">
        <v>8</v>
      </c>
      <c r="P524">
        <f t="shared" si="984"/>
        <v>0.73237179487179394</v>
      </c>
      <c r="Q524">
        <f t="shared" si="985"/>
        <v>3327045.3945512776</v>
      </c>
      <c r="R524">
        <f t="shared" si="986"/>
        <v>84600.020538112614</v>
      </c>
      <c r="S524">
        <f t="shared" si="987"/>
        <v>0.84600020538112619</v>
      </c>
      <c r="T524">
        <f t="shared" si="988"/>
        <v>8.4600020538112624E-4</v>
      </c>
    </row>
    <row r="525" spans="1:20" x14ac:dyDescent="0.25">
      <c r="A525" s="5">
        <v>44068</v>
      </c>
      <c r="B525">
        <v>0.12784000000000001</v>
      </c>
      <c r="C525">
        <v>0.13577</v>
      </c>
      <c r="D525">
        <v>0.11164</v>
      </c>
      <c r="E525">
        <v>0.11953</v>
      </c>
      <c r="F525">
        <v>7043605.7999999998</v>
      </c>
      <c r="G525">
        <v>0</v>
      </c>
      <c r="L525" t="s">
        <v>7</v>
      </c>
      <c r="M525" t="s">
        <v>8</v>
      </c>
      <c r="N525" t="s">
        <v>8</v>
      </c>
      <c r="P525">
        <f t="shared" si="984"/>
        <v>-0.34604227103191093</v>
      </c>
      <c r="Q525">
        <f t="shared" si="985"/>
        <v>-2437385.3472855398</v>
      </c>
      <c r="R525">
        <f t="shared" si="986"/>
        <v>-3242445.374013165</v>
      </c>
      <c r="S525">
        <f t="shared" si="987"/>
        <v>-32.424453740131653</v>
      </c>
      <c r="T525">
        <f t="shared" si="988"/>
        <v>-3.2424453740131656E-2</v>
      </c>
    </row>
    <row r="526" spans="1:20" x14ac:dyDescent="0.25">
      <c r="A526" s="5">
        <v>44067</v>
      </c>
      <c r="B526">
        <v>0.12162000000000001</v>
      </c>
      <c r="C526">
        <v>0.1348</v>
      </c>
      <c r="D526">
        <v>0.11753</v>
      </c>
      <c r="E526">
        <v>0.1278</v>
      </c>
      <c r="F526">
        <v>6691486.2000000002</v>
      </c>
      <c r="G526">
        <v>0</v>
      </c>
      <c r="L526" t="s">
        <v>7</v>
      </c>
      <c r="M526" t="s">
        <v>8</v>
      </c>
      <c r="N526" t="s">
        <v>8</v>
      </c>
      <c r="P526">
        <f t="shared" si="984"/>
        <v>0.18934568616097242</v>
      </c>
      <c r="Q526">
        <f t="shared" si="985"/>
        <v>1267004.0459756779</v>
      </c>
      <c r="R526">
        <f t="shared" si="986"/>
        <v>-805060.02672762494</v>
      </c>
      <c r="S526">
        <f t="shared" si="987"/>
        <v>-8.0506002672762502</v>
      </c>
      <c r="T526">
        <f t="shared" si="988"/>
        <v>-8.0506002672762495E-3</v>
      </c>
    </row>
    <row r="527" spans="1:20" x14ac:dyDescent="0.25">
      <c r="A527" s="5">
        <v>44066</v>
      </c>
      <c r="B527">
        <v>0.12434000000000001</v>
      </c>
      <c r="C527">
        <v>0.13414999999999999</v>
      </c>
      <c r="D527">
        <v>0.11700000000000001</v>
      </c>
      <c r="E527">
        <v>0.12175999999999999</v>
      </c>
      <c r="F527">
        <v>9612816.8000000007</v>
      </c>
      <c r="G527">
        <v>0</v>
      </c>
      <c r="L527" t="s">
        <v>8</v>
      </c>
      <c r="M527" t="s">
        <v>8</v>
      </c>
      <c r="N527" t="s">
        <v>8</v>
      </c>
      <c r="P527">
        <f t="shared" si="984"/>
        <v>-0.44489795918367453</v>
      </c>
      <c r="Q527">
        <f t="shared" si="985"/>
        <v>-4276722.5763265407</v>
      </c>
      <c r="R527">
        <f t="shared" si="986"/>
        <v>-2072064.0727033028</v>
      </c>
      <c r="S527">
        <f t="shared" si="987"/>
        <v>-20.720640727033029</v>
      </c>
      <c r="T527">
        <f t="shared" si="988"/>
        <v>-2.072064072703303E-2</v>
      </c>
    </row>
    <row r="528" spans="1:20" x14ac:dyDescent="0.25">
      <c r="A528" s="5">
        <v>44065</v>
      </c>
      <c r="B528">
        <v>0.10761999999999999</v>
      </c>
      <c r="C528">
        <v>0.12845999999999999</v>
      </c>
      <c r="D528">
        <v>9.9199999999999997E-2</v>
      </c>
      <c r="E528">
        <v>0.12439</v>
      </c>
      <c r="F528">
        <v>5631193.5999999996</v>
      </c>
      <c r="G528">
        <v>0</v>
      </c>
      <c r="L528" t="s">
        <v>8</v>
      </c>
      <c r="M528" t="s">
        <v>8</v>
      </c>
      <c r="N528" t="s">
        <v>8</v>
      </c>
      <c r="P528">
        <f t="shared" si="984"/>
        <v>0.72180451127819611</v>
      </c>
      <c r="Q528">
        <f t="shared" si="985"/>
        <v>4064620.9443609053</v>
      </c>
      <c r="R528">
        <f t="shared" si="986"/>
        <v>2204658.5036232378</v>
      </c>
      <c r="S528">
        <f t="shared" si="987"/>
        <v>22.046585036232379</v>
      </c>
      <c r="T528">
        <f t="shared" si="988"/>
        <v>2.2046585036232379E-2</v>
      </c>
    </row>
    <row r="529" spans="1:20" x14ac:dyDescent="0.25">
      <c r="A529" s="5">
        <v>44064</v>
      </c>
      <c r="B529">
        <v>0.12267</v>
      </c>
      <c r="C529">
        <v>0.12268999999999999</v>
      </c>
      <c r="D529">
        <v>9.1619999999999993E-2</v>
      </c>
      <c r="E529">
        <v>0.10672</v>
      </c>
      <c r="F529">
        <v>4486665.9000000004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-2.8001287415513221E-2</v>
      </c>
      <c r="Q529">
        <f t="shared" si="985"/>
        <v>-125632.42140328231</v>
      </c>
      <c r="R529">
        <f t="shared" si="986"/>
        <v>-1859962.4407376675</v>
      </c>
      <c r="S529">
        <f t="shared" si="987"/>
        <v>-18.599624407376673</v>
      </c>
      <c r="T529">
        <f t="shared" si="988"/>
        <v>-1.8599624407376673E-2</v>
      </c>
    </row>
    <row r="530" spans="1:20" x14ac:dyDescent="0.25">
      <c r="A530" s="5">
        <v>44063</v>
      </c>
      <c r="B530">
        <v>0.11551</v>
      </c>
      <c r="C530">
        <v>0.12587000000000001</v>
      </c>
      <c r="D530">
        <v>0.1147</v>
      </c>
      <c r="E530">
        <v>0.12266000000000001</v>
      </c>
      <c r="F530">
        <v>3713186.4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0.42524619516562207</v>
      </c>
      <c r="Q530">
        <f t="shared" si="985"/>
        <v>1579018.3885407336</v>
      </c>
      <c r="R530">
        <f t="shared" si="986"/>
        <v>-1734330.0193343852</v>
      </c>
      <c r="S530">
        <f t="shared" si="987"/>
        <v>-17.34330019334385</v>
      </c>
      <c r="T530">
        <f t="shared" si="988"/>
        <v>-1.734330019334385E-2</v>
      </c>
    </row>
    <row r="531" spans="1:20" x14ac:dyDescent="0.25">
      <c r="A531" s="5">
        <v>44062</v>
      </c>
      <c r="B531">
        <v>0.12406</v>
      </c>
      <c r="C531">
        <v>0.12533</v>
      </c>
      <c r="D531">
        <v>0.11015999999999999</v>
      </c>
      <c r="E531">
        <v>0.1147</v>
      </c>
      <c r="F531">
        <v>4209580.5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-0.4014502307185232</v>
      </c>
      <c r="Q531">
        <f t="shared" si="985"/>
        <v>-1689937.0629531962</v>
      </c>
      <c r="R531">
        <f t="shared" si="986"/>
        <v>-3313348.4078751188</v>
      </c>
      <c r="S531">
        <f t="shared" si="987"/>
        <v>-33.133484078751188</v>
      </c>
      <c r="T531">
        <f t="shared" si="988"/>
        <v>-3.3133484078751191E-2</v>
      </c>
    </row>
    <row r="532" spans="1:20" x14ac:dyDescent="0.25">
      <c r="A532" s="5">
        <v>44061</v>
      </c>
      <c r="B532">
        <v>0.13457</v>
      </c>
      <c r="C532">
        <v>0.13841999999999999</v>
      </c>
      <c r="D532">
        <v>0.115</v>
      </c>
      <c r="E532">
        <v>0.12414</v>
      </c>
      <c r="F532">
        <v>3925987.6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-0.21947053800170777</v>
      </c>
      <c r="Q532">
        <f t="shared" si="985"/>
        <v>-861638.61076003348</v>
      </c>
      <c r="R532">
        <f t="shared" si="986"/>
        <v>-1623411.3449219228</v>
      </c>
      <c r="S532">
        <f t="shared" si="987"/>
        <v>-16.234113449219226</v>
      </c>
      <c r="T532">
        <f t="shared" si="988"/>
        <v>-1.6234113449219226E-2</v>
      </c>
    </row>
    <row r="533" spans="1:20" x14ac:dyDescent="0.25">
      <c r="A533" s="5">
        <v>44060</v>
      </c>
      <c r="B533">
        <v>0.13439999999999999</v>
      </c>
      <c r="C533">
        <v>0.14613999999999999</v>
      </c>
      <c r="D533">
        <v>0.12814</v>
      </c>
      <c r="E533">
        <v>0.13450999999999999</v>
      </c>
      <c r="F533">
        <v>8301865.0999999996</v>
      </c>
      <c r="G533">
        <v>0</v>
      </c>
      <c r="L533" t="s">
        <v>7</v>
      </c>
      <c r="M533" t="s">
        <v>7</v>
      </c>
      <c r="N533" t="s">
        <v>8</v>
      </c>
      <c r="P533">
        <f t="shared" si="984"/>
        <v>-0.29222222222222322</v>
      </c>
      <c r="Q533">
        <f t="shared" si="985"/>
        <v>-2425989.4681111192</v>
      </c>
      <c r="R533">
        <f t="shared" si="986"/>
        <v>-761772.73416188918</v>
      </c>
      <c r="S533">
        <f t="shared" si="987"/>
        <v>-7.6177273416188918</v>
      </c>
      <c r="T533">
        <f t="shared" si="988"/>
        <v>-7.6177273416188915E-3</v>
      </c>
    </row>
    <row r="534" spans="1:20" x14ac:dyDescent="0.25">
      <c r="A534" s="5">
        <v>44059</v>
      </c>
      <c r="B534">
        <v>0.14288000000000001</v>
      </c>
      <c r="C534">
        <v>0.14398</v>
      </c>
      <c r="D534">
        <v>0.13103000000000001</v>
      </c>
      <c r="E534">
        <v>0.13450000000000001</v>
      </c>
      <c r="F534">
        <v>4565178.3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-0.46409266409266353</v>
      </c>
      <c r="Q534">
        <f t="shared" si="985"/>
        <v>-2118665.7593050166</v>
      </c>
      <c r="R534">
        <f t="shared" si="986"/>
        <v>1664216.7339492301</v>
      </c>
      <c r="S534">
        <f t="shared" si="987"/>
        <v>16.6421673394923</v>
      </c>
      <c r="T534">
        <f t="shared" si="988"/>
        <v>1.6642167339492298E-2</v>
      </c>
    </row>
    <row r="535" spans="1:20" x14ac:dyDescent="0.25">
      <c r="A535" s="5">
        <v>44058</v>
      </c>
      <c r="B535">
        <v>0.13539999999999999</v>
      </c>
      <c r="C535">
        <v>0.16</v>
      </c>
      <c r="D535">
        <v>0.13</v>
      </c>
      <c r="E535">
        <v>0.1424</v>
      </c>
      <c r="F535">
        <v>15042252.9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-0.17333333333333367</v>
      </c>
      <c r="Q535">
        <f t="shared" si="985"/>
        <v>-2607323.8360000052</v>
      </c>
      <c r="R535">
        <f t="shared" si="986"/>
        <v>3782882.4932542467</v>
      </c>
      <c r="S535">
        <f t="shared" si="987"/>
        <v>37.828824932542467</v>
      </c>
      <c r="T535">
        <f t="shared" si="988"/>
        <v>3.7828824932542464E-2</v>
      </c>
    </row>
    <row r="536" spans="1:20" x14ac:dyDescent="0.25">
      <c r="A536" s="5">
        <v>44057</v>
      </c>
      <c r="B536">
        <v>0.12071</v>
      </c>
      <c r="C536">
        <v>0.14415</v>
      </c>
      <c r="D536">
        <v>0.11552</v>
      </c>
      <c r="E536">
        <v>0.13539999999999999</v>
      </c>
      <c r="F536">
        <v>9709035.9000000004</v>
      </c>
      <c r="G536">
        <v>0</v>
      </c>
      <c r="L536" t="s">
        <v>8</v>
      </c>
      <c r="M536" t="s">
        <v>8</v>
      </c>
      <c r="N536" t="s">
        <v>7</v>
      </c>
      <c r="P536">
        <f t="shared" si="984"/>
        <v>0.38875305623471834</v>
      </c>
      <c r="Q536">
        <f t="shared" si="985"/>
        <v>3774417.3792175995</v>
      </c>
      <c r="R536">
        <f t="shared" si="986"/>
        <v>6390206.3292542519</v>
      </c>
      <c r="S536">
        <f t="shared" si="987"/>
        <v>63.902063292542522</v>
      </c>
      <c r="T536">
        <f t="shared" si="988"/>
        <v>6.3902063292542527E-2</v>
      </c>
    </row>
    <row r="537" spans="1:20" x14ac:dyDescent="0.25">
      <c r="A537" s="5">
        <v>44056</v>
      </c>
      <c r="B537">
        <v>0.13275000000000001</v>
      </c>
      <c r="C537">
        <v>0.13275000000000001</v>
      </c>
      <c r="D537">
        <v>0.11483</v>
      </c>
      <c r="E537">
        <v>0.12056</v>
      </c>
      <c r="F537">
        <v>5492164.7000000002</v>
      </c>
      <c r="G537">
        <v>0</v>
      </c>
      <c r="L537" t="s">
        <v>8</v>
      </c>
      <c r="M537" t="s">
        <v>8</v>
      </c>
      <c r="N537" t="s">
        <v>7</v>
      </c>
      <c r="P537">
        <f t="shared" si="984"/>
        <v>-0.36049107142857173</v>
      </c>
      <c r="Q537">
        <f t="shared" si="985"/>
        <v>-1979876.3371651804</v>
      </c>
      <c r="R537">
        <f t="shared" si="986"/>
        <v>2615788.9500366524</v>
      </c>
      <c r="S537">
        <f t="shared" si="987"/>
        <v>26.157889500366522</v>
      </c>
      <c r="T537">
        <f t="shared" si="988"/>
        <v>2.6157889500366523E-2</v>
      </c>
    </row>
    <row r="538" spans="1:20" x14ac:dyDescent="0.25">
      <c r="A538" s="5">
        <v>44055</v>
      </c>
      <c r="B538">
        <v>0.11489000000000001</v>
      </c>
      <c r="C538">
        <v>0.13336999999999999</v>
      </c>
      <c r="D538">
        <v>0.10743</v>
      </c>
      <c r="E538">
        <v>0.13300000000000001</v>
      </c>
      <c r="F538">
        <v>7524016.9000000004</v>
      </c>
      <c r="G538">
        <v>0</v>
      </c>
      <c r="L538" t="s">
        <v>7</v>
      </c>
      <c r="M538" t="s">
        <v>7</v>
      </c>
      <c r="N538" t="s">
        <v>7</v>
      </c>
      <c r="P538">
        <f t="shared" si="984"/>
        <v>0.97147262914418031</v>
      </c>
      <c r="Q538">
        <f t="shared" si="985"/>
        <v>7309376.4795682458</v>
      </c>
      <c r="R538">
        <f t="shared" si="986"/>
        <v>4595665.287201833</v>
      </c>
      <c r="S538">
        <f t="shared" si="987"/>
        <v>45.956652872018331</v>
      </c>
      <c r="T538">
        <f t="shared" si="988"/>
        <v>4.5956652872018333E-2</v>
      </c>
    </row>
    <row r="539" spans="1:20" x14ac:dyDescent="0.25">
      <c r="A539" s="5">
        <v>44054</v>
      </c>
      <c r="B539">
        <v>0.12866</v>
      </c>
      <c r="C539">
        <v>0.16980000000000001</v>
      </c>
      <c r="D539">
        <v>0.11085</v>
      </c>
      <c r="E539">
        <v>0.11488</v>
      </c>
      <c r="F539">
        <v>3143511</v>
      </c>
      <c r="G539">
        <v>0</v>
      </c>
      <c r="P539">
        <f t="shared" si="984"/>
        <v>-0.86327396098388498</v>
      </c>
      <c r="Q539">
        <f t="shared" si="985"/>
        <v>-2713711.1923664133</v>
      </c>
      <c r="R539">
        <f t="shared" si="986"/>
        <v>-2713711.1923664133</v>
      </c>
      <c r="S539">
        <f t="shared" si="987"/>
        <v>-27.137111923664133</v>
      </c>
      <c r="T539">
        <f t="shared" si="988"/>
        <v>-2.7137111923664133E-2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T694" sqref="JT69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$A$693</v>
      </c>
      <c r="D111" s="1" t="str">
        <f>ADDRESS(C121-1,D121,1,1)</f>
        <v>$JT$693</v>
      </c>
      <c r="E111"/>
    </row>
    <row r="112" spans="1:5" x14ac:dyDescent="0.25">
      <c r="A112" s="7">
        <v>12164.144957890772</v>
      </c>
      <c r="C112" s="1" t="str">
        <f>ADDRESS(C121,1,1,1)</f>
        <v>$A$694</v>
      </c>
      <c r="D112" s="1" t="str">
        <f>ADDRESS(C121,D121-1,1,1)</f>
        <v>$JS$694</v>
      </c>
      <c r="E112"/>
    </row>
    <row r="113" spans="1:5" x14ac:dyDescent="0.25">
      <c r="A113" s="7">
        <v>11925.63231165762</v>
      </c>
      <c r="C113" s="1" t="str">
        <f>ADDRESS(C121+1,1,1,1)</f>
        <v>$A$695</v>
      </c>
      <c r="D113" s="1" t="str">
        <f>ADDRESS(C121-1,D121+1,1,1)</f>
        <v>$JU$693</v>
      </c>
    </row>
    <row r="114" spans="1:5" x14ac:dyDescent="0.25">
      <c r="A114" s="7">
        <v>11691.796383978059</v>
      </c>
      <c r="C114" s="1" t="str">
        <f>ADDRESS(C121,D121,1,1)</f>
        <v>$JT$694</v>
      </c>
      <c r="D114" s="1" t="str">
        <f>ADDRESS(C121+1,D121+1,1,1)</f>
        <v>$JU$695</v>
      </c>
    </row>
    <row r="115" spans="1:5" x14ac:dyDescent="0.25">
      <c r="A115" s="7">
        <v>11462.545474488292</v>
      </c>
      <c r="C115" s="1" t="str">
        <f>ADDRESS(C121+1,D121,1,1)</f>
        <v>$JT$695</v>
      </c>
    </row>
    <row r="116" spans="1:5" x14ac:dyDescent="0.25">
      <c r="A116" s="7">
        <v>11237.789680870874</v>
      </c>
      <c r="C116" s="1">
        <f>C117-1</f>
        <v>693</v>
      </c>
    </row>
    <row r="117" spans="1:5" x14ac:dyDescent="0.25">
      <c r="A117" s="7">
        <v>11017.440863598895</v>
      </c>
      <c r="C117" s="1">
        <f>C121</f>
        <v>694</v>
      </c>
      <c r="D117" s="1">
        <f>D121</f>
        <v>280</v>
      </c>
    </row>
    <row r="118" spans="1:5" x14ac:dyDescent="0.25">
      <c r="A118" s="7">
        <v>10801.412611371465</v>
      </c>
      <c r="C118" s="1">
        <f>C117+1</f>
        <v>695</v>
      </c>
      <c r="D118" s="1">
        <f>D117+1</f>
        <v>281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694</v>
      </c>
      <c r="D121" s="19">
        <v>280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R694</v>
      </c>
      <c r="D123" s="1" t="str">
        <f>"C"&amp;D121</f>
        <v>C280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0.12016600457827803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117" x14ac:dyDescent="0.25">
      <c r="A593" s="7">
        <v>0.8879713821861922</v>
      </c>
      <c r="B593"/>
      <c r="C593"/>
      <c r="D593"/>
      <c r="E593"/>
      <c r="F593" s="27" t="s">
        <v>7</v>
      </c>
    </row>
    <row r="594" spans="1:117" x14ac:dyDescent="0.25">
      <c r="A594" s="7">
        <v>0.87056017861391399</v>
      </c>
      <c r="B594"/>
      <c r="C594"/>
      <c r="D594"/>
      <c r="E594"/>
      <c r="F594" s="27" t="s">
        <v>7</v>
      </c>
    </row>
    <row r="595" spans="1:117" x14ac:dyDescent="0.25">
      <c r="A595" s="7">
        <v>0.85349037119011173</v>
      </c>
      <c r="B595"/>
      <c r="C595"/>
      <c r="D595"/>
      <c r="E595"/>
      <c r="F595" s="27" t="s">
        <v>7</v>
      </c>
    </row>
    <row r="596" spans="1:117" x14ac:dyDescent="0.25">
      <c r="A596" s="7">
        <v>0.83675526587265858</v>
      </c>
      <c r="B596"/>
      <c r="C596"/>
      <c r="D596"/>
      <c r="E596"/>
      <c r="F596" s="27" t="s">
        <v>7</v>
      </c>
    </row>
    <row r="597" spans="1:117" x14ac:dyDescent="0.25">
      <c r="A597" s="7">
        <v>0.82034829987515545</v>
      </c>
      <c r="B597"/>
      <c r="C597"/>
      <c r="D597"/>
      <c r="E597"/>
      <c r="F597" s="27" t="s">
        <v>7</v>
      </c>
    </row>
    <row r="598" spans="1:117" x14ac:dyDescent="0.25">
      <c r="A598" s="7">
        <v>0.80426303909328967</v>
      </c>
      <c r="B598"/>
      <c r="C598"/>
      <c r="D598"/>
      <c r="E598"/>
      <c r="F598" s="27" t="s">
        <v>7</v>
      </c>
    </row>
    <row r="599" spans="1:117" x14ac:dyDescent="0.25">
      <c r="A599" s="7">
        <v>0.78849317558165644</v>
      </c>
      <c r="B599"/>
      <c r="C599"/>
      <c r="D599"/>
      <c r="E599"/>
      <c r="F599" s="27" t="s">
        <v>7</v>
      </c>
    </row>
    <row r="600" spans="1:117" x14ac:dyDescent="0.25">
      <c r="A600" s="7">
        <v>0.77303252508005538</v>
      </c>
      <c r="B600"/>
      <c r="C600"/>
      <c r="D600"/>
      <c r="E600"/>
      <c r="F600" s="27" t="s">
        <v>7</v>
      </c>
    </row>
    <row r="601" spans="1:117" x14ac:dyDescent="0.25">
      <c r="A601" s="7">
        <v>0.75787502458828959</v>
      </c>
      <c r="B601"/>
      <c r="C601"/>
      <c r="D601"/>
      <c r="E601"/>
      <c r="F601" s="27" t="s">
        <v>7</v>
      </c>
    </row>
    <row r="602" spans="1:117" x14ac:dyDescent="0.25">
      <c r="A602" s="7">
        <v>0.74301472998851925</v>
      </c>
      <c r="B602"/>
      <c r="C602"/>
      <c r="D602"/>
      <c r="E602"/>
      <c r="F602" s="27" t="s">
        <v>7</v>
      </c>
    </row>
    <row r="603" spans="1:117" x14ac:dyDescent="0.25">
      <c r="A603" s="7">
        <v>0.72844581371423456</v>
      </c>
      <c r="B603"/>
      <c r="C603"/>
      <c r="D603"/>
      <c r="E603"/>
      <c r="F603" s="27" t="s">
        <v>7</v>
      </c>
    </row>
    <row r="604" spans="1:117" x14ac:dyDescent="0.25">
      <c r="A604" s="7">
        <v>0.71416256246493581</v>
      </c>
      <c r="B604"/>
      <c r="C604"/>
      <c r="D604"/>
      <c r="E604"/>
      <c r="F604" s="27" t="s">
        <v>7</v>
      </c>
    </row>
    <row r="605" spans="1:117" x14ac:dyDescent="0.25">
      <c r="A605" s="7">
        <v>0.7001593749656233</v>
      </c>
      <c r="B605"/>
      <c r="C605"/>
      <c r="D605"/>
      <c r="E605"/>
      <c r="F605" s="27" t="s">
        <v>7</v>
      </c>
    </row>
    <row r="606" spans="1:117" x14ac:dyDescent="0.25">
      <c r="A606" s="7">
        <v>0.68643075977021883</v>
      </c>
      <c r="B606"/>
      <c r="C606"/>
      <c r="D606"/>
      <c r="E606"/>
      <c r="F606" s="27" t="s">
        <v>7</v>
      </c>
    </row>
    <row r="607" spans="1:117" x14ac:dyDescent="0.25">
      <c r="A607" s="7">
        <v>0.67297133310805768</v>
      </c>
      <c r="B607"/>
      <c r="C607"/>
      <c r="D607"/>
      <c r="E607"/>
      <c r="F607" s="27" t="s">
        <v>7</v>
      </c>
    </row>
    <row r="608" spans="1:117" x14ac:dyDescent="0.25">
      <c r="A608" s="7">
        <v>0.65977581677260566</v>
      </c>
      <c r="B608"/>
      <c r="C608"/>
      <c r="D608"/>
      <c r="E608"/>
      <c r="F608" s="27" t="s">
        <v>7</v>
      </c>
      <c r="DM608" s="27" t="s">
        <v>8</v>
      </c>
    </row>
    <row r="609" spans="1:151" x14ac:dyDescent="0.25">
      <c r="A609" s="7">
        <v>0.64683903605157422</v>
      </c>
      <c r="B609"/>
      <c r="C609"/>
      <c r="D609"/>
      <c r="E609"/>
      <c r="F609" s="27" t="s">
        <v>7</v>
      </c>
      <c r="DM609" s="27" t="s">
        <v>8</v>
      </c>
      <c r="DN609" s="27" t="s">
        <v>7</v>
      </c>
    </row>
    <row r="610" spans="1:151" x14ac:dyDescent="0.25">
      <c r="A610" s="7">
        <v>0.63415591769762181</v>
      </c>
      <c r="B610"/>
      <c r="C610"/>
      <c r="D610"/>
      <c r="E610"/>
      <c r="F610" s="27" t="s">
        <v>7</v>
      </c>
      <c r="DM610" s="27" t="s">
        <v>8</v>
      </c>
      <c r="DN610" s="27" t="s">
        <v>7</v>
      </c>
    </row>
    <row r="611" spans="1:151" x14ac:dyDescent="0.25">
      <c r="A611" s="7">
        <v>0.62172148793884496</v>
      </c>
      <c r="B611"/>
      <c r="C611"/>
      <c r="D611"/>
      <c r="E611"/>
      <c r="F611" s="27" t="s">
        <v>7</v>
      </c>
      <c r="DM611" s="27" t="s">
        <v>8</v>
      </c>
      <c r="DN611" s="27" t="s">
        <v>7</v>
      </c>
      <c r="DQ611" s="27" t="s">
        <v>8</v>
      </c>
    </row>
    <row r="612" spans="1:151" x14ac:dyDescent="0.25">
      <c r="A612" s="7">
        <v>0.60953087052827937</v>
      </c>
      <c r="B612"/>
      <c r="C612"/>
      <c r="D612"/>
      <c r="E612"/>
      <c r="F612" s="27" t="s">
        <v>7</v>
      </c>
      <c r="DM612" s="27" t="s">
        <v>8</v>
      </c>
      <c r="DN612" s="27" t="s">
        <v>7</v>
      </c>
      <c r="DQ612" s="27" t="s">
        <v>8</v>
      </c>
      <c r="DR612" s="27" t="s">
        <v>7</v>
      </c>
    </row>
    <row r="613" spans="1:151" x14ac:dyDescent="0.25">
      <c r="A613" s="7">
        <v>0.59757928483164646</v>
      </c>
      <c r="B613"/>
      <c r="C613"/>
      <c r="D613"/>
      <c r="E613"/>
      <c r="F613" s="27" t="s">
        <v>7</v>
      </c>
      <c r="DM613" s="27" t="s">
        <v>8</v>
      </c>
      <c r="DN613" s="27" t="s">
        <v>7</v>
      </c>
      <c r="DQ613" s="27" t="s">
        <v>8</v>
      </c>
      <c r="DR613" s="27" t="s">
        <v>7</v>
      </c>
      <c r="DU613" s="27" t="s">
        <v>8</v>
      </c>
    </row>
    <row r="614" spans="1:151" x14ac:dyDescent="0.25">
      <c r="A614" s="7">
        <v>0.58586204395259456</v>
      </c>
      <c r="B614"/>
      <c r="C614"/>
      <c r="D614"/>
      <c r="E614"/>
      <c r="F614" s="27" t="s">
        <v>7</v>
      </c>
      <c r="DM614" s="27" t="s">
        <v>8</v>
      </c>
      <c r="DN614" s="27" t="s">
        <v>7</v>
      </c>
      <c r="DQ614" s="27" t="s">
        <v>8</v>
      </c>
      <c r="DR614" s="27" t="s">
        <v>7</v>
      </c>
      <c r="DU614" s="27" t="s">
        <v>8</v>
      </c>
      <c r="DV614" s="27" t="s">
        <v>7</v>
      </c>
    </row>
    <row r="615" spans="1:151" x14ac:dyDescent="0.25">
      <c r="A615" s="7">
        <v>0.57437455289470052</v>
      </c>
      <c r="B615"/>
      <c r="C615"/>
      <c r="D615"/>
      <c r="E615"/>
      <c r="F615" s="27" t="s">
        <v>7</v>
      </c>
      <c r="DM615" s="27" t="s">
        <v>8</v>
      </c>
      <c r="DN615" s="27" t="s">
        <v>7</v>
      </c>
      <c r="DQ615" s="27" t="s">
        <v>8</v>
      </c>
      <c r="DR615" s="27" t="s">
        <v>7</v>
      </c>
      <c r="DU615" s="27" t="s">
        <v>8</v>
      </c>
      <c r="DV615" s="27" t="s">
        <v>7</v>
      </c>
      <c r="EC615" s="27" t="s">
        <v>8</v>
      </c>
    </row>
    <row r="616" spans="1:151" x14ac:dyDescent="0.25">
      <c r="A616" s="7">
        <v>0.56311230675951029</v>
      </c>
      <c r="B616"/>
      <c r="C616"/>
      <c r="D616"/>
      <c r="E616"/>
      <c r="F616" s="27" t="s">
        <v>7</v>
      </c>
      <c r="DM616" s="27" t="s">
        <v>8</v>
      </c>
      <c r="DN616" s="27" t="s">
        <v>7</v>
      </c>
      <c r="DO616" s="27" t="s">
        <v>8</v>
      </c>
      <c r="DQ616" s="27" t="s">
        <v>8</v>
      </c>
      <c r="DR616" s="27" t="s">
        <v>7</v>
      </c>
      <c r="DU616" s="27" t="s">
        <v>8</v>
      </c>
      <c r="DV616" s="27" t="s">
        <v>7</v>
      </c>
      <c r="DY616" s="27" t="s">
        <v>8</v>
      </c>
      <c r="EC616" s="27" t="s">
        <v>8</v>
      </c>
      <c r="ED616" s="27" t="s">
        <v>7</v>
      </c>
    </row>
    <row r="617" spans="1:151" x14ac:dyDescent="0.25">
      <c r="A617" s="7">
        <v>0.55207088897991208</v>
      </c>
      <c r="B617"/>
      <c r="C617"/>
      <c r="D617"/>
      <c r="E617"/>
      <c r="F617" s="27" t="s">
        <v>7</v>
      </c>
      <c r="DM617" s="27" t="s">
        <v>8</v>
      </c>
      <c r="DN617" s="27" t="s">
        <v>7</v>
      </c>
      <c r="DO617" s="27" t="s">
        <v>8</v>
      </c>
      <c r="DP617" s="27" t="s">
        <v>7</v>
      </c>
      <c r="DQ617" s="27" t="s">
        <v>8</v>
      </c>
      <c r="DR617" s="27" t="s">
        <v>7</v>
      </c>
      <c r="DS617" s="27" t="s">
        <v>8</v>
      </c>
      <c r="DU617" s="27" t="s">
        <v>8</v>
      </c>
      <c r="DV617" s="27" t="s">
        <v>7</v>
      </c>
      <c r="DY617" s="27" t="s">
        <v>8</v>
      </c>
      <c r="DZ617" s="27" t="s">
        <v>7</v>
      </c>
      <c r="EA617" s="27" t="s">
        <v>8</v>
      </c>
      <c r="EC617" s="27" t="s">
        <v>8</v>
      </c>
      <c r="ED617" s="27" t="s">
        <v>7</v>
      </c>
    </row>
    <row r="618" spans="1:151" x14ac:dyDescent="0.25">
      <c r="A618" s="7">
        <v>0.54124596958814908</v>
      </c>
      <c r="B618"/>
      <c r="C618"/>
      <c r="D618"/>
      <c r="E618"/>
      <c r="F618" s="27" t="s">
        <v>7</v>
      </c>
      <c r="DM618" s="27" t="s">
        <v>8</v>
      </c>
      <c r="DN618" s="27" t="s">
        <v>7</v>
      </c>
      <c r="DO618" s="27" t="s">
        <v>8</v>
      </c>
      <c r="DP618" s="27" t="s">
        <v>7</v>
      </c>
      <c r="DQ618" s="27" t="s">
        <v>8</v>
      </c>
      <c r="DR618" s="27" t="s">
        <v>7</v>
      </c>
      <c r="DS618" s="27" t="s">
        <v>8</v>
      </c>
      <c r="DT618" s="27" t="s">
        <v>7</v>
      </c>
      <c r="DU618" s="27" t="s">
        <v>8</v>
      </c>
      <c r="DV618" s="27" t="s">
        <v>7</v>
      </c>
      <c r="DW618" s="27" t="s">
        <v>8</v>
      </c>
      <c r="DY618" s="27" t="s">
        <v>8</v>
      </c>
      <c r="DZ618" s="27" t="s">
        <v>7</v>
      </c>
      <c r="EA618" s="27" t="s">
        <v>8</v>
      </c>
      <c r="EB618" s="27" t="s">
        <v>7</v>
      </c>
      <c r="EC618" s="27" t="s">
        <v>8</v>
      </c>
      <c r="ED618" s="27" t="s">
        <v>7</v>
      </c>
    </row>
    <row r="619" spans="1:151" x14ac:dyDescent="0.25">
      <c r="A619" s="7">
        <v>0.53063330351779314</v>
      </c>
      <c r="B619"/>
      <c r="C619"/>
      <c r="D619"/>
      <c r="E619"/>
      <c r="F619" s="27" t="s">
        <v>7</v>
      </c>
      <c r="DM619" s="27" t="s">
        <v>8</v>
      </c>
      <c r="DN619" s="27" t="s">
        <v>7</v>
      </c>
      <c r="DO619" s="27" t="s">
        <v>8</v>
      </c>
      <c r="DP619" s="27" t="s">
        <v>7</v>
      </c>
      <c r="DQ619" s="27" t="s">
        <v>8</v>
      </c>
      <c r="DR619" s="27" t="s">
        <v>7</v>
      </c>
      <c r="DS619" s="27" t="s">
        <v>8</v>
      </c>
      <c r="DT619" s="27" t="s">
        <v>7</v>
      </c>
      <c r="DU619" s="27" t="s">
        <v>8</v>
      </c>
      <c r="DV619" s="27" t="s">
        <v>7</v>
      </c>
      <c r="DW619" s="27" t="s">
        <v>8</v>
      </c>
      <c r="DX619" s="27" t="s">
        <v>7</v>
      </c>
      <c r="DY619" s="27" t="s">
        <v>8</v>
      </c>
      <c r="DZ619" s="27" t="s">
        <v>7</v>
      </c>
      <c r="EA619" s="27" t="s">
        <v>8</v>
      </c>
      <c r="EB619" s="27" t="s">
        <v>7</v>
      </c>
      <c r="EC619" s="27" t="s">
        <v>8</v>
      </c>
      <c r="ED619" s="27" t="s">
        <v>7</v>
      </c>
    </row>
    <row r="620" spans="1:151" x14ac:dyDescent="0.25">
      <c r="A620" s="7">
        <v>0.52022872893901284</v>
      </c>
      <c r="B620"/>
      <c r="C620"/>
      <c r="D620"/>
      <c r="E620"/>
      <c r="F620" s="27" t="s">
        <v>7</v>
      </c>
      <c r="DE620" s="27" t="s">
        <v>8</v>
      </c>
      <c r="DM620" s="27" t="s">
        <v>8</v>
      </c>
      <c r="DN620" s="27" t="s">
        <v>7</v>
      </c>
      <c r="DO620" s="27" t="s">
        <v>8</v>
      </c>
      <c r="DP620" s="27" t="s">
        <v>7</v>
      </c>
      <c r="DQ620" s="27" t="s">
        <v>8</v>
      </c>
      <c r="DR620" s="27" t="s">
        <v>7</v>
      </c>
      <c r="DS620" s="27" t="s">
        <v>8</v>
      </c>
      <c r="DT620" s="27" t="s">
        <v>7</v>
      </c>
      <c r="DU620" s="27" t="s">
        <v>8</v>
      </c>
      <c r="DV620" s="27" t="s">
        <v>7</v>
      </c>
      <c r="DW620" s="27" t="s">
        <v>8</v>
      </c>
      <c r="DX620" s="27" t="s">
        <v>7</v>
      </c>
      <c r="DY620" s="27" t="s">
        <v>8</v>
      </c>
      <c r="DZ620" s="27" t="s">
        <v>7</v>
      </c>
      <c r="EA620" s="27" t="s">
        <v>8</v>
      </c>
      <c r="EB620" s="27" t="s">
        <v>7</v>
      </c>
      <c r="EC620" s="27" t="s">
        <v>8</v>
      </c>
      <c r="ED620" s="27" t="s">
        <v>7</v>
      </c>
    </row>
    <row r="621" spans="1:151" x14ac:dyDescent="0.25">
      <c r="A621" s="7">
        <v>0.51002816562648323</v>
      </c>
      <c r="B621"/>
      <c r="C621"/>
      <c r="D621"/>
      <c r="E621"/>
      <c r="F621" s="27" t="s">
        <v>7</v>
      </c>
      <c r="DE621" s="27" t="s">
        <v>8</v>
      </c>
      <c r="DF621" s="27" t="s">
        <v>7</v>
      </c>
      <c r="DM621" s="27" t="s">
        <v>8</v>
      </c>
      <c r="DN621" s="27" t="s">
        <v>7</v>
      </c>
      <c r="DO621" s="27" t="s">
        <v>8</v>
      </c>
      <c r="DP621" s="27" t="s">
        <v>7</v>
      </c>
      <c r="DQ621" s="27" t="s">
        <v>8</v>
      </c>
      <c r="DR621" s="27" t="s">
        <v>7</v>
      </c>
      <c r="DS621" s="27" t="s">
        <v>8</v>
      </c>
      <c r="DT621" s="27" t="s">
        <v>7</v>
      </c>
      <c r="DU621" s="27" t="s">
        <v>8</v>
      </c>
      <c r="DV621" s="27" t="s">
        <v>7</v>
      </c>
      <c r="DW621" s="27" t="s">
        <v>8</v>
      </c>
      <c r="DX621" s="27" t="s">
        <v>7</v>
      </c>
      <c r="DY621" s="27" t="s">
        <v>8</v>
      </c>
      <c r="DZ621" s="27" t="s">
        <v>7</v>
      </c>
      <c r="EA621" s="27" t="s">
        <v>8</v>
      </c>
      <c r="EB621" s="27" t="s">
        <v>7</v>
      </c>
      <c r="EC621" s="27" t="s">
        <v>8</v>
      </c>
      <c r="ED621" s="27" t="s">
        <v>7</v>
      </c>
    </row>
    <row r="622" spans="1:151" x14ac:dyDescent="0.25">
      <c r="A622" s="7">
        <v>0.50002761335929735</v>
      </c>
      <c r="B622"/>
      <c r="C622"/>
      <c r="D622"/>
      <c r="E622"/>
      <c r="F622" s="27" t="s">
        <v>7</v>
      </c>
      <c r="DE622" s="27" t="s">
        <v>8</v>
      </c>
      <c r="DF622" s="27" t="s">
        <v>7</v>
      </c>
      <c r="DM622" s="27" t="s">
        <v>8</v>
      </c>
      <c r="DN622" s="27" t="s">
        <v>7</v>
      </c>
      <c r="DP622" s="27" t="s">
        <v>7</v>
      </c>
      <c r="DQ622" s="27" t="s">
        <v>8</v>
      </c>
      <c r="DR622" s="27" t="s">
        <v>7</v>
      </c>
      <c r="DS622" s="27" t="s">
        <v>8</v>
      </c>
      <c r="DT622" s="27" t="s">
        <v>7</v>
      </c>
      <c r="DU622" s="27" t="s">
        <v>8</v>
      </c>
      <c r="DV622" s="27" t="s">
        <v>7</v>
      </c>
      <c r="DW622" s="27" t="s">
        <v>8</v>
      </c>
      <c r="DX622" s="27" t="s">
        <v>7</v>
      </c>
      <c r="DY622" s="27" t="s">
        <v>8</v>
      </c>
      <c r="DZ622" s="27" t="s">
        <v>7</v>
      </c>
      <c r="EA622" s="27" t="s">
        <v>8</v>
      </c>
      <c r="EB622" s="27" t="s">
        <v>7</v>
      </c>
      <c r="EC622" s="27" t="s">
        <v>8</v>
      </c>
      <c r="ED622" s="27" t="s">
        <v>7</v>
      </c>
    </row>
    <row r="623" spans="1:151" x14ac:dyDescent="0.25">
      <c r="A623" s="7">
        <v>0.49022315035225228</v>
      </c>
      <c r="B623"/>
      <c r="C623"/>
      <c r="D623"/>
      <c r="E623"/>
      <c r="F623" s="27" t="s">
        <v>7</v>
      </c>
      <c r="DE623" s="27" t="s">
        <v>8</v>
      </c>
      <c r="DF623" s="27" t="s">
        <v>7</v>
      </c>
      <c r="DM623" s="27" t="s">
        <v>8</v>
      </c>
      <c r="DP623" s="27" t="s">
        <v>7</v>
      </c>
      <c r="DQ623" s="27" t="s">
        <v>8</v>
      </c>
      <c r="DR623" s="27" t="s">
        <v>7</v>
      </c>
      <c r="DS623" s="27" t="s">
        <v>8</v>
      </c>
      <c r="DT623" s="27" t="s">
        <v>7</v>
      </c>
      <c r="DU623" s="27" t="s">
        <v>8</v>
      </c>
      <c r="DV623" s="27" t="s">
        <v>7</v>
      </c>
      <c r="DX623" s="27" t="s">
        <v>7</v>
      </c>
      <c r="DZ623" s="27" t="s">
        <v>7</v>
      </c>
      <c r="EA623" s="27" t="s">
        <v>8</v>
      </c>
      <c r="EB623" s="27" t="s">
        <v>7</v>
      </c>
      <c r="ED623" s="27" t="s">
        <v>7</v>
      </c>
    </row>
    <row r="624" spans="1:151" x14ac:dyDescent="0.25">
      <c r="A624" s="7">
        <v>0.48061093171789437</v>
      </c>
      <c r="B624"/>
      <c r="C624"/>
      <c r="D624"/>
      <c r="E624"/>
      <c r="F624" s="27" t="s">
        <v>7</v>
      </c>
      <c r="DE624" s="27" t="s">
        <v>8</v>
      </c>
      <c r="DF624" s="27" t="s">
        <v>7</v>
      </c>
      <c r="DM624" s="27" t="s">
        <v>8</v>
      </c>
      <c r="DP624" s="27" t="s">
        <v>7</v>
      </c>
      <c r="DQ624" s="27" t="s">
        <v>8</v>
      </c>
      <c r="DR624" s="27" t="s">
        <v>7</v>
      </c>
      <c r="DS624" s="27" t="s">
        <v>8</v>
      </c>
      <c r="DT624" s="27" t="s">
        <v>7</v>
      </c>
      <c r="DU624" s="27" t="s">
        <v>8</v>
      </c>
      <c r="DZ624" s="27" t="s">
        <v>7</v>
      </c>
      <c r="ED624" s="27" t="s">
        <v>7</v>
      </c>
      <c r="EU624" s="27" t="s">
        <v>8</v>
      </c>
    </row>
    <row r="625" spans="1:252" x14ac:dyDescent="0.25">
      <c r="A625" s="7">
        <v>0.47118718795871994</v>
      </c>
      <c r="B625"/>
      <c r="C625"/>
      <c r="D625"/>
      <c r="E625"/>
      <c r="F625" s="27" t="s">
        <v>7</v>
      </c>
      <c r="DE625" s="27" t="s">
        <v>8</v>
      </c>
      <c r="DF625" s="27" t="s">
        <v>7</v>
      </c>
      <c r="DM625" s="27" t="s">
        <v>8</v>
      </c>
      <c r="DP625" s="27" t="s">
        <v>7</v>
      </c>
      <c r="DR625" s="27" t="s">
        <v>7</v>
      </c>
      <c r="DS625" s="27" t="s">
        <v>8</v>
      </c>
      <c r="DT625" s="27" t="s">
        <v>7</v>
      </c>
      <c r="DU625" s="27" t="s">
        <v>8</v>
      </c>
      <c r="ED625" s="27" t="s">
        <v>7</v>
      </c>
      <c r="EO625" s="27" t="s">
        <v>8</v>
      </c>
      <c r="EU625" s="27" t="s">
        <v>8</v>
      </c>
      <c r="EV625" s="27" t="s">
        <v>7</v>
      </c>
    </row>
    <row r="626" spans="1:252" x14ac:dyDescent="0.25">
      <c r="A626" s="7">
        <v>0.46194822348894116</v>
      </c>
      <c r="B626"/>
      <c r="C626"/>
      <c r="D626"/>
      <c r="E626"/>
      <c r="F626" s="27" t="s">
        <v>7</v>
      </c>
      <c r="DE626" s="27" t="s">
        <v>8</v>
      </c>
      <c r="DF626" s="27" t="s">
        <v>7</v>
      </c>
      <c r="DI626" s="27" t="s">
        <v>8</v>
      </c>
      <c r="DM626" s="27" t="s">
        <v>8</v>
      </c>
      <c r="DR626" s="27" t="s">
        <v>7</v>
      </c>
      <c r="DT626" s="27" t="s">
        <v>7</v>
      </c>
      <c r="DU626" s="27" t="s">
        <v>8</v>
      </c>
      <c r="ED626" s="27" t="s">
        <v>7</v>
      </c>
      <c r="EO626" s="27" t="s">
        <v>8</v>
      </c>
      <c r="EP626" s="27" t="s">
        <v>7</v>
      </c>
      <c r="EU626" s="27" t="s">
        <v>8</v>
      </c>
      <c r="EV626" s="27" t="s">
        <v>7</v>
      </c>
    </row>
    <row r="627" spans="1:252" x14ac:dyDescent="0.25">
      <c r="A627" s="7">
        <v>0.45289041518523643</v>
      </c>
      <c r="B627"/>
      <c r="C627"/>
      <c r="D627"/>
      <c r="E627"/>
      <c r="F627" s="27" t="s">
        <v>7</v>
      </c>
      <c r="DE627" s="27" t="s">
        <v>8</v>
      </c>
      <c r="DF627" s="27" t="s">
        <v>7</v>
      </c>
      <c r="DI627" s="27" t="s">
        <v>8</v>
      </c>
      <c r="DJ627" s="27" t="s">
        <v>7</v>
      </c>
      <c r="DM627" s="27" t="s">
        <v>8</v>
      </c>
      <c r="DT627" s="27" t="s">
        <v>7</v>
      </c>
      <c r="DU627" s="27" t="s">
        <v>8</v>
      </c>
      <c r="ED627" s="27" t="s">
        <v>7</v>
      </c>
      <c r="EE627" s="27" t="s">
        <v>8</v>
      </c>
      <c r="EO627" s="27" t="s">
        <v>8</v>
      </c>
      <c r="EP627" s="27" t="s">
        <v>7</v>
      </c>
      <c r="EU627" s="27" t="s">
        <v>8</v>
      </c>
      <c r="EV627" s="27" t="s">
        <v>7</v>
      </c>
    </row>
    <row r="628" spans="1:252" x14ac:dyDescent="0.25">
      <c r="A628" s="7">
        <v>0.44401021096591808</v>
      </c>
      <c r="B628"/>
      <c r="C628"/>
      <c r="D628"/>
      <c r="E628"/>
      <c r="F628" s="27" t="s">
        <v>7</v>
      </c>
      <c r="DE628" s="27" t="s">
        <v>8</v>
      </c>
      <c r="DF628" s="27" t="s">
        <v>7</v>
      </c>
      <c r="DI628" s="27" t="s">
        <v>8</v>
      </c>
      <c r="DJ628" s="27" t="s">
        <v>7</v>
      </c>
      <c r="DM628" s="27" t="s">
        <v>8</v>
      </c>
      <c r="DT628" s="27" t="s">
        <v>7</v>
      </c>
      <c r="DU628" s="27" t="s">
        <v>8</v>
      </c>
      <c r="ED628" s="27" t="s">
        <v>7</v>
      </c>
      <c r="EE628" s="27" t="s">
        <v>8</v>
      </c>
      <c r="EF628" s="27" t="s">
        <v>7</v>
      </c>
      <c r="EM628" s="27" t="s">
        <v>8</v>
      </c>
      <c r="EO628" s="27" t="s">
        <v>8</v>
      </c>
      <c r="EP628" s="27" t="s">
        <v>7</v>
      </c>
      <c r="EU628" s="27" t="s">
        <v>8</v>
      </c>
      <c r="EV628" s="27" t="s">
        <v>7</v>
      </c>
    </row>
    <row r="629" spans="1:252" x14ac:dyDescent="0.25">
      <c r="A629" s="7">
        <v>0.4353041283979589</v>
      </c>
      <c r="B629"/>
      <c r="C629"/>
      <c r="D629"/>
      <c r="E629"/>
      <c r="F629" s="27" t="s">
        <v>7</v>
      </c>
      <c r="DE629" s="27" t="s">
        <v>8</v>
      </c>
      <c r="DF629" s="27" t="s">
        <v>7</v>
      </c>
      <c r="DI629" s="27" t="s">
        <v>8</v>
      </c>
      <c r="DJ629" s="27" t="s">
        <v>7</v>
      </c>
      <c r="DM629" s="27" t="s">
        <v>8</v>
      </c>
      <c r="DT629" s="27" t="s">
        <v>7</v>
      </c>
      <c r="DU629" s="27" t="s">
        <v>8</v>
      </c>
      <c r="ED629" s="27" t="s">
        <v>7</v>
      </c>
      <c r="EE629" s="27" t="s">
        <v>8</v>
      </c>
      <c r="EF629" s="27" t="s">
        <v>7</v>
      </c>
      <c r="EM629" s="27" t="s">
        <v>8</v>
      </c>
      <c r="EN629" s="27" t="s">
        <v>7</v>
      </c>
      <c r="EO629" s="27" t="s">
        <v>8</v>
      </c>
      <c r="EP629" s="27" t="s">
        <v>7</v>
      </c>
      <c r="EU629" s="27" t="s">
        <v>8</v>
      </c>
      <c r="EV629" s="27" t="s">
        <v>7</v>
      </c>
    </row>
    <row r="630" spans="1:252" x14ac:dyDescent="0.25">
      <c r="A630" s="7">
        <v>0.4267687533313323</v>
      </c>
      <c r="B630"/>
      <c r="C630"/>
      <c r="D630"/>
      <c r="E630"/>
      <c r="F630" s="27" t="s">
        <v>7</v>
      </c>
      <c r="DE630" s="27" t="s">
        <v>8</v>
      </c>
      <c r="DF630" s="27" t="s">
        <v>7</v>
      </c>
      <c r="DI630" s="27" t="s">
        <v>8</v>
      </c>
      <c r="DJ630" s="27" t="s">
        <v>7</v>
      </c>
      <c r="DK630" s="27" t="s">
        <v>8</v>
      </c>
      <c r="DM630" s="27" t="s">
        <v>8</v>
      </c>
      <c r="DT630" s="27" t="s">
        <v>7</v>
      </c>
      <c r="DU630" s="27" t="s">
        <v>8</v>
      </c>
      <c r="ED630" s="27" t="s">
        <v>7</v>
      </c>
      <c r="EE630" s="27" t="s">
        <v>8</v>
      </c>
      <c r="EF630" s="27" t="s">
        <v>7</v>
      </c>
      <c r="EG630" s="27" t="s">
        <v>8</v>
      </c>
      <c r="EM630" s="27" t="s">
        <v>8</v>
      </c>
      <c r="EN630" s="27" t="s">
        <v>7</v>
      </c>
      <c r="EO630" s="27" t="s">
        <v>8</v>
      </c>
      <c r="EP630" s="27" t="s">
        <v>7</v>
      </c>
      <c r="EU630" s="27" t="s">
        <v>8</v>
      </c>
      <c r="EV630" s="27" t="s">
        <v>7</v>
      </c>
    </row>
    <row r="631" spans="1:252" x14ac:dyDescent="0.25">
      <c r="A631" s="7">
        <v>0.41840073856012971</v>
      </c>
      <c r="B631"/>
      <c r="C631"/>
      <c r="D631"/>
      <c r="E631"/>
      <c r="F631" s="27" t="s">
        <v>7</v>
      </c>
      <c r="DE631" s="27" t="s">
        <v>8</v>
      </c>
      <c r="DF631" s="27" t="s">
        <v>7</v>
      </c>
      <c r="DG631" s="27" t="s">
        <v>8</v>
      </c>
      <c r="DI631" s="27" t="s">
        <v>8</v>
      </c>
      <c r="DJ631" s="27" t="s">
        <v>7</v>
      </c>
      <c r="DK631" s="27" t="s">
        <v>8</v>
      </c>
      <c r="DL631" s="27" t="s">
        <v>7</v>
      </c>
      <c r="DM631" s="27" t="s">
        <v>8</v>
      </c>
      <c r="DT631" s="27" t="s">
        <v>7</v>
      </c>
      <c r="ED631" s="27" t="s">
        <v>7</v>
      </c>
      <c r="EE631" s="27" t="s">
        <v>8</v>
      </c>
      <c r="EF631" s="27" t="s">
        <v>7</v>
      </c>
      <c r="EG631" s="27" t="s">
        <v>8</v>
      </c>
      <c r="EH631" s="27" t="s">
        <v>7</v>
      </c>
      <c r="EM631" s="27" t="s">
        <v>8</v>
      </c>
      <c r="EN631" s="27" t="s">
        <v>7</v>
      </c>
      <c r="EO631" s="27" t="s">
        <v>8</v>
      </c>
      <c r="EP631" s="27" t="s">
        <v>7</v>
      </c>
      <c r="EQ631" s="27" t="s">
        <v>8</v>
      </c>
      <c r="ES631" s="27" t="s">
        <v>8</v>
      </c>
      <c r="EU631" s="27" t="s">
        <v>8</v>
      </c>
      <c r="EV631" s="27" t="s">
        <v>7</v>
      </c>
      <c r="EW631" s="27" t="s">
        <v>8</v>
      </c>
    </row>
    <row r="632" spans="1:252" x14ac:dyDescent="0.25">
      <c r="A632" s="7">
        <v>0.41019680250993112</v>
      </c>
      <c r="B632"/>
      <c r="C632"/>
      <c r="D632"/>
      <c r="E632"/>
      <c r="F632" s="27" t="s">
        <v>7</v>
      </c>
      <c r="DE632" s="27" t="s">
        <v>8</v>
      </c>
      <c r="DF632" s="27" t="s">
        <v>7</v>
      </c>
      <c r="DG632" s="27" t="s">
        <v>8</v>
      </c>
      <c r="DH632" s="27" t="s">
        <v>7</v>
      </c>
      <c r="DI632" s="27" t="s">
        <v>8</v>
      </c>
      <c r="DJ632" s="27" t="s">
        <v>7</v>
      </c>
      <c r="DK632" s="27" t="s">
        <v>8</v>
      </c>
      <c r="DL632" s="27" t="s">
        <v>7</v>
      </c>
      <c r="DM632" s="27" t="s">
        <v>8</v>
      </c>
      <c r="ED632" s="27" t="s">
        <v>7</v>
      </c>
      <c r="EE632" s="27" t="s">
        <v>8</v>
      </c>
      <c r="EF632" s="27" t="s">
        <v>7</v>
      </c>
      <c r="EG632" s="27" t="s">
        <v>8</v>
      </c>
      <c r="EH632" s="27" t="s">
        <v>7</v>
      </c>
      <c r="EM632" s="27" t="s">
        <v>8</v>
      </c>
      <c r="EN632" s="27" t="s">
        <v>7</v>
      </c>
      <c r="EO632" s="27" t="s">
        <v>8</v>
      </c>
      <c r="EP632" s="27" t="s">
        <v>7</v>
      </c>
      <c r="EQ632" s="27" t="s">
        <v>8</v>
      </c>
      <c r="ER632" s="27" t="s">
        <v>7</v>
      </c>
      <c r="ES632" s="27" t="s">
        <v>8</v>
      </c>
      <c r="ET632" s="27" t="s">
        <v>7</v>
      </c>
      <c r="EU632" s="27" t="s">
        <v>8</v>
      </c>
      <c r="EV632" s="27" t="s">
        <v>7</v>
      </c>
      <c r="EW632" s="27" t="s">
        <v>8</v>
      </c>
      <c r="EX632" s="27" t="s">
        <v>7</v>
      </c>
    </row>
    <row r="633" spans="1:252" x14ac:dyDescent="0.25">
      <c r="A633" s="7">
        <v>0.40215372795091286</v>
      </c>
      <c r="B633"/>
      <c r="C633"/>
      <c r="D633"/>
      <c r="E633"/>
      <c r="F633" s="27" t="s">
        <v>7</v>
      </c>
      <c r="DE633" s="27" t="s">
        <v>8</v>
      </c>
      <c r="DF633" s="27" t="s">
        <v>7</v>
      </c>
      <c r="DG633" s="27" t="s">
        <v>8</v>
      </c>
      <c r="DH633" s="27" t="s">
        <v>7</v>
      </c>
      <c r="DI633" s="27" t="s">
        <v>8</v>
      </c>
      <c r="DJ633" s="27" t="s">
        <v>7</v>
      </c>
      <c r="DK633" s="27" t="s">
        <v>8</v>
      </c>
      <c r="DL633" s="27" t="s">
        <v>7</v>
      </c>
      <c r="DM633" s="27" t="s">
        <v>8</v>
      </c>
      <c r="ED633" s="27" t="s">
        <v>7</v>
      </c>
      <c r="EE633" s="27" t="s">
        <v>8</v>
      </c>
      <c r="EF633" s="27" t="s">
        <v>7</v>
      </c>
      <c r="EG633" s="27" t="s">
        <v>8</v>
      </c>
      <c r="EH633" s="27" t="s">
        <v>7</v>
      </c>
      <c r="EK633" s="27" t="s">
        <v>8</v>
      </c>
      <c r="EM633" s="27" t="s">
        <v>8</v>
      </c>
      <c r="EN633" s="27" t="s">
        <v>7</v>
      </c>
      <c r="EO633" s="27" t="s">
        <v>8</v>
      </c>
      <c r="EP633" s="27" t="s">
        <v>7</v>
      </c>
      <c r="EQ633" s="27" t="s">
        <v>8</v>
      </c>
      <c r="ER633" s="27" t="s">
        <v>7</v>
      </c>
      <c r="ES633" s="27" t="s">
        <v>8</v>
      </c>
      <c r="ET633" s="27" t="s">
        <v>7</v>
      </c>
      <c r="EU633" s="27" t="s">
        <v>8</v>
      </c>
      <c r="EV633" s="27" t="s">
        <v>7</v>
      </c>
      <c r="EW633" s="27" t="s">
        <v>8</v>
      </c>
      <c r="EX633" s="27" t="s">
        <v>7</v>
      </c>
      <c r="II633" s="27" t="s">
        <v>8</v>
      </c>
      <c r="IK633" s="27" t="s">
        <v>8</v>
      </c>
    </row>
    <row r="634" spans="1:252" x14ac:dyDescent="0.25">
      <c r="A634" s="7">
        <v>0.39426836073618904</v>
      </c>
      <c r="B634"/>
      <c r="C634"/>
      <c r="D634"/>
      <c r="E634"/>
      <c r="F634" s="27" t="s">
        <v>7</v>
      </c>
      <c r="DE634" s="27" t="s">
        <v>8</v>
      </c>
      <c r="DF634" s="27" t="s">
        <v>7</v>
      </c>
      <c r="DG634" s="27" t="s">
        <v>8</v>
      </c>
      <c r="DH634" s="27" t="s">
        <v>7</v>
      </c>
      <c r="DI634" s="27" t="s">
        <v>8</v>
      </c>
      <c r="DJ634" s="27" t="s">
        <v>7</v>
      </c>
      <c r="DK634" s="27" t="s">
        <v>8</v>
      </c>
      <c r="DL634" s="27" t="s">
        <v>7</v>
      </c>
      <c r="DM634" s="27" t="s">
        <v>8</v>
      </c>
      <c r="ED634" s="27" t="s">
        <v>7</v>
      </c>
      <c r="EE634" s="27" t="s">
        <v>8</v>
      </c>
      <c r="EF634" s="27" t="s">
        <v>7</v>
      </c>
      <c r="EG634" s="27" t="s">
        <v>8</v>
      </c>
      <c r="EH634" s="27" t="s">
        <v>7</v>
      </c>
      <c r="EK634" s="27" t="s">
        <v>8</v>
      </c>
      <c r="EL634" s="27" t="s">
        <v>7</v>
      </c>
      <c r="EM634" s="27" t="s">
        <v>8</v>
      </c>
      <c r="EN634" s="27" t="s">
        <v>7</v>
      </c>
      <c r="EO634" s="27" t="s">
        <v>8</v>
      </c>
      <c r="EP634" s="27" t="s">
        <v>7</v>
      </c>
      <c r="EQ634" s="27" t="s">
        <v>8</v>
      </c>
      <c r="ER634" s="27" t="s">
        <v>7</v>
      </c>
      <c r="ES634" s="27" t="s">
        <v>8</v>
      </c>
      <c r="ET634" s="27" t="s">
        <v>7</v>
      </c>
      <c r="EU634" s="27" t="s">
        <v>8</v>
      </c>
      <c r="EV634" s="27" t="s">
        <v>7</v>
      </c>
      <c r="EW634" s="27" t="s">
        <v>8</v>
      </c>
      <c r="EX634" s="27" t="s">
        <v>7</v>
      </c>
      <c r="II634" s="27" t="s">
        <v>8</v>
      </c>
      <c r="IJ634" s="27" t="s">
        <v>7</v>
      </c>
      <c r="IK634" s="27" t="s">
        <v>8</v>
      </c>
      <c r="IL634" s="27" t="s">
        <v>7</v>
      </c>
      <c r="IQ634" s="27" t="s">
        <v>8</v>
      </c>
    </row>
    <row r="635" spans="1:252" x14ac:dyDescent="0.25">
      <c r="A635" s="7">
        <v>0.38653760856489122</v>
      </c>
      <c r="B635"/>
      <c r="C635"/>
      <c r="D635"/>
      <c r="E635"/>
      <c r="F635" s="27" t="s">
        <v>7</v>
      </c>
      <c r="DE635" s="27" t="s">
        <v>8</v>
      </c>
      <c r="DF635" s="27" t="s">
        <v>7</v>
      </c>
      <c r="DG635" s="27" t="s">
        <v>8</v>
      </c>
      <c r="DH635" s="27" t="s">
        <v>7</v>
      </c>
      <c r="DI635" s="27" t="s">
        <v>8</v>
      </c>
      <c r="DJ635" s="27" t="s">
        <v>7</v>
      </c>
      <c r="DK635" s="27" t="s">
        <v>8</v>
      </c>
      <c r="DL635" s="27" t="s">
        <v>7</v>
      </c>
      <c r="DM635" s="27" t="s">
        <v>8</v>
      </c>
      <c r="ED635" s="27" t="s">
        <v>7</v>
      </c>
      <c r="EE635" s="27" t="s">
        <v>8</v>
      </c>
      <c r="EF635" s="27" t="s">
        <v>7</v>
      </c>
      <c r="EG635" s="27" t="s">
        <v>8</v>
      </c>
      <c r="EH635" s="27" t="s">
        <v>7</v>
      </c>
      <c r="EK635" s="27" t="s">
        <v>8</v>
      </c>
      <c r="EL635" s="27" t="s">
        <v>7</v>
      </c>
      <c r="EM635" s="27" t="s">
        <v>8</v>
      </c>
      <c r="EN635" s="27" t="s">
        <v>7</v>
      </c>
      <c r="EP635" s="27" t="s">
        <v>7</v>
      </c>
      <c r="EQ635" s="27" t="s">
        <v>8</v>
      </c>
      <c r="ER635" s="27" t="s">
        <v>7</v>
      </c>
      <c r="ES635" s="27" t="s">
        <v>8</v>
      </c>
      <c r="ET635" s="27" t="s">
        <v>7</v>
      </c>
      <c r="EU635" s="27" t="s">
        <v>8</v>
      </c>
      <c r="EV635" s="27" t="s">
        <v>7</v>
      </c>
      <c r="EW635" s="27" t="s">
        <v>8</v>
      </c>
      <c r="EX635" s="27" t="s">
        <v>7</v>
      </c>
      <c r="IC635" s="27" t="s">
        <v>8</v>
      </c>
      <c r="IG635" s="27" t="s">
        <v>8</v>
      </c>
      <c r="II635" s="27" t="s">
        <v>8</v>
      </c>
      <c r="IJ635" s="27" t="s">
        <v>7</v>
      </c>
      <c r="IK635" s="27" t="s">
        <v>8</v>
      </c>
      <c r="IL635" s="27" t="s">
        <v>7</v>
      </c>
      <c r="IQ635" s="27" t="s">
        <v>8</v>
      </c>
      <c r="IR635" s="27" t="s">
        <v>7</v>
      </c>
    </row>
    <row r="636" spans="1:252" x14ac:dyDescent="0.25">
      <c r="A636" s="7">
        <v>0.37895843976950117</v>
      </c>
      <c r="B636"/>
      <c r="C636"/>
      <c r="D636"/>
      <c r="E636"/>
      <c r="F636" s="27" t="s">
        <v>7</v>
      </c>
      <c r="DE636" s="27" t="s">
        <v>8</v>
      </c>
      <c r="DF636" s="27" t="s">
        <v>7</v>
      </c>
      <c r="DG636" s="27" t="s">
        <v>8</v>
      </c>
      <c r="DH636" s="27" t="s">
        <v>7</v>
      </c>
      <c r="DI636" s="27" t="s">
        <v>8</v>
      </c>
      <c r="DJ636" s="27" t="s">
        <v>7</v>
      </c>
      <c r="DK636" s="27" t="s">
        <v>8</v>
      </c>
      <c r="DL636" s="27" t="s">
        <v>7</v>
      </c>
      <c r="DM636" s="27" t="s">
        <v>8</v>
      </c>
      <c r="ED636" s="27" t="s">
        <v>7</v>
      </c>
      <c r="EE636" s="27" t="s">
        <v>8</v>
      </c>
      <c r="EF636" s="27" t="s">
        <v>7</v>
      </c>
      <c r="EG636" s="27" t="s">
        <v>8</v>
      </c>
      <c r="EH636" s="27" t="s">
        <v>7</v>
      </c>
      <c r="EK636" s="27" t="s">
        <v>8</v>
      </c>
      <c r="EL636" s="27" t="s">
        <v>7</v>
      </c>
      <c r="EM636" s="27" t="s">
        <v>8</v>
      </c>
      <c r="EP636" s="27" t="s">
        <v>7</v>
      </c>
      <c r="EQ636" s="27" t="s">
        <v>8</v>
      </c>
      <c r="ER636" s="27" t="s">
        <v>7</v>
      </c>
      <c r="ES636" s="27" t="s">
        <v>8</v>
      </c>
      <c r="ET636" s="27" t="s">
        <v>7</v>
      </c>
      <c r="EU636" s="27" t="s">
        <v>8</v>
      </c>
      <c r="EV636" s="27" t="s">
        <v>7</v>
      </c>
      <c r="EW636" s="27" t="s">
        <v>8</v>
      </c>
      <c r="EX636" s="27" t="s">
        <v>7</v>
      </c>
      <c r="IC636" s="27" t="s">
        <v>8</v>
      </c>
      <c r="ID636" s="27" t="s">
        <v>7</v>
      </c>
      <c r="IG636" s="27" t="s">
        <v>8</v>
      </c>
      <c r="IH636" s="27" t="s">
        <v>7</v>
      </c>
      <c r="II636" s="27" t="s">
        <v>8</v>
      </c>
      <c r="IJ636" s="27" t="s">
        <v>7</v>
      </c>
      <c r="IK636" s="27" t="s">
        <v>8</v>
      </c>
      <c r="IL636" s="27" t="s">
        <v>7</v>
      </c>
      <c r="IQ636" s="27" t="s">
        <v>8</v>
      </c>
      <c r="IR636" s="27" t="s">
        <v>7</v>
      </c>
    </row>
    <row r="637" spans="1:252" x14ac:dyDescent="0.25">
      <c r="A637" s="7">
        <v>0.37152788212696197</v>
      </c>
      <c r="B637"/>
      <c r="C637"/>
      <c r="D637"/>
      <c r="E637"/>
      <c r="F637" s="27" t="s">
        <v>7</v>
      </c>
      <c r="DE637" s="27" t="s">
        <v>8</v>
      </c>
      <c r="DF637" s="27" t="s">
        <v>7</v>
      </c>
      <c r="DG637" s="27" t="s">
        <v>8</v>
      </c>
      <c r="DH637" s="27" t="s">
        <v>7</v>
      </c>
      <c r="DI637" s="27" t="s">
        <v>8</v>
      </c>
      <c r="DJ637" s="27" t="s">
        <v>7</v>
      </c>
      <c r="DK637" s="27" t="s">
        <v>8</v>
      </c>
      <c r="DL637" s="27" t="s">
        <v>7</v>
      </c>
      <c r="DM637" s="27" t="s">
        <v>8</v>
      </c>
      <c r="ED637" s="27" t="s">
        <v>7</v>
      </c>
      <c r="EE637" s="27" t="s">
        <v>8</v>
      </c>
      <c r="EF637" s="27" t="s">
        <v>7</v>
      </c>
      <c r="EG637" s="27" t="s">
        <v>8</v>
      </c>
      <c r="EH637" s="27" t="s">
        <v>7</v>
      </c>
      <c r="EK637" s="27" t="s">
        <v>8</v>
      </c>
      <c r="EL637" s="27" t="s">
        <v>7</v>
      </c>
      <c r="EM637" s="27" t="s">
        <v>8</v>
      </c>
      <c r="EP637" s="27" t="s">
        <v>7</v>
      </c>
      <c r="EQ637" s="27" t="s">
        <v>8</v>
      </c>
      <c r="ER637" s="27" t="s">
        <v>7</v>
      </c>
      <c r="ES637" s="27" t="s">
        <v>8</v>
      </c>
      <c r="ET637" s="27" t="s">
        <v>7</v>
      </c>
      <c r="EU637" s="27" t="s">
        <v>8</v>
      </c>
      <c r="EV637" s="27" t="s">
        <v>7</v>
      </c>
      <c r="EW637" s="27" t="s">
        <v>8</v>
      </c>
      <c r="EX637" s="27" t="s">
        <v>7</v>
      </c>
      <c r="IC637" s="27" t="s">
        <v>8</v>
      </c>
      <c r="ID637" s="27" t="s">
        <v>7</v>
      </c>
      <c r="IG637" s="27" t="s">
        <v>8</v>
      </c>
      <c r="IH637" s="27" t="s">
        <v>7</v>
      </c>
      <c r="II637" s="27" t="s">
        <v>8</v>
      </c>
      <c r="IJ637" s="27" t="s">
        <v>7</v>
      </c>
      <c r="IK637" s="27" t="s">
        <v>8</v>
      </c>
      <c r="IL637" s="27" t="s">
        <v>7</v>
      </c>
      <c r="IM637" s="27" t="s">
        <v>8</v>
      </c>
      <c r="IO637" s="27" t="s">
        <v>8</v>
      </c>
      <c r="IQ637" s="27" t="s">
        <v>8</v>
      </c>
      <c r="IR637" s="27" t="s">
        <v>7</v>
      </c>
    </row>
    <row r="638" spans="1:252" x14ac:dyDescent="0.25">
      <c r="A638" s="7">
        <v>0.36424302169310002</v>
      </c>
      <c r="B638"/>
      <c r="C638"/>
      <c r="D638"/>
      <c r="E638"/>
      <c r="F638" s="27" t="s">
        <v>7</v>
      </c>
      <c r="DE638" s="27" t="s">
        <v>8</v>
      </c>
      <c r="DF638" s="27" t="s">
        <v>7</v>
      </c>
      <c r="DG638" s="27" t="s">
        <v>8</v>
      </c>
      <c r="DH638" s="27" t="s">
        <v>7</v>
      </c>
      <c r="DI638" s="27" t="s">
        <v>8</v>
      </c>
      <c r="DJ638" s="27" t="s">
        <v>7</v>
      </c>
      <c r="DK638" s="27" t="s">
        <v>8</v>
      </c>
      <c r="DL638" s="27" t="s">
        <v>7</v>
      </c>
      <c r="DM638" s="27" t="s">
        <v>8</v>
      </c>
      <c r="ED638" s="27" t="s">
        <v>7</v>
      </c>
      <c r="EE638" s="27" t="s">
        <v>8</v>
      </c>
      <c r="EF638" s="27" t="s">
        <v>7</v>
      </c>
      <c r="EG638" s="27" t="s">
        <v>8</v>
      </c>
      <c r="EH638" s="27" t="s">
        <v>7</v>
      </c>
      <c r="EK638" s="27" t="s">
        <v>8</v>
      </c>
      <c r="EL638" s="27" t="s">
        <v>7</v>
      </c>
      <c r="EM638" s="27" t="s">
        <v>8</v>
      </c>
      <c r="EP638" s="27" t="s">
        <v>7</v>
      </c>
      <c r="ER638" s="27" t="s">
        <v>7</v>
      </c>
      <c r="ES638" s="27" t="s">
        <v>8</v>
      </c>
      <c r="ET638" s="27" t="s">
        <v>7</v>
      </c>
      <c r="EU638" s="27" t="s">
        <v>8</v>
      </c>
      <c r="EV638" s="27" t="s">
        <v>7</v>
      </c>
      <c r="EW638" s="27" t="s">
        <v>8</v>
      </c>
      <c r="EX638" s="27" t="s">
        <v>7</v>
      </c>
      <c r="IC638" s="27" t="s">
        <v>8</v>
      </c>
      <c r="ID638" s="27" t="s">
        <v>7</v>
      </c>
      <c r="IE638" s="27" t="s">
        <v>8</v>
      </c>
      <c r="IG638" s="27" t="s">
        <v>8</v>
      </c>
      <c r="IH638" s="27" t="s">
        <v>7</v>
      </c>
      <c r="II638" s="27" t="s">
        <v>8</v>
      </c>
      <c r="IJ638" s="27" t="s">
        <v>7</v>
      </c>
      <c r="IK638" s="27" t="s">
        <v>8</v>
      </c>
      <c r="IL638" s="27" t="s">
        <v>7</v>
      </c>
      <c r="IM638" s="27" t="s">
        <v>8</v>
      </c>
      <c r="IN638" s="27" t="s">
        <v>7</v>
      </c>
      <c r="IO638" s="27" t="s">
        <v>8</v>
      </c>
      <c r="IP638" s="27" t="s">
        <v>7</v>
      </c>
      <c r="IQ638" s="27" t="s">
        <v>8</v>
      </c>
      <c r="IR638" s="27" t="s">
        <v>7</v>
      </c>
    </row>
    <row r="639" spans="1:252" x14ac:dyDescent="0.25">
      <c r="A639" s="7">
        <v>0.35710100165990194</v>
      </c>
      <c r="B639"/>
      <c r="C639"/>
      <c r="D639"/>
      <c r="E639"/>
      <c r="F639" s="27" t="s">
        <v>7</v>
      </c>
      <c r="DE639" s="27" t="s">
        <v>8</v>
      </c>
      <c r="DF639" s="27" t="s">
        <v>7</v>
      </c>
      <c r="DG639" s="27" t="s">
        <v>8</v>
      </c>
      <c r="DH639" s="27" t="s">
        <v>7</v>
      </c>
      <c r="DI639" s="27" t="s">
        <v>8</v>
      </c>
      <c r="DJ639" s="27" t="s">
        <v>7</v>
      </c>
      <c r="DK639" s="27" t="s">
        <v>8</v>
      </c>
      <c r="DL639" s="27" t="s">
        <v>7</v>
      </c>
      <c r="DM639" s="27" t="s">
        <v>8</v>
      </c>
      <c r="ED639" s="27" t="s">
        <v>7</v>
      </c>
      <c r="EE639" s="27" t="s">
        <v>8</v>
      </c>
      <c r="EF639" s="27" t="s">
        <v>7</v>
      </c>
      <c r="EG639" s="27" t="s">
        <v>8</v>
      </c>
      <c r="EH639" s="27" t="s">
        <v>7</v>
      </c>
      <c r="EK639" s="27" t="s">
        <v>8</v>
      </c>
      <c r="EL639" s="27" t="s">
        <v>7</v>
      </c>
      <c r="ER639" s="27" t="s">
        <v>7</v>
      </c>
      <c r="ES639" s="27" t="s">
        <v>8</v>
      </c>
      <c r="ET639" s="27" t="s">
        <v>7</v>
      </c>
      <c r="EU639" s="27" t="s">
        <v>8</v>
      </c>
      <c r="EV639" s="27" t="s">
        <v>7</v>
      </c>
      <c r="EW639" s="27" t="s">
        <v>8</v>
      </c>
      <c r="EX639" s="27" t="s">
        <v>7</v>
      </c>
      <c r="IC639" s="27" t="s">
        <v>8</v>
      </c>
      <c r="ID639" s="27" t="s">
        <v>7</v>
      </c>
      <c r="IE639" s="27" t="s">
        <v>8</v>
      </c>
      <c r="IF639" s="27" t="s">
        <v>7</v>
      </c>
      <c r="IG639" s="27" t="s">
        <v>8</v>
      </c>
      <c r="IH639" s="27" t="s">
        <v>7</v>
      </c>
      <c r="II639" s="27" t="s">
        <v>8</v>
      </c>
      <c r="IJ639" s="27" t="s">
        <v>7</v>
      </c>
      <c r="IK639" s="27" t="s">
        <v>8</v>
      </c>
      <c r="IL639" s="27" t="s">
        <v>7</v>
      </c>
      <c r="IM639" s="27" t="s">
        <v>8</v>
      </c>
      <c r="IN639" s="27" t="s">
        <v>7</v>
      </c>
      <c r="IO639" s="27" t="s">
        <v>8</v>
      </c>
      <c r="IP639" s="27" t="s">
        <v>7</v>
      </c>
      <c r="IQ639" s="27" t="s">
        <v>8</v>
      </c>
      <c r="IR639" s="27" t="s">
        <v>7</v>
      </c>
    </row>
    <row r="640" spans="1:252" x14ac:dyDescent="0.25">
      <c r="A640" s="7">
        <v>0.35009902123519804</v>
      </c>
      <c r="B640"/>
      <c r="C640"/>
      <c r="D640"/>
      <c r="E640"/>
      <c r="F640" s="27" t="s">
        <v>7</v>
      </c>
      <c r="DE640" s="27" t="s">
        <v>8</v>
      </c>
      <c r="DF640" s="27" t="s">
        <v>7</v>
      </c>
      <c r="DG640" s="27" t="s">
        <v>8</v>
      </c>
      <c r="DH640" s="27" t="s">
        <v>7</v>
      </c>
      <c r="DJ640" s="27" t="s">
        <v>7</v>
      </c>
      <c r="DK640" s="27" t="s">
        <v>8</v>
      </c>
      <c r="DL640" s="27" t="s">
        <v>7</v>
      </c>
      <c r="DM640" s="27" t="s">
        <v>8</v>
      </c>
      <c r="ED640" s="27" t="s">
        <v>7</v>
      </c>
      <c r="EE640" s="27" t="s">
        <v>8</v>
      </c>
      <c r="EF640" s="27" t="s">
        <v>7</v>
      </c>
      <c r="EG640" s="27" t="s">
        <v>8</v>
      </c>
      <c r="EH640" s="27" t="s">
        <v>7</v>
      </c>
      <c r="EK640" s="27" t="s">
        <v>8</v>
      </c>
      <c r="ER640" s="27" t="s">
        <v>7</v>
      </c>
      <c r="ES640" s="27" t="s">
        <v>8</v>
      </c>
      <c r="ET640" s="27" t="s">
        <v>7</v>
      </c>
      <c r="EV640" s="27" t="s">
        <v>7</v>
      </c>
      <c r="EW640" s="27" t="s">
        <v>8</v>
      </c>
      <c r="EX640" s="27" t="s">
        <v>7</v>
      </c>
      <c r="IC640" s="27" t="s">
        <v>8</v>
      </c>
      <c r="ID640" s="27" t="s">
        <v>7</v>
      </c>
      <c r="IE640" s="27" t="s">
        <v>8</v>
      </c>
      <c r="IF640" s="27" t="s">
        <v>7</v>
      </c>
      <c r="IG640" s="27" t="s">
        <v>8</v>
      </c>
      <c r="IH640" s="27" t="s">
        <v>7</v>
      </c>
      <c r="II640" s="27" t="s">
        <v>8</v>
      </c>
      <c r="IJ640" s="27" t="s">
        <v>7</v>
      </c>
      <c r="IK640" s="27" t="s">
        <v>8</v>
      </c>
      <c r="IL640" s="27" t="s">
        <v>7</v>
      </c>
      <c r="IM640" s="27" t="s">
        <v>8</v>
      </c>
      <c r="IN640" s="27" t="s">
        <v>7</v>
      </c>
      <c r="IO640" s="27" t="s">
        <v>8</v>
      </c>
      <c r="IP640" s="27" t="s">
        <v>7</v>
      </c>
      <c r="IQ640" s="27" t="s">
        <v>8</v>
      </c>
      <c r="IR640" s="27" t="s">
        <v>7</v>
      </c>
    </row>
    <row r="641" spans="1:265" x14ac:dyDescent="0.25">
      <c r="A641" s="7">
        <v>0.34323433454431179</v>
      </c>
      <c r="B641"/>
      <c r="C641"/>
      <c r="D641"/>
      <c r="E641"/>
      <c r="F641" s="27" t="s">
        <v>7</v>
      </c>
      <c r="DE641" s="27" t="s">
        <v>8</v>
      </c>
      <c r="DF641" s="27" t="s">
        <v>7</v>
      </c>
      <c r="DJ641" s="27" t="s">
        <v>7</v>
      </c>
      <c r="DK641" s="27" t="s">
        <v>8</v>
      </c>
      <c r="DL641" s="27" t="s">
        <v>7</v>
      </c>
      <c r="ED641" s="27" t="s">
        <v>7</v>
      </c>
      <c r="EF641" s="27" t="s">
        <v>7</v>
      </c>
      <c r="EG641" s="27" t="s">
        <v>8</v>
      </c>
      <c r="EH641" s="27" t="s">
        <v>7</v>
      </c>
      <c r="EK641" s="27" t="s">
        <v>8</v>
      </c>
      <c r="ER641" s="27" t="s">
        <v>7</v>
      </c>
      <c r="ES641" s="27" t="s">
        <v>8</v>
      </c>
      <c r="EV641" s="27" t="s">
        <v>7</v>
      </c>
      <c r="EX641" s="27" t="s">
        <v>7</v>
      </c>
      <c r="IC641" s="27" t="s">
        <v>8</v>
      </c>
      <c r="ID641" s="27" t="s">
        <v>7</v>
      </c>
      <c r="IE641" s="27" t="s">
        <v>8</v>
      </c>
      <c r="IF641" s="27" t="s">
        <v>7</v>
      </c>
      <c r="IG641" s="27" t="s">
        <v>8</v>
      </c>
      <c r="IH641" s="27" t="s">
        <v>7</v>
      </c>
      <c r="IJ641" s="27" t="s">
        <v>7</v>
      </c>
      <c r="IK641" s="27" t="s">
        <v>8</v>
      </c>
      <c r="IL641" s="27" t="s">
        <v>7</v>
      </c>
      <c r="IM641" s="27" t="s">
        <v>8</v>
      </c>
      <c r="IN641" s="27" t="s">
        <v>7</v>
      </c>
      <c r="IO641" s="27" t="s">
        <v>8</v>
      </c>
      <c r="IP641" s="27" t="s">
        <v>7</v>
      </c>
      <c r="IQ641" s="27" t="s">
        <v>8</v>
      </c>
      <c r="IR641" s="27" t="s">
        <v>7</v>
      </c>
    </row>
    <row r="642" spans="1:265" x14ac:dyDescent="0.25">
      <c r="A642" s="7">
        <v>0.33650424955324681</v>
      </c>
      <c r="B642"/>
      <c r="C642"/>
      <c r="D642"/>
      <c r="E642"/>
      <c r="F642" s="27" t="s">
        <v>7</v>
      </c>
      <c r="DE642" s="27" t="s">
        <v>8</v>
      </c>
      <c r="DJ642" s="27" t="s">
        <v>7</v>
      </c>
      <c r="DK642" s="27" t="s">
        <v>8</v>
      </c>
      <c r="EF642" s="27" t="s">
        <v>7</v>
      </c>
      <c r="EH642" s="27" t="s">
        <v>7</v>
      </c>
      <c r="EK642" s="27" t="s">
        <v>8</v>
      </c>
      <c r="ER642" s="27" t="s">
        <v>7</v>
      </c>
      <c r="ES642" s="27" t="s">
        <v>8</v>
      </c>
      <c r="EX642" s="27" t="s">
        <v>7</v>
      </c>
      <c r="IC642" s="27" t="s">
        <v>8</v>
      </c>
      <c r="ID642" s="27" t="s">
        <v>7</v>
      </c>
      <c r="IE642" s="27" t="s">
        <v>8</v>
      </c>
      <c r="IF642" s="27" t="s">
        <v>7</v>
      </c>
      <c r="IG642" s="27" t="s">
        <v>8</v>
      </c>
      <c r="IJ642" s="27" t="s">
        <v>7</v>
      </c>
      <c r="IK642" s="27" t="s">
        <v>8</v>
      </c>
      <c r="IL642" s="27" t="s">
        <v>7</v>
      </c>
      <c r="IM642" s="27" t="s">
        <v>8</v>
      </c>
      <c r="IN642" s="27" t="s">
        <v>7</v>
      </c>
      <c r="IP642" s="27" t="s">
        <v>7</v>
      </c>
      <c r="IQ642" s="27" t="s">
        <v>8</v>
      </c>
      <c r="IR642" s="27" t="s">
        <v>7</v>
      </c>
    </row>
    <row r="643" spans="1:265" x14ac:dyDescent="0.25">
      <c r="A643" s="7">
        <v>0.3299061270129871</v>
      </c>
      <c r="B643"/>
      <c r="C643"/>
      <c r="D643"/>
      <c r="E643"/>
      <c r="F643" s="27" t="s">
        <v>7</v>
      </c>
      <c r="DE643" s="27" t="s">
        <v>8</v>
      </c>
      <c r="DJ643" s="27" t="s">
        <v>7</v>
      </c>
      <c r="DK643" s="27" t="s">
        <v>8</v>
      </c>
      <c r="EH643" s="27" t="s">
        <v>7</v>
      </c>
      <c r="EK643" s="27" t="s">
        <v>8</v>
      </c>
      <c r="ER643" s="27" t="s">
        <v>7</v>
      </c>
      <c r="EX643" s="27" t="s">
        <v>7</v>
      </c>
      <c r="IC643" s="27" t="s">
        <v>8</v>
      </c>
      <c r="ID643" s="27" t="s">
        <v>7</v>
      </c>
      <c r="IE643" s="27" t="s">
        <v>8</v>
      </c>
      <c r="IF643" s="27" t="s">
        <v>7</v>
      </c>
      <c r="IG643" s="27" t="s">
        <v>8</v>
      </c>
      <c r="IJ643" s="27" t="s">
        <v>7</v>
      </c>
      <c r="IK643" s="27" t="s">
        <v>8</v>
      </c>
      <c r="IL643" s="27" t="s">
        <v>7</v>
      </c>
      <c r="IM643" s="27" t="s">
        <v>8</v>
      </c>
      <c r="IP643" s="27" t="s">
        <v>7</v>
      </c>
      <c r="IQ643" s="27" t="s">
        <v>8</v>
      </c>
      <c r="IR643" s="27" t="s">
        <v>7</v>
      </c>
    </row>
    <row r="644" spans="1:265" x14ac:dyDescent="0.25">
      <c r="A644" s="7">
        <v>0.32343737942449713</v>
      </c>
      <c r="B644"/>
      <c r="C644"/>
      <c r="D644"/>
      <c r="E644"/>
      <c r="F644" s="27" t="s">
        <v>7</v>
      </c>
      <c r="DE644" s="27" t="s">
        <v>8</v>
      </c>
      <c r="DJ644" s="27" t="s">
        <v>7</v>
      </c>
      <c r="DK644" s="27" t="s">
        <v>8</v>
      </c>
      <c r="EH644" s="27" t="s">
        <v>7</v>
      </c>
      <c r="EK644" s="27" t="s">
        <v>8</v>
      </c>
      <c r="EX644" s="27" t="s">
        <v>7</v>
      </c>
      <c r="IC644" s="27" t="s">
        <v>8</v>
      </c>
      <c r="ID644" s="27" t="s">
        <v>7</v>
      </c>
      <c r="IE644" s="27" t="s">
        <v>8</v>
      </c>
      <c r="IF644" s="27" t="s">
        <v>7</v>
      </c>
      <c r="IG644" s="27" t="s">
        <v>8</v>
      </c>
      <c r="IJ644" s="27" t="s">
        <v>7</v>
      </c>
      <c r="IL644" s="27" t="s">
        <v>7</v>
      </c>
      <c r="IM644" s="27" t="s">
        <v>8</v>
      </c>
      <c r="IP644" s="27" t="s">
        <v>7</v>
      </c>
      <c r="IQ644" s="27" t="s">
        <v>8</v>
      </c>
      <c r="IR644" s="27" t="s">
        <v>7</v>
      </c>
    </row>
    <row r="645" spans="1:265" x14ac:dyDescent="0.25">
      <c r="A645" s="7">
        <v>0.31709547002401678</v>
      </c>
      <c r="B645"/>
      <c r="C645"/>
      <c r="D645"/>
      <c r="E645"/>
      <c r="F645" s="27" t="s">
        <v>7</v>
      </c>
      <c r="DE645" s="27" t="s">
        <v>8</v>
      </c>
      <c r="DJ645" s="27" t="s">
        <v>7</v>
      </c>
      <c r="DK645" s="27" t="s">
        <v>8</v>
      </c>
      <c r="EH645" s="27" t="s">
        <v>7</v>
      </c>
      <c r="EI645" s="27" t="s">
        <v>8</v>
      </c>
      <c r="EK645" s="27" t="s">
        <v>8</v>
      </c>
      <c r="EX645" s="27" t="s">
        <v>7</v>
      </c>
      <c r="GW645" s="27" t="s">
        <v>8</v>
      </c>
      <c r="IC645" s="27" t="s">
        <v>8</v>
      </c>
      <c r="ID645" s="27" t="s">
        <v>7</v>
      </c>
      <c r="IE645" s="27" t="s">
        <v>8</v>
      </c>
      <c r="IF645" s="27" t="s">
        <v>7</v>
      </c>
      <c r="IG645" s="27" t="s">
        <v>8</v>
      </c>
      <c r="IL645" s="27" t="s">
        <v>7</v>
      </c>
      <c r="IP645" s="27" t="s">
        <v>7</v>
      </c>
      <c r="IQ645" s="27" t="s">
        <v>8</v>
      </c>
      <c r="IR645" s="27" t="s">
        <v>7</v>
      </c>
    </row>
    <row r="646" spans="1:265" x14ac:dyDescent="0.25">
      <c r="A646" s="7">
        <v>0.31087791178825175</v>
      </c>
      <c r="B646"/>
      <c r="C646"/>
      <c r="D646"/>
      <c r="E646"/>
      <c r="F646" s="27" t="s">
        <v>7</v>
      </c>
      <c r="DE646" s="27" t="s">
        <v>8</v>
      </c>
      <c r="DJ646" s="27" t="s">
        <v>7</v>
      </c>
      <c r="DK646" s="27" t="s">
        <v>8</v>
      </c>
      <c r="EH646" s="27" t="s">
        <v>7</v>
      </c>
      <c r="EI646" s="27" t="s">
        <v>8</v>
      </c>
      <c r="EJ646" s="27" t="s">
        <v>7</v>
      </c>
      <c r="EK646" s="27" t="s">
        <v>8</v>
      </c>
      <c r="EX646" s="27" t="s">
        <v>7</v>
      </c>
      <c r="GW646" s="27" t="s">
        <v>8</v>
      </c>
      <c r="GX646" s="27" t="s">
        <v>7</v>
      </c>
      <c r="HW646" s="27" t="s">
        <v>8</v>
      </c>
      <c r="IC646" s="27" t="s">
        <v>8</v>
      </c>
      <c r="ID646" s="27" t="s">
        <v>7</v>
      </c>
      <c r="IE646" s="27" t="s">
        <v>8</v>
      </c>
      <c r="IF646" s="27" t="s">
        <v>7</v>
      </c>
      <c r="IP646" s="27" t="s">
        <v>7</v>
      </c>
      <c r="IQ646" s="27" t="s">
        <v>8</v>
      </c>
      <c r="IR646" s="27" t="s">
        <v>7</v>
      </c>
    </row>
    <row r="647" spans="1:265" x14ac:dyDescent="0.25">
      <c r="A647" s="7">
        <v>0.30478226645907036</v>
      </c>
      <c r="B647"/>
      <c r="C647"/>
      <c r="D647"/>
      <c r="E647"/>
      <c r="F647" s="27" t="s">
        <v>7</v>
      </c>
      <c r="DE647" s="27" t="s">
        <v>8</v>
      </c>
      <c r="DJ647" s="27" t="s">
        <v>7</v>
      </c>
      <c r="EH647" s="27" t="s">
        <v>7</v>
      </c>
      <c r="EI647" s="27" t="s">
        <v>8</v>
      </c>
      <c r="EJ647" s="27" t="s">
        <v>7</v>
      </c>
      <c r="EK647" s="27" t="s">
        <v>8</v>
      </c>
      <c r="EX647" s="27" t="s">
        <v>7</v>
      </c>
      <c r="GW647" s="27" t="s">
        <v>8</v>
      </c>
      <c r="GX647" s="27" t="s">
        <v>7</v>
      </c>
      <c r="HW647" s="27" t="s">
        <v>8</v>
      </c>
      <c r="HX647" s="27" t="s">
        <v>7</v>
      </c>
      <c r="IA647" s="27" t="s">
        <v>8</v>
      </c>
      <c r="IC647" s="27" t="s">
        <v>8</v>
      </c>
      <c r="ID647" s="27" t="s">
        <v>7</v>
      </c>
      <c r="IE647" s="27" t="s">
        <v>8</v>
      </c>
      <c r="IP647" s="27" t="s">
        <v>7</v>
      </c>
      <c r="IQ647" s="27" t="s">
        <v>8</v>
      </c>
      <c r="IR647" s="27" t="s">
        <v>7</v>
      </c>
    </row>
    <row r="648" spans="1:265" x14ac:dyDescent="0.25">
      <c r="A648" s="7">
        <v>0.29880614358732388</v>
      </c>
      <c r="B648"/>
      <c r="C648"/>
      <c r="D648"/>
      <c r="E648"/>
      <c r="F648" s="27" t="s">
        <v>7</v>
      </c>
      <c r="DE648" s="27" t="s">
        <v>8</v>
      </c>
      <c r="EH648" s="27" t="s">
        <v>7</v>
      </c>
      <c r="EI648" s="27" t="s">
        <v>8</v>
      </c>
      <c r="EJ648" s="27" t="s">
        <v>7</v>
      </c>
      <c r="EK648" s="27" t="s">
        <v>8</v>
      </c>
      <c r="EX648" s="27" t="s">
        <v>7</v>
      </c>
      <c r="GW648" s="27" t="s">
        <v>8</v>
      </c>
      <c r="GX648" s="27" t="s">
        <v>7</v>
      </c>
      <c r="HC648" s="27" t="s">
        <v>8</v>
      </c>
      <c r="HW648" s="27" t="s">
        <v>8</v>
      </c>
      <c r="HX648" s="27" t="s">
        <v>7</v>
      </c>
      <c r="IA648" s="27" t="s">
        <v>8</v>
      </c>
      <c r="IB648" s="27" t="s">
        <v>7</v>
      </c>
      <c r="IC648" s="27" t="s">
        <v>8</v>
      </c>
      <c r="ID648" s="27" t="s">
        <v>7</v>
      </c>
      <c r="IE648" s="27" t="s">
        <v>8</v>
      </c>
      <c r="IP648" s="27" t="s">
        <v>7</v>
      </c>
      <c r="IQ648" s="27" t="s">
        <v>8</v>
      </c>
      <c r="IR648" s="27" t="s">
        <v>7</v>
      </c>
    </row>
    <row r="649" spans="1:265" x14ac:dyDescent="0.25">
      <c r="A649" s="7">
        <v>0.2929471995954156</v>
      </c>
      <c r="B649"/>
      <c r="C649"/>
      <c r="D649"/>
      <c r="E649"/>
      <c r="F649" s="27" t="s">
        <v>7</v>
      </c>
      <c r="DE649" s="27" t="s">
        <v>8</v>
      </c>
      <c r="EH649" s="27" t="s">
        <v>7</v>
      </c>
      <c r="EI649" s="27" t="s">
        <v>8</v>
      </c>
      <c r="EJ649" s="27" t="s">
        <v>7</v>
      </c>
      <c r="EK649" s="27" t="s">
        <v>8</v>
      </c>
      <c r="EX649" s="27" t="s">
        <v>7</v>
      </c>
      <c r="GW649" s="27" t="s">
        <v>8</v>
      </c>
      <c r="GX649" s="27" t="s">
        <v>7</v>
      </c>
      <c r="HC649" s="27" t="s">
        <v>8</v>
      </c>
      <c r="HD649" s="27" t="s">
        <v>7</v>
      </c>
      <c r="HW649" s="27" t="s">
        <v>8</v>
      </c>
      <c r="HX649" s="27" t="s">
        <v>7</v>
      </c>
      <c r="HY649" s="27" t="s">
        <v>8</v>
      </c>
      <c r="IA649" s="27" t="s">
        <v>8</v>
      </c>
      <c r="IB649" s="27" t="s">
        <v>7</v>
      </c>
      <c r="IC649" s="27" t="s">
        <v>8</v>
      </c>
      <c r="ID649" s="27" t="s">
        <v>7</v>
      </c>
      <c r="IE649" s="27" t="s">
        <v>8</v>
      </c>
      <c r="IP649" s="27" t="s">
        <v>7</v>
      </c>
      <c r="IQ649" s="27" t="s">
        <v>8</v>
      </c>
      <c r="IR649" s="27" t="s">
        <v>7</v>
      </c>
    </row>
    <row r="650" spans="1:265" x14ac:dyDescent="0.25">
      <c r="A650" s="7">
        <v>0.28720313685825055</v>
      </c>
      <c r="B650"/>
      <c r="C650"/>
      <c r="D650"/>
      <c r="E650"/>
      <c r="F650" s="27" t="s">
        <v>7</v>
      </c>
      <c r="DE650" s="27" t="s">
        <v>8</v>
      </c>
      <c r="EH650" s="27" t="s">
        <v>7</v>
      </c>
      <c r="EI650" s="27" t="s">
        <v>8</v>
      </c>
      <c r="EJ650" s="27" t="s">
        <v>7</v>
      </c>
      <c r="EK650" s="27" t="s">
        <v>8</v>
      </c>
      <c r="EX650" s="27" t="s">
        <v>7</v>
      </c>
      <c r="FA650" s="27" t="s">
        <v>8</v>
      </c>
      <c r="GW650" s="27" t="s">
        <v>8</v>
      </c>
      <c r="GX650" s="27" t="s">
        <v>7</v>
      </c>
      <c r="HC650" s="27" t="s">
        <v>8</v>
      </c>
      <c r="HD650" s="27" t="s">
        <v>7</v>
      </c>
      <c r="HW650" s="27" t="s">
        <v>8</v>
      </c>
      <c r="HX650" s="27" t="s">
        <v>7</v>
      </c>
      <c r="HY650" s="27" t="s">
        <v>8</v>
      </c>
      <c r="HZ650" s="27" t="s">
        <v>7</v>
      </c>
      <c r="IA650" s="27" t="s">
        <v>8</v>
      </c>
      <c r="IB650" s="27" t="s">
        <v>7</v>
      </c>
      <c r="IC650" s="27" t="s">
        <v>8</v>
      </c>
      <c r="ID650" s="27" t="s">
        <v>7</v>
      </c>
      <c r="IE650" s="27" t="s">
        <v>8</v>
      </c>
      <c r="IP650" s="27" t="s">
        <v>7</v>
      </c>
      <c r="IQ650" s="27" t="s">
        <v>8</v>
      </c>
      <c r="IR650" s="27" t="s">
        <v>7</v>
      </c>
    </row>
    <row r="651" spans="1:265" x14ac:dyDescent="0.25">
      <c r="A651" s="7">
        <v>0.28157170280220645</v>
      </c>
      <c r="B651"/>
      <c r="C651"/>
      <c r="D651"/>
      <c r="E651"/>
      <c r="F651" s="27" t="s">
        <v>7</v>
      </c>
      <c r="DE651" s="27" t="s">
        <v>8</v>
      </c>
      <c r="EH651" s="27" t="s">
        <v>7</v>
      </c>
      <c r="EI651" s="27" t="s">
        <v>8</v>
      </c>
      <c r="EJ651" s="27" t="s">
        <v>7</v>
      </c>
      <c r="EK651" s="27" t="s">
        <v>8</v>
      </c>
      <c r="EX651" s="27" t="s">
        <v>7</v>
      </c>
      <c r="FA651" s="27" t="s">
        <v>8</v>
      </c>
      <c r="FB651" s="27" t="s">
        <v>7</v>
      </c>
      <c r="GW651" s="27" t="s">
        <v>8</v>
      </c>
      <c r="GX651" s="27" t="s">
        <v>7</v>
      </c>
      <c r="HC651" s="27" t="s">
        <v>8</v>
      </c>
      <c r="HD651" s="27" t="s">
        <v>7</v>
      </c>
      <c r="HW651" s="27" t="s">
        <v>8</v>
      </c>
      <c r="HX651" s="27" t="s">
        <v>7</v>
      </c>
      <c r="HY651" s="27" t="s">
        <v>8</v>
      </c>
      <c r="HZ651" s="27" t="s">
        <v>7</v>
      </c>
      <c r="IA651" s="27" t="s">
        <v>8</v>
      </c>
      <c r="IB651" s="27" t="s">
        <v>7</v>
      </c>
      <c r="IC651" s="27" t="s">
        <v>8</v>
      </c>
      <c r="ID651" s="27" t="s">
        <v>7</v>
      </c>
      <c r="IE651" s="27" t="s">
        <v>8</v>
      </c>
      <c r="IP651" s="27" t="s">
        <v>7</v>
      </c>
      <c r="IQ651" s="27" t="s">
        <v>8</v>
      </c>
      <c r="IR651" s="27" t="s">
        <v>7</v>
      </c>
      <c r="IS651" s="27" t="s">
        <v>8</v>
      </c>
    </row>
    <row r="652" spans="1:265" x14ac:dyDescent="0.25">
      <c r="A652" s="7">
        <v>0.27605068902177105</v>
      </c>
      <c r="B652"/>
      <c r="C652"/>
      <c r="D652"/>
      <c r="E652"/>
      <c r="F652" s="27" t="s">
        <v>7</v>
      </c>
      <c r="DE652" s="27" t="s">
        <v>8</v>
      </c>
      <c r="EH652" s="27" t="s">
        <v>7</v>
      </c>
      <c r="EI652" s="27" t="s">
        <v>8</v>
      </c>
      <c r="EJ652" s="27" t="s">
        <v>7</v>
      </c>
      <c r="EX652" s="27" t="s">
        <v>7</v>
      </c>
      <c r="EY652" s="27" t="s">
        <v>8</v>
      </c>
      <c r="FA652" s="27" t="s">
        <v>8</v>
      </c>
      <c r="FB652" s="27" t="s">
        <v>7</v>
      </c>
      <c r="GS652" s="27" t="s">
        <v>8</v>
      </c>
      <c r="GW652" s="27" t="s">
        <v>8</v>
      </c>
      <c r="GX652" s="27" t="s">
        <v>7</v>
      </c>
      <c r="HC652" s="27" t="s">
        <v>8</v>
      </c>
      <c r="HD652" s="27" t="s">
        <v>7</v>
      </c>
      <c r="HW652" s="27" t="s">
        <v>8</v>
      </c>
      <c r="HX652" s="27" t="s">
        <v>7</v>
      </c>
      <c r="HY652" s="27" t="s">
        <v>8</v>
      </c>
      <c r="HZ652" s="27" t="s">
        <v>7</v>
      </c>
      <c r="IA652" s="27" t="s">
        <v>8</v>
      </c>
      <c r="IB652" s="27" t="s">
        <v>7</v>
      </c>
      <c r="IC652" s="27" t="s">
        <v>8</v>
      </c>
      <c r="ID652" s="27" t="s">
        <v>7</v>
      </c>
      <c r="IE652" s="27" t="s">
        <v>8</v>
      </c>
      <c r="IP652" s="27" t="s">
        <v>7</v>
      </c>
      <c r="IQ652" s="27" t="s">
        <v>8</v>
      </c>
      <c r="IR652" s="27" t="s">
        <v>7</v>
      </c>
      <c r="IS652" s="27" t="s">
        <v>8</v>
      </c>
      <c r="IT652" s="27" t="s">
        <v>7</v>
      </c>
    </row>
    <row r="653" spans="1:265" x14ac:dyDescent="0.25">
      <c r="A653" s="7">
        <v>0.27063793041350104</v>
      </c>
      <c r="B653"/>
      <c r="C653"/>
      <c r="D653"/>
      <c r="E653"/>
      <c r="F653" s="27" t="s">
        <v>7</v>
      </c>
      <c r="DE653" s="27" t="s">
        <v>8</v>
      </c>
      <c r="EH653" s="27" t="s">
        <v>7</v>
      </c>
      <c r="EI653" s="27" t="s">
        <v>8</v>
      </c>
      <c r="EX653" s="27" t="s">
        <v>7</v>
      </c>
      <c r="EY653" s="27" t="s">
        <v>8</v>
      </c>
      <c r="EZ653" s="27" t="s">
        <v>7</v>
      </c>
      <c r="FA653" s="27" t="s">
        <v>8</v>
      </c>
      <c r="FB653" s="27" t="s">
        <v>7</v>
      </c>
      <c r="GQ653" s="27" t="s">
        <v>8</v>
      </c>
      <c r="GS653" s="27" t="s">
        <v>8</v>
      </c>
      <c r="GT653" s="27" t="s">
        <v>7</v>
      </c>
      <c r="GW653" s="27" t="s">
        <v>8</v>
      </c>
      <c r="GX653" s="27" t="s">
        <v>7</v>
      </c>
      <c r="HA653" s="27" t="s">
        <v>8</v>
      </c>
      <c r="HC653" s="27" t="s">
        <v>8</v>
      </c>
      <c r="HD653" s="27" t="s">
        <v>7</v>
      </c>
      <c r="HQ653" s="27" t="s">
        <v>8</v>
      </c>
      <c r="HU653" s="27" t="s">
        <v>8</v>
      </c>
      <c r="HW653" s="27" t="s">
        <v>8</v>
      </c>
      <c r="HX653" s="27" t="s">
        <v>7</v>
      </c>
      <c r="HY653" s="27" t="s">
        <v>8</v>
      </c>
      <c r="HZ653" s="27" t="s">
        <v>7</v>
      </c>
      <c r="IA653" s="27" t="s">
        <v>8</v>
      </c>
      <c r="IB653" s="27" t="s">
        <v>7</v>
      </c>
      <c r="IC653" s="27" t="s">
        <v>8</v>
      </c>
      <c r="ID653" s="27" t="s">
        <v>7</v>
      </c>
      <c r="IE653" s="27" t="s">
        <v>8</v>
      </c>
      <c r="IP653" s="27" t="s">
        <v>7</v>
      </c>
      <c r="IQ653" s="27" t="s">
        <v>8</v>
      </c>
      <c r="IR653" s="27" t="s">
        <v>7</v>
      </c>
      <c r="IS653" s="27" t="s">
        <v>8</v>
      </c>
      <c r="IT653" s="27" t="s">
        <v>7</v>
      </c>
    </row>
    <row r="654" spans="1:265" x14ac:dyDescent="0.25">
      <c r="A654" s="7">
        <v>0.26533130432696184</v>
      </c>
      <c r="B654"/>
      <c r="C654"/>
      <c r="D654"/>
      <c r="E654"/>
      <c r="F654" s="27" t="s">
        <v>7</v>
      </c>
      <c r="CQ654" s="27" t="s">
        <v>8</v>
      </c>
      <c r="DE654" s="27" t="s">
        <v>8</v>
      </c>
      <c r="EH654" s="27" t="s">
        <v>7</v>
      </c>
      <c r="EI654" s="27" t="s">
        <v>8</v>
      </c>
      <c r="EX654" s="27" t="s">
        <v>7</v>
      </c>
      <c r="EY654" s="27" t="s">
        <v>8</v>
      </c>
      <c r="EZ654" s="27" t="s">
        <v>7</v>
      </c>
      <c r="FA654" s="27" t="s">
        <v>8</v>
      </c>
      <c r="FB654" s="27" t="s">
        <v>7</v>
      </c>
      <c r="GQ654" s="27" t="s">
        <v>8</v>
      </c>
      <c r="GR654" s="27" t="s">
        <v>7</v>
      </c>
      <c r="GS654" s="27" t="s">
        <v>8</v>
      </c>
      <c r="GT654" s="27" t="s">
        <v>7</v>
      </c>
      <c r="GW654" s="27" t="s">
        <v>8</v>
      </c>
      <c r="GX654" s="27" t="s">
        <v>7</v>
      </c>
      <c r="HA654" s="27" t="s">
        <v>8</v>
      </c>
      <c r="HB654" s="27" t="s">
        <v>7</v>
      </c>
      <c r="HC654" s="27" t="s">
        <v>8</v>
      </c>
      <c r="HD654" s="27" t="s">
        <v>7</v>
      </c>
      <c r="HO654" s="27" t="s">
        <v>8</v>
      </c>
      <c r="HQ654" s="27" t="s">
        <v>8</v>
      </c>
      <c r="HR654" s="27" t="s">
        <v>7</v>
      </c>
      <c r="HS654" s="27" t="s">
        <v>8</v>
      </c>
      <c r="HU654" s="27" t="s">
        <v>8</v>
      </c>
      <c r="HV654" s="27" t="s">
        <v>7</v>
      </c>
      <c r="HW654" s="27" t="s">
        <v>8</v>
      </c>
      <c r="HX654" s="27" t="s">
        <v>7</v>
      </c>
      <c r="HY654" s="27" t="s">
        <v>8</v>
      </c>
      <c r="HZ654" s="27" t="s">
        <v>7</v>
      </c>
      <c r="IA654" s="27" t="s">
        <v>8</v>
      </c>
      <c r="IB654" s="27" t="s">
        <v>7</v>
      </c>
      <c r="IC654" s="27" t="s">
        <v>8</v>
      </c>
      <c r="ID654" s="27" t="s">
        <v>7</v>
      </c>
      <c r="IP654" s="27" t="s">
        <v>7</v>
      </c>
      <c r="IQ654" s="27" t="s">
        <v>8</v>
      </c>
      <c r="IR654" s="27" t="s">
        <v>7</v>
      </c>
      <c r="IT654" s="27" t="s">
        <v>7</v>
      </c>
    </row>
    <row r="655" spans="1:265" x14ac:dyDescent="0.25">
      <c r="A655" s="7">
        <v>0.26012872973231554</v>
      </c>
      <c r="B655"/>
      <c r="C655"/>
      <c r="D655"/>
      <c r="E655"/>
      <c r="F655" s="27" t="s">
        <v>7</v>
      </c>
      <c r="CQ655" s="27" t="s">
        <v>8</v>
      </c>
      <c r="CR655" s="27" t="s">
        <v>7</v>
      </c>
      <c r="CS655" s="27" t="s">
        <v>8</v>
      </c>
      <c r="DE655" s="27" t="s">
        <v>8</v>
      </c>
      <c r="EH655" s="27" t="s">
        <v>7</v>
      </c>
      <c r="EX655" s="27" t="s">
        <v>7</v>
      </c>
      <c r="EY655" s="27" t="s">
        <v>8</v>
      </c>
      <c r="EZ655" s="27" t="s">
        <v>7</v>
      </c>
      <c r="FA655" s="27" t="s">
        <v>8</v>
      </c>
      <c r="FB655" s="27" t="s">
        <v>7</v>
      </c>
      <c r="GQ655" s="27" t="s">
        <v>8</v>
      </c>
      <c r="GR655" s="27" t="s">
        <v>7</v>
      </c>
      <c r="GS655" s="27" t="s">
        <v>8</v>
      </c>
      <c r="GT655" s="27" t="s">
        <v>7</v>
      </c>
      <c r="GW655" s="27" t="s">
        <v>8</v>
      </c>
      <c r="GX655" s="27" t="s">
        <v>7</v>
      </c>
      <c r="HA655" s="27" t="s">
        <v>8</v>
      </c>
      <c r="HB655" s="27" t="s">
        <v>7</v>
      </c>
      <c r="HC655" s="27" t="s">
        <v>8</v>
      </c>
      <c r="HD655" s="27" t="s">
        <v>7</v>
      </c>
      <c r="HM655" s="27" t="s">
        <v>8</v>
      </c>
      <c r="HO655" s="27" t="s">
        <v>8</v>
      </c>
      <c r="HP655" s="27" t="s">
        <v>7</v>
      </c>
      <c r="HQ655" s="27" t="s">
        <v>8</v>
      </c>
      <c r="HR655" s="27" t="s">
        <v>7</v>
      </c>
      <c r="HS655" s="27" t="s">
        <v>8</v>
      </c>
      <c r="HT655" s="27" t="s">
        <v>7</v>
      </c>
      <c r="HU655" s="27" t="s">
        <v>8</v>
      </c>
      <c r="HV655" s="27" t="s">
        <v>7</v>
      </c>
      <c r="HW655" s="27" t="s">
        <v>8</v>
      </c>
      <c r="HX655" s="27" t="s">
        <v>7</v>
      </c>
      <c r="HY655" s="27" t="s">
        <v>8</v>
      </c>
      <c r="HZ655" s="27" t="s">
        <v>7</v>
      </c>
      <c r="IA655" s="27" t="s">
        <v>8</v>
      </c>
      <c r="IB655" s="27" t="s">
        <v>7</v>
      </c>
      <c r="IC655" s="27" t="s">
        <v>8</v>
      </c>
      <c r="IP655" s="27" t="s">
        <v>7</v>
      </c>
      <c r="IQ655" s="27" t="s">
        <v>8</v>
      </c>
      <c r="IT655" s="27" t="s">
        <v>7</v>
      </c>
      <c r="JA655" s="27" t="s">
        <v>8</v>
      </c>
    </row>
    <row r="656" spans="1:265" x14ac:dyDescent="0.25">
      <c r="A656" s="7">
        <v>0.25502816640423093</v>
      </c>
      <c r="B656"/>
      <c r="C656"/>
      <c r="D656"/>
      <c r="E656"/>
      <c r="F656" s="27" t="s">
        <v>7</v>
      </c>
      <c r="CQ656" s="27" t="s">
        <v>8</v>
      </c>
      <c r="CR656" s="27" t="s">
        <v>7</v>
      </c>
      <c r="CS656" s="27" t="s">
        <v>8</v>
      </c>
      <c r="CT656" s="27" t="s">
        <v>7</v>
      </c>
      <c r="DE656" s="27" t="s">
        <v>8</v>
      </c>
      <c r="EX656" s="27" t="s">
        <v>7</v>
      </c>
      <c r="EY656" s="27" t="s">
        <v>8</v>
      </c>
      <c r="EZ656" s="27" t="s">
        <v>7</v>
      </c>
      <c r="FA656" s="27" t="s">
        <v>8</v>
      </c>
      <c r="FB656" s="27" t="s">
        <v>7</v>
      </c>
      <c r="GO656" s="27" t="s">
        <v>8</v>
      </c>
      <c r="GQ656" s="27" t="s">
        <v>8</v>
      </c>
      <c r="GR656" s="27" t="s">
        <v>7</v>
      </c>
      <c r="GS656" s="27" t="s">
        <v>8</v>
      </c>
      <c r="GT656" s="27" t="s">
        <v>7</v>
      </c>
      <c r="GU656" s="27" t="s">
        <v>8</v>
      </c>
      <c r="GW656" s="27" t="s">
        <v>8</v>
      </c>
      <c r="GX656" s="27" t="s">
        <v>7</v>
      </c>
      <c r="HA656" s="27" t="s">
        <v>8</v>
      </c>
      <c r="HB656" s="27" t="s">
        <v>7</v>
      </c>
      <c r="HC656" s="27" t="s">
        <v>8</v>
      </c>
      <c r="HD656" s="27" t="s">
        <v>7</v>
      </c>
      <c r="HM656" s="27" t="s">
        <v>8</v>
      </c>
      <c r="HN656" s="27" t="s">
        <v>7</v>
      </c>
      <c r="HO656" s="27" t="s">
        <v>8</v>
      </c>
      <c r="HP656" s="27" t="s">
        <v>7</v>
      </c>
      <c r="HQ656" s="27" t="s">
        <v>8</v>
      </c>
      <c r="HR656" s="27" t="s">
        <v>7</v>
      </c>
      <c r="HS656" s="27" t="s">
        <v>8</v>
      </c>
      <c r="HT656" s="27" t="s">
        <v>7</v>
      </c>
      <c r="HU656" s="27" t="s">
        <v>8</v>
      </c>
      <c r="HV656" s="27" t="s">
        <v>7</v>
      </c>
      <c r="HW656" s="27" t="s">
        <v>8</v>
      </c>
      <c r="HX656" s="27" t="s">
        <v>7</v>
      </c>
      <c r="HY656" s="27" t="s">
        <v>8</v>
      </c>
      <c r="HZ656" s="27" t="s">
        <v>7</v>
      </c>
      <c r="IB656" s="27" t="s">
        <v>7</v>
      </c>
      <c r="IC656" s="27" t="s">
        <v>8</v>
      </c>
      <c r="IP656" s="27" t="s">
        <v>7</v>
      </c>
      <c r="IQ656" s="27" t="s">
        <v>8</v>
      </c>
      <c r="IT656" s="27" t="s">
        <v>7</v>
      </c>
      <c r="JA656" s="27" t="s">
        <v>8</v>
      </c>
      <c r="JB656" s="27" t="s">
        <v>7</v>
      </c>
      <c r="JC656" s="27" t="s">
        <v>8</v>
      </c>
      <c r="JE656" s="27" t="s">
        <v>8</v>
      </c>
    </row>
    <row r="657" spans="1:274" x14ac:dyDescent="0.25">
      <c r="A657" s="7">
        <v>0.25002761412179503</v>
      </c>
      <c r="B657"/>
      <c r="C657"/>
      <c r="D657"/>
      <c r="E657"/>
      <c r="F657" s="27" t="s">
        <v>7</v>
      </c>
      <c r="CQ657" s="27" t="s">
        <v>8</v>
      </c>
      <c r="CR657" s="27" t="s">
        <v>7</v>
      </c>
      <c r="CS657" s="27" t="s">
        <v>8</v>
      </c>
      <c r="CT657" s="27" t="s">
        <v>7</v>
      </c>
      <c r="DE657" s="27" t="s">
        <v>8</v>
      </c>
      <c r="EX657" s="27" t="s">
        <v>7</v>
      </c>
      <c r="EY657" s="27" t="s">
        <v>8</v>
      </c>
      <c r="EZ657" s="27" t="s">
        <v>7</v>
      </c>
      <c r="FA657" s="27" t="s">
        <v>8</v>
      </c>
      <c r="FB657" s="27" t="s">
        <v>7</v>
      </c>
      <c r="GO657" s="27" t="s">
        <v>8</v>
      </c>
      <c r="GP657" s="27" t="s">
        <v>7</v>
      </c>
      <c r="GQ657" s="27" t="s">
        <v>8</v>
      </c>
      <c r="GR657" s="27" t="s">
        <v>7</v>
      </c>
      <c r="GT657" s="27" t="s">
        <v>7</v>
      </c>
      <c r="GU657" s="27" t="s">
        <v>8</v>
      </c>
      <c r="GV657" s="27" t="s">
        <v>7</v>
      </c>
      <c r="GW657" s="27" t="s">
        <v>8</v>
      </c>
      <c r="GX657" s="27" t="s">
        <v>7</v>
      </c>
      <c r="HA657" s="27" t="s">
        <v>8</v>
      </c>
      <c r="HB657" s="27" t="s">
        <v>7</v>
      </c>
      <c r="HC657" s="27" t="s">
        <v>8</v>
      </c>
      <c r="HD657" s="27" t="s">
        <v>7</v>
      </c>
      <c r="HM657" s="27" t="s">
        <v>8</v>
      </c>
      <c r="HN657" s="27" t="s">
        <v>7</v>
      </c>
      <c r="HO657" s="27" t="s">
        <v>8</v>
      </c>
      <c r="HP657" s="27" t="s">
        <v>7</v>
      </c>
      <c r="HQ657" s="27" t="s">
        <v>8</v>
      </c>
      <c r="HR657" s="27" t="s">
        <v>7</v>
      </c>
      <c r="HS657" s="27" t="s">
        <v>8</v>
      </c>
      <c r="HT657" s="27" t="s">
        <v>7</v>
      </c>
      <c r="HU657" s="27" t="s">
        <v>8</v>
      </c>
      <c r="HV657" s="27" t="s">
        <v>7</v>
      </c>
      <c r="HW657" s="27" t="s">
        <v>8</v>
      </c>
      <c r="HX657" s="27" t="s">
        <v>7</v>
      </c>
      <c r="IB657" s="27" t="s">
        <v>7</v>
      </c>
      <c r="IC657" s="27" t="s">
        <v>8</v>
      </c>
      <c r="IP657" s="27" t="s">
        <v>7</v>
      </c>
      <c r="IQ657" s="27" t="s">
        <v>8</v>
      </c>
      <c r="IT657" s="27" t="s">
        <v>7</v>
      </c>
      <c r="JA657" s="27" t="s">
        <v>8</v>
      </c>
      <c r="JB657" s="27" t="s">
        <v>7</v>
      </c>
      <c r="JC657" s="27" t="s">
        <v>8</v>
      </c>
      <c r="JD657" s="27" t="s">
        <v>7</v>
      </c>
      <c r="JE657" s="27" t="s">
        <v>8</v>
      </c>
      <c r="JF657" s="27" t="s">
        <v>7</v>
      </c>
    </row>
    <row r="658" spans="1:274" x14ac:dyDescent="0.25">
      <c r="A658" s="7">
        <v>0.24512511188411276</v>
      </c>
      <c r="B658"/>
      <c r="C658"/>
      <c r="D658"/>
      <c r="E658"/>
      <c r="F658" s="27" t="s">
        <v>7</v>
      </c>
      <c r="CQ658" s="27" t="s">
        <v>8</v>
      </c>
      <c r="CR658" s="27" t="s">
        <v>7</v>
      </c>
      <c r="CS658" s="27" t="s">
        <v>8</v>
      </c>
      <c r="CT658" s="27" t="s">
        <v>7</v>
      </c>
      <c r="DE658" s="27" t="s">
        <v>8</v>
      </c>
      <c r="EX658" s="27" t="s">
        <v>7</v>
      </c>
      <c r="EY658" s="27" t="s">
        <v>8</v>
      </c>
      <c r="EZ658" s="27" t="s">
        <v>7</v>
      </c>
      <c r="FA658" s="27" t="s">
        <v>8</v>
      </c>
      <c r="FB658" s="27" t="s">
        <v>7</v>
      </c>
      <c r="GO658" s="27" t="s">
        <v>8</v>
      </c>
      <c r="GP658" s="27" t="s">
        <v>7</v>
      </c>
      <c r="GQ658" s="27" t="s">
        <v>8</v>
      </c>
      <c r="GT658" s="27" t="s">
        <v>7</v>
      </c>
      <c r="GU658" s="27" t="s">
        <v>8</v>
      </c>
      <c r="GV658" s="27" t="s">
        <v>7</v>
      </c>
      <c r="GW658" s="27" t="s">
        <v>8</v>
      </c>
      <c r="GX658" s="27" t="s">
        <v>7</v>
      </c>
      <c r="HA658" s="27" t="s">
        <v>8</v>
      </c>
      <c r="HB658" s="27" t="s">
        <v>7</v>
      </c>
      <c r="HC658" s="27" t="s">
        <v>8</v>
      </c>
      <c r="HD658" s="27" t="s">
        <v>7</v>
      </c>
      <c r="HK658" s="27" t="s">
        <v>8</v>
      </c>
      <c r="HM658" s="27" t="s">
        <v>8</v>
      </c>
      <c r="HN658" s="27" t="s">
        <v>7</v>
      </c>
      <c r="HP658" s="27" t="s">
        <v>7</v>
      </c>
      <c r="HQ658" s="27" t="s">
        <v>8</v>
      </c>
      <c r="HR658" s="27" t="s">
        <v>7</v>
      </c>
      <c r="HS658" s="27" t="s">
        <v>8</v>
      </c>
      <c r="HT658" s="27" t="s">
        <v>7</v>
      </c>
      <c r="HV658" s="27" t="s">
        <v>7</v>
      </c>
      <c r="HW658" s="27" t="s">
        <v>8</v>
      </c>
      <c r="IB658" s="27" t="s">
        <v>7</v>
      </c>
      <c r="IP658" s="27" t="s">
        <v>7</v>
      </c>
      <c r="IQ658" s="27" t="s">
        <v>8</v>
      </c>
      <c r="IT658" s="27" t="s">
        <v>7</v>
      </c>
      <c r="IW658" s="27" t="s">
        <v>8</v>
      </c>
      <c r="JA658" s="27" t="s">
        <v>8</v>
      </c>
      <c r="JB658" s="27" t="s">
        <v>7</v>
      </c>
      <c r="JC658" s="27" t="s">
        <v>8</v>
      </c>
      <c r="JD658" s="27" t="s">
        <v>7</v>
      </c>
      <c r="JE658" s="27" t="s">
        <v>8</v>
      </c>
      <c r="JF658" s="27" t="s">
        <v>7</v>
      </c>
    </row>
    <row r="659" spans="1:274" x14ac:dyDescent="0.25">
      <c r="A659" s="7">
        <v>0.24031873714128701</v>
      </c>
      <c r="B659"/>
      <c r="C659"/>
      <c r="D659"/>
      <c r="E659"/>
      <c r="F659" s="27" t="s">
        <v>7</v>
      </c>
      <c r="CQ659" s="27" t="s">
        <v>8</v>
      </c>
      <c r="CR659" s="27" t="s">
        <v>7</v>
      </c>
      <c r="CS659" s="27" t="s">
        <v>8</v>
      </c>
      <c r="CT659" s="27" t="s">
        <v>7</v>
      </c>
      <c r="DE659" s="27" t="s">
        <v>8</v>
      </c>
      <c r="EX659" s="27" t="s">
        <v>7</v>
      </c>
      <c r="EY659" s="27" t="s">
        <v>8</v>
      </c>
      <c r="EZ659" s="27" t="s">
        <v>7</v>
      </c>
      <c r="FA659" s="27" t="s">
        <v>8</v>
      </c>
      <c r="FB659" s="27" t="s">
        <v>7</v>
      </c>
      <c r="GM659" s="27" t="s">
        <v>8</v>
      </c>
      <c r="GO659" s="27" t="s">
        <v>8</v>
      </c>
      <c r="GP659" s="27" t="s">
        <v>7</v>
      </c>
      <c r="GQ659" s="27" t="s">
        <v>8</v>
      </c>
      <c r="GT659" s="27" t="s">
        <v>7</v>
      </c>
      <c r="GU659" s="27" t="s">
        <v>8</v>
      </c>
      <c r="GV659" s="27" t="s">
        <v>7</v>
      </c>
      <c r="GW659" s="27" t="s">
        <v>8</v>
      </c>
      <c r="GX659" s="27" t="s">
        <v>7</v>
      </c>
      <c r="HA659" s="27" t="s">
        <v>8</v>
      </c>
      <c r="HB659" s="27" t="s">
        <v>7</v>
      </c>
      <c r="HC659" s="27" t="s">
        <v>8</v>
      </c>
      <c r="HD659" s="27" t="s">
        <v>7</v>
      </c>
      <c r="HK659" s="27" t="s">
        <v>8</v>
      </c>
      <c r="HL659" s="27" t="s">
        <v>7</v>
      </c>
      <c r="HM659" s="27" t="s">
        <v>8</v>
      </c>
      <c r="HP659" s="27" t="s">
        <v>7</v>
      </c>
      <c r="HQ659" s="27" t="s">
        <v>8</v>
      </c>
      <c r="HR659" s="27" t="s">
        <v>7</v>
      </c>
      <c r="HS659" s="27" t="s">
        <v>8</v>
      </c>
      <c r="HV659" s="27" t="s">
        <v>7</v>
      </c>
      <c r="HW659" s="27" t="s">
        <v>8</v>
      </c>
      <c r="IP659" s="27" t="s">
        <v>7</v>
      </c>
      <c r="IQ659" s="27" t="s">
        <v>8</v>
      </c>
      <c r="IT659" s="27" t="s">
        <v>7</v>
      </c>
      <c r="IU659" s="27" t="s">
        <v>8</v>
      </c>
      <c r="IW659" s="27" t="s">
        <v>8</v>
      </c>
      <c r="IX659" s="27" t="s">
        <v>7</v>
      </c>
      <c r="IY659" s="27" t="s">
        <v>8</v>
      </c>
      <c r="JA659" s="27" t="s">
        <v>8</v>
      </c>
      <c r="JB659" s="27" t="s">
        <v>7</v>
      </c>
      <c r="JD659" s="27" t="s">
        <v>7</v>
      </c>
      <c r="JF659" s="27" t="s">
        <v>7</v>
      </c>
      <c r="JI659" s="27" t="s">
        <v>8</v>
      </c>
    </row>
    <row r="660" spans="1:274" x14ac:dyDescent="0.25">
      <c r="A660" s="7">
        <v>0.23560660504047748</v>
      </c>
      <c r="B660"/>
      <c r="C660"/>
      <c r="D660"/>
      <c r="E660"/>
      <c r="F660" s="27" t="s">
        <v>7</v>
      </c>
      <c r="CQ660" s="27" t="s">
        <v>8</v>
      </c>
      <c r="CR660" s="27" t="s">
        <v>7</v>
      </c>
      <c r="CS660" s="27" t="s">
        <v>8</v>
      </c>
      <c r="CT660" s="27" t="s">
        <v>7</v>
      </c>
      <c r="DC660" s="27" t="s">
        <v>8</v>
      </c>
      <c r="DE660" s="27" t="s">
        <v>8</v>
      </c>
      <c r="EX660" s="27" t="s">
        <v>7</v>
      </c>
      <c r="EY660" s="27" t="s">
        <v>8</v>
      </c>
      <c r="EZ660" s="27" t="s">
        <v>7</v>
      </c>
      <c r="FA660" s="27" t="s">
        <v>8</v>
      </c>
      <c r="FB660" s="27" t="s">
        <v>7</v>
      </c>
      <c r="FC660" s="27" t="s">
        <v>8</v>
      </c>
      <c r="FE660" s="27" t="s">
        <v>8</v>
      </c>
      <c r="FI660" s="27" t="s">
        <v>8</v>
      </c>
      <c r="GM660" s="27" t="s">
        <v>8</v>
      </c>
      <c r="GN660" s="27" t="s">
        <v>7</v>
      </c>
      <c r="GO660" s="27" t="s">
        <v>8</v>
      </c>
      <c r="GP660" s="27" t="s">
        <v>7</v>
      </c>
      <c r="GQ660" s="27" t="s">
        <v>8</v>
      </c>
      <c r="GT660" s="27" t="s">
        <v>7</v>
      </c>
      <c r="GU660" s="27" t="s">
        <v>8</v>
      </c>
      <c r="GV660" s="27" t="s">
        <v>7</v>
      </c>
      <c r="GX660" s="27" t="s">
        <v>7</v>
      </c>
      <c r="HA660" s="27" t="s">
        <v>8</v>
      </c>
      <c r="HB660" s="27" t="s">
        <v>7</v>
      </c>
      <c r="HC660" s="27" t="s">
        <v>8</v>
      </c>
      <c r="HD660" s="27" t="s">
        <v>7</v>
      </c>
      <c r="HK660" s="27" t="s">
        <v>8</v>
      </c>
      <c r="HL660" s="27" t="s">
        <v>7</v>
      </c>
      <c r="HM660" s="27" t="s">
        <v>8</v>
      </c>
      <c r="HP660" s="27" t="s">
        <v>7</v>
      </c>
      <c r="HQ660" s="27" t="s">
        <v>8</v>
      </c>
      <c r="HR660" s="27" t="s">
        <v>7</v>
      </c>
      <c r="HV660" s="27" t="s">
        <v>7</v>
      </c>
      <c r="HW660" s="27" t="s">
        <v>8</v>
      </c>
      <c r="IP660" s="27" t="s">
        <v>7</v>
      </c>
      <c r="IQ660" s="27" t="s">
        <v>8</v>
      </c>
      <c r="IT660" s="27" t="s">
        <v>7</v>
      </c>
      <c r="IU660" s="27" t="s">
        <v>8</v>
      </c>
      <c r="IV660" s="27" t="s">
        <v>7</v>
      </c>
      <c r="IW660" s="27" t="s">
        <v>8</v>
      </c>
      <c r="IX660" s="27" t="s">
        <v>7</v>
      </c>
      <c r="IY660" s="27" t="s">
        <v>8</v>
      </c>
      <c r="IZ660" s="27" t="s">
        <v>7</v>
      </c>
      <c r="JA660" s="27" t="s">
        <v>8</v>
      </c>
      <c r="JF660" s="27" t="s">
        <v>7</v>
      </c>
      <c r="JI660" s="27" t="s">
        <v>8</v>
      </c>
      <c r="JJ660" s="27" t="s">
        <v>7</v>
      </c>
    </row>
    <row r="661" spans="1:274" x14ac:dyDescent="0.25">
      <c r="A661" s="7">
        <v>0.23098686768674265</v>
      </c>
      <c r="B661"/>
      <c r="C661"/>
      <c r="D661"/>
      <c r="E661"/>
      <c r="F661" s="27" t="s">
        <v>7</v>
      </c>
      <c r="CQ661" s="27" t="s">
        <v>8</v>
      </c>
      <c r="CR661" s="27" t="s">
        <v>7</v>
      </c>
      <c r="CS661" s="27" t="s">
        <v>8</v>
      </c>
      <c r="CT661" s="27" t="s">
        <v>7</v>
      </c>
      <c r="DC661" s="27" t="s">
        <v>8</v>
      </c>
      <c r="DD661" s="27" t="s">
        <v>7</v>
      </c>
      <c r="DE661" s="27" t="s">
        <v>8</v>
      </c>
      <c r="EX661" s="27" t="s">
        <v>7</v>
      </c>
      <c r="EY661" s="27" t="s">
        <v>8</v>
      </c>
      <c r="EZ661" s="27" t="s">
        <v>7</v>
      </c>
      <c r="FA661" s="27" t="s">
        <v>8</v>
      </c>
      <c r="FB661" s="27" t="s">
        <v>7</v>
      </c>
      <c r="FC661" s="27" t="s">
        <v>8</v>
      </c>
      <c r="FD661" s="27" t="s">
        <v>7</v>
      </c>
      <c r="FE661" s="27" t="s">
        <v>8</v>
      </c>
      <c r="FF661" s="27" t="s">
        <v>7</v>
      </c>
      <c r="FI661" s="27" t="s">
        <v>8</v>
      </c>
      <c r="FJ661" s="27" t="s">
        <v>7</v>
      </c>
      <c r="FM661" s="27" t="s">
        <v>8</v>
      </c>
      <c r="GM661" s="27" t="s">
        <v>8</v>
      </c>
      <c r="GN661" s="27" t="s">
        <v>7</v>
      </c>
      <c r="GO661" s="27" t="s">
        <v>8</v>
      </c>
      <c r="GP661" s="27" t="s">
        <v>7</v>
      </c>
      <c r="GQ661" s="27" t="s">
        <v>8</v>
      </c>
      <c r="GT661" s="27" t="s">
        <v>7</v>
      </c>
      <c r="GU661" s="27" t="s">
        <v>8</v>
      </c>
      <c r="GX661" s="27" t="s">
        <v>7</v>
      </c>
      <c r="GY661" s="27" t="s">
        <v>8</v>
      </c>
      <c r="HA661" s="27" t="s">
        <v>8</v>
      </c>
      <c r="HB661" s="27" t="s">
        <v>7</v>
      </c>
      <c r="HC661" s="27" t="s">
        <v>8</v>
      </c>
      <c r="HD661" s="27" t="s">
        <v>7</v>
      </c>
      <c r="HE661" s="27" t="s">
        <v>8</v>
      </c>
      <c r="HK661" s="27" t="s">
        <v>8</v>
      </c>
      <c r="HL661" s="27" t="s">
        <v>7</v>
      </c>
      <c r="HM661" s="27" t="s">
        <v>8</v>
      </c>
      <c r="HP661" s="27" t="s">
        <v>7</v>
      </c>
      <c r="HQ661" s="27" t="s">
        <v>8</v>
      </c>
      <c r="HV661" s="27" t="s">
        <v>7</v>
      </c>
      <c r="HW661" s="27" t="s">
        <v>8</v>
      </c>
      <c r="IP661" s="27" t="s">
        <v>7</v>
      </c>
      <c r="IQ661" s="27" t="s">
        <v>8</v>
      </c>
      <c r="IT661" s="27" t="s">
        <v>7</v>
      </c>
      <c r="IU661" s="27" t="s">
        <v>8</v>
      </c>
      <c r="IV661" s="27" t="s">
        <v>7</v>
      </c>
      <c r="IW661" s="27" t="s">
        <v>8</v>
      </c>
      <c r="IX661" s="27" t="s">
        <v>7</v>
      </c>
      <c r="IY661" s="27" t="s">
        <v>8</v>
      </c>
      <c r="IZ661" s="27" t="s">
        <v>7</v>
      </c>
      <c r="JA661" s="27" t="s">
        <v>8</v>
      </c>
      <c r="JF661" s="27" t="s">
        <v>7</v>
      </c>
      <c r="JG661" s="27" t="s">
        <v>8</v>
      </c>
      <c r="JI661" s="27" t="s">
        <v>8</v>
      </c>
      <c r="JJ661" s="27" t="s">
        <v>7</v>
      </c>
    </row>
    <row r="662" spans="1:274" x14ac:dyDescent="0.25">
      <c r="A662" s="7">
        <v>0.22645771341837515</v>
      </c>
      <c r="B662"/>
      <c r="C662"/>
      <c r="D662"/>
      <c r="E662"/>
      <c r="F662" s="27" t="s">
        <v>7</v>
      </c>
      <c r="CO662" s="27" t="s">
        <v>8</v>
      </c>
      <c r="CQ662" s="27" t="s">
        <v>8</v>
      </c>
      <c r="CR662" s="27" t="s">
        <v>7</v>
      </c>
      <c r="CS662" s="27" t="s">
        <v>8</v>
      </c>
      <c r="CT662" s="27" t="s">
        <v>7</v>
      </c>
      <c r="DC662" s="27" t="s">
        <v>8</v>
      </c>
      <c r="DD662" s="27" t="s">
        <v>7</v>
      </c>
      <c r="DE662" s="27" t="s">
        <v>8</v>
      </c>
      <c r="EX662" s="27" t="s">
        <v>7</v>
      </c>
      <c r="EY662" s="27" t="s">
        <v>8</v>
      </c>
      <c r="EZ662" s="27" t="s">
        <v>7</v>
      </c>
      <c r="FA662" s="27" t="s">
        <v>8</v>
      </c>
      <c r="FB662" s="27" t="s">
        <v>7</v>
      </c>
      <c r="FC662" s="27" t="s">
        <v>8</v>
      </c>
      <c r="FD662" s="27" t="s">
        <v>7</v>
      </c>
      <c r="FE662" s="27" t="s">
        <v>8</v>
      </c>
      <c r="FF662" s="27" t="s">
        <v>7</v>
      </c>
      <c r="FI662" s="27" t="s">
        <v>8</v>
      </c>
      <c r="FJ662" s="27" t="s">
        <v>7</v>
      </c>
      <c r="FM662" s="27" t="s">
        <v>8</v>
      </c>
      <c r="FN662" s="27" t="s">
        <v>7</v>
      </c>
      <c r="GM662" s="27" t="s">
        <v>8</v>
      </c>
      <c r="GN662" s="27" t="s">
        <v>7</v>
      </c>
      <c r="GO662" s="27" t="s">
        <v>8</v>
      </c>
      <c r="GP662" s="27" t="s">
        <v>7</v>
      </c>
      <c r="GQ662" s="27" t="s">
        <v>8</v>
      </c>
      <c r="GT662" s="27" t="s">
        <v>7</v>
      </c>
      <c r="GU662" s="27" t="s">
        <v>8</v>
      </c>
      <c r="GX662" s="27" t="s">
        <v>7</v>
      </c>
      <c r="GY662" s="27" t="s">
        <v>8</v>
      </c>
      <c r="GZ662" s="27" t="s">
        <v>7</v>
      </c>
      <c r="HA662" s="27" t="s">
        <v>8</v>
      </c>
      <c r="HB662" s="27" t="s">
        <v>7</v>
      </c>
      <c r="HD662" s="27" t="s">
        <v>7</v>
      </c>
      <c r="HE662" s="27" t="s">
        <v>8</v>
      </c>
      <c r="HF662" s="27" t="s">
        <v>7</v>
      </c>
      <c r="HK662" s="27" t="s">
        <v>8</v>
      </c>
      <c r="HL662" s="27" t="s">
        <v>7</v>
      </c>
      <c r="HM662" s="27" t="s">
        <v>8</v>
      </c>
      <c r="HP662" s="27" t="s">
        <v>7</v>
      </c>
      <c r="HQ662" s="27" t="s">
        <v>8</v>
      </c>
      <c r="HV662" s="27" t="s">
        <v>7</v>
      </c>
      <c r="HW662" s="27" t="s">
        <v>8</v>
      </c>
      <c r="IP662" s="27" t="s">
        <v>7</v>
      </c>
      <c r="IQ662" s="27" t="s">
        <v>8</v>
      </c>
      <c r="IT662" s="27" t="s">
        <v>7</v>
      </c>
      <c r="IU662" s="27" t="s">
        <v>8</v>
      </c>
      <c r="IV662" s="27" t="s">
        <v>7</v>
      </c>
      <c r="IW662" s="27" t="s">
        <v>8</v>
      </c>
      <c r="IX662" s="27" t="s">
        <v>7</v>
      </c>
      <c r="IY662" s="27" t="s">
        <v>8</v>
      </c>
      <c r="IZ662" s="27" t="s">
        <v>7</v>
      </c>
      <c r="JA662" s="27" t="s">
        <v>8</v>
      </c>
      <c r="JF662" s="27" t="s">
        <v>7</v>
      </c>
      <c r="JG662" s="27" t="s">
        <v>8</v>
      </c>
      <c r="JH662" s="27" t="s">
        <v>7</v>
      </c>
      <c r="JI662" s="27" t="s">
        <v>8</v>
      </c>
      <c r="JJ662" s="27" t="s">
        <v>7</v>
      </c>
    </row>
    <row r="663" spans="1:274" x14ac:dyDescent="0.25">
      <c r="A663" s="7">
        <v>0.22201736609644623</v>
      </c>
      <c r="B663"/>
      <c r="C663"/>
      <c r="D663"/>
      <c r="E663"/>
      <c r="F663" s="27" t="s">
        <v>7</v>
      </c>
      <c r="CO663" s="27" t="s">
        <v>8</v>
      </c>
      <c r="CP663" s="27" t="s">
        <v>7</v>
      </c>
      <c r="CQ663" s="27" t="s">
        <v>8</v>
      </c>
      <c r="CR663" s="27" t="s">
        <v>7</v>
      </c>
      <c r="CS663" s="27" t="s">
        <v>8</v>
      </c>
      <c r="CT663" s="27" t="s">
        <v>7</v>
      </c>
      <c r="DC663" s="27" t="s">
        <v>8</v>
      </c>
      <c r="DD663" s="27" t="s">
        <v>7</v>
      </c>
      <c r="DE663" s="27" t="s">
        <v>8</v>
      </c>
      <c r="EX663" s="27" t="s">
        <v>7</v>
      </c>
      <c r="EY663" s="27" t="s">
        <v>8</v>
      </c>
      <c r="EZ663" s="27" t="s">
        <v>7</v>
      </c>
      <c r="FA663" s="27" t="s">
        <v>8</v>
      </c>
      <c r="FB663" s="27" t="s">
        <v>7</v>
      </c>
      <c r="FC663" s="27" t="s">
        <v>8</v>
      </c>
      <c r="FD663" s="27" t="s">
        <v>7</v>
      </c>
      <c r="FE663" s="27" t="s">
        <v>8</v>
      </c>
      <c r="FF663" s="27" t="s">
        <v>7</v>
      </c>
      <c r="FI663" s="27" t="s">
        <v>8</v>
      </c>
      <c r="FJ663" s="27" t="s">
        <v>7</v>
      </c>
      <c r="FM663" s="27" t="s">
        <v>8</v>
      </c>
      <c r="FN663" s="27" t="s">
        <v>7</v>
      </c>
      <c r="GM663" s="27" t="s">
        <v>8</v>
      </c>
      <c r="GN663" s="27" t="s">
        <v>7</v>
      </c>
      <c r="GP663" s="27" t="s">
        <v>7</v>
      </c>
      <c r="GQ663" s="27" t="s">
        <v>8</v>
      </c>
      <c r="GT663" s="27" t="s">
        <v>7</v>
      </c>
      <c r="GU663" s="27" t="s">
        <v>8</v>
      </c>
      <c r="GX663" s="27" t="s">
        <v>7</v>
      </c>
      <c r="GY663" s="27" t="s">
        <v>8</v>
      </c>
      <c r="GZ663" s="27" t="s">
        <v>7</v>
      </c>
      <c r="HA663" s="27" t="s">
        <v>8</v>
      </c>
      <c r="HD663" s="27" t="s">
        <v>7</v>
      </c>
      <c r="HE663" s="27" t="s">
        <v>8</v>
      </c>
      <c r="HF663" s="27" t="s">
        <v>7</v>
      </c>
      <c r="HG663" s="27" t="s">
        <v>8</v>
      </c>
      <c r="HK663" s="27" t="s">
        <v>8</v>
      </c>
      <c r="HL663" s="27" t="s">
        <v>7</v>
      </c>
      <c r="HP663" s="27" t="s">
        <v>7</v>
      </c>
      <c r="HQ663" s="27" t="s">
        <v>8</v>
      </c>
      <c r="HV663" s="27" t="s">
        <v>7</v>
      </c>
      <c r="HW663" s="27" t="s">
        <v>8</v>
      </c>
      <c r="IP663" s="27" t="s">
        <v>7</v>
      </c>
      <c r="IQ663" s="27" t="s">
        <v>8</v>
      </c>
      <c r="IT663" s="27" t="s">
        <v>7</v>
      </c>
      <c r="IV663" s="27" t="s">
        <v>7</v>
      </c>
      <c r="IW663" s="27" t="s">
        <v>8</v>
      </c>
      <c r="IX663" s="27" t="s">
        <v>7</v>
      </c>
      <c r="IZ663" s="27" t="s">
        <v>7</v>
      </c>
      <c r="JA663" s="27" t="s">
        <v>8</v>
      </c>
      <c r="JF663" s="27" t="s">
        <v>7</v>
      </c>
      <c r="JG663" s="27" t="s">
        <v>8</v>
      </c>
      <c r="JH663" s="27" t="s">
        <v>7</v>
      </c>
      <c r="JI663" s="27" t="s">
        <v>8</v>
      </c>
      <c r="JJ663" s="27" t="s">
        <v>7</v>
      </c>
    </row>
    <row r="664" spans="1:274" x14ac:dyDescent="0.25">
      <c r="A664" s="7">
        <v>0.21766408440828061</v>
      </c>
      <c r="B664"/>
      <c r="C664"/>
      <c r="D664"/>
      <c r="E664"/>
      <c r="F664" s="27" t="s">
        <v>7</v>
      </c>
      <c r="CO664" s="27" t="s">
        <v>8</v>
      </c>
      <c r="CP664" s="27" t="s">
        <v>7</v>
      </c>
      <c r="CQ664" s="27" t="s">
        <v>8</v>
      </c>
      <c r="CR664" s="27" t="s">
        <v>7</v>
      </c>
      <c r="CS664" s="27" t="s">
        <v>8</v>
      </c>
      <c r="CT664" s="27" t="s">
        <v>7</v>
      </c>
      <c r="DC664" s="27" t="s">
        <v>8</v>
      </c>
      <c r="DD664" s="27" t="s">
        <v>7</v>
      </c>
      <c r="DE664" s="27" t="s">
        <v>8</v>
      </c>
      <c r="EX664" s="27" t="s">
        <v>7</v>
      </c>
      <c r="EY664" s="27" t="s">
        <v>8</v>
      </c>
      <c r="EZ664" s="27" t="s">
        <v>7</v>
      </c>
      <c r="FA664" s="27" t="s">
        <v>8</v>
      </c>
      <c r="FB664" s="27" t="s">
        <v>7</v>
      </c>
      <c r="FC664" s="27" t="s">
        <v>8</v>
      </c>
      <c r="FD664" s="27" t="s">
        <v>7</v>
      </c>
      <c r="FE664" s="27" t="s">
        <v>8</v>
      </c>
      <c r="FF664" s="27" t="s">
        <v>7</v>
      </c>
      <c r="FI664" s="27" t="s">
        <v>8</v>
      </c>
      <c r="FJ664" s="27" t="s">
        <v>7</v>
      </c>
      <c r="FM664" s="27" t="s">
        <v>8</v>
      </c>
      <c r="FN664" s="27" t="s">
        <v>7</v>
      </c>
      <c r="GM664" s="27" t="s">
        <v>8</v>
      </c>
      <c r="GP664" s="27" t="s">
        <v>7</v>
      </c>
      <c r="GQ664" s="27" t="s">
        <v>8</v>
      </c>
      <c r="GT664" s="27" t="s">
        <v>7</v>
      </c>
      <c r="GX664" s="27" t="s">
        <v>7</v>
      </c>
      <c r="GY664" s="27" t="s">
        <v>8</v>
      </c>
      <c r="GZ664" s="27" t="s">
        <v>7</v>
      </c>
      <c r="HA664" s="27" t="s">
        <v>8</v>
      </c>
      <c r="HD664" s="27" t="s">
        <v>7</v>
      </c>
      <c r="HE664" s="27" t="s">
        <v>8</v>
      </c>
      <c r="HF664" s="27" t="s">
        <v>7</v>
      </c>
      <c r="HG664" s="27" t="s">
        <v>8</v>
      </c>
      <c r="HH664" s="27" t="s">
        <v>7</v>
      </c>
      <c r="HI664" s="27" t="s">
        <v>8</v>
      </c>
      <c r="HK664" s="27" t="s">
        <v>8</v>
      </c>
      <c r="HP664" s="27" t="s">
        <v>7</v>
      </c>
      <c r="HV664" s="27" t="s">
        <v>7</v>
      </c>
      <c r="IP664" s="27" t="s">
        <v>7</v>
      </c>
      <c r="IQ664" s="27" t="s">
        <v>8</v>
      </c>
      <c r="IV664" s="27" t="s">
        <v>7</v>
      </c>
      <c r="IZ664" s="27" t="s">
        <v>7</v>
      </c>
      <c r="JF664" s="27" t="s">
        <v>7</v>
      </c>
      <c r="JG664" s="27" t="s">
        <v>8</v>
      </c>
      <c r="JH664" s="27" t="s">
        <v>7</v>
      </c>
      <c r="JJ664" s="27" t="s">
        <v>7</v>
      </c>
    </row>
    <row r="665" spans="1:274" x14ac:dyDescent="0.25">
      <c r="A665" s="7">
        <v>0.21339616118458882</v>
      </c>
      <c r="B665"/>
      <c r="C665"/>
      <c r="D665"/>
      <c r="E665"/>
      <c r="F665" s="27" t="s">
        <v>7</v>
      </c>
      <c r="CO665" s="27" t="s">
        <v>8</v>
      </c>
      <c r="CP665" s="27" t="s">
        <v>7</v>
      </c>
      <c r="CQ665" s="27" t="s">
        <v>8</v>
      </c>
      <c r="CR665" s="27" t="s">
        <v>7</v>
      </c>
      <c r="CS665" s="27" t="s">
        <v>8</v>
      </c>
      <c r="CT665" s="27" t="s">
        <v>7</v>
      </c>
      <c r="CU665" s="27" t="s">
        <v>8</v>
      </c>
      <c r="CW665" s="27" t="s">
        <v>8</v>
      </c>
      <c r="DC665" s="27" t="s">
        <v>8</v>
      </c>
      <c r="DD665" s="27" t="s">
        <v>7</v>
      </c>
      <c r="DE665" s="27" t="s">
        <v>8</v>
      </c>
      <c r="EX665" s="27" t="s">
        <v>7</v>
      </c>
      <c r="EY665" s="27" t="s">
        <v>8</v>
      </c>
      <c r="EZ665" s="27" t="s">
        <v>7</v>
      </c>
      <c r="FA665" s="27" t="s">
        <v>8</v>
      </c>
      <c r="FB665" s="27" t="s">
        <v>7</v>
      </c>
      <c r="FC665" s="27" t="s">
        <v>8</v>
      </c>
      <c r="FD665" s="27" t="s">
        <v>7</v>
      </c>
      <c r="FE665" s="27" t="s">
        <v>8</v>
      </c>
      <c r="FF665" s="27" t="s">
        <v>7</v>
      </c>
      <c r="FG665" s="27" t="s">
        <v>8</v>
      </c>
      <c r="FI665" s="27" t="s">
        <v>8</v>
      </c>
      <c r="FJ665" s="27" t="s">
        <v>7</v>
      </c>
      <c r="FM665" s="27" t="s">
        <v>8</v>
      </c>
      <c r="FN665" s="27" t="s">
        <v>7</v>
      </c>
      <c r="GM665" s="27" t="s">
        <v>8</v>
      </c>
      <c r="GP665" s="27" t="s">
        <v>7</v>
      </c>
      <c r="GQ665" s="27" t="s">
        <v>8</v>
      </c>
      <c r="GX665" s="27" t="s">
        <v>7</v>
      </c>
      <c r="GY665" s="27" t="s">
        <v>8</v>
      </c>
      <c r="GZ665" s="27" t="s">
        <v>7</v>
      </c>
      <c r="HA665" s="27" t="s">
        <v>8</v>
      </c>
      <c r="HD665" s="27" t="s">
        <v>7</v>
      </c>
      <c r="HE665" s="27" t="s">
        <v>8</v>
      </c>
      <c r="HF665" s="27" t="s">
        <v>7</v>
      </c>
      <c r="HG665" s="27" t="s">
        <v>8</v>
      </c>
      <c r="HH665" s="27" t="s">
        <v>7</v>
      </c>
      <c r="HI665" s="27" t="s">
        <v>8</v>
      </c>
      <c r="HJ665" s="27" t="s">
        <v>7</v>
      </c>
      <c r="HK665" s="27" t="s">
        <v>8</v>
      </c>
      <c r="IP665" s="27" t="s">
        <v>7</v>
      </c>
      <c r="IQ665" s="27" t="s">
        <v>8</v>
      </c>
      <c r="JF665" s="27" t="s">
        <v>7</v>
      </c>
      <c r="JG665" s="27" t="s">
        <v>8</v>
      </c>
      <c r="JJ665" s="27" t="s">
        <v>7</v>
      </c>
    </row>
    <row r="666" spans="1:274" x14ac:dyDescent="0.25">
      <c r="A666" s="7">
        <v>0.20921192272998904</v>
      </c>
      <c r="B666"/>
      <c r="C666"/>
      <c r="D666"/>
      <c r="E666"/>
      <c r="F666" s="27" t="s">
        <v>7</v>
      </c>
      <c r="CO666" s="27" t="s">
        <v>8</v>
      </c>
      <c r="CP666" s="27" t="s">
        <v>7</v>
      </c>
      <c r="CQ666" s="27" t="s">
        <v>8</v>
      </c>
      <c r="CR666" s="27" t="s">
        <v>7</v>
      </c>
      <c r="CS666" s="27" t="s">
        <v>8</v>
      </c>
      <c r="CT666" s="27" t="s">
        <v>7</v>
      </c>
      <c r="CU666" s="27" t="s">
        <v>8</v>
      </c>
      <c r="CV666" s="27" t="s">
        <v>7</v>
      </c>
      <c r="CW666" s="27" t="s">
        <v>8</v>
      </c>
      <c r="CX666" s="27" t="s">
        <v>7</v>
      </c>
      <c r="DC666" s="27" t="s">
        <v>8</v>
      </c>
      <c r="DD666" s="27" t="s">
        <v>7</v>
      </c>
      <c r="DE666" s="27" t="s">
        <v>8</v>
      </c>
      <c r="EX666" s="27" t="s">
        <v>7</v>
      </c>
      <c r="EY666" s="27" t="s">
        <v>8</v>
      </c>
      <c r="EZ666" s="27" t="s">
        <v>7</v>
      </c>
      <c r="FA666" s="27" t="s">
        <v>8</v>
      </c>
      <c r="FB666" s="27" t="s">
        <v>7</v>
      </c>
      <c r="FC666" s="27" t="s">
        <v>8</v>
      </c>
      <c r="FD666" s="27" t="s">
        <v>7</v>
      </c>
      <c r="FE666" s="27" t="s">
        <v>8</v>
      </c>
      <c r="FF666" s="27" t="s">
        <v>7</v>
      </c>
      <c r="FG666" s="27" t="s">
        <v>8</v>
      </c>
      <c r="FH666" s="27" t="s">
        <v>7</v>
      </c>
      <c r="FI666" s="27" t="s">
        <v>8</v>
      </c>
      <c r="FJ666" s="27" t="s">
        <v>7</v>
      </c>
      <c r="FM666" s="27" t="s">
        <v>8</v>
      </c>
      <c r="FN666" s="27" t="s">
        <v>7</v>
      </c>
      <c r="GM666" s="27" t="s">
        <v>8</v>
      </c>
      <c r="GP666" s="27" t="s">
        <v>7</v>
      </c>
      <c r="GX666" s="27" t="s">
        <v>7</v>
      </c>
      <c r="GY666" s="27" t="s">
        <v>8</v>
      </c>
      <c r="GZ666" s="27" t="s">
        <v>7</v>
      </c>
      <c r="HA666" s="27" t="s">
        <v>8</v>
      </c>
      <c r="HD666" s="27" t="s">
        <v>7</v>
      </c>
      <c r="HE666" s="27" t="s">
        <v>8</v>
      </c>
      <c r="HF666" s="27" t="s">
        <v>7</v>
      </c>
      <c r="HG666" s="27" t="s">
        <v>8</v>
      </c>
      <c r="HH666" s="27" t="s">
        <v>7</v>
      </c>
      <c r="HI666" s="27" t="s">
        <v>8</v>
      </c>
      <c r="HJ666" s="27" t="s">
        <v>7</v>
      </c>
      <c r="HK666" s="27" t="s">
        <v>8</v>
      </c>
      <c r="IP666" s="27" t="s">
        <v>7</v>
      </c>
      <c r="IQ666" s="27" t="s">
        <v>8</v>
      </c>
      <c r="JF666" s="27" t="s">
        <v>7</v>
      </c>
      <c r="JJ666" s="27" t="s">
        <v>7</v>
      </c>
    </row>
    <row r="667" spans="1:274" x14ac:dyDescent="0.25">
      <c r="A667" s="7">
        <v>0.20510972816665593</v>
      </c>
      <c r="B667"/>
      <c r="C667"/>
      <c r="D667"/>
      <c r="E667"/>
      <c r="F667" s="27" t="s">
        <v>7</v>
      </c>
      <c r="M667" s="27" t="s">
        <v>8</v>
      </c>
      <c r="CO667" s="27" t="s">
        <v>8</v>
      </c>
      <c r="CP667" s="27" t="s">
        <v>7</v>
      </c>
      <c r="CQ667" s="27" t="s">
        <v>8</v>
      </c>
      <c r="CR667" s="27" t="s">
        <v>7</v>
      </c>
      <c r="CS667" s="27" t="s">
        <v>8</v>
      </c>
      <c r="CT667" s="27" t="s">
        <v>7</v>
      </c>
      <c r="CU667" s="27" t="s">
        <v>8</v>
      </c>
      <c r="CV667" s="27" t="s">
        <v>7</v>
      </c>
      <c r="CW667" s="27" t="s">
        <v>8</v>
      </c>
      <c r="CX667" s="27" t="s">
        <v>7</v>
      </c>
      <c r="DC667" s="27" t="s">
        <v>8</v>
      </c>
      <c r="DD667" s="27" t="s">
        <v>7</v>
      </c>
      <c r="EX667" s="27" t="s">
        <v>7</v>
      </c>
      <c r="EY667" s="27" t="s">
        <v>8</v>
      </c>
      <c r="EZ667" s="27" t="s">
        <v>7</v>
      </c>
      <c r="FA667" s="27" t="s">
        <v>8</v>
      </c>
      <c r="FB667" s="27" t="s">
        <v>7</v>
      </c>
      <c r="FC667" s="27" t="s">
        <v>8</v>
      </c>
      <c r="FD667" s="27" t="s">
        <v>7</v>
      </c>
      <c r="FF667" s="27" t="s">
        <v>7</v>
      </c>
      <c r="FG667" s="27" t="s">
        <v>8</v>
      </c>
      <c r="FH667" s="27" t="s">
        <v>7</v>
      </c>
      <c r="FI667" s="27" t="s">
        <v>8</v>
      </c>
      <c r="FJ667" s="27" t="s">
        <v>7</v>
      </c>
      <c r="FM667" s="27" t="s">
        <v>8</v>
      </c>
      <c r="FN667" s="27" t="s">
        <v>7</v>
      </c>
      <c r="GM667" s="27" t="s">
        <v>8</v>
      </c>
      <c r="GX667" s="27" t="s">
        <v>7</v>
      </c>
      <c r="GY667" s="27" t="s">
        <v>8</v>
      </c>
      <c r="GZ667" s="27" t="s">
        <v>7</v>
      </c>
      <c r="HD667" s="27" t="s">
        <v>7</v>
      </c>
      <c r="HE667" s="27" t="s">
        <v>8</v>
      </c>
      <c r="HF667" s="27" t="s">
        <v>7</v>
      </c>
      <c r="HG667" s="27" t="s">
        <v>8</v>
      </c>
      <c r="HH667" s="27" t="s">
        <v>7</v>
      </c>
      <c r="HI667" s="27" t="s">
        <v>8</v>
      </c>
      <c r="HJ667" s="27" t="s">
        <v>7</v>
      </c>
      <c r="HK667" s="27" t="s">
        <v>8</v>
      </c>
      <c r="IP667" s="27" t="s">
        <v>7</v>
      </c>
      <c r="IQ667" s="27" t="s">
        <v>8</v>
      </c>
      <c r="JJ667" s="27" t="s">
        <v>7</v>
      </c>
    </row>
    <row r="668" spans="1:274" x14ac:dyDescent="0.25">
      <c r="A668" s="7">
        <v>0.20108796879083912</v>
      </c>
      <c r="B668"/>
      <c r="C668"/>
      <c r="D668"/>
      <c r="E668"/>
      <c r="F668" s="27" t="s">
        <v>7</v>
      </c>
      <c r="M668" s="27" t="s">
        <v>8</v>
      </c>
      <c r="N668" s="27" t="s">
        <v>7</v>
      </c>
      <c r="CO668" s="27" t="s">
        <v>8</v>
      </c>
      <c r="CP668" s="27" t="s">
        <v>7</v>
      </c>
      <c r="CQ668" s="27" t="s">
        <v>8</v>
      </c>
      <c r="CR668" s="27" t="s">
        <v>7</v>
      </c>
      <c r="CS668" s="27" t="s">
        <v>8</v>
      </c>
      <c r="CT668" s="27" t="s">
        <v>7</v>
      </c>
      <c r="CU668" s="27" t="s">
        <v>8</v>
      </c>
      <c r="CV668" s="27" t="s">
        <v>7</v>
      </c>
      <c r="CW668" s="27" t="s">
        <v>8</v>
      </c>
      <c r="CX668" s="27" t="s">
        <v>7</v>
      </c>
      <c r="DC668" s="27" t="s">
        <v>8</v>
      </c>
      <c r="EX668" s="27" t="s">
        <v>7</v>
      </c>
      <c r="EY668" s="27" t="s">
        <v>8</v>
      </c>
      <c r="EZ668" s="27" t="s">
        <v>7</v>
      </c>
      <c r="FA668" s="27" t="s">
        <v>8</v>
      </c>
      <c r="FB668" s="27" t="s">
        <v>7</v>
      </c>
      <c r="FC668" s="27" t="s">
        <v>8</v>
      </c>
      <c r="FF668" s="27" t="s">
        <v>7</v>
      </c>
      <c r="FG668" s="27" t="s">
        <v>8</v>
      </c>
      <c r="FH668" s="27" t="s">
        <v>7</v>
      </c>
      <c r="FI668" s="27" t="s">
        <v>8</v>
      </c>
      <c r="FJ668" s="27" t="s">
        <v>7</v>
      </c>
      <c r="FM668" s="27" t="s">
        <v>8</v>
      </c>
      <c r="FN668" s="27" t="s">
        <v>7</v>
      </c>
      <c r="GK668" s="27" t="s">
        <v>8</v>
      </c>
      <c r="GM668" s="27" t="s">
        <v>8</v>
      </c>
      <c r="GX668" s="27" t="s">
        <v>7</v>
      </c>
      <c r="GY668" s="27" t="s">
        <v>8</v>
      </c>
      <c r="HD668" s="27" t="s">
        <v>7</v>
      </c>
      <c r="HE668" s="27" t="s">
        <v>8</v>
      </c>
      <c r="HF668" s="27" t="s">
        <v>7</v>
      </c>
      <c r="HG668" s="27" t="s">
        <v>8</v>
      </c>
      <c r="HH668" s="27" t="s">
        <v>7</v>
      </c>
      <c r="HI668" s="27" t="s">
        <v>8</v>
      </c>
      <c r="HJ668" s="27" t="s">
        <v>7</v>
      </c>
      <c r="HK668" s="27" t="s">
        <v>8</v>
      </c>
      <c r="IP668" s="27" t="s">
        <v>7</v>
      </c>
      <c r="IQ668" s="27" t="s">
        <v>8</v>
      </c>
      <c r="JJ668" s="27" t="s">
        <v>7</v>
      </c>
      <c r="JM668" s="27" t="s">
        <v>8</v>
      </c>
    </row>
    <row r="669" spans="1:274" x14ac:dyDescent="0.25">
      <c r="A669" s="7">
        <v>0.19714506744199917</v>
      </c>
      <c r="B669"/>
      <c r="C669"/>
      <c r="D669"/>
      <c r="E669"/>
      <c r="F669" s="27" t="s">
        <v>7</v>
      </c>
      <c r="M669" s="27" t="s">
        <v>8</v>
      </c>
      <c r="N669" s="27" t="s">
        <v>7</v>
      </c>
      <c r="CO669" s="27" t="s">
        <v>8</v>
      </c>
      <c r="CP669" s="27" t="s">
        <v>7</v>
      </c>
      <c r="CR669" s="27" t="s">
        <v>7</v>
      </c>
      <c r="CS669" s="27" t="s">
        <v>8</v>
      </c>
      <c r="CT669" s="27" t="s">
        <v>7</v>
      </c>
      <c r="CU669" s="27" t="s">
        <v>8</v>
      </c>
      <c r="CV669" s="27" t="s">
        <v>7</v>
      </c>
      <c r="CW669" s="27" t="s">
        <v>8</v>
      </c>
      <c r="CX669" s="27" t="s">
        <v>7</v>
      </c>
      <c r="DC669" s="27" t="s">
        <v>8</v>
      </c>
      <c r="EX669" s="27" t="s">
        <v>7</v>
      </c>
      <c r="EY669" s="27" t="s">
        <v>8</v>
      </c>
      <c r="EZ669" s="27" t="s">
        <v>7</v>
      </c>
      <c r="FA669" s="27" t="s">
        <v>8</v>
      </c>
      <c r="FB669" s="27" t="s">
        <v>7</v>
      </c>
      <c r="FC669" s="27" t="s">
        <v>8</v>
      </c>
      <c r="FF669" s="27" t="s">
        <v>7</v>
      </c>
      <c r="FG669" s="27" t="s">
        <v>8</v>
      </c>
      <c r="FH669" s="27" t="s">
        <v>7</v>
      </c>
      <c r="FI669" s="27" t="s">
        <v>8</v>
      </c>
      <c r="FJ669" s="27" t="s">
        <v>7</v>
      </c>
      <c r="FK669" s="27" t="s">
        <v>8</v>
      </c>
      <c r="FM669" s="27" t="s">
        <v>8</v>
      </c>
      <c r="FN669" s="27" t="s">
        <v>7</v>
      </c>
      <c r="GK669" s="27" t="s">
        <v>8</v>
      </c>
      <c r="GL669" s="27" t="s">
        <v>7</v>
      </c>
      <c r="GM669" s="27" t="s">
        <v>8</v>
      </c>
      <c r="GX669" s="27" t="s">
        <v>7</v>
      </c>
      <c r="GY669" s="27" t="s">
        <v>8</v>
      </c>
      <c r="HD669" s="27" t="s">
        <v>7</v>
      </c>
      <c r="HE669" s="27" t="s">
        <v>8</v>
      </c>
      <c r="HF669" s="27" t="s">
        <v>7</v>
      </c>
      <c r="HH669" s="27" t="s">
        <v>7</v>
      </c>
      <c r="HI669" s="27" t="s">
        <v>8</v>
      </c>
      <c r="HJ669" s="27" t="s">
        <v>7</v>
      </c>
      <c r="HK669" s="27" t="s">
        <v>8</v>
      </c>
      <c r="IP669" s="27" t="s">
        <v>7</v>
      </c>
      <c r="JJ669" s="27" t="s">
        <v>7</v>
      </c>
      <c r="JM669" s="27" t="s">
        <v>8</v>
      </c>
      <c r="JN669" s="27" t="s">
        <v>7</v>
      </c>
    </row>
    <row r="670" spans="1:274" x14ac:dyDescent="0.25">
      <c r="A670" s="7">
        <v>0.19327947788431293</v>
      </c>
      <c r="B670"/>
      <c r="C670"/>
      <c r="D670"/>
      <c r="E670"/>
      <c r="F670" s="27" t="s">
        <v>7</v>
      </c>
      <c r="M670" s="27" t="s">
        <v>8</v>
      </c>
      <c r="N670" s="27" t="s">
        <v>7</v>
      </c>
      <c r="CO670" s="27" t="s">
        <v>8</v>
      </c>
      <c r="CR670" s="27" t="s">
        <v>7</v>
      </c>
      <c r="CS670" s="27" t="s">
        <v>8</v>
      </c>
      <c r="CT670" s="27" t="s">
        <v>7</v>
      </c>
      <c r="CV670" s="27" t="s">
        <v>7</v>
      </c>
      <c r="CW670" s="27" t="s">
        <v>8</v>
      </c>
      <c r="CX670" s="27" t="s">
        <v>7</v>
      </c>
      <c r="DC670" s="27" t="s">
        <v>8</v>
      </c>
      <c r="EX670" s="27" t="s">
        <v>7</v>
      </c>
      <c r="EY670" s="27" t="s">
        <v>8</v>
      </c>
      <c r="EZ670" s="27" t="s">
        <v>7</v>
      </c>
      <c r="FA670" s="27" t="s">
        <v>8</v>
      </c>
      <c r="FB670" s="27" t="s">
        <v>7</v>
      </c>
      <c r="FC670" s="27" t="s">
        <v>8</v>
      </c>
      <c r="FF670" s="27" t="s">
        <v>7</v>
      </c>
      <c r="FG670" s="27" t="s">
        <v>8</v>
      </c>
      <c r="FH670" s="27" t="s">
        <v>7</v>
      </c>
      <c r="FI670" s="27" t="s">
        <v>8</v>
      </c>
      <c r="FJ670" s="27" t="s">
        <v>7</v>
      </c>
      <c r="FK670" s="27" t="s">
        <v>8</v>
      </c>
      <c r="FL670" s="27" t="s">
        <v>7</v>
      </c>
      <c r="FM670" s="27" t="s">
        <v>8</v>
      </c>
      <c r="FN670" s="27" t="s">
        <v>7</v>
      </c>
      <c r="GK670" s="27" t="s">
        <v>8</v>
      </c>
      <c r="GL670" s="27" t="s">
        <v>7</v>
      </c>
      <c r="GM670" s="27" t="s">
        <v>8</v>
      </c>
      <c r="GX670" s="27" t="s">
        <v>7</v>
      </c>
      <c r="HD670" s="27" t="s">
        <v>7</v>
      </c>
      <c r="HE670" s="27" t="s">
        <v>8</v>
      </c>
      <c r="HH670" s="27" t="s">
        <v>7</v>
      </c>
      <c r="HJ670" s="27" t="s">
        <v>7</v>
      </c>
      <c r="JJ670" s="27" t="s">
        <v>7</v>
      </c>
      <c r="JM670" s="27" t="s">
        <v>8</v>
      </c>
      <c r="JN670" s="27" t="s">
        <v>7</v>
      </c>
    </row>
    <row r="671" spans="1:274" x14ac:dyDescent="0.25">
      <c r="A671" s="7">
        <v>0.18948968420030682</v>
      </c>
      <c r="B671"/>
      <c r="C671"/>
      <c r="D671"/>
      <c r="E671"/>
      <c r="F671" s="27" t="s">
        <v>7</v>
      </c>
      <c r="M671" s="27" t="s">
        <v>8</v>
      </c>
      <c r="N671" s="27" t="s">
        <v>7</v>
      </c>
      <c r="CO671" s="27" t="s">
        <v>8</v>
      </c>
      <c r="CR671" s="27" t="s">
        <v>7</v>
      </c>
      <c r="CS671" s="27" t="s">
        <v>8</v>
      </c>
      <c r="CV671" s="27" t="s">
        <v>7</v>
      </c>
      <c r="CW671" s="27" t="s">
        <v>8</v>
      </c>
      <c r="CX671" s="27" t="s">
        <v>7</v>
      </c>
      <c r="DA671" s="27" t="s">
        <v>8</v>
      </c>
      <c r="DC671" s="27" t="s">
        <v>8</v>
      </c>
      <c r="EX671" s="27" t="s">
        <v>7</v>
      </c>
      <c r="EY671" s="27" t="s">
        <v>8</v>
      </c>
      <c r="EZ671" s="27" t="s">
        <v>7</v>
      </c>
      <c r="FA671" s="27" t="s">
        <v>8</v>
      </c>
      <c r="FB671" s="27" t="s">
        <v>7</v>
      </c>
      <c r="FC671" s="27" t="s">
        <v>8</v>
      </c>
      <c r="FF671" s="27" t="s">
        <v>7</v>
      </c>
      <c r="FG671" s="27" t="s">
        <v>8</v>
      </c>
      <c r="FH671" s="27" t="s">
        <v>7</v>
      </c>
      <c r="FI671" s="27" t="s">
        <v>8</v>
      </c>
      <c r="FJ671" s="27" t="s">
        <v>7</v>
      </c>
      <c r="FK671" s="27" t="s">
        <v>8</v>
      </c>
      <c r="FL671" s="27" t="s">
        <v>7</v>
      </c>
      <c r="FM671" s="27" t="s">
        <v>8</v>
      </c>
      <c r="FN671" s="27" t="s">
        <v>7</v>
      </c>
      <c r="GK671" s="27" t="s">
        <v>8</v>
      </c>
      <c r="GL671" s="27" t="s">
        <v>7</v>
      </c>
      <c r="GM671" s="27" t="s">
        <v>8</v>
      </c>
      <c r="HD671" s="27" t="s">
        <v>7</v>
      </c>
      <c r="HE671" s="27" t="s">
        <v>8</v>
      </c>
      <c r="JJ671" s="27" t="s">
        <v>7</v>
      </c>
      <c r="JK671" s="27" t="s">
        <v>8</v>
      </c>
      <c r="JM671" s="27" t="s">
        <v>8</v>
      </c>
      <c r="JN671" s="27" t="s">
        <v>7</v>
      </c>
    </row>
    <row r="672" spans="1:274" x14ac:dyDescent="0.25">
      <c r="A672" s="7">
        <v>0.18577420019637925</v>
      </c>
      <c r="B672"/>
      <c r="C672"/>
      <c r="D672"/>
      <c r="E672"/>
      <c r="F672" s="27" t="s">
        <v>7</v>
      </c>
      <c r="M672" s="27" t="s">
        <v>8</v>
      </c>
      <c r="N672" s="27" t="s">
        <v>7</v>
      </c>
      <c r="CO672" s="27" t="s">
        <v>8</v>
      </c>
      <c r="CR672" s="27" t="s">
        <v>7</v>
      </c>
      <c r="CV672" s="27" t="s">
        <v>7</v>
      </c>
      <c r="CW672" s="27" t="s">
        <v>8</v>
      </c>
      <c r="CX672" s="27" t="s">
        <v>7</v>
      </c>
      <c r="DA672" s="27" t="s">
        <v>8</v>
      </c>
      <c r="DB672" s="27" t="s">
        <v>7</v>
      </c>
      <c r="DC672" s="27" t="s">
        <v>8</v>
      </c>
      <c r="EX672" s="27" t="s">
        <v>7</v>
      </c>
      <c r="EY672" s="27" t="s">
        <v>8</v>
      </c>
      <c r="EZ672" s="27" t="s">
        <v>7</v>
      </c>
      <c r="FA672" s="27" t="s">
        <v>8</v>
      </c>
      <c r="FB672" s="27" t="s">
        <v>7</v>
      </c>
      <c r="FC672" s="27" t="s">
        <v>8</v>
      </c>
      <c r="FF672" s="27" t="s">
        <v>7</v>
      </c>
      <c r="FH672" s="27" t="s">
        <v>7</v>
      </c>
      <c r="FI672" s="27" t="s">
        <v>8</v>
      </c>
      <c r="FJ672" s="27" t="s">
        <v>7</v>
      </c>
      <c r="FK672" s="27" t="s">
        <v>8</v>
      </c>
      <c r="FL672" s="27" t="s">
        <v>7</v>
      </c>
      <c r="FM672" s="27" t="s">
        <v>8</v>
      </c>
      <c r="FN672" s="27" t="s">
        <v>7</v>
      </c>
      <c r="GI672" s="27" t="s">
        <v>8</v>
      </c>
      <c r="GK672" s="27" t="s">
        <v>8</v>
      </c>
      <c r="GL672" s="27" t="s">
        <v>7</v>
      </c>
      <c r="GM672" s="27" t="s">
        <v>8</v>
      </c>
      <c r="HD672" s="27" t="s">
        <v>7</v>
      </c>
      <c r="HE672" s="27" t="s">
        <v>8</v>
      </c>
      <c r="JJ672" s="27" t="s">
        <v>7</v>
      </c>
      <c r="JK672" s="27" t="s">
        <v>8</v>
      </c>
      <c r="JL672" s="27" t="s">
        <v>7</v>
      </c>
      <c r="JM672" s="27" t="s">
        <v>8</v>
      </c>
      <c r="JN672" s="27" t="s">
        <v>7</v>
      </c>
    </row>
    <row r="673" spans="1:276" x14ac:dyDescent="0.25">
      <c r="A673" s="7">
        <v>0.18213156881997963</v>
      </c>
      <c r="B673"/>
      <c r="C673"/>
      <c r="D673"/>
      <c r="E673"/>
      <c r="F673" s="27" t="s">
        <v>7</v>
      </c>
      <c r="M673" s="27" t="s">
        <v>8</v>
      </c>
      <c r="N673" s="27" t="s">
        <v>7</v>
      </c>
      <c r="CO673" s="27" t="s">
        <v>8</v>
      </c>
      <c r="CV673" s="27" t="s">
        <v>7</v>
      </c>
      <c r="CW673" s="27" t="s">
        <v>8</v>
      </c>
      <c r="CX673" s="27" t="s">
        <v>7</v>
      </c>
      <c r="DA673" s="27" t="s">
        <v>8</v>
      </c>
      <c r="DB673" s="27" t="s">
        <v>7</v>
      </c>
      <c r="DC673" s="27" t="s">
        <v>8</v>
      </c>
      <c r="EX673" s="27" t="s">
        <v>7</v>
      </c>
      <c r="EY673" s="27" t="s">
        <v>8</v>
      </c>
      <c r="EZ673" s="27" t="s">
        <v>7</v>
      </c>
      <c r="FA673" s="27" t="s">
        <v>8</v>
      </c>
      <c r="FB673" s="27" t="s">
        <v>7</v>
      </c>
      <c r="FC673" s="27" t="s">
        <v>8</v>
      </c>
      <c r="FH673" s="27" t="s">
        <v>7</v>
      </c>
      <c r="FI673" s="27" t="s">
        <v>8</v>
      </c>
      <c r="FJ673" s="27" t="s">
        <v>7</v>
      </c>
      <c r="FK673" s="27" t="s">
        <v>8</v>
      </c>
      <c r="FL673" s="27" t="s">
        <v>7</v>
      </c>
      <c r="FN673" s="27" t="s">
        <v>7</v>
      </c>
      <c r="GI673" s="27" t="s">
        <v>8</v>
      </c>
      <c r="GJ673" s="27" t="s">
        <v>7</v>
      </c>
      <c r="GK673" s="27" t="s">
        <v>8</v>
      </c>
      <c r="GL673" s="27" t="s">
        <v>7</v>
      </c>
      <c r="GM673" s="27" t="s">
        <v>8</v>
      </c>
      <c r="HD673" s="27" t="s">
        <v>7</v>
      </c>
      <c r="JJ673" s="27" t="s">
        <v>7</v>
      </c>
      <c r="JK673" s="27" t="s">
        <v>8</v>
      </c>
      <c r="JL673" s="27" t="s">
        <v>7</v>
      </c>
      <c r="JM673" s="27" t="s">
        <v>8</v>
      </c>
      <c r="JN673" s="27" t="s">
        <v>7</v>
      </c>
    </row>
    <row r="674" spans="1:276" x14ac:dyDescent="0.25">
      <c r="A674" s="7">
        <v>0.17856036158821534</v>
      </c>
      <c r="B674"/>
      <c r="C674"/>
      <c r="D674"/>
      <c r="E674"/>
      <c r="F674" s="27" t="s">
        <v>7</v>
      </c>
      <c r="M674" s="27" t="s">
        <v>8</v>
      </c>
      <c r="N674" s="27" t="s">
        <v>7</v>
      </c>
      <c r="CO674" s="27" t="s">
        <v>8</v>
      </c>
      <c r="CV674" s="27" t="s">
        <v>7</v>
      </c>
      <c r="CW674" s="27" t="s">
        <v>8</v>
      </c>
      <c r="CX674" s="27" t="s">
        <v>7</v>
      </c>
      <c r="CY674" s="27" t="s">
        <v>8</v>
      </c>
      <c r="DA674" s="27" t="s">
        <v>8</v>
      </c>
      <c r="DB674" s="27" t="s">
        <v>7</v>
      </c>
      <c r="DC674" s="27" t="s">
        <v>8</v>
      </c>
      <c r="EX674" s="27" t="s">
        <v>7</v>
      </c>
      <c r="EY674" s="27" t="s">
        <v>8</v>
      </c>
      <c r="EZ674" s="27" t="s">
        <v>7</v>
      </c>
      <c r="FA674" s="27" t="s">
        <v>8</v>
      </c>
      <c r="FB674" s="27" t="s">
        <v>7</v>
      </c>
      <c r="FH674" s="27" t="s">
        <v>7</v>
      </c>
      <c r="FI674" s="27" t="s">
        <v>8</v>
      </c>
      <c r="FJ674" s="27" t="s">
        <v>7</v>
      </c>
      <c r="FK674" s="27" t="s">
        <v>8</v>
      </c>
      <c r="FN674" s="27" t="s">
        <v>7</v>
      </c>
      <c r="FU674" s="27" t="s">
        <v>8</v>
      </c>
      <c r="GI674" s="27" t="s">
        <v>8</v>
      </c>
      <c r="GJ674" s="27" t="s">
        <v>7</v>
      </c>
      <c r="GK674" s="27" t="s">
        <v>8</v>
      </c>
      <c r="GL674" s="27" t="s">
        <v>7</v>
      </c>
      <c r="GM674" s="27" t="s">
        <v>8</v>
      </c>
      <c r="JJ674" s="27" t="s">
        <v>7</v>
      </c>
      <c r="JK674" s="27" t="s">
        <v>8</v>
      </c>
      <c r="JL674" s="27" t="s">
        <v>7</v>
      </c>
      <c r="JM674" s="27" t="s">
        <v>8</v>
      </c>
      <c r="JN674" s="27" t="s">
        <v>7</v>
      </c>
      <c r="JO674" s="27" t="s">
        <v>8</v>
      </c>
    </row>
    <row r="675" spans="1:276" x14ac:dyDescent="0.25">
      <c r="A675" s="7">
        <v>0.17505917802766208</v>
      </c>
      <c r="B675"/>
      <c r="C675"/>
      <c r="D675"/>
      <c r="E675"/>
      <c r="F675" s="27" t="s">
        <v>7</v>
      </c>
      <c r="M675" s="27" t="s">
        <v>8</v>
      </c>
      <c r="N675" s="27" t="s">
        <v>7</v>
      </c>
      <c r="CO675" s="27" t="s">
        <v>8</v>
      </c>
      <c r="CV675" s="27" t="s">
        <v>7</v>
      </c>
      <c r="CW675" s="27" t="s">
        <v>8</v>
      </c>
      <c r="CX675" s="27" t="s">
        <v>7</v>
      </c>
      <c r="CY675" s="27" t="s">
        <v>8</v>
      </c>
      <c r="CZ675" s="27" t="s">
        <v>7</v>
      </c>
      <c r="DA675" s="27" t="s">
        <v>8</v>
      </c>
      <c r="DB675" s="27" t="s">
        <v>7</v>
      </c>
      <c r="DC675" s="27" t="s">
        <v>8</v>
      </c>
      <c r="EX675" s="27" t="s">
        <v>7</v>
      </c>
      <c r="EY675" s="27" t="s">
        <v>8</v>
      </c>
      <c r="EZ675" s="27" t="s">
        <v>7</v>
      </c>
      <c r="FA675" s="27" t="s">
        <v>8</v>
      </c>
      <c r="FH675" s="27" t="s">
        <v>7</v>
      </c>
      <c r="FI675" s="27" t="s">
        <v>8</v>
      </c>
      <c r="FJ675" s="27" t="s">
        <v>7</v>
      </c>
      <c r="FK675" s="27" t="s">
        <v>8</v>
      </c>
      <c r="FN675" s="27" t="s">
        <v>7</v>
      </c>
      <c r="FU675" s="27" t="s">
        <v>8</v>
      </c>
      <c r="FV675" s="27" t="s">
        <v>7</v>
      </c>
      <c r="GE675" s="27" t="s">
        <v>8</v>
      </c>
      <c r="GI675" s="27" t="s">
        <v>8</v>
      </c>
      <c r="GJ675" s="27" t="s">
        <v>7</v>
      </c>
      <c r="GK675" s="27" t="s">
        <v>8</v>
      </c>
      <c r="GL675" s="27" t="s">
        <v>7</v>
      </c>
      <c r="GM675" s="27" t="s">
        <v>8</v>
      </c>
      <c r="JJ675" s="27" t="s">
        <v>7</v>
      </c>
      <c r="JL675" s="27" t="s">
        <v>7</v>
      </c>
      <c r="JM675" s="27" t="s">
        <v>8</v>
      </c>
      <c r="JN675" s="27" t="s">
        <v>7</v>
      </c>
      <c r="JO675" s="27" t="s">
        <v>8</v>
      </c>
      <c r="JP675" s="27" t="s">
        <v>7</v>
      </c>
    </row>
    <row r="676" spans="1:276" x14ac:dyDescent="0.25">
      <c r="A676" s="7">
        <v>0.17162664512515888</v>
      </c>
      <c r="B676"/>
      <c r="C676"/>
      <c r="D676"/>
      <c r="E676"/>
      <c r="F676" s="27" t="s">
        <v>7</v>
      </c>
      <c r="M676" s="27" t="s">
        <v>8</v>
      </c>
      <c r="N676" s="27" t="s">
        <v>7</v>
      </c>
      <c r="CO676" s="27" t="s">
        <v>8</v>
      </c>
      <c r="CV676" s="27" t="s">
        <v>7</v>
      </c>
      <c r="CW676" s="27" t="s">
        <v>8</v>
      </c>
      <c r="CX676" s="27" t="s">
        <v>7</v>
      </c>
      <c r="CY676" s="27" t="s">
        <v>8</v>
      </c>
      <c r="CZ676" s="27" t="s">
        <v>7</v>
      </c>
      <c r="DA676" s="27" t="s">
        <v>8</v>
      </c>
      <c r="DB676" s="27" t="s">
        <v>7</v>
      </c>
      <c r="DC676" s="27" t="s">
        <v>8</v>
      </c>
      <c r="EX676" s="27" t="s">
        <v>7</v>
      </c>
      <c r="EY676" s="27" t="s">
        <v>8</v>
      </c>
      <c r="EZ676" s="27" t="s">
        <v>7</v>
      </c>
      <c r="FA676" s="27" t="s">
        <v>8</v>
      </c>
      <c r="FH676" s="27" t="s">
        <v>7</v>
      </c>
      <c r="FI676" s="27" t="s">
        <v>8</v>
      </c>
      <c r="FJ676" s="27" t="s">
        <v>7</v>
      </c>
      <c r="FK676" s="27" t="s">
        <v>8</v>
      </c>
      <c r="FN676" s="27" t="s">
        <v>7</v>
      </c>
      <c r="FU676" s="27" t="s">
        <v>8</v>
      </c>
      <c r="FV676" s="27" t="s">
        <v>7</v>
      </c>
      <c r="GE676" s="27" t="s">
        <v>8</v>
      </c>
      <c r="GF676" s="27" t="s">
        <v>7</v>
      </c>
      <c r="GI676" s="27" t="s">
        <v>8</v>
      </c>
      <c r="GJ676" s="27" t="s">
        <v>7</v>
      </c>
      <c r="GK676" s="27" t="s">
        <v>8</v>
      </c>
      <c r="GL676" s="27" t="s">
        <v>7</v>
      </c>
      <c r="JL676" s="27" t="s">
        <v>7</v>
      </c>
      <c r="JN676" s="27" t="s">
        <v>7</v>
      </c>
      <c r="JO676" s="27" t="s">
        <v>8</v>
      </c>
      <c r="JP676" s="27" t="s">
        <v>7</v>
      </c>
    </row>
    <row r="677" spans="1:276" x14ac:dyDescent="0.25">
      <c r="A677" s="7">
        <v>0.16826141678937145</v>
      </c>
      <c r="B677"/>
      <c r="C677"/>
      <c r="D677"/>
      <c r="E677"/>
      <c r="F677" s="27" t="s">
        <v>7</v>
      </c>
      <c r="M677" s="27" t="s">
        <v>8</v>
      </c>
      <c r="N677" s="27" t="s">
        <v>7</v>
      </c>
      <c r="CM677" s="27" t="s">
        <v>8</v>
      </c>
      <c r="CO677" s="27" t="s">
        <v>8</v>
      </c>
      <c r="CV677" s="27" t="s">
        <v>7</v>
      </c>
      <c r="CW677" s="27" t="s">
        <v>8</v>
      </c>
      <c r="CX677" s="27" t="s">
        <v>7</v>
      </c>
      <c r="CY677" s="27" t="s">
        <v>8</v>
      </c>
      <c r="CZ677" s="27" t="s">
        <v>7</v>
      </c>
      <c r="DA677" s="27" t="s">
        <v>8</v>
      </c>
      <c r="DB677" s="27" t="s">
        <v>7</v>
      </c>
      <c r="EX677" s="27" t="s">
        <v>7</v>
      </c>
      <c r="EY677" s="27" t="s">
        <v>8</v>
      </c>
      <c r="EZ677" s="27" t="s">
        <v>7</v>
      </c>
      <c r="FA677" s="27" t="s">
        <v>8</v>
      </c>
      <c r="FH677" s="27" t="s">
        <v>7</v>
      </c>
      <c r="FI677" s="27" t="s">
        <v>8</v>
      </c>
      <c r="FJ677" s="27" t="s">
        <v>7</v>
      </c>
      <c r="FK677" s="27" t="s">
        <v>8</v>
      </c>
      <c r="FN677" s="27" t="s">
        <v>7</v>
      </c>
      <c r="FU677" s="27" t="s">
        <v>8</v>
      </c>
      <c r="FV677" s="27" t="s">
        <v>7</v>
      </c>
      <c r="FY677" s="27" t="s">
        <v>8</v>
      </c>
      <c r="GE677" s="27" t="s">
        <v>8</v>
      </c>
      <c r="GF677" s="27" t="s">
        <v>7</v>
      </c>
      <c r="GI677" s="27" t="s">
        <v>8</v>
      </c>
      <c r="GJ677" s="27" t="s">
        <v>7</v>
      </c>
      <c r="GK677" s="27" t="s">
        <v>8</v>
      </c>
      <c r="JN677" s="27" t="s">
        <v>7</v>
      </c>
      <c r="JP677" s="27" t="s">
        <v>7</v>
      </c>
    </row>
    <row r="678" spans="1:276" x14ac:dyDescent="0.25">
      <c r="A678" s="7">
        <v>0.16496217332291319</v>
      </c>
      <c r="B678"/>
      <c r="C678"/>
      <c r="D678"/>
      <c r="E678"/>
      <c r="F678" s="27" t="s">
        <v>7</v>
      </c>
      <c r="M678" s="27" t="s">
        <v>8</v>
      </c>
      <c r="N678" s="27" t="s">
        <v>7</v>
      </c>
      <c r="CI678" s="27" t="s">
        <v>8</v>
      </c>
      <c r="CM678" s="27" t="s">
        <v>8</v>
      </c>
      <c r="CN678" s="27" t="s">
        <v>7</v>
      </c>
      <c r="CO678" s="27" t="s">
        <v>8</v>
      </c>
      <c r="CV678" s="27" t="s">
        <v>7</v>
      </c>
      <c r="CW678" s="27" t="s">
        <v>8</v>
      </c>
      <c r="CX678" s="27" t="s">
        <v>7</v>
      </c>
      <c r="CY678" s="27" t="s">
        <v>8</v>
      </c>
      <c r="CZ678" s="27" t="s">
        <v>7</v>
      </c>
      <c r="DA678" s="27" t="s">
        <v>8</v>
      </c>
      <c r="EX678" s="27" t="s">
        <v>7</v>
      </c>
      <c r="EY678" s="27" t="s">
        <v>8</v>
      </c>
      <c r="EZ678" s="27" t="s">
        <v>7</v>
      </c>
      <c r="FA678" s="27" t="s">
        <v>8</v>
      </c>
      <c r="FH678" s="27" t="s">
        <v>7</v>
      </c>
      <c r="FI678" s="27" t="s">
        <v>8</v>
      </c>
      <c r="FJ678" s="27" t="s">
        <v>7</v>
      </c>
      <c r="FK678" s="27" t="s">
        <v>8</v>
      </c>
      <c r="FN678" s="27" t="s">
        <v>7</v>
      </c>
      <c r="FU678" s="27" t="s">
        <v>8</v>
      </c>
      <c r="FV678" s="27" t="s">
        <v>7</v>
      </c>
      <c r="FY678" s="27" t="s">
        <v>8</v>
      </c>
      <c r="FZ678" s="27" t="s">
        <v>7</v>
      </c>
      <c r="GE678" s="27" t="s">
        <v>8</v>
      </c>
      <c r="GF678" s="27" t="s">
        <v>7</v>
      </c>
      <c r="GG678" s="27" t="s">
        <v>8</v>
      </c>
      <c r="GI678" s="27" t="s">
        <v>8</v>
      </c>
      <c r="GJ678" s="27" t="s">
        <v>7</v>
      </c>
      <c r="GK678" s="27" t="s">
        <v>8</v>
      </c>
      <c r="JP678" s="27" t="s">
        <v>7</v>
      </c>
    </row>
    <row r="679" spans="1:276" x14ac:dyDescent="0.25">
      <c r="A679" s="7">
        <v>0.16172762090481685</v>
      </c>
      <c r="B679"/>
      <c r="C679"/>
      <c r="D679"/>
      <c r="E679"/>
      <c r="F679" s="27" t="s">
        <v>7</v>
      </c>
      <c r="M679" s="27" t="s">
        <v>8</v>
      </c>
      <c r="N679" s="27" t="s">
        <v>7</v>
      </c>
      <c r="BY679" s="27" t="s">
        <v>8</v>
      </c>
      <c r="CI679" s="27" t="s">
        <v>8</v>
      </c>
      <c r="CJ679" s="27" t="s">
        <v>7</v>
      </c>
      <c r="CK679" s="27" t="s">
        <v>8</v>
      </c>
      <c r="CM679" s="27" t="s">
        <v>8</v>
      </c>
      <c r="CN679" s="27" t="s">
        <v>7</v>
      </c>
      <c r="CO679" s="27" t="s">
        <v>8</v>
      </c>
      <c r="CV679" s="27" t="s">
        <v>7</v>
      </c>
      <c r="CW679" s="27" t="s">
        <v>8</v>
      </c>
      <c r="CX679" s="27" t="s">
        <v>7</v>
      </c>
      <c r="CY679" s="27" t="s">
        <v>8</v>
      </c>
      <c r="CZ679" s="27" t="s">
        <v>7</v>
      </c>
      <c r="DA679" s="27" t="s">
        <v>8</v>
      </c>
      <c r="EX679" s="27" t="s">
        <v>7</v>
      </c>
      <c r="EY679" s="27" t="s">
        <v>8</v>
      </c>
      <c r="EZ679" s="27" t="s">
        <v>7</v>
      </c>
      <c r="FA679" s="27" t="s">
        <v>8</v>
      </c>
      <c r="FH679" s="27" t="s">
        <v>7</v>
      </c>
      <c r="FI679" s="27" t="s">
        <v>8</v>
      </c>
      <c r="FJ679" s="27" t="s">
        <v>7</v>
      </c>
      <c r="FN679" s="27" t="s">
        <v>7</v>
      </c>
      <c r="FU679" s="27" t="s">
        <v>8</v>
      </c>
      <c r="FV679" s="27" t="s">
        <v>7</v>
      </c>
      <c r="FY679" s="27" t="s">
        <v>8</v>
      </c>
      <c r="FZ679" s="27" t="s">
        <v>7</v>
      </c>
      <c r="GC679" s="27" t="s">
        <v>8</v>
      </c>
      <c r="GE679" s="27" t="s">
        <v>8</v>
      </c>
      <c r="GF679" s="27" t="s">
        <v>7</v>
      </c>
      <c r="GG679" s="27" t="s">
        <v>8</v>
      </c>
      <c r="GH679" s="27" t="s">
        <v>7</v>
      </c>
      <c r="GI679" s="27" t="s">
        <v>8</v>
      </c>
      <c r="GJ679" s="27" t="s">
        <v>7</v>
      </c>
      <c r="GK679" s="27" t="s">
        <v>8</v>
      </c>
      <c r="JP679" s="27" t="s">
        <v>7</v>
      </c>
    </row>
    <row r="680" spans="1:276" x14ac:dyDescent="0.25">
      <c r="A680" s="7">
        <v>0.15855649108315376</v>
      </c>
      <c r="B680"/>
      <c r="C680"/>
      <c r="D680"/>
      <c r="E680"/>
      <c r="F680" s="27" t="s">
        <v>7</v>
      </c>
      <c r="G680" s="27" t="s">
        <v>8</v>
      </c>
      <c r="M680" s="27" t="s">
        <v>8</v>
      </c>
      <c r="N680" s="27" t="s">
        <v>7</v>
      </c>
      <c r="O680" s="27" t="s">
        <v>8</v>
      </c>
      <c r="BY680" s="27" t="s">
        <v>8</v>
      </c>
      <c r="BZ680" s="27" t="s">
        <v>7</v>
      </c>
      <c r="CC680" s="27" t="s">
        <v>8</v>
      </c>
      <c r="CI680" s="27" t="s">
        <v>8</v>
      </c>
      <c r="CJ680" s="27" t="s">
        <v>7</v>
      </c>
      <c r="CK680" s="27" t="s">
        <v>8</v>
      </c>
      <c r="CL680" s="27" t="s">
        <v>7</v>
      </c>
      <c r="CM680" s="27" t="s">
        <v>8</v>
      </c>
      <c r="CN680" s="27" t="s">
        <v>7</v>
      </c>
      <c r="CO680" s="27" t="s">
        <v>8</v>
      </c>
      <c r="CV680" s="27" t="s">
        <v>7</v>
      </c>
      <c r="CW680" s="27" t="s">
        <v>8</v>
      </c>
      <c r="CX680" s="27" t="s">
        <v>7</v>
      </c>
      <c r="CY680" s="27" t="s">
        <v>8</v>
      </c>
      <c r="CZ680" s="27" t="s">
        <v>7</v>
      </c>
      <c r="DA680" s="27" t="s">
        <v>8</v>
      </c>
      <c r="EX680" s="27" t="s">
        <v>7</v>
      </c>
      <c r="EY680" s="27" t="s">
        <v>8</v>
      </c>
      <c r="EZ680" s="27" t="s">
        <v>7</v>
      </c>
      <c r="FA680" s="27" t="s">
        <v>8</v>
      </c>
      <c r="FH680" s="27" t="s">
        <v>7</v>
      </c>
      <c r="FN680" s="27" t="s">
        <v>7</v>
      </c>
      <c r="FS680" s="27" t="s">
        <v>8</v>
      </c>
      <c r="FU680" s="27" t="s">
        <v>8</v>
      </c>
      <c r="FV680" s="27" t="s">
        <v>7</v>
      </c>
      <c r="FY680" s="27" t="s">
        <v>8</v>
      </c>
      <c r="FZ680" s="27" t="s">
        <v>7</v>
      </c>
      <c r="GC680" s="27" t="s">
        <v>8</v>
      </c>
      <c r="GD680" s="27" t="s">
        <v>7</v>
      </c>
      <c r="GE680" s="27" t="s">
        <v>8</v>
      </c>
      <c r="GF680" s="27" t="s">
        <v>7</v>
      </c>
      <c r="GG680" s="27" t="s">
        <v>8</v>
      </c>
      <c r="GH680" s="27" t="s">
        <v>7</v>
      </c>
      <c r="GI680" s="27" t="s">
        <v>8</v>
      </c>
      <c r="GJ680" s="27" t="s">
        <v>7</v>
      </c>
      <c r="JP680" s="27" t="s">
        <v>7</v>
      </c>
    </row>
    <row r="681" spans="1:276" x14ac:dyDescent="0.25">
      <c r="A681" s="7">
        <v>0.15544754027760171</v>
      </c>
      <c r="B681"/>
      <c r="C681"/>
      <c r="D681"/>
      <c r="E681"/>
      <c r="F681" s="27" t="s">
        <v>7</v>
      </c>
      <c r="G681" s="27" t="s">
        <v>8</v>
      </c>
      <c r="H681" s="27" t="s">
        <v>7</v>
      </c>
      <c r="M681" s="27" t="s">
        <v>8</v>
      </c>
      <c r="N681" s="27" t="s">
        <v>7</v>
      </c>
      <c r="O681" s="27" t="s">
        <v>8</v>
      </c>
      <c r="P681" s="27" t="s">
        <v>7</v>
      </c>
      <c r="BY681" s="27" t="s">
        <v>8</v>
      </c>
      <c r="BZ681" s="27" t="s">
        <v>7</v>
      </c>
      <c r="CC681" s="27" t="s">
        <v>8</v>
      </c>
      <c r="CD681" s="27" t="s">
        <v>7</v>
      </c>
      <c r="CI681" s="27" t="s">
        <v>8</v>
      </c>
      <c r="CJ681" s="27" t="s">
        <v>7</v>
      </c>
      <c r="CK681" s="27" t="s">
        <v>8</v>
      </c>
      <c r="CL681" s="27" t="s">
        <v>7</v>
      </c>
      <c r="CM681" s="27" t="s">
        <v>8</v>
      </c>
      <c r="CN681" s="27" t="s">
        <v>7</v>
      </c>
      <c r="CO681" s="27" t="s">
        <v>8</v>
      </c>
      <c r="CV681" s="27" t="s">
        <v>7</v>
      </c>
      <c r="CW681" s="27" t="s">
        <v>8</v>
      </c>
      <c r="CX681" s="27" t="s">
        <v>7</v>
      </c>
      <c r="CY681" s="27" t="s">
        <v>8</v>
      </c>
      <c r="CZ681" s="27" t="s">
        <v>7</v>
      </c>
      <c r="DA681" s="27" t="s">
        <v>8</v>
      </c>
      <c r="EX681" s="27" t="s">
        <v>7</v>
      </c>
      <c r="EY681" s="27" t="s">
        <v>8</v>
      </c>
      <c r="EZ681" s="27" t="s">
        <v>7</v>
      </c>
      <c r="FA681" s="27" t="s">
        <v>8</v>
      </c>
      <c r="FN681" s="27" t="s">
        <v>7</v>
      </c>
      <c r="FQ681" s="27" t="s">
        <v>8</v>
      </c>
      <c r="FS681" s="27" t="s">
        <v>8</v>
      </c>
      <c r="FT681" s="27" t="s">
        <v>7</v>
      </c>
      <c r="FU681" s="27" t="s">
        <v>8</v>
      </c>
      <c r="FV681" s="27" t="s">
        <v>7</v>
      </c>
      <c r="FY681" s="27" t="s">
        <v>8</v>
      </c>
      <c r="FZ681" s="27" t="s">
        <v>7</v>
      </c>
      <c r="GC681" s="27" t="s">
        <v>8</v>
      </c>
      <c r="GD681" s="27" t="s">
        <v>7</v>
      </c>
      <c r="GE681" s="27" t="s">
        <v>8</v>
      </c>
      <c r="GF681" s="27" t="s">
        <v>7</v>
      </c>
      <c r="GG681" s="27" t="s">
        <v>8</v>
      </c>
      <c r="GH681" s="27" t="s">
        <v>7</v>
      </c>
      <c r="JP681" s="27" t="s">
        <v>7</v>
      </c>
    </row>
    <row r="682" spans="1:276" x14ac:dyDescent="0.25">
      <c r="A682" s="7">
        <v>0.15239954929176638</v>
      </c>
      <c r="B682"/>
      <c r="C682"/>
      <c r="D682"/>
      <c r="E682"/>
      <c r="F682" s="27" t="s">
        <v>7</v>
      </c>
      <c r="G682" s="27" t="s">
        <v>8</v>
      </c>
      <c r="H682" s="27" t="s">
        <v>7</v>
      </c>
      <c r="M682" s="27" t="s">
        <v>8</v>
      </c>
      <c r="N682" s="27" t="s">
        <v>7</v>
      </c>
      <c r="O682" s="27" t="s">
        <v>8</v>
      </c>
      <c r="P682" s="27" t="s">
        <v>7</v>
      </c>
      <c r="BY682" s="27" t="s">
        <v>8</v>
      </c>
      <c r="BZ682" s="27" t="s">
        <v>7</v>
      </c>
      <c r="CC682" s="27" t="s">
        <v>8</v>
      </c>
      <c r="CD682" s="27" t="s">
        <v>7</v>
      </c>
      <c r="CI682" s="27" t="s">
        <v>8</v>
      </c>
      <c r="CJ682" s="27" t="s">
        <v>7</v>
      </c>
      <c r="CK682" s="27" t="s">
        <v>8</v>
      </c>
      <c r="CL682" s="27" t="s">
        <v>7</v>
      </c>
      <c r="CM682" s="27" t="s">
        <v>8</v>
      </c>
      <c r="CN682" s="27" t="s">
        <v>7</v>
      </c>
      <c r="CO682" s="27" t="s">
        <v>8</v>
      </c>
      <c r="CV682" s="27" t="s">
        <v>7</v>
      </c>
      <c r="CW682" s="27" t="s">
        <v>8</v>
      </c>
      <c r="CX682" s="27" t="s">
        <v>7</v>
      </c>
      <c r="CY682" s="27" t="s">
        <v>8</v>
      </c>
      <c r="CZ682" s="27" t="s">
        <v>7</v>
      </c>
      <c r="EX682" s="27" t="s">
        <v>7</v>
      </c>
      <c r="EY682" s="27" t="s">
        <v>8</v>
      </c>
      <c r="EZ682" s="27" t="s">
        <v>7</v>
      </c>
      <c r="FA682" s="27" t="s">
        <v>8</v>
      </c>
      <c r="FN682" s="27" t="s">
        <v>7</v>
      </c>
      <c r="FQ682" s="27" t="s">
        <v>8</v>
      </c>
      <c r="FR682" s="27" t="s">
        <v>7</v>
      </c>
      <c r="FS682" s="27" t="s">
        <v>8</v>
      </c>
      <c r="FT682" s="27" t="s">
        <v>7</v>
      </c>
      <c r="FU682" s="27" t="s">
        <v>8</v>
      </c>
      <c r="FV682" s="27" t="s">
        <v>7</v>
      </c>
      <c r="FY682" s="27" t="s">
        <v>8</v>
      </c>
      <c r="FZ682" s="27" t="s">
        <v>7</v>
      </c>
      <c r="GC682" s="27" t="s">
        <v>8</v>
      </c>
      <c r="GD682" s="27" t="s">
        <v>7</v>
      </c>
      <c r="GE682" s="27" t="s">
        <v>8</v>
      </c>
      <c r="GF682" s="27" t="s">
        <v>7</v>
      </c>
      <c r="GG682" s="27" t="s">
        <v>8</v>
      </c>
      <c r="JP682" s="27" t="s">
        <v>7</v>
      </c>
    </row>
    <row r="683" spans="1:276" x14ac:dyDescent="0.25">
      <c r="A683" s="7">
        <v>0.14941132283506509</v>
      </c>
      <c r="B683"/>
      <c r="C683"/>
      <c r="D683"/>
      <c r="E683"/>
      <c r="F683" s="27" t="s">
        <v>7</v>
      </c>
      <c r="G683" s="27" t="s">
        <v>8</v>
      </c>
      <c r="H683" s="27" t="s">
        <v>7</v>
      </c>
      <c r="M683" s="27" t="s">
        <v>8</v>
      </c>
      <c r="N683" s="27" t="s">
        <v>7</v>
      </c>
      <c r="O683" s="27" t="s">
        <v>8</v>
      </c>
      <c r="P683" s="27" t="s">
        <v>7</v>
      </c>
      <c r="BY683" s="27" t="s">
        <v>8</v>
      </c>
      <c r="BZ683" s="27" t="s">
        <v>7</v>
      </c>
      <c r="CA683" s="27" t="s">
        <v>8</v>
      </c>
      <c r="CC683" s="27" t="s">
        <v>8</v>
      </c>
      <c r="CD683" s="27" t="s">
        <v>7</v>
      </c>
      <c r="CI683" s="27" t="s">
        <v>8</v>
      </c>
      <c r="CJ683" s="27" t="s">
        <v>7</v>
      </c>
      <c r="CK683" s="27" t="s">
        <v>8</v>
      </c>
      <c r="CL683" s="27" t="s">
        <v>7</v>
      </c>
      <c r="CM683" s="27" t="s">
        <v>8</v>
      </c>
      <c r="CN683" s="27" t="s">
        <v>7</v>
      </c>
      <c r="CO683" s="27" t="s">
        <v>8</v>
      </c>
      <c r="CV683" s="27" t="s">
        <v>7</v>
      </c>
      <c r="CW683" s="27" t="s">
        <v>8</v>
      </c>
      <c r="CX683" s="27" t="s">
        <v>7</v>
      </c>
      <c r="CY683" s="27" t="s">
        <v>8</v>
      </c>
      <c r="EX683" s="27" t="s">
        <v>7</v>
      </c>
      <c r="EY683" s="27" t="s">
        <v>8</v>
      </c>
      <c r="EZ683" s="27" t="s">
        <v>7</v>
      </c>
      <c r="FA683" s="27" t="s">
        <v>8</v>
      </c>
      <c r="FN683" s="27" t="s">
        <v>7</v>
      </c>
      <c r="FO683" s="27" t="s">
        <v>8</v>
      </c>
      <c r="FQ683" s="27" t="s">
        <v>8</v>
      </c>
      <c r="FR683" s="27" t="s">
        <v>7</v>
      </c>
      <c r="FS683" s="27" t="s">
        <v>8</v>
      </c>
      <c r="FT683" s="27" t="s">
        <v>7</v>
      </c>
      <c r="FU683" s="27" t="s">
        <v>8</v>
      </c>
      <c r="FV683" s="27" t="s">
        <v>7</v>
      </c>
      <c r="FW683" s="27" t="s">
        <v>8</v>
      </c>
      <c r="FY683" s="27" t="s">
        <v>8</v>
      </c>
      <c r="FZ683" s="27" t="s">
        <v>7</v>
      </c>
      <c r="GC683" s="27" t="s">
        <v>8</v>
      </c>
      <c r="GD683" s="27" t="s">
        <v>7</v>
      </c>
      <c r="GE683" s="27" t="s">
        <v>8</v>
      </c>
      <c r="GF683" s="27" t="s">
        <v>7</v>
      </c>
      <c r="GG683" s="27" t="s">
        <v>8</v>
      </c>
      <c r="JP683" s="27" t="s">
        <v>7</v>
      </c>
    </row>
    <row r="684" spans="1:276" x14ac:dyDescent="0.25">
      <c r="A684" s="7">
        <v>0.14648168905398537</v>
      </c>
      <c r="B684"/>
      <c r="C684"/>
      <c r="D684"/>
      <c r="E684"/>
      <c r="F684" s="27" t="s">
        <v>7</v>
      </c>
      <c r="G684" s="27" t="s">
        <v>8</v>
      </c>
      <c r="H684" s="27" t="s">
        <v>7</v>
      </c>
      <c r="M684" s="27" t="s">
        <v>8</v>
      </c>
      <c r="N684" s="27" t="s">
        <v>7</v>
      </c>
      <c r="O684" s="27" t="s">
        <v>8</v>
      </c>
      <c r="P684" s="27" t="s">
        <v>7</v>
      </c>
      <c r="Q684" s="27" t="s">
        <v>8</v>
      </c>
      <c r="BY684" s="27" t="s">
        <v>8</v>
      </c>
      <c r="BZ684" s="27" t="s">
        <v>7</v>
      </c>
      <c r="CA684" s="27" t="s">
        <v>8</v>
      </c>
      <c r="CB684" s="27" t="s">
        <v>7</v>
      </c>
      <c r="CC684" s="27" t="s">
        <v>8</v>
      </c>
      <c r="CD684" s="27" t="s">
        <v>7</v>
      </c>
      <c r="CE684" s="27" t="s">
        <v>8</v>
      </c>
      <c r="CG684" s="27" t="s">
        <v>8</v>
      </c>
      <c r="CI684" s="27" t="s">
        <v>8</v>
      </c>
      <c r="CJ684" s="27" t="s">
        <v>7</v>
      </c>
      <c r="CK684" s="27" t="s">
        <v>8</v>
      </c>
      <c r="CL684" s="27" t="s">
        <v>7</v>
      </c>
      <c r="CM684" s="27" t="s">
        <v>8</v>
      </c>
      <c r="CN684" s="27" t="s">
        <v>7</v>
      </c>
      <c r="CO684" s="27" t="s">
        <v>8</v>
      </c>
      <c r="CV684" s="27" t="s">
        <v>7</v>
      </c>
      <c r="CW684" s="27" t="s">
        <v>8</v>
      </c>
      <c r="CX684" s="27" t="s">
        <v>7</v>
      </c>
      <c r="EX684" s="27" t="s">
        <v>7</v>
      </c>
      <c r="EY684" s="27" t="s">
        <v>8</v>
      </c>
      <c r="EZ684" s="27" t="s">
        <v>7</v>
      </c>
      <c r="FA684" s="27" t="s">
        <v>8</v>
      </c>
      <c r="FN684" s="27" t="s">
        <v>7</v>
      </c>
      <c r="FO684" s="27" t="s">
        <v>8</v>
      </c>
      <c r="FP684" s="27" t="s">
        <v>7</v>
      </c>
      <c r="FQ684" s="27" t="s">
        <v>8</v>
      </c>
      <c r="FR684" s="27" t="s">
        <v>7</v>
      </c>
      <c r="FS684" s="27" t="s">
        <v>8</v>
      </c>
      <c r="FT684" s="27" t="s">
        <v>7</v>
      </c>
      <c r="FU684" s="27" t="s">
        <v>8</v>
      </c>
      <c r="FV684" s="27" t="s">
        <v>7</v>
      </c>
      <c r="FW684" s="27" t="s">
        <v>8</v>
      </c>
      <c r="FX684" s="27" t="s">
        <v>7</v>
      </c>
      <c r="FY684" s="27" t="s">
        <v>8</v>
      </c>
      <c r="FZ684" s="27" t="s">
        <v>7</v>
      </c>
      <c r="GC684" s="27" t="s">
        <v>8</v>
      </c>
      <c r="GD684" s="27" t="s">
        <v>7</v>
      </c>
      <c r="GE684" s="27" t="s">
        <v>8</v>
      </c>
      <c r="GF684" s="27" t="s">
        <v>7</v>
      </c>
      <c r="GG684" s="27" t="s">
        <v>8</v>
      </c>
      <c r="JP684" s="27" t="s">
        <v>7</v>
      </c>
    </row>
    <row r="685" spans="1:276" x14ac:dyDescent="0.25">
      <c r="A685" s="7">
        <v>0.14360949907253467</v>
      </c>
      <c r="B685"/>
      <c r="C685"/>
      <c r="D685"/>
      <c r="E685"/>
      <c r="F685" s="27" t="s">
        <v>7</v>
      </c>
      <c r="G685" s="27" t="s">
        <v>8</v>
      </c>
      <c r="H685" s="27" t="s">
        <v>7</v>
      </c>
      <c r="M685" s="27" t="s">
        <v>8</v>
      </c>
      <c r="N685" s="27" t="s">
        <v>7</v>
      </c>
      <c r="O685" s="27" t="s">
        <v>8</v>
      </c>
      <c r="P685" s="27" t="s">
        <v>7</v>
      </c>
      <c r="Q685" s="27" t="s">
        <v>8</v>
      </c>
      <c r="R685" s="27" t="s">
        <v>7</v>
      </c>
      <c r="U685" s="27" t="s">
        <v>8</v>
      </c>
      <c r="BY685" s="27" t="s">
        <v>8</v>
      </c>
      <c r="BZ685" s="27" t="s">
        <v>7</v>
      </c>
      <c r="CA685" s="27" t="s">
        <v>8</v>
      </c>
      <c r="CB685" s="27" t="s">
        <v>7</v>
      </c>
      <c r="CC685" s="27" t="s">
        <v>8</v>
      </c>
      <c r="CD685" s="27" t="s">
        <v>7</v>
      </c>
      <c r="CE685" s="27" t="s">
        <v>8</v>
      </c>
      <c r="CF685" s="27" t="s">
        <v>7</v>
      </c>
      <c r="CG685" s="27" t="s">
        <v>8</v>
      </c>
      <c r="CH685" s="27" t="s">
        <v>7</v>
      </c>
      <c r="CI685" s="27" t="s">
        <v>8</v>
      </c>
      <c r="CJ685" s="27" t="s">
        <v>7</v>
      </c>
      <c r="CK685" s="27" t="s">
        <v>8</v>
      </c>
      <c r="CL685" s="27" t="s">
        <v>7</v>
      </c>
      <c r="CM685" s="27" t="s">
        <v>8</v>
      </c>
      <c r="CN685" s="27" t="s">
        <v>7</v>
      </c>
      <c r="CO685" s="27" t="s">
        <v>8</v>
      </c>
      <c r="CV685" s="27" t="s">
        <v>7</v>
      </c>
      <c r="CW685" s="27" t="s">
        <v>8</v>
      </c>
      <c r="EX685" s="27" t="s">
        <v>7</v>
      </c>
      <c r="EY685" s="27" t="s">
        <v>8</v>
      </c>
      <c r="EZ685" s="27" t="s">
        <v>7</v>
      </c>
      <c r="FA685" s="27" t="s">
        <v>8</v>
      </c>
      <c r="FN685" s="27" t="s">
        <v>7</v>
      </c>
      <c r="FO685" s="27" t="s">
        <v>8</v>
      </c>
      <c r="FP685" s="27" t="s">
        <v>7</v>
      </c>
      <c r="FQ685" s="27" t="s">
        <v>8</v>
      </c>
      <c r="FR685" s="27" t="s">
        <v>7</v>
      </c>
      <c r="FS685" s="27" t="s">
        <v>8</v>
      </c>
      <c r="FT685" s="27" t="s">
        <v>7</v>
      </c>
      <c r="FU685" s="27" t="s">
        <v>8</v>
      </c>
      <c r="FV685" s="27" t="s">
        <v>7</v>
      </c>
      <c r="FW685" s="27" t="s">
        <v>8</v>
      </c>
      <c r="FX685" s="27" t="s">
        <v>7</v>
      </c>
      <c r="FY685" s="27" t="s">
        <v>8</v>
      </c>
      <c r="FZ685" s="27" t="s">
        <v>7</v>
      </c>
      <c r="GC685" s="27" t="s">
        <v>8</v>
      </c>
      <c r="GD685" s="27" t="s">
        <v>7</v>
      </c>
      <c r="GF685" s="27" t="s">
        <v>7</v>
      </c>
      <c r="JP685" s="27" t="s">
        <v>7</v>
      </c>
    </row>
    <row r="686" spans="1:276" x14ac:dyDescent="0.25">
      <c r="A686" s="7">
        <v>0.14079362654170066</v>
      </c>
      <c r="B686"/>
      <c r="C686"/>
      <c r="D686"/>
      <c r="E686"/>
      <c r="F686" s="27" t="s">
        <v>7</v>
      </c>
      <c r="G686" s="27" t="s">
        <v>8</v>
      </c>
      <c r="H686" s="27" t="s">
        <v>7</v>
      </c>
      <c r="M686" s="27" t="s">
        <v>8</v>
      </c>
      <c r="N686" s="27" t="s">
        <v>7</v>
      </c>
      <c r="O686" s="27" t="s">
        <v>8</v>
      </c>
      <c r="P686" s="27" t="s">
        <v>7</v>
      </c>
      <c r="Q686" s="27" t="s">
        <v>8</v>
      </c>
      <c r="R686" s="27" t="s">
        <v>7</v>
      </c>
      <c r="U686" s="27" t="s">
        <v>8</v>
      </c>
      <c r="V686" s="27" t="s">
        <v>7</v>
      </c>
      <c r="BY686" s="27" t="s">
        <v>8</v>
      </c>
      <c r="BZ686" s="27" t="s">
        <v>7</v>
      </c>
      <c r="CA686" s="27" t="s">
        <v>8</v>
      </c>
      <c r="CB686" s="27" t="s">
        <v>7</v>
      </c>
      <c r="CC686" s="27" t="s">
        <v>8</v>
      </c>
      <c r="CD686" s="27" t="s">
        <v>7</v>
      </c>
      <c r="CE686" s="27" t="s">
        <v>8</v>
      </c>
      <c r="CF686" s="27" t="s">
        <v>7</v>
      </c>
      <c r="CG686" s="27" t="s">
        <v>8</v>
      </c>
      <c r="CH686" s="27" t="s">
        <v>7</v>
      </c>
      <c r="CI686" s="27" t="s">
        <v>8</v>
      </c>
      <c r="CJ686" s="27" t="s">
        <v>7</v>
      </c>
      <c r="CL686" s="27" t="s">
        <v>7</v>
      </c>
      <c r="CM686" s="27" t="s">
        <v>8</v>
      </c>
      <c r="CN686" s="27" t="s">
        <v>7</v>
      </c>
      <c r="CO686" s="27" t="s">
        <v>8</v>
      </c>
      <c r="CV686" s="27" t="s">
        <v>7</v>
      </c>
      <c r="CW686" s="27" t="s">
        <v>8</v>
      </c>
      <c r="EX686" s="27" t="s">
        <v>7</v>
      </c>
      <c r="EZ686" s="27" t="s">
        <v>7</v>
      </c>
      <c r="FA686" s="27" t="s">
        <v>8</v>
      </c>
      <c r="FN686" s="27" t="s">
        <v>7</v>
      </c>
      <c r="FO686" s="27" t="s">
        <v>8</v>
      </c>
      <c r="FP686" s="27" t="s">
        <v>7</v>
      </c>
      <c r="FQ686" s="27" t="s">
        <v>8</v>
      </c>
      <c r="FR686" s="27" t="s">
        <v>7</v>
      </c>
      <c r="FS686" s="27" t="s">
        <v>8</v>
      </c>
      <c r="FT686" s="27" t="s">
        <v>7</v>
      </c>
      <c r="FV686" s="27" t="s">
        <v>7</v>
      </c>
      <c r="FX686" s="27" t="s">
        <v>7</v>
      </c>
      <c r="FY686" s="27" t="s">
        <v>8</v>
      </c>
      <c r="FZ686" s="27" t="s">
        <v>7</v>
      </c>
      <c r="GA686" s="27" t="s">
        <v>8</v>
      </c>
      <c r="GC686" s="27" t="s">
        <v>8</v>
      </c>
      <c r="JP686" s="27" t="s">
        <v>7</v>
      </c>
    </row>
    <row r="687" spans="1:276" x14ac:dyDescent="0.25">
      <c r="A687" s="7">
        <v>0.13803296719774574</v>
      </c>
      <c r="B687"/>
      <c r="C687"/>
      <c r="D687"/>
      <c r="E687"/>
      <c r="F687" s="27" t="s">
        <v>7</v>
      </c>
      <c r="G687" s="27" t="s">
        <v>8</v>
      </c>
      <c r="H687" s="27" t="s">
        <v>7</v>
      </c>
      <c r="M687" s="27" t="s">
        <v>8</v>
      </c>
      <c r="N687" s="27" t="s">
        <v>7</v>
      </c>
      <c r="O687" s="27" t="s">
        <v>8</v>
      </c>
      <c r="P687" s="27" t="s">
        <v>7</v>
      </c>
      <c r="Q687" s="27" t="s">
        <v>8</v>
      </c>
      <c r="R687" s="27" t="s">
        <v>7</v>
      </c>
      <c r="U687" s="27" t="s">
        <v>8</v>
      </c>
      <c r="V687" s="27" t="s">
        <v>7</v>
      </c>
      <c r="BY687" s="27" t="s">
        <v>8</v>
      </c>
      <c r="BZ687" s="27" t="s">
        <v>7</v>
      </c>
      <c r="CA687" s="27" t="s">
        <v>8</v>
      </c>
      <c r="CB687" s="27" t="s">
        <v>7</v>
      </c>
      <c r="CC687" s="27" t="s">
        <v>8</v>
      </c>
      <c r="CD687" s="27" t="s">
        <v>7</v>
      </c>
      <c r="CE687" s="27" t="s">
        <v>8</v>
      </c>
      <c r="CF687" s="27" t="s">
        <v>7</v>
      </c>
      <c r="CG687" s="27" t="s">
        <v>8</v>
      </c>
      <c r="CH687" s="27" t="s">
        <v>7</v>
      </c>
      <c r="CI687" s="27" t="s">
        <v>8</v>
      </c>
      <c r="CL687" s="27" t="s">
        <v>7</v>
      </c>
      <c r="CM687" s="27" t="s">
        <v>8</v>
      </c>
      <c r="CN687" s="27" t="s">
        <v>7</v>
      </c>
      <c r="CO687" s="27" t="s">
        <v>8</v>
      </c>
      <c r="CV687" s="27" t="s">
        <v>7</v>
      </c>
      <c r="CW687" s="27" t="s">
        <v>8</v>
      </c>
      <c r="EZ687" s="27" t="s">
        <v>7</v>
      </c>
      <c r="FA687" s="27" t="s">
        <v>8</v>
      </c>
      <c r="FN687" s="27" t="s">
        <v>7</v>
      </c>
      <c r="FO687" s="27" t="s">
        <v>8</v>
      </c>
      <c r="FP687" s="27" t="s">
        <v>7</v>
      </c>
      <c r="FQ687" s="27" t="s">
        <v>8</v>
      </c>
      <c r="FR687" s="27" t="s">
        <v>7</v>
      </c>
      <c r="FS687" s="27" t="s">
        <v>8</v>
      </c>
      <c r="FX687" s="27" t="s">
        <v>7</v>
      </c>
      <c r="FY687" s="27" t="s">
        <v>8</v>
      </c>
      <c r="FZ687" s="27" t="s">
        <v>7</v>
      </c>
      <c r="GA687" s="27" t="s">
        <v>8</v>
      </c>
      <c r="GB687" s="27" t="s">
        <v>7</v>
      </c>
      <c r="GC687" s="27" t="s">
        <v>8</v>
      </c>
      <c r="JP687" s="27" t="s">
        <v>7</v>
      </c>
    </row>
    <row r="688" spans="1:276" x14ac:dyDescent="0.25">
      <c r="A688" s="7">
        <v>0.1353264384291625</v>
      </c>
      <c r="B688"/>
      <c r="C688"/>
      <c r="D688"/>
      <c r="E688"/>
      <c r="F688" s="27" t="s">
        <v>7</v>
      </c>
      <c r="G688" s="27" t="s">
        <v>8</v>
      </c>
      <c r="H688" s="27" t="s">
        <v>7</v>
      </c>
      <c r="M688" s="27" t="s">
        <v>8</v>
      </c>
      <c r="N688" s="27" t="s">
        <v>7</v>
      </c>
      <c r="O688" s="27" t="s">
        <v>8</v>
      </c>
      <c r="P688" s="27" t="s">
        <v>7</v>
      </c>
      <c r="Q688" s="27" t="s">
        <v>8</v>
      </c>
      <c r="R688" s="27" t="s">
        <v>7</v>
      </c>
      <c r="U688" s="27" t="s">
        <v>8</v>
      </c>
      <c r="V688" s="27" t="s">
        <v>7</v>
      </c>
      <c r="BY688" s="27" t="s">
        <v>8</v>
      </c>
      <c r="BZ688" s="27" t="s">
        <v>7</v>
      </c>
      <c r="CA688" s="27" t="s">
        <v>8</v>
      </c>
      <c r="CB688" s="27" t="s">
        <v>7</v>
      </c>
      <c r="CC688" s="27" t="s">
        <v>8</v>
      </c>
      <c r="CD688" s="27" t="s">
        <v>7</v>
      </c>
      <c r="CE688" s="27" t="s">
        <v>8</v>
      </c>
      <c r="CF688" s="27" t="s">
        <v>7</v>
      </c>
      <c r="CG688" s="27" t="s">
        <v>8</v>
      </c>
      <c r="CH688" s="27" t="s">
        <v>7</v>
      </c>
      <c r="CI688" s="27" t="s">
        <v>8</v>
      </c>
      <c r="CL688" s="27" t="s">
        <v>7</v>
      </c>
      <c r="CM688" s="27" t="s">
        <v>8</v>
      </c>
      <c r="CN688" s="27" t="s">
        <v>7</v>
      </c>
      <c r="CO688" s="27" t="s">
        <v>8</v>
      </c>
      <c r="CV688" s="27" t="s">
        <v>7</v>
      </c>
      <c r="CW688" s="27" t="s">
        <v>8</v>
      </c>
      <c r="EZ688" s="27" t="s">
        <v>7</v>
      </c>
      <c r="FA688" s="27" t="s">
        <v>8</v>
      </c>
      <c r="FN688" s="27" t="s">
        <v>7</v>
      </c>
      <c r="FO688" s="27" t="s">
        <v>8</v>
      </c>
      <c r="FP688" s="27" t="s">
        <v>7</v>
      </c>
      <c r="FQ688" s="27" t="s">
        <v>8</v>
      </c>
      <c r="FR688" s="27" t="s">
        <v>7</v>
      </c>
      <c r="FS688" s="27" t="s">
        <v>8</v>
      </c>
      <c r="FX688" s="27" t="s">
        <v>7</v>
      </c>
      <c r="FY688" s="27" t="s">
        <v>8</v>
      </c>
      <c r="FZ688" s="27" t="s">
        <v>7</v>
      </c>
      <c r="GA688" s="27" t="s">
        <v>8</v>
      </c>
      <c r="GB688" s="27" t="s">
        <v>7</v>
      </c>
      <c r="GC688" s="27" t="s">
        <v>8</v>
      </c>
      <c r="JP688" s="27" t="s">
        <v>7</v>
      </c>
    </row>
    <row r="689" spans="1:280" x14ac:dyDescent="0.25">
      <c r="A689" s="7">
        <v>0.13267297885212009</v>
      </c>
      <c r="B689"/>
      <c r="C689"/>
      <c r="D689"/>
      <c r="E689"/>
      <c r="F689" s="27" t="s">
        <v>7</v>
      </c>
      <c r="G689" s="27" t="s">
        <v>8</v>
      </c>
      <c r="H689" s="27" t="s">
        <v>7</v>
      </c>
      <c r="K689" s="27" t="s">
        <v>8</v>
      </c>
      <c r="M689" s="27" t="s">
        <v>8</v>
      </c>
      <c r="N689" s="27" t="s">
        <v>7</v>
      </c>
      <c r="O689" s="27" t="s">
        <v>8</v>
      </c>
      <c r="P689" s="27" t="s">
        <v>7</v>
      </c>
      <c r="Q689" s="27" t="s">
        <v>8</v>
      </c>
      <c r="R689" s="27" t="s">
        <v>7</v>
      </c>
      <c r="U689" s="27" t="s">
        <v>8</v>
      </c>
      <c r="V689" s="27" t="s">
        <v>7</v>
      </c>
      <c r="BY689" s="27" t="s">
        <v>8</v>
      </c>
      <c r="BZ689" s="27" t="s">
        <v>7</v>
      </c>
      <c r="CA689" s="27" t="s">
        <v>8</v>
      </c>
      <c r="CB689" s="27" t="s">
        <v>7</v>
      </c>
      <c r="CC689" s="27" t="s">
        <v>8</v>
      </c>
      <c r="CD689" s="27" t="s">
        <v>7</v>
      </c>
      <c r="CE689" s="27" t="s">
        <v>8</v>
      </c>
      <c r="CF689" s="27" t="s">
        <v>7</v>
      </c>
      <c r="CH689" s="27" t="s">
        <v>7</v>
      </c>
      <c r="CL689" s="27" t="s">
        <v>7</v>
      </c>
      <c r="CM689" s="27" t="s">
        <v>8</v>
      </c>
      <c r="CN689" s="27" t="s">
        <v>7</v>
      </c>
      <c r="CV689" s="27" t="s">
        <v>7</v>
      </c>
      <c r="CW689" s="27" t="s">
        <v>8</v>
      </c>
      <c r="EZ689" s="27" t="s">
        <v>7</v>
      </c>
      <c r="FA689" s="27" t="s">
        <v>8</v>
      </c>
      <c r="FN689" s="27" t="s">
        <v>7</v>
      </c>
      <c r="FO689" s="27" t="s">
        <v>8</v>
      </c>
      <c r="FP689" s="27" t="s">
        <v>7</v>
      </c>
      <c r="FQ689" s="27" t="s">
        <v>8</v>
      </c>
      <c r="FR689" s="27" t="s">
        <v>7</v>
      </c>
      <c r="FX689" s="27" t="s">
        <v>7</v>
      </c>
      <c r="FY689" s="27" t="s">
        <v>8</v>
      </c>
      <c r="FZ689" s="27" t="s">
        <v>7</v>
      </c>
      <c r="GA689" s="27" t="s">
        <v>8</v>
      </c>
      <c r="GB689" s="27" t="s">
        <v>7</v>
      </c>
      <c r="GC689" s="27" t="s">
        <v>8</v>
      </c>
      <c r="JP689" s="27" t="s">
        <v>7</v>
      </c>
      <c r="JS689" s="27" t="s">
        <v>8</v>
      </c>
    </row>
    <row r="690" spans="1:280" x14ac:dyDescent="0.25">
      <c r="A690" s="7">
        <v>0.13007154789423539</v>
      </c>
      <c r="B690"/>
      <c r="C690"/>
      <c r="D690"/>
      <c r="E690"/>
      <c r="F690" s="27" t="s">
        <v>7</v>
      </c>
      <c r="G690" s="27" t="s">
        <v>8</v>
      </c>
      <c r="H690" s="27" t="s">
        <v>7</v>
      </c>
      <c r="K690" s="27" t="s">
        <v>8</v>
      </c>
      <c r="L690" s="27" t="s">
        <v>7</v>
      </c>
      <c r="M690" s="27" t="s">
        <v>8</v>
      </c>
      <c r="N690" s="27" t="s">
        <v>7</v>
      </c>
      <c r="O690" s="27" t="s">
        <v>8</v>
      </c>
      <c r="P690" s="27" t="s">
        <v>7</v>
      </c>
      <c r="Q690" s="27" t="s">
        <v>8</v>
      </c>
      <c r="R690" s="27" t="s">
        <v>7</v>
      </c>
      <c r="U690" s="27" t="s">
        <v>8</v>
      </c>
      <c r="V690" s="27" t="s">
        <v>7</v>
      </c>
      <c r="AI690" s="27" t="s">
        <v>8</v>
      </c>
      <c r="BY690" s="27" t="s">
        <v>8</v>
      </c>
      <c r="BZ690" s="27" t="s">
        <v>7</v>
      </c>
      <c r="CA690" s="27" t="s">
        <v>8</v>
      </c>
      <c r="CB690" s="27" t="s">
        <v>7</v>
      </c>
      <c r="CD690" s="27" t="s">
        <v>7</v>
      </c>
      <c r="CE690" s="27" t="s">
        <v>8</v>
      </c>
      <c r="CL690" s="27" t="s">
        <v>7</v>
      </c>
      <c r="CM690" s="27" t="s">
        <v>8</v>
      </c>
      <c r="CV690" s="27" t="s">
        <v>7</v>
      </c>
      <c r="CW690" s="27" t="s">
        <v>8</v>
      </c>
      <c r="EZ690" s="27" t="s">
        <v>7</v>
      </c>
      <c r="FA690" s="27" t="s">
        <v>8</v>
      </c>
      <c r="FN690" s="27" t="s">
        <v>7</v>
      </c>
      <c r="FO690" s="27" t="s">
        <v>8</v>
      </c>
      <c r="FP690" s="27" t="s">
        <v>7</v>
      </c>
      <c r="FQ690" s="27" t="s">
        <v>8</v>
      </c>
      <c r="FX690" s="27" t="s">
        <v>7</v>
      </c>
      <c r="FZ690" s="27" t="s">
        <v>7</v>
      </c>
      <c r="GB690" s="27" t="s">
        <v>7</v>
      </c>
      <c r="GC690" s="27" t="s">
        <v>8</v>
      </c>
      <c r="JP690" s="27" t="s">
        <v>7</v>
      </c>
      <c r="JS690" s="27" t="s">
        <v>8</v>
      </c>
      <c r="JT690" s="27" t="s">
        <v>7</v>
      </c>
    </row>
    <row r="691" spans="1:280" x14ac:dyDescent="0.25">
      <c r="A691" s="7">
        <v>0.12752112538650529</v>
      </c>
      <c r="B691"/>
      <c r="C691"/>
      <c r="D691"/>
      <c r="E691"/>
      <c r="F691" s="27" t="s">
        <v>7</v>
      </c>
      <c r="G691" s="27" t="s">
        <v>8</v>
      </c>
      <c r="H691" s="27" t="s">
        <v>7</v>
      </c>
      <c r="K691" s="27" t="s">
        <v>8</v>
      </c>
      <c r="L691" s="27" t="s">
        <v>7</v>
      </c>
      <c r="M691" s="27" t="s">
        <v>8</v>
      </c>
      <c r="N691" s="27" t="s">
        <v>7</v>
      </c>
      <c r="O691" s="27" t="s">
        <v>8</v>
      </c>
      <c r="P691" s="27" t="s">
        <v>7</v>
      </c>
      <c r="Q691" s="27" t="s">
        <v>8</v>
      </c>
      <c r="R691" s="27" t="s">
        <v>7</v>
      </c>
      <c r="S691" s="27" t="s">
        <v>8</v>
      </c>
      <c r="U691" s="27" t="s">
        <v>8</v>
      </c>
      <c r="V691" s="27" t="s">
        <v>7</v>
      </c>
      <c r="AI691" s="27" t="s">
        <v>8</v>
      </c>
      <c r="AJ691" s="27" t="s">
        <v>7</v>
      </c>
      <c r="BY691" s="27" t="s">
        <v>8</v>
      </c>
      <c r="BZ691" s="27" t="s">
        <v>7</v>
      </c>
      <c r="CA691" s="27" t="s">
        <v>8</v>
      </c>
      <c r="CD691" s="27" t="s">
        <v>7</v>
      </c>
      <c r="CE691" s="27" t="s">
        <v>8</v>
      </c>
      <c r="CL691" s="27" t="s">
        <v>7</v>
      </c>
      <c r="CV691" s="27" t="s">
        <v>7</v>
      </c>
      <c r="CW691" s="27" t="s">
        <v>8</v>
      </c>
      <c r="EZ691" s="27" t="s">
        <v>7</v>
      </c>
      <c r="FA691" s="27" t="s">
        <v>8</v>
      </c>
      <c r="FN691" s="27" t="s">
        <v>7</v>
      </c>
      <c r="FO691" s="27" t="s">
        <v>8</v>
      </c>
      <c r="FP691" s="27" t="s">
        <v>7</v>
      </c>
      <c r="FQ691" s="27" t="s">
        <v>8</v>
      </c>
      <c r="GB691" s="27" t="s">
        <v>7</v>
      </c>
      <c r="GC691" s="27" t="s">
        <v>8</v>
      </c>
      <c r="JP691" s="27" t="s">
        <v>7</v>
      </c>
      <c r="JQ691" s="27" t="s">
        <v>8</v>
      </c>
      <c r="JS691" s="27" t="s">
        <v>8</v>
      </c>
      <c r="JT691" s="27" t="s">
        <v>7</v>
      </c>
    </row>
    <row r="692" spans="1:280" x14ac:dyDescent="0.25">
      <c r="A692" s="7">
        <v>0.12502071116324048</v>
      </c>
      <c r="B692"/>
      <c r="C692"/>
      <c r="D692"/>
      <c r="E692"/>
      <c r="F692" s="27" t="s">
        <v>7</v>
      </c>
      <c r="G692" s="27" t="s">
        <v>8</v>
      </c>
      <c r="H692" s="27" t="s">
        <v>7</v>
      </c>
      <c r="I692" s="27" t="s">
        <v>8</v>
      </c>
      <c r="K692" s="27" t="s">
        <v>8</v>
      </c>
      <c r="L692" s="27" t="s">
        <v>7</v>
      </c>
      <c r="M692" s="27" t="s">
        <v>8</v>
      </c>
      <c r="N692" s="27" t="s">
        <v>7</v>
      </c>
      <c r="O692" s="27" t="s">
        <v>8</v>
      </c>
      <c r="P692" s="27" t="s">
        <v>7</v>
      </c>
      <c r="Q692" s="27" t="s">
        <v>8</v>
      </c>
      <c r="R692" s="27" t="s">
        <v>7</v>
      </c>
      <c r="S692" s="27" t="s">
        <v>8</v>
      </c>
      <c r="T692" s="27" t="s">
        <v>7</v>
      </c>
      <c r="U692" s="27" t="s">
        <v>8</v>
      </c>
      <c r="V692" s="27" t="s">
        <v>7</v>
      </c>
      <c r="W692" s="27" t="s">
        <v>8</v>
      </c>
      <c r="AI692" s="27" t="s">
        <v>8</v>
      </c>
      <c r="AJ692" s="27" t="s">
        <v>7</v>
      </c>
      <c r="BY692" s="27" t="s">
        <v>8</v>
      </c>
      <c r="BZ692" s="27" t="s">
        <v>7</v>
      </c>
      <c r="CA692" s="27" t="s">
        <v>8</v>
      </c>
      <c r="CD692" s="27" t="s">
        <v>7</v>
      </c>
      <c r="CE692" s="27" t="s">
        <v>8</v>
      </c>
      <c r="CV692" s="27" t="s">
        <v>7</v>
      </c>
      <c r="CW692" s="27" t="s">
        <v>8</v>
      </c>
      <c r="EZ692" s="27" t="s">
        <v>7</v>
      </c>
      <c r="FA692" s="27" t="s">
        <v>8</v>
      </c>
      <c r="FN692" s="27" t="s">
        <v>7</v>
      </c>
      <c r="FO692" s="27" t="s">
        <v>8</v>
      </c>
      <c r="FP692" s="27" t="s">
        <v>7</v>
      </c>
      <c r="FQ692" s="27" t="s">
        <v>8</v>
      </c>
      <c r="GB692" s="18" t="s">
        <v>7</v>
      </c>
      <c r="GC692" s="27" t="s">
        <v>8</v>
      </c>
      <c r="JP692" s="27" t="s">
        <v>7</v>
      </c>
      <c r="JQ692" s="27" t="s">
        <v>8</v>
      </c>
      <c r="JR692" s="27" t="s">
        <v>7</v>
      </c>
      <c r="JS692" s="27" t="s">
        <v>8</v>
      </c>
      <c r="JT692" s="27" t="s">
        <v>7</v>
      </c>
    </row>
    <row r="693" spans="1:280" x14ac:dyDescent="0.25">
      <c r="A693" s="7">
        <v>0.1225693246698436</v>
      </c>
      <c r="B693"/>
      <c r="C693"/>
      <c r="D693"/>
      <c r="E693"/>
      <c r="F693" s="27" t="s">
        <v>7</v>
      </c>
      <c r="G693" s="27" t="s">
        <v>8</v>
      </c>
      <c r="H693" s="27" t="s">
        <v>7</v>
      </c>
      <c r="I693" s="27" t="s">
        <v>8</v>
      </c>
      <c r="J693" s="27" t="s">
        <v>7</v>
      </c>
      <c r="K693" s="27" t="s">
        <v>8</v>
      </c>
      <c r="L693" s="27" t="s">
        <v>7</v>
      </c>
      <c r="M693" s="27" t="s">
        <v>8</v>
      </c>
      <c r="N693" s="27" t="s">
        <v>7</v>
      </c>
      <c r="O693" s="27" t="s">
        <v>8</v>
      </c>
      <c r="P693" s="27" t="s">
        <v>7</v>
      </c>
      <c r="Q693" s="27" t="s">
        <v>8</v>
      </c>
      <c r="R693" s="27" t="s">
        <v>7</v>
      </c>
      <c r="S693" s="27" t="s">
        <v>8</v>
      </c>
      <c r="T693" s="27" t="s">
        <v>7</v>
      </c>
      <c r="U693" s="27" t="s">
        <v>8</v>
      </c>
      <c r="V693" s="27" t="s">
        <v>7</v>
      </c>
      <c r="W693" s="27" t="s">
        <v>8</v>
      </c>
      <c r="X693" s="27" t="s">
        <v>7</v>
      </c>
      <c r="AI693" s="27" t="s">
        <v>8</v>
      </c>
      <c r="AJ693" s="27" t="s">
        <v>7</v>
      </c>
      <c r="BY693" s="27" t="s">
        <v>8</v>
      </c>
      <c r="BZ693" s="27" t="s">
        <v>7</v>
      </c>
      <c r="CA693" s="27" t="s">
        <v>8</v>
      </c>
      <c r="CD693" s="27" t="s">
        <v>7</v>
      </c>
      <c r="CE693" s="27" t="s">
        <v>8</v>
      </c>
      <c r="CV693" s="27" t="s">
        <v>7</v>
      </c>
      <c r="CW693" s="27" t="s">
        <v>8</v>
      </c>
      <c r="EZ693" s="27" t="s">
        <v>7</v>
      </c>
      <c r="FA693" s="27" t="s">
        <v>8</v>
      </c>
      <c r="FN693" s="27" t="s">
        <v>7</v>
      </c>
      <c r="FO693" s="27" t="s">
        <v>8</v>
      </c>
      <c r="FP693" s="27" t="s">
        <v>7</v>
      </c>
      <c r="FQ693" s="27" t="s">
        <v>8</v>
      </c>
      <c r="GB693" s="27" t="s">
        <v>7</v>
      </c>
      <c r="GC693" s="27" t="s">
        <v>8</v>
      </c>
      <c r="JP693" s="27" t="s">
        <v>7</v>
      </c>
      <c r="JQ693" s="27" t="s">
        <v>8</v>
      </c>
      <c r="JR693" s="27" t="s">
        <v>7</v>
      </c>
      <c r="JS693" s="27" t="s">
        <v>8</v>
      </c>
      <c r="JT693" s="27" t="s">
        <v>7</v>
      </c>
    </row>
    <row r="694" spans="1:280" x14ac:dyDescent="0.25">
      <c r="A694" s="7">
        <v>0.12016600457827803</v>
      </c>
      <c r="B694"/>
      <c r="C694"/>
      <c r="D694"/>
      <c r="E694"/>
      <c r="F694" s="27" t="s">
        <v>7</v>
      </c>
      <c r="G694" s="27" t="s">
        <v>8</v>
      </c>
      <c r="H694" s="27" t="s">
        <v>7</v>
      </c>
      <c r="I694" s="27" t="s">
        <v>8</v>
      </c>
      <c r="J694" s="27" t="s">
        <v>7</v>
      </c>
      <c r="K694" s="27" t="s">
        <v>8</v>
      </c>
      <c r="L694" s="27" t="s">
        <v>7</v>
      </c>
      <c r="M694" s="27" t="s">
        <v>8</v>
      </c>
      <c r="N694" s="27" t="s">
        <v>7</v>
      </c>
      <c r="O694" s="27" t="s">
        <v>8</v>
      </c>
      <c r="P694" s="27" t="s">
        <v>7</v>
      </c>
      <c r="Q694" s="27" t="s">
        <v>8</v>
      </c>
      <c r="R694" s="27" t="s">
        <v>7</v>
      </c>
      <c r="S694" s="27" t="s">
        <v>8</v>
      </c>
      <c r="T694" s="27" t="s">
        <v>7</v>
      </c>
      <c r="U694" s="27" t="s">
        <v>8</v>
      </c>
      <c r="V694" s="27" t="s">
        <v>7</v>
      </c>
      <c r="W694" s="27" t="s">
        <v>8</v>
      </c>
      <c r="X694" s="27" t="s">
        <v>7</v>
      </c>
      <c r="AC694" s="27" t="s">
        <v>8</v>
      </c>
      <c r="AI694" s="27" t="s">
        <v>8</v>
      </c>
      <c r="AJ694" s="27" t="s">
        <v>7</v>
      </c>
      <c r="BY694" s="27" t="s">
        <v>8</v>
      </c>
      <c r="BZ694" s="27" t="s">
        <v>7</v>
      </c>
      <c r="CA694" s="27" t="s">
        <v>8</v>
      </c>
      <c r="CD694" s="27" t="s">
        <v>7</v>
      </c>
      <c r="CV694" s="27" t="s">
        <v>7</v>
      </c>
      <c r="CW694" s="27" t="s">
        <v>8</v>
      </c>
      <c r="EZ694" s="27" t="s">
        <v>7</v>
      </c>
      <c r="FA694" s="27" t="s">
        <v>8</v>
      </c>
      <c r="FN694" s="27" t="s">
        <v>7</v>
      </c>
      <c r="FO694" s="27" t="s">
        <v>8</v>
      </c>
      <c r="FP694" s="27" t="s">
        <v>7</v>
      </c>
      <c r="GB694" s="27" t="s">
        <v>7</v>
      </c>
      <c r="GC694" s="27" t="s">
        <v>8</v>
      </c>
      <c r="JP694" s="27" t="s">
        <v>7</v>
      </c>
      <c r="JQ694" s="27" t="s">
        <v>8</v>
      </c>
      <c r="JR694" s="27" t="s">
        <v>7</v>
      </c>
      <c r="JS694" s="27" t="s">
        <v>8</v>
      </c>
      <c r="JT694" s="27" t="s">
        <v>7</v>
      </c>
    </row>
    <row r="695" spans="1:280" x14ac:dyDescent="0.25">
      <c r="A695" s="7">
        <v>0.1178098084100765</v>
      </c>
      <c r="B695"/>
      <c r="C695"/>
      <c r="D695"/>
      <c r="E695"/>
      <c r="F695" s="27" t="s">
        <v>7</v>
      </c>
      <c r="G695" s="27" t="s">
        <v>8</v>
      </c>
      <c r="H695" s="27" t="s">
        <v>7</v>
      </c>
      <c r="I695" s="27" t="s">
        <v>8</v>
      </c>
      <c r="J695" s="27" t="s">
        <v>7</v>
      </c>
      <c r="K695" s="27" t="s">
        <v>8</v>
      </c>
      <c r="L695" s="27" t="s">
        <v>7</v>
      </c>
      <c r="M695" s="27" t="s">
        <v>8</v>
      </c>
      <c r="N695" s="27" t="s">
        <v>7</v>
      </c>
      <c r="O695" s="27" t="s">
        <v>8</v>
      </c>
      <c r="P695" s="27" t="s">
        <v>7</v>
      </c>
      <c r="Q695" s="27" t="s">
        <v>8</v>
      </c>
      <c r="R695" s="27" t="s">
        <v>7</v>
      </c>
      <c r="S695" s="27" t="s">
        <v>8</v>
      </c>
      <c r="T695" s="27" t="s">
        <v>7</v>
      </c>
      <c r="U695" s="27" t="s">
        <v>8</v>
      </c>
      <c r="V695" s="27" t="s">
        <v>7</v>
      </c>
      <c r="W695" s="27" t="s">
        <v>8</v>
      </c>
      <c r="X695" s="27" t="s">
        <v>7</v>
      </c>
      <c r="AC695" s="27" t="s">
        <v>8</v>
      </c>
      <c r="AD695" s="27" t="s">
        <v>7</v>
      </c>
      <c r="AI695" s="27" t="s">
        <v>8</v>
      </c>
      <c r="AJ695" s="27" t="s">
        <v>7</v>
      </c>
      <c r="BY695" s="27" t="s">
        <v>8</v>
      </c>
      <c r="BZ695" s="27" t="s">
        <v>7</v>
      </c>
      <c r="CA695" s="27" t="s">
        <v>8</v>
      </c>
      <c r="CV695" s="27" t="s">
        <v>7</v>
      </c>
      <c r="CW695" s="27" t="s">
        <v>8</v>
      </c>
      <c r="EZ695" s="27" t="s">
        <v>7</v>
      </c>
      <c r="FA695" s="27" t="s">
        <v>8</v>
      </c>
      <c r="FN695" s="27" t="s">
        <v>7</v>
      </c>
      <c r="FO695" s="27" t="s">
        <v>8</v>
      </c>
      <c r="GB695" s="27" t="s">
        <v>7</v>
      </c>
      <c r="GC695" s="27" t="s">
        <v>8</v>
      </c>
      <c r="JP695" s="27" t="s">
        <v>7</v>
      </c>
      <c r="JQ695" s="27" t="s">
        <v>8</v>
      </c>
      <c r="JR695" s="27" t="s">
        <v>7</v>
      </c>
      <c r="JS695" s="27" t="s">
        <v>8</v>
      </c>
    </row>
    <row r="696" spans="1:280" x14ac:dyDescent="0.25">
      <c r="A696" s="7">
        <v>0.11549981216674166</v>
      </c>
      <c r="B696"/>
      <c r="C696"/>
      <c r="D696"/>
      <c r="E696"/>
      <c r="F696" s="27" t="s">
        <v>7</v>
      </c>
      <c r="G696" s="27" t="s">
        <v>8</v>
      </c>
      <c r="H696" s="27" t="s">
        <v>7</v>
      </c>
      <c r="I696" s="27" t="s">
        <v>8</v>
      </c>
      <c r="J696" s="27" t="s">
        <v>7</v>
      </c>
      <c r="K696" s="27" t="s">
        <v>8</v>
      </c>
      <c r="L696" s="27" t="s">
        <v>7</v>
      </c>
      <c r="M696" s="27" t="s">
        <v>8</v>
      </c>
      <c r="N696" s="27" t="s">
        <v>7</v>
      </c>
      <c r="O696" s="27" t="s">
        <v>8</v>
      </c>
      <c r="P696" s="27" t="s">
        <v>7</v>
      </c>
      <c r="Q696" s="27" t="s">
        <v>8</v>
      </c>
      <c r="R696" s="27" t="s">
        <v>7</v>
      </c>
      <c r="S696" s="27" t="s">
        <v>8</v>
      </c>
      <c r="T696" s="27" t="s">
        <v>7</v>
      </c>
      <c r="U696" s="27" t="s">
        <v>8</v>
      </c>
      <c r="V696" s="27" t="s">
        <v>7</v>
      </c>
      <c r="W696" s="27" t="s">
        <v>8</v>
      </c>
      <c r="X696" s="27" t="s">
        <v>7</v>
      </c>
      <c r="AC696" s="27" t="s">
        <v>8</v>
      </c>
      <c r="AD696" s="27" t="s">
        <v>7</v>
      </c>
      <c r="AI696" s="27" t="s">
        <v>8</v>
      </c>
      <c r="AJ696" s="27" t="s">
        <v>7</v>
      </c>
      <c r="BY696" s="27" t="s">
        <v>8</v>
      </c>
      <c r="BZ696" s="27" t="s">
        <v>7</v>
      </c>
      <c r="CA696" s="27" t="s">
        <v>8</v>
      </c>
      <c r="CV696" s="27" t="s">
        <v>7</v>
      </c>
      <c r="CW696" s="27" t="s">
        <v>8</v>
      </c>
      <c r="EZ696" s="27" t="s">
        <v>7</v>
      </c>
      <c r="FA696" s="27" t="s">
        <v>8</v>
      </c>
      <c r="FN696" s="27" t="s">
        <v>7</v>
      </c>
      <c r="FO696" s="27" t="s">
        <v>8</v>
      </c>
      <c r="GB696" s="27" t="s">
        <v>7</v>
      </c>
      <c r="GC696" s="27" t="s">
        <v>8</v>
      </c>
      <c r="JP696" s="27" t="s">
        <v>7</v>
      </c>
      <c r="JQ696" s="27" t="s">
        <v>8</v>
      </c>
      <c r="JR696" s="27" t="s">
        <v>7</v>
      </c>
      <c r="JS696" s="27" t="s">
        <v>8</v>
      </c>
    </row>
    <row r="697" spans="1:280" x14ac:dyDescent="0.25">
      <c r="A697" s="7">
        <v>0.11323510996739378</v>
      </c>
      <c r="B697"/>
      <c r="C697"/>
      <c r="D697"/>
      <c r="E697"/>
      <c r="F697" s="27" t="s">
        <v>7</v>
      </c>
      <c r="G697" s="27" t="s">
        <v>8</v>
      </c>
      <c r="H697" s="27" t="s">
        <v>7</v>
      </c>
      <c r="I697" s="27" t="s">
        <v>8</v>
      </c>
      <c r="J697" s="27" t="s">
        <v>7</v>
      </c>
      <c r="K697" s="27" t="s">
        <v>8</v>
      </c>
      <c r="L697" s="27" t="s">
        <v>7</v>
      </c>
      <c r="N697" s="27" t="s">
        <v>7</v>
      </c>
      <c r="O697" s="27" t="s">
        <v>8</v>
      </c>
      <c r="P697" s="27" t="s">
        <v>7</v>
      </c>
      <c r="Q697" s="27" t="s">
        <v>8</v>
      </c>
      <c r="R697" s="27" t="s">
        <v>7</v>
      </c>
      <c r="S697" s="27" t="s">
        <v>8</v>
      </c>
      <c r="T697" s="27" t="s">
        <v>7</v>
      </c>
      <c r="U697" s="27" t="s">
        <v>8</v>
      </c>
      <c r="V697" s="27" t="s">
        <v>7</v>
      </c>
      <c r="W697" s="27" t="s">
        <v>8</v>
      </c>
      <c r="X697" s="27" t="s">
        <v>7</v>
      </c>
      <c r="AC697" s="27" t="s">
        <v>8</v>
      </c>
      <c r="AD697" s="27" t="s">
        <v>7</v>
      </c>
      <c r="AI697" s="27" t="s">
        <v>8</v>
      </c>
      <c r="AJ697" s="27" t="s">
        <v>7</v>
      </c>
      <c r="BY697" s="27" t="s">
        <v>8</v>
      </c>
      <c r="BZ697" s="27" t="s">
        <v>7</v>
      </c>
      <c r="CA697" s="27" t="s">
        <v>8</v>
      </c>
      <c r="CV697" s="27" t="s">
        <v>7</v>
      </c>
      <c r="EZ697" s="27" t="s">
        <v>7</v>
      </c>
      <c r="FN697" s="27" t="s">
        <v>7</v>
      </c>
      <c r="FO697" s="27" t="s">
        <v>8</v>
      </c>
      <c r="GB697" s="27" t="s">
        <v>7</v>
      </c>
      <c r="GC697" s="27" t="s">
        <v>8</v>
      </c>
      <c r="JP697" s="27" t="s">
        <v>7</v>
      </c>
      <c r="JR697" s="27" t="s">
        <v>7</v>
      </c>
      <c r="JS697" s="27" t="s">
        <v>8</v>
      </c>
    </row>
    <row r="698" spans="1:280" x14ac:dyDescent="0.25">
      <c r="A698" s="7">
        <v>0.11101481369352331</v>
      </c>
      <c r="B698"/>
      <c r="C698"/>
      <c r="D698"/>
      <c r="E698"/>
      <c r="F698" s="27" t="s">
        <v>7</v>
      </c>
      <c r="G698" s="27" t="s">
        <v>8</v>
      </c>
      <c r="H698" s="27" t="s">
        <v>7</v>
      </c>
      <c r="J698" s="27" t="s">
        <v>7</v>
      </c>
      <c r="K698" s="27" t="s">
        <v>8</v>
      </c>
      <c r="N698" s="27" t="s">
        <v>7</v>
      </c>
      <c r="O698" s="27" t="s">
        <v>8</v>
      </c>
      <c r="P698" s="27" t="s">
        <v>7</v>
      </c>
      <c r="R698" s="27" t="s">
        <v>7</v>
      </c>
      <c r="T698" s="27" t="s">
        <v>7</v>
      </c>
      <c r="V698" s="27" t="s">
        <v>7</v>
      </c>
      <c r="X698" s="27" t="s">
        <v>7</v>
      </c>
      <c r="AC698" s="27" t="s">
        <v>8</v>
      </c>
      <c r="AD698" s="27" t="s">
        <v>7</v>
      </c>
      <c r="AI698" s="27" t="s">
        <v>8</v>
      </c>
      <c r="AJ698" s="27" t="s">
        <v>7</v>
      </c>
      <c r="BY698" s="27" t="s">
        <v>8</v>
      </c>
      <c r="BZ698" s="27" t="s">
        <v>7</v>
      </c>
      <c r="CA698" s="27" t="s">
        <v>8</v>
      </c>
      <c r="FN698" s="27" t="s">
        <v>7</v>
      </c>
      <c r="FO698" s="27" t="s">
        <v>8</v>
      </c>
      <c r="GB698" s="27" t="s">
        <v>7</v>
      </c>
      <c r="JR698" s="27" t="s">
        <v>7</v>
      </c>
      <c r="JS698" s="27" t="s">
        <v>8</v>
      </c>
    </row>
    <row r="699" spans="1:280" x14ac:dyDescent="0.25">
      <c r="A699" s="7">
        <v>0.10883805264070913</v>
      </c>
      <c r="B699"/>
      <c r="C699"/>
      <c r="D699"/>
      <c r="E699"/>
      <c r="F699" s="27" t="s">
        <v>7</v>
      </c>
      <c r="J699" s="27" t="s">
        <v>7</v>
      </c>
      <c r="K699" s="27" t="s">
        <v>8</v>
      </c>
      <c r="N699" s="27" t="s">
        <v>7</v>
      </c>
      <c r="O699" s="27" t="s">
        <v>8</v>
      </c>
      <c r="X699" s="27" t="s">
        <v>7</v>
      </c>
      <c r="AC699" s="27" t="s">
        <v>8</v>
      </c>
      <c r="AD699" s="27" t="s">
        <v>7</v>
      </c>
      <c r="AG699" s="27" t="s">
        <v>8</v>
      </c>
      <c r="AI699" s="27" t="s">
        <v>8</v>
      </c>
      <c r="AJ699" s="27" t="s">
        <v>7</v>
      </c>
      <c r="BY699" s="27" t="s">
        <v>8</v>
      </c>
      <c r="BZ699" s="27" t="s">
        <v>7</v>
      </c>
      <c r="FN699" s="27" t="s">
        <v>7</v>
      </c>
      <c r="JR699" s="27" t="s">
        <v>7</v>
      </c>
      <c r="JS699" s="27" t="s">
        <v>8</v>
      </c>
    </row>
    <row r="700" spans="1:280" x14ac:dyDescent="0.25">
      <c r="A700" s="7">
        <v>0.10670397317716582</v>
      </c>
      <c r="B700"/>
      <c r="C700"/>
      <c r="D700"/>
      <c r="E700"/>
      <c r="J700" s="27" t="s">
        <v>7</v>
      </c>
      <c r="K700" s="27" t="s">
        <v>8</v>
      </c>
      <c r="N700" s="27" t="s">
        <v>7</v>
      </c>
      <c r="O700" s="27" t="s">
        <v>8</v>
      </c>
      <c r="X700" s="27" t="s">
        <v>7</v>
      </c>
      <c r="AC700" s="27" t="s">
        <v>8</v>
      </c>
      <c r="AD700" s="27" t="s">
        <v>7</v>
      </c>
      <c r="AE700" s="27" t="s">
        <v>8</v>
      </c>
      <c r="AG700" s="27" t="s">
        <v>8</v>
      </c>
      <c r="AH700" s="27" t="s">
        <v>7</v>
      </c>
      <c r="AI700" s="27" t="s">
        <v>8</v>
      </c>
      <c r="AJ700" s="27" t="s">
        <v>7</v>
      </c>
      <c r="BY700" s="27" t="s">
        <v>8</v>
      </c>
      <c r="JR700" s="27" t="s">
        <v>7</v>
      </c>
    </row>
    <row r="701" spans="1:280" x14ac:dyDescent="0.25">
      <c r="A701" s="7">
        <v>0.1046117384089861</v>
      </c>
      <c r="B701"/>
      <c r="C701"/>
      <c r="D701"/>
      <c r="E701"/>
      <c r="J701" s="27" t="s">
        <v>7</v>
      </c>
      <c r="K701" s="27" t="s">
        <v>8</v>
      </c>
      <c r="N701" s="27" t="s">
        <v>7</v>
      </c>
      <c r="O701" s="27" t="s">
        <v>8</v>
      </c>
      <c r="X701" s="27" t="s">
        <v>7</v>
      </c>
      <c r="AC701" s="27" t="s">
        <v>8</v>
      </c>
      <c r="AD701" s="27" t="s">
        <v>7</v>
      </c>
      <c r="AE701" s="27" t="s">
        <v>8</v>
      </c>
      <c r="AF701" s="27" t="s">
        <v>7</v>
      </c>
      <c r="AG701" s="27" t="s">
        <v>8</v>
      </c>
      <c r="AH701" s="27" t="s">
        <v>7</v>
      </c>
      <c r="AI701" s="27" t="s">
        <v>8</v>
      </c>
      <c r="AJ701" s="27" t="s">
        <v>7</v>
      </c>
      <c r="BC701" s="27" t="s">
        <v>8</v>
      </c>
      <c r="BY701" s="27" t="s">
        <v>8</v>
      </c>
    </row>
    <row r="702" spans="1:280" x14ac:dyDescent="0.25">
      <c r="A702" s="7">
        <v>0.10256052785194716</v>
      </c>
      <c r="B702"/>
      <c r="C702"/>
      <c r="D702"/>
      <c r="E702"/>
      <c r="J702" s="27" t="s">
        <v>7</v>
      </c>
      <c r="K702" s="27" t="s">
        <v>8</v>
      </c>
      <c r="N702" s="27" t="s">
        <v>7</v>
      </c>
      <c r="O702" s="27" t="s">
        <v>8</v>
      </c>
      <c r="X702" s="27" t="s">
        <v>7</v>
      </c>
      <c r="AC702" s="27" t="s">
        <v>8</v>
      </c>
      <c r="AD702" s="27" t="s">
        <v>7</v>
      </c>
      <c r="AE702" s="27" t="s">
        <v>8</v>
      </c>
      <c r="AF702" s="27" t="s">
        <v>7</v>
      </c>
      <c r="AG702" s="27" t="s">
        <v>8</v>
      </c>
      <c r="AH702" s="27" t="s">
        <v>7</v>
      </c>
      <c r="AI702" s="27" t="s">
        <v>8</v>
      </c>
      <c r="AJ702" s="27" t="s">
        <v>7</v>
      </c>
      <c r="BC702" s="27" t="s">
        <v>8</v>
      </c>
      <c r="BD702" s="27" t="s">
        <v>7</v>
      </c>
      <c r="BY702" s="27" t="s">
        <v>8</v>
      </c>
    </row>
    <row r="703" spans="1:280" x14ac:dyDescent="0.25">
      <c r="A703" s="7">
        <v>0.10054953710975212</v>
      </c>
      <c r="B703"/>
      <c r="C703"/>
      <c r="D703"/>
      <c r="E703"/>
      <c r="J703" s="27" t="s">
        <v>7</v>
      </c>
      <c r="K703" s="27" t="s">
        <v>8</v>
      </c>
      <c r="N703" s="27" t="s">
        <v>7</v>
      </c>
      <c r="O703" s="27" t="s">
        <v>8</v>
      </c>
      <c r="X703" s="27" t="s">
        <v>7</v>
      </c>
      <c r="AC703" s="27" t="s">
        <v>8</v>
      </c>
      <c r="AD703" s="27" t="s">
        <v>7</v>
      </c>
      <c r="AE703" s="27" t="s">
        <v>8</v>
      </c>
      <c r="AF703" s="27" t="s">
        <v>7</v>
      </c>
      <c r="AG703" s="27" t="s">
        <v>8</v>
      </c>
      <c r="AH703" s="27" t="s">
        <v>7</v>
      </c>
      <c r="AI703" s="27" t="s">
        <v>8</v>
      </c>
      <c r="AJ703" s="27" t="s">
        <v>7</v>
      </c>
      <c r="BC703" s="27" t="s">
        <v>8</v>
      </c>
      <c r="BD703" s="27" t="s">
        <v>7</v>
      </c>
      <c r="BY703" s="27" t="s">
        <v>8</v>
      </c>
    </row>
    <row r="704" spans="1:280" x14ac:dyDescent="0.25">
      <c r="A704" s="7">
        <v>9.8577977558580512E-2</v>
      </c>
      <c r="B704"/>
      <c r="C704"/>
      <c r="D704"/>
      <c r="E704"/>
      <c r="J704" s="27" t="s">
        <v>7</v>
      </c>
      <c r="K704" s="27" t="s">
        <v>8</v>
      </c>
      <c r="N704" s="27" t="s">
        <v>7</v>
      </c>
      <c r="X704" s="27" t="s">
        <v>7</v>
      </c>
      <c r="AA704" s="27" t="s">
        <v>8</v>
      </c>
      <c r="AC704" s="27" t="s">
        <v>8</v>
      </c>
      <c r="AD704" s="27" t="s">
        <v>7</v>
      </c>
      <c r="AE704" s="27" t="s">
        <v>8</v>
      </c>
      <c r="AF704" s="27" t="s">
        <v>7</v>
      </c>
      <c r="AH704" s="27" t="s">
        <v>7</v>
      </c>
      <c r="AI704" s="27" t="s">
        <v>8</v>
      </c>
      <c r="AJ704" s="27" t="s">
        <v>7</v>
      </c>
      <c r="BC704" s="27" t="s">
        <v>8</v>
      </c>
      <c r="BD704" s="27" t="s">
        <v>7</v>
      </c>
      <c r="BY704" s="27" t="s">
        <v>8</v>
      </c>
    </row>
    <row r="705" spans="1:77" x14ac:dyDescent="0.25">
      <c r="A705" s="7">
        <v>9.6645076037824032E-2</v>
      </c>
      <c r="B705"/>
      <c r="C705"/>
      <c r="D705"/>
      <c r="E705"/>
      <c r="J705" s="27" t="s">
        <v>7</v>
      </c>
      <c r="K705" s="27" t="s">
        <v>8</v>
      </c>
      <c r="X705" s="27" t="s">
        <v>7</v>
      </c>
      <c r="AA705" s="27" t="s">
        <v>8</v>
      </c>
      <c r="AB705" s="27" t="s">
        <v>7</v>
      </c>
      <c r="AC705" s="27" t="s">
        <v>8</v>
      </c>
      <c r="AD705" s="27" t="s">
        <v>7</v>
      </c>
      <c r="AE705" s="27" t="s">
        <v>8</v>
      </c>
      <c r="AH705" s="27" t="s">
        <v>7</v>
      </c>
      <c r="AI705" s="27" t="s">
        <v>8</v>
      </c>
      <c r="AJ705" s="27" t="s">
        <v>7</v>
      </c>
      <c r="BC705" s="27" t="s">
        <v>8</v>
      </c>
      <c r="BD705" s="27" t="s">
        <v>7</v>
      </c>
      <c r="BW705" s="27" t="s">
        <v>8</v>
      </c>
      <c r="BY705" s="27" t="s">
        <v>8</v>
      </c>
    </row>
    <row r="706" spans="1:77" x14ac:dyDescent="0.25">
      <c r="A706" s="7">
        <v>9.4750074546886304E-2</v>
      </c>
      <c r="B706"/>
      <c r="C706"/>
      <c r="D706"/>
      <c r="E706"/>
      <c r="J706" s="27" t="s">
        <v>7</v>
      </c>
      <c r="K706" s="27" t="s">
        <v>8</v>
      </c>
      <c r="X706" s="27" t="s">
        <v>7</v>
      </c>
      <c r="AA706" s="27" t="s">
        <v>8</v>
      </c>
      <c r="AB706" s="27" t="s">
        <v>7</v>
      </c>
      <c r="AC706" s="27" t="s">
        <v>8</v>
      </c>
      <c r="AD706" s="27" t="s">
        <v>7</v>
      </c>
      <c r="AE706" s="27" t="s">
        <v>8</v>
      </c>
      <c r="AH706" s="27" t="s">
        <v>7</v>
      </c>
      <c r="AI706" s="27" t="s">
        <v>8</v>
      </c>
      <c r="AJ706" s="27" t="s">
        <v>7</v>
      </c>
      <c r="BC706" s="27" t="s">
        <v>8</v>
      </c>
      <c r="BD706" s="27" t="s">
        <v>7</v>
      </c>
      <c r="BU706" s="27" t="s">
        <v>8</v>
      </c>
      <c r="BW706" s="27" t="s">
        <v>8</v>
      </c>
      <c r="BX706" s="27" t="s">
        <v>7</v>
      </c>
      <c r="BY706" s="27" t="s">
        <v>8</v>
      </c>
    </row>
    <row r="707" spans="1:77" x14ac:dyDescent="0.25">
      <c r="A707" s="7">
        <v>9.2892229947927743E-2</v>
      </c>
      <c r="B707"/>
      <c r="C707"/>
      <c r="D707"/>
      <c r="E707"/>
      <c r="J707" s="27" t="s">
        <v>7</v>
      </c>
      <c r="X707" s="27" t="s">
        <v>7</v>
      </c>
      <c r="AA707" s="27" t="s">
        <v>8</v>
      </c>
      <c r="AB707" s="27" t="s">
        <v>7</v>
      </c>
      <c r="AC707" s="27" t="s">
        <v>8</v>
      </c>
      <c r="AD707" s="27" t="s">
        <v>7</v>
      </c>
      <c r="AE707" s="27" t="s">
        <v>8</v>
      </c>
      <c r="AH707" s="27" t="s">
        <v>7</v>
      </c>
      <c r="AI707" s="27" t="s">
        <v>8</v>
      </c>
      <c r="AJ707" s="27" t="s">
        <v>7</v>
      </c>
      <c r="AK707" s="27" t="s">
        <v>8</v>
      </c>
      <c r="BA707" s="27" t="s">
        <v>8</v>
      </c>
      <c r="BC707" s="27" t="s">
        <v>8</v>
      </c>
      <c r="BD707" s="27" t="s">
        <v>7</v>
      </c>
      <c r="BU707" s="27" t="s">
        <v>8</v>
      </c>
      <c r="BV707" s="27" t="s">
        <v>7</v>
      </c>
      <c r="BW707" s="27" t="s">
        <v>8</v>
      </c>
      <c r="BX707" s="27" t="s">
        <v>7</v>
      </c>
      <c r="BY707" s="27" t="s">
        <v>8</v>
      </c>
    </row>
    <row r="708" spans="1:77" x14ac:dyDescent="0.25">
      <c r="A708" s="7">
        <v>9.1070813674438963E-2</v>
      </c>
      <c r="B708"/>
      <c r="C708"/>
      <c r="D708"/>
      <c r="E708"/>
      <c r="X708" s="27" t="s">
        <v>7</v>
      </c>
      <c r="Y708" s="27" t="s">
        <v>8</v>
      </c>
      <c r="AA708" s="27" t="s">
        <v>8</v>
      </c>
      <c r="AB708" s="27" t="s">
        <v>7</v>
      </c>
      <c r="AC708" s="27" t="s">
        <v>8</v>
      </c>
      <c r="AD708" s="27" t="s">
        <v>7</v>
      </c>
      <c r="AE708" s="27" t="s">
        <v>8</v>
      </c>
      <c r="AH708" s="27" t="s">
        <v>7</v>
      </c>
      <c r="AI708" s="27" t="s">
        <v>8</v>
      </c>
      <c r="AJ708" s="27" t="s">
        <v>7</v>
      </c>
      <c r="AK708" s="27" t="s">
        <v>8</v>
      </c>
      <c r="AL708" s="27" t="s">
        <v>7</v>
      </c>
      <c r="AO708" s="27" t="s">
        <v>8</v>
      </c>
      <c r="BA708" s="27" t="s">
        <v>8</v>
      </c>
      <c r="BB708" s="27" t="s">
        <v>7</v>
      </c>
      <c r="BC708" s="27" t="s">
        <v>8</v>
      </c>
      <c r="BD708" s="27" t="s">
        <v>7</v>
      </c>
      <c r="BU708" s="27" t="s">
        <v>8</v>
      </c>
      <c r="BV708" s="27" t="s">
        <v>7</v>
      </c>
      <c r="BW708" s="27" t="s">
        <v>8</v>
      </c>
      <c r="BX708" s="27" t="s">
        <v>7</v>
      </c>
      <c r="BY708" s="27" t="s">
        <v>8</v>
      </c>
    </row>
    <row r="709" spans="1:77" x14ac:dyDescent="0.25">
      <c r="A709" s="7">
        <v>8.9285111445528392E-2</v>
      </c>
      <c r="B709"/>
      <c r="C709"/>
      <c r="D709"/>
      <c r="E709"/>
      <c r="X709" s="27" t="s">
        <v>7</v>
      </c>
      <c r="Y709" s="27" t="s">
        <v>8</v>
      </c>
      <c r="Z709" s="27" t="s">
        <v>7</v>
      </c>
      <c r="AA709" s="27" t="s">
        <v>8</v>
      </c>
      <c r="AB709" s="27" t="s">
        <v>7</v>
      </c>
      <c r="AC709" s="27" t="s">
        <v>8</v>
      </c>
      <c r="AD709" s="27" t="s">
        <v>7</v>
      </c>
      <c r="AH709" s="27" t="s">
        <v>7</v>
      </c>
      <c r="AI709" s="27" t="s">
        <v>8</v>
      </c>
      <c r="AJ709" s="27" t="s">
        <v>7</v>
      </c>
      <c r="AK709" s="27" t="s">
        <v>8</v>
      </c>
      <c r="AL709" s="27" t="s">
        <v>7</v>
      </c>
      <c r="AO709" s="27" t="s">
        <v>8</v>
      </c>
      <c r="AP709" s="27" t="s">
        <v>7</v>
      </c>
      <c r="BA709" s="27" t="s">
        <v>8</v>
      </c>
      <c r="BB709" s="27" t="s">
        <v>7</v>
      </c>
      <c r="BC709" s="27" t="s">
        <v>8</v>
      </c>
      <c r="BD709" s="27" t="s">
        <v>7</v>
      </c>
      <c r="BU709" s="27" t="s">
        <v>8</v>
      </c>
      <c r="BV709" s="27" t="s">
        <v>7</v>
      </c>
      <c r="BW709" s="27" t="s">
        <v>8</v>
      </c>
      <c r="BX709" s="27" t="s">
        <v>7</v>
      </c>
      <c r="BY709" s="27" t="s">
        <v>8</v>
      </c>
    </row>
    <row r="710" spans="1:77" x14ac:dyDescent="0.25">
      <c r="A710" s="7">
        <v>8.7534422985812155E-2</v>
      </c>
      <c r="B710"/>
      <c r="C710"/>
      <c r="D710"/>
      <c r="E710"/>
      <c r="X710" s="27" t="s">
        <v>7</v>
      </c>
      <c r="Y710" s="27" t="s">
        <v>8</v>
      </c>
      <c r="Z710" s="27" t="s">
        <v>7</v>
      </c>
      <c r="AA710" s="27" t="s">
        <v>8</v>
      </c>
      <c r="AB710" s="27" t="s">
        <v>7</v>
      </c>
      <c r="AH710" s="27" t="s">
        <v>7</v>
      </c>
      <c r="AJ710" s="27" t="s">
        <v>7</v>
      </c>
      <c r="AK710" s="27" t="s">
        <v>8</v>
      </c>
      <c r="AL710" s="27" t="s">
        <v>7</v>
      </c>
      <c r="AM710" s="27" t="s">
        <v>8</v>
      </c>
      <c r="AO710" s="27" t="s">
        <v>8</v>
      </c>
      <c r="AP710" s="27" t="s">
        <v>7</v>
      </c>
      <c r="BA710" s="27" t="s">
        <v>8</v>
      </c>
      <c r="BB710" s="27" t="s">
        <v>7</v>
      </c>
      <c r="BC710" s="27" t="s">
        <v>8</v>
      </c>
      <c r="BD710" s="27" t="s">
        <v>7</v>
      </c>
      <c r="BU710" s="27" t="s">
        <v>8</v>
      </c>
      <c r="BV710" s="27" t="s">
        <v>7</v>
      </c>
      <c r="BW710" s="27" t="s">
        <v>8</v>
      </c>
      <c r="BX710" s="27" t="s">
        <v>7</v>
      </c>
      <c r="BY710" s="27" t="s">
        <v>8</v>
      </c>
    </row>
    <row r="711" spans="1:77" x14ac:dyDescent="0.25">
      <c r="A711" s="7">
        <v>8.5818061750796232E-2</v>
      </c>
      <c r="B711"/>
      <c r="C711"/>
      <c r="D711"/>
      <c r="E711"/>
      <c r="X711" s="27" t="s">
        <v>7</v>
      </c>
      <c r="Y711" s="27" t="s">
        <v>8</v>
      </c>
      <c r="Z711" s="27" t="s">
        <v>7</v>
      </c>
      <c r="AA711" s="27" t="s">
        <v>8</v>
      </c>
      <c r="AJ711" s="27" t="s">
        <v>7</v>
      </c>
      <c r="AK711" s="27" t="s">
        <v>8</v>
      </c>
      <c r="AL711" s="27" t="s">
        <v>7</v>
      </c>
      <c r="AM711" s="27" t="s">
        <v>8</v>
      </c>
      <c r="AN711" s="27" t="s">
        <v>7</v>
      </c>
      <c r="AO711" s="27" t="s">
        <v>8</v>
      </c>
      <c r="AP711" s="27" t="s">
        <v>7</v>
      </c>
      <c r="BA711" s="27" t="s">
        <v>8</v>
      </c>
      <c r="BB711" s="27" t="s">
        <v>7</v>
      </c>
      <c r="BC711" s="27" t="s">
        <v>8</v>
      </c>
      <c r="BD711" s="27" t="s">
        <v>7</v>
      </c>
      <c r="BG711" s="27" t="s">
        <v>8</v>
      </c>
      <c r="BU711" s="27" t="s">
        <v>8</v>
      </c>
      <c r="BV711" s="27" t="s">
        <v>7</v>
      </c>
      <c r="BW711" s="27" t="s">
        <v>8</v>
      </c>
      <c r="BX711" s="27" t="s">
        <v>7</v>
      </c>
      <c r="BY711" s="27" t="s">
        <v>8</v>
      </c>
    </row>
    <row r="712" spans="1:77" x14ac:dyDescent="0.25">
      <c r="A712" s="7">
        <v>8.4135354657643366E-2</v>
      </c>
      <c r="B712"/>
      <c r="C712"/>
      <c r="D712"/>
      <c r="E712"/>
      <c r="X712" s="27" t="s">
        <v>7</v>
      </c>
      <c r="Y712" s="27" t="s">
        <v>8</v>
      </c>
      <c r="Z712" s="27" t="s">
        <v>7</v>
      </c>
      <c r="AA712" s="27" t="s">
        <v>8</v>
      </c>
      <c r="AJ712" s="27" t="s">
        <v>7</v>
      </c>
      <c r="AK712" s="27" t="s">
        <v>8</v>
      </c>
      <c r="AL712" s="27" t="s">
        <v>7</v>
      </c>
      <c r="AM712" s="27" t="s">
        <v>8</v>
      </c>
      <c r="AN712" s="27" t="s">
        <v>7</v>
      </c>
      <c r="AO712" s="27" t="s">
        <v>8</v>
      </c>
      <c r="AP712" s="27" t="s">
        <v>7</v>
      </c>
      <c r="BA712" s="27" t="s">
        <v>8</v>
      </c>
      <c r="BB712" s="27" t="s">
        <v>7</v>
      </c>
      <c r="BC712" s="27" t="s">
        <v>8</v>
      </c>
      <c r="BD712" s="27" t="s">
        <v>7</v>
      </c>
      <c r="BG712" s="27" t="s">
        <v>8</v>
      </c>
      <c r="BH712" s="27" t="s">
        <v>7</v>
      </c>
      <c r="BU712" s="27" t="s">
        <v>8</v>
      </c>
      <c r="BV712" s="27" t="s">
        <v>7</v>
      </c>
      <c r="BW712" s="27" t="s">
        <v>8</v>
      </c>
      <c r="BX712" s="27" t="s">
        <v>7</v>
      </c>
      <c r="BY712" s="27" t="s">
        <v>8</v>
      </c>
    </row>
    <row r="713" spans="1:77" x14ac:dyDescent="0.25">
      <c r="A713" s="7">
        <v>8.248564182121898E-2</v>
      </c>
      <c r="B713"/>
      <c r="C713"/>
      <c r="D713"/>
      <c r="E713"/>
      <c r="X713" s="27" t="s">
        <v>7</v>
      </c>
      <c r="Z713" s="27" t="s">
        <v>7</v>
      </c>
      <c r="AA713" s="27" t="s">
        <v>8</v>
      </c>
      <c r="AJ713" s="27" t="s">
        <v>7</v>
      </c>
      <c r="AL713" s="27" t="s">
        <v>7</v>
      </c>
      <c r="AM713" s="27" t="s">
        <v>8</v>
      </c>
      <c r="AN713" s="27" t="s">
        <v>7</v>
      </c>
      <c r="AO713" s="27" t="s">
        <v>8</v>
      </c>
      <c r="AP713" s="27" t="s">
        <v>7</v>
      </c>
      <c r="AU713" s="27" t="s">
        <v>8</v>
      </c>
      <c r="BA713" s="27" t="s">
        <v>8</v>
      </c>
      <c r="BB713" s="27" t="s">
        <v>7</v>
      </c>
      <c r="BC713" s="27" t="s">
        <v>8</v>
      </c>
      <c r="BD713" s="27" t="s">
        <v>7</v>
      </c>
      <c r="BG713" s="27" t="s">
        <v>8</v>
      </c>
      <c r="BH713" s="27" t="s">
        <v>7</v>
      </c>
      <c r="BU713" s="27" t="s">
        <v>8</v>
      </c>
      <c r="BV713" s="27" t="s">
        <v>7</v>
      </c>
      <c r="BW713" s="27" t="s">
        <v>8</v>
      </c>
      <c r="BX713" s="27" t="s">
        <v>7</v>
      </c>
      <c r="BY713" s="27" t="s">
        <v>8</v>
      </c>
    </row>
    <row r="714" spans="1:77" x14ac:dyDescent="0.25">
      <c r="A714" s="7">
        <v>8.0868276295312735E-2</v>
      </c>
      <c r="B714"/>
      <c r="C714"/>
      <c r="D714"/>
      <c r="E714"/>
      <c r="Z714" s="27" t="s">
        <v>7</v>
      </c>
      <c r="AA714" s="27" t="s">
        <v>8</v>
      </c>
      <c r="AL714" s="27" t="s">
        <v>7</v>
      </c>
      <c r="AM714" s="27" t="s">
        <v>8</v>
      </c>
      <c r="AN714" s="27" t="s">
        <v>7</v>
      </c>
      <c r="AO714" s="27" t="s">
        <v>8</v>
      </c>
      <c r="AP714" s="27" t="s">
        <v>7</v>
      </c>
      <c r="AU714" s="27" t="s">
        <v>8</v>
      </c>
      <c r="AV714" s="27" t="s">
        <v>7</v>
      </c>
      <c r="BA714" s="27" t="s">
        <v>8</v>
      </c>
      <c r="BB714" s="27" t="s">
        <v>7</v>
      </c>
      <c r="BD714" s="27" t="s">
        <v>7</v>
      </c>
      <c r="BG714" s="27" t="s">
        <v>8</v>
      </c>
      <c r="BH714" s="27" t="s">
        <v>7</v>
      </c>
      <c r="BU714" s="27" t="s">
        <v>8</v>
      </c>
      <c r="BV714" s="27" t="s">
        <v>7</v>
      </c>
      <c r="BW714" s="27" t="s">
        <v>8</v>
      </c>
      <c r="BX714" s="27" t="s">
        <v>7</v>
      </c>
      <c r="BY714" s="27" t="s">
        <v>8</v>
      </c>
    </row>
    <row r="715" spans="1:77" x14ac:dyDescent="0.25">
      <c r="A715" s="7">
        <v>7.9282623818934056E-2</v>
      </c>
      <c r="B715"/>
      <c r="C715"/>
      <c r="D715"/>
      <c r="E715"/>
      <c r="Z715" s="27" t="s">
        <v>7</v>
      </c>
      <c r="AA715" s="27" t="s">
        <v>8</v>
      </c>
      <c r="AL715" s="27" t="s">
        <v>7</v>
      </c>
      <c r="AM715" s="27" t="s">
        <v>8</v>
      </c>
      <c r="AN715" s="27" t="s">
        <v>7</v>
      </c>
      <c r="AP715" s="27" t="s">
        <v>7</v>
      </c>
      <c r="AU715" s="27" t="s">
        <v>8</v>
      </c>
      <c r="AV715" s="27" t="s">
        <v>7</v>
      </c>
      <c r="BA715" s="27" t="s">
        <v>8</v>
      </c>
      <c r="BD715" s="27" t="s">
        <v>7</v>
      </c>
      <c r="BG715" s="27" t="s">
        <v>8</v>
      </c>
      <c r="BH715" s="27" t="s">
        <v>7</v>
      </c>
      <c r="BU715" s="27" t="s">
        <v>8</v>
      </c>
      <c r="BV715" s="27" t="s">
        <v>7</v>
      </c>
      <c r="BW715" s="27" t="s">
        <v>8</v>
      </c>
      <c r="BX715" s="27" t="s">
        <v>7</v>
      </c>
      <c r="BY715" s="27" t="s">
        <v>8</v>
      </c>
    </row>
    <row r="716" spans="1:77" x14ac:dyDescent="0.25">
      <c r="A716" s="7">
        <v>7.7728062567582412E-2</v>
      </c>
      <c r="B716"/>
      <c r="C716"/>
      <c r="D716"/>
      <c r="E716"/>
      <c r="Z716" s="27" t="s">
        <v>7</v>
      </c>
      <c r="AA716" s="27" t="s">
        <v>8</v>
      </c>
      <c r="AL716" s="27" t="s">
        <v>7</v>
      </c>
      <c r="AM716" s="27" t="s">
        <v>8</v>
      </c>
      <c r="AP716" s="27" t="s">
        <v>7</v>
      </c>
      <c r="AU716" s="27" t="s">
        <v>8</v>
      </c>
      <c r="AV716" s="27" t="s">
        <v>7</v>
      </c>
      <c r="BA716" s="27" t="s">
        <v>8</v>
      </c>
      <c r="BD716" s="27" t="s">
        <v>7</v>
      </c>
      <c r="BE716" s="27" t="s">
        <v>8</v>
      </c>
      <c r="BG716" s="27" t="s">
        <v>8</v>
      </c>
      <c r="BH716" s="27" t="s">
        <v>7</v>
      </c>
      <c r="BI716" s="27" t="s">
        <v>8</v>
      </c>
      <c r="BQ716" s="27" t="s">
        <v>8</v>
      </c>
      <c r="BU716" s="27" t="s">
        <v>8</v>
      </c>
      <c r="BV716" s="27" t="s">
        <v>7</v>
      </c>
      <c r="BW716" s="27" t="s">
        <v>8</v>
      </c>
      <c r="BX716" s="27" t="s">
        <v>7</v>
      </c>
      <c r="BY716" s="27" t="s">
        <v>8</v>
      </c>
    </row>
    <row r="717" spans="1:77" x14ac:dyDescent="0.25">
      <c r="A717" s="7">
        <v>7.6203982909394521E-2</v>
      </c>
      <c r="B717"/>
      <c r="C717"/>
      <c r="D717"/>
      <c r="E717"/>
      <c r="Z717" s="27" t="s">
        <v>7</v>
      </c>
      <c r="AL717" s="27" t="s">
        <v>7</v>
      </c>
      <c r="AP717" s="27" t="s">
        <v>7</v>
      </c>
      <c r="AS717" s="27" t="s">
        <v>8</v>
      </c>
      <c r="AU717" s="27" t="s">
        <v>8</v>
      </c>
      <c r="AV717" s="27" t="s">
        <v>7</v>
      </c>
      <c r="AW717" s="27" t="s">
        <v>8</v>
      </c>
      <c r="BA717" s="27" t="s">
        <v>8</v>
      </c>
      <c r="BD717" s="27" t="s">
        <v>7</v>
      </c>
      <c r="BE717" s="27" t="s">
        <v>8</v>
      </c>
      <c r="BF717" s="27" t="s">
        <v>7</v>
      </c>
      <c r="BG717" s="27" t="s">
        <v>8</v>
      </c>
      <c r="BH717" s="27" t="s">
        <v>7</v>
      </c>
      <c r="BI717" s="27" t="s">
        <v>8</v>
      </c>
      <c r="BJ717" s="27" t="s">
        <v>7</v>
      </c>
      <c r="BM717" s="27" t="s">
        <v>8</v>
      </c>
      <c r="BQ717" s="27" t="s">
        <v>8</v>
      </c>
      <c r="BR717" s="27" t="s">
        <v>7</v>
      </c>
      <c r="BU717" s="27" t="s">
        <v>8</v>
      </c>
      <c r="BV717" s="27" t="s">
        <v>7</v>
      </c>
      <c r="BW717" s="27" t="s">
        <v>8</v>
      </c>
      <c r="BX717" s="27" t="s">
        <v>7</v>
      </c>
      <c r="BY717" s="27" t="s">
        <v>8</v>
      </c>
    </row>
    <row r="718" spans="1:77" x14ac:dyDescent="0.25">
      <c r="A718" s="7">
        <v>7.4709787166073058E-2</v>
      </c>
      <c r="B718"/>
      <c r="C718"/>
      <c r="D718"/>
      <c r="E718"/>
      <c r="AP718" s="27" t="s">
        <v>7</v>
      </c>
      <c r="AS718" s="27" t="s">
        <v>8</v>
      </c>
      <c r="AT718" s="27" t="s">
        <v>7</v>
      </c>
      <c r="AU718" s="27" t="s">
        <v>8</v>
      </c>
      <c r="AV718" s="27" t="s">
        <v>7</v>
      </c>
      <c r="AW718" s="27" t="s">
        <v>8</v>
      </c>
      <c r="AX718" s="27" t="s">
        <v>7</v>
      </c>
      <c r="BA718" s="27" t="s">
        <v>8</v>
      </c>
      <c r="BD718" s="27" t="s">
        <v>7</v>
      </c>
      <c r="BE718" s="27" t="s">
        <v>8</v>
      </c>
      <c r="BF718" s="27" t="s">
        <v>7</v>
      </c>
      <c r="BG718" s="27" t="s">
        <v>8</v>
      </c>
      <c r="BH718" s="27" t="s">
        <v>7</v>
      </c>
      <c r="BI718" s="27" t="s">
        <v>8</v>
      </c>
      <c r="BJ718" s="27" t="s">
        <v>7</v>
      </c>
      <c r="BM718" s="27" t="s">
        <v>8</v>
      </c>
      <c r="BN718" s="27" t="s">
        <v>7</v>
      </c>
      <c r="BQ718" s="27" t="s">
        <v>8</v>
      </c>
      <c r="BR718" s="27" t="s">
        <v>7</v>
      </c>
      <c r="BU718" s="27" t="s">
        <v>8</v>
      </c>
      <c r="BV718" s="27" t="s">
        <v>7</v>
      </c>
      <c r="BW718" s="27" t="s">
        <v>8</v>
      </c>
      <c r="BX718" s="27" t="s">
        <v>7</v>
      </c>
      <c r="BY718" s="27" t="s">
        <v>8</v>
      </c>
    </row>
    <row r="719" spans="1:77" x14ac:dyDescent="0.25">
      <c r="A719" s="7">
        <v>7.3244889378503E-2</v>
      </c>
      <c r="B719"/>
      <c r="C719"/>
      <c r="D719"/>
      <c r="E719"/>
      <c r="AP719" s="27" t="s">
        <v>7</v>
      </c>
      <c r="AS719" s="27" t="s">
        <v>8</v>
      </c>
      <c r="AT719" s="27" t="s">
        <v>7</v>
      </c>
      <c r="AU719" s="27" t="s">
        <v>8</v>
      </c>
      <c r="AV719" s="27" t="s">
        <v>7</v>
      </c>
      <c r="AW719" s="27" t="s">
        <v>8</v>
      </c>
      <c r="AX719" s="27" t="s">
        <v>7</v>
      </c>
      <c r="AY719" s="27" t="s">
        <v>8</v>
      </c>
      <c r="BA719" s="27" t="s">
        <v>8</v>
      </c>
      <c r="BD719" s="27" t="s">
        <v>7</v>
      </c>
      <c r="BE719" s="27" t="s">
        <v>8</v>
      </c>
      <c r="BF719" s="27" t="s">
        <v>7</v>
      </c>
      <c r="BG719" s="27" t="s">
        <v>8</v>
      </c>
      <c r="BH719" s="27" t="s">
        <v>7</v>
      </c>
      <c r="BJ719" s="27" t="s">
        <v>7</v>
      </c>
      <c r="BM719" s="27" t="s">
        <v>8</v>
      </c>
      <c r="BN719" s="27" t="s">
        <v>7</v>
      </c>
      <c r="BQ719" s="27" t="s">
        <v>8</v>
      </c>
      <c r="BR719" s="27" t="s">
        <v>7</v>
      </c>
      <c r="BU719" s="27" t="s">
        <v>8</v>
      </c>
      <c r="BV719" s="27" t="s">
        <v>7</v>
      </c>
      <c r="BW719" s="27" t="s">
        <v>8</v>
      </c>
      <c r="BX719" s="27" t="s">
        <v>7</v>
      </c>
      <c r="BY719" s="27" t="s">
        <v>8</v>
      </c>
    </row>
    <row r="720" spans="1:77" x14ac:dyDescent="0.25">
      <c r="A720" s="7">
        <v>7.1808715076963722E-2</v>
      </c>
      <c r="B720"/>
      <c r="C720"/>
      <c r="D720"/>
      <c r="E720"/>
      <c r="AP720" s="27" t="s">
        <v>7</v>
      </c>
      <c r="AS720" s="27" t="s">
        <v>8</v>
      </c>
      <c r="AT720" s="27" t="s">
        <v>7</v>
      </c>
      <c r="AU720" s="27" t="s">
        <v>8</v>
      </c>
      <c r="AV720" s="27" t="s">
        <v>7</v>
      </c>
      <c r="AW720" s="27" t="s">
        <v>8</v>
      </c>
      <c r="AX720" s="27" t="s">
        <v>7</v>
      </c>
      <c r="AY720" s="27" t="s">
        <v>8</v>
      </c>
      <c r="AZ720" s="27" t="s">
        <v>7</v>
      </c>
      <c r="BA720" s="27" t="s">
        <v>8</v>
      </c>
      <c r="BD720" s="27" t="s">
        <v>7</v>
      </c>
      <c r="BE720" s="27" t="s">
        <v>8</v>
      </c>
      <c r="BF720" s="27" t="s">
        <v>7</v>
      </c>
      <c r="BG720" s="27" t="s">
        <v>8</v>
      </c>
      <c r="BJ720" s="27" t="s">
        <v>7</v>
      </c>
      <c r="BM720" s="27" t="s">
        <v>8</v>
      </c>
      <c r="BN720" s="27" t="s">
        <v>7</v>
      </c>
      <c r="BQ720" s="27" t="s">
        <v>8</v>
      </c>
      <c r="BR720" s="27" t="s">
        <v>7</v>
      </c>
      <c r="BU720" s="27" t="s">
        <v>8</v>
      </c>
      <c r="BV720" s="27" t="s">
        <v>7</v>
      </c>
      <c r="BW720" s="27" t="s">
        <v>8</v>
      </c>
      <c r="BX720" s="27" t="s">
        <v>7</v>
      </c>
      <c r="BY720" s="27" t="s">
        <v>8</v>
      </c>
    </row>
    <row r="721" spans="1:77" x14ac:dyDescent="0.25">
      <c r="A721" s="7">
        <v>7.0400701055846782E-2</v>
      </c>
      <c r="B721"/>
      <c r="C721"/>
      <c r="D721"/>
      <c r="E721"/>
      <c r="AP721" s="27" t="s">
        <v>7</v>
      </c>
      <c r="AS721" s="27" t="s">
        <v>8</v>
      </c>
      <c r="AT721" s="27" t="s">
        <v>7</v>
      </c>
      <c r="AU721" s="27" t="s">
        <v>8</v>
      </c>
      <c r="AV721" s="27" t="s">
        <v>7</v>
      </c>
      <c r="AW721" s="27" t="s">
        <v>8</v>
      </c>
      <c r="AX721" s="27" t="s">
        <v>7</v>
      </c>
      <c r="AY721" s="27" t="s">
        <v>8</v>
      </c>
      <c r="AZ721" s="27" t="s">
        <v>7</v>
      </c>
      <c r="BA721" s="27" t="s">
        <v>8</v>
      </c>
      <c r="BD721" s="27" t="s">
        <v>7</v>
      </c>
      <c r="BE721" s="27" t="s">
        <v>8</v>
      </c>
      <c r="BF721" s="27" t="s">
        <v>7</v>
      </c>
      <c r="BJ721" s="27" t="s">
        <v>7</v>
      </c>
      <c r="BK721" s="27" t="s">
        <v>8</v>
      </c>
      <c r="BM721" s="27" t="s">
        <v>8</v>
      </c>
      <c r="BN721" s="27" t="s">
        <v>7</v>
      </c>
      <c r="BQ721" s="27" t="s">
        <v>8</v>
      </c>
      <c r="BR721" s="27" t="s">
        <v>7</v>
      </c>
      <c r="BU721" s="27" t="s">
        <v>8</v>
      </c>
      <c r="BV721" s="27" t="s">
        <v>7</v>
      </c>
      <c r="BW721" s="27" t="s">
        <v>8</v>
      </c>
      <c r="BX721" s="27" t="s">
        <v>7</v>
      </c>
      <c r="BY721" s="27" t="s">
        <v>8</v>
      </c>
    </row>
    <row r="722" spans="1:77" x14ac:dyDescent="0.25">
      <c r="A722" s="7">
        <v>6.9020295152790956E-2</v>
      </c>
      <c r="B722"/>
      <c r="C722"/>
      <c r="D722"/>
      <c r="E722"/>
      <c r="AP722" s="27" t="s">
        <v>7</v>
      </c>
      <c r="AS722" s="27" t="s">
        <v>8</v>
      </c>
      <c r="AT722" s="27" t="s">
        <v>7</v>
      </c>
      <c r="AU722" s="27" t="s">
        <v>8</v>
      </c>
      <c r="AV722" s="27" t="s">
        <v>7</v>
      </c>
      <c r="AW722" s="27" t="s">
        <v>8</v>
      </c>
      <c r="AX722" s="27" t="s">
        <v>7</v>
      </c>
      <c r="AY722" s="27" t="s">
        <v>8</v>
      </c>
      <c r="AZ722" s="27" t="s">
        <v>7</v>
      </c>
      <c r="BA722" s="27" t="s">
        <v>8</v>
      </c>
      <c r="BD722" s="27" t="s">
        <v>7</v>
      </c>
      <c r="BE722" s="27" t="s">
        <v>8</v>
      </c>
      <c r="BJ722" s="27" t="s">
        <v>7</v>
      </c>
      <c r="BK722" s="27" t="s">
        <v>8</v>
      </c>
      <c r="BL722" s="27" t="s">
        <v>7</v>
      </c>
      <c r="BM722" s="27" t="s">
        <v>8</v>
      </c>
      <c r="BN722" s="27" t="s">
        <v>7</v>
      </c>
      <c r="BQ722" s="27" t="s">
        <v>8</v>
      </c>
      <c r="BR722" s="27" t="s">
        <v>7</v>
      </c>
      <c r="BS722" s="27" t="s">
        <v>8</v>
      </c>
      <c r="BU722" s="27" t="s">
        <v>8</v>
      </c>
      <c r="BV722" s="27" t="s">
        <v>7</v>
      </c>
      <c r="BX722" s="27" t="s">
        <v>7</v>
      </c>
      <c r="BY722" s="27" t="s">
        <v>8</v>
      </c>
    </row>
    <row r="723" spans="1:77" x14ac:dyDescent="0.25">
      <c r="A723" s="7">
        <v>6.7666956032147993E-2</v>
      </c>
      <c r="B723"/>
      <c r="C723"/>
      <c r="D723"/>
      <c r="E723"/>
      <c r="AP723" s="27" t="s">
        <v>7</v>
      </c>
      <c r="AS723" s="27" t="s">
        <v>8</v>
      </c>
      <c r="AT723" s="27" t="s">
        <v>7</v>
      </c>
      <c r="AU723" s="27" t="s">
        <v>8</v>
      </c>
      <c r="AV723" s="27" t="s">
        <v>7</v>
      </c>
      <c r="AX723" s="27" t="s">
        <v>7</v>
      </c>
      <c r="AY723" s="27" t="s">
        <v>8</v>
      </c>
      <c r="AZ723" s="27" t="s">
        <v>7</v>
      </c>
      <c r="BA723" s="27" t="s">
        <v>8</v>
      </c>
      <c r="BD723" s="27" t="s">
        <v>7</v>
      </c>
      <c r="BJ723" s="27" t="s">
        <v>7</v>
      </c>
      <c r="BK723" s="27" t="s">
        <v>8</v>
      </c>
      <c r="BL723" s="27" t="s">
        <v>7</v>
      </c>
      <c r="BM723" s="27" t="s">
        <v>8</v>
      </c>
      <c r="BN723" s="27" t="s">
        <v>7</v>
      </c>
      <c r="BQ723" s="27" t="s">
        <v>8</v>
      </c>
      <c r="BR723" s="27" t="s">
        <v>7</v>
      </c>
      <c r="BS723" s="27" t="s">
        <v>8</v>
      </c>
      <c r="BT723" s="27" t="s">
        <v>7</v>
      </c>
      <c r="BU723" s="27" t="s">
        <v>8</v>
      </c>
      <c r="BX723" s="27" t="s">
        <v>7</v>
      </c>
      <c r="BY723" s="27" t="s">
        <v>8</v>
      </c>
    </row>
    <row r="724" spans="1:77" x14ac:dyDescent="0.25">
      <c r="A724" s="7">
        <v>6.6340152972694105E-2</v>
      </c>
      <c r="B724"/>
      <c r="C724"/>
      <c r="D724"/>
      <c r="E724"/>
      <c r="AP724" s="27" t="s">
        <v>7</v>
      </c>
      <c r="AS724" s="27" t="s">
        <v>8</v>
      </c>
      <c r="AT724" s="27" t="s">
        <v>7</v>
      </c>
      <c r="AU724" s="27" t="s">
        <v>8</v>
      </c>
      <c r="AX724" s="27" t="s">
        <v>7</v>
      </c>
      <c r="AY724" s="27" t="s">
        <v>8</v>
      </c>
      <c r="AZ724" s="27" t="s">
        <v>7</v>
      </c>
      <c r="BA724" s="27" t="s">
        <v>8</v>
      </c>
      <c r="BJ724" s="27" t="s">
        <v>7</v>
      </c>
      <c r="BK724" s="27" t="s">
        <v>8</v>
      </c>
      <c r="BL724" s="27" t="s">
        <v>7</v>
      </c>
      <c r="BM724" s="27" t="s">
        <v>8</v>
      </c>
      <c r="BN724" s="27" t="s">
        <v>7</v>
      </c>
      <c r="BQ724" s="27" t="s">
        <v>8</v>
      </c>
      <c r="BR724" s="27" t="s">
        <v>7</v>
      </c>
      <c r="BS724" s="27" t="s">
        <v>8</v>
      </c>
      <c r="BT724" s="27" t="s">
        <v>7</v>
      </c>
      <c r="BU724" s="27" t="s">
        <v>8</v>
      </c>
      <c r="BX724" s="27" t="s">
        <v>7</v>
      </c>
      <c r="BY724" s="27" t="s">
        <v>8</v>
      </c>
    </row>
    <row r="725" spans="1:77" x14ac:dyDescent="0.25">
      <c r="A725" s="7">
        <v>6.5039365659504023E-2</v>
      </c>
      <c r="B725"/>
      <c r="C725"/>
      <c r="D725"/>
      <c r="E725"/>
      <c r="AP725" s="27" t="s">
        <v>7</v>
      </c>
      <c r="AS725" s="27" t="s">
        <v>8</v>
      </c>
      <c r="AT725" s="27" t="s">
        <v>7</v>
      </c>
      <c r="AU725" s="27" t="s">
        <v>8</v>
      </c>
      <c r="AX725" s="27" t="s">
        <v>7</v>
      </c>
      <c r="AY725" s="27" t="s">
        <v>8</v>
      </c>
      <c r="AZ725" s="27" t="s">
        <v>7</v>
      </c>
      <c r="BA725" s="27" t="s">
        <v>8</v>
      </c>
      <c r="BJ725" s="27" t="s">
        <v>7</v>
      </c>
      <c r="BK725" s="27" t="s">
        <v>8</v>
      </c>
      <c r="BL725" s="27" t="s">
        <v>7</v>
      </c>
      <c r="BN725" s="27" t="s">
        <v>7</v>
      </c>
      <c r="BQ725" s="27" t="s">
        <v>8</v>
      </c>
      <c r="BR725" s="27" t="s">
        <v>7</v>
      </c>
      <c r="BS725" s="27" t="s">
        <v>8</v>
      </c>
      <c r="BT725" s="27" t="s">
        <v>7</v>
      </c>
      <c r="BU725" s="27" t="s">
        <v>8</v>
      </c>
      <c r="BX725" s="27" t="s">
        <v>7</v>
      </c>
      <c r="BY725" s="27" t="s">
        <v>8</v>
      </c>
    </row>
    <row r="726" spans="1:77" x14ac:dyDescent="0.25">
      <c r="A726" s="7">
        <v>6.3764083979905906E-2</v>
      </c>
      <c r="B726"/>
      <c r="C726"/>
      <c r="D726"/>
      <c r="E726"/>
      <c r="AP726" s="27" t="s">
        <v>7</v>
      </c>
      <c r="AQ726" s="27" t="s">
        <v>8</v>
      </c>
      <c r="AS726" s="27" t="s">
        <v>8</v>
      </c>
      <c r="AT726" s="27" t="s">
        <v>7</v>
      </c>
      <c r="AU726" s="27" t="s">
        <v>8</v>
      </c>
      <c r="AX726" s="27" t="s">
        <v>7</v>
      </c>
      <c r="AZ726" s="27" t="s">
        <v>7</v>
      </c>
      <c r="BA726" s="27" t="s">
        <v>8</v>
      </c>
      <c r="BJ726" s="27" t="s">
        <v>7</v>
      </c>
      <c r="BK726" s="27" t="s">
        <v>8</v>
      </c>
      <c r="BN726" s="27" t="s">
        <v>7</v>
      </c>
      <c r="BQ726" s="27" t="s">
        <v>8</v>
      </c>
      <c r="BR726" s="27" t="s">
        <v>7</v>
      </c>
      <c r="BS726" s="27" t="s">
        <v>8</v>
      </c>
      <c r="BT726" s="27" t="s">
        <v>7</v>
      </c>
      <c r="BU726" s="27" t="s">
        <v>8</v>
      </c>
      <c r="BX726" s="27" t="s">
        <v>7</v>
      </c>
      <c r="BY726" s="27" t="s">
        <v>8</v>
      </c>
    </row>
    <row r="727" spans="1:77" x14ac:dyDescent="0.25">
      <c r="A727" s="7">
        <v>6.251380782343717E-2</v>
      </c>
      <c r="B727"/>
      <c r="C727"/>
      <c r="D727"/>
      <c r="E727"/>
      <c r="AP727" s="27" t="s">
        <v>7</v>
      </c>
      <c r="AQ727" s="27" t="s">
        <v>8</v>
      </c>
      <c r="AR727" s="27" t="s">
        <v>7</v>
      </c>
      <c r="AS727" s="27" t="s">
        <v>8</v>
      </c>
      <c r="AT727" s="27" t="s">
        <v>7</v>
      </c>
      <c r="AZ727" s="27" t="s">
        <v>7</v>
      </c>
      <c r="BA727" s="27" t="s">
        <v>8</v>
      </c>
      <c r="BJ727" s="27" t="s">
        <v>7</v>
      </c>
      <c r="BK727" s="27" t="s">
        <v>8</v>
      </c>
      <c r="BN727" s="27" t="s">
        <v>7</v>
      </c>
      <c r="BQ727" s="27" t="s">
        <v>8</v>
      </c>
      <c r="BR727" s="27" t="s">
        <v>7</v>
      </c>
      <c r="BS727" s="27" t="s">
        <v>8</v>
      </c>
      <c r="BT727" s="27" t="s">
        <v>7</v>
      </c>
      <c r="BU727" s="27" t="s">
        <v>8</v>
      </c>
      <c r="BX727" s="27" t="s">
        <v>7</v>
      </c>
    </row>
    <row r="728" spans="1:77" x14ac:dyDescent="0.25">
      <c r="A728" s="7">
        <v>6.1288046885722716E-2</v>
      </c>
      <c r="B728"/>
      <c r="C728"/>
      <c r="D728"/>
      <c r="E728"/>
      <c r="AP728" s="27" t="s">
        <v>7</v>
      </c>
      <c r="AQ728" s="27" t="s">
        <v>8</v>
      </c>
      <c r="AR728" s="27" t="s">
        <v>7</v>
      </c>
      <c r="AS728" s="27" t="s">
        <v>8</v>
      </c>
      <c r="AZ728" s="27" t="s">
        <v>7</v>
      </c>
      <c r="BJ728" s="27" t="s">
        <v>7</v>
      </c>
      <c r="BK728" s="27" t="s">
        <v>8</v>
      </c>
      <c r="BN728" s="27" t="s">
        <v>7</v>
      </c>
      <c r="BO728" s="27" t="s">
        <v>8</v>
      </c>
      <c r="BQ728" s="27" t="s">
        <v>8</v>
      </c>
      <c r="BR728" s="27" t="s">
        <v>7</v>
      </c>
      <c r="BS728" s="27" t="s">
        <v>8</v>
      </c>
      <c r="BT728" s="27" t="s">
        <v>7</v>
      </c>
    </row>
    <row r="729" spans="1:77" x14ac:dyDescent="0.25">
      <c r="A729" s="7">
        <v>6.0086320476198739E-2</v>
      </c>
      <c r="B729"/>
      <c r="C729"/>
      <c r="D729"/>
      <c r="E729"/>
      <c r="AP729" s="27" t="s">
        <v>7</v>
      </c>
      <c r="AQ729" s="27" t="s">
        <v>8</v>
      </c>
      <c r="AR729" s="27" t="s">
        <v>7</v>
      </c>
      <c r="AS729" s="27" t="s">
        <v>8</v>
      </c>
      <c r="BJ729" s="27" t="s">
        <v>7</v>
      </c>
      <c r="BN729" s="27" t="s">
        <v>7</v>
      </c>
      <c r="BO729" s="27" t="s">
        <v>8</v>
      </c>
      <c r="BP729" s="27" t="s">
        <v>7</v>
      </c>
      <c r="BQ729" s="27" t="s">
        <v>8</v>
      </c>
      <c r="BR729" s="27" t="s">
        <v>7</v>
      </c>
      <c r="BS729" s="27" t="s">
        <v>8</v>
      </c>
    </row>
    <row r="730" spans="1:77" x14ac:dyDescent="0.25">
      <c r="A730" s="7">
        <v>5.8908157329606609E-2</v>
      </c>
      <c r="B730"/>
      <c r="C730"/>
      <c r="D730"/>
      <c r="E730"/>
      <c r="AP730" s="27" t="s">
        <v>7</v>
      </c>
      <c r="AR730" s="27" t="s">
        <v>7</v>
      </c>
      <c r="AS730" s="27" t="s">
        <v>8</v>
      </c>
      <c r="BN730" s="27" t="s">
        <v>7</v>
      </c>
      <c r="BO730" s="27" t="s">
        <v>8</v>
      </c>
      <c r="BP730" s="27" t="s">
        <v>7</v>
      </c>
      <c r="BQ730" s="27" t="s">
        <v>8</v>
      </c>
      <c r="BR730" s="27" t="s">
        <v>7</v>
      </c>
    </row>
    <row r="731" spans="1:77" x14ac:dyDescent="0.25">
      <c r="A731" s="7">
        <v>5.7753095421182947E-2</v>
      </c>
      <c r="B731"/>
      <c r="C731"/>
      <c r="D731"/>
      <c r="E731"/>
      <c r="AR731" s="27" t="s">
        <v>7</v>
      </c>
      <c r="AS731" s="27" t="s">
        <v>8</v>
      </c>
      <c r="BN731" s="27" t="s">
        <v>7</v>
      </c>
      <c r="BO731" s="27" t="s">
        <v>8</v>
      </c>
      <c r="BP731" s="27" t="s">
        <v>7</v>
      </c>
      <c r="BQ731" s="27" t="s">
        <v>8</v>
      </c>
    </row>
    <row r="732" spans="1:77" x14ac:dyDescent="0.25">
      <c r="A732" s="7">
        <v>5.6620681785473484E-2</v>
      </c>
      <c r="B732"/>
      <c r="C732"/>
      <c r="D732"/>
      <c r="E732"/>
      <c r="AR732" s="27" t="s">
        <v>7</v>
      </c>
      <c r="AS732" s="27" t="s">
        <v>8</v>
      </c>
      <c r="BN732" s="27" t="s">
        <v>7</v>
      </c>
      <c r="BO732" s="27" t="s">
        <v>8</v>
      </c>
      <c r="BP732" s="27" t="s">
        <v>7</v>
      </c>
      <c r="BQ732" s="27" t="s">
        <v>8</v>
      </c>
    </row>
    <row r="733" spans="1:77" x14ac:dyDescent="0.25">
      <c r="A733" s="7">
        <v>5.5510472338699497E-2</v>
      </c>
      <c r="B733"/>
      <c r="C733"/>
      <c r="D733"/>
      <c r="E733"/>
      <c r="AR733" s="27" t="s">
        <v>7</v>
      </c>
      <c r="AS733" s="27" t="s">
        <v>8</v>
      </c>
      <c r="BN733" s="27" t="s">
        <v>7</v>
      </c>
      <c r="BO733" s="27" t="s">
        <v>8</v>
      </c>
      <c r="BP733" s="27" t="s">
        <v>7</v>
      </c>
      <c r="BQ733" s="27" t="s">
        <v>8</v>
      </c>
    </row>
    <row r="734" spans="1:77" x14ac:dyDescent="0.25">
      <c r="A734" s="7">
        <v>5.4422031704607354E-2</v>
      </c>
      <c r="B734"/>
      <c r="C734"/>
      <c r="D734"/>
      <c r="E734"/>
      <c r="AR734" s="27" t="s">
        <v>7</v>
      </c>
      <c r="AS734" s="27" t="s">
        <v>8</v>
      </c>
      <c r="BN734" s="27" t="s">
        <v>7</v>
      </c>
      <c r="BO734" s="27" t="s">
        <v>8</v>
      </c>
      <c r="BP734" s="27" t="s">
        <v>7</v>
      </c>
      <c r="BQ734" s="27" t="s">
        <v>8</v>
      </c>
    </row>
    <row r="735" spans="1:77" x14ac:dyDescent="0.25">
      <c r="A735" s="7">
        <v>5.3354933043732705E-2</v>
      </c>
      <c r="B735"/>
      <c r="C735"/>
      <c r="D735"/>
      <c r="E735"/>
      <c r="AR735" s="27" t="s">
        <v>7</v>
      </c>
      <c r="AS735" s="27" t="s">
        <v>8</v>
      </c>
      <c r="BN735" s="27" t="s">
        <v>7</v>
      </c>
      <c r="BO735" s="27" t="s">
        <v>8</v>
      </c>
      <c r="BP735" s="27" t="s">
        <v>7</v>
      </c>
      <c r="BQ735" s="27" t="s">
        <v>8</v>
      </c>
    </row>
    <row r="736" spans="1:77" x14ac:dyDescent="0.25">
      <c r="A736" s="7">
        <v>5.2308757886012455E-2</v>
      </c>
      <c r="B736"/>
      <c r="C736"/>
      <c r="D736"/>
      <c r="E736"/>
      <c r="AR736" s="27" t="s">
        <v>7</v>
      </c>
      <c r="AS736" s="27" t="s">
        <v>8</v>
      </c>
      <c r="BN736" s="27" t="s">
        <v>7</v>
      </c>
      <c r="BO736" s="27" t="s">
        <v>8</v>
      </c>
      <c r="BP736" s="27" t="s">
        <v>7</v>
      </c>
    </row>
    <row r="737" spans="1:67" x14ac:dyDescent="0.25">
      <c r="A737" s="7">
        <v>5.1283095966678877E-2</v>
      </c>
      <c r="B737"/>
      <c r="C737"/>
      <c r="D737"/>
      <c r="E737"/>
      <c r="AR737" s="27" t="s">
        <v>7</v>
      </c>
      <c r="AS737" s="27" t="s">
        <v>8</v>
      </c>
      <c r="BN737" s="27" t="s">
        <v>7</v>
      </c>
      <c r="BO737" s="27" t="s">
        <v>8</v>
      </c>
    </row>
    <row r="738" spans="1:67" x14ac:dyDescent="0.25">
      <c r="A738" s="7">
        <v>5.0277545065371444E-2</v>
      </c>
      <c r="B738"/>
      <c r="C738"/>
      <c r="D738"/>
      <c r="E738"/>
      <c r="AR738" s="27" t="s">
        <v>7</v>
      </c>
      <c r="BN738" s="27" t="s">
        <v>7</v>
      </c>
      <c r="BO738" s="27" t="s">
        <v>8</v>
      </c>
    </row>
    <row r="739" spans="1:67" x14ac:dyDescent="0.25">
      <c r="A739" s="7">
        <v>4.9291710848403378E-2</v>
      </c>
      <c r="B739"/>
      <c r="C739"/>
      <c r="D739"/>
      <c r="E739"/>
      <c r="BN739" s="27" t="s">
        <v>7</v>
      </c>
      <c r="BO739" s="27" t="s">
        <v>8</v>
      </c>
    </row>
    <row r="740" spans="1:67" x14ac:dyDescent="0.25">
      <c r="A740" s="7">
        <v>4.8325206714120959E-2</v>
      </c>
      <c r="B740"/>
      <c r="C740"/>
      <c r="D740"/>
      <c r="E740"/>
      <c r="BN740" s="27" t="s">
        <v>7</v>
      </c>
      <c r="BO740" s="27" t="s">
        <v>8</v>
      </c>
    </row>
    <row r="741" spans="1:67" x14ac:dyDescent="0.25">
      <c r="A741" s="7">
        <v>4.7377653641295057E-2</v>
      </c>
      <c r="B741"/>
      <c r="C741"/>
      <c r="D741"/>
      <c r="E741"/>
      <c r="BN741" s="27" t="s">
        <v>7</v>
      </c>
      <c r="BO741" s="27" t="s">
        <v>8</v>
      </c>
    </row>
    <row r="742" spans="1:67" x14ac:dyDescent="0.25">
      <c r="A742" s="7">
        <v>4.644868004048535E-2</v>
      </c>
      <c r="B742"/>
      <c r="C742"/>
      <c r="D742"/>
      <c r="E742"/>
      <c r="BN742" s="27" t="s">
        <v>7</v>
      </c>
      <c r="BO742" s="27" t="s">
        <v>8</v>
      </c>
    </row>
    <row r="743" spans="1:67" x14ac:dyDescent="0.25">
      <c r="A743" s="7">
        <v>4.5537921608318974E-2</v>
      </c>
      <c r="B743"/>
      <c r="C743"/>
      <c r="D743"/>
      <c r="E743"/>
      <c r="BN743" s="27" t="s">
        <v>7</v>
      </c>
    </row>
    <row r="744" spans="1:67" x14ac:dyDescent="0.25">
      <c r="A744" s="7">
        <v>4.4645021184626446E-2</v>
      </c>
      <c r="B744"/>
      <c r="C744"/>
      <c r="D744"/>
      <c r="E744"/>
    </row>
    <row r="745" spans="1:67" x14ac:dyDescent="0.25">
      <c r="A745" s="7">
        <v>4.3769628612378868E-2</v>
      </c>
      <c r="B745"/>
      <c r="C745"/>
      <c r="D745"/>
      <c r="E745"/>
    </row>
    <row r="746" spans="1:67" x14ac:dyDescent="0.25">
      <c r="A746" s="7">
        <v>4.2911400600371442E-2</v>
      </c>
      <c r="B746"/>
      <c r="C746"/>
      <c r="D746"/>
      <c r="E746"/>
    </row>
    <row r="747" spans="1:67" x14ac:dyDescent="0.25">
      <c r="A747" s="7">
        <v>4.2070000588599457E-2</v>
      </c>
      <c r="B747"/>
      <c r="C747"/>
      <c r="D747"/>
      <c r="E747"/>
    </row>
    <row r="748" spans="1:67" x14ac:dyDescent="0.25">
      <c r="A748" s="7">
        <v>4.1245098616273977E-2</v>
      </c>
      <c r="B748"/>
      <c r="C748"/>
      <c r="D748"/>
      <c r="E748"/>
    </row>
    <row r="749" spans="1:67" x14ac:dyDescent="0.25">
      <c r="A749" s="7">
        <v>4.043637119242547E-2</v>
      </c>
      <c r="B749"/>
      <c r="C749"/>
      <c r="D749"/>
      <c r="E749"/>
    </row>
    <row r="750" spans="1:67" x14ac:dyDescent="0.25">
      <c r="A750" s="7">
        <v>3.9643501169044582E-2</v>
      </c>
      <c r="B750"/>
      <c r="C750"/>
      <c r="D750"/>
      <c r="E750"/>
    </row>
    <row r="751" spans="1:67" x14ac:dyDescent="0.25">
      <c r="A751" s="7">
        <v>3.8866177616710372E-2</v>
      </c>
      <c r="B751"/>
      <c r="C751"/>
      <c r="D751"/>
      <c r="E751"/>
    </row>
    <row r="752" spans="1:67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40" operator="equal">
      <formula>$U$1</formula>
    </cfRule>
    <cfRule type="cellIs" dxfId="89" priority="941" operator="equal">
      <formula>$S$1</formula>
    </cfRule>
  </conditionalFormatting>
  <conditionalFormatting sqref="D27">
    <cfRule type="cellIs" dxfId="88" priority="938" operator="equal">
      <formula>$S$1</formula>
    </cfRule>
    <cfRule type="cellIs" dxfId="87" priority="939" operator="equal">
      <formula>$U$1</formula>
    </cfRule>
  </conditionalFormatting>
  <conditionalFormatting sqref="C164">
    <cfRule type="cellIs" dxfId="86" priority="936" operator="equal">
      <formula>$U$1</formula>
    </cfRule>
    <cfRule type="cellIs" dxfId="85" priority="937" operator="equal">
      <formula>$S$1</formula>
    </cfRule>
  </conditionalFormatting>
  <conditionalFormatting sqref="D164">
    <cfRule type="cellIs" dxfId="84" priority="934" operator="equal">
      <formula>$S$1</formula>
    </cfRule>
    <cfRule type="cellIs" dxfId="83" priority="935" operator="equal">
      <formula>$U$1</formula>
    </cfRule>
  </conditionalFormatting>
  <conditionalFormatting sqref="C55">
    <cfRule type="cellIs" dxfId="82" priority="932" operator="equal">
      <formula>$U$1</formula>
    </cfRule>
    <cfRule type="cellIs" dxfId="81" priority="933" operator="equal">
      <formula>$S$1</formula>
    </cfRule>
  </conditionalFormatting>
  <conditionalFormatting sqref="D55">
    <cfRule type="cellIs" dxfId="80" priority="930" operator="equal">
      <formula>$S$1</formula>
    </cfRule>
    <cfRule type="cellIs" dxfId="79" priority="931" operator="equal">
      <formula>$U$1</formula>
    </cfRule>
  </conditionalFormatting>
  <conditionalFormatting sqref="C89">
    <cfRule type="cellIs" dxfId="78" priority="928" operator="equal">
      <formula>$U$1</formula>
    </cfRule>
    <cfRule type="cellIs" dxfId="77" priority="929" operator="equal">
      <formula>$S$1</formula>
    </cfRule>
  </conditionalFormatting>
  <conditionalFormatting sqref="D89">
    <cfRule type="cellIs" dxfId="76" priority="926" operator="equal">
      <formula>$S$1</formula>
    </cfRule>
    <cfRule type="cellIs" dxfId="75" priority="927" operator="equal">
      <formula>$U$1</formula>
    </cfRule>
  </conditionalFormatting>
  <conditionalFormatting sqref="C136">
    <cfRule type="cellIs" dxfId="74" priority="924" operator="equal">
      <formula>$U$1</formula>
    </cfRule>
    <cfRule type="cellIs" dxfId="73" priority="925" operator="equal">
      <formula>$S$1</formula>
    </cfRule>
  </conditionalFormatting>
  <conditionalFormatting sqref="D136">
    <cfRule type="cellIs" dxfId="72" priority="922" operator="equal">
      <formula>$S$1</formula>
    </cfRule>
    <cfRule type="cellIs" dxfId="71" priority="923" operator="equal">
      <formula>$U$1</formula>
    </cfRule>
  </conditionalFormatting>
  <conditionalFormatting sqref="C1">
    <cfRule type="cellIs" dxfId="70" priority="92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56" zoomScale="90" zoomScaleNormal="90" workbookViewId="0">
      <pane xSplit="4" topLeftCell="BY1" activePane="topRight" state="frozen"/>
      <selection activeCell="A109" sqref="A109"/>
      <selection pane="topRight" activeCell="EM282" sqref="EM28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$A$281</v>
      </c>
      <c r="D111" s="1" t="str">
        <f>ADDRESS(C121-1,D121,1,1)</f>
        <v>$EM$281</v>
      </c>
      <c r="E111"/>
    </row>
    <row r="112" spans="1:5" x14ac:dyDescent="0.25">
      <c r="A112" s="30">
        <v>515.50191262726139</v>
      </c>
      <c r="C112" s="1" t="str">
        <f>ADDRESS(C121,1,1,1)</f>
        <v>$A$282</v>
      </c>
      <c r="D112" s="1" t="str">
        <f>ADDRESS(C121,D121-1,1,1)</f>
        <v>$EL$282</v>
      </c>
      <c r="E112"/>
    </row>
    <row r="113" spans="1:5" x14ac:dyDescent="0.25">
      <c r="A113" s="30">
        <v>490.95420250215363</v>
      </c>
      <c r="C113" s="1" t="str">
        <f>ADDRESS(C121+1,1,1,1)</f>
        <v>$A$283</v>
      </c>
      <c r="D113" s="1" t="str">
        <f>ADDRESS(C121-1,D121+1,1,1)</f>
        <v>$EN$281</v>
      </c>
    </row>
    <row r="114" spans="1:5" x14ac:dyDescent="0.25">
      <c r="A114" s="30">
        <v>467.57543095443202</v>
      </c>
      <c r="C114" s="1" t="str">
        <f>ADDRESS(C121,D121,1,1)</f>
        <v>$EM$282</v>
      </c>
      <c r="D114" s="1" t="str">
        <f>ADDRESS(C121+1,D121+1,1,1)</f>
        <v>$EN$283</v>
      </c>
    </row>
    <row r="115" spans="1:5" x14ac:dyDescent="0.25">
      <c r="A115" s="30">
        <v>445.30993424231622</v>
      </c>
      <c r="C115" s="1" t="str">
        <f>ADDRESS(C121+1,D121,1,1)</f>
        <v>$EM$283</v>
      </c>
    </row>
    <row r="116" spans="1:5" x14ac:dyDescent="0.25">
      <c r="A116" s="30">
        <v>424.10469927839637</v>
      </c>
      <c r="C116" s="1">
        <f>C117-1</f>
        <v>281</v>
      </c>
    </row>
    <row r="117" spans="1:5" x14ac:dyDescent="0.25">
      <c r="A117" s="30">
        <v>403.9092374079965</v>
      </c>
      <c r="C117" s="1">
        <f>C121</f>
        <v>282</v>
      </c>
      <c r="D117" s="1">
        <f>D121</f>
        <v>143</v>
      </c>
    </row>
    <row r="118" spans="1:5" x14ac:dyDescent="0.25">
      <c r="A118" s="30">
        <v>384.6754641980919</v>
      </c>
      <c r="C118" s="1">
        <f>C117+1</f>
        <v>283</v>
      </c>
      <c r="D118" s="1">
        <f>D117+1</f>
        <v>144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282</v>
      </c>
      <c r="D121" s="19">
        <v>143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R282</v>
      </c>
      <c r="D123" s="1" t="str">
        <f>"C"&amp;D121</f>
        <v>C143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0.12883962113403674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80" x14ac:dyDescent="0.25">
      <c r="A241" s="30">
        <v>0.952380952380952</v>
      </c>
      <c r="B241"/>
      <c r="C241"/>
      <c r="D241"/>
      <c r="E241"/>
      <c r="F241" s="27" t="s">
        <v>7</v>
      </c>
    </row>
    <row r="242" spans="1:80" x14ac:dyDescent="0.25">
      <c r="A242" s="30">
        <v>0.90702947845804915</v>
      </c>
      <c r="B242"/>
      <c r="C242"/>
      <c r="D242"/>
      <c r="E242"/>
      <c r="F242" s="27" t="s">
        <v>7</v>
      </c>
    </row>
    <row r="243" spans="1:80" x14ac:dyDescent="0.25">
      <c r="A243" s="30">
        <v>0.86383759853147501</v>
      </c>
      <c r="B243"/>
      <c r="C243"/>
      <c r="D243"/>
      <c r="E243"/>
      <c r="F243" s="27" t="s">
        <v>7</v>
      </c>
    </row>
    <row r="244" spans="1:80" x14ac:dyDescent="0.25">
      <c r="A244" s="30">
        <v>0.82270247479188063</v>
      </c>
      <c r="B244"/>
      <c r="C244"/>
      <c r="D244"/>
      <c r="E244"/>
      <c r="F244" s="27" t="s">
        <v>7</v>
      </c>
    </row>
    <row r="245" spans="1:80" x14ac:dyDescent="0.25">
      <c r="A245" s="30">
        <v>0.78352616646845741</v>
      </c>
      <c r="B245"/>
      <c r="C245"/>
      <c r="D245"/>
      <c r="E245"/>
      <c r="F245" s="27" t="s">
        <v>7</v>
      </c>
    </row>
    <row r="246" spans="1:80" x14ac:dyDescent="0.25">
      <c r="A246" s="30">
        <v>0.74621539663662584</v>
      </c>
      <c r="B246"/>
      <c r="C246"/>
      <c r="D246"/>
      <c r="E246"/>
      <c r="F246" s="27" t="s">
        <v>7</v>
      </c>
    </row>
    <row r="247" spans="1:80" x14ac:dyDescent="0.25">
      <c r="A247" s="30">
        <v>0.71068133013011958</v>
      </c>
      <c r="B247"/>
      <c r="C247"/>
      <c r="D247"/>
      <c r="E247"/>
      <c r="F247" s="27" t="s">
        <v>7</v>
      </c>
    </row>
    <row r="248" spans="1:80" x14ac:dyDescent="0.25">
      <c r="A248" s="30">
        <v>0.676839362028685</v>
      </c>
      <c r="B248"/>
      <c r="C248"/>
      <c r="D248"/>
      <c r="E248"/>
      <c r="F248" s="27" t="s">
        <v>7</v>
      </c>
    </row>
    <row r="249" spans="1:80" x14ac:dyDescent="0.25">
      <c r="A249" s="30">
        <v>0.64460891621779492</v>
      </c>
      <c r="B249"/>
      <c r="C249"/>
      <c r="D249"/>
      <c r="E249"/>
      <c r="F249" s="27" t="s">
        <v>7</v>
      </c>
      <c r="BM249" s="27" t="s">
        <v>8</v>
      </c>
    </row>
    <row r="250" spans="1:80" x14ac:dyDescent="0.25">
      <c r="A250" s="30">
        <v>0.61391325354075688</v>
      </c>
      <c r="B250"/>
      <c r="C250"/>
      <c r="D250"/>
      <c r="E250"/>
      <c r="F250" s="27" t="s">
        <v>7</v>
      </c>
      <c r="BM250" s="27" t="s">
        <v>8</v>
      </c>
      <c r="BN250" s="27" t="s">
        <v>7</v>
      </c>
      <c r="BO250" s="27" t="s">
        <v>8</v>
      </c>
    </row>
    <row r="251" spans="1:80" x14ac:dyDescent="0.25">
      <c r="A251" s="30">
        <v>0.58467928908643485</v>
      </c>
      <c r="B251"/>
      <c r="C251"/>
      <c r="D251"/>
      <c r="E251"/>
      <c r="F251" s="27" t="s">
        <v>7</v>
      </c>
      <c r="BM251" s="27" t="s">
        <v>8</v>
      </c>
      <c r="BN251" s="27" t="s">
        <v>7</v>
      </c>
      <c r="BO251" s="27" t="s">
        <v>8</v>
      </c>
      <c r="BP251" s="27" t="s">
        <v>7</v>
      </c>
      <c r="BQ251" s="27" t="s">
        <v>8</v>
      </c>
    </row>
    <row r="252" spans="1:80" x14ac:dyDescent="0.25">
      <c r="A252" s="30">
        <v>0.55683741817755672</v>
      </c>
      <c r="B252"/>
      <c r="C252"/>
      <c r="D252"/>
      <c r="E252"/>
      <c r="F252" s="27" t="s">
        <v>7</v>
      </c>
      <c r="BM252" s="27" t="s">
        <v>8</v>
      </c>
      <c r="BN252" s="27" t="s">
        <v>7</v>
      </c>
      <c r="BO252" s="27" t="s">
        <v>8</v>
      </c>
      <c r="BP252" s="27" t="s">
        <v>7</v>
      </c>
      <c r="BQ252" s="27" t="s">
        <v>8</v>
      </c>
      <c r="BR252" s="27" t="s">
        <v>7</v>
      </c>
      <c r="BS252" s="27" t="s">
        <v>8</v>
      </c>
    </row>
    <row r="253" spans="1:80" x14ac:dyDescent="0.25">
      <c r="A253" s="30">
        <v>0.53032135064529184</v>
      </c>
      <c r="B253"/>
      <c r="C253"/>
      <c r="D253"/>
      <c r="E253"/>
      <c r="F253" s="27" t="s">
        <v>7</v>
      </c>
      <c r="BM253" s="27" t="s">
        <v>8</v>
      </c>
      <c r="BN253" s="27" t="s">
        <v>7</v>
      </c>
      <c r="BO253" s="27" t="s">
        <v>8</v>
      </c>
      <c r="BP253" s="27" t="s">
        <v>7</v>
      </c>
      <c r="BQ253" s="27" t="s">
        <v>8</v>
      </c>
      <c r="BR253" s="27" t="s">
        <v>7</v>
      </c>
      <c r="BS253" s="27" t="s">
        <v>8</v>
      </c>
      <c r="BT253" s="27" t="s">
        <v>7</v>
      </c>
    </row>
    <row r="254" spans="1:80" x14ac:dyDescent="0.25">
      <c r="A254" s="30">
        <v>0.50506795299551588</v>
      </c>
      <c r="B254"/>
      <c r="C254"/>
      <c r="D254"/>
      <c r="E254"/>
      <c r="F254" s="27" t="s">
        <v>7</v>
      </c>
      <c r="BE254" s="27" t="s">
        <v>8</v>
      </c>
      <c r="BM254" s="27" t="s">
        <v>8</v>
      </c>
      <c r="BN254" s="27" t="s">
        <v>7</v>
      </c>
      <c r="BO254" s="27" t="s">
        <v>8</v>
      </c>
      <c r="BP254" s="27" t="s">
        <v>7</v>
      </c>
      <c r="BQ254" s="27" t="s">
        <v>8</v>
      </c>
      <c r="BR254" s="27" t="s">
        <v>7</v>
      </c>
      <c r="BS254" s="27" t="s">
        <v>8</v>
      </c>
      <c r="BT254" s="27" t="s">
        <v>7</v>
      </c>
    </row>
    <row r="255" spans="1:80" x14ac:dyDescent="0.25">
      <c r="A255" s="30">
        <v>0.48101709809096732</v>
      </c>
      <c r="E255"/>
      <c r="F255" s="27" t="s">
        <v>7</v>
      </c>
      <c r="BE255" s="27" t="s">
        <v>8</v>
      </c>
      <c r="BF255" s="27" t="s">
        <v>7</v>
      </c>
      <c r="BM255" s="27" t="s">
        <v>8</v>
      </c>
      <c r="BN255" s="27" t="s">
        <v>7</v>
      </c>
      <c r="BP255" s="27" t="s">
        <v>7</v>
      </c>
      <c r="BQ255" s="27" t="s">
        <v>8</v>
      </c>
      <c r="BR255" s="27" t="s">
        <v>7</v>
      </c>
      <c r="BT255" s="27" t="s">
        <v>7</v>
      </c>
      <c r="CA255" s="31" t="s">
        <v>8</v>
      </c>
    </row>
    <row r="256" spans="1:80" x14ac:dyDescent="0.25">
      <c r="A256" s="30">
        <v>0.45811152199139726</v>
      </c>
      <c r="E256"/>
      <c r="F256" s="27" t="s">
        <v>7</v>
      </c>
      <c r="BE256" s="27" t="s">
        <v>8</v>
      </c>
      <c r="BF256" s="27" t="s">
        <v>7</v>
      </c>
      <c r="BI256" s="27" t="s">
        <v>8</v>
      </c>
      <c r="BM256" s="27" t="s">
        <v>8</v>
      </c>
      <c r="BP256" s="27" t="s">
        <v>7</v>
      </c>
      <c r="BQ256" s="27" t="s">
        <v>8</v>
      </c>
      <c r="BT256" s="27" t="s">
        <v>7</v>
      </c>
      <c r="BY256" s="27" t="s">
        <v>8</v>
      </c>
      <c r="CA256" s="27" t="s">
        <v>8</v>
      </c>
      <c r="CB256" s="31" t="s">
        <v>7</v>
      </c>
    </row>
    <row r="257" spans="1:140" x14ac:dyDescent="0.25">
      <c r="A257" s="30">
        <v>0.43629668761085438</v>
      </c>
      <c r="B257"/>
      <c r="C257"/>
      <c r="D257"/>
      <c r="E257"/>
      <c r="F257" s="27" t="s">
        <v>7</v>
      </c>
      <c r="BE257" s="27" t="s">
        <v>8</v>
      </c>
      <c r="BF257" s="27" t="s">
        <v>7</v>
      </c>
      <c r="BI257" s="27" t="s">
        <v>8</v>
      </c>
      <c r="BJ257" s="27" t="s">
        <v>7</v>
      </c>
      <c r="BM257" s="27" t="s">
        <v>8</v>
      </c>
      <c r="BP257" s="27" t="s">
        <v>7</v>
      </c>
      <c r="BQ257" s="27" t="s">
        <v>8</v>
      </c>
      <c r="BT257" s="27" t="s">
        <v>7</v>
      </c>
      <c r="BU257" s="27" t="s">
        <v>8</v>
      </c>
      <c r="BY257" s="27" t="s">
        <v>8</v>
      </c>
      <c r="BZ257" s="27" t="s">
        <v>7</v>
      </c>
      <c r="CA257" s="27" t="s">
        <v>8</v>
      </c>
      <c r="CB257" s="27" t="s">
        <v>7</v>
      </c>
      <c r="CC257" s="31"/>
    </row>
    <row r="258" spans="1:140" x14ac:dyDescent="0.25">
      <c r="A258" s="30">
        <v>0.41552065486748019</v>
      </c>
      <c r="B258"/>
      <c r="C258"/>
      <c r="D258"/>
      <c r="E258"/>
      <c r="F258" s="27" t="s">
        <v>7</v>
      </c>
      <c r="BE258" s="27" t="s">
        <v>8</v>
      </c>
      <c r="BF258" s="27" t="s">
        <v>7</v>
      </c>
      <c r="BG258" s="27" t="s">
        <v>8</v>
      </c>
      <c r="BI258" s="27" t="s">
        <v>8</v>
      </c>
      <c r="BJ258" s="27" t="s">
        <v>7</v>
      </c>
      <c r="BK258" s="27" t="s">
        <v>8</v>
      </c>
      <c r="BM258" s="27" t="s">
        <v>8</v>
      </c>
      <c r="BP258" s="27" t="s">
        <v>7</v>
      </c>
      <c r="BT258" s="27" t="s">
        <v>7</v>
      </c>
      <c r="BU258" s="27" t="s">
        <v>8</v>
      </c>
      <c r="BV258" s="27" t="s">
        <v>7</v>
      </c>
      <c r="BW258" s="27" t="s">
        <v>8</v>
      </c>
      <c r="BY258" s="27" t="s">
        <v>8</v>
      </c>
      <c r="BZ258" s="27" t="s">
        <v>7</v>
      </c>
      <c r="CA258" s="27" t="s">
        <v>8</v>
      </c>
      <c r="CB258" s="27" t="s">
        <v>7</v>
      </c>
      <c r="CC258" s="27" t="s">
        <v>8</v>
      </c>
      <c r="CD258" s="31"/>
      <c r="DY258" s="27" t="s">
        <v>8</v>
      </c>
    </row>
    <row r="259" spans="1:140" x14ac:dyDescent="0.25">
      <c r="A259" s="30">
        <v>0.39573395701664765</v>
      </c>
      <c r="B259"/>
      <c r="C259"/>
      <c r="D259"/>
      <c r="E259"/>
      <c r="F259" s="27" t="s">
        <v>7</v>
      </c>
      <c r="BE259" s="27" t="s">
        <v>8</v>
      </c>
      <c r="BF259" s="27" t="s">
        <v>7</v>
      </c>
      <c r="BG259" s="27" t="s">
        <v>8</v>
      </c>
      <c r="BH259" s="27" t="s">
        <v>7</v>
      </c>
      <c r="BI259" s="27" t="s">
        <v>8</v>
      </c>
      <c r="BJ259" s="27" t="s">
        <v>7</v>
      </c>
      <c r="BK259" s="27" t="s">
        <v>8</v>
      </c>
      <c r="BL259" s="27" t="s">
        <v>7</v>
      </c>
      <c r="BM259" s="27" t="s">
        <v>8</v>
      </c>
      <c r="BT259" s="27" t="s">
        <v>7</v>
      </c>
      <c r="BU259" s="27" t="s">
        <v>8</v>
      </c>
      <c r="BV259" s="27" t="s">
        <v>7</v>
      </c>
      <c r="BW259" s="27" t="s">
        <v>8</v>
      </c>
      <c r="BX259" s="27" t="s">
        <v>7</v>
      </c>
      <c r="BY259" s="27" t="s">
        <v>8</v>
      </c>
      <c r="BZ259" s="27" t="s">
        <v>7</v>
      </c>
      <c r="CA259" s="27" t="s">
        <v>8</v>
      </c>
      <c r="CB259" s="27" t="s">
        <v>7</v>
      </c>
      <c r="CC259" s="27" t="s">
        <v>8</v>
      </c>
      <c r="CD259" s="27" t="s">
        <v>7</v>
      </c>
      <c r="CE259" s="31"/>
      <c r="DY259" s="27" t="s">
        <v>8</v>
      </c>
      <c r="DZ259" s="27" t="s">
        <v>7</v>
      </c>
      <c r="EA259" s="27" t="s">
        <v>8</v>
      </c>
      <c r="EC259" s="27" t="s">
        <v>8</v>
      </c>
      <c r="EG259" s="27" t="s">
        <v>8</v>
      </c>
    </row>
    <row r="260" spans="1:140" x14ac:dyDescent="0.25">
      <c r="A260" s="30">
        <v>0.37688948287299762</v>
      </c>
      <c r="B260"/>
      <c r="C260"/>
      <c r="D260"/>
      <c r="E260"/>
      <c r="F260" s="27" t="s">
        <v>7</v>
      </c>
      <c r="BE260" s="27" t="s">
        <v>8</v>
      </c>
      <c r="BF260" s="27" t="s">
        <v>7</v>
      </c>
      <c r="BG260" s="27" t="s">
        <v>8</v>
      </c>
      <c r="BH260" s="27" t="s">
        <v>7</v>
      </c>
      <c r="BI260" s="27" t="s">
        <v>8</v>
      </c>
      <c r="BJ260" s="27" t="s">
        <v>7</v>
      </c>
      <c r="BK260" s="27" t="s">
        <v>8</v>
      </c>
      <c r="BL260" s="27" t="s">
        <v>7</v>
      </c>
      <c r="BM260" s="27" t="s">
        <v>8</v>
      </c>
      <c r="BT260" s="27" t="s">
        <v>7</v>
      </c>
      <c r="BU260" s="27" t="s">
        <v>8</v>
      </c>
      <c r="BV260" s="27" t="s">
        <v>7</v>
      </c>
      <c r="BW260" s="27" t="s">
        <v>8</v>
      </c>
      <c r="BX260" s="27" t="s">
        <v>7</v>
      </c>
      <c r="BY260" s="27" t="s">
        <v>8</v>
      </c>
      <c r="BZ260" s="27" t="s">
        <v>7</v>
      </c>
      <c r="CA260" s="27" t="s">
        <v>8</v>
      </c>
      <c r="CB260" s="27" t="s">
        <v>7</v>
      </c>
      <c r="CC260" s="27" t="s">
        <v>8</v>
      </c>
      <c r="CD260" s="27" t="s">
        <v>7</v>
      </c>
      <c r="CF260" s="31"/>
      <c r="DW260" s="27" t="s">
        <v>8</v>
      </c>
      <c r="DY260" s="27" t="s">
        <v>8</v>
      </c>
      <c r="DZ260" s="27" t="s">
        <v>7</v>
      </c>
      <c r="EA260" s="27" t="s">
        <v>8</v>
      </c>
      <c r="EB260" s="27" t="s">
        <v>7</v>
      </c>
      <c r="EC260" s="27" t="s">
        <v>8</v>
      </c>
      <c r="ED260" s="27" t="s">
        <v>7</v>
      </c>
      <c r="EE260" s="27" t="s">
        <v>8</v>
      </c>
      <c r="EG260" s="27" t="s">
        <v>8</v>
      </c>
      <c r="EH260" s="27" t="s">
        <v>7</v>
      </c>
    </row>
    <row r="261" spans="1:140" x14ac:dyDescent="0.25">
      <c r="A261" s="30">
        <v>0.35894236464094997</v>
      </c>
      <c r="B261"/>
      <c r="C261"/>
      <c r="D261"/>
      <c r="E261"/>
      <c r="F261" s="27" t="s">
        <v>7</v>
      </c>
      <c r="BE261" s="27" t="s">
        <v>8</v>
      </c>
      <c r="BF261" s="27" t="s">
        <v>7</v>
      </c>
      <c r="BG261" s="27" t="s">
        <v>8</v>
      </c>
      <c r="BH261" s="27" t="s">
        <v>7</v>
      </c>
      <c r="BJ261" s="27" t="s">
        <v>7</v>
      </c>
      <c r="BK261" s="27" t="s">
        <v>8</v>
      </c>
      <c r="BL261" s="27" t="s">
        <v>7</v>
      </c>
      <c r="BM261" s="27" t="s">
        <v>8</v>
      </c>
      <c r="BT261" s="27" t="s">
        <v>7</v>
      </c>
      <c r="BV261" s="27" t="s">
        <v>7</v>
      </c>
      <c r="BW261" s="27" t="s">
        <v>8</v>
      </c>
      <c r="BX261" s="27" t="s">
        <v>7</v>
      </c>
      <c r="BY261" s="27" t="s">
        <v>8</v>
      </c>
      <c r="BZ261" s="27" t="s">
        <v>7</v>
      </c>
      <c r="CA261" s="27" t="s">
        <v>8</v>
      </c>
      <c r="CB261" s="27" t="s">
        <v>7</v>
      </c>
      <c r="CC261" s="27" t="s">
        <v>8</v>
      </c>
      <c r="CD261" s="27" t="s">
        <v>7</v>
      </c>
      <c r="CG261" s="31"/>
      <c r="DW261" s="27" t="s">
        <v>8</v>
      </c>
      <c r="DX261" s="27" t="s">
        <v>7</v>
      </c>
      <c r="DY261" s="27" t="s">
        <v>8</v>
      </c>
      <c r="DZ261" s="27" t="s">
        <v>7</v>
      </c>
      <c r="EA261" s="27" t="s">
        <v>8</v>
      </c>
      <c r="EB261" s="27" t="s">
        <v>7</v>
      </c>
      <c r="EC261" s="27" t="s">
        <v>8</v>
      </c>
      <c r="ED261" s="27" t="s">
        <v>7</v>
      </c>
      <c r="EE261" s="27" t="s">
        <v>8</v>
      </c>
      <c r="EF261" s="27" t="s">
        <v>7</v>
      </c>
      <c r="EG261" s="27" t="s">
        <v>8</v>
      </c>
      <c r="EH261" s="27" t="s">
        <v>7</v>
      </c>
    </row>
    <row r="262" spans="1:140" x14ac:dyDescent="0.25">
      <c r="A262" s="30">
        <v>0.34184987108661891</v>
      </c>
      <c r="B262"/>
      <c r="C262"/>
      <c r="D262"/>
      <c r="E262"/>
      <c r="F262" s="27" t="s">
        <v>7</v>
      </c>
      <c r="BE262" s="27" t="s">
        <v>8</v>
      </c>
      <c r="BF262" s="27" t="s">
        <v>7</v>
      </c>
      <c r="BJ262" s="27" t="s">
        <v>7</v>
      </c>
      <c r="BK262" s="27" t="s">
        <v>8</v>
      </c>
      <c r="BL262" s="27" t="s">
        <v>7</v>
      </c>
      <c r="BV262" s="27" t="s">
        <v>7</v>
      </c>
      <c r="BX262" s="27" t="s">
        <v>7</v>
      </c>
      <c r="BY262" s="27" t="s">
        <v>8</v>
      </c>
      <c r="BZ262" s="27" t="s">
        <v>7</v>
      </c>
      <c r="CA262" s="27" t="s">
        <v>8</v>
      </c>
      <c r="CB262" s="27" t="s">
        <v>7</v>
      </c>
      <c r="CD262" s="27" t="s">
        <v>7</v>
      </c>
      <c r="CH262" s="31"/>
      <c r="DW262" s="27" t="s">
        <v>8</v>
      </c>
      <c r="DX262" s="27" t="s">
        <v>7</v>
      </c>
      <c r="DY262" s="27" t="s">
        <v>8</v>
      </c>
      <c r="DZ262" s="27" t="s">
        <v>7</v>
      </c>
      <c r="EA262" s="27" t="s">
        <v>8</v>
      </c>
      <c r="EB262" s="27" t="s">
        <v>7</v>
      </c>
      <c r="EC262" s="27" t="s">
        <v>8</v>
      </c>
      <c r="ED262" s="27" t="s">
        <v>7</v>
      </c>
      <c r="EE262" s="27" t="s">
        <v>8</v>
      </c>
      <c r="EF262" s="27" t="s">
        <v>7</v>
      </c>
      <c r="EG262" s="27" t="s">
        <v>8</v>
      </c>
      <c r="EH262" s="27" t="s">
        <v>7</v>
      </c>
    </row>
    <row r="263" spans="1:140" x14ac:dyDescent="0.25">
      <c r="A263" s="30">
        <v>0.32557130579677979</v>
      </c>
      <c r="B263"/>
      <c r="C263"/>
      <c r="D263"/>
      <c r="E263"/>
      <c r="F263" s="27" t="s">
        <v>7</v>
      </c>
      <c r="BE263" s="27" t="s">
        <v>8</v>
      </c>
      <c r="BJ263" s="27" t="s">
        <v>7</v>
      </c>
      <c r="BK263" s="27" t="s">
        <v>8</v>
      </c>
      <c r="BX263" s="27" t="s">
        <v>7</v>
      </c>
      <c r="BY263" s="27" t="s">
        <v>8</v>
      </c>
      <c r="BZ263" s="27" t="s">
        <v>7</v>
      </c>
      <c r="CA263" s="27" t="s">
        <v>8</v>
      </c>
      <c r="CD263" s="27" t="s">
        <v>7</v>
      </c>
      <c r="CI263" s="31"/>
      <c r="DW263" s="27" t="s">
        <v>8</v>
      </c>
      <c r="DX263" s="27" t="s">
        <v>7</v>
      </c>
      <c r="DZ263" s="27" t="s">
        <v>7</v>
      </c>
      <c r="EA263" s="27" t="s">
        <v>8</v>
      </c>
      <c r="EB263" s="27" t="s">
        <v>7</v>
      </c>
      <c r="ED263" s="27" t="s">
        <v>7</v>
      </c>
      <c r="EF263" s="27" t="s">
        <v>7</v>
      </c>
      <c r="EG263" s="27" t="s">
        <v>8</v>
      </c>
      <c r="EH263" s="27" t="s">
        <v>7</v>
      </c>
    </row>
    <row r="264" spans="1:140" x14ac:dyDescent="0.25">
      <c r="A264" s="30">
        <v>0.3100679102826473</v>
      </c>
      <c r="B264"/>
      <c r="C264"/>
      <c r="D264"/>
      <c r="E264"/>
      <c r="F264" s="27" t="s">
        <v>7</v>
      </c>
      <c r="BE264" s="27" t="s">
        <v>8</v>
      </c>
      <c r="BJ264" s="27" t="s">
        <v>7</v>
      </c>
      <c r="BX264" s="27" t="s">
        <v>7</v>
      </c>
      <c r="BY264" s="27" t="s">
        <v>8</v>
      </c>
      <c r="BZ264" s="27" t="s">
        <v>7</v>
      </c>
      <c r="CA264" s="27" t="s">
        <v>8</v>
      </c>
      <c r="CD264" s="27" t="s">
        <v>7</v>
      </c>
      <c r="CJ264" s="31"/>
      <c r="DI264" s="27" t="s">
        <v>8</v>
      </c>
      <c r="DU264" s="27" t="s">
        <v>8</v>
      </c>
      <c r="DW264" s="27" t="s">
        <v>8</v>
      </c>
      <c r="DZ264" s="27" t="s">
        <v>7</v>
      </c>
      <c r="EA264" s="27" t="s">
        <v>8</v>
      </c>
      <c r="EF264" s="27" t="s">
        <v>7</v>
      </c>
      <c r="EG264" s="27" t="s">
        <v>8</v>
      </c>
      <c r="EH264" s="27" t="s">
        <v>7</v>
      </c>
    </row>
    <row r="265" spans="1:140" x14ac:dyDescent="0.25">
      <c r="A265" s="30">
        <v>0.2953027716977592</v>
      </c>
      <c r="B265"/>
      <c r="C265"/>
      <c r="D265"/>
      <c r="E265"/>
      <c r="F265" s="27" t="s">
        <v>7</v>
      </c>
      <c r="BE265" s="27" t="s">
        <v>8</v>
      </c>
      <c r="BX265" s="27" t="s">
        <v>7</v>
      </c>
      <c r="BY265" s="27" t="s">
        <v>8</v>
      </c>
      <c r="BZ265" s="27" t="s">
        <v>7</v>
      </c>
      <c r="CD265" s="27" t="s">
        <v>7</v>
      </c>
      <c r="CK265" s="31"/>
      <c r="DI265" s="27" t="s">
        <v>8</v>
      </c>
      <c r="DJ265" s="27" t="s">
        <v>7</v>
      </c>
      <c r="DM265" s="27" t="s">
        <v>8</v>
      </c>
      <c r="DU265" s="27" t="s">
        <v>8</v>
      </c>
      <c r="DV265" s="27" t="s">
        <v>7</v>
      </c>
      <c r="DW265" s="27" t="s">
        <v>8</v>
      </c>
      <c r="DZ265" s="27" t="s">
        <v>7</v>
      </c>
      <c r="EA265" s="27" t="s">
        <v>8</v>
      </c>
      <c r="EF265" s="27" t="s">
        <v>7</v>
      </c>
      <c r="EG265" s="27" t="s">
        <v>8</v>
      </c>
      <c r="EH265" s="27" t="s">
        <v>7</v>
      </c>
    </row>
    <row r="266" spans="1:140" x14ac:dyDescent="0.25">
      <c r="A266" s="30">
        <v>0.28124073495024676</v>
      </c>
      <c r="B266"/>
      <c r="C266"/>
      <c r="D266"/>
      <c r="E266"/>
      <c r="F266" s="27" t="s">
        <v>7</v>
      </c>
      <c r="BE266" s="27" t="s">
        <v>8</v>
      </c>
      <c r="BX266" s="27" t="s">
        <v>7</v>
      </c>
      <c r="BY266" s="27" t="s">
        <v>8</v>
      </c>
      <c r="CD266" s="27" t="s">
        <v>7</v>
      </c>
      <c r="CK266" s="27" t="s">
        <v>8</v>
      </c>
      <c r="CL266" s="31"/>
      <c r="DI266" s="27" t="s">
        <v>8</v>
      </c>
      <c r="DJ266" s="27" t="s">
        <v>7</v>
      </c>
      <c r="DM266" s="27" t="s">
        <v>8</v>
      </c>
      <c r="DN266" s="27" t="s">
        <v>7</v>
      </c>
      <c r="DU266" s="27" t="s">
        <v>8</v>
      </c>
      <c r="DV266" s="27" t="s">
        <v>7</v>
      </c>
      <c r="DW266" s="27" t="s">
        <v>8</v>
      </c>
      <c r="DZ266" s="27" t="s">
        <v>7</v>
      </c>
      <c r="EA266" s="27" t="s">
        <v>8</v>
      </c>
      <c r="EF266" s="27" t="s">
        <v>7</v>
      </c>
      <c r="EG266" s="27" t="s">
        <v>8</v>
      </c>
      <c r="EH266" s="27" t="s">
        <v>7</v>
      </c>
    </row>
    <row r="267" spans="1:140" x14ac:dyDescent="0.25">
      <c r="A267" s="30">
        <v>0.26784831900023492</v>
      </c>
      <c r="B267"/>
      <c r="C267"/>
      <c r="D267"/>
      <c r="E267"/>
      <c r="F267" s="27" t="s">
        <v>7</v>
      </c>
      <c r="BE267" s="27" t="s">
        <v>8</v>
      </c>
      <c r="BX267" s="27" t="s">
        <v>7</v>
      </c>
      <c r="CD267" s="27" t="s">
        <v>7</v>
      </c>
      <c r="CE267" s="27" t="s">
        <v>8</v>
      </c>
      <c r="CK267" s="27" t="s">
        <v>8</v>
      </c>
      <c r="CL267" s="27" t="s">
        <v>7</v>
      </c>
      <c r="CM267" s="31"/>
      <c r="DG267" s="27" t="s">
        <v>8</v>
      </c>
      <c r="DI267" s="27" t="s">
        <v>8</v>
      </c>
      <c r="DJ267" s="27" t="s">
        <v>7</v>
      </c>
      <c r="DK267" s="27" t="s">
        <v>8</v>
      </c>
      <c r="DM267" s="27" t="s">
        <v>8</v>
      </c>
      <c r="DN267" s="27" t="s">
        <v>7</v>
      </c>
      <c r="DS267" s="27" t="s">
        <v>8</v>
      </c>
      <c r="DU267" s="27" t="s">
        <v>8</v>
      </c>
      <c r="DV267" s="27" t="s">
        <v>7</v>
      </c>
      <c r="DW267" s="27" t="s">
        <v>8</v>
      </c>
      <c r="DZ267" s="27" t="s">
        <v>7</v>
      </c>
      <c r="EF267" s="27" t="s">
        <v>7</v>
      </c>
      <c r="EG267" s="27" t="s">
        <v>8</v>
      </c>
      <c r="EH267" s="27" t="s">
        <v>7</v>
      </c>
    </row>
    <row r="268" spans="1:140" x14ac:dyDescent="0.25">
      <c r="A268" s="30">
        <v>0.25509363714308075</v>
      </c>
      <c r="B268"/>
      <c r="C268"/>
      <c r="D268"/>
      <c r="E268"/>
      <c r="F268" s="27" t="s">
        <v>7</v>
      </c>
      <c r="AY268" s="27" t="s">
        <v>8</v>
      </c>
      <c r="BA268" s="27" t="s">
        <v>8</v>
      </c>
      <c r="BE268" s="27" t="s">
        <v>8</v>
      </c>
      <c r="CD268" s="27" t="s">
        <v>7</v>
      </c>
      <c r="CE268" s="27" t="s">
        <v>8</v>
      </c>
      <c r="CF268" s="27" t="s">
        <v>7</v>
      </c>
      <c r="CK268" s="27" t="s">
        <v>8</v>
      </c>
      <c r="CL268" s="27" t="s">
        <v>7</v>
      </c>
      <c r="CN268" s="31"/>
      <c r="DE268" s="27" t="s">
        <v>8</v>
      </c>
      <c r="DG268" s="27" t="s">
        <v>8</v>
      </c>
      <c r="DH268" s="27" t="s">
        <v>7</v>
      </c>
      <c r="DI268" s="27" t="s">
        <v>8</v>
      </c>
      <c r="DJ268" s="27" t="s">
        <v>7</v>
      </c>
      <c r="DK268" s="27" t="s">
        <v>8</v>
      </c>
      <c r="DL268" s="27" t="s">
        <v>7</v>
      </c>
      <c r="DM268" s="27" t="s">
        <v>8</v>
      </c>
      <c r="DN268" s="27" t="s">
        <v>7</v>
      </c>
      <c r="DQ268" s="27" t="s">
        <v>8</v>
      </c>
      <c r="DS268" s="27" t="s">
        <v>8</v>
      </c>
      <c r="DT268" s="27" t="s">
        <v>7</v>
      </c>
      <c r="DU268" s="27" t="s">
        <v>8</v>
      </c>
      <c r="DV268" s="27" t="s">
        <v>7</v>
      </c>
      <c r="DW268" s="27" t="s">
        <v>8</v>
      </c>
      <c r="EF268" s="27" t="s">
        <v>7</v>
      </c>
      <c r="EG268" s="27" t="s">
        <v>8</v>
      </c>
      <c r="EH268" s="27" t="s">
        <v>7</v>
      </c>
      <c r="EI268" s="27" t="s">
        <v>8</v>
      </c>
    </row>
    <row r="269" spans="1:140" x14ac:dyDescent="0.25">
      <c r="A269" s="30">
        <v>0.24294632108864825</v>
      </c>
      <c r="B269"/>
      <c r="C269"/>
      <c r="D269"/>
      <c r="E269"/>
      <c r="F269" s="27" t="s">
        <v>7</v>
      </c>
      <c r="AY269" s="27" t="s">
        <v>8</v>
      </c>
      <c r="AZ269" s="27" t="s">
        <v>7</v>
      </c>
      <c r="BA269" s="27" t="s">
        <v>8</v>
      </c>
      <c r="BB269" s="27" t="s">
        <v>7</v>
      </c>
      <c r="BE269" s="27" t="s">
        <v>8</v>
      </c>
      <c r="CD269" s="27" t="s">
        <v>7</v>
      </c>
      <c r="CE269" s="27" t="s">
        <v>8</v>
      </c>
      <c r="CF269" s="27" t="s">
        <v>7</v>
      </c>
      <c r="CK269" s="27" t="s">
        <v>8</v>
      </c>
      <c r="CL269" s="27" t="s">
        <v>7</v>
      </c>
      <c r="CO269" s="31"/>
      <c r="DE269" s="27" t="s">
        <v>8</v>
      </c>
      <c r="DF269" s="27" t="s">
        <v>7</v>
      </c>
      <c r="DG269" s="27" t="s">
        <v>8</v>
      </c>
      <c r="DH269" s="27" t="s">
        <v>7</v>
      </c>
      <c r="DI269" s="27" t="s">
        <v>8</v>
      </c>
      <c r="DJ269" s="27" t="s">
        <v>7</v>
      </c>
      <c r="DK269" s="27" t="s">
        <v>8</v>
      </c>
      <c r="DL269" s="27" t="s">
        <v>7</v>
      </c>
      <c r="DM269" s="27" t="s">
        <v>8</v>
      </c>
      <c r="DN269" s="27" t="s">
        <v>7</v>
      </c>
      <c r="DQ269" s="27" t="s">
        <v>8</v>
      </c>
      <c r="DR269" s="27" t="s">
        <v>7</v>
      </c>
      <c r="DS269" s="27" t="s">
        <v>8</v>
      </c>
      <c r="DT269" s="27" t="s">
        <v>7</v>
      </c>
      <c r="DU269" s="27" t="s">
        <v>8</v>
      </c>
      <c r="DV269" s="27" t="s">
        <v>7</v>
      </c>
      <c r="EF269" s="27" t="s">
        <v>7</v>
      </c>
      <c r="EG269" s="27" t="s">
        <v>8</v>
      </c>
      <c r="EH269" s="27" t="s">
        <v>7</v>
      </c>
      <c r="EI269" s="27" t="s">
        <v>8</v>
      </c>
      <c r="EJ269" s="27" t="s">
        <v>7</v>
      </c>
    </row>
    <row r="270" spans="1:140" x14ac:dyDescent="0.25">
      <c r="A270" s="30">
        <v>0.23137744865585538</v>
      </c>
      <c r="B270"/>
      <c r="C270"/>
      <c r="D270"/>
      <c r="E270"/>
      <c r="F270" s="27" t="s">
        <v>7</v>
      </c>
      <c r="AY270" s="27" t="s">
        <v>8</v>
      </c>
      <c r="AZ270" s="27" t="s">
        <v>7</v>
      </c>
      <c r="BA270" s="27" t="s">
        <v>8</v>
      </c>
      <c r="BB270" s="27" t="s">
        <v>7</v>
      </c>
      <c r="BE270" s="27" t="s">
        <v>8</v>
      </c>
      <c r="CD270" s="27" t="s">
        <v>7</v>
      </c>
      <c r="CE270" s="27" t="s">
        <v>8</v>
      </c>
      <c r="CF270" s="27" t="s">
        <v>7</v>
      </c>
      <c r="CK270" s="27" t="s">
        <v>8</v>
      </c>
      <c r="CL270" s="27" t="s">
        <v>7</v>
      </c>
      <c r="CM270" s="27" t="s">
        <v>8</v>
      </c>
      <c r="CO270" s="27" t="s">
        <v>8</v>
      </c>
      <c r="CP270" s="31"/>
      <c r="CQ270" s="27" t="s">
        <v>8</v>
      </c>
      <c r="DE270" s="27" t="s">
        <v>8</v>
      </c>
      <c r="DF270" s="27" t="s">
        <v>7</v>
      </c>
      <c r="DG270" s="27" t="s">
        <v>8</v>
      </c>
      <c r="DH270" s="27" t="s">
        <v>7</v>
      </c>
      <c r="DI270" s="27" t="s">
        <v>8</v>
      </c>
      <c r="DJ270" s="27" t="s">
        <v>7</v>
      </c>
      <c r="DK270" s="27" t="s">
        <v>8</v>
      </c>
      <c r="DL270" s="27" t="s">
        <v>7</v>
      </c>
      <c r="DN270" s="27" t="s">
        <v>7</v>
      </c>
      <c r="DO270" s="27" t="s">
        <v>8</v>
      </c>
      <c r="DQ270" s="27" t="s">
        <v>8</v>
      </c>
      <c r="DR270" s="27" t="s">
        <v>7</v>
      </c>
      <c r="DS270" s="27" t="s">
        <v>8</v>
      </c>
      <c r="DT270" s="27" t="s">
        <v>7</v>
      </c>
      <c r="DU270" s="27" t="s">
        <v>8</v>
      </c>
      <c r="EF270" s="27" t="s">
        <v>7</v>
      </c>
      <c r="EG270" s="27" t="s">
        <v>8</v>
      </c>
      <c r="EH270" s="27" t="s">
        <v>7</v>
      </c>
      <c r="EI270" s="27" t="s">
        <v>8</v>
      </c>
      <c r="EJ270" s="27" t="s">
        <v>7</v>
      </c>
    </row>
    <row r="271" spans="1:140" x14ac:dyDescent="0.25">
      <c r="A271" s="30">
        <v>0.22035947491033836</v>
      </c>
      <c r="B271"/>
      <c r="C271"/>
      <c r="D271"/>
      <c r="E271"/>
      <c r="F271" s="27" t="s">
        <v>7</v>
      </c>
      <c r="AY271" s="27" t="s">
        <v>8</v>
      </c>
      <c r="AZ271" s="27" t="s">
        <v>7</v>
      </c>
      <c r="BA271" s="27" t="s">
        <v>8</v>
      </c>
      <c r="BB271" s="27" t="s">
        <v>7</v>
      </c>
      <c r="BE271" s="27" t="s">
        <v>8</v>
      </c>
      <c r="CD271" s="27" t="s">
        <v>7</v>
      </c>
      <c r="CE271" s="27" t="s">
        <v>8</v>
      </c>
      <c r="CF271" s="27" t="s">
        <v>7</v>
      </c>
      <c r="CK271" s="27" t="s">
        <v>8</v>
      </c>
      <c r="CL271" s="27" t="s">
        <v>7</v>
      </c>
      <c r="CM271" s="27" t="s">
        <v>8</v>
      </c>
      <c r="CN271" s="27" t="s">
        <v>7</v>
      </c>
      <c r="CO271" s="27" t="s">
        <v>8</v>
      </c>
      <c r="CP271" s="27" t="s">
        <v>7</v>
      </c>
      <c r="CQ271" s="31" t="s">
        <v>8</v>
      </c>
      <c r="CR271" s="31" t="s">
        <v>7</v>
      </c>
      <c r="DE271" s="27" t="s">
        <v>8</v>
      </c>
      <c r="DF271" s="27" t="s">
        <v>7</v>
      </c>
      <c r="DG271" s="27" t="s">
        <v>8</v>
      </c>
      <c r="DH271" s="27" t="s">
        <v>7</v>
      </c>
      <c r="DJ271" s="27" t="s">
        <v>7</v>
      </c>
      <c r="DK271" s="27" t="s">
        <v>8</v>
      </c>
      <c r="DN271" s="27" t="s">
        <v>7</v>
      </c>
      <c r="DO271" s="27" t="s">
        <v>8</v>
      </c>
      <c r="DP271" s="27" t="s">
        <v>7</v>
      </c>
      <c r="DQ271" s="27" t="s">
        <v>8</v>
      </c>
      <c r="DR271" s="27" t="s">
        <v>7</v>
      </c>
      <c r="DT271" s="27" t="s">
        <v>7</v>
      </c>
      <c r="EF271" s="27" t="s">
        <v>7</v>
      </c>
      <c r="EG271" s="27" t="s">
        <v>8</v>
      </c>
      <c r="EH271" s="27" t="s">
        <v>7</v>
      </c>
      <c r="EJ271" s="27" t="s">
        <v>7</v>
      </c>
    </row>
    <row r="272" spans="1:140" x14ac:dyDescent="0.25">
      <c r="A272" s="30">
        <v>0.20986616658127455</v>
      </c>
      <c r="B272"/>
      <c r="C272"/>
      <c r="D272"/>
      <c r="E272"/>
      <c r="F272" s="27" t="s">
        <v>7</v>
      </c>
      <c r="AY272" s="27" t="s">
        <v>8</v>
      </c>
      <c r="AZ272" s="27" t="s">
        <v>7</v>
      </c>
      <c r="BA272" s="27" t="s">
        <v>8</v>
      </c>
      <c r="BB272" s="27" t="s">
        <v>7</v>
      </c>
      <c r="BC272" s="27" t="s">
        <v>8</v>
      </c>
      <c r="BE272" s="27" t="s">
        <v>8</v>
      </c>
      <c r="CD272" s="27" t="s">
        <v>7</v>
      </c>
      <c r="CE272" s="27" t="s">
        <v>8</v>
      </c>
      <c r="CF272" s="27" t="s">
        <v>7</v>
      </c>
      <c r="CK272" s="27" t="s">
        <v>8</v>
      </c>
      <c r="CL272" s="27" t="s">
        <v>7</v>
      </c>
      <c r="CM272" s="27" t="s">
        <v>8</v>
      </c>
      <c r="CN272" s="27" t="s">
        <v>7</v>
      </c>
      <c r="CO272" s="27" t="s">
        <v>8</v>
      </c>
      <c r="CP272" s="27" t="s">
        <v>7</v>
      </c>
      <c r="CQ272" s="27" t="s">
        <v>8</v>
      </c>
      <c r="CR272" s="27" t="s">
        <v>7</v>
      </c>
      <c r="CS272" s="31"/>
      <c r="DE272" s="27" t="s">
        <v>8</v>
      </c>
      <c r="DF272" s="27" t="s">
        <v>7</v>
      </c>
      <c r="DJ272" s="27" t="s">
        <v>7</v>
      </c>
      <c r="DK272" s="27" t="s">
        <v>8</v>
      </c>
      <c r="DM272" s="31"/>
      <c r="DN272" s="27" t="s">
        <v>7</v>
      </c>
      <c r="DO272" s="27" t="s">
        <v>8</v>
      </c>
      <c r="DP272" s="27" t="s">
        <v>7</v>
      </c>
      <c r="DQ272" s="27" t="s">
        <v>8</v>
      </c>
      <c r="EF272" s="27" t="s">
        <v>7</v>
      </c>
      <c r="EG272" s="27" t="s">
        <v>8</v>
      </c>
      <c r="EJ272" s="27" t="s">
        <v>7</v>
      </c>
    </row>
    <row r="273" spans="1:143" x14ac:dyDescent="0.25">
      <c r="A273" s="30">
        <v>0.19987253960121379</v>
      </c>
      <c r="B273"/>
      <c r="C273"/>
      <c r="D273"/>
      <c r="E273"/>
      <c r="F273" s="27" t="s">
        <v>7</v>
      </c>
      <c r="I273" s="27" t="s">
        <v>8</v>
      </c>
      <c r="AY273" s="27" t="s">
        <v>8</v>
      </c>
      <c r="AZ273" s="27" t="s">
        <v>7</v>
      </c>
      <c r="BA273" s="27" t="s">
        <v>8</v>
      </c>
      <c r="BB273" s="27" t="s">
        <v>7</v>
      </c>
      <c r="BC273" s="27" t="s">
        <v>8</v>
      </c>
      <c r="BD273" s="27" t="s">
        <v>7</v>
      </c>
      <c r="BE273" s="27" t="s">
        <v>8</v>
      </c>
      <c r="CD273" s="27" t="s">
        <v>7</v>
      </c>
      <c r="CE273" s="27" t="s">
        <v>8</v>
      </c>
      <c r="CF273" s="27" t="s">
        <v>7</v>
      </c>
      <c r="CG273" s="27" t="s">
        <v>8</v>
      </c>
      <c r="CI273" s="27" t="s">
        <v>8</v>
      </c>
      <c r="CK273" s="27" t="s">
        <v>8</v>
      </c>
      <c r="CL273" s="27" t="s">
        <v>7</v>
      </c>
      <c r="CM273" s="27" t="s">
        <v>8</v>
      </c>
      <c r="CN273" s="27" t="s">
        <v>7</v>
      </c>
      <c r="CO273" s="27" t="s">
        <v>8</v>
      </c>
      <c r="CP273" s="27" t="s">
        <v>7</v>
      </c>
      <c r="CQ273" s="27" t="s">
        <v>8</v>
      </c>
      <c r="CR273" s="27" t="s">
        <v>7</v>
      </c>
      <c r="CT273" s="31"/>
      <c r="DC273" s="27" t="s">
        <v>8</v>
      </c>
      <c r="DE273" s="27" t="s">
        <v>8</v>
      </c>
      <c r="DJ273" s="27" t="s">
        <v>7</v>
      </c>
      <c r="DK273" s="27" t="s">
        <v>8</v>
      </c>
      <c r="DL273" s="31"/>
      <c r="DN273" s="27" t="s">
        <v>7</v>
      </c>
      <c r="DO273" s="27" t="s">
        <v>8</v>
      </c>
      <c r="DP273" s="27" t="s">
        <v>7</v>
      </c>
      <c r="DQ273" s="27" t="s">
        <v>8</v>
      </c>
      <c r="EF273" s="27" t="s">
        <v>7</v>
      </c>
      <c r="EJ273" s="27" t="s">
        <v>7</v>
      </c>
      <c r="EK273" s="27" t="s">
        <v>8</v>
      </c>
    </row>
    <row r="274" spans="1:143" x14ac:dyDescent="0.25">
      <c r="A274" s="30">
        <v>0.19035479962020352</v>
      </c>
      <c r="B274"/>
      <c r="C274"/>
      <c r="D274"/>
      <c r="E274"/>
      <c r="F274" s="27" t="s">
        <v>7</v>
      </c>
      <c r="I274" s="27" t="s">
        <v>8</v>
      </c>
      <c r="J274" s="27" t="s">
        <v>7</v>
      </c>
      <c r="AY274" s="27" t="s">
        <v>8</v>
      </c>
      <c r="AZ274" s="27" t="s">
        <v>7</v>
      </c>
      <c r="BB274" s="27" t="s">
        <v>7</v>
      </c>
      <c r="BC274" s="27" t="s">
        <v>8</v>
      </c>
      <c r="BD274" s="27" t="s">
        <v>7</v>
      </c>
      <c r="BE274" s="27" t="s">
        <v>8</v>
      </c>
      <c r="CD274" s="27" t="s">
        <v>7</v>
      </c>
      <c r="CE274" s="27" t="s">
        <v>8</v>
      </c>
      <c r="CF274" s="27" t="s">
        <v>7</v>
      </c>
      <c r="CG274" s="27" t="s">
        <v>8</v>
      </c>
      <c r="CH274" s="27" t="s">
        <v>7</v>
      </c>
      <c r="CI274" s="27" t="s">
        <v>8</v>
      </c>
      <c r="CJ274" s="27" t="s">
        <v>7</v>
      </c>
      <c r="CK274" s="27" t="s">
        <v>8</v>
      </c>
      <c r="CL274" s="27" t="s">
        <v>7</v>
      </c>
      <c r="CM274" s="27" t="s">
        <v>8</v>
      </c>
      <c r="CN274" s="27" t="s">
        <v>7</v>
      </c>
      <c r="CO274" s="27" t="s">
        <v>8</v>
      </c>
      <c r="CP274" s="27" t="s">
        <v>7</v>
      </c>
      <c r="CQ274" s="27" t="s">
        <v>8</v>
      </c>
      <c r="CR274" s="27" t="s">
        <v>7</v>
      </c>
      <c r="CU274" s="31"/>
      <c r="DC274" s="27" t="s">
        <v>8</v>
      </c>
      <c r="DD274" s="27" t="s">
        <v>7</v>
      </c>
      <c r="DE274" s="27" t="s">
        <v>8</v>
      </c>
      <c r="DJ274" s="27" t="s">
        <v>7</v>
      </c>
      <c r="DK274" s="31"/>
      <c r="DN274" s="27" t="s">
        <v>7</v>
      </c>
      <c r="DP274" s="27" t="s">
        <v>7</v>
      </c>
      <c r="EJ274" s="27" t="s">
        <v>7</v>
      </c>
      <c r="EK274" s="27" t="s">
        <v>8</v>
      </c>
      <c r="EL274" s="27" t="s">
        <v>7</v>
      </c>
    </row>
    <row r="275" spans="1:143" x14ac:dyDescent="0.25">
      <c r="A275" s="30">
        <v>0.18129028535257471</v>
      </c>
      <c r="B275"/>
      <c r="C275"/>
      <c r="D275"/>
      <c r="E275"/>
      <c r="F275" s="27" t="s">
        <v>7</v>
      </c>
      <c r="I275" s="27" t="s">
        <v>8</v>
      </c>
      <c r="J275" s="27" t="s">
        <v>7</v>
      </c>
      <c r="AY275" s="27" t="s">
        <v>8</v>
      </c>
      <c r="BB275" s="27" t="s">
        <v>7</v>
      </c>
      <c r="BC275" s="27" t="s">
        <v>8</v>
      </c>
      <c r="BD275" s="27" t="s">
        <v>7</v>
      </c>
      <c r="BE275" s="27" t="s">
        <v>8</v>
      </c>
      <c r="CD275" s="27" t="s">
        <v>7</v>
      </c>
      <c r="CE275" s="27" t="s">
        <v>8</v>
      </c>
      <c r="CF275" s="27" t="s">
        <v>7</v>
      </c>
      <c r="CG275" s="27" t="s">
        <v>8</v>
      </c>
      <c r="CH275" s="27" t="s">
        <v>7</v>
      </c>
      <c r="CI275" s="27" t="s">
        <v>8</v>
      </c>
      <c r="CJ275" s="27" t="s">
        <v>7</v>
      </c>
      <c r="CK275" s="27" t="s">
        <v>8</v>
      </c>
      <c r="CL275" s="27" t="s">
        <v>7</v>
      </c>
      <c r="CN275" s="27" t="s">
        <v>7</v>
      </c>
      <c r="CO275" s="27" t="s">
        <v>8</v>
      </c>
      <c r="CP275" s="27" t="s">
        <v>7</v>
      </c>
      <c r="CQ275" s="27" t="s">
        <v>8</v>
      </c>
      <c r="CR275" s="27" t="s">
        <v>7</v>
      </c>
      <c r="CV275" s="31"/>
      <c r="CW275" s="27" t="s">
        <v>8</v>
      </c>
      <c r="DC275" s="33" t="s">
        <v>8</v>
      </c>
      <c r="DD275" s="27" t="s">
        <v>7</v>
      </c>
      <c r="DE275" s="27" t="s">
        <v>8</v>
      </c>
      <c r="DJ275" s="31"/>
      <c r="EJ275" s="27" t="s">
        <v>7</v>
      </c>
      <c r="EK275" s="27" t="s">
        <v>8</v>
      </c>
      <c r="EL275" s="27" t="s">
        <v>7</v>
      </c>
    </row>
    <row r="276" spans="1:143" x14ac:dyDescent="0.25">
      <c r="A276" s="30">
        <v>0.17265741462149967</v>
      </c>
      <c r="B276"/>
      <c r="C276"/>
      <c r="D276"/>
      <c r="E276"/>
      <c r="F276" s="27" t="s">
        <v>7</v>
      </c>
      <c r="I276" s="27" t="s">
        <v>8</v>
      </c>
      <c r="J276" s="27" t="s">
        <v>7</v>
      </c>
      <c r="AY276" s="27" t="s">
        <v>8</v>
      </c>
      <c r="BB276" s="27" t="s">
        <v>7</v>
      </c>
      <c r="BC276" s="27" t="s">
        <v>8</v>
      </c>
      <c r="BD276" s="27" t="s">
        <v>7</v>
      </c>
      <c r="BE276" s="27" t="s">
        <v>8</v>
      </c>
      <c r="CD276" s="27" t="s">
        <v>7</v>
      </c>
      <c r="CE276" s="27" t="s">
        <v>8</v>
      </c>
      <c r="CF276" s="27" t="s">
        <v>7</v>
      </c>
      <c r="CH276" s="27" t="s">
        <v>7</v>
      </c>
      <c r="CI276" s="27" t="s">
        <v>8</v>
      </c>
      <c r="CJ276" s="27" t="s">
        <v>7</v>
      </c>
      <c r="CN276" s="27" t="s">
        <v>7</v>
      </c>
      <c r="CO276" s="27" t="s">
        <v>8</v>
      </c>
      <c r="CP276" s="27" t="s">
        <v>7</v>
      </c>
      <c r="CQ276" s="27" t="s">
        <v>8</v>
      </c>
      <c r="CR276" s="27" t="s">
        <v>7</v>
      </c>
      <c r="CW276" s="31" t="s">
        <v>8</v>
      </c>
      <c r="CX276" s="27" t="s">
        <v>7</v>
      </c>
      <c r="DA276" s="27" t="s">
        <v>8</v>
      </c>
      <c r="DC276" s="27" t="s">
        <v>8</v>
      </c>
      <c r="DD276" s="27" t="s">
        <v>7</v>
      </c>
      <c r="DI276" s="31"/>
      <c r="EJ276" s="27" t="s">
        <v>7</v>
      </c>
      <c r="EL276" s="27" t="s">
        <v>7</v>
      </c>
    </row>
    <row r="277" spans="1:143" x14ac:dyDescent="0.25">
      <c r="A277" s="30">
        <v>0.16443563297285677</v>
      </c>
      <c r="B277"/>
      <c r="C277"/>
      <c r="D277"/>
      <c r="E277"/>
      <c r="F277" s="27" t="s">
        <v>7</v>
      </c>
      <c r="I277" s="27" t="s">
        <v>8</v>
      </c>
      <c r="J277" s="27" t="s">
        <v>7</v>
      </c>
      <c r="AU277" s="27" t="s">
        <v>8</v>
      </c>
      <c r="AW277" s="27" t="s">
        <v>8</v>
      </c>
      <c r="AY277" s="27" t="s">
        <v>8</v>
      </c>
      <c r="BB277" s="27" t="s">
        <v>7</v>
      </c>
      <c r="BC277" s="27" t="s">
        <v>8</v>
      </c>
      <c r="BD277" s="27" t="s">
        <v>7</v>
      </c>
      <c r="BE277" s="27" t="s">
        <v>8</v>
      </c>
      <c r="CD277" s="27" t="s">
        <v>7</v>
      </c>
      <c r="CE277" s="27" t="s">
        <v>8</v>
      </c>
      <c r="CH277" s="27" t="s">
        <v>7</v>
      </c>
      <c r="CI277" s="27" t="s">
        <v>8</v>
      </c>
      <c r="CN277" s="27" t="s">
        <v>7</v>
      </c>
      <c r="CO277" s="27" t="s">
        <v>8</v>
      </c>
      <c r="CP277" s="27" t="s">
        <v>7</v>
      </c>
      <c r="CR277" s="27" t="s">
        <v>7</v>
      </c>
      <c r="CW277" s="27" t="s">
        <v>8</v>
      </c>
      <c r="CX277" s="31" t="s">
        <v>7</v>
      </c>
      <c r="CY277" s="27" t="s">
        <v>8</v>
      </c>
      <c r="DA277" s="27" t="s">
        <v>8</v>
      </c>
      <c r="DB277" s="27" t="s">
        <v>7</v>
      </c>
      <c r="DC277" s="27" t="s">
        <v>8</v>
      </c>
      <c r="DH277" s="31"/>
      <c r="EL277" s="27" t="s">
        <v>7</v>
      </c>
    </row>
    <row r="278" spans="1:143" x14ac:dyDescent="0.25">
      <c r="A278" s="30">
        <v>0.15660536473605399</v>
      </c>
      <c r="B278"/>
      <c r="C278"/>
      <c r="D278"/>
      <c r="E278"/>
      <c r="F278" s="27" t="s">
        <v>7</v>
      </c>
      <c r="G278" s="27" t="s">
        <v>8</v>
      </c>
      <c r="I278" s="27" t="s">
        <v>8</v>
      </c>
      <c r="J278" s="27" t="s">
        <v>7</v>
      </c>
      <c r="K278" s="27" t="s">
        <v>8</v>
      </c>
      <c r="AQ278" s="27" t="s">
        <v>8</v>
      </c>
      <c r="AS278" s="27" t="s">
        <v>8</v>
      </c>
      <c r="AU278" s="27" t="s">
        <v>8</v>
      </c>
      <c r="AV278" s="27" t="s">
        <v>7</v>
      </c>
      <c r="AW278" s="27" t="s">
        <v>8</v>
      </c>
      <c r="AX278" s="27" t="s">
        <v>7</v>
      </c>
      <c r="AY278" s="27" t="s">
        <v>8</v>
      </c>
      <c r="BB278" s="27" t="s">
        <v>7</v>
      </c>
      <c r="BC278" s="27" t="s">
        <v>8</v>
      </c>
      <c r="BD278" s="27" t="s">
        <v>7</v>
      </c>
      <c r="BE278" s="27" t="s">
        <v>8</v>
      </c>
      <c r="CD278" s="27" t="s">
        <v>7</v>
      </c>
      <c r="CE278" s="27" t="s">
        <v>8</v>
      </c>
      <c r="CH278" s="27" t="s">
        <v>7</v>
      </c>
      <c r="CI278" s="27" t="s">
        <v>8</v>
      </c>
      <c r="CN278" s="27" t="s">
        <v>7</v>
      </c>
      <c r="CR278" s="27" t="s">
        <v>7</v>
      </c>
      <c r="CU278" s="27" t="s">
        <v>8</v>
      </c>
      <c r="CW278" s="27" t="s">
        <v>8</v>
      </c>
      <c r="CX278" s="27" t="s">
        <v>7</v>
      </c>
      <c r="CY278" s="27" t="s">
        <v>8</v>
      </c>
      <c r="CZ278" s="27" t="s">
        <v>7</v>
      </c>
      <c r="DA278" s="27" t="s">
        <v>8</v>
      </c>
      <c r="DB278" s="27" t="s">
        <v>7</v>
      </c>
      <c r="DC278" s="27" t="s">
        <v>8</v>
      </c>
      <c r="DG278" s="31"/>
      <c r="EL278" s="27" t="s">
        <v>7</v>
      </c>
    </row>
    <row r="279" spans="1:143" x14ac:dyDescent="0.25">
      <c r="A279" s="30">
        <v>0.14914796641528946</v>
      </c>
      <c r="B279"/>
      <c r="C279"/>
      <c r="D279"/>
      <c r="E279"/>
      <c r="F279" s="27" t="s">
        <v>7</v>
      </c>
      <c r="G279" s="27" t="s">
        <v>8</v>
      </c>
      <c r="H279" s="27" t="s">
        <v>7</v>
      </c>
      <c r="I279" s="27" t="s">
        <v>8</v>
      </c>
      <c r="J279" s="27" t="s">
        <v>7</v>
      </c>
      <c r="K279" s="27" t="s">
        <v>8</v>
      </c>
      <c r="L279" s="27" t="s">
        <v>7</v>
      </c>
      <c r="AQ279" s="27" t="s">
        <v>8</v>
      </c>
      <c r="AR279" s="27" t="s">
        <v>7</v>
      </c>
      <c r="AS279" s="27" t="s">
        <v>8</v>
      </c>
      <c r="AT279" s="27" t="s">
        <v>7</v>
      </c>
      <c r="AU279" s="27" t="s">
        <v>8</v>
      </c>
      <c r="AV279" s="27" t="s">
        <v>7</v>
      </c>
      <c r="AW279" s="27" t="s">
        <v>8</v>
      </c>
      <c r="AX279" s="27" t="s">
        <v>7</v>
      </c>
      <c r="AY279" s="27" t="s">
        <v>8</v>
      </c>
      <c r="BB279" s="27" t="s">
        <v>7</v>
      </c>
      <c r="BC279" s="27" t="s">
        <v>8</v>
      </c>
      <c r="BD279" s="27" t="s">
        <v>7</v>
      </c>
      <c r="CD279" s="27" t="s">
        <v>7</v>
      </c>
      <c r="CE279" s="27" t="s">
        <v>8</v>
      </c>
      <c r="CH279" s="27" t="s">
        <v>7</v>
      </c>
      <c r="CI279" s="27" t="s">
        <v>8</v>
      </c>
      <c r="CR279" s="27" t="s">
        <v>7</v>
      </c>
      <c r="CS279" s="27" t="s">
        <v>8</v>
      </c>
      <c r="CU279" s="27" t="s">
        <v>8</v>
      </c>
      <c r="CV279" s="27" t="s">
        <v>7</v>
      </c>
      <c r="CW279" s="27" t="s">
        <v>8</v>
      </c>
      <c r="CX279" s="27" t="s">
        <v>7</v>
      </c>
      <c r="CY279" s="27" t="s">
        <v>8</v>
      </c>
      <c r="CZ279" s="27" t="s">
        <v>7</v>
      </c>
      <c r="DA279" s="27" t="s">
        <v>8</v>
      </c>
      <c r="DB279" s="27" t="s">
        <v>7</v>
      </c>
      <c r="DF279" s="31"/>
      <c r="EL279" s="27" t="s">
        <v>7</v>
      </c>
    </row>
    <row r="280" spans="1:143" x14ac:dyDescent="0.25">
      <c r="A280" s="30">
        <v>0.14204568230027562</v>
      </c>
      <c r="B280"/>
      <c r="C280"/>
      <c r="D280"/>
      <c r="E280"/>
      <c r="F280" s="27" t="s">
        <v>7</v>
      </c>
      <c r="G280" s="27" t="s">
        <v>8</v>
      </c>
      <c r="H280" s="27" t="s">
        <v>7</v>
      </c>
      <c r="I280" s="27" t="s">
        <v>8</v>
      </c>
      <c r="J280" s="27" t="s">
        <v>7</v>
      </c>
      <c r="K280" s="27" t="s">
        <v>8</v>
      </c>
      <c r="L280" s="27" t="s">
        <v>7</v>
      </c>
      <c r="M280" s="27" t="s">
        <v>8</v>
      </c>
      <c r="Q280" s="27" t="s">
        <v>8</v>
      </c>
      <c r="AQ280" s="27" t="s">
        <v>8</v>
      </c>
      <c r="AR280" s="27" t="s">
        <v>7</v>
      </c>
      <c r="AS280" s="27" t="s">
        <v>8</v>
      </c>
      <c r="AT280" s="27" t="s">
        <v>7</v>
      </c>
      <c r="AU280" s="27" t="s">
        <v>8</v>
      </c>
      <c r="AV280" s="27" t="s">
        <v>7</v>
      </c>
      <c r="AW280" s="27" t="s">
        <v>8</v>
      </c>
      <c r="AX280" s="27" t="s">
        <v>7</v>
      </c>
      <c r="AY280" s="27" t="s">
        <v>8</v>
      </c>
      <c r="BB280" s="27" t="s">
        <v>7</v>
      </c>
      <c r="BC280" s="27" t="s">
        <v>8</v>
      </c>
      <c r="CD280" s="27" t="s">
        <v>7</v>
      </c>
      <c r="CH280" s="27" t="s">
        <v>7</v>
      </c>
      <c r="CI280" s="27" t="s">
        <v>8</v>
      </c>
      <c r="CR280" s="27" t="s">
        <v>7</v>
      </c>
      <c r="CS280" s="27" t="s">
        <v>8</v>
      </c>
      <c r="CT280" s="27" t="s">
        <v>7</v>
      </c>
      <c r="CU280" s="27" t="s">
        <v>8</v>
      </c>
      <c r="CV280" s="27" t="s">
        <v>7</v>
      </c>
      <c r="CW280" s="27" t="s">
        <v>8</v>
      </c>
      <c r="CX280" s="27" t="s">
        <v>7</v>
      </c>
      <c r="CY280" s="27" t="s">
        <v>8</v>
      </c>
      <c r="CZ280" s="27" t="s">
        <v>7</v>
      </c>
      <c r="DA280" s="27" t="s">
        <v>8</v>
      </c>
      <c r="DE280" s="31"/>
      <c r="EL280" s="27" t="s">
        <v>7</v>
      </c>
    </row>
    <row r="281" spans="1:143" x14ac:dyDescent="0.25">
      <c r="A281" s="30">
        <v>0.13528160219073862</v>
      </c>
      <c r="B281"/>
      <c r="C281"/>
      <c r="D281"/>
      <c r="E281"/>
      <c r="F281" s="27" t="s">
        <v>7</v>
      </c>
      <c r="G281" s="27" t="s">
        <v>8</v>
      </c>
      <c r="H281" s="27" t="s">
        <v>7</v>
      </c>
      <c r="I281" s="27" t="s">
        <v>8</v>
      </c>
      <c r="J281" s="27" t="s">
        <v>7</v>
      </c>
      <c r="K281" s="27" t="s">
        <v>8</v>
      </c>
      <c r="L281" s="27" t="s">
        <v>7</v>
      </c>
      <c r="M281" s="27" t="s">
        <v>8</v>
      </c>
      <c r="N281" s="27" t="s">
        <v>7</v>
      </c>
      <c r="Q281" s="27" t="s">
        <v>8</v>
      </c>
      <c r="R281" s="27" t="s">
        <v>7</v>
      </c>
      <c r="AQ281" s="27" t="s">
        <v>8</v>
      </c>
      <c r="AR281" s="27" t="s">
        <v>7</v>
      </c>
      <c r="AS281" s="27" t="s">
        <v>8</v>
      </c>
      <c r="AT281" s="27" t="s">
        <v>7</v>
      </c>
      <c r="AU281" s="27" t="s">
        <v>8</v>
      </c>
      <c r="AV281" s="27" t="s">
        <v>7</v>
      </c>
      <c r="AW281" s="27" t="s">
        <v>8</v>
      </c>
      <c r="AX281" s="27" t="s">
        <v>7</v>
      </c>
      <c r="BB281" s="27" t="s">
        <v>7</v>
      </c>
      <c r="BC281" s="27" t="s">
        <v>8</v>
      </c>
      <c r="CH281" s="27" t="s">
        <v>7</v>
      </c>
      <c r="CI281" s="27" t="s">
        <v>8</v>
      </c>
      <c r="CR281" s="27" t="s">
        <v>7</v>
      </c>
      <c r="CS281" s="27" t="s">
        <v>8</v>
      </c>
      <c r="CT281" s="27" t="s">
        <v>7</v>
      </c>
      <c r="CU281" s="27" t="s">
        <v>8</v>
      </c>
      <c r="CV281" s="27" t="s">
        <v>7</v>
      </c>
      <c r="CX281" s="27" t="s">
        <v>7</v>
      </c>
      <c r="CZ281" s="27" t="s">
        <v>7</v>
      </c>
      <c r="DA281" s="27" t="s">
        <v>8</v>
      </c>
      <c r="DD281" s="31"/>
      <c r="EL281" s="27" t="s">
        <v>7</v>
      </c>
    </row>
    <row r="282" spans="1:143" x14ac:dyDescent="0.25">
      <c r="A282" s="30">
        <v>0.12883962113403674</v>
      </c>
      <c r="B282"/>
      <c r="C282"/>
      <c r="D282"/>
      <c r="E282"/>
      <c r="F282" s="27" t="s">
        <v>7</v>
      </c>
      <c r="G282" s="27" t="s">
        <v>8</v>
      </c>
      <c r="H282" s="27" t="s">
        <v>7</v>
      </c>
      <c r="I282" s="27" t="s">
        <v>8</v>
      </c>
      <c r="J282" s="27" t="s">
        <v>7</v>
      </c>
      <c r="K282" s="27" t="s">
        <v>8</v>
      </c>
      <c r="L282" s="27" t="s">
        <v>7</v>
      </c>
      <c r="M282" s="27" t="s">
        <v>8</v>
      </c>
      <c r="N282" s="27" t="s">
        <v>7</v>
      </c>
      <c r="O282" s="27" t="s">
        <v>8</v>
      </c>
      <c r="Q282" s="27" t="s">
        <v>8</v>
      </c>
      <c r="R282" s="27" t="s">
        <v>7</v>
      </c>
      <c r="W282" s="27" t="s">
        <v>8</v>
      </c>
      <c r="AQ282" s="27" t="s">
        <v>8</v>
      </c>
      <c r="AR282" s="27" t="s">
        <v>7</v>
      </c>
      <c r="AS282" s="27" t="s">
        <v>8</v>
      </c>
      <c r="AT282" s="27" t="s">
        <v>7</v>
      </c>
      <c r="AU282" s="27" t="s">
        <v>8</v>
      </c>
      <c r="AV282" s="27" t="s">
        <v>7</v>
      </c>
      <c r="BB282" s="27" t="s">
        <v>7</v>
      </c>
      <c r="BC282" s="27" t="s">
        <v>8</v>
      </c>
      <c r="CH282" s="27" t="s">
        <v>7</v>
      </c>
      <c r="CI282" s="27" t="s">
        <v>8</v>
      </c>
      <c r="CR282" s="27" t="s">
        <v>7</v>
      </c>
      <c r="CS282" s="27" t="s">
        <v>8</v>
      </c>
      <c r="CT282" s="27" t="s">
        <v>7</v>
      </c>
      <c r="CU282" s="27" t="s">
        <v>8</v>
      </c>
      <c r="CZ282" s="32" t="s">
        <v>7</v>
      </c>
      <c r="DA282" s="27" t="s">
        <v>8</v>
      </c>
      <c r="DC282" s="31"/>
      <c r="EL282" s="27" t="s">
        <v>7</v>
      </c>
      <c r="EM282" s="27" t="s">
        <v>8</v>
      </c>
    </row>
    <row r="283" spans="1:143" x14ac:dyDescent="0.25">
      <c r="A283" s="30">
        <v>0.12270440108003494</v>
      </c>
      <c r="B283"/>
      <c r="C283"/>
      <c r="D283"/>
      <c r="E283"/>
      <c r="F283" s="27" t="s">
        <v>7</v>
      </c>
      <c r="G283" s="27" t="s">
        <v>8</v>
      </c>
      <c r="H283" s="27" t="s">
        <v>7</v>
      </c>
      <c r="I283" s="27" t="s">
        <v>8</v>
      </c>
      <c r="J283" s="27" t="s">
        <v>7</v>
      </c>
      <c r="K283" s="27" t="s">
        <v>8</v>
      </c>
      <c r="L283" s="27" t="s">
        <v>7</v>
      </c>
      <c r="M283" s="27" t="s">
        <v>8</v>
      </c>
      <c r="N283" s="27" t="s">
        <v>7</v>
      </c>
      <c r="O283" s="27" t="s">
        <v>8</v>
      </c>
      <c r="P283" s="27" t="s">
        <v>7</v>
      </c>
      <c r="Q283" s="27" t="s">
        <v>8</v>
      </c>
      <c r="R283" s="27" t="s">
        <v>7</v>
      </c>
      <c r="W283" s="27" t="s">
        <v>8</v>
      </c>
      <c r="X283" s="27" t="s">
        <v>7</v>
      </c>
      <c r="AQ283" s="27" t="s">
        <v>8</v>
      </c>
      <c r="AR283" s="27" t="s">
        <v>7</v>
      </c>
      <c r="AS283" s="27" t="s">
        <v>8</v>
      </c>
      <c r="AT283" s="27" t="s">
        <v>7</v>
      </c>
      <c r="BB283" s="27" t="s">
        <v>7</v>
      </c>
      <c r="BC283" s="27" t="s">
        <v>8</v>
      </c>
      <c r="CH283" s="27" t="s">
        <v>7</v>
      </c>
      <c r="CI283" s="27" t="s">
        <v>8</v>
      </c>
      <c r="CR283" s="27" t="s">
        <v>7</v>
      </c>
      <c r="CS283" s="27" t="s">
        <v>8</v>
      </c>
      <c r="CT283" s="27" t="s">
        <v>7</v>
      </c>
      <c r="CZ283" s="27" t="s">
        <v>7</v>
      </c>
      <c r="DA283" s="27" t="s">
        <v>8</v>
      </c>
      <c r="DB283" s="31"/>
      <c r="EL283" s="27" t="s">
        <v>7</v>
      </c>
      <c r="EM283" s="27" t="s">
        <v>8</v>
      </c>
    </row>
    <row r="284" spans="1:143" x14ac:dyDescent="0.25">
      <c r="A284" s="30">
        <v>0.11686133436193799</v>
      </c>
      <c r="B284"/>
      <c r="C284"/>
      <c r="D284"/>
      <c r="E284"/>
      <c r="F284" s="27" t="s">
        <v>7</v>
      </c>
      <c r="G284" s="27" t="s">
        <v>8</v>
      </c>
      <c r="H284" s="27" t="s">
        <v>7</v>
      </c>
      <c r="I284" s="27" t="s">
        <v>8</v>
      </c>
      <c r="J284" s="27" t="s">
        <v>7</v>
      </c>
      <c r="K284" s="27" t="s">
        <v>8</v>
      </c>
      <c r="L284" s="27" t="s">
        <v>7</v>
      </c>
      <c r="M284" s="27" t="s">
        <v>8</v>
      </c>
      <c r="N284" s="27" t="s">
        <v>7</v>
      </c>
      <c r="O284" s="27" t="s">
        <v>8</v>
      </c>
      <c r="P284" s="27" t="s">
        <v>7</v>
      </c>
      <c r="Q284" s="27" t="s">
        <v>8</v>
      </c>
      <c r="R284" s="27" t="s">
        <v>7</v>
      </c>
      <c r="S284" s="27" t="s">
        <v>8</v>
      </c>
      <c r="W284" s="27" t="s">
        <v>8</v>
      </c>
      <c r="X284" s="27" t="s">
        <v>7</v>
      </c>
      <c r="AQ284" s="27" t="s">
        <v>8</v>
      </c>
      <c r="AR284" s="27" t="s">
        <v>7</v>
      </c>
      <c r="AS284" s="27" t="s">
        <v>8</v>
      </c>
      <c r="BB284" s="27" t="s">
        <v>7</v>
      </c>
      <c r="CH284" s="27" t="s">
        <v>7</v>
      </c>
      <c r="CR284" s="27" t="s">
        <v>7</v>
      </c>
      <c r="CS284" s="27" t="s">
        <v>8</v>
      </c>
      <c r="CZ284" s="27" t="s">
        <v>7</v>
      </c>
      <c r="DA284" s="31" t="s">
        <v>8</v>
      </c>
      <c r="EL284" s="27" t="s">
        <v>7</v>
      </c>
      <c r="EM284" s="27" t="s">
        <v>8</v>
      </c>
    </row>
    <row r="285" spans="1:143" x14ac:dyDescent="0.25">
      <c r="A285" s="30">
        <v>0.11129650891613138</v>
      </c>
      <c r="B285"/>
      <c r="C285"/>
      <c r="D285"/>
      <c r="E285"/>
      <c r="F285" s="27" t="s">
        <v>7</v>
      </c>
      <c r="H285" s="27" t="s">
        <v>7</v>
      </c>
      <c r="I285" s="27" t="s">
        <v>8</v>
      </c>
      <c r="J285" s="27" t="s">
        <v>7</v>
      </c>
      <c r="K285" s="27" t="s">
        <v>8</v>
      </c>
      <c r="L285" s="27" t="s">
        <v>7</v>
      </c>
      <c r="N285" s="27" t="s">
        <v>7</v>
      </c>
      <c r="P285" s="27" t="s">
        <v>7</v>
      </c>
      <c r="R285" s="27" t="s">
        <v>7</v>
      </c>
      <c r="S285" s="27" t="s">
        <v>8</v>
      </c>
      <c r="T285" s="27" t="s">
        <v>7</v>
      </c>
      <c r="W285" s="27" t="s">
        <v>8</v>
      </c>
      <c r="X285" s="27" t="s">
        <v>7</v>
      </c>
      <c r="AQ285" s="27" t="s">
        <v>8</v>
      </c>
      <c r="AR285" s="27" t="s">
        <v>7</v>
      </c>
      <c r="CR285" s="27" t="s">
        <v>7</v>
      </c>
      <c r="CZ285" s="31" t="s">
        <v>7</v>
      </c>
      <c r="EL285" s="27" t="s">
        <v>7</v>
      </c>
      <c r="EM285" s="27" t="s">
        <v>8</v>
      </c>
    </row>
    <row r="286" spans="1:143" x14ac:dyDescent="0.25">
      <c r="A286" s="30">
        <v>0.10599667515822032</v>
      </c>
      <c r="B286"/>
      <c r="C286"/>
      <c r="D286"/>
      <c r="E286"/>
      <c r="H286" s="27" t="s">
        <v>7</v>
      </c>
      <c r="I286" s="27" t="s">
        <v>8</v>
      </c>
      <c r="J286" s="27" t="s">
        <v>7</v>
      </c>
      <c r="K286" s="27" t="s">
        <v>8</v>
      </c>
      <c r="R286" s="27" t="s">
        <v>7</v>
      </c>
      <c r="S286" s="27" t="s">
        <v>8</v>
      </c>
      <c r="T286" s="27" t="s">
        <v>7</v>
      </c>
      <c r="U286" s="27" t="s">
        <v>8</v>
      </c>
      <c r="W286" s="27" t="s">
        <v>8</v>
      </c>
      <c r="X286" s="27" t="s">
        <v>7</v>
      </c>
      <c r="AE286" s="27" t="s">
        <v>8</v>
      </c>
      <c r="AQ286" s="27" t="s">
        <v>8</v>
      </c>
      <c r="EL286" s="27" t="s">
        <v>7</v>
      </c>
    </row>
    <row r="287" spans="1:143" x14ac:dyDescent="0.25">
      <c r="A287" s="30">
        <v>0.10094921443640027</v>
      </c>
      <c r="B287"/>
      <c r="C287"/>
      <c r="D287"/>
      <c r="E287"/>
      <c r="H287" s="27" t="s">
        <v>7</v>
      </c>
      <c r="I287" s="27" t="s">
        <v>8</v>
      </c>
      <c r="J287" s="27" t="s">
        <v>7</v>
      </c>
      <c r="R287" s="27" t="s">
        <v>7</v>
      </c>
      <c r="S287" s="27" t="s">
        <v>8</v>
      </c>
      <c r="T287" s="27" t="s">
        <v>7</v>
      </c>
      <c r="U287" s="27" t="s">
        <v>8</v>
      </c>
      <c r="V287" s="27" t="s">
        <v>7</v>
      </c>
      <c r="W287" s="27" t="s">
        <v>8</v>
      </c>
      <c r="X287" s="27" t="s">
        <v>7</v>
      </c>
      <c r="AE287" s="27" t="s">
        <v>8</v>
      </c>
      <c r="AF287" s="27" t="s">
        <v>7</v>
      </c>
      <c r="AQ287" s="27" t="s">
        <v>8</v>
      </c>
    </row>
    <row r="288" spans="1:143" x14ac:dyDescent="0.25">
      <c r="A288" s="30">
        <v>9.6142108987047836E-2</v>
      </c>
      <c r="B288"/>
      <c r="C288"/>
      <c r="D288"/>
      <c r="E288"/>
      <c r="H288" s="27" t="s">
        <v>7</v>
      </c>
      <c r="R288" s="27" t="s">
        <v>7</v>
      </c>
      <c r="S288" s="27" t="s">
        <v>8</v>
      </c>
      <c r="T288" s="27" t="s">
        <v>7</v>
      </c>
      <c r="U288" s="27" t="s">
        <v>8</v>
      </c>
      <c r="V288" s="27" t="s">
        <v>7</v>
      </c>
      <c r="W288" s="27" t="s">
        <v>8</v>
      </c>
      <c r="X288" s="27" t="s">
        <v>7</v>
      </c>
      <c r="AE288" s="27" t="s">
        <v>8</v>
      </c>
      <c r="AF288" s="27" t="s">
        <v>7</v>
      </c>
      <c r="AO288" s="27" t="s">
        <v>8</v>
      </c>
      <c r="AQ288" s="27" t="s">
        <v>8</v>
      </c>
    </row>
    <row r="289" spans="1:43" x14ac:dyDescent="0.25">
      <c r="A289" s="30">
        <v>9.1563913320997906E-2</v>
      </c>
      <c r="B289"/>
      <c r="C289"/>
      <c r="D289"/>
      <c r="E289"/>
      <c r="R289" s="27" t="s">
        <v>7</v>
      </c>
      <c r="S289" s="27" t="s">
        <v>8</v>
      </c>
      <c r="T289" s="27" t="s">
        <v>7</v>
      </c>
      <c r="V289" s="27" t="s">
        <v>7</v>
      </c>
      <c r="X289" s="27" t="s">
        <v>7</v>
      </c>
      <c r="Y289" s="27" t="s">
        <v>8</v>
      </c>
      <c r="AE289" s="27" t="s">
        <v>8</v>
      </c>
      <c r="AF289" s="27" t="s">
        <v>7</v>
      </c>
      <c r="AM289" s="27" t="s">
        <v>8</v>
      </c>
      <c r="AO289" s="27" t="s">
        <v>8</v>
      </c>
      <c r="AP289" s="27" t="s">
        <v>7</v>
      </c>
      <c r="AQ289" s="27" t="s">
        <v>8</v>
      </c>
    </row>
    <row r="290" spans="1:43" x14ac:dyDescent="0.25">
      <c r="A290" s="30">
        <v>8.7203726972378923E-2</v>
      </c>
      <c r="B290"/>
      <c r="C290"/>
      <c r="D290"/>
      <c r="E290"/>
      <c r="R290" s="27" t="s">
        <v>7</v>
      </c>
      <c r="S290" s="27" t="s">
        <v>8</v>
      </c>
      <c r="X290" s="27" t="s">
        <v>7</v>
      </c>
      <c r="Y290" s="27" t="s">
        <v>8</v>
      </c>
      <c r="Z290" s="27" t="s">
        <v>7</v>
      </c>
      <c r="AE290" s="27" t="s">
        <v>8</v>
      </c>
      <c r="AF290" s="27" t="s">
        <v>7</v>
      </c>
      <c r="AM290" s="27" t="s">
        <v>8</v>
      </c>
      <c r="AN290" s="27" t="s">
        <v>7</v>
      </c>
      <c r="AO290" s="27" t="s">
        <v>8</v>
      </c>
      <c r="AP290" s="27" t="s">
        <v>7</v>
      </c>
      <c r="AQ290" s="27" t="s">
        <v>8</v>
      </c>
    </row>
    <row r="291" spans="1:43" x14ac:dyDescent="0.25">
      <c r="A291" s="30">
        <v>8.3051168545122747E-2</v>
      </c>
      <c r="B291"/>
      <c r="C291"/>
      <c r="D291"/>
      <c r="E291"/>
      <c r="R291" s="27" t="s">
        <v>7</v>
      </c>
      <c r="S291" s="27" t="s">
        <v>8</v>
      </c>
      <c r="X291" s="27" t="s">
        <v>7</v>
      </c>
      <c r="Y291" s="27" t="s">
        <v>8</v>
      </c>
      <c r="Z291" s="27" t="s">
        <v>7</v>
      </c>
      <c r="AC291" s="27" t="s">
        <v>8</v>
      </c>
      <c r="AE291" s="27" t="s">
        <v>8</v>
      </c>
      <c r="AF291" s="27" t="s">
        <v>7</v>
      </c>
      <c r="AG291" s="27" t="s">
        <v>8</v>
      </c>
      <c r="AM291" s="27" t="s">
        <v>8</v>
      </c>
      <c r="AN291" s="27" t="s">
        <v>7</v>
      </c>
      <c r="AO291" s="27" t="s">
        <v>8</v>
      </c>
      <c r="AP291" s="27" t="s">
        <v>7</v>
      </c>
      <c r="AQ291" s="27" t="s">
        <v>8</v>
      </c>
    </row>
    <row r="292" spans="1:43" x14ac:dyDescent="0.25">
      <c r="A292" s="30">
        <v>7.9096350995354961E-2</v>
      </c>
      <c r="B292"/>
      <c r="C292"/>
      <c r="D292"/>
      <c r="E292"/>
      <c r="R292" s="27" t="s">
        <v>7</v>
      </c>
      <c r="S292" s="27" t="s">
        <v>8</v>
      </c>
      <c r="X292" s="27" t="s">
        <v>7</v>
      </c>
      <c r="Y292" s="27" t="s">
        <v>8</v>
      </c>
      <c r="Z292" s="27" t="s">
        <v>7</v>
      </c>
      <c r="AC292" s="27" t="s">
        <v>8</v>
      </c>
      <c r="AD292" s="27" t="s">
        <v>7</v>
      </c>
      <c r="AE292" s="27" t="s">
        <v>8</v>
      </c>
      <c r="AF292" s="27" t="s">
        <v>7</v>
      </c>
      <c r="AG292" s="27" t="s">
        <v>8</v>
      </c>
      <c r="AH292" s="27" t="s">
        <v>7</v>
      </c>
      <c r="AM292" s="27" t="s">
        <v>8</v>
      </c>
      <c r="AN292" s="27" t="s">
        <v>7</v>
      </c>
      <c r="AO292" s="27" t="s">
        <v>8</v>
      </c>
      <c r="AP292" s="27" t="s">
        <v>7</v>
      </c>
      <c r="AQ292" s="27" t="s">
        <v>8</v>
      </c>
    </row>
    <row r="293" spans="1:43" x14ac:dyDescent="0.25">
      <c r="A293" s="30">
        <v>7.5329858090814217E-2</v>
      </c>
      <c r="B293"/>
      <c r="C293"/>
      <c r="D293"/>
      <c r="E293"/>
      <c r="R293" s="27" t="s">
        <v>7</v>
      </c>
      <c r="X293" s="27" t="s">
        <v>7</v>
      </c>
      <c r="Z293" s="27" t="s">
        <v>7</v>
      </c>
      <c r="AA293" s="27" t="s">
        <v>8</v>
      </c>
      <c r="AC293" s="27" t="s">
        <v>8</v>
      </c>
      <c r="AD293" s="27" t="s">
        <v>7</v>
      </c>
      <c r="AE293" s="27" t="s">
        <v>8</v>
      </c>
      <c r="AF293" s="27" t="s">
        <v>7</v>
      </c>
      <c r="AG293" s="27" t="s">
        <v>8</v>
      </c>
      <c r="AH293" s="27" t="s">
        <v>7</v>
      </c>
      <c r="AI293" s="27" t="s">
        <v>8</v>
      </c>
      <c r="AK293" s="27" t="s">
        <v>8</v>
      </c>
      <c r="AM293" s="27" t="s">
        <v>8</v>
      </c>
      <c r="AN293" s="27" t="s">
        <v>7</v>
      </c>
      <c r="AO293" s="27" t="s">
        <v>8</v>
      </c>
      <c r="AP293" s="27" t="s">
        <v>7</v>
      </c>
      <c r="AQ293" s="27" t="s">
        <v>8</v>
      </c>
    </row>
    <row r="294" spans="1:43" x14ac:dyDescent="0.25">
      <c r="A294" s="30">
        <v>7.1742721991251604E-2</v>
      </c>
      <c r="B294"/>
      <c r="C294"/>
      <c r="D294"/>
      <c r="E294"/>
      <c r="Z294" s="27" t="s">
        <v>7</v>
      </c>
      <c r="AA294" s="27" t="s">
        <v>8</v>
      </c>
      <c r="AB294" s="27" t="s">
        <v>7</v>
      </c>
      <c r="AC294" s="27" t="s">
        <v>8</v>
      </c>
      <c r="AD294" s="27" t="s">
        <v>7</v>
      </c>
      <c r="AE294" s="27" t="s">
        <v>8</v>
      </c>
      <c r="AF294" s="27" t="s">
        <v>7</v>
      </c>
      <c r="AG294" s="27" t="s">
        <v>8</v>
      </c>
      <c r="AH294" s="27" t="s">
        <v>7</v>
      </c>
      <c r="AI294" s="27" t="s">
        <v>8</v>
      </c>
      <c r="AJ294" s="27" t="s">
        <v>7</v>
      </c>
      <c r="AK294" s="27" t="s">
        <v>8</v>
      </c>
      <c r="AL294" s="27" t="s">
        <v>7</v>
      </c>
      <c r="AM294" s="27" t="s">
        <v>8</v>
      </c>
      <c r="AN294" s="27" t="s">
        <v>7</v>
      </c>
      <c r="AO294" s="27" t="s">
        <v>8</v>
      </c>
      <c r="AP294" s="27" t="s">
        <v>7</v>
      </c>
      <c r="AQ294" s="27" t="s">
        <v>8</v>
      </c>
    </row>
    <row r="295" spans="1:43" x14ac:dyDescent="0.25">
      <c r="A295" s="30">
        <v>6.8326401896430078E-2</v>
      </c>
      <c r="B295"/>
      <c r="C295"/>
      <c r="D295"/>
      <c r="E295"/>
      <c r="Z295" s="27" t="s">
        <v>7</v>
      </c>
      <c r="AA295" s="27" t="s">
        <v>8</v>
      </c>
      <c r="AB295" s="27" t="s">
        <v>7</v>
      </c>
      <c r="AC295" s="27" t="s">
        <v>8</v>
      </c>
      <c r="AD295" s="27" t="s">
        <v>7</v>
      </c>
      <c r="AE295" s="27" t="s">
        <v>8</v>
      </c>
      <c r="AF295" s="27" t="s">
        <v>7</v>
      </c>
      <c r="AH295" s="27" t="s">
        <v>7</v>
      </c>
      <c r="AI295" s="27" t="s">
        <v>8</v>
      </c>
      <c r="AJ295" s="27" t="s">
        <v>7</v>
      </c>
      <c r="AK295" s="27" t="s">
        <v>8</v>
      </c>
      <c r="AL295" s="27" t="s">
        <v>7</v>
      </c>
      <c r="AM295" s="27" t="s">
        <v>8</v>
      </c>
      <c r="AN295" s="27" t="s">
        <v>7</v>
      </c>
      <c r="AP295" s="27" t="s">
        <v>7</v>
      </c>
      <c r="AQ295" s="27" t="s">
        <v>8</v>
      </c>
    </row>
    <row r="296" spans="1:43" x14ac:dyDescent="0.25">
      <c r="A296" s="30">
        <v>6.5072763710885759E-2</v>
      </c>
      <c r="B296"/>
      <c r="C296"/>
      <c r="D296"/>
      <c r="E296"/>
      <c r="Z296" s="27" t="s">
        <v>7</v>
      </c>
      <c r="AA296" s="27" t="s">
        <v>8</v>
      </c>
      <c r="AB296" s="27" t="s">
        <v>7</v>
      </c>
      <c r="AC296" s="27" t="s">
        <v>8</v>
      </c>
      <c r="AD296" s="27" t="s">
        <v>7</v>
      </c>
      <c r="AE296" s="27" t="s">
        <v>8</v>
      </c>
      <c r="AH296" s="27" t="s">
        <v>7</v>
      </c>
      <c r="AI296" s="27" t="s">
        <v>8</v>
      </c>
      <c r="AJ296" s="27" t="s">
        <v>7</v>
      </c>
      <c r="AK296" s="27" t="s">
        <v>8</v>
      </c>
      <c r="AL296" s="27" t="s">
        <v>7</v>
      </c>
      <c r="AM296" s="27" t="s">
        <v>8</v>
      </c>
      <c r="AP296" s="27" t="s">
        <v>7</v>
      </c>
    </row>
    <row r="297" spans="1:43" x14ac:dyDescent="0.25">
      <c r="A297" s="30">
        <v>6.197406067703403E-2</v>
      </c>
      <c r="B297"/>
      <c r="C297"/>
      <c r="D297"/>
      <c r="E297"/>
      <c r="Z297" s="27" t="s">
        <v>7</v>
      </c>
      <c r="AA297" s="27" t="s">
        <v>8</v>
      </c>
      <c r="AB297" s="27" t="s">
        <v>7</v>
      </c>
      <c r="AD297" s="27" t="s">
        <v>7</v>
      </c>
      <c r="AH297" s="27" t="s">
        <v>7</v>
      </c>
      <c r="AJ297" s="27" t="s">
        <v>7</v>
      </c>
      <c r="AK297" s="27" t="s">
        <v>8</v>
      </c>
      <c r="AL297" s="27" t="s">
        <v>7</v>
      </c>
      <c r="AM297" s="27" t="s">
        <v>8</v>
      </c>
    </row>
    <row r="298" spans="1:43" x14ac:dyDescent="0.25">
      <c r="A298" s="30">
        <v>5.9022914930508576E-2</v>
      </c>
      <c r="B298"/>
      <c r="C298"/>
      <c r="D298"/>
      <c r="E298"/>
      <c r="Z298" s="27" t="s">
        <v>7</v>
      </c>
      <c r="AA298" s="27" t="s">
        <v>8</v>
      </c>
      <c r="AJ298" s="27" t="s">
        <v>7</v>
      </c>
      <c r="AK298" s="27" t="s">
        <v>8</v>
      </c>
      <c r="AL298" s="27" t="s">
        <v>7</v>
      </c>
    </row>
    <row r="299" spans="1:43" x14ac:dyDescent="0.25">
      <c r="A299" s="30">
        <v>5.6212299933817669E-2</v>
      </c>
      <c r="B299"/>
      <c r="C299"/>
      <c r="D299"/>
      <c r="E299"/>
      <c r="Z299" s="27" t="s">
        <v>7</v>
      </c>
      <c r="AA299" s="27" t="s">
        <v>8</v>
      </c>
      <c r="AJ299" s="27" t="s">
        <v>7</v>
      </c>
      <c r="AK299" s="27" t="s">
        <v>8</v>
      </c>
    </row>
    <row r="300" spans="1:43" x14ac:dyDescent="0.25">
      <c r="A300" s="30">
        <v>5.3535523746492994E-2</v>
      </c>
      <c r="B300"/>
      <c r="C300"/>
      <c r="D300"/>
      <c r="E300"/>
      <c r="Z300" s="27" t="s">
        <v>7</v>
      </c>
      <c r="AA300" s="27" t="s">
        <v>8</v>
      </c>
      <c r="AJ300" s="27" t="s">
        <v>7</v>
      </c>
      <c r="AK300" s="27" t="s">
        <v>8</v>
      </c>
    </row>
    <row r="301" spans="1:43" x14ac:dyDescent="0.25">
      <c r="A301" s="30">
        <v>5.0986213091898068E-2</v>
      </c>
      <c r="B301"/>
      <c r="C301"/>
      <c r="D301"/>
      <c r="E301"/>
      <c r="Z301" s="27" t="s">
        <v>7</v>
      </c>
      <c r="AJ301" s="27" t="s">
        <v>7</v>
      </c>
      <c r="AK301" s="27" t="s">
        <v>8</v>
      </c>
    </row>
    <row r="302" spans="1:43" x14ac:dyDescent="0.25">
      <c r="A302" s="30">
        <v>4.8558298182760043E-2</v>
      </c>
      <c r="B302"/>
      <c r="C302"/>
      <c r="D302"/>
      <c r="E302"/>
      <c r="AJ302" s="27" t="s">
        <v>7</v>
      </c>
      <c r="AK302" s="27" t="s">
        <v>8</v>
      </c>
    </row>
    <row r="303" spans="1:43" x14ac:dyDescent="0.25">
      <c r="A303" s="30">
        <v>4.6245998269295263E-2</v>
      </c>
      <c r="B303"/>
      <c r="C303"/>
      <c r="D303"/>
      <c r="E303"/>
      <c r="AJ303" s="27" t="s">
        <v>7</v>
      </c>
    </row>
    <row r="304" spans="1:43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55" operator="equal">
      <formula>$U$1</formula>
    </cfRule>
    <cfRule type="cellIs" dxfId="67" priority="956" operator="equal">
      <formula>$S$1</formula>
    </cfRule>
  </conditionalFormatting>
  <conditionalFormatting sqref="D136">
    <cfRule type="cellIs" dxfId="66" priority="953" operator="equal">
      <formula>$S$1</formula>
    </cfRule>
    <cfRule type="cellIs" dxfId="65" priority="954" operator="equal">
      <formula>$U$1</formula>
    </cfRule>
  </conditionalFormatting>
  <conditionalFormatting sqref="C162">
    <cfRule type="cellIs" dxfId="64" priority="951" operator="equal">
      <formula>$U$1</formula>
    </cfRule>
    <cfRule type="cellIs" dxfId="63" priority="952" operator="equal">
      <formula>$S$1</formula>
    </cfRule>
  </conditionalFormatting>
  <conditionalFormatting sqref="D162">
    <cfRule type="cellIs" dxfId="62" priority="949" operator="equal">
      <formula>$S$1</formula>
    </cfRule>
    <cfRule type="cellIs" dxfId="61" priority="950" operator="equal">
      <formula>$U$1</formula>
    </cfRule>
  </conditionalFormatting>
  <conditionalFormatting sqref="C187">
    <cfRule type="cellIs" dxfId="60" priority="947" operator="equal">
      <formula>$U$1</formula>
    </cfRule>
    <cfRule type="cellIs" dxfId="59" priority="948" operator="equal">
      <formula>$S$1</formula>
    </cfRule>
  </conditionalFormatting>
  <conditionalFormatting sqref="D187">
    <cfRule type="cellIs" dxfId="58" priority="945" operator="equal">
      <formula>$S$1</formula>
    </cfRule>
    <cfRule type="cellIs" dxfId="57" priority="946" operator="equal">
      <formula>$U$1</formula>
    </cfRule>
  </conditionalFormatting>
  <conditionalFormatting sqref="C212">
    <cfRule type="cellIs" dxfId="56" priority="943" operator="equal">
      <formula>$U$1</formula>
    </cfRule>
    <cfRule type="cellIs" dxfId="55" priority="944" operator="equal">
      <formula>$S$1</formula>
    </cfRule>
  </conditionalFormatting>
  <conditionalFormatting sqref="D212">
    <cfRule type="cellIs" dxfId="54" priority="941" operator="equal">
      <formula>$S$1</formula>
    </cfRule>
    <cfRule type="cellIs" dxfId="53" priority="942" operator="equal">
      <formula>$U$1</formula>
    </cfRule>
  </conditionalFormatting>
  <conditionalFormatting sqref="C237">
    <cfRule type="cellIs" dxfId="52" priority="939" operator="equal">
      <formula>$U$1</formula>
    </cfRule>
    <cfRule type="cellIs" dxfId="51" priority="940" operator="equal">
      <formula>$S$1</formula>
    </cfRule>
  </conditionalFormatting>
  <conditionalFormatting sqref="D237">
    <cfRule type="cellIs" dxfId="50" priority="937" operator="equal">
      <formula>$S$1</formula>
    </cfRule>
    <cfRule type="cellIs" dxfId="49" priority="938" operator="equal">
      <formula>$U$1</formula>
    </cfRule>
  </conditionalFormatting>
  <conditionalFormatting sqref="C106">
    <cfRule type="cellIs" dxfId="48" priority="935" operator="equal">
      <formula>$U$1</formula>
    </cfRule>
    <cfRule type="cellIs" dxfId="47" priority="936" operator="equal">
      <formula>$S$1</formula>
    </cfRule>
  </conditionalFormatting>
  <conditionalFormatting sqref="D106">
    <cfRule type="cellIs" dxfId="46" priority="933" operator="equal">
      <formula>$S$1</formula>
    </cfRule>
    <cfRule type="cellIs" dxfId="45" priority="934" operator="equal">
      <formula>$U$1</formula>
    </cfRule>
  </conditionalFormatting>
  <conditionalFormatting sqref="C81">
    <cfRule type="cellIs" dxfId="44" priority="931" operator="equal">
      <formula>$U$1</formula>
    </cfRule>
    <cfRule type="cellIs" dxfId="43" priority="932" operator="equal">
      <formula>$S$1</formula>
    </cfRule>
  </conditionalFormatting>
  <conditionalFormatting sqref="D81">
    <cfRule type="cellIs" dxfId="42" priority="929" operator="equal">
      <formula>$S$1</formula>
    </cfRule>
    <cfRule type="cellIs" dxfId="41" priority="930" operator="equal">
      <formula>$U$1</formula>
    </cfRule>
  </conditionalFormatting>
  <conditionalFormatting sqref="C56">
    <cfRule type="cellIs" dxfId="40" priority="927" operator="equal">
      <formula>$U$1</formula>
    </cfRule>
    <cfRule type="cellIs" dxfId="39" priority="928" operator="equal">
      <formula>$S$1</formula>
    </cfRule>
  </conditionalFormatting>
  <conditionalFormatting sqref="D56">
    <cfRule type="cellIs" dxfId="38" priority="925" operator="equal">
      <formula>$S$1</formula>
    </cfRule>
    <cfRule type="cellIs" dxfId="37" priority="926" operator="equal">
      <formula>$U$1</formula>
    </cfRule>
  </conditionalFormatting>
  <conditionalFormatting sqref="C31">
    <cfRule type="cellIs" dxfId="36" priority="923" operator="equal">
      <formula>$U$1</formula>
    </cfRule>
    <cfRule type="cellIs" dxfId="35" priority="924" operator="equal">
      <formula>$S$1</formula>
    </cfRule>
  </conditionalFormatting>
  <conditionalFormatting sqref="D31">
    <cfRule type="cellIs" dxfId="34" priority="921" operator="equal">
      <formula>$S$1</formula>
    </cfRule>
    <cfRule type="cellIs" dxfId="33" priority="92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25" zoomScale="90" zoomScaleNormal="90" workbookViewId="0">
      <pane xSplit="4" topLeftCell="G1" activePane="topRight" state="frozen"/>
      <selection activeCell="A109" sqref="A109"/>
      <selection pane="topRight" activeCell="BJ144" sqref="BJ14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$A$143</v>
      </c>
      <c r="D111" s="1" t="str">
        <f>ADDRESS(C121-1,D121,1,1)</f>
        <v>$BJ$143</v>
      </c>
      <c r="E111"/>
    </row>
    <row r="112" spans="1:5" x14ac:dyDescent="0.25">
      <c r="A112" s="30">
        <v>2.3579476910000019</v>
      </c>
      <c r="C112" s="1" t="str">
        <f>ADDRESS(C121,1,1,1)</f>
        <v>$A$144</v>
      </c>
      <c r="D112" s="1" t="str">
        <f>ADDRESS(C121,D121-1,1,1)</f>
        <v>$BI$144</v>
      </c>
      <c r="E112"/>
    </row>
    <row r="113" spans="1:38" x14ac:dyDescent="0.25">
      <c r="A113" s="30">
        <v>2.1435888100000016</v>
      </c>
      <c r="C113" s="1" t="str">
        <f>ADDRESS(C121+1,1,1,1)</f>
        <v>$A$145</v>
      </c>
      <c r="D113" s="1" t="str">
        <f>ADDRESS(C121-1,D121+1,1,1)</f>
        <v>$BK$143</v>
      </c>
    </row>
    <row r="114" spans="1:38" x14ac:dyDescent="0.25">
      <c r="A114" s="30">
        <v>1.9487171000000014</v>
      </c>
      <c r="C114" s="1" t="str">
        <f>ADDRESS(C121,D121,1,1)</f>
        <v>$BJ$144</v>
      </c>
      <c r="D114" s="1" t="str">
        <f>ADDRESS(C121+1,D121+1,1,1)</f>
        <v>$BK$145</v>
      </c>
    </row>
    <row r="115" spans="1:38" x14ac:dyDescent="0.25">
      <c r="A115" s="30">
        <v>1.7715610000000011</v>
      </c>
      <c r="C115" s="1" t="str">
        <f>ADDRESS(C121+1,D121,1,1)</f>
        <v>$BJ$145</v>
      </c>
    </row>
    <row r="116" spans="1:38" x14ac:dyDescent="0.25">
      <c r="A116" s="30">
        <v>1.6105100000000008</v>
      </c>
      <c r="C116" s="1">
        <f>C117-1</f>
        <v>143</v>
      </c>
    </row>
    <row r="117" spans="1:38" x14ac:dyDescent="0.25">
      <c r="A117" s="30">
        <v>1.4641000000000006</v>
      </c>
      <c r="C117" s="1">
        <f>C121</f>
        <v>144</v>
      </c>
      <c r="D117" s="1">
        <f>D121</f>
        <v>62</v>
      </c>
    </row>
    <row r="118" spans="1:38" x14ac:dyDescent="0.25">
      <c r="A118" s="30">
        <v>1.3310000000000004</v>
      </c>
      <c r="C118" s="1">
        <f>C117+1</f>
        <v>145</v>
      </c>
      <c r="D118" s="1">
        <f>D117+1</f>
        <v>63</v>
      </c>
    </row>
    <row r="119" spans="1:38" x14ac:dyDescent="0.25">
      <c r="A119" s="30">
        <v>1.2100000000000002</v>
      </c>
    </row>
    <row r="120" spans="1:38" x14ac:dyDescent="0.25">
      <c r="A120" s="30">
        <v>1.1000000000000001</v>
      </c>
      <c r="C120" s="1" t="s">
        <v>9</v>
      </c>
    </row>
    <row r="121" spans="1:38" x14ac:dyDescent="0.25">
      <c r="A121" s="30">
        <v>1</v>
      </c>
      <c r="C121" s="18">
        <v>144</v>
      </c>
      <c r="D121" s="19">
        <v>62</v>
      </c>
      <c r="E121" s="18" t="s">
        <v>8</v>
      </c>
    </row>
    <row r="122" spans="1:38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38" x14ac:dyDescent="0.25">
      <c r="A123" s="30">
        <v>0.82644628099173523</v>
      </c>
      <c r="C123" s="1" t="str">
        <f>"R"&amp;C121</f>
        <v>R144</v>
      </c>
      <c r="D123" s="1" t="str">
        <f>"C"&amp;D121</f>
        <v>C62</v>
      </c>
      <c r="F123" s="27" t="s">
        <v>7</v>
      </c>
    </row>
    <row r="124" spans="1:3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38" x14ac:dyDescent="0.25">
      <c r="A125" s="30">
        <v>0.68301345536507019</v>
      </c>
      <c r="F125" s="27" t="s">
        <v>7</v>
      </c>
    </row>
    <row r="126" spans="1:38" x14ac:dyDescent="0.25">
      <c r="A126" s="30">
        <v>0.6209213230591546</v>
      </c>
      <c r="C126" s="1" t="s">
        <v>10</v>
      </c>
      <c r="F126" s="27" t="s">
        <v>7</v>
      </c>
      <c r="AG126" s="27" t="s">
        <v>8</v>
      </c>
      <c r="AI126" s="27" t="s">
        <v>8</v>
      </c>
    </row>
    <row r="127" spans="1:38" x14ac:dyDescent="0.25">
      <c r="A127" s="30">
        <v>0.56447393005377677</v>
      </c>
      <c r="C127" s="30">
        <v>0.11167815779424731</v>
      </c>
      <c r="D127"/>
      <c r="F127" s="27" t="s">
        <v>7</v>
      </c>
      <c r="AG127" s="27" t="s">
        <v>8</v>
      </c>
      <c r="AH127" s="27" t="s">
        <v>7</v>
      </c>
      <c r="AI127" s="27" t="s">
        <v>8</v>
      </c>
      <c r="AJ127" s="27" t="s">
        <v>7</v>
      </c>
      <c r="AK127" s="27" t="s">
        <v>8</v>
      </c>
    </row>
    <row r="128" spans="1:38" x14ac:dyDescent="0.25">
      <c r="A128" s="30">
        <v>0.51315811823070612</v>
      </c>
      <c r="F128" s="27" t="s">
        <v>7</v>
      </c>
      <c r="AC128" s="27" t="s">
        <v>8</v>
      </c>
      <c r="AG128" s="27" t="s">
        <v>8</v>
      </c>
      <c r="AH128" s="27" t="s">
        <v>7</v>
      </c>
      <c r="AI128" s="27" t="s">
        <v>8</v>
      </c>
      <c r="AJ128" s="27" t="s">
        <v>7</v>
      </c>
      <c r="AK128" s="27" t="s">
        <v>8</v>
      </c>
      <c r="AL128" s="27" t="s">
        <v>7</v>
      </c>
    </row>
    <row r="129" spans="1:62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C129" s="27" t="s">
        <v>8</v>
      </c>
      <c r="AD129" s="27" t="s">
        <v>7</v>
      </c>
      <c r="AE129" s="27" t="s">
        <v>8</v>
      </c>
      <c r="AG129" s="27" t="s">
        <v>8</v>
      </c>
      <c r="AH129" s="27" t="s">
        <v>7</v>
      </c>
      <c r="AJ129" s="27" t="s">
        <v>7</v>
      </c>
      <c r="AK129" s="27" t="s">
        <v>8</v>
      </c>
      <c r="AL129" s="27" t="s">
        <v>7</v>
      </c>
      <c r="AM129" s="27" t="s">
        <v>8</v>
      </c>
      <c r="AO129" s="27" t="s">
        <v>8</v>
      </c>
    </row>
    <row r="130" spans="1:62" x14ac:dyDescent="0.25">
      <c r="A130" s="30">
        <v>0.42409761837248428</v>
      </c>
      <c r="C130" s="6"/>
      <c r="D130" s="6"/>
      <c r="E130"/>
      <c r="F130" s="27" t="s">
        <v>7</v>
      </c>
      <c r="AC130" s="27" t="s">
        <v>8</v>
      </c>
      <c r="AD130" s="27" t="s">
        <v>7</v>
      </c>
      <c r="AE130" s="27" t="s">
        <v>8</v>
      </c>
      <c r="AF130" s="27" t="s">
        <v>7</v>
      </c>
      <c r="AG130" s="27" t="s">
        <v>8</v>
      </c>
      <c r="AJ130" s="27" t="s">
        <v>7</v>
      </c>
      <c r="AL130" s="27" t="s">
        <v>7</v>
      </c>
      <c r="AM130" s="27" t="s">
        <v>8</v>
      </c>
      <c r="AN130" s="27" t="s">
        <v>7</v>
      </c>
      <c r="AO130" s="27" t="s">
        <v>8</v>
      </c>
      <c r="AP130" s="27" t="s">
        <v>7</v>
      </c>
    </row>
    <row r="131" spans="1:62" x14ac:dyDescent="0.25">
      <c r="A131" s="30">
        <v>0.38554328942953109</v>
      </c>
      <c r="E131"/>
      <c r="F131" s="27" t="s">
        <v>7</v>
      </c>
      <c r="AC131" s="27" t="s">
        <v>8</v>
      </c>
      <c r="AD131" s="27" t="s">
        <v>7</v>
      </c>
      <c r="AE131" s="27" t="s">
        <v>8</v>
      </c>
      <c r="AF131" s="27" t="s">
        <v>7</v>
      </c>
      <c r="AG131" s="27" t="s">
        <v>8</v>
      </c>
      <c r="AL131" s="27" t="s">
        <v>7</v>
      </c>
      <c r="AM131" s="27" t="s">
        <v>8</v>
      </c>
      <c r="AN131" s="27" t="s">
        <v>7</v>
      </c>
      <c r="AO131" s="27" t="s">
        <v>8</v>
      </c>
      <c r="AP131" s="27" t="s">
        <v>7</v>
      </c>
      <c r="BE131" s="27" t="s">
        <v>8</v>
      </c>
      <c r="BG131" s="27" t="s">
        <v>8</v>
      </c>
      <c r="BI131" s="27" t="s">
        <v>8</v>
      </c>
    </row>
    <row r="132" spans="1:62" x14ac:dyDescent="0.25">
      <c r="A132" s="30">
        <v>0.35049389948139187</v>
      </c>
      <c r="C132" s="1" t="s">
        <v>13</v>
      </c>
      <c r="E132"/>
      <c r="F132" s="27" t="s">
        <v>7</v>
      </c>
      <c r="AC132" s="27" t="s">
        <v>8</v>
      </c>
      <c r="AD132" s="27" t="s">
        <v>7</v>
      </c>
      <c r="AF132" s="27" t="s">
        <v>7</v>
      </c>
      <c r="AG132" s="27" t="s">
        <v>8</v>
      </c>
      <c r="AL132" s="27" t="s">
        <v>7</v>
      </c>
      <c r="AM132" s="27" t="s">
        <v>8</v>
      </c>
      <c r="AN132" s="27" t="s">
        <v>7</v>
      </c>
      <c r="AO132" s="27" t="s">
        <v>8</v>
      </c>
      <c r="AP132" s="27" t="s">
        <v>7</v>
      </c>
      <c r="BE132" s="27" t="s">
        <v>8</v>
      </c>
      <c r="BF132" s="27" t="s">
        <v>7</v>
      </c>
      <c r="BG132" s="27" t="s">
        <v>8</v>
      </c>
      <c r="BH132" s="27" t="s">
        <v>7</v>
      </c>
      <c r="BI132" s="27" t="s">
        <v>8</v>
      </c>
      <c r="BJ132" s="27" t="s">
        <v>7</v>
      </c>
    </row>
    <row r="133" spans="1:62" x14ac:dyDescent="0.25">
      <c r="A133" s="30">
        <v>0.31863081771035617</v>
      </c>
      <c r="C133" s="1" t="str">
        <f>C122</f>
        <v>O</v>
      </c>
      <c r="E133"/>
      <c r="F133" s="27" t="s">
        <v>7</v>
      </c>
      <c r="AC133" s="27" t="s">
        <v>8</v>
      </c>
      <c r="AF133" s="27" t="s">
        <v>7</v>
      </c>
      <c r="AL133" s="27" t="s">
        <v>7</v>
      </c>
      <c r="AM133" s="27" t="s">
        <v>8</v>
      </c>
      <c r="AN133" s="27" t="s">
        <v>7</v>
      </c>
      <c r="AP133" s="27" t="s">
        <v>7</v>
      </c>
      <c r="BA133" s="27" t="s">
        <v>8</v>
      </c>
      <c r="BE133" s="27" t="s">
        <v>8</v>
      </c>
      <c r="BF133" s="27" t="s">
        <v>7</v>
      </c>
      <c r="BG133" s="27" t="s">
        <v>8</v>
      </c>
      <c r="BH133" s="27" t="s">
        <v>7</v>
      </c>
      <c r="BI133" s="27" t="s">
        <v>8</v>
      </c>
      <c r="BJ133" s="27" t="s">
        <v>7</v>
      </c>
    </row>
    <row r="134" spans="1:62" x14ac:dyDescent="0.25">
      <c r="A134" s="30">
        <v>0.28966437973668741</v>
      </c>
      <c r="C134"/>
      <c r="D134"/>
      <c r="E134"/>
      <c r="F134" s="27" t="s">
        <v>7</v>
      </c>
      <c r="AC134" s="27" t="s">
        <v>8</v>
      </c>
      <c r="AL134" s="27" t="s">
        <v>7</v>
      </c>
      <c r="AM134" s="27" t="s">
        <v>8</v>
      </c>
      <c r="AP134" s="27" t="s">
        <v>7</v>
      </c>
      <c r="BA134" s="27" t="s">
        <v>8</v>
      </c>
      <c r="BB134" s="27" t="s">
        <v>7</v>
      </c>
      <c r="BC134" s="27" t="s">
        <v>8</v>
      </c>
      <c r="BE134" s="27" t="s">
        <v>8</v>
      </c>
      <c r="BF134" s="27" t="s">
        <v>7</v>
      </c>
      <c r="BH134" s="27" t="s">
        <v>7</v>
      </c>
      <c r="BI134" s="27" t="s">
        <v>8</v>
      </c>
      <c r="BJ134" s="27" t="s">
        <v>7</v>
      </c>
    </row>
    <row r="135" spans="1:62" x14ac:dyDescent="0.25">
      <c r="A135" s="30">
        <v>0.2633312543060794</v>
      </c>
      <c r="C135" s="1" t="s">
        <v>14</v>
      </c>
      <c r="E135"/>
      <c r="F135" s="27" t="s">
        <v>7</v>
      </c>
      <c r="W135" s="27" t="s">
        <v>8</v>
      </c>
      <c r="Y135" s="27" t="s">
        <v>8</v>
      </c>
      <c r="AC135" s="27" t="s">
        <v>8</v>
      </c>
      <c r="AL135" s="27" t="s">
        <v>7</v>
      </c>
      <c r="AP135" s="27" t="s">
        <v>7</v>
      </c>
      <c r="AQ135" s="27" t="s">
        <v>8</v>
      </c>
      <c r="AS135" s="27" t="s">
        <v>8</v>
      </c>
      <c r="BA135" s="27" t="s">
        <v>8</v>
      </c>
      <c r="BB135" s="27" t="s">
        <v>7</v>
      </c>
      <c r="BC135" s="27" t="s">
        <v>8</v>
      </c>
      <c r="BD135" s="27" t="s">
        <v>7</v>
      </c>
      <c r="BE135" s="27" t="s">
        <v>8</v>
      </c>
      <c r="BH135" s="27" t="s">
        <v>7</v>
      </c>
      <c r="BI135" s="27" t="s">
        <v>8</v>
      </c>
      <c r="BJ135" s="27" t="s">
        <v>7</v>
      </c>
    </row>
    <row r="136" spans="1:62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W136" s="27" t="s">
        <v>8</v>
      </c>
      <c r="X136" s="27" t="s">
        <v>7</v>
      </c>
      <c r="Y136" s="27" t="s">
        <v>8</v>
      </c>
      <c r="Z136" s="27" t="s">
        <v>7</v>
      </c>
      <c r="AC136" s="27" t="s">
        <v>8</v>
      </c>
      <c r="AP136" s="27" t="s">
        <v>7</v>
      </c>
      <c r="AQ136" s="27" t="s">
        <v>8</v>
      </c>
      <c r="AR136" s="27" t="s">
        <v>7</v>
      </c>
      <c r="AS136" s="27" t="s">
        <v>8</v>
      </c>
      <c r="AT136" s="27" t="s">
        <v>7</v>
      </c>
      <c r="AU136" s="27" t="s">
        <v>8</v>
      </c>
      <c r="BA136" s="27" t="s">
        <v>8</v>
      </c>
      <c r="BB136" s="27" t="s">
        <v>7</v>
      </c>
      <c r="BC136" s="27" t="s">
        <v>8</v>
      </c>
      <c r="BD136" s="27" t="s">
        <v>7</v>
      </c>
      <c r="BE136" s="27" t="s">
        <v>8</v>
      </c>
      <c r="BH136" s="27" t="s">
        <v>7</v>
      </c>
      <c r="BI136" s="27" t="s">
        <v>8</v>
      </c>
      <c r="BJ136" s="27" t="s">
        <v>7</v>
      </c>
    </row>
    <row r="137" spans="1:62" x14ac:dyDescent="0.25">
      <c r="A137" s="30">
        <v>0.2176291357901482</v>
      </c>
      <c r="E137"/>
      <c r="F137" s="27" t="s">
        <v>7</v>
      </c>
      <c r="W137" s="27" t="s">
        <v>8</v>
      </c>
      <c r="X137" s="27" t="s">
        <v>7</v>
      </c>
      <c r="Y137" s="27" t="s">
        <v>8</v>
      </c>
      <c r="Z137" s="27" t="s">
        <v>7</v>
      </c>
      <c r="AC137" s="27" t="s">
        <v>8</v>
      </c>
      <c r="AP137" s="27" t="s">
        <v>7</v>
      </c>
      <c r="AQ137" s="27" t="s">
        <v>8</v>
      </c>
      <c r="AR137" s="27" t="s">
        <v>7</v>
      </c>
      <c r="AS137" s="27" t="s">
        <v>8</v>
      </c>
      <c r="AT137" s="27" t="s">
        <v>7</v>
      </c>
      <c r="AU137" s="27" t="s">
        <v>8</v>
      </c>
      <c r="AV137" s="27" t="s">
        <v>7</v>
      </c>
      <c r="AW137" s="27" t="s">
        <v>8</v>
      </c>
      <c r="BA137" s="27" t="s">
        <v>8</v>
      </c>
      <c r="BB137" s="27" t="s">
        <v>7</v>
      </c>
      <c r="BC137" s="27" t="s">
        <v>8</v>
      </c>
      <c r="BD137" s="27" t="s">
        <v>7</v>
      </c>
      <c r="BE137" s="27" t="s">
        <v>8</v>
      </c>
      <c r="BH137" s="27" t="s">
        <v>7</v>
      </c>
      <c r="BI137" s="27" t="s">
        <v>8</v>
      </c>
      <c r="BJ137" s="27" t="s">
        <v>7</v>
      </c>
    </row>
    <row r="138" spans="1:62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I138" s="27" t="s">
        <v>8</v>
      </c>
      <c r="W138" s="27" t="s">
        <v>8</v>
      </c>
      <c r="X138" s="27" t="s">
        <v>7</v>
      </c>
      <c r="Z138" s="27" t="s">
        <v>7</v>
      </c>
      <c r="AA138" s="27" t="s">
        <v>8</v>
      </c>
      <c r="AC138" s="27" t="s">
        <v>8</v>
      </c>
      <c r="AP138" s="27" t="s">
        <v>7</v>
      </c>
      <c r="AQ138" s="27" t="s">
        <v>8</v>
      </c>
      <c r="AR138" s="27" t="s">
        <v>7</v>
      </c>
      <c r="AS138" s="27" t="s">
        <v>8</v>
      </c>
      <c r="AT138" s="27" t="s">
        <v>7</v>
      </c>
      <c r="AU138" s="27" t="s">
        <v>8</v>
      </c>
      <c r="AV138" s="27" t="s">
        <v>7</v>
      </c>
      <c r="AW138" s="27" t="s">
        <v>8</v>
      </c>
      <c r="AX138" s="27" t="s">
        <v>7</v>
      </c>
      <c r="BA138" s="27" t="s">
        <v>8</v>
      </c>
      <c r="BB138" s="27" t="s">
        <v>7</v>
      </c>
      <c r="BD138" s="27" t="s">
        <v>7</v>
      </c>
      <c r="BH138" s="27" t="s">
        <v>7</v>
      </c>
      <c r="BJ138" s="27" t="s">
        <v>7</v>
      </c>
    </row>
    <row r="139" spans="1:62" x14ac:dyDescent="0.25">
      <c r="A139" s="30">
        <v>0.17985878990921333</v>
      </c>
      <c r="E139"/>
      <c r="F139" s="27" t="s">
        <v>7</v>
      </c>
      <c r="I139" s="27" t="s">
        <v>8</v>
      </c>
      <c r="J139" s="27" t="s">
        <v>7</v>
      </c>
      <c r="W139" s="27" t="s">
        <v>8</v>
      </c>
      <c r="Z139" s="27" t="s">
        <v>7</v>
      </c>
      <c r="AA139" s="27" t="s">
        <v>8</v>
      </c>
      <c r="AB139" s="27" t="s">
        <v>7</v>
      </c>
      <c r="AC139" s="27" t="s">
        <v>8</v>
      </c>
      <c r="AP139" s="27" t="s">
        <v>7</v>
      </c>
      <c r="AQ139" s="27" t="s">
        <v>8</v>
      </c>
      <c r="AR139" s="27" t="s">
        <v>7</v>
      </c>
      <c r="AS139" s="27" t="s">
        <v>8</v>
      </c>
      <c r="AT139" s="27" t="s">
        <v>7</v>
      </c>
      <c r="AU139" s="27" t="s">
        <v>8</v>
      </c>
      <c r="AV139" s="27" t="s">
        <v>7</v>
      </c>
      <c r="AW139" s="27" t="s">
        <v>8</v>
      </c>
      <c r="AX139" s="27" t="s">
        <v>7</v>
      </c>
      <c r="AY139" s="27" t="s">
        <v>8</v>
      </c>
      <c r="BA139" s="27" t="s">
        <v>8</v>
      </c>
      <c r="BJ139" s="27" t="s">
        <v>7</v>
      </c>
    </row>
    <row r="140" spans="1:62" x14ac:dyDescent="0.25">
      <c r="A140" s="30">
        <v>0.16350799082655756</v>
      </c>
      <c r="C140" s="1">
        <v>0</v>
      </c>
      <c r="E140"/>
      <c r="F140" s="27" t="s">
        <v>7</v>
      </c>
      <c r="I140" s="27" t="s">
        <v>8</v>
      </c>
      <c r="J140" s="27" t="s">
        <v>7</v>
      </c>
      <c r="W140" s="27" t="s">
        <v>8</v>
      </c>
      <c r="Z140" s="27" t="s">
        <v>7</v>
      </c>
      <c r="AA140" s="27" t="s">
        <v>8</v>
      </c>
      <c r="AB140" s="27" t="s">
        <v>7</v>
      </c>
      <c r="AC140" s="27" t="s">
        <v>8</v>
      </c>
      <c r="AP140" s="27" t="s">
        <v>7</v>
      </c>
      <c r="AQ140" s="27" t="s">
        <v>8</v>
      </c>
      <c r="AR140" s="27" t="s">
        <v>7</v>
      </c>
      <c r="AS140" s="27" t="s">
        <v>8</v>
      </c>
      <c r="AT140" s="27" t="s">
        <v>7</v>
      </c>
      <c r="AV140" s="27" t="s">
        <v>7</v>
      </c>
      <c r="AX140" s="27" t="s">
        <v>7</v>
      </c>
      <c r="AY140" s="27" t="s">
        <v>8</v>
      </c>
      <c r="AZ140" s="27" t="s">
        <v>7</v>
      </c>
      <c r="BA140" s="27" t="s">
        <v>8</v>
      </c>
      <c r="BD140" s="34"/>
      <c r="BJ140" s="27" t="s">
        <v>7</v>
      </c>
    </row>
    <row r="141" spans="1:62" x14ac:dyDescent="0.25">
      <c r="A141" s="30">
        <v>0.14864362802414322</v>
      </c>
      <c r="C141" s="1">
        <v>1</v>
      </c>
      <c r="E141"/>
      <c r="F141" s="27" t="s">
        <v>7</v>
      </c>
      <c r="G141" s="27" t="s">
        <v>8</v>
      </c>
      <c r="I141" s="27" t="s">
        <v>8</v>
      </c>
      <c r="J141" s="27" t="s">
        <v>7</v>
      </c>
      <c r="K141" s="27" t="s">
        <v>8</v>
      </c>
      <c r="U141" s="27" t="s">
        <v>8</v>
      </c>
      <c r="W141" s="27" t="s">
        <v>8</v>
      </c>
      <c r="Z141" s="27" t="s">
        <v>7</v>
      </c>
      <c r="AA141" s="27" t="s">
        <v>8</v>
      </c>
      <c r="AB141" s="27" t="s">
        <v>7</v>
      </c>
      <c r="AP141" s="27" t="s">
        <v>7</v>
      </c>
      <c r="AR141" s="27" t="s">
        <v>7</v>
      </c>
      <c r="AS141" s="27" t="s">
        <v>8</v>
      </c>
      <c r="AX141" s="27" t="s">
        <v>7</v>
      </c>
      <c r="AY141" s="27" t="s">
        <v>8</v>
      </c>
      <c r="AZ141" s="27" t="s">
        <v>7</v>
      </c>
      <c r="BA141" s="27" t="s">
        <v>8</v>
      </c>
      <c r="BC141" s="34"/>
      <c r="BJ141" s="27" t="s">
        <v>7</v>
      </c>
    </row>
    <row r="142" spans="1:62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  <c r="H142" s="27" t="s">
        <v>7</v>
      </c>
      <c r="I142" s="27" t="s">
        <v>8</v>
      </c>
      <c r="J142" s="27" t="s">
        <v>7</v>
      </c>
      <c r="K142" s="27" t="s">
        <v>8</v>
      </c>
      <c r="L142" s="27" t="s">
        <v>7</v>
      </c>
      <c r="U142" s="27" t="s">
        <v>8</v>
      </c>
      <c r="V142" s="27" t="s">
        <v>7</v>
      </c>
      <c r="W142" s="27" t="s">
        <v>8</v>
      </c>
      <c r="Z142" s="27" t="s">
        <v>7</v>
      </c>
      <c r="AA142" s="27" t="s">
        <v>8</v>
      </c>
      <c r="AR142" s="27" t="s">
        <v>7</v>
      </c>
      <c r="AS142" s="27" t="s">
        <v>8</v>
      </c>
      <c r="AX142" s="27" t="s">
        <v>7</v>
      </c>
      <c r="AY142" s="27" t="s">
        <v>8</v>
      </c>
      <c r="AZ142" s="18" t="s">
        <v>7</v>
      </c>
      <c r="BA142" s="27" t="s">
        <v>8</v>
      </c>
      <c r="BB142" s="34"/>
      <c r="BJ142" s="27" t="s">
        <v>7</v>
      </c>
    </row>
    <row r="143" spans="1:62" x14ac:dyDescent="0.25">
      <c r="A143" s="30">
        <v>0.12284597357367205</v>
      </c>
      <c r="C143" s="1">
        <v>3</v>
      </c>
      <c r="E143"/>
      <c r="F143" s="27" t="s">
        <v>7</v>
      </c>
      <c r="G143" s="27" t="s">
        <v>8</v>
      </c>
      <c r="H143" s="27" t="s">
        <v>7</v>
      </c>
      <c r="I143" s="27" t="s">
        <v>8</v>
      </c>
      <c r="J143" s="27" t="s">
        <v>7</v>
      </c>
      <c r="K143" s="27" t="s">
        <v>8</v>
      </c>
      <c r="L143" s="27" t="s">
        <v>7</v>
      </c>
      <c r="M143" s="27" t="s">
        <v>8</v>
      </c>
      <c r="U143" s="27" t="s">
        <v>8</v>
      </c>
      <c r="V143" s="27" t="s">
        <v>7</v>
      </c>
      <c r="W143" s="27" t="s">
        <v>8</v>
      </c>
      <c r="Z143" s="27" t="s">
        <v>7</v>
      </c>
      <c r="AA143" s="27" t="s">
        <v>8</v>
      </c>
      <c r="AR143" s="27" t="s">
        <v>7</v>
      </c>
      <c r="AX143" s="27" t="s">
        <v>7</v>
      </c>
      <c r="AY143" s="27" t="s">
        <v>8</v>
      </c>
      <c r="AZ143" s="27" t="s">
        <v>7</v>
      </c>
      <c r="BA143" s="34" t="s">
        <v>8</v>
      </c>
      <c r="BJ143" s="27" t="s">
        <v>7</v>
      </c>
    </row>
    <row r="144" spans="1:62" x14ac:dyDescent="0.25">
      <c r="A144" s="30">
        <v>0.11167815779424731</v>
      </c>
      <c r="C144" s="1">
        <v>4</v>
      </c>
      <c r="E144"/>
      <c r="F144" s="27" t="s">
        <v>7</v>
      </c>
      <c r="H144" s="27" t="s">
        <v>7</v>
      </c>
      <c r="I144" s="27" t="s">
        <v>8</v>
      </c>
      <c r="J144" s="27" t="s">
        <v>7</v>
      </c>
      <c r="K144" s="27" t="s">
        <v>8</v>
      </c>
      <c r="L144" s="27" t="s">
        <v>7</v>
      </c>
      <c r="M144" s="27" t="s">
        <v>8</v>
      </c>
      <c r="N144" s="27" t="s">
        <v>7</v>
      </c>
      <c r="U144" s="27" t="s">
        <v>8</v>
      </c>
      <c r="V144" s="27" t="s">
        <v>7</v>
      </c>
      <c r="Z144" s="27" t="s">
        <v>7</v>
      </c>
      <c r="AX144" s="27" t="s">
        <v>7</v>
      </c>
      <c r="AZ144" s="34" t="s">
        <v>7</v>
      </c>
      <c r="BJ144" s="27" t="s">
        <v>7</v>
      </c>
    </row>
    <row r="145" spans="1:21" x14ac:dyDescent="0.25">
      <c r="A145" s="30">
        <v>0.10152559799477026</v>
      </c>
      <c r="B145"/>
      <c r="C145"/>
      <c r="D145"/>
      <c r="E145"/>
      <c r="H145" s="27" t="s">
        <v>7</v>
      </c>
      <c r="I145" s="27" t="s">
        <v>8</v>
      </c>
      <c r="J145" s="27" t="s">
        <v>7</v>
      </c>
      <c r="L145" s="27" t="s">
        <v>7</v>
      </c>
      <c r="M145" s="27" t="s">
        <v>8</v>
      </c>
      <c r="N145" s="27" t="s">
        <v>7</v>
      </c>
      <c r="O145" s="27" t="s">
        <v>8</v>
      </c>
      <c r="U145" s="27" t="s">
        <v>8</v>
      </c>
    </row>
    <row r="146" spans="1:21" x14ac:dyDescent="0.25">
      <c r="A146" s="30">
        <v>9.2295998177063854E-2</v>
      </c>
      <c r="B146"/>
      <c r="C146"/>
      <c r="D146"/>
      <c r="E146"/>
      <c r="H146" s="27" t="s">
        <v>7</v>
      </c>
      <c r="L146" s="27" t="s">
        <v>7</v>
      </c>
      <c r="M146" s="27" t="s">
        <v>8</v>
      </c>
      <c r="N146" s="27" t="s">
        <v>7</v>
      </c>
      <c r="O146" s="27" t="s">
        <v>8</v>
      </c>
      <c r="P146" s="27" t="s">
        <v>7</v>
      </c>
      <c r="Q146" s="27" t="s">
        <v>8</v>
      </c>
      <c r="S146" s="27" t="s">
        <v>8</v>
      </c>
      <c r="U146" s="27" t="s">
        <v>8</v>
      </c>
    </row>
    <row r="147" spans="1:21" x14ac:dyDescent="0.25">
      <c r="A147" s="30">
        <v>8.3905452888239848E-2</v>
      </c>
      <c r="B147"/>
      <c r="C147"/>
      <c r="D147"/>
      <c r="E147"/>
      <c r="L147" s="27" t="s">
        <v>7</v>
      </c>
      <c r="M147" s="27" t="s">
        <v>8</v>
      </c>
      <c r="N147" s="27" t="s">
        <v>7</v>
      </c>
      <c r="O147" s="27" t="s">
        <v>8</v>
      </c>
      <c r="P147" s="27" t="s">
        <v>7</v>
      </c>
      <c r="Q147" s="27" t="s">
        <v>8</v>
      </c>
      <c r="R147" s="27" t="s">
        <v>7</v>
      </c>
      <c r="S147" s="27" t="s">
        <v>8</v>
      </c>
      <c r="T147" s="27" t="s">
        <v>7</v>
      </c>
      <c r="U147" s="27" t="s">
        <v>8</v>
      </c>
    </row>
    <row r="148" spans="1:21" x14ac:dyDescent="0.25">
      <c r="A148" s="30">
        <v>7.6277684443854396E-2</v>
      </c>
      <c r="B148"/>
      <c r="C148"/>
      <c r="D148"/>
      <c r="E148"/>
      <c r="L148" s="27" t="s">
        <v>7</v>
      </c>
      <c r="N148" s="27" t="s">
        <v>7</v>
      </c>
      <c r="O148" s="27" t="s">
        <v>8</v>
      </c>
      <c r="P148" s="27" t="s">
        <v>7</v>
      </c>
      <c r="Q148" s="27" t="s">
        <v>8</v>
      </c>
      <c r="R148" s="27" t="s">
        <v>7</v>
      </c>
      <c r="S148" s="27" t="s">
        <v>8</v>
      </c>
      <c r="T148" s="27" t="s">
        <v>7</v>
      </c>
      <c r="U148" s="27" t="s">
        <v>8</v>
      </c>
    </row>
    <row r="149" spans="1:21" x14ac:dyDescent="0.25">
      <c r="A149" s="30">
        <v>6.9343349494413078E-2</v>
      </c>
      <c r="B149"/>
      <c r="C149"/>
      <c r="D149"/>
      <c r="E149"/>
      <c r="N149" s="27" t="s">
        <v>7</v>
      </c>
      <c r="O149" s="27" t="s">
        <v>8</v>
      </c>
      <c r="P149" s="27" t="s">
        <v>7</v>
      </c>
      <c r="Q149" s="27" t="s">
        <v>8</v>
      </c>
      <c r="R149" s="27" t="s">
        <v>7</v>
      </c>
      <c r="T149" s="27" t="s">
        <v>7</v>
      </c>
      <c r="U149" s="27" t="s">
        <v>8</v>
      </c>
    </row>
    <row r="150" spans="1:21" x14ac:dyDescent="0.25">
      <c r="A150" s="30">
        <v>6.3039408631284613E-2</v>
      </c>
      <c r="B150"/>
      <c r="C150"/>
      <c r="D150"/>
      <c r="E150"/>
      <c r="N150" s="27" t="s">
        <v>7</v>
      </c>
      <c r="O150" s="27" t="s">
        <v>8</v>
      </c>
      <c r="P150" s="27" t="s">
        <v>7</v>
      </c>
      <c r="Q150" s="27" t="s">
        <v>8</v>
      </c>
      <c r="T150" s="27" t="s">
        <v>7</v>
      </c>
    </row>
    <row r="151" spans="1:21" x14ac:dyDescent="0.25">
      <c r="A151" s="30">
        <v>5.7308553301167818E-2</v>
      </c>
      <c r="B151"/>
      <c r="C151"/>
      <c r="D151"/>
      <c r="E151"/>
      <c r="N151" s="27" t="s">
        <v>7</v>
      </c>
      <c r="O151" s="27" t="s">
        <v>8</v>
      </c>
      <c r="P151" s="27" t="s">
        <v>7</v>
      </c>
      <c r="Q151" s="27" t="s">
        <v>8</v>
      </c>
    </row>
    <row r="152" spans="1:21" x14ac:dyDescent="0.25">
      <c r="A152" s="30">
        <v>5.2098684819243464E-2</v>
      </c>
      <c r="B152"/>
      <c r="C152"/>
      <c r="D152"/>
      <c r="E152"/>
      <c r="N152" s="27" t="s">
        <v>7</v>
      </c>
      <c r="P152" s="27" t="s">
        <v>7</v>
      </c>
      <c r="Q152" s="27" t="s">
        <v>8</v>
      </c>
    </row>
    <row r="153" spans="1:21" x14ac:dyDescent="0.25">
      <c r="A153" s="30">
        <v>4.7362440744766775E-2</v>
      </c>
      <c r="B153"/>
      <c r="C153"/>
      <c r="D153"/>
      <c r="E153"/>
      <c r="P153" s="27" t="s">
        <v>7</v>
      </c>
    </row>
    <row r="154" spans="1:21" x14ac:dyDescent="0.25">
      <c r="A154" s="30">
        <v>4.3056764313424332E-2</v>
      </c>
      <c r="B154"/>
      <c r="C154"/>
      <c r="D154"/>
      <c r="E154"/>
    </row>
    <row r="155" spans="1:21" x14ac:dyDescent="0.25">
      <c r="A155" s="30">
        <v>3.9142513012203929E-2</v>
      </c>
      <c r="B155"/>
      <c r="C155"/>
      <c r="D155"/>
      <c r="E155"/>
    </row>
    <row r="156" spans="1:21" x14ac:dyDescent="0.25">
      <c r="A156" s="30">
        <v>3.55841027383672E-2</v>
      </c>
      <c r="B156"/>
      <c r="C156"/>
      <c r="D156"/>
      <c r="E156"/>
    </row>
    <row r="157" spans="1:21" x14ac:dyDescent="0.25">
      <c r="A157" s="30">
        <v>3.2349184307606541E-2</v>
      </c>
      <c r="B157"/>
      <c r="C157"/>
      <c r="D157"/>
      <c r="E157"/>
    </row>
    <row r="158" spans="1:21" x14ac:dyDescent="0.25">
      <c r="A158" s="30">
        <v>2.9408349370551395E-2</v>
      </c>
      <c r="B158"/>
      <c r="C158"/>
      <c r="D158"/>
      <c r="E158"/>
    </row>
    <row r="159" spans="1:21" x14ac:dyDescent="0.25">
      <c r="A159" s="30">
        <v>2.6734863064137627E-2</v>
      </c>
      <c r="B159"/>
      <c r="C159"/>
      <c r="D159"/>
      <c r="E159"/>
    </row>
    <row r="160" spans="1:21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39" operator="equal">
      <formula>$U$1</formula>
    </cfRule>
    <cfRule type="cellIs" dxfId="30" priority="940" operator="equal">
      <formula>$S$1</formula>
    </cfRule>
  </conditionalFormatting>
  <conditionalFormatting sqref="D136">
    <cfRule type="cellIs" dxfId="29" priority="937" operator="equal">
      <formula>$S$1</formula>
    </cfRule>
    <cfRule type="cellIs" dxfId="28" priority="938" operator="equal">
      <formula>$U$1</formula>
    </cfRule>
  </conditionalFormatting>
  <conditionalFormatting sqref="C102">
    <cfRule type="cellIs" dxfId="27" priority="935" operator="equal">
      <formula>$U$1</formula>
    </cfRule>
    <cfRule type="cellIs" dxfId="26" priority="936" operator="equal">
      <formula>$S$1</formula>
    </cfRule>
  </conditionalFormatting>
  <conditionalFormatting sqref="D102">
    <cfRule type="cellIs" dxfId="25" priority="933" operator="equal">
      <formula>$S$1</formula>
    </cfRule>
    <cfRule type="cellIs" dxfId="24" priority="934" operator="equal">
      <formula>$U$1</formula>
    </cfRule>
  </conditionalFormatting>
  <conditionalFormatting sqref="C77">
    <cfRule type="cellIs" dxfId="23" priority="931" operator="equal">
      <formula>$U$1</formula>
    </cfRule>
    <cfRule type="cellIs" dxfId="22" priority="932" operator="equal">
      <formula>$S$1</formula>
    </cfRule>
  </conditionalFormatting>
  <conditionalFormatting sqref="D77">
    <cfRule type="cellIs" dxfId="21" priority="929" operator="equal">
      <formula>$S$1</formula>
    </cfRule>
    <cfRule type="cellIs" dxfId="20" priority="930" operator="equal">
      <formula>$U$1</formula>
    </cfRule>
  </conditionalFormatting>
  <conditionalFormatting sqref="C52">
    <cfRule type="cellIs" dxfId="19" priority="927" operator="equal">
      <formula>$U$1</formula>
    </cfRule>
    <cfRule type="cellIs" dxfId="18" priority="928" operator="equal">
      <formula>$S$1</formula>
    </cfRule>
  </conditionalFormatting>
  <conditionalFormatting sqref="D52">
    <cfRule type="cellIs" dxfId="17" priority="925" operator="equal">
      <formula>$S$1</formula>
    </cfRule>
    <cfRule type="cellIs" dxfId="16" priority="926" operator="equal">
      <formula>$U$1</formula>
    </cfRule>
  </conditionalFormatting>
  <conditionalFormatting sqref="C26">
    <cfRule type="cellIs" dxfId="15" priority="923" operator="equal">
      <formula>$U$1</formula>
    </cfRule>
    <cfRule type="cellIs" dxfId="14" priority="924" operator="equal">
      <formula>$S$1</formula>
    </cfRule>
  </conditionalFormatting>
  <conditionalFormatting sqref="D26">
    <cfRule type="cellIs" dxfId="13" priority="921" operator="equal">
      <formula>$S$1</formula>
    </cfRule>
    <cfRule type="cellIs" dxfId="12" priority="92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0.11129650891613138</v>
      </c>
      <c r="F3" s="30">
        <v>0.15660536473605399</v>
      </c>
      <c r="G3" s="30">
        <v>0.19987253960121379</v>
      </c>
      <c r="H3" s="25">
        <f>IF(G3="","",(3*(G3-F3))+E3)</f>
        <v>0.24109803351161077</v>
      </c>
      <c r="I3" s="7"/>
      <c r="J3" s="7">
        <f>(E3+G3)/2</f>
        <v>0.15558452425867259</v>
      </c>
      <c r="K3" s="7">
        <f>H3/2</f>
        <v>0.12054901675580539</v>
      </c>
      <c r="M3" s="26">
        <f>IF(OR(J3="",H3=""),"",H3/J3)</f>
        <v>1.5496273466811177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2022-01-28T01:14:29Z</dcterms:modified>
</cp:coreProperties>
</file>