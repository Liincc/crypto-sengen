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9DC1B403-1B70-4AB6-82ED-1B66D35C01A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019" i="1"/>
  <c r="Q1019" i="1" s="1"/>
  <c r="R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019" i="1"/>
  <c r="T1019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18" i="5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122" i="5"/>
  <c r="C133" i="5" s="1"/>
  <c r="C2" i="1" l="1"/>
  <c r="D2" i="1"/>
  <c r="C116" i="4"/>
  <c r="C122" i="4"/>
  <c r="C133" i="4" s="1"/>
  <c r="C136" i="4" s="1"/>
  <c r="C122" i="3"/>
  <c r="C133" i="3" s="1"/>
  <c r="C136" i="3" s="1"/>
  <c r="C116" i="3"/>
  <c r="D136" i="5"/>
  <c r="C136" i="5"/>
  <c r="C118" i="3"/>
  <c r="R1018" i="1"/>
  <c r="D136" i="4" l="1"/>
  <c r="C138" i="4" s="1"/>
  <c r="D136" i="3"/>
  <c r="C138" i="3" s="1"/>
  <c r="C138" i="5"/>
  <c r="R1017" i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R26" i="1" l="1"/>
  <c r="S27" i="1"/>
  <c r="T27" i="1" s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<sst xmlns="http://schemas.openxmlformats.org/spreadsheetml/2006/main" count="11482" uniqueCount="34">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</sst>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3.295E-2</c:v>
                </c:pt>
                <c:pt idx="1">
                  <c:v>3.3860000000000001E-2</c:v>
                </c:pt>
                <c:pt idx="2">
                  <c:v>3.3320000000000002E-2</c:v>
                </c:pt>
                <c:pt idx="3">
                  <c:v>3.3520000000000001E-2</c:v>
                </c:pt>
                <c:pt idx="4">
                  <c:v>3.5229999999999997E-2</c:v>
                </c:pt>
                <c:pt idx="5">
                  <c:v>3.3160000000000002E-2</c:v>
                </c:pt>
                <c:pt idx="6">
                  <c:v>3.712E-2</c:v>
                </c:pt>
                <c:pt idx="7">
                  <c:v>4.4560000000000002E-2</c:v>
                </c:pt>
                <c:pt idx="8">
                  <c:v>4.9090000000000002E-2</c:v>
                </c:pt>
                <c:pt idx="9">
                  <c:v>4.6789999999999998E-2</c:v>
                </c:pt>
                <c:pt idx="10">
                  <c:v>4.8000000000000001E-2</c:v>
                </c:pt>
                <c:pt idx="11">
                  <c:v>5.024E-2</c:v>
                </c:pt>
                <c:pt idx="12">
                  <c:v>5.0659999999999997E-2</c:v>
                </c:pt>
                <c:pt idx="13">
                  <c:v>4.8899999999999999E-2</c:v>
                </c:pt>
                <c:pt idx="14">
                  <c:v>4.8680000000000001E-2</c:v>
                </c:pt>
                <c:pt idx="15">
                  <c:v>5.16E-2</c:v>
                </c:pt>
                <c:pt idx="16">
                  <c:v>4.8550000000000003E-2</c:v>
                </c:pt>
                <c:pt idx="17">
                  <c:v>4.6859999999999999E-2</c:v>
                </c:pt>
                <c:pt idx="18">
                  <c:v>4.9790000000000001E-2</c:v>
                </c:pt>
                <c:pt idx="19">
                  <c:v>4.9979999999999997E-2</c:v>
                </c:pt>
                <c:pt idx="20">
                  <c:v>4.7870000000000003E-2</c:v>
                </c:pt>
                <c:pt idx="21">
                  <c:v>5.3929999999999999E-2</c:v>
                </c:pt>
                <c:pt idx="22">
                  <c:v>5.4559999999999997E-2</c:v>
                </c:pt>
                <c:pt idx="23">
                  <c:v>5.9409999999999998E-2</c:v>
                </c:pt>
                <c:pt idx="24">
                  <c:v>6.0510000000000001E-2</c:v>
                </c:pt>
                <c:pt idx="25">
                  <c:v>6.0609999999999997E-2</c:v>
                </c:pt>
                <c:pt idx="26">
                  <c:v>6.0699999999999997E-2</c:v>
                </c:pt>
                <c:pt idx="27">
                  <c:v>5.9560000000000002E-2</c:v>
                </c:pt>
                <c:pt idx="28">
                  <c:v>6.0319999999999999E-2</c:v>
                </c:pt>
                <c:pt idx="29">
                  <c:v>5.9560000000000002E-2</c:v>
                </c:pt>
                <c:pt idx="30">
                  <c:v>6.1809999999999997E-2</c:v>
                </c:pt>
                <c:pt idx="31">
                  <c:v>6.7489999999999994E-2</c:v>
                </c:pt>
                <c:pt idx="32">
                  <c:v>6.9819999999999993E-2</c:v>
                </c:pt>
                <c:pt idx="33">
                  <c:v>6.3799999999999996E-2</c:v>
                </c:pt>
                <c:pt idx="34">
                  <c:v>6.3020000000000007E-2</c:v>
                </c:pt>
                <c:pt idx="35">
                  <c:v>6.386E-2</c:v>
                </c:pt>
                <c:pt idx="36">
                  <c:v>6.087E-2</c:v>
                </c:pt>
                <c:pt idx="37">
                  <c:v>6.1870000000000001E-2</c:v>
                </c:pt>
                <c:pt idx="38">
                  <c:v>6.1719999999999997E-2</c:v>
                </c:pt>
                <c:pt idx="39">
                  <c:v>6.0339999999999998E-2</c:v>
                </c:pt>
                <c:pt idx="40">
                  <c:v>6.3839999999999994E-2</c:v>
                </c:pt>
                <c:pt idx="41">
                  <c:v>6.905E-2</c:v>
                </c:pt>
                <c:pt idx="42">
                  <c:v>6.0670000000000002E-2</c:v>
                </c:pt>
                <c:pt idx="43">
                  <c:v>5.7369999999999997E-2</c:v>
                </c:pt>
                <c:pt idx="44">
                  <c:v>5.6030000000000003E-2</c:v>
                </c:pt>
                <c:pt idx="45">
                  <c:v>5.706E-2</c:v>
                </c:pt>
                <c:pt idx="46">
                  <c:v>6.5890000000000004E-2</c:v>
                </c:pt>
                <c:pt idx="47">
                  <c:v>6.0990000000000003E-2</c:v>
                </c:pt>
                <c:pt idx="48">
                  <c:v>6.0720000000000003E-2</c:v>
                </c:pt>
                <c:pt idx="49">
                  <c:v>6.404E-2</c:v>
                </c:pt>
                <c:pt idx="50">
                  <c:v>7.1290000000000006E-2</c:v>
                </c:pt>
                <c:pt idx="51">
                  <c:v>6.8559999999999996E-2</c:v>
                </c:pt>
                <c:pt idx="52">
                  <c:v>7.1830000000000005E-2</c:v>
                </c:pt>
                <c:pt idx="53">
                  <c:v>6.8279999999999993E-2</c:v>
                </c:pt>
                <c:pt idx="54">
                  <c:v>7.5300000000000006E-2</c:v>
                </c:pt>
                <c:pt idx="55">
                  <c:v>9.7180000000000002E-2</c:v>
                </c:pt>
                <c:pt idx="56">
                  <c:v>8.9800000000000005E-2</c:v>
                </c:pt>
                <c:pt idx="57">
                  <c:v>8.7480000000000002E-2</c:v>
                </c:pt>
                <c:pt idx="58">
                  <c:v>8.8889999999999997E-2</c:v>
                </c:pt>
                <c:pt idx="59">
                  <c:v>9.3649999999999997E-2</c:v>
                </c:pt>
                <c:pt idx="60">
                  <c:v>9.8269999999999996E-2</c:v>
                </c:pt>
                <c:pt idx="61">
                  <c:v>9.5170000000000005E-2</c:v>
                </c:pt>
                <c:pt idx="62">
                  <c:v>8.541E-2</c:v>
                </c:pt>
                <c:pt idx="63">
                  <c:v>9.9320000000000006E-2</c:v>
                </c:pt>
                <c:pt idx="64">
                  <c:v>0.11876</c:v>
                </c:pt>
                <c:pt idx="65">
                  <c:v>8.7809999999999999E-2</c:v>
                </c:pt>
                <c:pt idx="66">
                  <c:v>8.1360000000000002E-2</c:v>
                </c:pt>
                <c:pt idx="67">
                  <c:v>9.1700000000000004E-2</c:v>
                </c:pt>
                <c:pt idx="68">
                  <c:v>0.14724000000000001</c:v>
                </c:pt>
                <c:pt idx="69">
                  <c:v>5.7799999999999997E-2</c:v>
                </c:pt>
                <c:pt idx="70">
                  <c:v>4.5560000000000003E-2</c:v>
                </c:pt>
                <c:pt idx="71">
                  <c:v>5.16E-2</c:v>
                </c:pt>
                <c:pt idx="72">
                  <c:v>5.5820000000000002E-2</c:v>
                </c:pt>
                <c:pt idx="73">
                  <c:v>6.055E-2</c:v>
                </c:pt>
                <c:pt idx="74">
                  <c:v>5.1520000000000003E-2</c:v>
                </c:pt>
                <c:pt idx="75">
                  <c:v>5.1389999999999998E-2</c:v>
                </c:pt>
                <c:pt idx="76">
                  <c:v>4.9070000000000003E-2</c:v>
                </c:pt>
                <c:pt idx="77">
                  <c:v>5.0110000000000002E-2</c:v>
                </c:pt>
                <c:pt idx="78">
                  <c:v>4.9320000000000003E-2</c:v>
                </c:pt>
                <c:pt idx="79">
                  <c:v>5.2089999999999997E-2</c:v>
                </c:pt>
                <c:pt idx="80">
                  <c:v>5.2970000000000003E-2</c:v>
                </c:pt>
                <c:pt idx="81">
                  <c:v>5.21E-2</c:v>
                </c:pt>
                <c:pt idx="82">
                  <c:v>5.0569999999999997E-2</c:v>
                </c:pt>
                <c:pt idx="83">
                  <c:v>5.0979999999999998E-2</c:v>
                </c:pt>
                <c:pt idx="84">
                  <c:v>5.2990000000000002E-2</c:v>
                </c:pt>
                <c:pt idx="85">
                  <c:v>5.5410000000000001E-2</c:v>
                </c:pt>
                <c:pt idx="86">
                  <c:v>5.2909999999999999E-2</c:v>
                </c:pt>
                <c:pt idx="87">
                  <c:v>5.1569999999999998E-2</c:v>
                </c:pt>
                <c:pt idx="88">
                  <c:v>4.9939999999999998E-2</c:v>
                </c:pt>
                <c:pt idx="89">
                  <c:v>5.1470000000000002E-2</c:v>
                </c:pt>
                <c:pt idx="90">
                  <c:v>4.7910000000000001E-2</c:v>
                </c:pt>
                <c:pt idx="91">
                  <c:v>4.6370000000000001E-2</c:v>
                </c:pt>
                <c:pt idx="92">
                  <c:v>4.4589999999999998E-2</c:v>
                </c:pt>
                <c:pt idx="93">
                  <c:v>4.9979999999999997E-2</c:v>
                </c:pt>
                <c:pt idx="94">
                  <c:v>5.0310000000000001E-2</c:v>
                </c:pt>
                <c:pt idx="95">
                  <c:v>4.9000000000000002E-2</c:v>
                </c:pt>
                <c:pt idx="96">
                  <c:v>5.0889999999999998E-2</c:v>
                </c:pt>
                <c:pt idx="97">
                  <c:v>5.049E-2</c:v>
                </c:pt>
                <c:pt idx="98">
                  <c:v>5.1279999999999999E-2</c:v>
                </c:pt>
                <c:pt idx="99">
                  <c:v>5.321E-2</c:v>
                </c:pt>
                <c:pt idx="100">
                  <c:v>5.1470000000000002E-2</c:v>
                </c:pt>
                <c:pt idx="101">
                  <c:v>5.2990000000000002E-2</c:v>
                </c:pt>
                <c:pt idx="102">
                  <c:v>5.0090000000000003E-2</c:v>
                </c:pt>
                <c:pt idx="103">
                  <c:v>5.0930000000000003E-2</c:v>
                </c:pt>
                <c:pt idx="104">
                  <c:v>4.8919999999999998E-2</c:v>
                </c:pt>
                <c:pt idx="105">
                  <c:v>4.7570000000000001E-2</c:v>
                </c:pt>
                <c:pt idx="106">
                  <c:v>4.7100000000000003E-2</c:v>
                </c:pt>
                <c:pt idx="107">
                  <c:v>4.7329999999999997E-2</c:v>
                </c:pt>
                <c:pt idx="108">
                  <c:v>4.6199999999999998E-2</c:v>
                </c:pt>
                <c:pt idx="109">
                  <c:v>4.7669999999999997E-2</c:v>
                </c:pt>
                <c:pt idx="110">
                  <c:v>4.9000000000000002E-2</c:v>
                </c:pt>
                <c:pt idx="111">
                  <c:v>5.1470000000000002E-2</c:v>
                </c:pt>
                <c:pt idx="112">
                  <c:v>4.6510000000000003E-2</c:v>
                </c:pt>
                <c:pt idx="113">
                  <c:v>4.7390000000000002E-2</c:v>
                </c:pt>
                <c:pt idx="114">
                  <c:v>4.684E-2</c:v>
                </c:pt>
                <c:pt idx="115">
                  <c:v>4.4150000000000002E-2</c:v>
                </c:pt>
                <c:pt idx="116">
                  <c:v>4.4920000000000002E-2</c:v>
                </c:pt>
                <c:pt idx="117">
                  <c:v>4.3999999999999997E-2</c:v>
                </c:pt>
                <c:pt idx="118">
                  <c:v>4.5100000000000001E-2</c:v>
                </c:pt>
                <c:pt idx="119">
                  <c:v>4.1529999999999997E-2</c:v>
                </c:pt>
                <c:pt idx="120">
                  <c:v>3.8949999999999999E-2</c:v>
                </c:pt>
                <c:pt idx="121">
                  <c:v>3.9419999999999997E-2</c:v>
                </c:pt>
                <c:pt idx="122">
                  <c:v>4.0899999999999999E-2</c:v>
                </c:pt>
                <c:pt idx="123">
                  <c:v>4.2160000000000003E-2</c:v>
                </c:pt>
                <c:pt idx="124">
                  <c:v>4.403E-2</c:v>
                </c:pt>
                <c:pt idx="125">
                  <c:v>4.4240000000000002E-2</c:v>
                </c:pt>
                <c:pt idx="126">
                  <c:v>4.768E-2</c:v>
                </c:pt>
                <c:pt idx="127">
                  <c:v>4.6960000000000002E-2</c:v>
                </c:pt>
                <c:pt idx="128">
                  <c:v>4.2270000000000002E-2</c:v>
                </c:pt>
                <c:pt idx="129">
                  <c:v>6.0040000000000003E-2</c:v>
                </c:pt>
                <c:pt idx="130">
                  <c:v>5.4210000000000001E-2</c:v>
                </c:pt>
                <c:pt idx="131">
                  <c:v>5.2979999999999999E-2</c:v>
                </c:pt>
                <c:pt idx="132">
                  <c:v>5.0529999999999999E-2</c:v>
                </c:pt>
                <c:pt idx="133">
                  <c:v>5.3339999999999999E-2</c:v>
                </c:pt>
                <c:pt idx="134">
                  <c:v>5.3280000000000001E-2</c:v>
                </c:pt>
                <c:pt idx="135">
                  <c:v>5.2979999999999999E-2</c:v>
                </c:pt>
                <c:pt idx="136">
                  <c:v>4.9590000000000002E-2</c:v>
                </c:pt>
                <c:pt idx="137">
                  <c:v>5.3249999999999999E-2</c:v>
                </c:pt>
                <c:pt idx="138">
                  <c:v>5.3409999999999999E-2</c:v>
                </c:pt>
                <c:pt idx="139">
                  <c:v>5.0279999999999998E-2</c:v>
                </c:pt>
                <c:pt idx="140">
                  <c:v>4.9889999999999997E-2</c:v>
                </c:pt>
                <c:pt idx="141">
                  <c:v>4.9160000000000002E-2</c:v>
                </c:pt>
                <c:pt idx="142">
                  <c:v>5.0650000000000001E-2</c:v>
                </c:pt>
                <c:pt idx="143">
                  <c:v>6.5740000000000007E-2</c:v>
                </c:pt>
                <c:pt idx="144">
                  <c:v>6.5119999999999997E-2</c:v>
                </c:pt>
                <c:pt idx="145">
                  <c:v>6.0490000000000002E-2</c:v>
                </c:pt>
                <c:pt idx="146">
                  <c:v>6.1289999999999997E-2</c:v>
                </c:pt>
                <c:pt idx="147">
                  <c:v>5.7500000000000002E-2</c:v>
                </c:pt>
                <c:pt idx="148">
                  <c:v>5.8979999999999998E-2</c:v>
                </c:pt>
                <c:pt idx="149">
                  <c:v>5.6309999999999999E-2</c:v>
                </c:pt>
                <c:pt idx="150">
                  <c:v>5.339E-2</c:v>
                </c:pt>
                <c:pt idx="151">
                  <c:v>5.62E-2</c:v>
                </c:pt>
                <c:pt idx="152">
                  <c:v>5.6989999999999999E-2</c:v>
                </c:pt>
                <c:pt idx="153">
                  <c:v>5.7369999999999997E-2</c:v>
                </c:pt>
                <c:pt idx="154">
                  <c:v>5.5730000000000002E-2</c:v>
                </c:pt>
                <c:pt idx="155">
                  <c:v>6.08E-2</c:v>
                </c:pt>
                <c:pt idx="156">
                  <c:v>5.6800000000000003E-2</c:v>
                </c:pt>
                <c:pt idx="157">
                  <c:v>5.9659999999999998E-2</c:v>
                </c:pt>
                <c:pt idx="158">
                  <c:v>5.8779999999999999E-2</c:v>
                </c:pt>
                <c:pt idx="159">
                  <c:v>5.8299999999999998E-2</c:v>
                </c:pt>
                <c:pt idx="160">
                  <c:v>6.0670000000000002E-2</c:v>
                </c:pt>
                <c:pt idx="161">
                  <c:v>5.8819999999999997E-2</c:v>
                </c:pt>
                <c:pt idx="162">
                  <c:v>5.2479999999999999E-2</c:v>
                </c:pt>
                <c:pt idx="163">
                  <c:v>5.4129999999999998E-2</c:v>
                </c:pt>
                <c:pt idx="164">
                  <c:v>5.8619999999999998E-2</c:v>
                </c:pt>
                <c:pt idx="165">
                  <c:v>6.234E-2</c:v>
                </c:pt>
                <c:pt idx="166">
                  <c:v>5.8130000000000001E-2</c:v>
                </c:pt>
                <c:pt idx="167">
                  <c:v>6.2909999999999994E-2</c:v>
                </c:pt>
                <c:pt idx="168">
                  <c:v>5.5910000000000001E-2</c:v>
                </c:pt>
                <c:pt idx="169">
                  <c:v>5.1880000000000003E-2</c:v>
                </c:pt>
                <c:pt idx="170">
                  <c:v>5.0160000000000003E-2</c:v>
                </c:pt>
                <c:pt idx="171">
                  <c:v>4.9390000000000003E-2</c:v>
                </c:pt>
                <c:pt idx="172">
                  <c:v>4.5350000000000001E-2</c:v>
                </c:pt>
                <c:pt idx="173">
                  <c:v>5.0200000000000002E-2</c:v>
                </c:pt>
                <c:pt idx="174">
                  <c:v>4.6800000000000001E-2</c:v>
                </c:pt>
                <c:pt idx="175">
                  <c:v>4.5809999999999997E-2</c:v>
                </c:pt>
                <c:pt idx="176">
                  <c:v>4.2930000000000003E-2</c:v>
                </c:pt>
                <c:pt idx="177">
                  <c:v>4.0960000000000003E-2</c:v>
                </c:pt>
                <c:pt idx="178">
                  <c:v>4.1880000000000001E-2</c:v>
                </c:pt>
                <c:pt idx="179">
                  <c:v>4.2160000000000003E-2</c:v>
                </c:pt>
                <c:pt idx="180">
                  <c:v>4.2349999999999999E-2</c:v>
                </c:pt>
                <c:pt idx="181">
                  <c:v>4.1419999999999998E-2</c:v>
                </c:pt>
                <c:pt idx="182">
                  <c:v>4.1849999999999998E-2</c:v>
                </c:pt>
                <c:pt idx="183">
                  <c:v>4.104E-2</c:v>
                </c:pt>
                <c:pt idx="184">
                  <c:v>4.19E-2</c:v>
                </c:pt>
                <c:pt idx="185">
                  <c:v>4.0219999999999999E-2</c:v>
                </c:pt>
                <c:pt idx="186">
                  <c:v>4.0039999999999999E-2</c:v>
                </c:pt>
                <c:pt idx="187">
                  <c:v>3.952E-2</c:v>
                </c:pt>
                <c:pt idx="188">
                  <c:v>3.9260000000000003E-2</c:v>
                </c:pt>
                <c:pt idx="189">
                  <c:v>3.8210000000000001E-2</c:v>
                </c:pt>
                <c:pt idx="190">
                  <c:v>3.8559999999999997E-2</c:v>
                </c:pt>
                <c:pt idx="191">
                  <c:v>3.4500000000000003E-2</c:v>
                </c:pt>
                <c:pt idx="192">
                  <c:v>3.6229999999999998E-2</c:v>
                </c:pt>
                <c:pt idx="193">
                  <c:v>3.9449999999999999E-2</c:v>
                </c:pt>
                <c:pt idx="194">
                  <c:v>3.7519999999999998E-2</c:v>
                </c:pt>
                <c:pt idx="195">
                  <c:v>4.0189999999999997E-2</c:v>
                </c:pt>
                <c:pt idx="196">
                  <c:v>4.6100000000000002E-2</c:v>
                </c:pt>
                <c:pt idx="197">
                  <c:v>4.9230000000000003E-2</c:v>
                </c:pt>
                <c:pt idx="198">
                  <c:v>5.16E-2</c:v>
                </c:pt>
                <c:pt idx="199">
                  <c:v>4.8840000000000001E-2</c:v>
                </c:pt>
                <c:pt idx="200">
                  <c:v>4.5999999999999999E-2</c:v>
                </c:pt>
                <c:pt idx="201">
                  <c:v>4.061E-2</c:v>
                </c:pt>
                <c:pt idx="202">
                  <c:v>4.3069999999999997E-2</c:v>
                </c:pt>
                <c:pt idx="203">
                  <c:v>3.5799999999999998E-2</c:v>
                </c:pt>
                <c:pt idx="204">
                  <c:v>3.7960000000000001E-2</c:v>
                </c:pt>
                <c:pt idx="205">
                  <c:v>3.7199999999999997E-2</c:v>
                </c:pt>
                <c:pt idx="206">
                  <c:v>3.7670000000000002E-2</c:v>
                </c:pt>
                <c:pt idx="207">
                  <c:v>3.6639999999999999E-2</c:v>
                </c:pt>
                <c:pt idx="208">
                  <c:v>3.6260000000000001E-2</c:v>
                </c:pt>
                <c:pt idx="209">
                  <c:v>3.5920000000000001E-2</c:v>
                </c:pt>
                <c:pt idx="210">
                  <c:v>3.6499999999999998E-2</c:v>
                </c:pt>
                <c:pt idx="211">
                  <c:v>4.0219999999999999E-2</c:v>
                </c:pt>
                <c:pt idx="212">
                  <c:v>3.9629999999999999E-2</c:v>
                </c:pt>
                <c:pt idx="213">
                  <c:v>3.78E-2</c:v>
                </c:pt>
                <c:pt idx="214">
                  <c:v>3.7260000000000001E-2</c:v>
                </c:pt>
                <c:pt idx="215">
                  <c:v>3.5310000000000001E-2</c:v>
                </c:pt>
                <c:pt idx="216">
                  <c:v>3.5340000000000003E-2</c:v>
                </c:pt>
                <c:pt idx="217">
                  <c:v>4.0620000000000003E-2</c:v>
                </c:pt>
                <c:pt idx="218">
                  <c:v>3.9829999999999997E-2</c:v>
                </c:pt>
                <c:pt idx="219">
                  <c:v>3.5220000000000001E-2</c:v>
                </c:pt>
                <c:pt idx="220">
                  <c:v>3.7019999999999997E-2</c:v>
                </c:pt>
                <c:pt idx="221">
                  <c:v>5.0119999999999998E-2</c:v>
                </c:pt>
                <c:pt idx="222">
                  <c:v>4.8219999999999999E-2</c:v>
                </c:pt>
                <c:pt idx="223">
                  <c:v>4.8559999999999999E-2</c:v>
                </c:pt>
                <c:pt idx="224">
                  <c:v>5.1970000000000002E-2</c:v>
                </c:pt>
                <c:pt idx="225">
                  <c:v>5.289E-2</c:v>
                </c:pt>
                <c:pt idx="226">
                  <c:v>5.6460000000000003E-2</c:v>
                </c:pt>
                <c:pt idx="227">
                  <c:v>5.663E-2</c:v>
                </c:pt>
                <c:pt idx="228">
                  <c:v>5.7239999999999999E-2</c:v>
                </c:pt>
                <c:pt idx="229">
                  <c:v>5.305E-2</c:v>
                </c:pt>
                <c:pt idx="230">
                  <c:v>5.3940000000000002E-2</c:v>
                </c:pt>
                <c:pt idx="231">
                  <c:v>6.6290000000000002E-2</c:v>
                </c:pt>
                <c:pt idx="232">
                  <c:v>7.3219999999999993E-2</c:v>
                </c:pt>
                <c:pt idx="233">
                  <c:v>5.0430000000000003E-2</c:v>
                </c:pt>
                <c:pt idx="234">
                  <c:v>4.8000000000000001E-2</c:v>
                </c:pt>
                <c:pt idx="235">
                  <c:v>5.5149999999999998E-2</c:v>
                </c:pt>
                <c:pt idx="236">
                  <c:v>4.9270000000000001E-2</c:v>
                </c:pt>
                <c:pt idx="237">
                  <c:v>4.87E-2</c:v>
                </c:pt>
                <c:pt idx="238">
                  <c:v>5.5050000000000002E-2</c:v>
                </c:pt>
                <c:pt idx="239">
                  <c:v>5.1639999999999998E-2</c:v>
                </c:pt>
                <c:pt idx="240">
                  <c:v>5.11E-2</c:v>
                </c:pt>
                <c:pt idx="241">
                  <c:v>5.3199999999999997E-2</c:v>
                </c:pt>
                <c:pt idx="242">
                  <c:v>4.9410000000000003E-2</c:v>
                </c:pt>
                <c:pt idx="243">
                  <c:v>4.7640000000000002E-2</c:v>
                </c:pt>
                <c:pt idx="244">
                  <c:v>5.3150000000000003E-2</c:v>
                </c:pt>
                <c:pt idx="245">
                  <c:v>6.268E-2</c:v>
                </c:pt>
                <c:pt idx="246">
                  <c:v>5.4829999999999997E-2</c:v>
                </c:pt>
                <c:pt idx="247">
                  <c:v>4.8640000000000003E-2</c:v>
                </c:pt>
                <c:pt idx="248">
                  <c:v>4.7989999999999998E-2</c:v>
                </c:pt>
                <c:pt idx="249">
                  <c:v>3.4380000000000001E-2</c:v>
                </c:pt>
                <c:pt idx="250">
                  <c:v>3.9989999999999998E-2</c:v>
                </c:pt>
                <c:pt idx="251">
                  <c:v>4.2950000000000002E-2</c:v>
                </c:pt>
                <c:pt idx="252">
                  <c:v>5.2200000000000003E-2</c:v>
                </c:pt>
                <c:pt idx="253">
                  <c:v>4.546E-2</c:v>
                </c:pt>
                <c:pt idx="254">
                  <c:v>7.5370000000000006E-2</c:v>
                </c:pt>
                <c:pt idx="255">
                  <c:v>7.467E-2</c:v>
                </c:pt>
                <c:pt idx="256">
                  <c:v>8.3089999999999997E-2</c:v>
                </c:pt>
                <c:pt idx="257">
                  <c:v>8.2309999999999994E-2</c:v>
                </c:pt>
                <c:pt idx="258">
                  <c:v>9.0999999999999998E-2</c:v>
                </c:pt>
                <c:pt idx="259">
                  <c:v>8.584E-2</c:v>
                </c:pt>
                <c:pt idx="260">
                  <c:v>7.8770000000000007E-2</c:v>
                </c:pt>
                <c:pt idx="261">
                  <c:v>0.10109</c:v>
                </c:pt>
                <c:pt idx="262">
                  <c:v>9.8269999999999996E-2</c:v>
                </c:pt>
                <c:pt idx="263">
                  <c:v>0.10691000000000001</c:v>
                </c:pt>
                <c:pt idx="264">
                  <c:v>0.10555</c:v>
                </c:pt>
                <c:pt idx="265">
                  <c:v>0.10888</c:v>
                </c:pt>
                <c:pt idx="266">
                  <c:v>0.10978</c:v>
                </c:pt>
                <c:pt idx="267">
                  <c:v>0.11368</c:v>
                </c:pt>
                <c:pt idx="268">
                  <c:v>0.1065</c:v>
                </c:pt>
                <c:pt idx="269">
                  <c:v>0.12537000000000001</c:v>
                </c:pt>
                <c:pt idx="270">
                  <c:v>0.13353999999999999</c:v>
                </c:pt>
                <c:pt idx="271">
                  <c:v>0.12723000000000001</c:v>
                </c:pt>
                <c:pt idx="272">
                  <c:v>0.12936</c:v>
                </c:pt>
                <c:pt idx="273">
                  <c:v>0.12895999999999999</c:v>
                </c:pt>
                <c:pt idx="274">
                  <c:v>0.14151</c:v>
                </c:pt>
                <c:pt idx="275">
                  <c:v>0.1236</c:v>
                </c:pt>
                <c:pt idx="276">
                  <c:v>9.9729999999999999E-2</c:v>
                </c:pt>
                <c:pt idx="277">
                  <c:v>7.7829999999999996E-2</c:v>
                </c:pt>
                <c:pt idx="278">
                  <c:v>7.0190000000000002E-2</c:v>
                </c:pt>
                <c:pt idx="279">
                  <c:v>7.9990000000000006E-2</c:v>
                </c:pt>
                <c:pt idx="280">
                  <c:v>8.4290000000000004E-2</c:v>
                </c:pt>
                <c:pt idx="281">
                  <c:v>9.8000000000000004E-2</c:v>
                </c:pt>
                <c:pt idx="282">
                  <c:v>0.10363</c:v>
                </c:pt>
                <c:pt idx="283">
                  <c:v>0.10199999999999999</c:v>
                </c:pt>
                <c:pt idx="284">
                  <c:v>0.11484999999999999</c:v>
                </c:pt>
                <c:pt idx="285">
                  <c:v>0.13961999999999999</c:v>
                </c:pt>
                <c:pt idx="286">
                  <c:v>0.14224999999999999</c:v>
                </c:pt>
                <c:pt idx="287">
                  <c:v>0.12981000000000001</c:v>
                </c:pt>
                <c:pt idx="288">
                  <c:v>0.13306000000000001</c:v>
                </c:pt>
                <c:pt idx="289">
                  <c:v>0.12438</c:v>
                </c:pt>
                <c:pt idx="290">
                  <c:v>0.13075999999999999</c:v>
                </c:pt>
                <c:pt idx="291">
                  <c:v>0.14641999999999999</c:v>
                </c:pt>
                <c:pt idx="292">
                  <c:v>0.13568</c:v>
                </c:pt>
                <c:pt idx="293">
                  <c:v>0.14176</c:v>
                </c:pt>
                <c:pt idx="294">
                  <c:v>0.16899</c:v>
                </c:pt>
                <c:pt idx="295">
                  <c:v>0.10868</c:v>
                </c:pt>
                <c:pt idx="296">
                  <c:v>0.12898999999999999</c:v>
                </c:pt>
                <c:pt idx="297">
                  <c:v>0.16142999999999999</c:v>
                </c:pt>
                <c:pt idx="298">
                  <c:v>0.09</c:v>
                </c:pt>
                <c:pt idx="299">
                  <c:v>6.0449999999999997E-2</c:v>
                </c:pt>
                <c:pt idx="300">
                  <c:v>6.5680000000000002E-2</c:v>
                </c:pt>
                <c:pt idx="301">
                  <c:v>6.5049999999999997E-2</c:v>
                </c:pt>
                <c:pt idx="302">
                  <c:v>6.232E-2</c:v>
                </c:pt>
                <c:pt idx="303">
                  <c:v>6.5199999999999994E-2</c:v>
                </c:pt>
                <c:pt idx="304">
                  <c:v>6.4960000000000004E-2</c:v>
                </c:pt>
                <c:pt idx="305">
                  <c:v>6.8580000000000002E-2</c:v>
                </c:pt>
                <c:pt idx="306">
                  <c:v>4.6100000000000002E-2</c:v>
                </c:pt>
                <c:pt idx="307">
                  <c:v>4.6929999999999999E-2</c:v>
                </c:pt>
                <c:pt idx="308">
                  <c:v>4.0629999999999999E-2</c:v>
                </c:pt>
                <c:pt idx="309">
                  <c:v>4.3799999999999999E-2</c:v>
                </c:pt>
                <c:pt idx="310">
                  <c:v>4.5039999999999997E-2</c:v>
                </c:pt>
                <c:pt idx="311">
                  <c:v>4.5949999999999998E-2</c:v>
                </c:pt>
                <c:pt idx="312">
                  <c:v>5.2010000000000001E-2</c:v>
                </c:pt>
                <c:pt idx="313">
                  <c:v>4.972E-2</c:v>
                </c:pt>
                <c:pt idx="314">
                  <c:v>5.3990000000000003E-2</c:v>
                </c:pt>
                <c:pt idx="315">
                  <c:v>5.1549999999999999E-2</c:v>
                </c:pt>
                <c:pt idx="316">
                  <c:v>5.5059999999999998E-2</c:v>
                </c:pt>
                <c:pt idx="317">
                  <c:v>5.2220000000000003E-2</c:v>
                </c:pt>
                <c:pt idx="318">
                  <c:v>4.2799999999999998E-2</c:v>
                </c:pt>
                <c:pt idx="319">
                  <c:v>3.2539999999999999E-2</c:v>
                </c:pt>
                <c:pt idx="320">
                  <c:v>3.4299999999999997E-2</c:v>
                </c:pt>
                <c:pt idx="321">
                  <c:v>3.015E-2</c:v>
                </c:pt>
                <c:pt idx="322">
                  <c:v>3.2480000000000002E-2</c:v>
                </c:pt>
                <c:pt idx="323">
                  <c:v>2.9520000000000001E-2</c:v>
                </c:pt>
                <c:pt idx="324">
                  <c:v>2.691E-2</c:v>
                </c:pt>
                <c:pt idx="325">
                  <c:v>2.4140000000000002E-2</c:v>
                </c:pt>
                <c:pt idx="326">
                  <c:v>2.3939999999999999E-2</c:v>
                </c:pt>
                <c:pt idx="327">
                  <c:v>2.257E-2</c:v>
                </c:pt>
                <c:pt idx="328">
                  <c:v>2.3279999999999999E-2</c:v>
                </c:pt>
                <c:pt idx="329">
                  <c:v>2.0549999999999999E-2</c:v>
                </c:pt>
                <c:pt idx="330">
                  <c:v>2.1100000000000001E-2</c:v>
                </c:pt>
                <c:pt idx="331">
                  <c:v>2.0709999999999999E-2</c:v>
                </c:pt>
                <c:pt idx="332">
                  <c:v>2.2069999999999999E-2</c:v>
                </c:pt>
                <c:pt idx="333">
                  <c:v>2.1680000000000001E-2</c:v>
                </c:pt>
                <c:pt idx="334">
                  <c:v>2.4E-2</c:v>
                </c:pt>
                <c:pt idx="335">
                  <c:v>1.7260000000000001E-2</c:v>
                </c:pt>
                <c:pt idx="336">
                  <c:v>1.7600000000000001E-2</c:v>
                </c:pt>
                <c:pt idx="337">
                  <c:v>1.9349999999999999E-2</c:v>
                </c:pt>
                <c:pt idx="338">
                  <c:v>1.7690000000000001E-2</c:v>
                </c:pt>
                <c:pt idx="339">
                  <c:v>2.1160000000000002E-2</c:v>
                </c:pt>
                <c:pt idx="340">
                  <c:v>2.41E-2</c:v>
                </c:pt>
                <c:pt idx="341">
                  <c:v>2.2939999999999999E-2</c:v>
                </c:pt>
                <c:pt idx="342">
                  <c:v>2.53E-2</c:v>
                </c:pt>
                <c:pt idx="343">
                  <c:v>2.3089999999999999E-2</c:v>
                </c:pt>
                <c:pt idx="344">
                  <c:v>2.1700000000000001E-2</c:v>
                </c:pt>
                <c:pt idx="345">
                  <c:v>2.0320000000000001E-2</c:v>
                </c:pt>
                <c:pt idx="346">
                  <c:v>2.043E-2</c:v>
                </c:pt>
                <c:pt idx="347">
                  <c:v>2.147E-2</c:v>
                </c:pt>
                <c:pt idx="348">
                  <c:v>2.3779999999999999E-2</c:v>
                </c:pt>
                <c:pt idx="349">
                  <c:v>2.1749999999999999E-2</c:v>
                </c:pt>
                <c:pt idx="350">
                  <c:v>2.1250000000000002E-2</c:v>
                </c:pt>
                <c:pt idx="351">
                  <c:v>1.7260000000000001E-2</c:v>
                </c:pt>
                <c:pt idx="352">
                  <c:v>1.7350000000000001E-2</c:v>
                </c:pt>
                <c:pt idx="353">
                  <c:v>1.5100000000000001E-2</c:v>
                </c:pt>
                <c:pt idx="354">
                  <c:v>1.349E-2</c:v>
                </c:pt>
                <c:pt idx="355">
                  <c:v>1.406E-2</c:v>
                </c:pt>
                <c:pt idx="356">
                  <c:v>1.529E-2</c:v>
                </c:pt>
                <c:pt idx="357">
                  <c:v>1.451E-2</c:v>
                </c:pt>
                <c:pt idx="358">
                  <c:v>1.4749999999999999E-2</c:v>
                </c:pt>
                <c:pt idx="359">
                  <c:v>1.2959999999999999E-2</c:v>
                </c:pt>
                <c:pt idx="360">
                  <c:v>1.191E-2</c:v>
                </c:pt>
                <c:pt idx="361">
                  <c:v>1.2579999999999999E-2</c:v>
                </c:pt>
                <c:pt idx="362">
                  <c:v>1.37E-2</c:v>
                </c:pt>
                <c:pt idx="363">
                  <c:v>9.8399999999999998E-3</c:v>
                </c:pt>
                <c:pt idx="364">
                  <c:v>9.5999999999999992E-3</c:v>
                </c:pt>
                <c:pt idx="365">
                  <c:v>8.5800000000000008E-3</c:v>
                </c:pt>
                <c:pt idx="366">
                  <c:v>9.6200000000000001E-3</c:v>
                </c:pt>
                <c:pt idx="367">
                  <c:v>9.7099999999999999E-3</c:v>
                </c:pt>
                <c:pt idx="368">
                  <c:v>1.0670000000000001E-2</c:v>
                </c:pt>
                <c:pt idx="369">
                  <c:v>1.022E-2</c:v>
                </c:pt>
                <c:pt idx="370">
                  <c:v>1.009E-2</c:v>
                </c:pt>
                <c:pt idx="371">
                  <c:v>1.0330000000000001E-2</c:v>
                </c:pt>
                <c:pt idx="372">
                  <c:v>9.4199999999999996E-3</c:v>
                </c:pt>
                <c:pt idx="373">
                  <c:v>9.5200000000000007E-3</c:v>
                </c:pt>
                <c:pt idx="374">
                  <c:v>9.6100000000000005E-3</c:v>
                </c:pt>
                <c:pt idx="375">
                  <c:v>9.4800000000000006E-3</c:v>
                </c:pt>
                <c:pt idx="376">
                  <c:v>9.3200000000000002E-3</c:v>
                </c:pt>
                <c:pt idx="377">
                  <c:v>8.5800000000000008E-3</c:v>
                </c:pt>
                <c:pt idx="378">
                  <c:v>8.6199999999999992E-3</c:v>
                </c:pt>
                <c:pt idx="379">
                  <c:v>8.7200000000000003E-3</c:v>
                </c:pt>
                <c:pt idx="380">
                  <c:v>8.3000000000000001E-3</c:v>
                </c:pt>
                <c:pt idx="381">
                  <c:v>8.5199999999999998E-3</c:v>
                </c:pt>
                <c:pt idx="382">
                  <c:v>9.8899999999999995E-3</c:v>
                </c:pt>
                <c:pt idx="383">
                  <c:v>1.0670000000000001E-2</c:v>
                </c:pt>
                <c:pt idx="384">
                  <c:v>1.0109999999999999E-2</c:v>
                </c:pt>
                <c:pt idx="385">
                  <c:v>9.5600000000000008E-3</c:v>
                </c:pt>
                <c:pt idx="386">
                  <c:v>1.038E-2</c:v>
                </c:pt>
                <c:pt idx="387">
                  <c:v>9.4800000000000006E-3</c:v>
                </c:pt>
                <c:pt idx="388">
                  <c:v>9.3900000000000008E-3</c:v>
                </c:pt>
                <c:pt idx="389">
                  <c:v>9.8200000000000006E-3</c:v>
                </c:pt>
                <c:pt idx="390">
                  <c:v>1.1259999999999999E-2</c:v>
                </c:pt>
                <c:pt idx="391">
                  <c:v>1.321E-2</c:v>
                </c:pt>
                <c:pt idx="392">
                  <c:v>1.371E-2</c:v>
                </c:pt>
                <c:pt idx="393">
                  <c:v>1.558E-2</c:v>
                </c:pt>
                <c:pt idx="394">
                  <c:v>1.248E-2</c:v>
                </c:pt>
                <c:pt idx="395">
                  <c:v>1.325E-2</c:v>
                </c:pt>
                <c:pt idx="396">
                  <c:v>1.7749999999999998E-2</c:v>
                </c:pt>
                <c:pt idx="397">
                  <c:v>1.1140000000000001E-2</c:v>
                </c:pt>
                <c:pt idx="398">
                  <c:v>8.8500000000000002E-3</c:v>
                </c:pt>
                <c:pt idx="399">
                  <c:v>8.5500000000000003E-3</c:v>
                </c:pt>
                <c:pt idx="400">
                  <c:v>6.8599999999999998E-3</c:v>
                </c:pt>
                <c:pt idx="401">
                  <c:v>8.5599999999999999E-3</c:v>
                </c:pt>
                <c:pt idx="402">
                  <c:v>6.6E-3</c:v>
                </c:pt>
                <c:pt idx="403">
                  <c:v>8.1600000000000006E-3</c:v>
                </c:pt>
                <c:pt idx="404">
                  <c:v>6.3800000000000003E-3</c:v>
                </c:pt>
                <c:pt idx="405">
                  <c:v>6.11E-3</c:v>
                </c:pt>
                <c:pt idx="406">
                  <c:v>5.6499999999999996E-3</c:v>
                </c:pt>
                <c:pt idx="407">
                  <c:v>5.47E-3</c:v>
                </c:pt>
                <c:pt idx="408">
                  <c:v>5.3E-3</c:v>
                </c:pt>
                <c:pt idx="409">
                  <c:v>5.3699999999999998E-3</c:v>
                </c:pt>
                <c:pt idx="410">
                  <c:v>5.1599999999999997E-3</c:v>
                </c:pt>
                <c:pt idx="411">
                  <c:v>5.1900000000000002E-3</c:v>
                </c:pt>
                <c:pt idx="412">
                  <c:v>4.8999999999999998E-3</c:v>
                </c:pt>
                <c:pt idx="413">
                  <c:v>5.1399999999999996E-3</c:v>
                </c:pt>
                <c:pt idx="414">
                  <c:v>5.2900000000000004E-3</c:v>
                </c:pt>
                <c:pt idx="415">
                  <c:v>5.0000000000000001E-3</c:v>
                </c:pt>
                <c:pt idx="416">
                  <c:v>5.4000000000000003E-3</c:v>
                </c:pt>
                <c:pt idx="417">
                  <c:v>5.6100000000000004E-3</c:v>
                </c:pt>
                <c:pt idx="418">
                  <c:v>5.77E-3</c:v>
                </c:pt>
                <c:pt idx="419">
                  <c:v>5.5900000000000004E-3</c:v>
                </c:pt>
                <c:pt idx="420">
                  <c:v>6.0299999999999998E-3</c:v>
                </c:pt>
                <c:pt idx="421">
                  <c:v>5.9899999999999997E-3</c:v>
                </c:pt>
                <c:pt idx="422">
                  <c:v>5.5799999999999999E-3</c:v>
                </c:pt>
                <c:pt idx="423">
                  <c:v>6.0000000000000001E-3</c:v>
                </c:pt>
                <c:pt idx="424">
                  <c:v>6.1399999999999996E-3</c:v>
                </c:pt>
                <c:pt idx="425">
                  <c:v>5.94E-3</c:v>
                </c:pt>
                <c:pt idx="426">
                  <c:v>5.6499999999999996E-3</c:v>
                </c:pt>
                <c:pt idx="427">
                  <c:v>5.4999999999999997E-3</c:v>
                </c:pt>
                <c:pt idx="428">
                  <c:v>6.3400000000000001E-3</c:v>
                </c:pt>
                <c:pt idx="429">
                  <c:v>6.11E-3</c:v>
                </c:pt>
                <c:pt idx="430">
                  <c:v>5.6499999999999996E-3</c:v>
                </c:pt>
                <c:pt idx="431">
                  <c:v>5.3200000000000001E-3</c:v>
                </c:pt>
                <c:pt idx="432">
                  <c:v>5.5100000000000001E-3</c:v>
                </c:pt>
                <c:pt idx="433">
                  <c:v>4.7999999999999996E-3</c:v>
                </c:pt>
                <c:pt idx="434">
                  <c:v>4.6100000000000004E-3</c:v>
                </c:pt>
                <c:pt idx="435">
                  <c:v>4.8199999999999996E-3</c:v>
                </c:pt>
                <c:pt idx="436">
                  <c:v>5.0400000000000002E-3</c:v>
                </c:pt>
                <c:pt idx="437">
                  <c:v>4.9300000000000004E-3</c:v>
                </c:pt>
                <c:pt idx="438">
                  <c:v>4.8900000000000002E-3</c:v>
                </c:pt>
                <c:pt idx="439">
                  <c:v>4.8700000000000002E-3</c:v>
                </c:pt>
                <c:pt idx="440">
                  <c:v>5.1900000000000002E-3</c:v>
                </c:pt>
                <c:pt idx="441">
                  <c:v>4.8799999999999998E-3</c:v>
                </c:pt>
                <c:pt idx="442">
                  <c:v>5.2300000000000003E-3</c:v>
                </c:pt>
                <c:pt idx="443">
                  <c:v>5.47E-3</c:v>
                </c:pt>
                <c:pt idx="444">
                  <c:v>5.1500000000000001E-3</c:v>
                </c:pt>
                <c:pt idx="445">
                  <c:v>5.2100000000000002E-3</c:v>
                </c:pt>
                <c:pt idx="446">
                  <c:v>4.64E-3</c:v>
                </c:pt>
                <c:pt idx="447">
                  <c:v>4.9899999999999996E-3</c:v>
                </c:pt>
                <c:pt idx="448">
                  <c:v>4.2199999999999998E-3</c:v>
                </c:pt>
                <c:pt idx="449">
                  <c:v>4.0699999999999998E-3</c:v>
                </c:pt>
                <c:pt idx="450">
                  <c:v>4.1099999999999999E-3</c:v>
                </c:pt>
                <c:pt idx="451">
                  <c:v>4.13E-3</c:v>
                </c:pt>
                <c:pt idx="452">
                  <c:v>4.3899999999999998E-3</c:v>
                </c:pt>
                <c:pt idx="453">
                  <c:v>4.0800000000000003E-3</c:v>
                </c:pt>
                <c:pt idx="454">
                  <c:v>4.1700000000000001E-3</c:v>
                </c:pt>
                <c:pt idx="455">
                  <c:v>4.3600000000000002E-3</c:v>
                </c:pt>
                <c:pt idx="456">
                  <c:v>4.6699999999999997E-3</c:v>
                </c:pt>
                <c:pt idx="457">
                  <c:v>4.8300000000000001E-3</c:v>
                </c:pt>
                <c:pt idx="458">
                  <c:v>4.8799999999999998E-3</c:v>
                </c:pt>
                <c:pt idx="459">
                  <c:v>5.1799999999999997E-3</c:v>
                </c:pt>
                <c:pt idx="460">
                  <c:v>5.1500000000000001E-3</c:v>
                </c:pt>
                <c:pt idx="461">
                  <c:v>5.2100000000000002E-3</c:v>
                </c:pt>
                <c:pt idx="462">
                  <c:v>5.1500000000000001E-3</c:v>
                </c:pt>
                <c:pt idx="463">
                  <c:v>5.0499999999999998E-3</c:v>
                </c:pt>
                <c:pt idx="464">
                  <c:v>4.7099999999999998E-3</c:v>
                </c:pt>
                <c:pt idx="465">
                  <c:v>4.96E-3</c:v>
                </c:pt>
                <c:pt idx="466">
                  <c:v>5.11E-3</c:v>
                </c:pt>
                <c:pt idx="467">
                  <c:v>5.1000000000000004E-3</c:v>
                </c:pt>
                <c:pt idx="468">
                  <c:v>5.0099999999999997E-3</c:v>
                </c:pt>
                <c:pt idx="469">
                  <c:v>5.1900000000000002E-3</c:v>
                </c:pt>
                <c:pt idx="470">
                  <c:v>5.2500000000000003E-3</c:v>
                </c:pt>
                <c:pt idx="471">
                  <c:v>5.4900000000000001E-3</c:v>
                </c:pt>
                <c:pt idx="472">
                  <c:v>5.5300000000000002E-3</c:v>
                </c:pt>
                <c:pt idx="473">
                  <c:v>5.3899999999999998E-3</c:v>
                </c:pt>
                <c:pt idx="474">
                  <c:v>5.4299999999999999E-3</c:v>
                </c:pt>
                <c:pt idx="475">
                  <c:v>5.5300000000000002E-3</c:v>
                </c:pt>
                <c:pt idx="476">
                  <c:v>4.9399999999999999E-3</c:v>
                </c:pt>
                <c:pt idx="477">
                  <c:v>4.9399999999999999E-3</c:v>
                </c:pt>
                <c:pt idx="478">
                  <c:v>4.6800000000000001E-3</c:v>
                </c:pt>
                <c:pt idx="479">
                  <c:v>5.3200000000000001E-3</c:v>
                </c:pt>
                <c:pt idx="480">
                  <c:v>5.2100000000000002E-3</c:v>
                </c:pt>
                <c:pt idx="481">
                  <c:v>5.1200000000000004E-3</c:v>
                </c:pt>
                <c:pt idx="482">
                  <c:v>5.2100000000000002E-3</c:v>
                </c:pt>
                <c:pt idx="483">
                  <c:v>5.4000000000000003E-3</c:v>
                </c:pt>
                <c:pt idx="484">
                  <c:v>5.4599999999999996E-3</c:v>
                </c:pt>
                <c:pt idx="485">
                  <c:v>5.3600000000000002E-3</c:v>
                </c:pt>
                <c:pt idx="486">
                  <c:v>5.4799999999999996E-3</c:v>
                </c:pt>
                <c:pt idx="487">
                  <c:v>5.5100000000000001E-3</c:v>
                </c:pt>
                <c:pt idx="488">
                  <c:v>5.5100000000000001E-3</c:v>
                </c:pt>
                <c:pt idx="489">
                  <c:v>5.5199999999999997E-3</c:v>
                </c:pt>
                <c:pt idx="490">
                  <c:v>5.3600000000000002E-3</c:v>
                </c:pt>
                <c:pt idx="491">
                  <c:v>4.8599999999999997E-3</c:v>
                </c:pt>
                <c:pt idx="492">
                  <c:v>5.2199999999999998E-3</c:v>
                </c:pt>
                <c:pt idx="493">
                  <c:v>5.1599999999999997E-3</c:v>
                </c:pt>
                <c:pt idx="494">
                  <c:v>5.7200000000000003E-3</c:v>
                </c:pt>
                <c:pt idx="495">
                  <c:v>5.8100000000000001E-3</c:v>
                </c:pt>
                <c:pt idx="496">
                  <c:v>5.9300000000000004E-3</c:v>
                </c:pt>
                <c:pt idx="497">
                  <c:v>6.1500000000000001E-3</c:v>
                </c:pt>
                <c:pt idx="498">
                  <c:v>6.11E-3</c:v>
                </c:pt>
                <c:pt idx="499">
                  <c:v>6.2899999999999996E-3</c:v>
                </c:pt>
                <c:pt idx="500">
                  <c:v>6.94E-3</c:v>
                </c:pt>
                <c:pt idx="501">
                  <c:v>6.9100000000000003E-3</c:v>
                </c:pt>
                <c:pt idx="502">
                  <c:v>7.4700000000000001E-3</c:v>
                </c:pt>
                <c:pt idx="503">
                  <c:v>7.4799999999999997E-3</c:v>
                </c:pt>
                <c:pt idx="504">
                  <c:v>7.2100000000000003E-3</c:v>
                </c:pt>
                <c:pt idx="505">
                  <c:v>7.1700000000000002E-3</c:v>
                </c:pt>
                <c:pt idx="506">
                  <c:v>7.1199999999999996E-3</c:v>
                </c:pt>
                <c:pt idx="507">
                  <c:v>6.9199999999999999E-3</c:v>
                </c:pt>
                <c:pt idx="508">
                  <c:v>7.0099999999999997E-3</c:v>
                </c:pt>
                <c:pt idx="509">
                  <c:v>6.7200000000000003E-3</c:v>
                </c:pt>
                <c:pt idx="510">
                  <c:v>8.0000000000000002E-3</c:v>
                </c:pt>
                <c:pt idx="511">
                  <c:v>7.43E-3</c:v>
                </c:pt>
                <c:pt idx="512">
                  <c:v>9.7199999999999995E-3</c:v>
                </c:pt>
                <c:pt idx="513">
                  <c:v>1.094E-2</c:v>
                </c:pt>
                <c:pt idx="514">
                  <c:v>1.111E-2</c:v>
                </c:pt>
                <c:pt idx="515">
                  <c:v>1.0500000000000001E-2</c:v>
                </c:pt>
                <c:pt idx="516">
                  <c:v>1.057E-2</c:v>
                </c:pt>
                <c:pt idx="517">
                  <c:v>1.009E-2</c:v>
                </c:pt>
                <c:pt idx="518">
                  <c:v>9.5399999999999999E-3</c:v>
                </c:pt>
                <c:pt idx="519">
                  <c:v>1.031E-2</c:v>
                </c:pt>
                <c:pt idx="520">
                  <c:v>9.9399999999999992E-3</c:v>
                </c:pt>
                <c:pt idx="521">
                  <c:v>1.0840000000000001E-2</c:v>
                </c:pt>
                <c:pt idx="522">
                  <c:v>9.7999999999999997E-3</c:v>
                </c:pt>
                <c:pt idx="523">
                  <c:v>9.8399999999999998E-3</c:v>
                </c:pt>
                <c:pt idx="524">
                  <c:v>9.9500000000000005E-3</c:v>
                </c:pt>
                <c:pt idx="525">
                  <c:v>1.076E-2</c:v>
                </c:pt>
                <c:pt idx="526">
                  <c:v>1.0290000000000001E-2</c:v>
                </c:pt>
                <c:pt idx="527">
                  <c:v>1.125E-2</c:v>
                </c:pt>
                <c:pt idx="528">
                  <c:v>1.1690000000000001E-2</c:v>
                </c:pt>
                <c:pt idx="529">
                  <c:v>1.1780000000000001E-2</c:v>
                </c:pt>
                <c:pt idx="530">
                  <c:v>1.074E-2</c:v>
                </c:pt>
                <c:pt idx="531">
                  <c:v>1.132E-2</c:v>
                </c:pt>
                <c:pt idx="532">
                  <c:v>1.0840000000000001E-2</c:v>
                </c:pt>
                <c:pt idx="533">
                  <c:v>1.155E-2</c:v>
                </c:pt>
                <c:pt idx="534">
                  <c:v>1.1039999999999999E-2</c:v>
                </c:pt>
                <c:pt idx="535">
                  <c:v>1.256E-2</c:v>
                </c:pt>
                <c:pt idx="536">
                  <c:v>1.0880000000000001E-2</c:v>
                </c:pt>
                <c:pt idx="537">
                  <c:v>1.035E-2</c:v>
                </c:pt>
                <c:pt idx="538">
                  <c:v>9.9600000000000001E-3</c:v>
                </c:pt>
                <c:pt idx="539">
                  <c:v>0.01</c:v>
                </c:pt>
                <c:pt idx="540">
                  <c:v>9.0699999999999999E-3</c:v>
                </c:pt>
                <c:pt idx="541">
                  <c:v>9.1400000000000006E-3</c:v>
                </c:pt>
                <c:pt idx="542">
                  <c:v>8.77E-3</c:v>
                </c:pt>
                <c:pt idx="543">
                  <c:v>8.77E-3</c:v>
                </c:pt>
                <c:pt idx="544">
                  <c:v>9.1400000000000006E-3</c:v>
                </c:pt>
                <c:pt idx="545">
                  <c:v>8.9899999999999997E-3</c:v>
                </c:pt>
                <c:pt idx="546">
                  <c:v>9.41E-3</c:v>
                </c:pt>
                <c:pt idx="547">
                  <c:v>9.0900000000000009E-3</c:v>
                </c:pt>
                <c:pt idx="548">
                  <c:v>9.4299999999999991E-3</c:v>
                </c:pt>
                <c:pt idx="549">
                  <c:v>8.7899999999999992E-3</c:v>
                </c:pt>
                <c:pt idx="550">
                  <c:v>1.048E-2</c:v>
                </c:pt>
                <c:pt idx="551">
                  <c:v>1.0869999999999999E-2</c:v>
                </c:pt>
                <c:pt idx="552">
                  <c:v>1.089E-2</c:v>
                </c:pt>
                <c:pt idx="553">
                  <c:v>1.174E-2</c:v>
                </c:pt>
                <c:pt idx="554">
                  <c:v>1.24E-2</c:v>
                </c:pt>
                <c:pt idx="555">
                  <c:v>9.1000000000000004E-3</c:v>
                </c:pt>
                <c:pt idx="556">
                  <c:v>9.6299999999999997E-3</c:v>
                </c:pt>
                <c:pt idx="557">
                  <c:v>8.4799999999999997E-3</c:v>
                </c:pt>
                <c:pt idx="558">
                  <c:v>7.3800000000000003E-3</c:v>
                </c:pt>
                <c:pt idx="559">
                  <c:v>6.7099999999999998E-3</c:v>
                </c:pt>
                <c:pt idx="560">
                  <c:v>6.5799999999999999E-3</c:v>
                </c:pt>
                <c:pt idx="561">
                  <c:v>6.7000000000000002E-3</c:v>
                </c:pt>
                <c:pt idx="562">
                  <c:v>6.8500000000000002E-3</c:v>
                </c:pt>
                <c:pt idx="563">
                  <c:v>6.6600000000000001E-3</c:v>
                </c:pt>
                <c:pt idx="564">
                  <c:v>6.5199999999999998E-3</c:v>
                </c:pt>
                <c:pt idx="565">
                  <c:v>6.94E-3</c:v>
                </c:pt>
                <c:pt idx="566">
                  <c:v>7.1900000000000002E-3</c:v>
                </c:pt>
                <c:pt idx="567">
                  <c:v>6.3699999999999998E-3</c:v>
                </c:pt>
                <c:pt idx="568">
                  <c:v>6.13E-3</c:v>
                </c:pt>
                <c:pt idx="569">
                  <c:v>5.8900000000000003E-3</c:v>
                </c:pt>
                <c:pt idx="570">
                  <c:v>6.0000000000000001E-3</c:v>
                </c:pt>
                <c:pt idx="571">
                  <c:v>5.77E-3</c:v>
                </c:pt>
                <c:pt idx="572">
                  <c:v>6.0899999999999999E-3</c:v>
                </c:pt>
                <c:pt idx="573">
                  <c:v>5.8300000000000001E-3</c:v>
                </c:pt>
                <c:pt idx="574">
                  <c:v>5.62E-3</c:v>
                </c:pt>
                <c:pt idx="575">
                  <c:v>5.7800000000000004E-3</c:v>
                </c:pt>
                <c:pt idx="576">
                  <c:v>5.6699999999999997E-3</c:v>
                </c:pt>
                <c:pt idx="577">
                  <c:v>5.77E-3</c:v>
                </c:pt>
                <c:pt idx="578">
                  <c:v>5.5199999999999997E-3</c:v>
                </c:pt>
                <c:pt idx="579">
                  <c:v>5.3099999999999996E-3</c:v>
                </c:pt>
                <c:pt idx="580">
                  <c:v>5.8399999999999997E-3</c:v>
                </c:pt>
                <c:pt idx="581">
                  <c:v>5.9500000000000004E-3</c:v>
                </c:pt>
                <c:pt idx="582">
                  <c:v>5.9500000000000004E-3</c:v>
                </c:pt>
                <c:pt idx="583">
                  <c:v>6.1900000000000002E-3</c:v>
                </c:pt>
                <c:pt idx="584">
                  <c:v>6.3E-3</c:v>
                </c:pt>
                <c:pt idx="585">
                  <c:v>6.2500000000000003E-3</c:v>
                </c:pt>
                <c:pt idx="586">
                  <c:v>6.2599999999999999E-3</c:v>
                </c:pt>
                <c:pt idx="587">
                  <c:v>6.1900000000000002E-3</c:v>
                </c:pt>
                <c:pt idx="588">
                  <c:v>6.2300000000000003E-3</c:v>
                </c:pt>
                <c:pt idx="589">
                  <c:v>6.5900000000000004E-3</c:v>
                </c:pt>
                <c:pt idx="590">
                  <c:v>6.6400000000000001E-3</c:v>
                </c:pt>
                <c:pt idx="591">
                  <c:v>5.62E-3</c:v>
                </c:pt>
                <c:pt idx="592">
                  <c:v>5.8500000000000002E-3</c:v>
                </c:pt>
                <c:pt idx="593">
                  <c:v>5.3400000000000001E-3</c:v>
                </c:pt>
                <c:pt idx="594">
                  <c:v>4.9899999999999996E-3</c:v>
                </c:pt>
                <c:pt idx="595">
                  <c:v>4.7999999999999996E-3</c:v>
                </c:pt>
                <c:pt idx="596">
                  <c:v>5.5700000000000003E-3</c:v>
                </c:pt>
                <c:pt idx="597">
                  <c:v>5.5799999999999999E-3</c:v>
                </c:pt>
                <c:pt idx="598">
                  <c:v>5.3699999999999998E-3</c:v>
                </c:pt>
                <c:pt idx="599">
                  <c:v>5.4099999999999999E-3</c:v>
                </c:pt>
                <c:pt idx="600">
                  <c:v>5.5500000000000002E-3</c:v>
                </c:pt>
                <c:pt idx="601">
                  <c:v>5.1200000000000004E-3</c:v>
                </c:pt>
                <c:pt idx="602">
                  <c:v>5.6100000000000004E-3</c:v>
                </c:pt>
                <c:pt idx="603">
                  <c:v>4.9100000000000003E-3</c:v>
                </c:pt>
                <c:pt idx="604">
                  <c:v>4.8199999999999996E-3</c:v>
                </c:pt>
                <c:pt idx="605">
                  <c:v>4.7699999999999999E-3</c:v>
                </c:pt>
                <c:pt idx="606">
                  <c:v>4.6499999999999996E-3</c:v>
                </c:pt>
                <c:pt idx="607">
                  <c:v>4.9300000000000004E-3</c:v>
                </c:pt>
                <c:pt idx="608">
                  <c:v>4.8900000000000002E-3</c:v>
                </c:pt>
                <c:pt idx="609">
                  <c:v>4.6899999999999997E-3</c:v>
                </c:pt>
                <c:pt idx="610">
                  <c:v>4.81E-3</c:v>
                </c:pt>
                <c:pt idx="611">
                  <c:v>4.9500000000000004E-3</c:v>
                </c:pt>
                <c:pt idx="612">
                  <c:v>5.3899999999999998E-3</c:v>
                </c:pt>
                <c:pt idx="613">
                  <c:v>4.6800000000000001E-3</c:v>
                </c:pt>
                <c:pt idx="614">
                  <c:v>4.4600000000000004E-3</c:v>
                </c:pt>
                <c:pt idx="615">
                  <c:v>4.2700000000000004E-3</c:v>
                </c:pt>
                <c:pt idx="616">
                  <c:v>3.8500000000000001E-3</c:v>
                </c:pt>
                <c:pt idx="617">
                  <c:v>3.79E-3</c:v>
                </c:pt>
                <c:pt idx="618">
                  <c:v>3.8500000000000001E-3</c:v>
                </c:pt>
                <c:pt idx="619">
                  <c:v>3.9199999999999999E-3</c:v>
                </c:pt>
                <c:pt idx="620">
                  <c:v>3.79E-3</c:v>
                </c:pt>
                <c:pt idx="621">
                  <c:v>3.96E-3</c:v>
                </c:pt>
                <c:pt idx="622">
                  <c:v>3.63E-3</c:v>
                </c:pt>
                <c:pt idx="623">
                  <c:v>3.7200000000000002E-3</c:v>
                </c:pt>
                <c:pt idx="624">
                  <c:v>3.5699999999999998E-3</c:v>
                </c:pt>
                <c:pt idx="625">
                  <c:v>3.5500000000000002E-3</c:v>
                </c:pt>
                <c:pt idx="626">
                  <c:v>3.5500000000000002E-3</c:v>
                </c:pt>
                <c:pt idx="627">
                  <c:v>3.5200000000000001E-3</c:v>
                </c:pt>
                <c:pt idx="628">
                  <c:v>3.8999999999999998E-3</c:v>
                </c:pt>
                <c:pt idx="629">
                  <c:v>3.9500000000000004E-3</c:v>
                </c:pt>
                <c:pt idx="630">
                  <c:v>3.7499999999999999E-3</c:v>
                </c:pt>
                <c:pt idx="631">
                  <c:v>3.8700000000000002E-3</c:v>
                </c:pt>
                <c:pt idx="632">
                  <c:v>3.8999999999999998E-3</c:v>
                </c:pt>
                <c:pt idx="633">
                  <c:v>3.81E-3</c:v>
                </c:pt>
                <c:pt idx="634">
                  <c:v>3.8899999999999998E-3</c:v>
                </c:pt>
                <c:pt idx="635">
                  <c:v>3.9500000000000004E-3</c:v>
                </c:pt>
                <c:pt idx="636">
                  <c:v>3.9300000000000003E-3</c:v>
                </c:pt>
                <c:pt idx="637">
                  <c:v>3.7699999999999999E-3</c:v>
                </c:pt>
                <c:pt idx="638">
                  <c:v>3.96E-3</c:v>
                </c:pt>
                <c:pt idx="639">
                  <c:v>3.8999999999999998E-3</c:v>
                </c:pt>
                <c:pt idx="640">
                  <c:v>3.9100000000000003E-3</c:v>
                </c:pt>
                <c:pt idx="641">
                  <c:v>3.8400000000000001E-3</c:v>
                </c:pt>
                <c:pt idx="642">
                  <c:v>3.7399999999999998E-3</c:v>
                </c:pt>
                <c:pt idx="643">
                  <c:v>3.7000000000000002E-3</c:v>
                </c:pt>
                <c:pt idx="644">
                  <c:v>3.5400000000000002E-3</c:v>
                </c:pt>
                <c:pt idx="645">
                  <c:v>3.5500000000000002E-3</c:v>
                </c:pt>
                <c:pt idx="646">
                  <c:v>3.3899999999999998E-3</c:v>
                </c:pt>
                <c:pt idx="647">
                  <c:v>3.3700000000000002E-3</c:v>
                </c:pt>
                <c:pt idx="648">
                  <c:v>3.65E-3</c:v>
                </c:pt>
                <c:pt idx="649">
                  <c:v>3.82E-3</c:v>
                </c:pt>
                <c:pt idx="650">
                  <c:v>3.5999999999999999E-3</c:v>
                </c:pt>
                <c:pt idx="651">
                  <c:v>3.6099999999999999E-3</c:v>
                </c:pt>
                <c:pt idx="652">
                  <c:v>3.4499999999999999E-3</c:v>
                </c:pt>
                <c:pt idx="653">
                  <c:v>3.8700000000000002E-3</c:v>
                </c:pt>
                <c:pt idx="654">
                  <c:v>3.8E-3</c:v>
                </c:pt>
                <c:pt idx="655">
                  <c:v>3.5200000000000001E-3</c:v>
                </c:pt>
                <c:pt idx="656">
                  <c:v>3.46E-3</c:v>
                </c:pt>
                <c:pt idx="657">
                  <c:v>3.49E-3</c:v>
                </c:pt>
                <c:pt idx="658">
                  <c:v>3.8600000000000001E-3</c:v>
                </c:pt>
                <c:pt idx="659">
                  <c:v>3.96E-3</c:v>
                </c:pt>
                <c:pt idx="660">
                  <c:v>3.6800000000000001E-3</c:v>
                </c:pt>
                <c:pt idx="661">
                  <c:v>3.8800000000000002E-3</c:v>
                </c:pt>
                <c:pt idx="662">
                  <c:v>3.46E-3</c:v>
                </c:pt>
                <c:pt idx="663">
                  <c:v>3.5000000000000001E-3</c:v>
                </c:pt>
                <c:pt idx="664">
                  <c:v>3.3999999999999998E-3</c:v>
                </c:pt>
                <c:pt idx="665">
                  <c:v>3.5100000000000001E-3</c:v>
                </c:pt>
                <c:pt idx="666">
                  <c:v>3.4399999999999999E-3</c:v>
                </c:pt>
                <c:pt idx="667">
                  <c:v>3.3500000000000001E-3</c:v>
                </c:pt>
                <c:pt idx="668">
                  <c:v>3.14E-3</c:v>
                </c:pt>
                <c:pt idx="669">
                  <c:v>2.97E-3</c:v>
                </c:pt>
                <c:pt idx="670">
                  <c:v>3.15E-3</c:v>
                </c:pt>
                <c:pt idx="671">
                  <c:v>3.31E-3</c:v>
                </c:pt>
                <c:pt idx="672">
                  <c:v>3.4299999999999999E-3</c:v>
                </c:pt>
                <c:pt idx="673">
                  <c:v>3.3600000000000001E-3</c:v>
                </c:pt>
                <c:pt idx="674">
                  <c:v>3.2399999999999998E-3</c:v>
                </c:pt>
                <c:pt idx="675">
                  <c:v>3.1900000000000001E-3</c:v>
                </c:pt>
                <c:pt idx="676">
                  <c:v>2.9499999999999999E-3</c:v>
                </c:pt>
                <c:pt idx="677">
                  <c:v>3.2699999999999999E-3</c:v>
                </c:pt>
                <c:pt idx="678">
                  <c:v>3.29E-3</c:v>
                </c:pt>
                <c:pt idx="679">
                  <c:v>3.5400000000000002E-3</c:v>
                </c:pt>
                <c:pt idx="680">
                  <c:v>2.8700000000000002E-3</c:v>
                </c:pt>
                <c:pt idx="681">
                  <c:v>2.8500000000000001E-3</c:v>
                </c:pt>
                <c:pt idx="682">
                  <c:v>2.81E-3</c:v>
                </c:pt>
                <c:pt idx="683">
                  <c:v>3.0599999999999998E-3</c:v>
                </c:pt>
                <c:pt idx="684">
                  <c:v>2.97E-3</c:v>
                </c:pt>
                <c:pt idx="685">
                  <c:v>3.1099999999999999E-3</c:v>
                </c:pt>
                <c:pt idx="686">
                  <c:v>2.8E-3</c:v>
                </c:pt>
                <c:pt idx="687">
                  <c:v>6.0000000000000001E-3</c:v>
                </c:pt>
                <c:pt idx="688">
                  <c:v>6.13E-3</c:v>
                </c:pt>
                <c:pt idx="689">
                  <c:v>6.0899999999999999E-3</c:v>
                </c:pt>
                <c:pt idx="690">
                  <c:v>5.8399999999999997E-3</c:v>
                </c:pt>
                <c:pt idx="691">
                  <c:v>6.9800000000000001E-3</c:v>
                </c:pt>
                <c:pt idx="692">
                  <c:v>7.3899999999999999E-3</c:v>
                </c:pt>
                <c:pt idx="693">
                  <c:v>7.0299999999999998E-3</c:v>
                </c:pt>
                <c:pt idx="694">
                  <c:v>6.7400000000000003E-3</c:v>
                </c:pt>
                <c:pt idx="695">
                  <c:v>6.6499999999999997E-3</c:v>
                </c:pt>
                <c:pt idx="696">
                  <c:v>6.6600000000000001E-3</c:v>
                </c:pt>
                <c:pt idx="697">
                  <c:v>6.2399999999999999E-3</c:v>
                </c:pt>
                <c:pt idx="698">
                  <c:v>6.3600000000000002E-3</c:v>
                </c:pt>
                <c:pt idx="699">
                  <c:v>6.5799999999999999E-3</c:v>
                </c:pt>
                <c:pt idx="700">
                  <c:v>6.6699999999999997E-3</c:v>
                </c:pt>
                <c:pt idx="701">
                  <c:v>6.4900000000000001E-3</c:v>
                </c:pt>
                <c:pt idx="702">
                  <c:v>7.43E-3</c:v>
                </c:pt>
                <c:pt idx="703">
                  <c:v>8.09E-3</c:v>
                </c:pt>
                <c:pt idx="704">
                  <c:v>8.4499999999999992E-3</c:v>
                </c:pt>
                <c:pt idx="705">
                  <c:v>8.3999999999999995E-3</c:v>
                </c:pt>
                <c:pt idx="706">
                  <c:v>8.4100000000000008E-3</c:v>
                </c:pt>
                <c:pt idx="707">
                  <c:v>8.2000000000000007E-3</c:v>
                </c:pt>
                <c:pt idx="708">
                  <c:v>8.4799999999999997E-3</c:v>
                </c:pt>
                <c:pt idx="709">
                  <c:v>9.3799999999999994E-3</c:v>
                </c:pt>
                <c:pt idx="710">
                  <c:v>9.0600000000000003E-3</c:v>
                </c:pt>
                <c:pt idx="711">
                  <c:v>9.4400000000000005E-3</c:v>
                </c:pt>
                <c:pt idx="712">
                  <c:v>1.013E-2</c:v>
                </c:pt>
                <c:pt idx="713">
                  <c:v>1.146E-2</c:v>
                </c:pt>
                <c:pt idx="714">
                  <c:v>1.1560000000000001E-2</c:v>
                </c:pt>
                <c:pt idx="715">
                  <c:v>1.082E-2</c:v>
                </c:pt>
                <c:pt idx="716">
                  <c:v>9.5399999999999999E-3</c:v>
                </c:pt>
                <c:pt idx="717">
                  <c:v>9.6500000000000006E-3</c:v>
                </c:pt>
                <c:pt idx="718">
                  <c:v>9.7300000000000008E-3</c:v>
                </c:pt>
                <c:pt idx="719">
                  <c:v>9.2499999999999995E-3</c:v>
                </c:pt>
                <c:pt idx="720">
                  <c:v>9.8799999999999999E-3</c:v>
                </c:pt>
                <c:pt idx="721">
                  <c:v>9.6399999999999993E-3</c:v>
                </c:pt>
                <c:pt idx="722">
                  <c:v>8.3899999999999999E-3</c:v>
                </c:pt>
                <c:pt idx="723">
                  <c:v>8.3700000000000007E-3</c:v>
                </c:pt>
                <c:pt idx="724">
                  <c:v>7.92E-3</c:v>
                </c:pt>
                <c:pt idx="725">
                  <c:v>7.9900000000000006E-3</c:v>
                </c:pt>
                <c:pt idx="726">
                  <c:v>7.92E-3</c:v>
                </c:pt>
                <c:pt idx="727">
                  <c:v>7.9399999999999991E-3</c:v>
                </c:pt>
                <c:pt idx="728">
                  <c:v>7.4200000000000004E-3</c:v>
                </c:pt>
                <c:pt idx="729">
                  <c:v>7.6400000000000001E-3</c:v>
                </c:pt>
                <c:pt idx="730">
                  <c:v>7.7600000000000004E-3</c:v>
                </c:pt>
                <c:pt idx="731">
                  <c:v>7.8100000000000001E-3</c:v>
                </c:pt>
                <c:pt idx="732">
                  <c:v>8.1300000000000001E-3</c:v>
                </c:pt>
                <c:pt idx="733">
                  <c:v>7.4200000000000004E-3</c:v>
                </c:pt>
                <c:pt idx="734">
                  <c:v>7.28E-3</c:v>
                </c:pt>
                <c:pt idx="735">
                  <c:v>7.3400000000000002E-3</c:v>
                </c:pt>
                <c:pt idx="736">
                  <c:v>7.6699999999999997E-3</c:v>
                </c:pt>
                <c:pt idx="737">
                  <c:v>7.2700000000000004E-3</c:v>
                </c:pt>
                <c:pt idx="738">
                  <c:v>6.9199999999999999E-3</c:v>
                </c:pt>
                <c:pt idx="739">
                  <c:v>7.0400000000000003E-3</c:v>
                </c:pt>
                <c:pt idx="740">
                  <c:v>7.3200000000000001E-3</c:v>
                </c:pt>
                <c:pt idx="741">
                  <c:v>7.2300000000000003E-3</c:v>
                </c:pt>
                <c:pt idx="742">
                  <c:v>7.1599999999999997E-3</c:v>
                </c:pt>
                <c:pt idx="743">
                  <c:v>7.1500000000000001E-3</c:v>
                </c:pt>
                <c:pt idx="744">
                  <c:v>6.79E-3</c:v>
                </c:pt>
                <c:pt idx="745">
                  <c:v>6.6899999999999998E-3</c:v>
                </c:pt>
                <c:pt idx="746">
                  <c:v>6.7099999999999998E-3</c:v>
                </c:pt>
                <c:pt idx="747">
                  <c:v>6.6899999999999998E-3</c:v>
                </c:pt>
                <c:pt idx="748">
                  <c:v>6.5500000000000003E-3</c:v>
                </c:pt>
                <c:pt idx="749">
                  <c:v>6.6400000000000001E-3</c:v>
                </c:pt>
                <c:pt idx="750">
                  <c:v>6.7799999999999996E-3</c:v>
                </c:pt>
                <c:pt idx="751">
                  <c:v>7.0499999999999998E-3</c:v>
                </c:pt>
                <c:pt idx="752">
                  <c:v>7.4099999999999999E-3</c:v>
                </c:pt>
                <c:pt idx="753">
                  <c:v>7.3400000000000002E-3</c:v>
                </c:pt>
                <c:pt idx="754">
                  <c:v>7.28E-3</c:v>
                </c:pt>
                <c:pt idx="755">
                  <c:v>7.3899999999999999E-3</c:v>
                </c:pt>
                <c:pt idx="756">
                  <c:v>6.9899999999999997E-3</c:v>
                </c:pt>
                <c:pt idx="757">
                  <c:v>7.5700000000000003E-3</c:v>
                </c:pt>
                <c:pt idx="758">
                  <c:v>7.0699999999999999E-3</c:v>
                </c:pt>
                <c:pt idx="759">
                  <c:v>7.4200000000000004E-3</c:v>
                </c:pt>
                <c:pt idx="760">
                  <c:v>7.4000000000000003E-3</c:v>
                </c:pt>
                <c:pt idx="761">
                  <c:v>7.7499999999999999E-3</c:v>
                </c:pt>
                <c:pt idx="762">
                  <c:v>7.8200000000000006E-3</c:v>
                </c:pt>
                <c:pt idx="763">
                  <c:v>7.9299999999999995E-3</c:v>
                </c:pt>
                <c:pt idx="764">
                  <c:v>8.3199999999999993E-3</c:v>
                </c:pt>
                <c:pt idx="765">
                  <c:v>8.4399999999999996E-3</c:v>
                </c:pt>
                <c:pt idx="766">
                  <c:v>8.3700000000000007E-3</c:v>
                </c:pt>
                <c:pt idx="767">
                  <c:v>9.0699999999999999E-3</c:v>
                </c:pt>
                <c:pt idx="768">
                  <c:v>8.6599999999999993E-3</c:v>
                </c:pt>
                <c:pt idx="769">
                  <c:v>8.6599999999999993E-3</c:v>
                </c:pt>
                <c:pt idx="770">
                  <c:v>8.9300000000000004E-3</c:v>
                </c:pt>
                <c:pt idx="771">
                  <c:v>8.7200000000000003E-3</c:v>
                </c:pt>
                <c:pt idx="772">
                  <c:v>7.7400000000000004E-3</c:v>
                </c:pt>
                <c:pt idx="773">
                  <c:v>8.9800000000000001E-3</c:v>
                </c:pt>
                <c:pt idx="774">
                  <c:v>9.5999999999999992E-3</c:v>
                </c:pt>
                <c:pt idx="775">
                  <c:v>9.1299999999999992E-3</c:v>
                </c:pt>
                <c:pt idx="776">
                  <c:v>9.41E-3</c:v>
                </c:pt>
                <c:pt idx="777">
                  <c:v>9.2200000000000008E-3</c:v>
                </c:pt>
                <c:pt idx="778">
                  <c:v>9.8499999999999994E-3</c:v>
                </c:pt>
                <c:pt idx="779">
                  <c:v>9.2399999999999999E-3</c:v>
                </c:pt>
                <c:pt idx="780">
                  <c:v>9.6299999999999997E-3</c:v>
                </c:pt>
                <c:pt idx="781">
                  <c:v>1.0059999999999999E-2</c:v>
                </c:pt>
                <c:pt idx="782">
                  <c:v>9.4900000000000002E-3</c:v>
                </c:pt>
                <c:pt idx="783">
                  <c:v>9.1000000000000004E-3</c:v>
                </c:pt>
                <c:pt idx="784">
                  <c:v>8.7299999999999999E-3</c:v>
                </c:pt>
                <c:pt idx="785">
                  <c:v>8.8400000000000006E-3</c:v>
                </c:pt>
                <c:pt idx="786">
                  <c:v>9.1999999999999998E-3</c:v>
                </c:pt>
                <c:pt idx="787">
                  <c:v>8.9899999999999997E-3</c:v>
                </c:pt>
                <c:pt idx="788">
                  <c:v>9.1599999999999997E-3</c:v>
                </c:pt>
                <c:pt idx="789">
                  <c:v>9.4299999999999991E-3</c:v>
                </c:pt>
                <c:pt idx="790">
                  <c:v>9.7699999999999992E-3</c:v>
                </c:pt>
                <c:pt idx="791">
                  <c:v>9.5200000000000007E-3</c:v>
                </c:pt>
                <c:pt idx="792">
                  <c:v>9.6200000000000001E-3</c:v>
                </c:pt>
                <c:pt idx="793">
                  <c:v>9.5700000000000004E-3</c:v>
                </c:pt>
                <c:pt idx="794">
                  <c:v>9.6500000000000006E-3</c:v>
                </c:pt>
                <c:pt idx="795">
                  <c:v>8.5599999999999999E-3</c:v>
                </c:pt>
                <c:pt idx="796">
                  <c:v>9.3699999999999999E-3</c:v>
                </c:pt>
                <c:pt idx="797">
                  <c:v>9.2499999999999995E-3</c:v>
                </c:pt>
                <c:pt idx="798">
                  <c:v>0.01</c:v>
                </c:pt>
                <c:pt idx="799">
                  <c:v>1.102E-2</c:v>
                </c:pt>
                <c:pt idx="800">
                  <c:v>1.12E-2</c:v>
                </c:pt>
                <c:pt idx="801">
                  <c:v>1.116E-2</c:v>
                </c:pt>
                <c:pt idx="802">
                  <c:v>1.204E-2</c:v>
                </c:pt>
                <c:pt idx="803">
                  <c:v>1.222E-2</c:v>
                </c:pt>
                <c:pt idx="804">
                  <c:v>1.1610000000000001E-2</c:v>
                </c:pt>
                <c:pt idx="805">
                  <c:v>1.171E-2</c:v>
                </c:pt>
                <c:pt idx="806">
                  <c:v>1.201E-2</c:v>
                </c:pt>
                <c:pt idx="807">
                  <c:v>1.21E-2</c:v>
                </c:pt>
                <c:pt idx="808">
                  <c:v>1.217E-2</c:v>
                </c:pt>
                <c:pt idx="809">
                  <c:v>1.256E-2</c:v>
                </c:pt>
                <c:pt idx="810">
                  <c:v>1.227E-2</c:v>
                </c:pt>
                <c:pt idx="811">
                  <c:v>1.2319999999999999E-2</c:v>
                </c:pt>
                <c:pt idx="812">
                  <c:v>1.299E-2</c:v>
                </c:pt>
                <c:pt idx="813">
                  <c:v>1.321E-2</c:v>
                </c:pt>
                <c:pt idx="814">
                  <c:v>1.3129999999999999E-2</c:v>
                </c:pt>
                <c:pt idx="815">
                  <c:v>1.3010000000000001E-2</c:v>
                </c:pt>
                <c:pt idx="816">
                  <c:v>1.277E-2</c:v>
                </c:pt>
                <c:pt idx="817">
                  <c:v>1.281E-2</c:v>
                </c:pt>
                <c:pt idx="818">
                  <c:v>1.3140000000000001E-2</c:v>
                </c:pt>
                <c:pt idx="819">
                  <c:v>1.312E-2</c:v>
                </c:pt>
                <c:pt idx="820">
                  <c:v>1.3690000000000001E-2</c:v>
                </c:pt>
                <c:pt idx="821">
                  <c:v>1.3299999999999999E-2</c:v>
                </c:pt>
                <c:pt idx="822">
                  <c:v>1.3010000000000001E-2</c:v>
                </c:pt>
                <c:pt idx="823">
                  <c:v>1.2999999999999999E-2</c:v>
                </c:pt>
                <c:pt idx="824">
                  <c:v>1.2449999999999999E-2</c:v>
                </c:pt>
                <c:pt idx="825">
                  <c:v>1.2800000000000001E-2</c:v>
                </c:pt>
                <c:pt idx="826">
                  <c:v>1.196E-2</c:v>
                </c:pt>
                <c:pt idx="827">
                  <c:v>1.175E-2</c:v>
                </c:pt>
                <c:pt idx="828">
                  <c:v>1.223E-2</c:v>
                </c:pt>
                <c:pt idx="829">
                  <c:v>1.2800000000000001E-2</c:v>
                </c:pt>
                <c:pt idx="830">
                  <c:v>1.235E-2</c:v>
                </c:pt>
                <c:pt idx="831">
                  <c:v>1.23E-2</c:v>
                </c:pt>
                <c:pt idx="832">
                  <c:v>1.24E-2</c:v>
                </c:pt>
                <c:pt idx="833">
                  <c:v>1.2670000000000001E-2</c:v>
                </c:pt>
                <c:pt idx="834">
                  <c:v>1.247E-2</c:v>
                </c:pt>
                <c:pt idx="835">
                  <c:v>1.3100000000000001E-2</c:v>
                </c:pt>
                <c:pt idx="836">
                  <c:v>1.3180000000000001E-2</c:v>
                </c:pt>
                <c:pt idx="837">
                  <c:v>1.32E-2</c:v>
                </c:pt>
                <c:pt idx="838">
                  <c:v>1.355E-2</c:v>
                </c:pt>
                <c:pt idx="839">
                  <c:v>1.3559999999999999E-2</c:v>
                </c:pt>
                <c:pt idx="840">
                  <c:v>1.346E-2</c:v>
                </c:pt>
                <c:pt idx="841">
                  <c:v>1.3520000000000001E-2</c:v>
                </c:pt>
                <c:pt idx="842">
                  <c:v>1.375E-2</c:v>
                </c:pt>
                <c:pt idx="843">
                  <c:v>1.353E-2</c:v>
                </c:pt>
                <c:pt idx="844">
                  <c:v>1.321E-2</c:v>
                </c:pt>
                <c:pt idx="845">
                  <c:v>1.336E-2</c:v>
                </c:pt>
                <c:pt idx="846">
                  <c:v>1.328E-2</c:v>
                </c:pt>
                <c:pt idx="847">
                  <c:v>1.337E-2</c:v>
                </c:pt>
                <c:pt idx="848">
                  <c:v>1.375E-2</c:v>
                </c:pt>
                <c:pt idx="849">
                  <c:v>1.26E-2</c:v>
                </c:pt>
                <c:pt idx="850">
                  <c:v>1.2919999999999999E-2</c:v>
                </c:pt>
                <c:pt idx="851">
                  <c:v>1.23E-2</c:v>
                </c:pt>
                <c:pt idx="852">
                  <c:v>1.3129999999999999E-2</c:v>
                </c:pt>
                <c:pt idx="853">
                  <c:v>1.32E-2</c:v>
                </c:pt>
                <c:pt idx="854">
                  <c:v>1.167E-2</c:v>
                </c:pt>
                <c:pt idx="855">
                  <c:v>1.217E-2</c:v>
                </c:pt>
                <c:pt idx="856">
                  <c:v>1.2070000000000001E-2</c:v>
                </c:pt>
                <c:pt idx="857">
                  <c:v>1.5709999999999998E-2</c:v>
                </c:pt>
                <c:pt idx="858">
                  <c:v>1.5129999999999999E-2</c:v>
                </c:pt>
                <c:pt idx="859">
                  <c:v>1.5010000000000001E-2</c:v>
                </c:pt>
                <c:pt idx="860">
                  <c:v>1.511E-2</c:v>
                </c:pt>
                <c:pt idx="861">
                  <c:v>1.4999999999999999E-2</c:v>
                </c:pt>
                <c:pt idx="862">
                  <c:v>1.558E-2</c:v>
                </c:pt>
                <c:pt idx="863">
                  <c:v>1.537E-2</c:v>
                </c:pt>
                <c:pt idx="864">
                  <c:v>1.499E-2</c:v>
                </c:pt>
                <c:pt idx="865">
                  <c:v>1.5800000000000002E-2</c:v>
                </c:pt>
                <c:pt idx="866">
                  <c:v>1.5599999999999999E-2</c:v>
                </c:pt>
                <c:pt idx="867">
                  <c:v>1.5469999999999999E-2</c:v>
                </c:pt>
                <c:pt idx="868">
                  <c:v>1.5720000000000001E-2</c:v>
                </c:pt>
                <c:pt idx="869">
                  <c:v>1.5970000000000002E-2</c:v>
                </c:pt>
                <c:pt idx="870">
                  <c:v>1.736E-2</c:v>
                </c:pt>
                <c:pt idx="871">
                  <c:v>1.6969999999999999E-2</c:v>
                </c:pt>
                <c:pt idx="872">
                  <c:v>1.7139999999999999E-2</c:v>
                </c:pt>
                <c:pt idx="873">
                  <c:v>1.6750000000000001E-2</c:v>
                </c:pt>
                <c:pt idx="874">
                  <c:v>1.6500000000000001E-2</c:v>
                </c:pt>
                <c:pt idx="875">
                  <c:v>1.7749999999999998E-2</c:v>
                </c:pt>
                <c:pt idx="876">
                  <c:v>1.7579999999999998E-2</c:v>
                </c:pt>
                <c:pt idx="877">
                  <c:v>1.89E-2</c:v>
                </c:pt>
                <c:pt idx="878">
                  <c:v>1.711E-2</c:v>
                </c:pt>
                <c:pt idx="879">
                  <c:v>1.7430000000000001E-2</c:v>
                </c:pt>
                <c:pt idx="880">
                  <c:v>1.8020000000000001E-2</c:v>
                </c:pt>
                <c:pt idx="881">
                  <c:v>1.8200000000000001E-2</c:v>
                </c:pt>
                <c:pt idx="882">
                  <c:v>1.787E-2</c:v>
                </c:pt>
                <c:pt idx="883">
                  <c:v>1.8360000000000001E-2</c:v>
                </c:pt>
                <c:pt idx="884">
                  <c:v>2.1649999999999999E-2</c:v>
                </c:pt>
                <c:pt idx="885">
                  <c:v>2.1919999999999999E-2</c:v>
                </c:pt>
                <c:pt idx="886">
                  <c:v>2.2710000000000001E-2</c:v>
                </c:pt>
                <c:pt idx="887">
                  <c:v>2.5989999999999999E-2</c:v>
                </c:pt>
                <c:pt idx="888">
                  <c:v>2.1180000000000001E-2</c:v>
                </c:pt>
                <c:pt idx="889">
                  <c:v>1.993E-2</c:v>
                </c:pt>
                <c:pt idx="890">
                  <c:v>1.8780000000000002E-2</c:v>
                </c:pt>
                <c:pt idx="891">
                  <c:v>1.9130000000000001E-2</c:v>
                </c:pt>
                <c:pt idx="892">
                  <c:v>1.9699999999999999E-2</c:v>
                </c:pt>
                <c:pt idx="893">
                  <c:v>1.984E-2</c:v>
                </c:pt>
                <c:pt idx="894">
                  <c:v>1.8780000000000002E-2</c:v>
                </c:pt>
                <c:pt idx="895">
                  <c:v>1.8509999999999999E-2</c:v>
                </c:pt>
                <c:pt idx="896">
                  <c:v>1.9560000000000001E-2</c:v>
                </c:pt>
                <c:pt idx="897">
                  <c:v>1.7639999999999999E-2</c:v>
                </c:pt>
                <c:pt idx="898">
                  <c:v>2.06E-2</c:v>
                </c:pt>
                <c:pt idx="899">
                  <c:v>2.053E-2</c:v>
                </c:pt>
                <c:pt idx="900">
                  <c:v>1.9949999999999999E-2</c:v>
                </c:pt>
                <c:pt idx="901">
                  <c:v>1.924E-2</c:v>
                </c:pt>
                <c:pt idx="902">
                  <c:v>1.866E-2</c:v>
                </c:pt>
                <c:pt idx="903">
                  <c:v>2.087E-2</c:v>
                </c:pt>
                <c:pt idx="904">
                  <c:v>2.0449999999999999E-2</c:v>
                </c:pt>
                <c:pt idx="905">
                  <c:v>2.181E-2</c:v>
                </c:pt>
                <c:pt idx="906">
                  <c:v>2.0279999999999999E-2</c:v>
                </c:pt>
                <c:pt idx="907">
                  <c:v>2.0990000000000002E-2</c:v>
                </c:pt>
                <c:pt idx="908">
                  <c:v>2.2159999999999999E-2</c:v>
                </c:pt>
                <c:pt idx="909">
                  <c:v>2.307E-2</c:v>
                </c:pt>
                <c:pt idx="910">
                  <c:v>2.2700000000000001E-2</c:v>
                </c:pt>
                <c:pt idx="911">
                  <c:v>2.5000000000000001E-2</c:v>
                </c:pt>
                <c:pt idx="912">
                  <c:v>2.528E-2</c:v>
                </c:pt>
                <c:pt idx="913">
                  <c:v>2.545E-2</c:v>
                </c:pt>
                <c:pt idx="914">
                  <c:v>2.5090000000000001E-2</c:v>
                </c:pt>
                <c:pt idx="915">
                  <c:v>2.5919999999999999E-2</c:v>
                </c:pt>
                <c:pt idx="916">
                  <c:v>2.6980000000000001E-2</c:v>
                </c:pt>
                <c:pt idx="917">
                  <c:v>2.8000000000000001E-2</c:v>
                </c:pt>
                <c:pt idx="918">
                  <c:v>2.6030000000000001E-2</c:v>
                </c:pt>
                <c:pt idx="919">
                  <c:v>2.546E-2</c:v>
                </c:pt>
                <c:pt idx="920">
                  <c:v>2.665E-2</c:v>
                </c:pt>
                <c:pt idx="921">
                  <c:v>2.7E-2</c:v>
                </c:pt>
                <c:pt idx="922">
                  <c:v>2.7470000000000001E-2</c:v>
                </c:pt>
                <c:pt idx="923">
                  <c:v>2.6499999999999999E-2</c:v>
                </c:pt>
                <c:pt idx="924">
                  <c:v>2.6610000000000002E-2</c:v>
                </c:pt>
                <c:pt idx="925">
                  <c:v>2.6190000000000001E-2</c:v>
                </c:pt>
                <c:pt idx="926">
                  <c:v>2.4889999999999999E-2</c:v>
                </c:pt>
                <c:pt idx="927">
                  <c:v>2.8899999999999999E-2</c:v>
                </c:pt>
                <c:pt idx="928">
                  <c:v>2.9409999999999999E-2</c:v>
                </c:pt>
                <c:pt idx="929">
                  <c:v>3.5119999999999998E-2</c:v>
                </c:pt>
                <c:pt idx="930">
                  <c:v>3.4860000000000002E-2</c:v>
                </c:pt>
                <c:pt idx="931">
                  <c:v>3.4569999999999997E-2</c:v>
                </c:pt>
                <c:pt idx="932">
                  <c:v>3.5970000000000002E-2</c:v>
                </c:pt>
                <c:pt idx="933">
                  <c:v>3.8089999999999999E-2</c:v>
                </c:pt>
                <c:pt idx="934">
                  <c:v>3.7850000000000002E-2</c:v>
                </c:pt>
                <c:pt idx="935">
                  <c:v>4.0160000000000001E-2</c:v>
                </c:pt>
                <c:pt idx="936">
                  <c:v>3.8519999999999999E-2</c:v>
                </c:pt>
                <c:pt idx="937">
                  <c:v>3.8949999999999999E-2</c:v>
                </c:pt>
                <c:pt idx="938">
                  <c:v>4.0750000000000001E-2</c:v>
                </c:pt>
                <c:pt idx="939">
                  <c:v>4.1919999999999999E-2</c:v>
                </c:pt>
                <c:pt idx="940">
                  <c:v>3.9059999999999997E-2</c:v>
                </c:pt>
                <c:pt idx="941">
                  <c:v>3.9879999999999999E-2</c:v>
                </c:pt>
                <c:pt idx="942">
                  <c:v>4.0599999999999997E-2</c:v>
                </c:pt>
                <c:pt idx="943">
                  <c:v>4.2689999999999999E-2</c:v>
                </c:pt>
                <c:pt idx="944">
                  <c:v>3.9370000000000002E-2</c:v>
                </c:pt>
                <c:pt idx="945">
                  <c:v>3.85E-2</c:v>
                </c:pt>
                <c:pt idx="946">
                  <c:v>4.1770000000000002E-2</c:v>
                </c:pt>
                <c:pt idx="947">
                  <c:v>4.5789999999999997E-2</c:v>
                </c:pt>
                <c:pt idx="948">
                  <c:v>4.7079999999999997E-2</c:v>
                </c:pt>
                <c:pt idx="949">
                  <c:v>4.573E-2</c:v>
                </c:pt>
                <c:pt idx="950">
                  <c:v>4.65E-2</c:v>
                </c:pt>
                <c:pt idx="951">
                  <c:v>4.6420000000000003E-2</c:v>
                </c:pt>
                <c:pt idx="952">
                  <c:v>4.7820000000000001E-2</c:v>
                </c:pt>
                <c:pt idx="953">
                  <c:v>5.45E-2</c:v>
                </c:pt>
                <c:pt idx="954">
                  <c:v>5.7970000000000001E-2</c:v>
                </c:pt>
                <c:pt idx="955">
                  <c:v>6.2129999999999998E-2</c:v>
                </c:pt>
                <c:pt idx="956">
                  <c:v>6.4299999999999996E-2</c:v>
                </c:pt>
                <c:pt idx="957">
                  <c:v>6.1990000000000003E-2</c:v>
                </c:pt>
                <c:pt idx="958">
                  <c:v>6.1690000000000002E-2</c:v>
                </c:pt>
                <c:pt idx="959">
                  <c:v>6.3270000000000007E-2</c:v>
                </c:pt>
                <c:pt idx="960">
                  <c:v>6.0819999999999999E-2</c:v>
                </c:pt>
                <c:pt idx="961">
                  <c:v>5.3220000000000003E-2</c:v>
                </c:pt>
                <c:pt idx="962">
                  <c:v>5.6570000000000002E-2</c:v>
                </c:pt>
                <c:pt idx="963">
                  <c:v>4.0669999999999998E-2</c:v>
                </c:pt>
                <c:pt idx="964">
                  <c:v>4.2139999999999997E-2</c:v>
                </c:pt>
                <c:pt idx="965">
                  <c:v>4.2290000000000001E-2</c:v>
                </c:pt>
                <c:pt idx="966">
                  <c:v>4.045E-2</c:v>
                </c:pt>
                <c:pt idx="967">
                  <c:v>4.24E-2</c:v>
                </c:pt>
                <c:pt idx="968">
                  <c:v>4.0340000000000001E-2</c:v>
                </c:pt>
                <c:pt idx="969">
                  <c:v>4.2040000000000001E-2</c:v>
                </c:pt>
                <c:pt idx="970">
                  <c:v>4.7469999999999998E-2</c:v>
                </c:pt>
                <c:pt idx="971">
                  <c:v>4.5510000000000002E-2</c:v>
                </c:pt>
                <c:pt idx="972">
                  <c:v>4.8180000000000001E-2</c:v>
                </c:pt>
                <c:pt idx="973">
                  <c:v>4.5789999999999997E-2</c:v>
                </c:pt>
                <c:pt idx="974">
                  <c:v>5.0889999999999998E-2</c:v>
                </c:pt>
                <c:pt idx="975">
                  <c:v>5.2560000000000003E-2</c:v>
                </c:pt>
                <c:pt idx="976">
                  <c:v>5.407E-2</c:v>
                </c:pt>
                <c:pt idx="977">
                  <c:v>5.7160000000000002E-2</c:v>
                </c:pt>
                <c:pt idx="978">
                  <c:v>5.04E-2</c:v>
                </c:pt>
                <c:pt idx="979">
                  <c:v>4.8869999999999997E-2</c:v>
                </c:pt>
                <c:pt idx="980">
                  <c:v>4.6510000000000003E-2</c:v>
                </c:pt>
                <c:pt idx="981">
                  <c:v>4.5900000000000003E-2</c:v>
                </c:pt>
                <c:pt idx="982">
                  <c:v>5.1119999999999999E-2</c:v>
                </c:pt>
                <c:pt idx="983">
                  <c:v>5.3990000000000003E-2</c:v>
                </c:pt>
                <c:pt idx="984">
                  <c:v>4.6739999999999997E-2</c:v>
                </c:pt>
                <c:pt idx="985">
                  <c:v>4.589E-2</c:v>
                </c:pt>
                <c:pt idx="986">
                  <c:v>3.8949999999999999E-2</c:v>
                </c:pt>
                <c:pt idx="987">
                  <c:v>4.1509999999999998E-2</c:v>
                </c:pt>
                <c:pt idx="988">
                  <c:v>4.4470000000000003E-2</c:v>
                </c:pt>
                <c:pt idx="989">
                  <c:v>3.9320000000000001E-2</c:v>
                </c:pt>
                <c:pt idx="990">
                  <c:v>3.5770000000000003E-2</c:v>
                </c:pt>
                <c:pt idx="991">
                  <c:v>3.4540000000000001E-2</c:v>
                </c:pt>
                <c:pt idx="992">
                  <c:v>3.5589999999999997E-2</c:v>
                </c:pt>
                <c:pt idx="993">
                  <c:v>3.4139999999999997E-2</c:v>
                </c:pt>
                <c:pt idx="994">
                  <c:v>3.388E-2</c:v>
                </c:pt>
                <c:pt idx="995">
                  <c:v>3.4459999999999998E-2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FB-4135-AA3F-C9D08AE9FB5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-138.23060559731411</c:v>
                </c:pt>
                <c:pt idx="1">
                  <c:v>-138.20888896831411</c:v>
                </c:pt>
                <c:pt idx="2">
                  <c:v>-137.88752726890559</c:v>
                </c:pt>
                <c:pt idx="3">
                  <c:v>-137.85029144450741</c:v>
                </c:pt>
                <c:pt idx="4">
                  <c:v>-138.26930518891078</c:v>
                </c:pt>
                <c:pt idx="5">
                  <c:v>-138.68237311383561</c:v>
                </c:pt>
                <c:pt idx="6">
                  <c:v>-138.51260941606259</c:v>
                </c:pt>
                <c:pt idx="7">
                  <c:v>-137.7725951253876</c:v>
                </c:pt>
                <c:pt idx="8">
                  <c:v>-137.29470867280776</c:v>
                </c:pt>
                <c:pt idx="9">
                  <c:v>-137.45637311866071</c:v>
                </c:pt>
                <c:pt idx="10">
                  <c:v>-137.26930203955484</c:v>
                </c:pt>
                <c:pt idx="11">
                  <c:v>-137.05237509868982</c:v>
                </c:pt>
                <c:pt idx="12">
                  <c:v>-136.57672848006521</c:v>
                </c:pt>
                <c:pt idx="13">
                  <c:v>-136.52619916512839</c:v>
                </c:pt>
                <c:pt idx="14">
                  <c:v>-136.55064350597996</c:v>
                </c:pt>
                <c:pt idx="15">
                  <c:v>-136.03502757797406</c:v>
                </c:pt>
                <c:pt idx="16">
                  <c:v>-136.19007781456406</c:v>
                </c:pt>
                <c:pt idx="17">
                  <c:v>-136.45691819860514</c:v>
                </c:pt>
                <c:pt idx="18">
                  <c:v>-136.20092000403812</c:v>
                </c:pt>
                <c:pt idx="19">
                  <c:v>-136.02452814333813</c:v>
                </c:pt>
                <c:pt idx="20">
                  <c:v>-134.69350268761386</c:v>
                </c:pt>
                <c:pt idx="21">
                  <c:v>-134.15664875422451</c:v>
                </c:pt>
                <c:pt idx="22">
                  <c:v>-134.37679256919643</c:v>
                </c:pt>
                <c:pt idx="23">
                  <c:v>-134.05482930737153</c:v>
                </c:pt>
                <c:pt idx="24">
                  <c:v>-133.6145764958498</c:v>
                </c:pt>
                <c:pt idx="25">
                  <c:v>-132.53696720449665</c:v>
                </c:pt>
                <c:pt idx="26">
                  <c:v>-132.29887504428481</c:v>
                </c:pt>
                <c:pt idx="27">
                  <c:v>-132.62797851518181</c:v>
                </c:pt>
                <c:pt idx="28">
                  <c:v>-132.39652330582146</c:v>
                </c:pt>
                <c:pt idx="29">
                  <c:v>-132.26278508134854</c:v>
                </c:pt>
                <c:pt idx="30">
                  <c:v>-131.75781803238942</c:v>
                </c:pt>
                <c:pt idx="31">
                  <c:v>-131.25888965853153</c:v>
                </c:pt>
                <c:pt idx="32">
                  <c:v>-130.20943200665022</c:v>
                </c:pt>
                <c:pt idx="33">
                  <c:v>-130.58213831801194</c:v>
                </c:pt>
                <c:pt idx="34">
                  <c:v>-130.60391618103827</c:v>
                </c:pt>
                <c:pt idx="35">
                  <c:v>-129.75746465545458</c:v>
                </c:pt>
                <c:pt idx="36">
                  <c:v>-130.09051198181029</c:v>
                </c:pt>
                <c:pt idx="37">
                  <c:v>-129.47133721802459</c:v>
                </c:pt>
                <c:pt idx="38">
                  <c:v>-129.06664563865078</c:v>
                </c:pt>
                <c:pt idx="39">
                  <c:v>-129.55424684593669</c:v>
                </c:pt>
                <c:pt idx="40">
                  <c:v>-128.7907323313932</c:v>
                </c:pt>
                <c:pt idx="41">
                  <c:v>-126.29054723958831</c:v>
                </c:pt>
                <c:pt idx="42">
                  <c:v>-124.70063096421458</c:v>
                </c:pt>
                <c:pt idx="43">
                  <c:v>-124.46855063801432</c:v>
                </c:pt>
                <c:pt idx="44">
                  <c:v>-124.65268866173724</c:v>
                </c:pt>
                <c:pt idx="45">
                  <c:v>-124.76789825646051</c:v>
                </c:pt>
                <c:pt idx="46">
                  <c:v>-123.54524055799095</c:v>
                </c:pt>
                <c:pt idx="47">
                  <c:v>-123.345749516059</c:v>
                </c:pt>
                <c:pt idx="48">
                  <c:v>-123.41457015283559</c:v>
                </c:pt>
                <c:pt idx="49">
                  <c:v>-121.24179443822021</c:v>
                </c:pt>
                <c:pt idx="50">
                  <c:v>-119.48055001322021</c:v>
                </c:pt>
                <c:pt idx="51">
                  <c:v>-120.49353861046913</c:v>
                </c:pt>
                <c:pt idx="52">
                  <c:v>-118.86067049270403</c:v>
                </c:pt>
                <c:pt idx="53">
                  <c:v>-121.8577556129506</c:v>
                </c:pt>
                <c:pt idx="54">
                  <c:v>-118.93029739438127</c:v>
                </c:pt>
                <c:pt idx="55">
                  <c:v>-117.81631120204067</c:v>
                </c:pt>
                <c:pt idx="56">
                  <c:v>-116.21956442990398</c:v>
                </c:pt>
                <c:pt idx="57">
                  <c:v>-117.84748865202403</c:v>
                </c:pt>
                <c:pt idx="58">
                  <c:v>-116.14754780544649</c:v>
                </c:pt>
                <c:pt idx="59">
                  <c:v>-114.30887958470694</c:v>
                </c:pt>
                <c:pt idx="60">
                  <c:v>-111.54961774236043</c:v>
                </c:pt>
                <c:pt idx="61">
                  <c:v>-111.61442506786308</c:v>
                </c:pt>
                <c:pt idx="62">
                  <c:v>-109.0044638427803</c:v>
                </c:pt>
                <c:pt idx="63">
                  <c:v>-107.15754134077865</c:v>
                </c:pt>
                <c:pt idx="64">
                  <c:v>-102.87034934134022</c:v>
                </c:pt>
                <c:pt idx="65">
                  <c:v>-109.62019768423899</c:v>
                </c:pt>
                <c:pt idx="66">
                  <c:v>-106.86203070282434</c:v>
                </c:pt>
                <c:pt idx="67">
                  <c:v>-99.865162722052872</c:v>
                </c:pt>
                <c:pt idx="68">
                  <c:v>-79.976581379475434</c:v>
                </c:pt>
                <c:pt idx="69">
                  <c:v>-110.25826584412658</c:v>
                </c:pt>
                <c:pt idx="70">
                  <c:v>-113.32069640418503</c:v>
                </c:pt>
                <c:pt idx="71">
                  <c:v>-112.2110684156216</c:v>
                </c:pt>
                <c:pt idx="72">
                  <c:v>-110.22636361783007</c:v>
                </c:pt>
                <c:pt idx="73">
                  <c:v>-99.751058142498991</c:v>
                </c:pt>
                <c:pt idx="74">
                  <c:v>-95.182122298550922</c:v>
                </c:pt>
                <c:pt idx="75">
                  <c:v>-95.340179269038742</c:v>
                </c:pt>
                <c:pt idx="76">
                  <c:v>-95.691442662664301</c:v>
                </c:pt>
                <c:pt idx="77">
                  <c:v>-95.637970463652834</c:v>
                </c:pt>
                <c:pt idx="78">
                  <c:v>-95.574486875338806</c:v>
                </c:pt>
                <c:pt idx="79">
                  <c:v>-95.383182520585436</c:v>
                </c:pt>
                <c:pt idx="80">
                  <c:v>-95.059129392401246</c:v>
                </c:pt>
                <c:pt idx="81">
                  <c:v>-95.23261186991995</c:v>
                </c:pt>
                <c:pt idx="82">
                  <c:v>-95.238836695678202</c:v>
                </c:pt>
                <c:pt idx="83">
                  <c:v>-95.300308922509117</c:v>
                </c:pt>
                <c:pt idx="84">
                  <c:v>-95.055187751533509</c:v>
                </c:pt>
                <c:pt idx="85">
                  <c:v>-94.447331733703592</c:v>
                </c:pt>
                <c:pt idx="86">
                  <c:v>-94.670880033149757</c:v>
                </c:pt>
                <c:pt idx="87">
                  <c:v>-94.890687109049452</c:v>
                </c:pt>
                <c:pt idx="88">
                  <c:v>-94.933615517032436</c:v>
                </c:pt>
                <c:pt idx="89">
                  <c:v>-94.321996787596433</c:v>
                </c:pt>
                <c:pt idx="90">
                  <c:v>-95.023144185164327</c:v>
                </c:pt>
                <c:pt idx="91">
                  <c:v>-94.872696420938667</c:v>
                </c:pt>
                <c:pt idx="92">
                  <c:v>-94.652191943668996</c:v>
                </c:pt>
                <c:pt idx="93">
                  <c:v>-94.102876558852216</c:v>
                </c:pt>
                <c:pt idx="94">
                  <c:v>-93.911441608213423</c:v>
                </c:pt>
                <c:pt idx="95">
                  <c:v>-94.058727736454159</c:v>
                </c:pt>
                <c:pt idx="96">
                  <c:v>-93.89283038955196</c:v>
                </c:pt>
                <c:pt idx="97">
                  <c:v>-93.850491286075027</c:v>
                </c:pt>
                <c:pt idx="98">
                  <c:v>-93.745979801474391</c:v>
                </c:pt>
                <c:pt idx="99">
                  <c:v>-93.332645308299774</c:v>
                </c:pt>
                <c:pt idx="100">
                  <c:v>-93.548908553499771</c:v>
                </c:pt>
                <c:pt idx="101">
                  <c:v>-93.188559984739982</c:v>
                </c:pt>
                <c:pt idx="102">
                  <c:v>-93.317915793203312</c:v>
                </c:pt>
                <c:pt idx="103">
                  <c:v>-92.686229970588727</c:v>
                </c:pt>
                <c:pt idx="104">
                  <c:v>-92.63120205976756</c:v>
                </c:pt>
                <c:pt idx="105">
                  <c:v>-90.351659729644467</c:v>
                </c:pt>
                <c:pt idx="106">
                  <c:v>-90.033837759173878</c:v>
                </c:pt>
                <c:pt idx="107">
                  <c:v>-90.227405876882841</c:v>
                </c:pt>
                <c:pt idx="108">
                  <c:v>-90.410819442003543</c:v>
                </c:pt>
                <c:pt idx="109">
                  <c:v>-90.083299149780331</c:v>
                </c:pt>
                <c:pt idx="110">
                  <c:v>-89.492070678467996</c:v>
                </c:pt>
                <c:pt idx="111">
                  <c:v>-88.343010867378609</c:v>
                </c:pt>
                <c:pt idx="112">
                  <c:v>-89.183047939528322</c:v>
                </c:pt>
                <c:pt idx="113">
                  <c:v>-88.582332015267966</c:v>
                </c:pt>
                <c:pt idx="114">
                  <c:v>-88.700745660097638</c:v>
                </c:pt>
                <c:pt idx="115">
                  <c:v>-88.929713519675104</c:v>
                </c:pt>
                <c:pt idx="116">
                  <c:v>-88.977765189444327</c:v>
                </c:pt>
                <c:pt idx="117">
                  <c:v>-89.170365010935853</c:v>
                </c:pt>
                <c:pt idx="118">
                  <c:v>-88.626911414035149</c:v>
                </c:pt>
                <c:pt idx="119">
                  <c:v>-89.368577176016274</c:v>
                </c:pt>
                <c:pt idx="120">
                  <c:v>-89.27543804986243</c:v>
                </c:pt>
                <c:pt idx="121">
                  <c:v>-88.712325813538612</c:v>
                </c:pt>
                <c:pt idx="122">
                  <c:v>-88.456834801412825</c:v>
                </c:pt>
                <c:pt idx="123">
                  <c:v>-87.857077788049665</c:v>
                </c:pt>
                <c:pt idx="124">
                  <c:v>-87.78525334177715</c:v>
                </c:pt>
                <c:pt idx="125">
                  <c:v>-87.561915545614681</c:v>
                </c:pt>
                <c:pt idx="126">
                  <c:v>-87.563148382023343</c:v>
                </c:pt>
                <c:pt idx="127">
                  <c:v>-87.413759834911048</c:v>
                </c:pt>
                <c:pt idx="128">
                  <c:v>-88.047426157702077</c:v>
                </c:pt>
                <c:pt idx="129">
                  <c:v>-86.704326324645095</c:v>
                </c:pt>
                <c:pt idx="130">
                  <c:v>-88.244762837494022</c:v>
                </c:pt>
                <c:pt idx="131">
                  <c:v>-88.242346752713189</c:v>
                </c:pt>
                <c:pt idx="132">
                  <c:v>-88.471663875670075</c:v>
                </c:pt>
                <c:pt idx="133">
                  <c:v>-88.194286920664723</c:v>
                </c:pt>
                <c:pt idx="134">
                  <c:v>-87.796040794312944</c:v>
                </c:pt>
                <c:pt idx="135">
                  <c:v>-88.04951870148534</c:v>
                </c:pt>
                <c:pt idx="136">
                  <c:v>-88.037973565607672</c:v>
                </c:pt>
                <c:pt idx="137">
                  <c:v>-87.813103091590932</c:v>
                </c:pt>
                <c:pt idx="138">
                  <c:v>-87.707577659366976</c:v>
                </c:pt>
                <c:pt idx="139">
                  <c:v>-87.445545266155591</c:v>
                </c:pt>
                <c:pt idx="140">
                  <c:v>-87.518747205024283</c:v>
                </c:pt>
                <c:pt idx="141">
                  <c:v>-87.695660812302378</c:v>
                </c:pt>
                <c:pt idx="142">
                  <c:v>-88.011574647973475</c:v>
                </c:pt>
                <c:pt idx="143">
                  <c:v>-87.342508072791659</c:v>
                </c:pt>
                <c:pt idx="144">
                  <c:v>-88.287000980617776</c:v>
                </c:pt>
                <c:pt idx="145">
                  <c:v>-88.070943168496996</c:v>
                </c:pt>
                <c:pt idx="146">
                  <c:v>-87.807346893531189</c:v>
                </c:pt>
                <c:pt idx="147">
                  <c:v>-88.214903869289159</c:v>
                </c:pt>
                <c:pt idx="148">
                  <c:v>-87.625531165394861</c:v>
                </c:pt>
                <c:pt idx="149">
                  <c:v>-88.252117069273126</c:v>
                </c:pt>
                <c:pt idx="150">
                  <c:v>-88.384837002823048</c:v>
                </c:pt>
                <c:pt idx="151">
                  <c:v>-87.928741685910182</c:v>
                </c:pt>
                <c:pt idx="152">
                  <c:v>-87.874902204241408</c:v>
                </c:pt>
                <c:pt idx="153">
                  <c:v>-87.653627789375747</c:v>
                </c:pt>
                <c:pt idx="154">
                  <c:v>-88.176558221670447</c:v>
                </c:pt>
                <c:pt idx="155">
                  <c:v>-87.460237572043596</c:v>
                </c:pt>
                <c:pt idx="156">
                  <c:v>-87.701171193621562</c:v>
                </c:pt>
                <c:pt idx="157">
                  <c:v>-85.711542122559052</c:v>
                </c:pt>
                <c:pt idx="158">
                  <c:v>-85.709218245795213</c:v>
                </c:pt>
                <c:pt idx="159">
                  <c:v>-85.737692969263975</c:v>
                </c:pt>
                <c:pt idx="160">
                  <c:v>-85.153202443978998</c:v>
                </c:pt>
                <c:pt idx="161">
                  <c:v>-85.669002775334462</c:v>
                </c:pt>
                <c:pt idx="162">
                  <c:v>-86.520012035712142</c:v>
                </c:pt>
                <c:pt idx="163">
                  <c:v>-85.927004067729101</c:v>
                </c:pt>
                <c:pt idx="164">
                  <c:v>-85.086911227112154</c:v>
                </c:pt>
                <c:pt idx="165">
                  <c:v>-83.546756481144641</c:v>
                </c:pt>
                <c:pt idx="166">
                  <c:v>-84.29840953560975</c:v>
                </c:pt>
                <c:pt idx="167">
                  <c:v>-83.444246180739839</c:v>
                </c:pt>
                <c:pt idx="168">
                  <c:v>-84.780789632079049</c:v>
                </c:pt>
                <c:pt idx="169">
                  <c:v>-85.321087524524643</c:v>
                </c:pt>
                <c:pt idx="170">
                  <c:v>-84.627873977516401</c:v>
                </c:pt>
                <c:pt idx="171">
                  <c:v>-85.061163619485725</c:v>
                </c:pt>
                <c:pt idx="172">
                  <c:v>-85.644090583289</c:v>
                </c:pt>
                <c:pt idx="173">
                  <c:v>-84.968942025875094</c:v>
                </c:pt>
                <c:pt idx="174">
                  <c:v>-85.128353745334351</c:v>
                </c:pt>
                <c:pt idx="175">
                  <c:v>-85.714625692560716</c:v>
                </c:pt>
                <c:pt idx="176">
                  <c:v>-87.256449184780394</c:v>
                </c:pt>
                <c:pt idx="177">
                  <c:v>-87.434245582639846</c:v>
                </c:pt>
                <c:pt idx="178">
                  <c:v>-87.319322824975984</c:v>
                </c:pt>
                <c:pt idx="179">
                  <c:v>-87.156508776304833</c:v>
                </c:pt>
                <c:pt idx="180">
                  <c:v>-83.630576221385823</c:v>
                </c:pt>
                <c:pt idx="181">
                  <c:v>-83.178787536979002</c:v>
                </c:pt>
                <c:pt idx="182">
                  <c:v>-83.42775545126301</c:v>
                </c:pt>
                <c:pt idx="183">
                  <c:v>-83.392508225999862</c:v>
                </c:pt>
                <c:pt idx="184">
                  <c:v>-83.369248846530112</c:v>
                </c:pt>
                <c:pt idx="185">
                  <c:v>-83.864807567158323</c:v>
                </c:pt>
                <c:pt idx="186">
                  <c:v>-82.003570184839674</c:v>
                </c:pt>
                <c:pt idx="187">
                  <c:v>-82.379268264509093</c:v>
                </c:pt>
                <c:pt idx="188">
                  <c:v>-81.907530370678955</c:v>
                </c:pt>
                <c:pt idx="189">
                  <c:v>-82.307236731461799</c:v>
                </c:pt>
                <c:pt idx="190">
                  <c:v>-81.982076454851807</c:v>
                </c:pt>
                <c:pt idx="191">
                  <c:v>-82.532578885977301</c:v>
                </c:pt>
                <c:pt idx="192">
                  <c:v>-82.393285385458427</c:v>
                </c:pt>
                <c:pt idx="193">
                  <c:v>-81.451149009642336</c:v>
                </c:pt>
                <c:pt idx="194">
                  <c:v>-80.998168180974446</c:v>
                </c:pt>
                <c:pt idx="195">
                  <c:v>-80.144924756108196</c:v>
                </c:pt>
                <c:pt idx="196">
                  <c:v>-78.579936663002613</c:v>
                </c:pt>
                <c:pt idx="197">
                  <c:v>-76.767498639483236</c:v>
                </c:pt>
                <c:pt idx="198">
                  <c:v>-72.728451319541577</c:v>
                </c:pt>
                <c:pt idx="199">
                  <c:v>-71.909372494613621</c:v>
                </c:pt>
                <c:pt idx="200">
                  <c:v>-72.231681167271972</c:v>
                </c:pt>
                <c:pt idx="201">
                  <c:v>-71.133868492190985</c:v>
                </c:pt>
                <c:pt idx="202">
                  <c:v>-69.837770938022558</c:v>
                </c:pt>
                <c:pt idx="203">
                  <c:v>-69.395310038048066</c:v>
                </c:pt>
                <c:pt idx="204">
                  <c:v>-69.335594824427375</c:v>
                </c:pt>
                <c:pt idx="205">
                  <c:v>-69.127138317113321</c:v>
                </c:pt>
                <c:pt idx="206">
                  <c:v>-68.626826885211059</c:v>
                </c:pt>
                <c:pt idx="207">
                  <c:v>-68.704411661578263</c:v>
                </c:pt>
                <c:pt idx="208">
                  <c:v>-68.899669225578265</c:v>
                </c:pt>
                <c:pt idx="209">
                  <c:v>-68.861009425183198</c:v>
                </c:pt>
                <c:pt idx="210">
                  <c:v>-68.965701473172061</c:v>
                </c:pt>
                <c:pt idx="211">
                  <c:v>-68.755949828613623</c:v>
                </c:pt>
                <c:pt idx="212">
                  <c:v>-69.360588655579633</c:v>
                </c:pt>
                <c:pt idx="213">
                  <c:v>-69.394458779365181</c:v>
                </c:pt>
                <c:pt idx="214">
                  <c:v>-69.485610822365174</c:v>
                </c:pt>
                <c:pt idx="215">
                  <c:v>-69.780401626100655</c:v>
                </c:pt>
                <c:pt idx="216">
                  <c:v>-69.895098991754111</c:v>
                </c:pt>
                <c:pt idx="217">
                  <c:v>-69.463284139034997</c:v>
                </c:pt>
                <c:pt idx="218">
                  <c:v>-69.630414980607569</c:v>
                </c:pt>
                <c:pt idx="219">
                  <c:v>-69.895351222073586</c:v>
                </c:pt>
                <c:pt idx="220">
                  <c:v>-70.230716667669796</c:v>
                </c:pt>
                <c:pt idx="221">
                  <c:v>-69.323713753897565</c:v>
                </c:pt>
                <c:pt idx="222">
                  <c:v>-69.867074041935908</c:v>
                </c:pt>
                <c:pt idx="223">
                  <c:v>-69.057112074482902</c:v>
                </c:pt>
                <c:pt idx="224">
                  <c:v>-68.92247775061459</c:v>
                </c:pt>
                <c:pt idx="225">
                  <c:v>-68.647898572720209</c:v>
                </c:pt>
                <c:pt idx="226">
                  <c:v>-67.993771933166954</c:v>
                </c:pt>
                <c:pt idx="227">
                  <c:v>-68.17175508699313</c:v>
                </c:pt>
                <c:pt idx="228">
                  <c:v>-67.877334111614829</c:v>
                </c:pt>
                <c:pt idx="229">
                  <c:v>-68.819375999774323</c:v>
                </c:pt>
                <c:pt idx="230">
                  <c:v>-68.549053259935349</c:v>
                </c:pt>
                <c:pt idx="231">
                  <c:v>-66.560457935914997</c:v>
                </c:pt>
                <c:pt idx="232">
                  <c:v>-57.92352633637293</c:v>
                </c:pt>
                <c:pt idx="233">
                  <c:v>-63.692971894963065</c:v>
                </c:pt>
                <c:pt idx="234">
                  <c:v>-64.283068961710441</c:v>
                </c:pt>
                <c:pt idx="235">
                  <c:v>-63.316527652540849</c:v>
                </c:pt>
                <c:pt idx="236">
                  <c:v>-63.283992491484845</c:v>
                </c:pt>
                <c:pt idx="237">
                  <c:v>-61.705925239899351</c:v>
                </c:pt>
                <c:pt idx="238">
                  <c:v>-61.462553314049849</c:v>
                </c:pt>
                <c:pt idx="239">
                  <c:v>-61.670070996950017</c:v>
                </c:pt>
                <c:pt idx="240">
                  <c:v>-61.592355402124326</c:v>
                </c:pt>
                <c:pt idx="241">
                  <c:v>-61.15701875942225</c:v>
                </c:pt>
                <c:pt idx="242">
                  <c:v>-61.519980750572252</c:v>
                </c:pt>
                <c:pt idx="243">
                  <c:v>-61.379706566191302</c:v>
                </c:pt>
                <c:pt idx="244">
                  <c:v>-60.886667697442462</c:v>
                </c:pt>
                <c:pt idx="245">
                  <c:v>-58.836517707122574</c:v>
                </c:pt>
                <c:pt idx="246">
                  <c:v>-59.483128833681462</c:v>
                </c:pt>
                <c:pt idx="247">
                  <c:v>-59.91755834820453</c:v>
                </c:pt>
                <c:pt idx="248">
                  <c:v>-60.730770618075191</c:v>
                </c:pt>
                <c:pt idx="249">
                  <c:v>-61.178547933308771</c:v>
                </c:pt>
                <c:pt idx="250">
                  <c:v>-61.228883334714176</c:v>
                </c:pt>
                <c:pt idx="251">
                  <c:v>-61.023695750369349</c:v>
                </c:pt>
                <c:pt idx="252">
                  <c:v>-60.667663419702677</c:v>
                </c:pt>
                <c:pt idx="253">
                  <c:v>-60.984654251026484</c:v>
                </c:pt>
                <c:pt idx="254">
                  <c:v>-59.940014411153307</c:v>
                </c:pt>
                <c:pt idx="255">
                  <c:v>-59.878553315387975</c:v>
                </c:pt>
                <c:pt idx="256">
                  <c:v>-59.387702974822901</c:v>
                </c:pt>
                <c:pt idx="257">
                  <c:v>-58.917978127699612</c:v>
                </c:pt>
                <c:pt idx="258">
                  <c:v>-57.968964428974786</c:v>
                </c:pt>
                <c:pt idx="259">
                  <c:v>-58.202683666359405</c:v>
                </c:pt>
                <c:pt idx="260">
                  <c:v>-58.565903243726652</c:v>
                </c:pt>
                <c:pt idx="261">
                  <c:v>-57.429517279147817</c:v>
                </c:pt>
                <c:pt idx="262">
                  <c:v>-57.967761468590048</c:v>
                </c:pt>
                <c:pt idx="263">
                  <c:v>-55.745012868698694</c:v>
                </c:pt>
                <c:pt idx="264">
                  <c:v>-56.719001657143423</c:v>
                </c:pt>
                <c:pt idx="265">
                  <c:v>-56.314763307051678</c:v>
                </c:pt>
                <c:pt idx="266">
                  <c:v>-55.948074212055531</c:v>
                </c:pt>
                <c:pt idx="267">
                  <c:v>-55.007004096672915</c:v>
                </c:pt>
                <c:pt idx="268">
                  <c:v>-55.263946838042969</c:v>
                </c:pt>
                <c:pt idx="269">
                  <c:v>-53.491661714907828</c:v>
                </c:pt>
                <c:pt idx="270">
                  <c:v>-52.383025209302843</c:v>
                </c:pt>
                <c:pt idx="271">
                  <c:v>-53.494314448113251</c:v>
                </c:pt>
                <c:pt idx="272">
                  <c:v>-52.652544626641969</c:v>
                </c:pt>
                <c:pt idx="273">
                  <c:v>-52.468596552953528</c:v>
                </c:pt>
                <c:pt idx="274">
                  <c:v>-52.049716077243559</c:v>
                </c:pt>
                <c:pt idx="275">
                  <c:v>-57.46186677583097</c:v>
                </c:pt>
                <c:pt idx="276">
                  <c:v>-60.412284435084352</c:v>
                </c:pt>
                <c:pt idx="277">
                  <c:v>-61.221081876029864</c:v>
                </c:pt>
                <c:pt idx="278">
                  <c:v>-60.170429491859551</c:v>
                </c:pt>
                <c:pt idx="279">
                  <c:v>-57.67424258877314</c:v>
                </c:pt>
                <c:pt idx="280">
                  <c:v>-59.486787952390785</c:v>
                </c:pt>
                <c:pt idx="281">
                  <c:v>-57.347363059165922</c:v>
                </c:pt>
                <c:pt idx="282">
                  <c:v>-54.972060972376227</c:v>
                </c:pt>
                <c:pt idx="283">
                  <c:v>-55.438474054976396</c:v>
                </c:pt>
                <c:pt idx="284">
                  <c:v>-53.587868171668354</c:v>
                </c:pt>
                <c:pt idx="285">
                  <c:v>-52.943400718579696</c:v>
                </c:pt>
                <c:pt idx="286">
                  <c:v>-51.888266074813004</c:v>
                </c:pt>
                <c:pt idx="287">
                  <c:v>-51.841581649996627</c:v>
                </c:pt>
                <c:pt idx="288">
                  <c:v>-50.513952904888633</c:v>
                </c:pt>
                <c:pt idx="289">
                  <c:v>-50.105561794357556</c:v>
                </c:pt>
                <c:pt idx="290">
                  <c:v>-48.500684569382983</c:v>
                </c:pt>
                <c:pt idx="291">
                  <c:v>-46.009143527536509</c:v>
                </c:pt>
                <c:pt idx="292">
                  <c:v>-44.76730548538476</c:v>
                </c:pt>
                <c:pt idx="293">
                  <c:v>-42.270231936057698</c:v>
                </c:pt>
                <c:pt idx="294">
                  <c:v>-38.062396060610126</c:v>
                </c:pt>
                <c:pt idx="295">
                  <c:v>-47.1389489204184</c:v>
                </c:pt>
                <c:pt idx="296">
                  <c:v>-45.573505758671288</c:v>
                </c:pt>
                <c:pt idx="297">
                  <c:v>-40.07863534296262</c:v>
                </c:pt>
                <c:pt idx="298">
                  <c:v>-52.56039534767978</c:v>
                </c:pt>
                <c:pt idx="299">
                  <c:v>-54.540433521261363</c:v>
                </c:pt>
                <c:pt idx="300">
                  <c:v>-53.076452295454914</c:v>
                </c:pt>
                <c:pt idx="301">
                  <c:v>-51.872746287723565</c:v>
                </c:pt>
                <c:pt idx="302">
                  <c:v>-51.583148641173054</c:v>
                </c:pt>
                <c:pt idx="303">
                  <c:v>-50.201058945651312</c:v>
                </c:pt>
                <c:pt idx="304">
                  <c:v>-53.149924189385281</c:v>
                </c:pt>
                <c:pt idx="305">
                  <c:v>-48.199221123586298</c:v>
                </c:pt>
                <c:pt idx="306">
                  <c:v>-55.536611059348189</c:v>
                </c:pt>
                <c:pt idx="307">
                  <c:v>-55.739515684951797</c:v>
                </c:pt>
                <c:pt idx="308">
                  <c:v>-56.572963309597071</c:v>
                </c:pt>
                <c:pt idx="309">
                  <c:v>-56.133852787584495</c:v>
                </c:pt>
                <c:pt idx="310">
                  <c:v>-54.579128278915697</c:v>
                </c:pt>
                <c:pt idx="311">
                  <c:v>-54.903179907726674</c:v>
                </c:pt>
                <c:pt idx="312">
                  <c:v>-52.914984342363454</c:v>
                </c:pt>
                <c:pt idx="313">
                  <c:v>-55.214475534363451</c:v>
                </c:pt>
                <c:pt idx="314">
                  <c:v>-52.603464402057334</c:v>
                </c:pt>
                <c:pt idx="315">
                  <c:v>-53.101293511873571</c:v>
                </c:pt>
                <c:pt idx="316">
                  <c:v>-48.907894734026378</c:v>
                </c:pt>
                <c:pt idx="317">
                  <c:v>-37.366540708613449</c:v>
                </c:pt>
                <c:pt idx="318">
                  <c:v>-26.707927442127943</c:v>
                </c:pt>
                <c:pt idx="319">
                  <c:v>-30.063839304510459</c:v>
                </c:pt>
                <c:pt idx="320">
                  <c:v>-29.363324102852363</c:v>
                </c:pt>
                <c:pt idx="321">
                  <c:v>-30.004768093861188</c:v>
                </c:pt>
                <c:pt idx="322">
                  <c:v>-29.148068366335519</c:v>
                </c:pt>
                <c:pt idx="323">
                  <c:v>-28.508474691268379</c:v>
                </c:pt>
                <c:pt idx="324">
                  <c:v>-28.504509709743814</c:v>
                </c:pt>
                <c:pt idx="325">
                  <c:v>-29.310361327133485</c:v>
                </c:pt>
                <c:pt idx="326">
                  <c:v>-29.713373737231848</c:v>
                </c:pt>
                <c:pt idx="327">
                  <c:v>-29.592559640237024</c:v>
                </c:pt>
                <c:pt idx="328">
                  <c:v>-29.411732518068607</c:v>
                </c:pt>
                <c:pt idx="329">
                  <c:v>-29.682823745833311</c:v>
                </c:pt>
                <c:pt idx="330">
                  <c:v>-29.536343707200956</c:v>
                </c:pt>
                <c:pt idx="331">
                  <c:v>-29.694746853917376</c:v>
                </c:pt>
                <c:pt idx="332">
                  <c:v>-29.353793443269893</c:v>
                </c:pt>
                <c:pt idx="333">
                  <c:v>-29.644175104599164</c:v>
                </c:pt>
                <c:pt idx="334">
                  <c:v>-25.485946897078726</c:v>
                </c:pt>
                <c:pt idx="335">
                  <c:v>-26.436372072067275</c:v>
                </c:pt>
                <c:pt idx="336">
                  <c:v>-26.462729621589663</c:v>
                </c:pt>
                <c:pt idx="337">
                  <c:v>-25.844902579589668</c:v>
                </c:pt>
                <c:pt idx="338">
                  <c:v>-25.844902579589668</c:v>
                </c:pt>
                <c:pt idx="339">
                  <c:v>-25.458551258934911</c:v>
                </c:pt>
                <c:pt idx="340">
                  <c:v>-25.458551258934911</c:v>
                </c:pt>
                <c:pt idx="341">
                  <c:v>-26.106897613100625</c:v>
                </c:pt>
                <c:pt idx="342">
                  <c:v>-25.391966025858807</c:v>
                </c:pt>
                <c:pt idx="343">
                  <c:v>-25.347895960839004</c:v>
                </c:pt>
                <c:pt idx="344">
                  <c:v>-25.539533828922341</c:v>
                </c:pt>
                <c:pt idx="345">
                  <c:v>-26.253801518477893</c:v>
                </c:pt>
                <c:pt idx="346">
                  <c:v>-26.037661507611229</c:v>
                </c:pt>
                <c:pt idx="347">
                  <c:v>-26.186302430339552</c:v>
                </c:pt>
                <c:pt idx="348">
                  <c:v>-25.476780174939552</c:v>
                </c:pt>
                <c:pt idx="349">
                  <c:v>-26.532129906502462</c:v>
                </c:pt>
                <c:pt idx="350">
                  <c:v>-27.270201434748177</c:v>
                </c:pt>
                <c:pt idx="351">
                  <c:v>-28.841445254382176</c:v>
                </c:pt>
                <c:pt idx="352">
                  <c:v>-29.312535777485717</c:v>
                </c:pt>
                <c:pt idx="353">
                  <c:v>-30.949603298628578</c:v>
                </c:pt>
                <c:pt idx="354">
                  <c:v>-32.178721287469848</c:v>
                </c:pt>
                <c:pt idx="355">
                  <c:v>-32.112577056589856</c:v>
                </c:pt>
                <c:pt idx="356">
                  <c:v>-31.52270106545652</c:v>
                </c:pt>
                <c:pt idx="357">
                  <c:v>-32.213597858807169</c:v>
                </c:pt>
                <c:pt idx="358">
                  <c:v>-30.993348601588878</c:v>
                </c:pt>
                <c:pt idx="359">
                  <c:v>-32.655170502059462</c:v>
                </c:pt>
                <c:pt idx="360">
                  <c:v>-32.026870228162402</c:v>
                </c:pt>
                <c:pt idx="361">
                  <c:v>-31.305433525844222</c:v>
                </c:pt>
                <c:pt idx="362">
                  <c:v>-28.253647145226768</c:v>
                </c:pt>
                <c:pt idx="363">
                  <c:v>-17.946165916800876</c:v>
                </c:pt>
                <c:pt idx="364">
                  <c:v>-17.910617148644913</c:v>
                </c:pt>
                <c:pt idx="365">
                  <c:v>-18.35384111679306</c:v>
                </c:pt>
                <c:pt idx="366">
                  <c:v>-17.879530706464593</c:v>
                </c:pt>
                <c:pt idx="367">
                  <c:v>-17.879530706464593</c:v>
                </c:pt>
                <c:pt idx="368">
                  <c:v>-17.401522750997927</c:v>
                </c:pt>
                <c:pt idx="369">
                  <c:v>-17.682763229338136</c:v>
                </c:pt>
                <c:pt idx="370">
                  <c:v>-17.907975349754803</c:v>
                </c:pt>
                <c:pt idx="371">
                  <c:v>-18.624588961370961</c:v>
                </c:pt>
                <c:pt idx="372">
                  <c:v>-18.429810209120966</c:v>
                </c:pt>
                <c:pt idx="373">
                  <c:v>-18.929925644694002</c:v>
                </c:pt>
                <c:pt idx="374">
                  <c:v>-17.309012559374004</c:v>
                </c:pt>
                <c:pt idx="375">
                  <c:v>-17.625823234898593</c:v>
                </c:pt>
                <c:pt idx="376">
                  <c:v>-17.848314074197869</c:v>
                </c:pt>
                <c:pt idx="377">
                  <c:v>-18.249455023779955</c:v>
                </c:pt>
                <c:pt idx="378">
                  <c:v>-18.569972220668848</c:v>
                </c:pt>
                <c:pt idx="379">
                  <c:v>-18.223587643097421</c:v>
                </c:pt>
                <c:pt idx="380">
                  <c:v>-18.88991220040992</c:v>
                </c:pt>
                <c:pt idx="381">
                  <c:v>-18.603493468059046</c:v>
                </c:pt>
                <c:pt idx="382">
                  <c:v>-18.361650157971326</c:v>
                </c:pt>
                <c:pt idx="383">
                  <c:v>-17.863057582781451</c:v>
                </c:pt>
                <c:pt idx="384">
                  <c:v>-18.439533353950281</c:v>
                </c:pt>
                <c:pt idx="385">
                  <c:v>-18.776319668053372</c:v>
                </c:pt>
                <c:pt idx="386">
                  <c:v>-18.009810285375117</c:v>
                </c:pt>
                <c:pt idx="387">
                  <c:v>-17.63603760662512</c:v>
                </c:pt>
                <c:pt idx="388">
                  <c:v>-18.770290181625121</c:v>
                </c:pt>
                <c:pt idx="389">
                  <c:v>-18.255859391441795</c:v>
                </c:pt>
                <c:pt idx="390">
                  <c:v>-16.93619460915129</c:v>
                </c:pt>
                <c:pt idx="391">
                  <c:v>-15.738518081527634</c:v>
                </c:pt>
                <c:pt idx="392">
                  <c:v>-14.580650912669396</c:v>
                </c:pt>
                <c:pt idx="393">
                  <c:v>-12.680980365578487</c:v>
                </c:pt>
                <c:pt idx="394">
                  <c:v>-14.602017201782679</c:v>
                </c:pt>
                <c:pt idx="395">
                  <c:v>-12.946810787150778</c:v>
                </c:pt>
                <c:pt idx="396">
                  <c:v>-7.1257398302159682</c:v>
                </c:pt>
                <c:pt idx="397">
                  <c:v>-16.041814004302921</c:v>
                </c:pt>
                <c:pt idx="398">
                  <c:v>-18.272279709403215</c:v>
                </c:pt>
                <c:pt idx="399">
                  <c:v>-18.606665614787829</c:v>
                </c:pt>
                <c:pt idx="400">
                  <c:v>-17.92572402345866</c:v>
                </c:pt>
                <c:pt idx="401">
                  <c:v>-15.025009744812284</c:v>
                </c:pt>
                <c:pt idx="402">
                  <c:v>-17.222168447105158</c:v>
                </c:pt>
                <c:pt idx="403">
                  <c:v>-15.541113934267321</c:v>
                </c:pt>
                <c:pt idx="404">
                  <c:v>-14.878606754732253</c:v>
                </c:pt>
                <c:pt idx="405">
                  <c:v>-14.65661820886046</c:v>
                </c:pt>
                <c:pt idx="406">
                  <c:v>-14.867357577351688</c:v>
                </c:pt>
                <c:pt idx="407">
                  <c:v>-14.828581881607006</c:v>
                </c:pt>
                <c:pt idx="408">
                  <c:v>-14.80832686025918</c:v>
                </c:pt>
                <c:pt idx="409">
                  <c:v>-14.745777504168272</c:v>
                </c:pt>
                <c:pt idx="410">
                  <c:v>-14.847415803228881</c:v>
                </c:pt>
                <c:pt idx="411">
                  <c:v>-14.822518011028878</c:v>
                </c:pt>
                <c:pt idx="412">
                  <c:v>-15.037970059376704</c:v>
                </c:pt>
                <c:pt idx="413">
                  <c:v>-14.983222295126705</c:v>
                </c:pt>
                <c:pt idx="414">
                  <c:v>-14.983222295126705</c:v>
                </c:pt>
                <c:pt idx="415">
                  <c:v>-15.160666031080551</c:v>
                </c:pt>
                <c:pt idx="416">
                  <c:v>-14.273856091364134</c:v>
                </c:pt>
                <c:pt idx="417">
                  <c:v>-14.193573686114133</c:v>
                </c:pt>
                <c:pt idx="418">
                  <c:v>-14.138253640380803</c:v>
                </c:pt>
                <c:pt idx="419">
                  <c:v>-14.240972364760113</c:v>
                </c:pt>
                <c:pt idx="420">
                  <c:v>-14.051533397965995</c:v>
                </c:pt>
                <c:pt idx="421">
                  <c:v>-14.032637323165996</c:v>
                </c:pt>
                <c:pt idx="422">
                  <c:v>-14.1357554429307</c:v>
                </c:pt>
                <c:pt idx="423">
                  <c:v>-13.893545418380702</c:v>
                </c:pt>
                <c:pt idx="424">
                  <c:v>-13.827618130477477</c:v>
                </c:pt>
                <c:pt idx="425">
                  <c:v>-14.014467106906048</c:v>
                </c:pt>
                <c:pt idx="426">
                  <c:v>-14.198807519656048</c:v>
                </c:pt>
                <c:pt idx="427">
                  <c:v>-14.223971726386816</c:v>
                </c:pt>
                <c:pt idx="428">
                  <c:v>-13.974266256914595</c:v>
                </c:pt>
                <c:pt idx="429">
                  <c:v>-13.638356351697205</c:v>
                </c:pt>
                <c:pt idx="430">
                  <c:v>-14.205276796325778</c:v>
                </c:pt>
                <c:pt idx="431">
                  <c:v>-14.361051084023449</c:v>
                </c:pt>
                <c:pt idx="432">
                  <c:v>-14.250841955114359</c:v>
                </c:pt>
                <c:pt idx="433">
                  <c:v>-14.569028882710688</c:v>
                </c:pt>
                <c:pt idx="434">
                  <c:v>-14.781341404310686</c:v>
                </c:pt>
                <c:pt idx="435">
                  <c:v>-14.275770478685688</c:v>
                </c:pt>
                <c:pt idx="436">
                  <c:v>-14.130856058076992</c:v>
                </c:pt>
                <c:pt idx="437">
                  <c:v>-14.178135995505565</c:v>
                </c:pt>
                <c:pt idx="438">
                  <c:v>-14.256340818005565</c:v>
                </c:pt>
                <c:pt idx="439">
                  <c:v>-14.223104227405566</c:v>
                </c:pt>
                <c:pt idx="440">
                  <c:v>-14.176833016864581</c:v>
                </c:pt>
                <c:pt idx="441">
                  <c:v>-14.24194516455689</c:v>
                </c:pt>
                <c:pt idx="442">
                  <c:v>-14.138188033128319</c:v>
                </c:pt>
                <c:pt idx="443">
                  <c:v>-14.013138086082863</c:v>
                </c:pt>
                <c:pt idx="444">
                  <c:v>-14.085880845368578</c:v>
                </c:pt>
                <c:pt idx="445">
                  <c:v>-13.918763134277672</c:v>
                </c:pt>
                <c:pt idx="446">
                  <c:v>-14.068246455777672</c:v>
                </c:pt>
                <c:pt idx="447">
                  <c:v>-13.940629269973323</c:v>
                </c:pt>
                <c:pt idx="448">
                  <c:v>-14.261220133463118</c:v>
                </c:pt>
                <c:pt idx="449">
                  <c:v>-14.308845458663118</c:v>
                </c:pt>
                <c:pt idx="450">
                  <c:v>-14.346215124091691</c:v>
                </c:pt>
                <c:pt idx="451">
                  <c:v>-14.39832515349169</c:v>
                </c:pt>
                <c:pt idx="452">
                  <c:v>-14.24867512289169</c:v>
                </c:pt>
                <c:pt idx="453">
                  <c:v>-14.351537135657649</c:v>
                </c:pt>
                <c:pt idx="454">
                  <c:v>-14.261192908839469</c:v>
                </c:pt>
                <c:pt idx="455">
                  <c:v>-14.261192908839469</c:v>
                </c:pt>
                <c:pt idx="456">
                  <c:v>-14.159430800055684</c:v>
                </c:pt>
                <c:pt idx="457">
                  <c:v>-14.118327173598543</c:v>
                </c:pt>
                <c:pt idx="458">
                  <c:v>-14.145198863228174</c:v>
                </c:pt>
                <c:pt idx="459">
                  <c:v>-14.108702128682719</c:v>
                </c:pt>
                <c:pt idx="460">
                  <c:v>-14.143390331182719</c:v>
                </c:pt>
                <c:pt idx="461">
                  <c:v>-14.012329955810626</c:v>
                </c:pt>
                <c:pt idx="462">
                  <c:v>-13.930091936682965</c:v>
                </c:pt>
                <c:pt idx="463">
                  <c:v>-13.873740401796175</c:v>
                </c:pt>
                <c:pt idx="464">
                  <c:v>-13.997094721533019</c:v>
                </c:pt>
                <c:pt idx="465">
                  <c:v>-13.915045961056826</c:v>
                </c:pt>
                <c:pt idx="466">
                  <c:v>-13.855494097826057</c:v>
                </c:pt>
                <c:pt idx="467">
                  <c:v>-13.828785296201056</c:v>
                </c:pt>
                <c:pt idx="468">
                  <c:v>-13.851806932867724</c:v>
                </c:pt>
                <c:pt idx="469">
                  <c:v>-13.793143705267724</c:v>
                </c:pt>
                <c:pt idx="470">
                  <c:v>-13.75138455332487</c:v>
                </c:pt>
                <c:pt idx="471">
                  <c:v>-13.645852998267726</c:v>
                </c:pt>
                <c:pt idx="472">
                  <c:v>-13.559112436142726</c:v>
                </c:pt>
                <c:pt idx="473">
                  <c:v>-13.598974735142727</c:v>
                </c:pt>
                <c:pt idx="474">
                  <c:v>-13.530381505902728</c:v>
                </c:pt>
                <c:pt idx="475">
                  <c:v>-13.401212974902728</c:v>
                </c:pt>
                <c:pt idx="476">
                  <c:v>-13.564260879702728</c:v>
                </c:pt>
                <c:pt idx="477">
                  <c:v>-13.654626727302729</c:v>
                </c:pt>
                <c:pt idx="478">
                  <c:v>-13.751084434986936</c:v>
                </c:pt>
                <c:pt idx="479">
                  <c:v>-13.564923080613603</c:v>
                </c:pt>
                <c:pt idx="480">
                  <c:v>-13.623217010613603</c:v>
                </c:pt>
                <c:pt idx="481">
                  <c:v>-13.707019711613603</c:v>
                </c:pt>
                <c:pt idx="482">
                  <c:v>-13.627625640518366</c:v>
                </c:pt>
                <c:pt idx="483">
                  <c:v>-13.567452915314973</c:v>
                </c:pt>
                <c:pt idx="484">
                  <c:v>-13.393917010238052</c:v>
                </c:pt>
                <c:pt idx="485">
                  <c:v>-13.48087326878805</c:v>
                </c:pt>
                <c:pt idx="486">
                  <c:v>-13.487663027454717</c:v>
                </c:pt>
                <c:pt idx="487">
                  <c:v>-13.280432068454717</c:v>
                </c:pt>
                <c:pt idx="488">
                  <c:v>-13.389403331232494</c:v>
                </c:pt>
                <c:pt idx="489">
                  <c:v>-13.313283954565827</c:v>
                </c:pt>
                <c:pt idx="490">
                  <c:v>-13.174916807734842</c:v>
                </c:pt>
                <c:pt idx="491">
                  <c:v>-13.548004033185547</c:v>
                </c:pt>
                <c:pt idx="492">
                  <c:v>-12.915435971868716</c:v>
                </c:pt>
                <c:pt idx="493">
                  <c:v>-12.629262493198194</c:v>
                </c:pt>
                <c:pt idx="494">
                  <c:v>-12.394362500575244</c:v>
                </c:pt>
                <c:pt idx="495">
                  <c:v>-12.405049989380124</c:v>
                </c:pt>
                <c:pt idx="496">
                  <c:v>-12.345010841713458</c:v>
                </c:pt>
                <c:pt idx="497">
                  <c:v>-12.286520349380124</c:v>
                </c:pt>
                <c:pt idx="498">
                  <c:v>-12.182864920910038</c:v>
                </c:pt>
                <c:pt idx="499">
                  <c:v>-11.979013275800948</c:v>
                </c:pt>
                <c:pt idx="500">
                  <c:v>-11.775448377274632</c:v>
                </c:pt>
                <c:pt idx="501">
                  <c:v>-11.745931783081083</c:v>
                </c:pt>
                <c:pt idx="502">
                  <c:v>-11.678955697012118</c:v>
                </c:pt>
                <c:pt idx="503">
                  <c:v>-11.796261229621873</c:v>
                </c:pt>
                <c:pt idx="504">
                  <c:v>-11.945551468701874</c:v>
                </c:pt>
                <c:pt idx="505">
                  <c:v>-11.711708391070294</c:v>
                </c:pt>
                <c:pt idx="506">
                  <c:v>-11.791896862870296</c:v>
                </c:pt>
                <c:pt idx="507">
                  <c:v>-11.581815939287921</c:v>
                </c:pt>
                <c:pt idx="508">
                  <c:v>-11.617428119621252</c:v>
                </c:pt>
                <c:pt idx="509">
                  <c:v>-11.587108238810442</c:v>
                </c:pt>
                <c:pt idx="510">
                  <c:v>-11.308416508111055</c:v>
                </c:pt>
                <c:pt idx="511">
                  <c:v>-11.41185516109484</c:v>
                </c:pt>
                <c:pt idx="512">
                  <c:v>-10.955821869790492</c:v>
                </c:pt>
                <c:pt idx="513">
                  <c:v>-10.694660036892403</c:v>
                </c:pt>
                <c:pt idx="514">
                  <c:v>-10.470216590756038</c:v>
                </c:pt>
                <c:pt idx="515">
                  <c:v>-10.704364063569598</c:v>
                </c:pt>
                <c:pt idx="516">
                  <c:v>-10.632257198758278</c:v>
                </c:pt>
                <c:pt idx="517">
                  <c:v>-10.703741817780017</c:v>
                </c:pt>
                <c:pt idx="518">
                  <c:v>-10.818585979355358</c:v>
                </c:pt>
                <c:pt idx="519">
                  <c:v>-10.666812756730359</c:v>
                </c:pt>
                <c:pt idx="520">
                  <c:v>-10.872360376407778</c:v>
                </c:pt>
                <c:pt idx="521">
                  <c:v>-10.671833074212657</c:v>
                </c:pt>
                <c:pt idx="522">
                  <c:v>-10.962474871104742</c:v>
                </c:pt>
                <c:pt idx="523">
                  <c:v>-10.936942570549189</c:v>
                </c:pt>
                <c:pt idx="524">
                  <c:v>-11.125770439215856</c:v>
                </c:pt>
                <c:pt idx="525">
                  <c:v>-10.853990795723792</c:v>
                </c:pt>
                <c:pt idx="526">
                  <c:v>-10.953733035594759</c:v>
                </c:pt>
                <c:pt idx="527">
                  <c:v>-10.792681614816235</c:v>
                </c:pt>
                <c:pt idx="528">
                  <c:v>-10.488987876206068</c:v>
                </c:pt>
                <c:pt idx="529">
                  <c:v>-10.501158485130594</c:v>
                </c:pt>
                <c:pt idx="530">
                  <c:v>-10.780347105930595</c:v>
                </c:pt>
                <c:pt idx="531">
                  <c:v>-10.544597767748778</c:v>
                </c:pt>
                <c:pt idx="532">
                  <c:v>-10.575961399219365</c:v>
                </c:pt>
                <c:pt idx="533">
                  <c:v>-10.142298226563629</c:v>
                </c:pt>
                <c:pt idx="534">
                  <c:v>-10.273550343364953</c:v>
                </c:pt>
                <c:pt idx="535">
                  <c:v>-9.5727146567040844</c:v>
                </c:pt>
                <c:pt idx="536">
                  <c:v>-10.193002877059133</c:v>
                </c:pt>
                <c:pt idx="537">
                  <c:v>-10.829909330405288</c:v>
                </c:pt>
                <c:pt idx="538">
                  <c:v>-10.921975794640581</c:v>
                </c:pt>
                <c:pt idx="539">
                  <c:v>-10.436365421409814</c:v>
                </c:pt>
                <c:pt idx="540">
                  <c:v>-10.776859472064491</c:v>
                </c:pt>
                <c:pt idx="541">
                  <c:v>-10.683769894949107</c:v>
                </c:pt>
                <c:pt idx="542">
                  <c:v>-10.835831697087038</c:v>
                </c:pt>
                <c:pt idx="543">
                  <c:v>-10.650009070277513</c:v>
                </c:pt>
                <c:pt idx="544">
                  <c:v>-10.746855791650061</c:v>
                </c:pt>
                <c:pt idx="545">
                  <c:v>-11.077362074023396</c:v>
                </c:pt>
                <c:pt idx="546">
                  <c:v>-10.653021532769161</c:v>
                </c:pt>
                <c:pt idx="547">
                  <c:v>-10.82563147276916</c:v>
                </c:pt>
                <c:pt idx="548">
                  <c:v>-10.452479330533865</c:v>
                </c:pt>
                <c:pt idx="549">
                  <c:v>-10.935576049555142</c:v>
                </c:pt>
                <c:pt idx="550">
                  <c:v>-10.464912778760675</c:v>
                </c:pt>
                <c:pt idx="551">
                  <c:v>-10.454817502139461</c:v>
                </c:pt>
                <c:pt idx="552">
                  <c:v>-9.9213920518009999</c:v>
                </c:pt>
                <c:pt idx="553">
                  <c:v>-9.1549526149954445</c:v>
                </c:pt>
                <c:pt idx="554">
                  <c:v>-6.5793575765525372</c:v>
                </c:pt>
                <c:pt idx="555">
                  <c:v>-7.7801738507441538</c:v>
                </c:pt>
                <c:pt idx="556">
                  <c:v>-7.4387002746033097</c:v>
                </c:pt>
                <c:pt idx="557">
                  <c:v>-7.9952784585309686</c:v>
                </c:pt>
                <c:pt idx="558">
                  <c:v>-8.9586586104344139</c:v>
                </c:pt>
                <c:pt idx="559">
                  <c:v>-9.2187583169297405</c:v>
                </c:pt>
                <c:pt idx="560">
                  <c:v>-9.3268385084297432</c:v>
                </c:pt>
                <c:pt idx="561">
                  <c:v>-9.4110309313230758</c:v>
                </c:pt>
                <c:pt idx="562">
                  <c:v>-9.1626100848114476</c:v>
                </c:pt>
                <c:pt idx="563">
                  <c:v>-9.1626100848114476</c:v>
                </c:pt>
                <c:pt idx="564">
                  <c:v>-8.5692102682659943</c:v>
                </c:pt>
                <c:pt idx="565">
                  <c:v>-7.9683353673400692</c:v>
                </c:pt>
                <c:pt idx="566">
                  <c:v>-7.418086297236977</c:v>
                </c:pt>
                <c:pt idx="567">
                  <c:v>-7.5164778012369791</c:v>
                </c:pt>
                <c:pt idx="568">
                  <c:v>-7.3835920403798356</c:v>
                </c:pt>
                <c:pt idx="569">
                  <c:v>-7.5934663236151287</c:v>
                </c:pt>
                <c:pt idx="570">
                  <c:v>-7.4985619840696751</c:v>
                </c:pt>
                <c:pt idx="571">
                  <c:v>-7.553429042223522</c:v>
                </c:pt>
                <c:pt idx="572">
                  <c:v>-7.4363608491200726</c:v>
                </c:pt>
                <c:pt idx="573">
                  <c:v>-7.5464899093105497</c:v>
                </c:pt>
                <c:pt idx="574">
                  <c:v>-7.6136087925020393</c:v>
                </c:pt>
                <c:pt idx="575">
                  <c:v>-7.5664623391976917</c:v>
                </c:pt>
                <c:pt idx="576">
                  <c:v>-7.6210015603088035</c:v>
                </c:pt>
                <c:pt idx="577">
                  <c:v>-7.4696707220588028</c:v>
                </c:pt>
                <c:pt idx="578">
                  <c:v>-7.5940535505972644</c:v>
                </c:pt>
                <c:pt idx="579">
                  <c:v>-7.6767098320887897</c:v>
                </c:pt>
                <c:pt idx="580">
                  <c:v>-7.5086589806760919</c:v>
                </c:pt>
                <c:pt idx="581">
                  <c:v>-7.437766867857909</c:v>
                </c:pt>
                <c:pt idx="582">
                  <c:v>-7.5583676738579095</c:v>
                </c:pt>
                <c:pt idx="583">
                  <c:v>-7.3123061699690206</c:v>
                </c:pt>
                <c:pt idx="584">
                  <c:v>-7.3618919170379877</c:v>
                </c:pt>
                <c:pt idx="585">
                  <c:v>-6.999748293437988</c:v>
                </c:pt>
                <c:pt idx="586">
                  <c:v>-6.9738099639218589</c:v>
                </c:pt>
                <c:pt idx="587">
                  <c:v>-7.0541771569744904</c:v>
                </c:pt>
                <c:pt idx="588">
                  <c:v>-6.9727686120030627</c:v>
                </c:pt>
                <c:pt idx="589">
                  <c:v>-6.6730714459087244</c:v>
                </c:pt>
                <c:pt idx="590">
                  <c:v>-6.3827344204936303</c:v>
                </c:pt>
                <c:pt idx="591">
                  <c:v>-7.1118930655585642</c:v>
                </c:pt>
                <c:pt idx="592">
                  <c:v>-7.2596774502993044</c:v>
                </c:pt>
                <c:pt idx="593">
                  <c:v>-7.6369152915062024</c:v>
                </c:pt>
                <c:pt idx="594">
                  <c:v>-7.9030850366913885</c:v>
                </c:pt>
                <c:pt idx="595">
                  <c:v>-8.0547608582671462</c:v>
                </c:pt>
                <c:pt idx="596">
                  <c:v>-7.5859897530543776</c:v>
                </c:pt>
                <c:pt idx="597">
                  <c:v>-7.4242415976859579</c:v>
                </c:pt>
                <c:pt idx="598">
                  <c:v>-7.5485748288398034</c:v>
                </c:pt>
                <c:pt idx="599">
                  <c:v>-7.6226469576292777</c:v>
                </c:pt>
                <c:pt idx="600">
                  <c:v>-7.6957928959626107</c:v>
                </c:pt>
                <c:pt idx="601">
                  <c:v>-7.9329789780937592</c:v>
                </c:pt>
                <c:pt idx="602">
                  <c:v>-7.3686190443900559</c:v>
                </c:pt>
                <c:pt idx="603">
                  <c:v>-8.0372862396650557</c:v>
                </c:pt>
                <c:pt idx="604">
                  <c:v>-8.1662927670817229</c:v>
                </c:pt>
                <c:pt idx="605">
                  <c:v>-8.354936487533335</c:v>
                </c:pt>
                <c:pt idx="606">
                  <c:v>-8.2979151836761922</c:v>
                </c:pt>
                <c:pt idx="607">
                  <c:v>-7.7479623826761923</c:v>
                </c:pt>
                <c:pt idx="608">
                  <c:v>-7.4409572542317504</c:v>
                </c:pt>
                <c:pt idx="609">
                  <c:v>-7.5399338270442495</c:v>
                </c:pt>
                <c:pt idx="610">
                  <c:v>-7.3578192629966308</c:v>
                </c:pt>
                <c:pt idx="611">
                  <c:v>-7.1007123909966312</c:v>
                </c:pt>
                <c:pt idx="612">
                  <c:v>-6.5258131345680601</c:v>
                </c:pt>
                <c:pt idx="613">
                  <c:v>-6.7577079044699015</c:v>
                </c:pt>
                <c:pt idx="614">
                  <c:v>-6.3695211816650232</c:v>
                </c:pt>
                <c:pt idx="615">
                  <c:v>-6.3076107981867633</c:v>
                </c:pt>
                <c:pt idx="616">
                  <c:v>-6.407713292656644</c:v>
                </c:pt>
                <c:pt idx="617">
                  <c:v>-6.2989258313775744</c:v>
                </c:pt>
                <c:pt idx="618">
                  <c:v>-6.2911864231775736</c:v>
                </c:pt>
                <c:pt idx="619">
                  <c:v>-6.2911864231775736</c:v>
                </c:pt>
                <c:pt idx="620">
                  <c:v>-6.5633959053025723</c:v>
                </c:pt>
                <c:pt idx="621">
                  <c:v>-6.1066901618480269</c:v>
                </c:pt>
                <c:pt idx="622">
                  <c:v>-6.1917413258129388</c:v>
                </c:pt>
                <c:pt idx="623">
                  <c:v>-6.0572645774425702</c:v>
                </c:pt>
                <c:pt idx="624">
                  <c:v>-6.21010357354257</c:v>
                </c:pt>
                <c:pt idx="625">
                  <c:v>-6.1304309579636218</c:v>
                </c:pt>
                <c:pt idx="626">
                  <c:v>-6.1089771819636214</c:v>
                </c:pt>
                <c:pt idx="627">
                  <c:v>-6.1832413368207648</c:v>
                </c:pt>
                <c:pt idx="628">
                  <c:v>-6.0981768965462546</c:v>
                </c:pt>
                <c:pt idx="629">
                  <c:v>-6.0301718807462539</c:v>
                </c:pt>
                <c:pt idx="630">
                  <c:v>-6.1732675358231779</c:v>
                </c:pt>
                <c:pt idx="631">
                  <c:v>-6.1512035406356791</c:v>
                </c:pt>
                <c:pt idx="632">
                  <c:v>-5.9509338235447693</c:v>
                </c:pt>
                <c:pt idx="633">
                  <c:v>-5.8578849995447699</c:v>
                </c:pt>
                <c:pt idx="634">
                  <c:v>-5.8948248171789155</c:v>
                </c:pt>
                <c:pt idx="635">
                  <c:v>-5.8709487308932022</c:v>
                </c:pt>
                <c:pt idx="636">
                  <c:v>-5.8606940744721499</c:v>
                </c:pt>
                <c:pt idx="637">
                  <c:v>-6.0473875079721511</c:v>
                </c:pt>
                <c:pt idx="638">
                  <c:v>-5.7512382339721499</c:v>
                </c:pt>
                <c:pt idx="639">
                  <c:v>-5.7202542691721501</c:v>
                </c:pt>
                <c:pt idx="640">
                  <c:v>-5.7718929914578636</c:v>
                </c:pt>
                <c:pt idx="641">
                  <c:v>-5.6679114832999691</c:v>
                </c:pt>
                <c:pt idx="642">
                  <c:v>-5.8161186477444131</c:v>
                </c:pt>
                <c:pt idx="643">
                  <c:v>-5.6423185255221906</c:v>
                </c:pt>
                <c:pt idx="644">
                  <c:v>-5.7005325818751329</c:v>
                </c:pt>
                <c:pt idx="645">
                  <c:v>-5.5665722628751331</c:v>
                </c:pt>
                <c:pt idx="646">
                  <c:v>-5.6703817594697279</c:v>
                </c:pt>
                <c:pt idx="647">
                  <c:v>-5.6202095477050209</c:v>
                </c:pt>
                <c:pt idx="648">
                  <c:v>-5.4527427977866525</c:v>
                </c:pt>
                <c:pt idx="649">
                  <c:v>-5.3956971970910015</c:v>
                </c:pt>
                <c:pt idx="650">
                  <c:v>-5.5513851734013464</c:v>
                </c:pt>
                <c:pt idx="651">
                  <c:v>-5.5313048020680124</c:v>
                </c:pt>
                <c:pt idx="652">
                  <c:v>-5.7749636365680121</c:v>
                </c:pt>
                <c:pt idx="653">
                  <c:v>-5.1757603455680128</c:v>
                </c:pt>
                <c:pt idx="654">
                  <c:v>-4.1330802986022022</c:v>
                </c:pt>
                <c:pt idx="655">
                  <c:v>-4.2837250374453388</c:v>
                </c:pt>
                <c:pt idx="656">
                  <c:v>-4.311289402207243</c:v>
                </c:pt>
                <c:pt idx="657">
                  <c:v>-4.311289402207243</c:v>
                </c:pt>
                <c:pt idx="658">
                  <c:v>-4.1756035482072438</c:v>
                </c:pt>
                <c:pt idx="659">
                  <c:v>-4.1837250670643868</c:v>
                </c:pt>
                <c:pt idx="660">
                  <c:v>-4.3492727960929587</c:v>
                </c:pt>
                <c:pt idx="661">
                  <c:v>-4.0519696782707362</c:v>
                </c:pt>
                <c:pt idx="662">
                  <c:v>-4.2987829852707362</c:v>
                </c:pt>
                <c:pt idx="663">
                  <c:v>-4.2735550539507354</c:v>
                </c:pt>
                <c:pt idx="664">
                  <c:v>-4.3800554569507355</c:v>
                </c:pt>
                <c:pt idx="665">
                  <c:v>-4.3693276081650216</c:v>
                </c:pt>
                <c:pt idx="666">
                  <c:v>-4.4085914813824125</c:v>
                </c:pt>
                <c:pt idx="667">
                  <c:v>-4.5851070083824128</c:v>
                </c:pt>
                <c:pt idx="668">
                  <c:v>-4.6145886283824131</c:v>
                </c:pt>
                <c:pt idx="669">
                  <c:v>-4.6500745629977978</c:v>
                </c:pt>
                <c:pt idx="670">
                  <c:v>-4.5457401854144637</c:v>
                </c:pt>
                <c:pt idx="671">
                  <c:v>-4.5457401854144637</c:v>
                </c:pt>
                <c:pt idx="672">
                  <c:v>-4.4438477332144641</c:v>
                </c:pt>
                <c:pt idx="673">
                  <c:v>-4.523171833214465</c:v>
                </c:pt>
                <c:pt idx="674">
                  <c:v>-4.5753683765865567</c:v>
                </c:pt>
                <c:pt idx="675">
                  <c:v>-4.651815960586557</c:v>
                </c:pt>
                <c:pt idx="676">
                  <c:v>-4.7896085728365572</c:v>
                </c:pt>
                <c:pt idx="677">
                  <c:v>-4.6191275752810013</c:v>
                </c:pt>
                <c:pt idx="678">
                  <c:v>-4.677297028844638</c:v>
                </c:pt>
                <c:pt idx="679">
                  <c:v>-4.4689413296657747</c:v>
                </c:pt>
                <c:pt idx="680">
                  <c:v>-4.7804476196657752</c:v>
                </c:pt>
                <c:pt idx="681">
                  <c:v>-4.8188529674243963</c:v>
                </c:pt>
                <c:pt idx="682">
                  <c:v>-4.7722149817101105</c:v>
                </c:pt>
                <c:pt idx="683">
                  <c:v>-4.7793194308277576</c:v>
                </c:pt>
                <c:pt idx="684">
                  <c:v>-4.7379588345298851</c:v>
                </c:pt>
                <c:pt idx="685">
                  <c:v>-4.6312782999220428</c:v>
                </c:pt>
                <c:pt idx="686">
                  <c:v>-4.7735060349098477</c:v>
                </c:pt>
                <c:pt idx="687">
                  <c:v>-4.2370749309098477</c:v>
                </c:pt>
                <c:pt idx="688">
                  <c:v>-4.2492344431739983</c:v>
                </c:pt>
                <c:pt idx="689">
                  <c:v>-4.1792227886739983</c:v>
                </c:pt>
                <c:pt idx="690">
                  <c:v>-4.2756728153406653</c:v>
                </c:pt>
                <c:pt idx="691">
                  <c:v>-4.1368238772354022</c:v>
                </c:pt>
                <c:pt idx="692">
                  <c:v>-4.062107753871766</c:v>
                </c:pt>
                <c:pt idx="693">
                  <c:v>-4.0964190755193846</c:v>
                </c:pt>
                <c:pt idx="694">
                  <c:v>-4.1131821043153032</c:v>
                </c:pt>
                <c:pt idx="695">
                  <c:v>-4.1048654944443363</c:v>
                </c:pt>
                <c:pt idx="696">
                  <c:v>-4.0550759577243358</c:v>
                </c:pt>
                <c:pt idx="697">
                  <c:v>-4.1071329037243363</c:v>
                </c:pt>
                <c:pt idx="698">
                  <c:v>-4.0782217219243364</c:v>
                </c:pt>
                <c:pt idx="699">
                  <c:v>-4.0340369866560435</c:v>
                </c:pt>
                <c:pt idx="700">
                  <c:v>-4.0407103452442792</c:v>
                </c:pt>
                <c:pt idx="701">
                  <c:v>-4.0779275123351875</c:v>
                </c:pt>
                <c:pt idx="702">
                  <c:v>-3.9710524467381729</c:v>
                </c:pt>
                <c:pt idx="703">
                  <c:v>-3.8293014369433007</c:v>
                </c:pt>
                <c:pt idx="704">
                  <c:v>-3.8138358974775475</c:v>
                </c:pt>
                <c:pt idx="705">
                  <c:v>-3.8081838178411838</c:v>
                </c:pt>
                <c:pt idx="706">
                  <c:v>-3.847238300841183</c:v>
                </c:pt>
                <c:pt idx="707">
                  <c:v>-3.8576653647946713</c:v>
                </c:pt>
                <c:pt idx="708">
                  <c:v>-3.8256542624775989</c:v>
                </c:pt>
                <c:pt idx="709">
                  <c:v>-3.7308359447819468</c:v>
                </c:pt>
                <c:pt idx="710">
                  <c:v>-3.9178438280535515</c:v>
                </c:pt>
                <c:pt idx="711">
                  <c:v>-4.0141049807377618</c:v>
                </c:pt>
                <c:pt idx="712">
                  <c:v>-3.9643968516468528</c:v>
                </c:pt>
                <c:pt idx="713">
                  <c:v>-3.9643968516468528</c:v>
                </c:pt>
                <c:pt idx="714">
                  <c:v>-3.548566889758852</c:v>
                </c:pt>
                <c:pt idx="715">
                  <c:v>-3.802525235687666</c:v>
                </c:pt>
                <c:pt idx="716">
                  <c:v>-4.7592272242376659</c:v>
                </c:pt>
                <c:pt idx="717">
                  <c:v>-4.8556148789043316</c:v>
                </c:pt>
                <c:pt idx="718">
                  <c:v>-5.0068428783990697</c:v>
                </c:pt>
                <c:pt idx="719">
                  <c:v>-5.0323822951113986</c:v>
                </c:pt>
                <c:pt idx="720">
                  <c:v>-4.8600984186669542</c:v>
                </c:pt>
                <c:pt idx="721">
                  <c:v>-4.8332247784867741</c:v>
                </c:pt>
                <c:pt idx="722">
                  <c:v>-5.0967799756945658</c:v>
                </c:pt>
                <c:pt idx="723">
                  <c:v>-5.1169268809066875</c:v>
                </c:pt>
                <c:pt idx="724">
                  <c:v>-5.1790557799924022</c:v>
                </c:pt>
                <c:pt idx="725">
                  <c:v>-5.1508687476334272</c:v>
                </c:pt>
                <c:pt idx="726">
                  <c:v>-5.1439900337872739</c:v>
                </c:pt>
                <c:pt idx="727">
                  <c:v>-5.1744601636054561</c:v>
                </c:pt>
                <c:pt idx="728">
                  <c:v>-5.3089711796054555</c:v>
                </c:pt>
                <c:pt idx="729">
                  <c:v>-5.2908699414703202</c:v>
                </c:pt>
                <c:pt idx="730">
                  <c:v>-5.2908699414703202</c:v>
                </c:pt>
                <c:pt idx="731">
                  <c:v>-5.2485996719568062</c:v>
                </c:pt>
                <c:pt idx="732">
                  <c:v>-5.1821341459984733</c:v>
                </c:pt>
                <c:pt idx="733">
                  <c:v>-5.1583691423281435</c:v>
                </c:pt>
                <c:pt idx="734">
                  <c:v>-5.1748131093048881</c:v>
                </c:pt>
                <c:pt idx="735">
                  <c:v>-5.1812868539048873</c:v>
                </c:pt>
                <c:pt idx="736">
                  <c:v>-5.1726042896477447</c:v>
                </c:pt>
                <c:pt idx="737">
                  <c:v>-5.1615702652033004</c:v>
                </c:pt>
                <c:pt idx="738">
                  <c:v>-5.1772475507685183</c:v>
                </c:pt>
                <c:pt idx="739">
                  <c:v>-5.1679085000443798</c:v>
                </c:pt>
                <c:pt idx="740">
                  <c:v>-5.1609894131872371</c:v>
                </c:pt>
                <c:pt idx="741">
                  <c:v>-5.1531670215872376</c:v>
                </c:pt>
                <c:pt idx="742">
                  <c:v>-5.1914289228158097</c:v>
                </c:pt>
                <c:pt idx="743">
                  <c:v>-5.3060353598158088</c:v>
                </c:pt>
                <c:pt idx="744">
                  <c:v>-5.3526998114158086</c:v>
                </c:pt>
                <c:pt idx="745">
                  <c:v>-5.3712253441984172</c:v>
                </c:pt>
                <c:pt idx="746">
                  <c:v>-5.3843554259127036</c:v>
                </c:pt>
                <c:pt idx="747">
                  <c:v>-5.3843554259127036</c:v>
                </c:pt>
                <c:pt idx="748">
                  <c:v>-5.3535985689672483</c:v>
                </c:pt>
                <c:pt idx="749">
                  <c:v>-5.3242849641834642</c:v>
                </c:pt>
                <c:pt idx="750">
                  <c:v>-5.2920131269612432</c:v>
                </c:pt>
                <c:pt idx="751">
                  <c:v>-5.2109933309612426</c:v>
                </c:pt>
                <c:pt idx="752">
                  <c:v>-5.14219186325536</c:v>
                </c:pt>
                <c:pt idx="753">
                  <c:v>-5.1787590039944904</c:v>
                </c:pt>
                <c:pt idx="754">
                  <c:v>-5.1817233378406442</c:v>
                </c:pt>
                <c:pt idx="755">
                  <c:v>-5.1801496179374187</c:v>
                </c:pt>
                <c:pt idx="756">
                  <c:v>-5.2309127392707522</c:v>
                </c:pt>
                <c:pt idx="757">
                  <c:v>-5.1442125955365743</c:v>
                </c:pt>
                <c:pt idx="758">
                  <c:v>-5.1814885212794328</c:v>
                </c:pt>
                <c:pt idx="759">
                  <c:v>-5.1453487570355287</c:v>
                </c:pt>
                <c:pt idx="760">
                  <c:v>-5.1363680224900756</c:v>
                </c:pt>
                <c:pt idx="761">
                  <c:v>-5.0681433305590406</c:v>
                </c:pt>
                <c:pt idx="762">
                  <c:v>-5.0444693305590409</c:v>
                </c:pt>
                <c:pt idx="763">
                  <c:v>-5.0732920595590416</c:v>
                </c:pt>
                <c:pt idx="764">
                  <c:v>-4.9540945252639581</c:v>
                </c:pt>
                <c:pt idx="765">
                  <c:v>-4.9540945252639572</c:v>
                </c:pt>
                <c:pt idx="766">
                  <c:v>-4.9282273079110164</c:v>
                </c:pt>
                <c:pt idx="767">
                  <c:v>-4.8491366789879393</c:v>
                </c:pt>
                <c:pt idx="768">
                  <c:v>-4.8992264390398867</c:v>
                </c:pt>
                <c:pt idx="769">
                  <c:v>-4.9265889405783483</c:v>
                </c:pt>
                <c:pt idx="770">
                  <c:v>-4.9041507505783484</c:v>
                </c:pt>
                <c:pt idx="771">
                  <c:v>-4.9518023117888754</c:v>
                </c:pt>
                <c:pt idx="772">
                  <c:v>-5.0031869512174465</c:v>
                </c:pt>
                <c:pt idx="773">
                  <c:v>-4.8887534419223639</c:v>
                </c:pt>
                <c:pt idx="774">
                  <c:v>-4.8447267634388469</c:v>
                </c:pt>
                <c:pt idx="775">
                  <c:v>-4.9183234718259445</c:v>
                </c:pt>
                <c:pt idx="776">
                  <c:v>-4.9313785310259437</c:v>
                </c:pt>
                <c:pt idx="777">
                  <c:v>-4.890876158945944</c:v>
                </c:pt>
                <c:pt idx="778">
                  <c:v>-4.8006232525202019</c:v>
                </c:pt>
                <c:pt idx="779">
                  <c:v>-4.7564475180542924</c:v>
                </c:pt>
                <c:pt idx="780">
                  <c:v>-4.7653890205420968</c:v>
                </c:pt>
                <c:pt idx="781">
                  <c:v>-4.7103243862563824</c:v>
                </c:pt>
                <c:pt idx="782">
                  <c:v>-4.8234405384669081</c:v>
                </c:pt>
                <c:pt idx="783">
                  <c:v>-4.7947069922169083</c:v>
                </c:pt>
                <c:pt idx="784">
                  <c:v>-4.8148753179744839</c:v>
                </c:pt>
                <c:pt idx="785">
                  <c:v>-4.7862087205744839</c:v>
                </c:pt>
                <c:pt idx="786">
                  <c:v>-4.7380419680744836</c:v>
                </c:pt>
                <c:pt idx="787">
                  <c:v>-4.7451841463070412</c:v>
                </c:pt>
                <c:pt idx="788">
                  <c:v>-4.7358554542615874</c:v>
                </c:pt>
                <c:pt idx="789">
                  <c:v>-4.73673087791071</c:v>
                </c:pt>
                <c:pt idx="790">
                  <c:v>-4.721718691528892</c:v>
                </c:pt>
                <c:pt idx="791">
                  <c:v>-4.7308705586987037</c:v>
                </c:pt>
                <c:pt idx="792">
                  <c:v>-4.7104255322701318</c:v>
                </c:pt>
                <c:pt idx="793">
                  <c:v>-4.7445662292806583</c:v>
                </c:pt>
                <c:pt idx="794">
                  <c:v>-4.6660216371542216</c:v>
                </c:pt>
                <c:pt idx="795">
                  <c:v>-4.7030788714846183</c:v>
                </c:pt>
                <c:pt idx="796">
                  <c:v>-4.646682764484618</c:v>
                </c:pt>
                <c:pt idx="797">
                  <c:v>-4.6601430910902515</c:v>
                </c:pt>
                <c:pt idx="798">
                  <c:v>-4.6507727063614386</c:v>
                </c:pt>
                <c:pt idx="799">
                  <c:v>-4.6266396050570906</c:v>
                </c:pt>
                <c:pt idx="800">
                  <c:v>-4.6139278982203562</c:v>
                </c:pt>
                <c:pt idx="801">
                  <c:v>-4.6540437861591304</c:v>
                </c:pt>
                <c:pt idx="802">
                  <c:v>-4.6395638500472423</c:v>
                </c:pt>
                <c:pt idx="803">
                  <c:v>-4.6642887000472433</c:v>
                </c:pt>
                <c:pt idx="804">
                  <c:v>-4.691801260713909</c:v>
                </c:pt>
                <c:pt idx="805">
                  <c:v>-4.6711240392324278</c:v>
                </c:pt>
                <c:pt idx="806">
                  <c:v>-4.647786598162253</c:v>
                </c:pt>
                <c:pt idx="807">
                  <c:v>-4.6402950037007153</c:v>
                </c:pt>
                <c:pt idx="808">
                  <c:v>-4.6342938703673804</c:v>
                </c:pt>
                <c:pt idx="809">
                  <c:v>-4.6326161354906681</c:v>
                </c:pt>
                <c:pt idx="810">
                  <c:v>-4.6373940572703294</c:v>
                </c:pt>
                <c:pt idx="811">
                  <c:v>-4.6373940572703294</c:v>
                </c:pt>
                <c:pt idx="812">
                  <c:v>-4.6254254994166706</c:v>
                </c:pt>
                <c:pt idx="813">
                  <c:v>-4.6214248269880986</c:v>
                </c:pt>
                <c:pt idx="814">
                  <c:v>-4.6552654061620125</c:v>
                </c:pt>
                <c:pt idx="815">
                  <c:v>-4.6723443146620118</c:v>
                </c:pt>
                <c:pt idx="816">
                  <c:v>-4.6901011974397901</c:v>
                </c:pt>
                <c:pt idx="817">
                  <c:v>-4.6792981303963117</c:v>
                </c:pt>
                <c:pt idx="818">
                  <c:v>-4.6620302297377751</c:v>
                </c:pt>
                <c:pt idx="819">
                  <c:v>-4.6751057326101151</c:v>
                </c:pt>
                <c:pt idx="820">
                  <c:v>-4.6657442570535927</c:v>
                </c:pt>
                <c:pt idx="821">
                  <c:v>-4.6781528563960588</c:v>
                </c:pt>
                <c:pt idx="822">
                  <c:v>-4.62725313279332</c:v>
                </c:pt>
                <c:pt idx="823">
                  <c:v>-4.6877671731825092</c:v>
                </c:pt>
                <c:pt idx="824">
                  <c:v>-4.7677877128051502</c:v>
                </c:pt>
                <c:pt idx="825">
                  <c:v>-4.727104606892107</c:v>
                </c:pt>
                <c:pt idx="826">
                  <c:v>-4.8059237813458884</c:v>
                </c:pt>
                <c:pt idx="827">
                  <c:v>-4.8185651362665229</c:v>
                </c:pt>
                <c:pt idx="828">
                  <c:v>-4.8046468209561777</c:v>
                </c:pt>
                <c:pt idx="829">
                  <c:v>-4.7852040439561785</c:v>
                </c:pt>
                <c:pt idx="830">
                  <c:v>-4.7999951505061791</c:v>
                </c:pt>
                <c:pt idx="831">
                  <c:v>-4.8175031232561789</c:v>
                </c:pt>
                <c:pt idx="832">
                  <c:v>-4.8168788212035469</c:v>
                </c:pt>
                <c:pt idx="833">
                  <c:v>-4.8254806582035474</c:v>
                </c:pt>
                <c:pt idx="834">
                  <c:v>-4.835924683828547</c:v>
                </c:pt>
                <c:pt idx="835">
                  <c:v>-4.8495693347671978</c:v>
                </c:pt>
                <c:pt idx="836">
                  <c:v>-4.859013536020929</c:v>
                </c:pt>
                <c:pt idx="837">
                  <c:v>-4.8608837752665419</c:v>
                </c:pt>
                <c:pt idx="838">
                  <c:v>-4.8611279140982262</c:v>
                </c:pt>
                <c:pt idx="839">
                  <c:v>-4.8611279140982262</c:v>
                </c:pt>
                <c:pt idx="840">
                  <c:v>-4.8678439840441712</c:v>
                </c:pt>
                <c:pt idx="841">
                  <c:v>-4.8850780128378224</c:v>
                </c:pt>
                <c:pt idx="842">
                  <c:v>-4.8616078794352253</c:v>
                </c:pt>
                <c:pt idx="843">
                  <c:v>-4.8846814416932904</c:v>
                </c:pt>
                <c:pt idx="844">
                  <c:v>-4.89409292937329</c:v>
                </c:pt>
                <c:pt idx="845">
                  <c:v>-4.8760072439869262</c:v>
                </c:pt>
                <c:pt idx="846">
                  <c:v>-4.8233160392133403</c:v>
                </c:pt>
                <c:pt idx="847">
                  <c:v>-4.8352357470511791</c:v>
                </c:pt>
                <c:pt idx="848">
                  <c:v>-4.814480444080881</c:v>
                </c:pt>
                <c:pt idx="849">
                  <c:v>-4.8579401087324943</c:v>
                </c:pt>
                <c:pt idx="850">
                  <c:v>-4.8448824234824945</c:v>
                </c:pt>
                <c:pt idx="851">
                  <c:v>-4.8746829137817649</c:v>
                </c:pt>
                <c:pt idx="852">
                  <c:v>-4.859256687222131</c:v>
                </c:pt>
                <c:pt idx="853">
                  <c:v>-4.8657761691988757</c:v>
                </c:pt>
                <c:pt idx="854">
                  <c:v>-4.935975292766777</c:v>
                </c:pt>
                <c:pt idx="855">
                  <c:v>-4.935975292766777</c:v>
                </c:pt>
                <c:pt idx="856">
                  <c:v>-4.9349038654009227</c:v>
                </c:pt>
                <c:pt idx="857">
                  <c:v>-4.762098040638036</c:v>
                </c:pt>
                <c:pt idx="858">
                  <c:v>-4.7419398899570542</c:v>
                </c:pt>
                <c:pt idx="859">
                  <c:v>-4.5264389090844128</c:v>
                </c:pt>
                <c:pt idx="860">
                  <c:v>-4.5137592885288571</c:v>
                </c:pt>
                <c:pt idx="861">
                  <c:v>-4.5123448528488561</c:v>
                </c:pt>
                <c:pt idx="862">
                  <c:v>-4.5282004946774279</c:v>
                </c:pt>
                <c:pt idx="863">
                  <c:v>-4.5323201545652783</c:v>
                </c:pt>
                <c:pt idx="864">
                  <c:v>-4.5594711534312573</c:v>
                </c:pt>
                <c:pt idx="865">
                  <c:v>-4.5326845617221663</c:v>
                </c:pt>
                <c:pt idx="866">
                  <c:v>-4.532998015281489</c:v>
                </c:pt>
                <c:pt idx="867">
                  <c:v>-4.5050708492540918</c:v>
                </c:pt>
                <c:pt idx="868">
                  <c:v>-4.4996312033143324</c:v>
                </c:pt>
                <c:pt idx="869">
                  <c:v>-4.4972845989809995</c:v>
                </c:pt>
                <c:pt idx="870">
                  <c:v>-4.4437052962518315</c:v>
                </c:pt>
                <c:pt idx="871">
                  <c:v>-4.4331523926247138</c:v>
                </c:pt>
                <c:pt idx="872">
                  <c:v>-4.4410666853615561</c:v>
                </c:pt>
                <c:pt idx="873">
                  <c:v>-4.4417595450758416</c:v>
                </c:pt>
                <c:pt idx="874">
                  <c:v>-4.4380034885219954</c:v>
                </c:pt>
                <c:pt idx="875">
                  <c:v>-4.3982886733328064</c:v>
                </c:pt>
                <c:pt idx="876">
                  <c:v>-4.3593994871537936</c:v>
                </c:pt>
                <c:pt idx="877">
                  <c:v>-4.2412575724314054</c:v>
                </c:pt>
                <c:pt idx="878">
                  <c:v>-4.2984084851586779</c:v>
                </c:pt>
                <c:pt idx="879">
                  <c:v>-4.29247110102681</c:v>
                </c:pt>
                <c:pt idx="880">
                  <c:v>-4.28162435175481</c:v>
                </c:pt>
                <c:pt idx="881">
                  <c:v>-4.2786563427113311</c:v>
                </c:pt>
                <c:pt idx="882">
                  <c:v>-4.2806565730446646</c:v>
                </c:pt>
                <c:pt idx="883">
                  <c:v>-4.2702264905646645</c:v>
                </c:pt>
                <c:pt idx="884">
                  <c:v>-4.1827069451086212</c:v>
                </c:pt>
                <c:pt idx="885">
                  <c:v>-4.1773145280942314</c:v>
                </c:pt>
                <c:pt idx="886">
                  <c:v>-4.1369470764238416</c:v>
                </c:pt>
                <c:pt idx="887">
                  <c:v>-4.0170636558219721</c:v>
                </c:pt>
                <c:pt idx="888">
                  <c:v>-4.077305943034248</c:v>
                </c:pt>
                <c:pt idx="889">
                  <c:v>-4.0996330327825472</c:v>
                </c:pt>
                <c:pt idx="890">
                  <c:v>-4.1296520489860873</c:v>
                </c:pt>
                <c:pt idx="891">
                  <c:v>-4.1082175877245488</c:v>
                </c:pt>
                <c:pt idx="892">
                  <c:v>-4.0823558927245491</c:v>
                </c:pt>
                <c:pt idx="893">
                  <c:v>-4.1209423186375922</c:v>
                </c:pt>
                <c:pt idx="894">
                  <c:v>-4.153823487882196</c:v>
                </c:pt>
                <c:pt idx="895">
                  <c:v>-4.1415566088315634</c:v>
                </c:pt>
                <c:pt idx="896">
                  <c:v>-4.0963527912696591</c:v>
                </c:pt>
                <c:pt idx="897">
                  <c:v>-4.1157664071123552</c:v>
                </c:pt>
                <c:pt idx="898">
                  <c:v>-4.0667610229456885</c:v>
                </c:pt>
                <c:pt idx="899">
                  <c:v>-4.0675565719275069</c:v>
                </c:pt>
                <c:pt idx="900">
                  <c:v>-4.0061390739275069</c:v>
                </c:pt>
                <c:pt idx="901">
                  <c:v>-4.0273489825566458</c:v>
                </c:pt>
                <c:pt idx="902">
                  <c:v>-4.0191811242777336</c:v>
                </c:pt>
                <c:pt idx="903">
                  <c:v>-3.956085870457545</c:v>
                </c:pt>
                <c:pt idx="904">
                  <c:v>-3.9871675565420515</c:v>
                </c:pt>
                <c:pt idx="905">
                  <c:v>-3.8360118192910559</c:v>
                </c:pt>
                <c:pt idx="906">
                  <c:v>-3.6908073948706619</c:v>
                </c:pt>
                <c:pt idx="907">
                  <c:v>-3.619618973453484</c:v>
                </c:pt>
                <c:pt idx="908">
                  <c:v>-3.5449679845528221</c:v>
                </c:pt>
                <c:pt idx="909">
                  <c:v>-3.5079093504374375</c:v>
                </c:pt>
                <c:pt idx="910">
                  <c:v>-3.5466452608374377</c:v>
                </c:pt>
                <c:pt idx="911">
                  <c:v>-3.5089476665466579</c:v>
                </c:pt>
                <c:pt idx="912">
                  <c:v>-3.4957019321273028</c:v>
                </c:pt>
                <c:pt idx="913">
                  <c:v>-3.4519496606085052</c:v>
                </c:pt>
                <c:pt idx="914">
                  <c:v>-3.4516137575865273</c:v>
                </c:pt>
                <c:pt idx="915">
                  <c:v>-3.442705067719861</c:v>
                </c:pt>
                <c:pt idx="916">
                  <c:v>-3.4033326672177688</c:v>
                </c:pt>
                <c:pt idx="917">
                  <c:v>-3.3607613467533719</c:v>
                </c:pt>
                <c:pt idx="918">
                  <c:v>-3.4531993366733724</c:v>
                </c:pt>
                <c:pt idx="919">
                  <c:v>-3.5050240067728748</c:v>
                </c:pt>
                <c:pt idx="920">
                  <c:v>-3.4384079037391677</c:v>
                </c:pt>
                <c:pt idx="921">
                  <c:v>-3.446195481211741</c:v>
                </c:pt>
                <c:pt idx="922">
                  <c:v>-3.4485995505358793</c:v>
                </c:pt>
                <c:pt idx="923">
                  <c:v>-3.4608637848215942</c:v>
                </c:pt>
                <c:pt idx="924">
                  <c:v>-3.4665779882446706</c:v>
                </c:pt>
                <c:pt idx="925">
                  <c:v>-3.4764060619092665</c:v>
                </c:pt>
                <c:pt idx="926">
                  <c:v>-3.500279832755421</c:v>
                </c:pt>
                <c:pt idx="927">
                  <c:v>-3.4468917842832516</c:v>
                </c:pt>
                <c:pt idx="928">
                  <c:v>-3.4797073258225772</c:v>
                </c:pt>
                <c:pt idx="929">
                  <c:v>-3.4158455884956807</c:v>
                </c:pt>
                <c:pt idx="930">
                  <c:v>-3.4182123145204155</c:v>
                </c:pt>
                <c:pt idx="931">
                  <c:v>-3.4330283510204151</c:v>
                </c:pt>
                <c:pt idx="932">
                  <c:v>-3.4160682399315268</c:v>
                </c:pt>
                <c:pt idx="933">
                  <c:v>-3.3955116748312992</c:v>
                </c:pt>
                <c:pt idx="934">
                  <c:v>-3.4678380555394703</c:v>
                </c:pt>
                <c:pt idx="935">
                  <c:v>-3.374179781763686</c:v>
                </c:pt>
                <c:pt idx="936">
                  <c:v>-3.4309897097636863</c:v>
                </c:pt>
                <c:pt idx="937">
                  <c:v>-3.3773784892488341</c:v>
                </c:pt>
                <c:pt idx="938">
                  <c:v>-3.3157645465215611</c:v>
                </c:pt>
                <c:pt idx="939">
                  <c:v>-3.180563174782431</c:v>
                </c:pt>
                <c:pt idx="940">
                  <c:v>-3.2276370584792948</c:v>
                </c:pt>
                <c:pt idx="941">
                  <c:v>-3.1741058700028542</c:v>
                </c:pt>
                <c:pt idx="942">
                  <c:v>-3.1326022972092038</c:v>
                </c:pt>
                <c:pt idx="943">
                  <c:v>-2.9929820027504705</c:v>
                </c:pt>
                <c:pt idx="944">
                  <c:v>-3.0727397571286219</c:v>
                </c:pt>
                <c:pt idx="945">
                  <c:v>-3.0523691080251734</c:v>
                </c:pt>
                <c:pt idx="946">
                  <c:v>-2.9082484160536226</c:v>
                </c:pt>
                <c:pt idx="947">
                  <c:v>-2.6856282996383563</c:v>
                </c:pt>
                <c:pt idx="948">
                  <c:v>-2.5657240520793003</c:v>
                </c:pt>
                <c:pt idx="949">
                  <c:v>-2.6476326474595817</c:v>
                </c:pt>
                <c:pt idx="950">
                  <c:v>-2.5149047381768814</c:v>
                </c:pt>
                <c:pt idx="951">
                  <c:v>-2.452056987617357</c:v>
                </c:pt>
                <c:pt idx="952">
                  <c:v>-2.3515709501503879</c:v>
                </c:pt>
                <c:pt idx="953">
                  <c:v>-1.9661366757503878</c:v>
                </c:pt>
                <c:pt idx="954">
                  <c:v>-1.7717807621434005</c:v>
                </c:pt>
                <c:pt idx="955">
                  <c:v>-1.6955620488154262</c:v>
                </c:pt>
                <c:pt idx="956">
                  <c:v>-1.6149863663687758</c:v>
                </c:pt>
                <c:pt idx="957">
                  <c:v>-1.6311740698693127</c:v>
                </c:pt>
                <c:pt idx="958">
                  <c:v>-1.5939326645401199</c:v>
                </c:pt>
                <c:pt idx="959">
                  <c:v>-1.8036308289563638</c:v>
                </c:pt>
                <c:pt idx="960">
                  <c:v>-0.95507980283459415</c:v>
                </c:pt>
                <c:pt idx="961">
                  <c:v>-1.5690088441874561</c:v>
                </c:pt>
                <c:pt idx="962">
                  <c:v>-0.94435071035075724</c:v>
                </c:pt>
                <c:pt idx="963">
                  <c:v>-1.4660653677228253</c:v>
                </c:pt>
                <c:pt idx="964">
                  <c:v>-1.3804772477903926</c:v>
                </c:pt>
                <c:pt idx="965">
                  <c:v>-1.3772364111439279</c:v>
                </c:pt>
                <c:pt idx="966">
                  <c:v>-1.3875246402867851</c:v>
                </c:pt>
                <c:pt idx="967">
                  <c:v>-1.3958838047314028</c:v>
                </c:pt>
                <c:pt idx="968">
                  <c:v>-1.4442360599784616</c:v>
                </c:pt>
                <c:pt idx="969">
                  <c:v>-1.4211773987759297</c:v>
                </c:pt>
                <c:pt idx="970">
                  <c:v>-1.3312193440168312</c:v>
                </c:pt>
                <c:pt idx="971">
                  <c:v>-1.3836926788215187</c:v>
                </c:pt>
                <c:pt idx="972">
                  <c:v>-1.3014144032117627</c:v>
                </c:pt>
                <c:pt idx="973">
                  <c:v>-1.4226832188172052</c:v>
                </c:pt>
                <c:pt idx="974">
                  <c:v>-1.1932979463882507</c:v>
                </c:pt>
                <c:pt idx="975">
                  <c:v>-1.1797193982878316</c:v>
                </c:pt>
                <c:pt idx="976">
                  <c:v>-1.0920867559733667</c:v>
                </c:pt>
                <c:pt idx="977">
                  <c:v>-1.0133383352041361</c:v>
                </c:pt>
                <c:pt idx="978">
                  <c:v>-1.1867391147981039</c:v>
                </c:pt>
                <c:pt idx="979">
                  <c:v>-1.2287730585514196</c:v>
                </c:pt>
                <c:pt idx="980">
                  <c:v>-1.0862266981029067</c:v>
                </c:pt>
                <c:pt idx="981">
                  <c:v>-1.1681128643529073</c:v>
                </c:pt>
                <c:pt idx="982">
                  <c:v>-0.96333301360562462</c:v>
                </c:pt>
                <c:pt idx="983">
                  <c:v>-0.50139061711088762</c:v>
                </c:pt>
                <c:pt idx="984">
                  <c:v>-0.76305992310210324</c:v>
                </c:pt>
                <c:pt idx="985">
                  <c:v>-0.6974921216525739</c:v>
                </c:pt>
                <c:pt idx="986">
                  <c:v>-0.85910211842763728</c:v>
                </c:pt>
                <c:pt idx="987">
                  <c:v>-0.86152958686062675</c:v>
                </c:pt>
                <c:pt idx="988">
                  <c:v>-0.74203143596828924</c:v>
                </c:pt>
                <c:pt idx="989">
                  <c:v>-0.82985873270317301</c:v>
                </c:pt>
                <c:pt idx="990">
                  <c:v>-0.90062558790995284</c:v>
                </c:pt>
                <c:pt idx="991">
                  <c:v>-0.8831701262131445</c:v>
                </c:pt>
                <c:pt idx="992">
                  <c:v>-0.8372257639274302</c:v>
                </c:pt>
                <c:pt idx="993">
                  <c:v>-0.80789738299554137</c:v>
                </c:pt>
                <c:pt idx="994">
                  <c:v>-0.77015901316696989</c:v>
                </c:pt>
                <c:pt idx="995">
                  <c:v>-0.70205373450471809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FB-4135-AA3F-C9D08AE9F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5709328"/>
        <c:axId val="635712240"/>
      </c:lineChart>
      <c:dateAx>
        <c:axId val="6357093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12240"/>
        <c:crosses val="autoZero"/>
        <c:auto val="1"/>
        <c:lblOffset val="100"/>
        <c:baseTimeUnit val="days"/>
      </c:dateAx>
      <c:valAx>
        <c:axId val="63571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570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90B9A5B-50C7-4771-B142-12431236F021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6BDBE2-D2FD-4BDB-B6BE-889265BE05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0.19900000000000001</v>
      </c>
      <c r="D2" s="4">
        <f>MIN(D3:D1912)</f>
        <v>1.98E-3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3.3860000000000001E-2</v>
      </c>
      <c r="C5">
        <v>3.4290000000000001E-2</v>
      </c>
      <c r="D5">
        <v>3.295E-2</v>
      </c>
      <c r="E5">
        <v>3.295E-2</v>
      </c>
      <c r="F5">
        <v>2171662.9</v>
      </c>
      <c r="G5">
        <v>3.295E-2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-2171662.9</v>
      </c>
      <c r="R5">
        <f t="shared" ref="R5" si="2">R6+Q5</f>
        <v>-13823060559.731411</v>
      </c>
      <c r="S5">
        <f t="shared" ref="S5" si="3">R5/100000</f>
        <v>-138230.6055973141</v>
      </c>
      <c r="T5">
        <f t="shared" ref="T5" si="4">S5/1000</f>
        <v>-138.23060559731411</v>
      </c>
    </row>
    <row r="6" spans="1:20" x14ac:dyDescent="0.25">
      <c r="A6" s="5">
        <v>44587</v>
      </c>
      <c r="B6">
        <v>3.3360000000000001E-2</v>
      </c>
      <c r="C6">
        <v>3.6990000000000002E-2</v>
      </c>
      <c r="D6">
        <v>3.3000000000000002E-2</v>
      </c>
      <c r="E6">
        <v>3.3860000000000001E-2</v>
      </c>
      <c r="F6">
        <v>56486043.200000003</v>
      </c>
      <c r="G6">
        <v>3.3860000000000001E-2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-0.56892230576441127</v>
      </c>
      <c r="Q6">
        <f t="shared" ref="Q6" si="6">F6*P6</f>
        <v>-32136169.940852147</v>
      </c>
      <c r="R6">
        <f t="shared" ref="R6" si="7">R7+Q6</f>
        <v>-13820888896.831411</v>
      </c>
      <c r="S6">
        <f t="shared" ref="S6" si="8">R6/100000</f>
        <v>-138208.8889683141</v>
      </c>
      <c r="T6">
        <f t="shared" ref="T6" si="9">S6/1000</f>
        <v>-138.20888896831411</v>
      </c>
    </row>
    <row r="7" spans="1:20" x14ac:dyDescent="0.25">
      <c r="A7" s="5">
        <v>44586</v>
      </c>
      <c r="B7">
        <v>3.3500000000000002E-2</v>
      </c>
      <c r="C7">
        <v>3.4540000000000001E-2</v>
      </c>
      <c r="D7">
        <v>3.2329999999999998E-2</v>
      </c>
      <c r="E7">
        <v>3.3320000000000002E-2</v>
      </c>
      <c r="F7">
        <v>35778770.399999999</v>
      </c>
      <c r="G7">
        <v>3.3320000000000002E-2</v>
      </c>
      <c r="L7" t="s">
        <v>8</v>
      </c>
      <c r="M7" t="s">
        <v>7</v>
      </c>
      <c r="N7" t="s">
        <v>7</v>
      </c>
      <c r="P7">
        <f t="shared" ref="P7" si="10">IF(C7=D7,0,((E7-D7)-(C7-E7))/(C7-D7))</f>
        <v>-0.10407239819004241</v>
      </c>
      <c r="Q7">
        <f t="shared" ref="Q7" si="11">F7*P7</f>
        <v>-3723582.4398189029</v>
      </c>
      <c r="R7">
        <f t="shared" ref="R7" si="12">R8+Q7</f>
        <v>-13788752726.89056</v>
      </c>
      <c r="S7">
        <f t="shared" ref="S7" si="13">R7/100000</f>
        <v>-137887.5272689056</v>
      </c>
      <c r="T7">
        <f t="shared" ref="T7" si="14">S7/1000</f>
        <v>-137.88752726890559</v>
      </c>
    </row>
    <row r="8" spans="1:20" x14ac:dyDescent="0.25">
      <c r="A8" s="5">
        <v>44585</v>
      </c>
      <c r="B8">
        <v>3.5249999999999997E-2</v>
      </c>
      <c r="C8">
        <v>3.526E-2</v>
      </c>
      <c r="D8">
        <v>3.0499999999999999E-2</v>
      </c>
      <c r="E8">
        <v>3.3520000000000001E-2</v>
      </c>
      <c r="F8">
        <v>155820736.19999999</v>
      </c>
      <c r="G8">
        <v>3.3520000000000001E-2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0.26890756302521079</v>
      </c>
      <c r="Q8">
        <f t="shared" ref="Q8" si="16">F8*P8</f>
        <v>41901374.440336242</v>
      </c>
      <c r="R8">
        <f t="shared" ref="R8" si="17">R9+Q8</f>
        <v>-13785029144.450741</v>
      </c>
      <c r="S8">
        <f t="shared" ref="S8" si="18">R8/100000</f>
        <v>-137850.2914445074</v>
      </c>
      <c r="T8">
        <f t="shared" ref="T8" si="19">S8/1000</f>
        <v>-137.85029144450741</v>
      </c>
    </row>
    <row r="9" spans="1:20" x14ac:dyDescent="0.25">
      <c r="A9" s="5">
        <v>44584</v>
      </c>
      <c r="B9">
        <v>3.3099999999999997E-2</v>
      </c>
      <c r="C9">
        <v>3.6380000000000003E-2</v>
      </c>
      <c r="D9">
        <v>3.2919999999999998E-2</v>
      </c>
      <c r="E9">
        <v>3.5229999999999997E-2</v>
      </c>
      <c r="F9">
        <v>123208191.40000001</v>
      </c>
      <c r="G9">
        <v>3.5229999999999997E-2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0.33526011560693431</v>
      </c>
      <c r="Q9">
        <f t="shared" ref="Q9" si="21">F9*P9</f>
        <v>41306792.492485292</v>
      </c>
      <c r="R9">
        <f t="shared" ref="R9" si="22">R10+Q9</f>
        <v>-13826930518.891077</v>
      </c>
      <c r="S9">
        <f t="shared" ref="S9" si="23">R9/100000</f>
        <v>-138269.30518891077</v>
      </c>
      <c r="T9">
        <f t="shared" ref="T9" si="24">S9/1000</f>
        <v>-138.26930518891078</v>
      </c>
    </row>
    <row r="10" spans="1:20" x14ac:dyDescent="0.25">
      <c r="A10" s="5">
        <v>44583</v>
      </c>
      <c r="B10">
        <v>3.712E-2</v>
      </c>
      <c r="C10">
        <v>3.7929999999999998E-2</v>
      </c>
      <c r="D10">
        <v>0.03</v>
      </c>
      <c r="E10">
        <v>3.3160000000000002E-2</v>
      </c>
      <c r="F10">
        <v>83616529.400000006</v>
      </c>
      <c r="G10">
        <v>3.3160000000000002E-2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-0.20302648171500548</v>
      </c>
      <c r="Q10">
        <f t="shared" ref="Q10" si="26">F10*P10</f>
        <v>-16976369.777301319</v>
      </c>
      <c r="R10">
        <f t="shared" ref="R10" si="27">R11+Q10</f>
        <v>-13868237311.383562</v>
      </c>
      <c r="S10">
        <f t="shared" ref="S10" si="28">R10/100000</f>
        <v>-138682.37311383561</v>
      </c>
      <c r="T10">
        <f t="shared" ref="T10" si="29">S10/1000</f>
        <v>-138.68237311383561</v>
      </c>
    </row>
    <row r="11" spans="1:20" x14ac:dyDescent="0.25">
      <c r="A11" s="5">
        <v>44582</v>
      </c>
      <c r="B11">
        <v>4.4499999999999998E-2</v>
      </c>
      <c r="C11">
        <v>4.5150000000000003E-2</v>
      </c>
      <c r="D11">
        <v>3.635E-2</v>
      </c>
      <c r="E11">
        <v>3.712E-2</v>
      </c>
      <c r="F11">
        <v>89698701.900000006</v>
      </c>
      <c r="G11">
        <v>3.712E-2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-0.82500000000000007</v>
      </c>
      <c r="Q11">
        <f t="shared" ref="Q11" si="31">F11*P11</f>
        <v>-74001429.06750001</v>
      </c>
      <c r="R11">
        <f t="shared" ref="R11" si="32">R12+Q11</f>
        <v>-13851260941.60626</v>
      </c>
      <c r="S11">
        <f t="shared" ref="S11" si="33">R11/100000</f>
        <v>-138512.60941606259</v>
      </c>
      <c r="T11">
        <f t="shared" ref="T11" si="34">S11/1000</f>
        <v>-138.51260941606259</v>
      </c>
    </row>
    <row r="12" spans="1:20" x14ac:dyDescent="0.25">
      <c r="A12" s="5">
        <v>44581</v>
      </c>
      <c r="B12">
        <v>4.9090000000000002E-2</v>
      </c>
      <c r="C12">
        <v>5.0979999999999998E-2</v>
      </c>
      <c r="D12">
        <v>4.403E-2</v>
      </c>
      <c r="E12">
        <v>4.4560000000000002E-2</v>
      </c>
      <c r="F12">
        <v>56388978.700000003</v>
      </c>
      <c r="G12">
        <v>4.4560000000000002E-2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-0.84748201438848836</v>
      </c>
      <c r="Q12">
        <f t="shared" ref="Q12" si="36">F12*P12</f>
        <v>-47788645.25798557</v>
      </c>
      <c r="R12">
        <f t="shared" ref="R12" si="37">R13+Q12</f>
        <v>-13777259512.538761</v>
      </c>
      <c r="S12">
        <f t="shared" ref="S12" si="38">R12/100000</f>
        <v>-137772.5951253876</v>
      </c>
      <c r="T12">
        <f t="shared" ref="T12" si="39">S12/1000</f>
        <v>-137.7725951253876</v>
      </c>
    </row>
    <row r="13" spans="1:20" x14ac:dyDescent="0.25">
      <c r="A13" s="5">
        <v>44580</v>
      </c>
      <c r="B13">
        <v>4.6809999999999997E-2</v>
      </c>
      <c r="C13">
        <v>5.0990000000000001E-2</v>
      </c>
      <c r="D13">
        <v>4.555E-2</v>
      </c>
      <c r="E13">
        <v>4.9090000000000002E-2</v>
      </c>
      <c r="F13">
        <v>53625279.600000001</v>
      </c>
      <c r="G13">
        <v>4.9090000000000002E-2</v>
      </c>
      <c r="L13" t="s">
        <v>8</v>
      </c>
      <c r="M13" t="s">
        <v>7</v>
      </c>
      <c r="N13" t="s">
        <v>7</v>
      </c>
      <c r="P13">
        <f t="shared" ref="P13" si="40">IF(C13=D13,0,((E13-D13)-(C13-E13))/(C13-D13))</f>
        <v>0.30147058823529455</v>
      </c>
      <c r="Q13">
        <f t="shared" ref="Q13" si="41">F13*P13</f>
        <v>16166444.585294141</v>
      </c>
      <c r="R13">
        <f t="shared" ref="R13" si="42">R14+Q13</f>
        <v>-13729470867.280775</v>
      </c>
      <c r="S13">
        <f t="shared" ref="S13" si="43">R13/100000</f>
        <v>-137294.70867280776</v>
      </c>
      <c r="T13">
        <f t="shared" ref="T13" si="44">S13/1000</f>
        <v>-137.29470867280776</v>
      </c>
    </row>
    <row r="14" spans="1:20" x14ac:dyDescent="0.25">
      <c r="A14" s="5">
        <v>44579</v>
      </c>
      <c r="B14">
        <v>4.802E-2</v>
      </c>
      <c r="C14">
        <v>4.9349999999999998E-2</v>
      </c>
      <c r="D14">
        <v>4.5949999999999998E-2</v>
      </c>
      <c r="E14">
        <v>4.6789999999999998E-2</v>
      </c>
      <c r="F14">
        <v>36979166.799999997</v>
      </c>
      <c r="G14">
        <v>4.6789999999999998E-2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-0.50588235294117623</v>
      </c>
      <c r="Q14">
        <f t="shared" ref="Q14" si="46">F14*P14</f>
        <v>-18707107.910588223</v>
      </c>
      <c r="R14">
        <f t="shared" ref="R14" si="47">R15+Q14</f>
        <v>-13745637311.86607</v>
      </c>
      <c r="S14">
        <f t="shared" ref="S14" si="48">R14/100000</f>
        <v>-137456.3731186607</v>
      </c>
      <c r="T14">
        <f t="shared" ref="T14" si="49">S14/1000</f>
        <v>-137.45637311866071</v>
      </c>
    </row>
    <row r="15" spans="1:20" x14ac:dyDescent="0.25">
      <c r="A15" s="5">
        <v>44578</v>
      </c>
      <c r="B15">
        <v>5.0259999999999999E-2</v>
      </c>
      <c r="C15">
        <v>5.0619999999999998E-2</v>
      </c>
      <c r="D15">
        <v>4.7359999999999999E-2</v>
      </c>
      <c r="E15">
        <v>4.8000000000000001E-2</v>
      </c>
      <c r="F15">
        <v>35716253.899999999</v>
      </c>
      <c r="G15">
        <v>4.8000000000000001E-2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-0.60736196319018287</v>
      </c>
      <c r="Q15">
        <f t="shared" ref="Q15" si="51">F15*P15</f>
        <v>-21692694.086503025</v>
      </c>
      <c r="R15">
        <f t="shared" ref="R15" si="52">R16+Q15</f>
        <v>-13726930203.955482</v>
      </c>
      <c r="S15">
        <f t="shared" ref="S15" si="53">R15/100000</f>
        <v>-137269.30203955484</v>
      </c>
      <c r="T15">
        <f t="shared" ref="T15" si="54">S15/1000</f>
        <v>-137.26930203955484</v>
      </c>
    </row>
    <row r="16" spans="1:20" x14ac:dyDescent="0.25">
      <c r="A16" s="5">
        <v>44577</v>
      </c>
      <c r="B16">
        <v>5.067E-2</v>
      </c>
      <c r="C16">
        <v>5.3129999999999997E-2</v>
      </c>
      <c r="D16">
        <v>5.0119999999999998E-2</v>
      </c>
      <c r="E16">
        <v>5.024E-2</v>
      </c>
      <c r="F16">
        <v>51685787.799999997</v>
      </c>
      <c r="G16">
        <v>5.024E-2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-0.9202657807308956</v>
      </c>
      <c r="Q16">
        <f t="shared" ref="Q16" si="56">F16*P16</f>
        <v>-47564661.862458393</v>
      </c>
      <c r="R16">
        <f t="shared" ref="R16" si="57">R17+Q16</f>
        <v>-13705237509.86898</v>
      </c>
      <c r="S16">
        <f t="shared" ref="S16" si="58">R16/100000</f>
        <v>-137052.37509868981</v>
      </c>
      <c r="T16">
        <f t="shared" ref="T16" si="59">S16/1000</f>
        <v>-137.05237509868982</v>
      </c>
    </row>
    <row r="17" spans="1:20" x14ac:dyDescent="0.25">
      <c r="A17" s="5">
        <v>44576</v>
      </c>
      <c r="B17">
        <v>4.8939999999999997E-2</v>
      </c>
      <c r="C17">
        <v>5.3249999999999999E-2</v>
      </c>
      <c r="D17">
        <v>4.8500000000000001E-2</v>
      </c>
      <c r="E17">
        <v>5.0659999999999997E-2</v>
      </c>
      <c r="F17">
        <v>55817266.5</v>
      </c>
      <c r="G17">
        <v>5.0659999999999997E-2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-9.0526315789475162E-2</v>
      </c>
      <c r="Q17">
        <f t="shared" ref="Q17" si="61">F17*P17</f>
        <v>-5052931.4936842928</v>
      </c>
      <c r="R17">
        <f t="shared" ref="R17" si="62">R18+Q17</f>
        <v>-13657672848.006521</v>
      </c>
      <c r="S17">
        <f t="shared" ref="S17" si="63">R17/100000</f>
        <v>-136576.72848006521</v>
      </c>
      <c r="T17">
        <f t="shared" ref="T17" si="64">S17/1000</f>
        <v>-136.57672848006521</v>
      </c>
    </row>
    <row r="18" spans="1:20" x14ac:dyDescent="0.25">
      <c r="A18" s="5">
        <v>44575</v>
      </c>
      <c r="B18">
        <v>4.8739999999999999E-2</v>
      </c>
      <c r="C18">
        <v>5.0369999999999998E-2</v>
      </c>
      <c r="D18">
        <v>4.727E-2</v>
      </c>
      <c r="E18">
        <v>4.8899999999999999E-2</v>
      </c>
      <c r="F18">
        <v>47360910.399999999</v>
      </c>
      <c r="G18">
        <v>4.8899999999999999E-2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5.1612903225806611E-2</v>
      </c>
      <c r="Q18">
        <f t="shared" ref="Q18" si="66">F18*P18</f>
        <v>2444434.0851612976</v>
      </c>
      <c r="R18">
        <f t="shared" ref="R18" si="67">R19+Q18</f>
        <v>-13652619916.512836</v>
      </c>
      <c r="S18">
        <f t="shared" ref="S18" si="68">R18/100000</f>
        <v>-136526.19916512838</v>
      </c>
      <c r="T18">
        <f t="shared" ref="T18" si="69">S18/1000</f>
        <v>-136.52619916512839</v>
      </c>
    </row>
    <row r="19" spans="1:20" x14ac:dyDescent="0.25">
      <c r="A19" s="5">
        <v>44574</v>
      </c>
      <c r="B19">
        <v>5.1540000000000002E-2</v>
      </c>
      <c r="C19">
        <v>5.3650000000000003E-2</v>
      </c>
      <c r="D19">
        <v>4.8559999999999999E-2</v>
      </c>
      <c r="E19">
        <v>4.8680000000000001E-2</v>
      </c>
      <c r="F19">
        <v>54113094.299999997</v>
      </c>
      <c r="G19">
        <v>4.8680000000000001E-2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-0.95284872298624679</v>
      </c>
      <c r="Q19">
        <f t="shared" ref="Q19" si="71">F19*P19</f>
        <v>-51561592.800589345</v>
      </c>
      <c r="R19">
        <f t="shared" ref="R19" si="72">R20+Q19</f>
        <v>-13655064350.597998</v>
      </c>
      <c r="S19">
        <f t="shared" ref="S19" si="73">R19/100000</f>
        <v>-136550.64350597997</v>
      </c>
      <c r="T19">
        <f t="shared" ref="T19" si="74">S19/1000</f>
        <v>-136.55064350597996</v>
      </c>
    </row>
    <row r="20" spans="1:20" x14ac:dyDescent="0.25">
      <c r="A20" s="5">
        <v>44573</v>
      </c>
      <c r="B20">
        <v>4.8559999999999999E-2</v>
      </c>
      <c r="C20">
        <v>5.3339999999999999E-2</v>
      </c>
      <c r="D20">
        <v>4.8559999999999999E-2</v>
      </c>
      <c r="E20">
        <v>5.16E-2</v>
      </c>
      <c r="F20">
        <v>57010779.299999997</v>
      </c>
      <c r="G20">
        <v>5.16E-2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0.27196652719665326</v>
      </c>
      <c r="Q20">
        <f t="shared" ref="Q20" si="76">F20*P20</f>
        <v>15505023.658995846</v>
      </c>
      <c r="R20">
        <f t="shared" ref="R20" si="77">R21+Q20</f>
        <v>-13603502757.797409</v>
      </c>
      <c r="S20">
        <f t="shared" ref="S20" si="78">R20/100000</f>
        <v>-136035.02757797408</v>
      </c>
      <c r="T20">
        <f t="shared" ref="T20" si="79">S20/1000</f>
        <v>-136.03502757797406</v>
      </c>
    </row>
    <row r="21" spans="1:20" x14ac:dyDescent="0.25">
      <c r="A21" s="5">
        <v>44572</v>
      </c>
      <c r="B21">
        <v>4.6850000000000003E-2</v>
      </c>
      <c r="C21">
        <v>4.9489999999999999E-2</v>
      </c>
      <c r="D21">
        <v>4.6080000000000003E-2</v>
      </c>
      <c r="E21">
        <v>4.8550000000000003E-2</v>
      </c>
      <c r="F21">
        <v>59472268.600000001</v>
      </c>
      <c r="G21">
        <v>4.8550000000000003E-2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0.4486803519061599</v>
      </c>
      <c r="Q21">
        <f t="shared" ref="Q21" si="81">F21*P21</f>
        <v>26684038.404105663</v>
      </c>
      <c r="R21">
        <f t="shared" ref="R21" si="82">R22+Q21</f>
        <v>-13619007781.456406</v>
      </c>
      <c r="S21">
        <f t="shared" ref="S21" si="83">R21/100000</f>
        <v>-136190.07781456405</v>
      </c>
      <c r="T21">
        <f t="shared" ref="T21" si="84">S21/1000</f>
        <v>-136.19007781456406</v>
      </c>
    </row>
    <row r="22" spans="1:20" x14ac:dyDescent="0.25">
      <c r="A22" s="5">
        <v>44571</v>
      </c>
      <c r="B22">
        <v>4.9790000000000001E-2</v>
      </c>
      <c r="C22">
        <v>5.0650000000000001E-2</v>
      </c>
      <c r="D22">
        <v>4.5499999999999999E-2</v>
      </c>
      <c r="E22">
        <v>4.6859999999999999E-2</v>
      </c>
      <c r="F22">
        <v>54254761.399999999</v>
      </c>
      <c r="G22">
        <v>4.6859999999999999E-2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-0.47184466019417493</v>
      </c>
      <c r="Q22">
        <f t="shared" ref="Q22" si="86">F22*P22</f>
        <v>-25599819.456699036</v>
      </c>
      <c r="R22">
        <f t="shared" ref="R22" si="87">R23+Q22</f>
        <v>-13645691819.860512</v>
      </c>
      <c r="S22">
        <f t="shared" ref="S22" si="88">R22/100000</f>
        <v>-136456.91819860513</v>
      </c>
      <c r="T22">
        <f t="shared" ref="T22" si="89">S22/1000</f>
        <v>-136.45691819860514</v>
      </c>
    </row>
    <row r="23" spans="1:20" x14ac:dyDescent="0.25">
      <c r="A23" s="5">
        <v>44570</v>
      </c>
      <c r="B23">
        <v>4.9950000000000001E-2</v>
      </c>
      <c r="C23">
        <v>5.1999999999999998E-2</v>
      </c>
      <c r="D23">
        <v>4.8599999999999997E-2</v>
      </c>
      <c r="E23">
        <v>4.9790000000000001E-2</v>
      </c>
      <c r="F23">
        <v>58797286.899999999</v>
      </c>
      <c r="G23">
        <v>4.9790000000000001E-2</v>
      </c>
      <c r="L23" t="s">
        <v>7</v>
      </c>
      <c r="M23" t="s">
        <v>8</v>
      </c>
      <c r="N23" t="s">
        <v>7</v>
      </c>
      <c r="P23">
        <f t="shared" ref="P23" si="90">IF(C23=D23,0,((E23-D23)-(C23-E23))/(C23-D23))</f>
        <v>-0.29999999999999793</v>
      </c>
      <c r="Q23">
        <f t="shared" ref="Q23" si="91">F23*P23</f>
        <v>-17639186.069999877</v>
      </c>
      <c r="R23">
        <f t="shared" ref="R23" si="92">R24+Q23</f>
        <v>-13620092000.403812</v>
      </c>
      <c r="S23">
        <f t="shared" ref="S23" si="93">R23/100000</f>
        <v>-136200.92000403811</v>
      </c>
      <c r="T23">
        <f t="shared" ref="T23" si="94">S23/1000</f>
        <v>-136.20092000403812</v>
      </c>
    </row>
    <row r="24" spans="1:20" x14ac:dyDescent="0.25">
      <c r="A24" s="5">
        <v>44569</v>
      </c>
      <c r="B24">
        <v>4.786E-2</v>
      </c>
      <c r="C24">
        <v>5.7500000000000002E-2</v>
      </c>
      <c r="D24">
        <v>4.7780000000000003E-2</v>
      </c>
      <c r="E24">
        <v>4.9979999999999997E-2</v>
      </c>
      <c r="F24">
        <v>243187357.69999999</v>
      </c>
      <c r="G24">
        <v>4.9979999999999997E-2</v>
      </c>
      <c r="L24" t="s">
        <v>8</v>
      </c>
      <c r="M24" t="s">
        <v>8</v>
      </c>
      <c r="N24" t="s">
        <v>7</v>
      </c>
      <c r="P24">
        <f t="shared" ref="P24" si="95">IF(C24=D24,0,((E24-D24)-(C24-E24))/(C24-D24))</f>
        <v>-0.54732510288065972</v>
      </c>
      <c r="Q24">
        <f t="shared" ref="Q24" si="96">F24*P24</f>
        <v>-133102545.57242829</v>
      </c>
      <c r="R24">
        <f t="shared" ref="R24" si="97">R25+Q24</f>
        <v>-13602452814.333813</v>
      </c>
      <c r="S24">
        <f t="shared" ref="S24" si="98">R24/100000</f>
        <v>-136024.52814333813</v>
      </c>
      <c r="T24">
        <f t="shared" ref="T24" si="99">S24/1000</f>
        <v>-136.02452814333813</v>
      </c>
    </row>
    <row r="25" spans="1:20" x14ac:dyDescent="0.25">
      <c r="A25" s="5">
        <v>44568</v>
      </c>
      <c r="B25">
        <v>5.3870000000000001E-2</v>
      </c>
      <c r="C25">
        <v>5.4039999999999998E-2</v>
      </c>
      <c r="D25">
        <v>4.6899999999999997E-2</v>
      </c>
      <c r="E25">
        <v>4.7870000000000003E-2</v>
      </c>
      <c r="F25">
        <v>73714174.700000003</v>
      </c>
      <c r="G25">
        <v>4.7870000000000003E-2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-0.72829131652660906</v>
      </c>
      <c r="Q25">
        <f t="shared" ref="Q25" si="101">F25*P25</f>
        <v>-53685393.338935457</v>
      </c>
      <c r="R25">
        <f t="shared" ref="R25" si="102">R26+Q25</f>
        <v>-13469350268.761385</v>
      </c>
      <c r="S25">
        <f t="shared" ref="S25" si="103">R25/100000</f>
        <v>-134693.50268761386</v>
      </c>
      <c r="T25">
        <f t="shared" ref="T25" si="104">S25/1000</f>
        <v>-134.69350268761386</v>
      </c>
    </row>
    <row r="26" spans="1:20" x14ac:dyDescent="0.25">
      <c r="A26" s="5">
        <v>44567</v>
      </c>
      <c r="B26">
        <v>5.4629999999999998E-2</v>
      </c>
      <c r="C26">
        <v>5.5840000000000001E-2</v>
      </c>
      <c r="D26">
        <v>5.0849999999999999E-2</v>
      </c>
      <c r="E26">
        <v>5.3929999999999999E-2</v>
      </c>
      <c r="F26">
        <v>93890396.299999997</v>
      </c>
      <c r="G26">
        <v>5.3929999999999999E-2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0.23446893787575093</v>
      </c>
      <c r="Q26">
        <f t="shared" ref="Q26" si="106">F26*P26</f>
        <v>22014381.497194335</v>
      </c>
      <c r="R26">
        <f t="shared" ref="R26" si="107">R27+Q26</f>
        <v>-13415664875.422449</v>
      </c>
      <c r="S26">
        <f t="shared" ref="S26" si="108">R26/100000</f>
        <v>-134156.6487542245</v>
      </c>
      <c r="T26">
        <f t="shared" ref="T26" si="109">S26/1000</f>
        <v>-134.15664875422451</v>
      </c>
    </row>
    <row r="27" spans="1:20" x14ac:dyDescent="0.25">
      <c r="A27" s="5">
        <v>44566</v>
      </c>
      <c r="B27">
        <v>5.9429999999999997E-2</v>
      </c>
      <c r="C27">
        <v>6.1159999999999999E-2</v>
      </c>
      <c r="D27">
        <v>5.2479999999999999E-2</v>
      </c>
      <c r="E27">
        <v>5.4559999999999997E-2</v>
      </c>
      <c r="F27">
        <v>61828343.200000003</v>
      </c>
      <c r="G27">
        <v>5.4559999999999997E-2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-0.52073732718894039</v>
      </c>
      <c r="Q27">
        <f t="shared" ref="Q27" si="111">F27*P27</f>
        <v>-32196326.182488501</v>
      </c>
      <c r="R27">
        <f t="shared" ref="R27" si="112">R28+Q27</f>
        <v>-13437679256.919643</v>
      </c>
      <c r="S27">
        <f t="shared" ref="S27" si="113">R27/100000</f>
        <v>-134376.79256919643</v>
      </c>
      <c r="T27">
        <f t="shared" ref="T27" si="114">S27/1000</f>
        <v>-134.37679256919643</v>
      </c>
    </row>
    <row r="28" spans="1:20" x14ac:dyDescent="0.25">
      <c r="A28" s="5">
        <v>44565</v>
      </c>
      <c r="B28">
        <v>6.0449999999999997E-2</v>
      </c>
      <c r="C28">
        <v>6.1879999999999998E-2</v>
      </c>
      <c r="D28">
        <v>5.8889999999999998E-2</v>
      </c>
      <c r="E28">
        <v>5.9409999999999998E-2</v>
      </c>
      <c r="F28">
        <v>67505431.099999994</v>
      </c>
      <c r="G28">
        <v>5.9409999999999998E-2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-0.65217391304347849</v>
      </c>
      <c r="Q28">
        <f t="shared" ref="Q28" si="116">F28*P28</f>
        <v>-44025281.152173921</v>
      </c>
      <c r="R28">
        <f t="shared" ref="R28" si="117">R29+Q28</f>
        <v>-13405482930.737154</v>
      </c>
      <c r="S28">
        <f t="shared" ref="S28" si="118">R28/100000</f>
        <v>-134054.82930737155</v>
      </c>
      <c r="T28">
        <f t="shared" ref="T28" si="119">S28/1000</f>
        <v>-134.05482930737153</v>
      </c>
    </row>
    <row r="29" spans="1:20" x14ac:dyDescent="0.25">
      <c r="A29" s="5">
        <v>44564</v>
      </c>
      <c r="B29">
        <v>6.0519999999999997E-2</v>
      </c>
      <c r="C29">
        <v>6.7500000000000004E-2</v>
      </c>
      <c r="D29">
        <v>5.9429999999999997E-2</v>
      </c>
      <c r="E29">
        <v>6.0510000000000001E-2</v>
      </c>
      <c r="F29">
        <v>147145634.19999999</v>
      </c>
      <c r="G29">
        <v>6.0510000000000001E-2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-0.73234200743494338</v>
      </c>
      <c r="Q29">
        <f t="shared" ref="Q29" si="121">F29*P29</f>
        <v>-107760929.13531585</v>
      </c>
      <c r="R29">
        <f t="shared" ref="R29" si="122">R30+Q29</f>
        <v>-13361457649.58498</v>
      </c>
      <c r="S29">
        <f t="shared" ref="S29" si="123">R29/100000</f>
        <v>-133614.57649584979</v>
      </c>
      <c r="T29">
        <f t="shared" ref="T29" si="124">S29/1000</f>
        <v>-133.6145764958498</v>
      </c>
    </row>
    <row r="30" spans="1:20" x14ac:dyDescent="0.25">
      <c r="A30" s="5">
        <v>44563</v>
      </c>
      <c r="B30">
        <v>6.0729999999999999E-2</v>
      </c>
      <c r="C30">
        <v>6.343E-2</v>
      </c>
      <c r="D30">
        <v>5.9369999999999999E-2</v>
      </c>
      <c r="E30">
        <v>6.0609999999999997E-2</v>
      </c>
      <c r="F30">
        <v>61180643.700000003</v>
      </c>
      <c r="G30">
        <v>6.0609999999999997E-2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-0.38916256157635581</v>
      </c>
      <c r="Q30">
        <f t="shared" ref="Q30" si="126">F30*P30</f>
        <v>-23809216.021182336</v>
      </c>
      <c r="R30">
        <f t="shared" ref="R30" si="127">R31+Q30</f>
        <v>-13253696720.449665</v>
      </c>
      <c r="S30">
        <f t="shared" ref="S30" si="128">R30/100000</f>
        <v>-132536.96720449664</v>
      </c>
      <c r="T30">
        <f t="shared" ref="T30" si="129">S30/1000</f>
        <v>-132.53696720449665</v>
      </c>
    </row>
    <row r="31" spans="1:20" x14ac:dyDescent="0.25">
      <c r="A31" s="5">
        <v>44562</v>
      </c>
      <c r="B31">
        <v>5.9479999999999998E-2</v>
      </c>
      <c r="C31">
        <v>6.0999999999999999E-2</v>
      </c>
      <c r="D31">
        <v>5.867E-2</v>
      </c>
      <c r="E31">
        <v>6.0699999999999997E-2</v>
      </c>
      <c r="F31">
        <v>44324340.299999997</v>
      </c>
      <c r="G31">
        <v>6.0699999999999997E-2</v>
      </c>
      <c r="L31" t="s">
        <v>7</v>
      </c>
      <c r="M31" t="s">
        <v>7</v>
      </c>
      <c r="N31" t="s">
        <v>7</v>
      </c>
      <c r="P31">
        <f t="shared" ref="P31" si="130">IF(C31=D31,0,((E31-D31)-(C31-E31))/(C31-D31))</f>
        <v>0.74248927038626455</v>
      </c>
      <c r="Q31">
        <f t="shared" ref="Q31" si="131">F31*P31</f>
        <v>32910347.089699499</v>
      </c>
      <c r="R31">
        <f t="shared" ref="R31" si="132">R32+Q31</f>
        <v>-13229887504.428482</v>
      </c>
      <c r="S31">
        <f t="shared" ref="S31" si="133">R31/100000</f>
        <v>-132298.87504428482</v>
      </c>
      <c r="T31">
        <f t="shared" ref="T31" si="134">S31/1000</f>
        <v>-132.29887504428481</v>
      </c>
    </row>
    <row r="32" spans="1:20" x14ac:dyDescent="0.25">
      <c r="A32" s="5">
        <v>44561</v>
      </c>
      <c r="B32">
        <v>6.0330000000000002E-2</v>
      </c>
      <c r="C32">
        <v>6.3439999999999996E-2</v>
      </c>
      <c r="D32">
        <v>5.7889999999999997E-2</v>
      </c>
      <c r="E32">
        <v>5.9560000000000002E-2</v>
      </c>
      <c r="F32">
        <v>58125629.5</v>
      </c>
      <c r="G32">
        <v>5.9560000000000002E-2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-0.39819819819819641</v>
      </c>
      <c r="Q32">
        <f t="shared" ref="Q32" si="136">F32*P32</f>
        <v>-23145520.936035931</v>
      </c>
      <c r="R32">
        <f t="shared" ref="R32" si="137">R33+Q32</f>
        <v>-13262797851.518181</v>
      </c>
      <c r="S32">
        <f t="shared" ref="S32" si="138">R32/100000</f>
        <v>-132627.97851518181</v>
      </c>
      <c r="T32">
        <f t="shared" ref="T32" si="139">S32/1000</f>
        <v>-132.62797851518181</v>
      </c>
    </row>
    <row r="33" spans="1:20" x14ac:dyDescent="0.25">
      <c r="A33" s="5">
        <v>44560</v>
      </c>
      <c r="B33">
        <v>5.9520000000000003E-2</v>
      </c>
      <c r="C33">
        <v>6.2469999999999998E-2</v>
      </c>
      <c r="D33">
        <v>5.8959999999999999E-2</v>
      </c>
      <c r="E33">
        <v>6.0319999999999999E-2</v>
      </c>
      <c r="F33">
        <v>59420401</v>
      </c>
      <c r="G33">
        <v>6.0319999999999999E-2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-0.22507122507122485</v>
      </c>
      <c r="Q33">
        <f t="shared" ref="Q33" si="141">F33*P33</f>
        <v>-13373822.447293434</v>
      </c>
      <c r="R33">
        <f t="shared" ref="R33" si="142">R34+Q33</f>
        <v>-13239652330.582146</v>
      </c>
      <c r="S33">
        <f t="shared" ref="S33" si="143">R33/100000</f>
        <v>-132396.52330582147</v>
      </c>
      <c r="T33">
        <f t="shared" ref="T33" si="144">S33/1000</f>
        <v>-132.39652330582146</v>
      </c>
    </row>
    <row r="34" spans="1:20" x14ac:dyDescent="0.25">
      <c r="A34" s="5">
        <v>44559</v>
      </c>
      <c r="B34">
        <v>6.182E-2</v>
      </c>
      <c r="C34">
        <v>6.4509999999999998E-2</v>
      </c>
      <c r="D34">
        <v>5.8400000000000001E-2</v>
      </c>
      <c r="E34">
        <v>5.9560000000000002E-2</v>
      </c>
      <c r="F34">
        <v>81407616.599999994</v>
      </c>
      <c r="G34">
        <v>5.9560000000000002E-2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-0.62029459901800266</v>
      </c>
      <c r="Q34">
        <f t="shared" ref="Q34" si="146">F34*P34</f>
        <v>-50496704.895908296</v>
      </c>
      <c r="R34">
        <f t="shared" ref="R34" si="147">R35+Q34</f>
        <v>-13226278508.134851</v>
      </c>
      <c r="S34">
        <f t="shared" ref="S34" si="148">R34/100000</f>
        <v>-132262.78508134853</v>
      </c>
      <c r="T34">
        <f t="shared" ref="T34" si="149">S34/1000</f>
        <v>-132.26278508134854</v>
      </c>
    </row>
    <row r="35" spans="1:20" x14ac:dyDescent="0.25">
      <c r="A35" s="5">
        <v>44558</v>
      </c>
      <c r="B35">
        <v>6.7540000000000003E-2</v>
      </c>
      <c r="C35">
        <v>6.7669999999999994E-2</v>
      </c>
      <c r="D35">
        <v>6.0069999999999998E-2</v>
      </c>
      <c r="E35">
        <v>6.1809999999999997E-2</v>
      </c>
      <c r="F35">
        <v>92035331.099999994</v>
      </c>
      <c r="G35">
        <v>6.1809999999999997E-2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-0.54210526315789487</v>
      </c>
      <c r="Q35">
        <f t="shared" ref="Q35" si="151">F35*P35</f>
        <v>-49892837.385789484</v>
      </c>
      <c r="R35">
        <f t="shared" ref="R35" si="152">R36+Q35</f>
        <v>-13175781803.238943</v>
      </c>
      <c r="S35">
        <f t="shared" ref="S35" si="153">R35/100000</f>
        <v>-131757.81803238942</v>
      </c>
      <c r="T35">
        <f t="shared" ref="T35" si="154">S35/1000</f>
        <v>-131.75781803238942</v>
      </c>
    </row>
    <row r="36" spans="1:20" x14ac:dyDescent="0.25">
      <c r="A36" s="5">
        <v>44557</v>
      </c>
      <c r="B36">
        <v>6.9819999999999993E-2</v>
      </c>
      <c r="C36">
        <v>7.3349999999999999E-2</v>
      </c>
      <c r="D36">
        <v>6.6610000000000003E-2</v>
      </c>
      <c r="E36">
        <v>6.7489999999999994E-2</v>
      </c>
      <c r="F36">
        <v>142035031.59999999</v>
      </c>
      <c r="G36">
        <v>6.7489999999999994E-2</v>
      </c>
      <c r="L36" t="s">
        <v>7</v>
      </c>
      <c r="M36" t="s">
        <v>8</v>
      </c>
      <c r="N36" t="s">
        <v>7</v>
      </c>
      <c r="P36">
        <f t="shared" ref="P36" si="155">IF(C36=D36,0,((E36-D36)-(C36-E36))/(C36-D36))</f>
        <v>-0.73887240356083306</v>
      </c>
      <c r="Q36">
        <f t="shared" ref="Q36" si="156">F36*P36</f>
        <v>-104945765.18813087</v>
      </c>
      <c r="R36">
        <f t="shared" ref="R36" si="157">R37+Q36</f>
        <v>-13125888965.853153</v>
      </c>
      <c r="S36">
        <f t="shared" ref="S36" si="158">R36/100000</f>
        <v>-131258.88965853152</v>
      </c>
      <c r="T36">
        <f t="shared" ref="T36" si="159">S36/1000</f>
        <v>-131.25888965853153</v>
      </c>
    </row>
    <row r="37" spans="1:20" x14ac:dyDescent="0.25">
      <c r="A37" s="5">
        <v>44556</v>
      </c>
      <c r="B37">
        <v>6.3799999999999996E-2</v>
      </c>
      <c r="C37">
        <v>7.4499999999999997E-2</v>
      </c>
      <c r="D37">
        <v>6.3E-2</v>
      </c>
      <c r="E37">
        <v>6.9819999999999993E-2</v>
      </c>
      <c r="F37">
        <v>200286101.90000001</v>
      </c>
      <c r="G37">
        <v>6.9819999999999993E-2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0.18608695652173823</v>
      </c>
      <c r="Q37">
        <f t="shared" ref="Q37" si="161">F37*P37</f>
        <v>37270631.136173733</v>
      </c>
      <c r="R37">
        <f t="shared" ref="R37" si="162">R38+Q37</f>
        <v>-13020943200.665022</v>
      </c>
      <c r="S37">
        <f t="shared" ref="S37" si="163">R37/100000</f>
        <v>-130209.43200665023</v>
      </c>
      <c r="T37">
        <f t="shared" ref="T37" si="164">S37/1000</f>
        <v>-130.20943200665022</v>
      </c>
    </row>
    <row r="38" spans="1:20" x14ac:dyDescent="0.25">
      <c r="A38" s="5">
        <v>44555</v>
      </c>
      <c r="B38">
        <v>6.3070000000000001E-2</v>
      </c>
      <c r="C38">
        <v>6.5269999999999995E-2</v>
      </c>
      <c r="D38">
        <v>6.2230000000000001E-2</v>
      </c>
      <c r="E38">
        <v>6.3799999999999996E-2</v>
      </c>
      <c r="F38">
        <v>66204703.600000001</v>
      </c>
      <c r="G38">
        <v>6.3799999999999996E-2</v>
      </c>
      <c r="L38" t="s">
        <v>7</v>
      </c>
      <c r="M38" t="s">
        <v>8</v>
      </c>
      <c r="N38" t="s">
        <v>7</v>
      </c>
      <c r="P38">
        <f t="shared" ref="P38" si="165">IF(C38=D38,0,((E38-D38)-(C38-E38))/(C38-D38))</f>
        <v>3.2894736842103985E-2</v>
      </c>
      <c r="Q38">
        <f t="shared" ref="Q38" si="166">F38*P38</f>
        <v>2177786.3026314941</v>
      </c>
      <c r="R38">
        <f t="shared" ref="R38" si="167">R39+Q38</f>
        <v>-13058213831.801195</v>
      </c>
      <c r="S38">
        <f t="shared" ref="S38" si="168">R38/100000</f>
        <v>-130582.13831801194</v>
      </c>
      <c r="T38">
        <f t="shared" ref="T38" si="169">S38/1000</f>
        <v>-130.58213831801194</v>
      </c>
    </row>
    <row r="39" spans="1:20" x14ac:dyDescent="0.25">
      <c r="A39" s="5">
        <v>44554</v>
      </c>
      <c r="B39">
        <v>6.3960000000000003E-2</v>
      </c>
      <c r="C39">
        <v>6.9449999999999998E-2</v>
      </c>
      <c r="D39">
        <v>6.2100000000000002E-2</v>
      </c>
      <c r="E39">
        <v>6.3020000000000007E-2</v>
      </c>
      <c r="F39">
        <v>112911410.40000001</v>
      </c>
      <c r="G39">
        <v>6.3020000000000007E-2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-0.74965986394557693</v>
      </c>
      <c r="Q39">
        <f t="shared" ref="Q39" si="171">F39*P39</f>
        <v>-84645152.558367208</v>
      </c>
      <c r="R39">
        <f t="shared" ref="R39" si="172">R40+Q39</f>
        <v>-13060391618.103827</v>
      </c>
      <c r="S39">
        <f t="shared" ref="S39" si="173">R39/100000</f>
        <v>-130603.91618103826</v>
      </c>
      <c r="T39">
        <f t="shared" ref="T39" si="174">S39/1000</f>
        <v>-130.60391618103827</v>
      </c>
    </row>
    <row r="40" spans="1:20" x14ac:dyDescent="0.25">
      <c r="A40" s="5">
        <v>44553</v>
      </c>
      <c r="B40">
        <v>6.0879999999999997E-2</v>
      </c>
      <c r="C40">
        <v>6.6199999999999995E-2</v>
      </c>
      <c r="D40">
        <v>5.9339999999999997E-2</v>
      </c>
      <c r="E40">
        <v>6.386E-2</v>
      </c>
      <c r="F40">
        <v>104802966</v>
      </c>
      <c r="G40">
        <v>6.386E-2</v>
      </c>
      <c r="L40" t="s">
        <v>7</v>
      </c>
      <c r="M40" t="s">
        <v>8</v>
      </c>
      <c r="N40" t="s">
        <v>7</v>
      </c>
      <c r="P40">
        <f t="shared" ref="P40" si="175">IF(C40=D40,0,((E40-D40)-(C40-E40))/(C40-D40))</f>
        <v>0.31778425655976805</v>
      </c>
      <c r="Q40">
        <f t="shared" ref="Q40" si="176">F40*P40</f>
        <v>33304732.635568649</v>
      </c>
      <c r="R40">
        <f t="shared" ref="R40" si="177">R41+Q40</f>
        <v>-12975746465.54546</v>
      </c>
      <c r="S40">
        <f t="shared" ref="S40" si="178">R40/100000</f>
        <v>-129757.46465545459</v>
      </c>
      <c r="T40">
        <f t="shared" ref="T40" si="179">S40/1000</f>
        <v>-129.75746465545458</v>
      </c>
    </row>
    <row r="41" spans="1:20" x14ac:dyDescent="0.25">
      <c r="A41" s="5">
        <v>44552</v>
      </c>
      <c r="B41">
        <v>6.1850000000000002E-2</v>
      </c>
      <c r="C41">
        <v>6.4500000000000002E-2</v>
      </c>
      <c r="D41">
        <v>6.0299999999999999E-2</v>
      </c>
      <c r="E41">
        <v>6.087E-2</v>
      </c>
      <c r="F41">
        <v>84984771.5</v>
      </c>
      <c r="G41">
        <v>6.087E-2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-0.7285714285714282</v>
      </c>
      <c r="Q41">
        <f t="shared" ref="Q41" si="181">F41*P41</f>
        <v>-61917476.378571399</v>
      </c>
      <c r="R41">
        <f t="shared" ref="R41" si="182">R42+Q41</f>
        <v>-13009051198.181028</v>
      </c>
      <c r="S41">
        <f t="shared" ref="S41" si="183">R41/100000</f>
        <v>-130090.51198181028</v>
      </c>
      <c r="T41">
        <f t="shared" ref="T41" si="184">S41/1000</f>
        <v>-130.09051198181029</v>
      </c>
    </row>
    <row r="42" spans="1:20" x14ac:dyDescent="0.25">
      <c r="A42" s="5">
        <v>44551</v>
      </c>
      <c r="B42">
        <v>6.166E-2</v>
      </c>
      <c r="C42">
        <v>6.5409999999999996E-2</v>
      </c>
      <c r="D42">
        <v>6.0299999999999999E-2</v>
      </c>
      <c r="E42">
        <v>6.1870000000000001E-2</v>
      </c>
      <c r="F42">
        <v>104973298</v>
      </c>
      <c r="G42">
        <v>6.1870000000000001E-2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-0.38551859099804187</v>
      </c>
      <c r="Q42">
        <f t="shared" ref="Q42" si="186">F42*P42</f>
        <v>-40469157.937377565</v>
      </c>
      <c r="R42">
        <f t="shared" ref="R42" si="187">R43+Q42</f>
        <v>-12947133721.802458</v>
      </c>
      <c r="S42">
        <f t="shared" ref="S42" si="188">R42/100000</f>
        <v>-129471.33721802458</v>
      </c>
      <c r="T42">
        <f t="shared" ref="T42" si="189">S42/1000</f>
        <v>-129.47133721802459</v>
      </c>
    </row>
    <row r="43" spans="1:20" x14ac:dyDescent="0.25">
      <c r="A43" s="5">
        <v>44550</v>
      </c>
      <c r="B43">
        <v>6.0339999999999998E-2</v>
      </c>
      <c r="C43">
        <v>6.4839999999999995E-2</v>
      </c>
      <c r="D43">
        <v>5.5849999999999997E-2</v>
      </c>
      <c r="E43">
        <v>6.1719999999999997E-2</v>
      </c>
      <c r="F43">
        <v>159401267.40000001</v>
      </c>
      <c r="G43">
        <v>6.1719999999999997E-2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0.30589543937708596</v>
      </c>
      <c r="Q43">
        <f t="shared" ref="Q43" si="191">F43*P43</f>
        <v>48760120.728587374</v>
      </c>
      <c r="R43">
        <f t="shared" ref="R43" si="192">R44+Q43</f>
        <v>-12906664563.86508</v>
      </c>
      <c r="S43">
        <f t="shared" ref="S43" si="193">R43/100000</f>
        <v>-129066.64563865079</v>
      </c>
      <c r="T43">
        <f t="shared" ref="T43" si="194">S43/1000</f>
        <v>-129.06664563865078</v>
      </c>
    </row>
    <row r="44" spans="1:20" x14ac:dyDescent="0.25">
      <c r="A44" s="5">
        <v>44549</v>
      </c>
      <c r="B44">
        <v>6.3880000000000006E-2</v>
      </c>
      <c r="C44">
        <v>6.4610000000000001E-2</v>
      </c>
      <c r="D44">
        <v>6.0010000000000001E-2</v>
      </c>
      <c r="E44">
        <v>6.0339999999999998E-2</v>
      </c>
      <c r="F44">
        <v>89141288.5</v>
      </c>
      <c r="G44">
        <v>6.0339999999999998E-2</v>
      </c>
      <c r="L44" t="s">
        <v>7</v>
      </c>
      <c r="M44" t="s">
        <v>7</v>
      </c>
      <c r="N44" t="s">
        <v>8</v>
      </c>
      <c r="P44">
        <f t="shared" ref="P44" si="195">IF(C44=D44,0,((E44-D44)-(C44-E44))/(C44-D44))</f>
        <v>-0.85652173913043606</v>
      </c>
      <c r="Q44">
        <f t="shared" ref="Q44" si="196">F44*P44</f>
        <v>-76351451.454347938</v>
      </c>
      <c r="R44">
        <f t="shared" ref="R44" si="197">R45+Q44</f>
        <v>-12955424684.593668</v>
      </c>
      <c r="S44">
        <f t="shared" ref="S44" si="198">R44/100000</f>
        <v>-129554.24684593668</v>
      </c>
      <c r="T44">
        <f t="shared" ref="T44" si="199">S44/1000</f>
        <v>-129.55424684593669</v>
      </c>
    </row>
    <row r="45" spans="1:20" x14ac:dyDescent="0.25">
      <c r="A45" s="5">
        <v>44548</v>
      </c>
      <c r="B45">
        <v>6.9059999999999996E-2</v>
      </c>
      <c r="C45">
        <v>7.3200000000000001E-2</v>
      </c>
      <c r="D45">
        <v>6.336E-2</v>
      </c>
      <c r="E45">
        <v>6.3839999999999994E-2</v>
      </c>
      <c r="F45">
        <v>277047537.19999999</v>
      </c>
      <c r="G45">
        <v>6.3839999999999994E-2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-0.90243902439024504</v>
      </c>
      <c r="Q45">
        <f t="shared" ref="Q45" si="201">F45*P45</f>
        <v>-250018509.18048811</v>
      </c>
      <c r="R45">
        <f t="shared" ref="R45" si="202">R46+Q45</f>
        <v>-12879073233.13932</v>
      </c>
      <c r="S45">
        <f t="shared" ref="S45" si="203">R45/100000</f>
        <v>-128790.7323313932</v>
      </c>
      <c r="T45">
        <f t="shared" ref="T45" si="204">S45/1000</f>
        <v>-128.7907323313932</v>
      </c>
    </row>
    <row r="46" spans="1:20" x14ac:dyDescent="0.25">
      <c r="A46" s="5">
        <v>44547</v>
      </c>
      <c r="B46">
        <v>6.0600000000000001E-2</v>
      </c>
      <c r="C46">
        <v>8.2000000000000003E-2</v>
      </c>
      <c r="D46">
        <v>6.0220000000000003E-2</v>
      </c>
      <c r="E46">
        <v>6.905E-2</v>
      </c>
      <c r="F46">
        <v>840494574.70000005</v>
      </c>
      <c r="G46">
        <v>6.905E-2</v>
      </c>
      <c r="L46" t="s">
        <v>8</v>
      </c>
      <c r="M46" t="s">
        <v>8</v>
      </c>
      <c r="N46" t="s">
        <v>8</v>
      </c>
      <c r="P46">
        <f t="shared" ref="P46" si="205">IF(C46=D46,0,((E46-D46)-(C46-E46))/(C46-D46))</f>
        <v>-0.18916437098255307</v>
      </c>
      <c r="Q46">
        <f t="shared" ref="Q46" si="206">F46*P46</f>
        <v>-158991627.53737396</v>
      </c>
      <c r="R46">
        <f t="shared" ref="R46" si="207">R47+Q46</f>
        <v>-12629054723.958832</v>
      </c>
      <c r="S46">
        <f t="shared" ref="S46" si="208">R46/100000</f>
        <v>-126290.54723958831</v>
      </c>
      <c r="T46">
        <f t="shared" ref="T46" si="209">S46/1000</f>
        <v>-126.29054723958831</v>
      </c>
    </row>
    <row r="47" spans="1:20" x14ac:dyDescent="0.25">
      <c r="A47" s="5">
        <v>44546</v>
      </c>
      <c r="B47">
        <v>5.7369999999999997E-2</v>
      </c>
      <c r="C47">
        <v>6.5000000000000002E-2</v>
      </c>
      <c r="D47">
        <v>5.7110000000000001E-2</v>
      </c>
      <c r="E47">
        <v>6.0670000000000002E-2</v>
      </c>
      <c r="F47">
        <v>237806983.59999999</v>
      </c>
      <c r="G47">
        <v>6.0670000000000002E-2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-9.7591888466413146E-2</v>
      </c>
      <c r="Q47">
        <f t="shared" ref="Q47" si="211">F47*P47</f>
        <v>-23208032.62002534</v>
      </c>
      <c r="R47">
        <f t="shared" ref="R47" si="212">R48+Q47</f>
        <v>-12470063096.421457</v>
      </c>
      <c r="S47">
        <f t="shared" ref="S47" si="213">R47/100000</f>
        <v>-124700.63096421458</v>
      </c>
      <c r="T47">
        <f t="shared" ref="T47" si="214">S47/1000</f>
        <v>-124.70063096421458</v>
      </c>
    </row>
    <row r="48" spans="1:20" x14ac:dyDescent="0.25">
      <c r="A48" s="5">
        <v>44545</v>
      </c>
      <c r="B48">
        <v>5.6059999999999999E-2</v>
      </c>
      <c r="C48">
        <v>6.2210000000000001E-2</v>
      </c>
      <c r="D48">
        <v>5.1310000000000001E-2</v>
      </c>
      <c r="E48">
        <v>5.7369999999999997E-2</v>
      </c>
      <c r="F48">
        <v>164516758.90000001</v>
      </c>
      <c r="G48">
        <v>5.7369999999999997E-2</v>
      </c>
      <c r="L48" t="s">
        <v>7</v>
      </c>
      <c r="M48" t="s">
        <v>8</v>
      </c>
      <c r="N48" t="s">
        <v>7</v>
      </c>
      <c r="P48">
        <f t="shared" ref="P48" si="215">IF(C48=D48,0,((E48-D48)-(C48-E48))/(C48-D48))</f>
        <v>0.11192660550458641</v>
      </c>
      <c r="Q48">
        <f t="shared" ref="Q48" si="216">F48*P48</f>
        <v>18413802.372293457</v>
      </c>
      <c r="R48">
        <f t="shared" ref="R48" si="217">R49+Q48</f>
        <v>-12446855063.801432</v>
      </c>
      <c r="S48">
        <f t="shared" ref="S48" si="218">R48/100000</f>
        <v>-124468.55063801432</v>
      </c>
      <c r="T48">
        <f t="shared" ref="T48" si="219">S48/1000</f>
        <v>-124.46855063801432</v>
      </c>
    </row>
    <row r="49" spans="1:20" x14ac:dyDescent="0.25">
      <c r="A49" s="5">
        <v>44544</v>
      </c>
      <c r="B49">
        <v>5.697E-2</v>
      </c>
      <c r="C49">
        <v>5.8740000000000001E-2</v>
      </c>
      <c r="D49">
        <v>5.2850000000000001E-2</v>
      </c>
      <c r="E49">
        <v>5.6030000000000003E-2</v>
      </c>
      <c r="F49">
        <v>144379683.59999999</v>
      </c>
      <c r="G49">
        <v>5.6030000000000003E-2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7.9796264855688484E-2</v>
      </c>
      <c r="Q49">
        <f t="shared" ref="Q49" si="221">F49*P49</f>
        <v>11520959.472326102</v>
      </c>
      <c r="R49">
        <f t="shared" ref="R49" si="222">R50+Q49</f>
        <v>-12465268866.173725</v>
      </c>
      <c r="S49">
        <f t="shared" ref="S49" si="223">R49/100000</f>
        <v>-124652.68866173725</v>
      </c>
      <c r="T49">
        <f t="shared" ref="T49" si="224">S49/1000</f>
        <v>-124.65268866173724</v>
      </c>
    </row>
    <row r="50" spans="1:20" x14ac:dyDescent="0.25">
      <c r="A50" s="5">
        <v>44543</v>
      </c>
      <c r="B50">
        <v>6.5850000000000006E-2</v>
      </c>
      <c r="C50">
        <v>6.6610000000000003E-2</v>
      </c>
      <c r="D50">
        <v>5.5109999999999999E-2</v>
      </c>
      <c r="E50">
        <v>5.706E-2</v>
      </c>
      <c r="F50">
        <v>185007414.90000001</v>
      </c>
      <c r="G50">
        <v>5.706E-2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-0.66086956521739137</v>
      </c>
      <c r="Q50">
        <f t="shared" ref="Q50" si="226">F50*P50</f>
        <v>-122265769.84695654</v>
      </c>
      <c r="R50">
        <f t="shared" ref="R50" si="227">R51+Q50</f>
        <v>-12476789825.646051</v>
      </c>
      <c r="S50">
        <f t="shared" ref="S50" si="228">R50/100000</f>
        <v>-124767.89825646051</v>
      </c>
      <c r="T50">
        <f t="shared" ref="T50" si="229">S50/1000</f>
        <v>-124.76789825646051</v>
      </c>
    </row>
    <row r="51" spans="1:20" x14ac:dyDescent="0.25">
      <c r="A51" s="5">
        <v>44542</v>
      </c>
      <c r="B51">
        <v>6.1760000000000002E-2</v>
      </c>
      <c r="C51">
        <v>7.1599999999999997E-2</v>
      </c>
      <c r="D51">
        <v>6.1019999999999998E-2</v>
      </c>
      <c r="E51">
        <v>6.5890000000000004E-2</v>
      </c>
      <c r="F51">
        <v>251263717.09999999</v>
      </c>
      <c r="G51">
        <v>6.5890000000000004E-2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-7.9395085066161317E-2</v>
      </c>
      <c r="Q51">
        <f t="shared" ref="Q51" si="231">F51*P51</f>
        <v>-19949104.193194393</v>
      </c>
      <c r="R51">
        <f t="shared" ref="R51" si="232">R52+Q51</f>
        <v>-12354524055.799095</v>
      </c>
      <c r="S51">
        <f t="shared" ref="S51" si="233">R51/100000</f>
        <v>-123545.24055799095</v>
      </c>
      <c r="T51">
        <f t="shared" ref="T51" si="234">S51/1000</f>
        <v>-123.54524055799095</v>
      </c>
    </row>
    <row r="52" spans="1:20" x14ac:dyDescent="0.25">
      <c r="A52" s="5">
        <v>44541</v>
      </c>
      <c r="B52">
        <v>6.0760000000000002E-2</v>
      </c>
      <c r="C52">
        <v>6.1559999999999997E-2</v>
      </c>
      <c r="D52">
        <v>5.7799999999999997E-2</v>
      </c>
      <c r="E52">
        <v>6.0990000000000003E-2</v>
      </c>
      <c r="F52">
        <v>9876549.4000000004</v>
      </c>
      <c r="G52">
        <v>6.0990000000000003E-2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0.69680851063830096</v>
      </c>
      <c r="Q52">
        <f t="shared" ref="Q52" si="236">F52*P52</f>
        <v>6882063.6776596056</v>
      </c>
      <c r="R52">
        <f t="shared" ref="R52" si="237">R53+Q52</f>
        <v>-12334574951.6059</v>
      </c>
      <c r="S52">
        <f t="shared" ref="S52" si="238">R52/100000</f>
        <v>-123345.749516059</v>
      </c>
      <c r="T52">
        <f t="shared" ref="T52" si="239">S52/1000</f>
        <v>-123.345749516059</v>
      </c>
    </row>
    <row r="53" spans="1:20" x14ac:dyDescent="0.25">
      <c r="A53" s="5">
        <v>44540</v>
      </c>
      <c r="B53">
        <v>6.404E-2</v>
      </c>
      <c r="C53">
        <v>6.7860000000000004E-2</v>
      </c>
      <c r="D53">
        <v>6.0060000000000002E-2</v>
      </c>
      <c r="E53">
        <v>6.0720000000000003E-2</v>
      </c>
      <c r="F53">
        <v>261537817.5</v>
      </c>
      <c r="G53">
        <v>6.0720000000000003E-2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-0.83076923076923059</v>
      </c>
      <c r="Q53">
        <f t="shared" ref="Q53" si="241">F53*P53</f>
        <v>-217277571.4615384</v>
      </c>
      <c r="R53">
        <f t="shared" ref="R53" si="242">R54+Q53</f>
        <v>-12341457015.28356</v>
      </c>
      <c r="S53">
        <f t="shared" ref="S53" si="243">R53/100000</f>
        <v>-123414.5701528356</v>
      </c>
      <c r="T53">
        <f t="shared" ref="T53" si="244">S53/1000</f>
        <v>-123.41457015283559</v>
      </c>
    </row>
    <row r="54" spans="1:20" x14ac:dyDescent="0.25">
      <c r="A54" s="5">
        <v>44539</v>
      </c>
      <c r="B54">
        <v>7.1290000000000006E-2</v>
      </c>
      <c r="C54">
        <v>7.2900000000000006E-2</v>
      </c>
      <c r="D54">
        <v>6.3729999999999995E-2</v>
      </c>
      <c r="E54">
        <v>6.404E-2</v>
      </c>
      <c r="F54">
        <v>188896039.5</v>
      </c>
      <c r="G54">
        <v>6.404E-2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-0.93238822246455744</v>
      </c>
      <c r="Q54">
        <f t="shared" ref="Q54" si="246">F54*P54</f>
        <v>-176124442.49999982</v>
      </c>
      <c r="R54">
        <f t="shared" ref="R54" si="247">R55+Q54</f>
        <v>-12124179443.822021</v>
      </c>
      <c r="S54">
        <f t="shared" ref="S54" si="248">R54/100000</f>
        <v>-121241.79443822021</v>
      </c>
      <c r="T54">
        <f t="shared" ref="T54" si="249">S54/1000</f>
        <v>-121.24179443822021</v>
      </c>
    </row>
    <row r="55" spans="1:20" x14ac:dyDescent="0.25">
      <c r="A55" s="5">
        <v>44538</v>
      </c>
      <c r="B55">
        <v>6.8659999999999999E-2</v>
      </c>
      <c r="C55">
        <v>7.2999999999999995E-2</v>
      </c>
      <c r="D55">
        <v>6.6129999999999994E-2</v>
      </c>
      <c r="E55">
        <v>7.1290000000000006E-2</v>
      </c>
      <c r="F55">
        <v>201716859.80000001</v>
      </c>
      <c r="G55">
        <v>7.1290000000000006E-2</v>
      </c>
      <c r="L55" t="s">
        <v>7</v>
      </c>
      <c r="M55" t="s">
        <v>8</v>
      </c>
      <c r="N55" t="s">
        <v>7</v>
      </c>
      <c r="P55">
        <f t="shared" ref="P55" si="250">IF(C55=D55,0,((E55-D55)-(C55-E55))/(C55-D55))</f>
        <v>0.50218340611354029</v>
      </c>
      <c r="Q55">
        <f t="shared" ref="Q55" si="251">F55*P55</f>
        <v>101298859.72489147</v>
      </c>
      <c r="R55">
        <f t="shared" ref="R55" si="252">R56+Q55</f>
        <v>-11948055001.322021</v>
      </c>
      <c r="S55">
        <f t="shared" ref="S55" si="253">R55/100000</f>
        <v>-119480.55001322021</v>
      </c>
      <c r="T55">
        <f t="shared" ref="T55" si="254">S55/1000</f>
        <v>-119.48055001322021</v>
      </c>
    </row>
    <row r="56" spans="1:20" x14ac:dyDescent="0.25">
      <c r="A56" s="5">
        <v>44537</v>
      </c>
      <c r="B56">
        <v>7.1830000000000005E-2</v>
      </c>
      <c r="C56">
        <v>7.6469999999999996E-2</v>
      </c>
      <c r="D56">
        <v>6.7699999999999996E-2</v>
      </c>
      <c r="E56">
        <v>6.8559999999999996E-2</v>
      </c>
      <c r="F56">
        <v>203124161.59999999</v>
      </c>
      <c r="G56">
        <v>6.8559999999999996E-2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-0.80387685290763977</v>
      </c>
      <c r="Q56">
        <f t="shared" ref="Q56" si="256">F56*P56</f>
        <v>-163286811.77651083</v>
      </c>
      <c r="R56">
        <f t="shared" ref="R56" si="257">R57+Q56</f>
        <v>-12049353861.046913</v>
      </c>
      <c r="S56">
        <f t="shared" ref="S56" si="258">R56/100000</f>
        <v>-120493.53861046913</v>
      </c>
      <c r="T56">
        <f t="shared" ref="T56" si="259">S56/1000</f>
        <v>-120.49353861046913</v>
      </c>
    </row>
    <row r="57" spans="1:20" x14ac:dyDescent="0.25">
      <c r="A57" s="5">
        <v>44536</v>
      </c>
      <c r="B57">
        <v>6.8349999999999994E-2</v>
      </c>
      <c r="C57">
        <v>7.2739999999999999E-2</v>
      </c>
      <c r="D57">
        <v>6.114E-2</v>
      </c>
      <c r="E57">
        <v>7.1830000000000005E-2</v>
      </c>
      <c r="F57">
        <v>355482488.69999999</v>
      </c>
      <c r="G57">
        <v>7.1830000000000005E-2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0.84310344827586303</v>
      </c>
      <c r="Q57">
        <f t="shared" ref="Q57" si="261">F57*P57</f>
        <v>299708512.02465552</v>
      </c>
      <c r="R57">
        <f t="shared" ref="R57" si="262">R58+Q57</f>
        <v>-11886067049.270403</v>
      </c>
      <c r="S57">
        <f t="shared" ref="S57" si="263">R57/100000</f>
        <v>-118860.67049270403</v>
      </c>
      <c r="T57">
        <f t="shared" ref="T57" si="264">S57/1000</f>
        <v>-118.86067049270403</v>
      </c>
    </row>
    <row r="58" spans="1:20" x14ac:dyDescent="0.25">
      <c r="A58" s="5">
        <v>44535</v>
      </c>
      <c r="B58">
        <v>7.528E-2</v>
      </c>
      <c r="C58">
        <v>7.9899999999999999E-2</v>
      </c>
      <c r="D58">
        <v>6.6409999999999997E-2</v>
      </c>
      <c r="E58">
        <v>6.8279999999999993E-2</v>
      </c>
      <c r="F58">
        <v>405040116.60000002</v>
      </c>
      <c r="G58">
        <v>6.8279999999999993E-2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-0.72275759822090491</v>
      </c>
      <c r="Q58">
        <f t="shared" ref="Q58" si="266">F58*P58</f>
        <v>-292745821.85693127</v>
      </c>
      <c r="R58">
        <f t="shared" ref="R58" si="267">R59+Q58</f>
        <v>-12185775561.295059</v>
      </c>
      <c r="S58">
        <f t="shared" ref="S58" si="268">R58/100000</f>
        <v>-121857.7556129506</v>
      </c>
      <c r="T58">
        <f t="shared" ref="T58" si="269">S58/1000</f>
        <v>-121.8577556129506</v>
      </c>
    </row>
    <row r="59" spans="1:20" x14ac:dyDescent="0.25">
      <c r="A59" s="5">
        <v>44534</v>
      </c>
      <c r="B59">
        <v>9.733E-2</v>
      </c>
      <c r="C59">
        <v>9.7909999999999997E-2</v>
      </c>
      <c r="D59">
        <v>6.3030000000000003E-2</v>
      </c>
      <c r="E59">
        <v>7.5300000000000006E-2</v>
      </c>
      <c r="F59">
        <v>375781802.60000002</v>
      </c>
      <c r="G59">
        <v>7.5300000000000006E-2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-0.29644495412844007</v>
      </c>
      <c r="Q59">
        <f t="shared" ref="Q59" si="271">F59*P59</f>
        <v>-111398619.23405953</v>
      </c>
      <c r="R59">
        <f t="shared" ref="R59" si="272">R60+Q59</f>
        <v>-11893029739.438128</v>
      </c>
      <c r="S59">
        <f t="shared" ref="S59" si="273">R59/100000</f>
        <v>-118930.29739438127</v>
      </c>
      <c r="T59">
        <f t="shared" ref="T59" si="274">S59/1000</f>
        <v>-118.93029739438127</v>
      </c>
    </row>
    <row r="60" spans="1:20" x14ac:dyDescent="0.25">
      <c r="A60" s="5">
        <v>44533</v>
      </c>
      <c r="B60">
        <v>8.9779999999999999E-2</v>
      </c>
      <c r="C60">
        <v>0.114</v>
      </c>
      <c r="D60">
        <v>8.5029999999999994E-2</v>
      </c>
      <c r="E60">
        <v>9.7180000000000002E-2</v>
      </c>
      <c r="F60">
        <v>990530064</v>
      </c>
      <c r="G60">
        <v>9.7180000000000002E-2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-0.16120124266482541</v>
      </c>
      <c r="Q60">
        <f t="shared" ref="Q60" si="276">F60*P60</f>
        <v>-159674677.21366903</v>
      </c>
      <c r="R60">
        <f t="shared" ref="R60" si="277">R61+Q60</f>
        <v>-11781631120.204067</v>
      </c>
      <c r="S60">
        <f t="shared" ref="S60" si="278">R60/100000</f>
        <v>-117816.31120204067</v>
      </c>
      <c r="T60">
        <f t="shared" ref="T60" si="279">S60/1000</f>
        <v>-117.81631120204067</v>
      </c>
    </row>
    <row r="61" spans="1:20" x14ac:dyDescent="0.25">
      <c r="A61" s="5">
        <v>44532</v>
      </c>
      <c r="B61">
        <v>8.7480000000000002E-2</v>
      </c>
      <c r="C61">
        <v>9.2590000000000006E-2</v>
      </c>
      <c r="D61">
        <v>8.226E-2</v>
      </c>
      <c r="E61">
        <v>8.9800000000000005E-2</v>
      </c>
      <c r="F61">
        <v>354030678.19999999</v>
      </c>
      <c r="G61">
        <v>8.9800000000000005E-2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0.45982575024201372</v>
      </c>
      <c r="Q61">
        <f t="shared" ref="Q61" si="281">F61*P61</f>
        <v>162792422.21200392</v>
      </c>
      <c r="R61">
        <f t="shared" ref="R61" si="282">R62+Q61</f>
        <v>-11621956442.990398</v>
      </c>
      <c r="S61">
        <f t="shared" ref="S61" si="283">R61/100000</f>
        <v>-116219.56442990399</v>
      </c>
      <c r="T61">
        <f t="shared" ref="T61" si="284">S61/1000</f>
        <v>-116.21956442990398</v>
      </c>
    </row>
    <row r="62" spans="1:20" x14ac:dyDescent="0.25">
      <c r="A62" s="5">
        <v>44531</v>
      </c>
      <c r="B62">
        <v>8.8889999999999997E-2</v>
      </c>
      <c r="C62">
        <v>9.3799999999999994E-2</v>
      </c>
      <c r="D62">
        <v>8.677E-2</v>
      </c>
      <c r="E62">
        <v>8.7480000000000002E-2</v>
      </c>
      <c r="F62">
        <v>213022890.40000001</v>
      </c>
      <c r="G62">
        <v>8.7480000000000002E-2</v>
      </c>
      <c r="L62" t="s">
        <v>7</v>
      </c>
      <c r="M62" t="s">
        <v>7</v>
      </c>
      <c r="N62" t="s">
        <v>8</v>
      </c>
      <c r="P62">
        <f t="shared" ref="P62" si="285">IF(C62=D62,0,((E62-D62)-(C62-E62))/(C62-D62))</f>
        <v>-0.79800853485063927</v>
      </c>
      <c r="Q62">
        <f t="shared" ref="Q62" si="286">F62*P62</f>
        <v>-169994084.65775231</v>
      </c>
      <c r="R62">
        <f t="shared" ref="R62" si="287">R63+Q62</f>
        <v>-11784748865.202402</v>
      </c>
      <c r="S62">
        <f t="shared" ref="S62" si="288">R62/100000</f>
        <v>-117847.48865202403</v>
      </c>
      <c r="T62">
        <f t="shared" ref="T62" si="289">S62/1000</f>
        <v>-117.84748865202403</v>
      </c>
    </row>
    <row r="63" spans="1:20" x14ac:dyDescent="0.25">
      <c r="A63" s="5">
        <v>44530</v>
      </c>
      <c r="B63">
        <v>9.3490000000000004E-2</v>
      </c>
      <c r="C63">
        <v>9.4969999999999999E-2</v>
      </c>
      <c r="D63">
        <v>8.8749999999999996E-2</v>
      </c>
      <c r="E63">
        <v>8.8889999999999997E-2</v>
      </c>
      <c r="F63">
        <v>192533945</v>
      </c>
      <c r="G63">
        <v>8.8889999999999997E-2</v>
      </c>
      <c r="L63" t="s">
        <v>7</v>
      </c>
      <c r="M63" t="s">
        <v>7</v>
      </c>
      <c r="N63" t="s">
        <v>8</v>
      </c>
      <c r="P63">
        <f t="shared" ref="P63" si="290">IF(C63=D63,0,((E63-D63)-(C63-E63))/(C63-D63))</f>
        <v>-0.95498392282958167</v>
      </c>
      <c r="Q63">
        <f t="shared" ref="Q63" si="291">F63*P63</f>
        <v>-183866822.07395491</v>
      </c>
      <c r="R63">
        <f t="shared" ref="R63" si="292">R64+Q63</f>
        <v>-11614754780.544649</v>
      </c>
      <c r="S63">
        <f t="shared" ref="S63" si="293">R63/100000</f>
        <v>-116147.54780544649</v>
      </c>
      <c r="T63">
        <f t="shared" ref="T63" si="294">S63/1000</f>
        <v>-116.14754780544649</v>
      </c>
    </row>
    <row r="64" spans="1:20" x14ac:dyDescent="0.25">
      <c r="A64" s="5">
        <v>44529</v>
      </c>
      <c r="B64">
        <v>9.8110000000000003E-2</v>
      </c>
      <c r="C64">
        <v>0.107</v>
      </c>
      <c r="D64">
        <v>9.2340000000000005E-2</v>
      </c>
      <c r="E64">
        <v>9.3649999999999997E-2</v>
      </c>
      <c r="F64">
        <v>335969922</v>
      </c>
      <c r="G64">
        <v>9.3649999999999997E-2</v>
      </c>
      <c r="L64" t="s">
        <v>8</v>
      </c>
      <c r="M64" t="s">
        <v>8</v>
      </c>
      <c r="N64" t="s">
        <v>8</v>
      </c>
      <c r="P64">
        <f t="shared" ref="P64" si="295">IF(C64=D64,0,((E64-D64)-(C64-E64))/(C64-D64))</f>
        <v>-0.82128240109140627</v>
      </c>
      <c r="Q64">
        <f t="shared" ref="Q64" si="296">F64*P64</f>
        <v>-275926184.23465246</v>
      </c>
      <c r="R64">
        <f t="shared" ref="R64" si="297">R65+Q64</f>
        <v>-11430887958.470694</v>
      </c>
      <c r="S64">
        <f t="shared" ref="S64" si="298">R64/100000</f>
        <v>-114308.87958470694</v>
      </c>
      <c r="T64">
        <f t="shared" ref="T64" si="299">S64/1000</f>
        <v>-114.30887958470694</v>
      </c>
    </row>
    <row r="65" spans="1:20" x14ac:dyDescent="0.25">
      <c r="A65" s="5">
        <v>44528</v>
      </c>
      <c r="B65">
        <v>9.5180000000000001E-2</v>
      </c>
      <c r="C65">
        <v>0.10757</v>
      </c>
      <c r="D65">
        <v>8.8749999999999996E-2</v>
      </c>
      <c r="E65">
        <v>9.8269999999999996E-2</v>
      </c>
      <c r="F65">
        <v>554397211.79999995</v>
      </c>
      <c r="G65">
        <v>9.8269999999999996E-2</v>
      </c>
      <c r="L65" t="s">
        <v>7</v>
      </c>
      <c r="M65" t="s">
        <v>7</v>
      </c>
      <c r="N65" t="s">
        <v>8</v>
      </c>
      <c r="P65">
        <f t="shared" ref="P65" si="300">IF(C65=D65,0,((E65-D65)-(C65-E65))/(C65-D65))</f>
        <v>1.1689691817215618E-2</v>
      </c>
      <c r="Q65">
        <f t="shared" ref="Q65" si="301">F65*P65</f>
        <v>6480732.5502656139</v>
      </c>
      <c r="R65">
        <f t="shared" ref="R65" si="302">R66+Q65</f>
        <v>-11154961774.236042</v>
      </c>
      <c r="S65">
        <f t="shared" ref="S65" si="303">R65/100000</f>
        <v>-111549.61774236042</v>
      </c>
      <c r="T65">
        <f t="shared" ref="T65" si="304">S65/1000</f>
        <v>-111.54961774236043</v>
      </c>
    </row>
    <row r="66" spans="1:20" x14ac:dyDescent="0.25">
      <c r="A66" s="5">
        <v>44527</v>
      </c>
      <c r="B66">
        <v>8.548E-2</v>
      </c>
      <c r="C66">
        <v>0.1188</v>
      </c>
      <c r="D66">
        <v>8.4010000000000001E-2</v>
      </c>
      <c r="E66">
        <v>9.5170000000000005E-2</v>
      </c>
      <c r="F66">
        <v>728151972.89999998</v>
      </c>
      <c r="G66">
        <v>9.5170000000000005E-2</v>
      </c>
      <c r="L66" t="s">
        <v>8</v>
      </c>
      <c r="M66" t="s">
        <v>8</v>
      </c>
      <c r="N66" t="s">
        <v>8</v>
      </c>
      <c r="P66">
        <f t="shared" ref="P66" si="305">IF(C66=D66,0,((E66-D66)-(C66-E66))/(C66-D66))</f>
        <v>-0.35843633227939048</v>
      </c>
      <c r="Q66">
        <f t="shared" ref="Q66" si="306">F66*P66</f>
        <v>-260996122.50827813</v>
      </c>
      <c r="R66">
        <f t="shared" ref="R66" si="307">R67+Q66</f>
        <v>-11161442506.786308</v>
      </c>
      <c r="S66">
        <f t="shared" ref="S66" si="308">R66/100000</f>
        <v>-111614.42506786308</v>
      </c>
      <c r="T66">
        <f t="shared" ref="T66" si="309">S66/1000</f>
        <v>-111.61442506786308</v>
      </c>
    </row>
    <row r="67" spans="1:20" x14ac:dyDescent="0.25">
      <c r="A67" s="5">
        <v>44526</v>
      </c>
      <c r="B67">
        <v>9.9330000000000002E-2</v>
      </c>
      <c r="C67">
        <v>0.10072</v>
      </c>
      <c r="D67">
        <v>8.2610000000000003E-2</v>
      </c>
      <c r="E67">
        <v>8.541E-2</v>
      </c>
      <c r="F67">
        <v>267368237.5</v>
      </c>
      <c r="G67">
        <v>8.541E-2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-0.69077857537272258</v>
      </c>
      <c r="Q67">
        <f t="shared" ref="Q67" si="311">F67*P67</f>
        <v>-184692250.20016575</v>
      </c>
      <c r="R67">
        <f t="shared" ref="R67" si="312">R68+Q67</f>
        <v>-10900446384.27803</v>
      </c>
      <c r="S67">
        <f t="shared" ref="S67" si="313">R67/100000</f>
        <v>-109004.4638427803</v>
      </c>
      <c r="T67">
        <f t="shared" ref="T67" si="314">S67/1000</f>
        <v>-109.0044638427803</v>
      </c>
    </row>
    <row r="68" spans="1:20" x14ac:dyDescent="0.25">
      <c r="A68" s="5">
        <v>44525</v>
      </c>
      <c r="B68">
        <v>0.10858</v>
      </c>
      <c r="C68">
        <v>0.11899999999999999</v>
      </c>
      <c r="D68">
        <v>9.3820000000000001E-2</v>
      </c>
      <c r="E68">
        <v>9.9320000000000006E-2</v>
      </c>
      <c r="F68">
        <v>761294037.70000005</v>
      </c>
      <c r="G68">
        <v>9.9320000000000006E-2</v>
      </c>
      <c r="L68" t="s">
        <v>7</v>
      </c>
      <c r="M68" t="s">
        <v>7</v>
      </c>
      <c r="N68" t="s">
        <v>8</v>
      </c>
      <c r="P68">
        <f t="shared" ref="P68" si="315">IF(C68=D68,0,((E68-D68)-(C68-E68))/(C68-D68))</f>
        <v>-0.56314535345512262</v>
      </c>
      <c r="Q68">
        <f t="shared" ref="Q68" si="316">F68*P68</f>
        <v>-428719199.94384396</v>
      </c>
      <c r="R68">
        <f t="shared" ref="R68" si="317">R69+Q68</f>
        <v>-10715754134.077866</v>
      </c>
      <c r="S68">
        <f t="shared" ref="S68" si="318">R68/100000</f>
        <v>-107157.54134077865</v>
      </c>
      <c r="T68">
        <f t="shared" ref="T68" si="319">S68/1000</f>
        <v>-107.15754134077865</v>
      </c>
    </row>
    <row r="69" spans="1:20" x14ac:dyDescent="0.25">
      <c r="A69" s="5">
        <v>44524</v>
      </c>
      <c r="B69">
        <v>8.7819999999999995E-2</v>
      </c>
      <c r="C69">
        <v>0.12</v>
      </c>
      <c r="D69">
        <v>8.7599999999999997E-2</v>
      </c>
      <c r="E69">
        <v>0.11876</v>
      </c>
      <c r="F69">
        <v>730932775.10000002</v>
      </c>
      <c r="G69">
        <v>0.11876</v>
      </c>
      <c r="L69" t="s">
        <v>8</v>
      </c>
      <c r="M69" t="s">
        <v>8</v>
      </c>
      <c r="N69" t="s">
        <v>8</v>
      </c>
      <c r="P69">
        <f t="shared" ref="P69" si="320">IF(C69=D69,0,((E69-D69)-(C69-E69))/(C69-D69))</f>
        <v>0.92345679012345738</v>
      </c>
      <c r="Q69">
        <f t="shared" ref="Q69" si="321">F69*P69</f>
        <v>674984834.28987706</v>
      </c>
      <c r="R69">
        <f t="shared" ref="R69" si="322">R70+Q69</f>
        <v>-10287034934.134022</v>
      </c>
      <c r="S69">
        <f t="shared" ref="S69" si="323">R69/100000</f>
        <v>-102870.34934134022</v>
      </c>
      <c r="T69">
        <f t="shared" ref="T69" si="324">S69/1000</f>
        <v>-102.87034934134022</v>
      </c>
    </row>
    <row r="70" spans="1:20" x14ac:dyDescent="0.25">
      <c r="A70" s="5">
        <v>44523</v>
      </c>
      <c r="B70">
        <v>8.1339999999999996E-2</v>
      </c>
      <c r="C70">
        <v>0.10359</v>
      </c>
      <c r="D70">
        <v>8.022E-2</v>
      </c>
      <c r="E70">
        <v>8.7809999999999999E-2</v>
      </c>
      <c r="F70">
        <v>787037391.39999998</v>
      </c>
      <c r="G70">
        <v>8.7809999999999999E-2</v>
      </c>
      <c r="L70" t="s">
        <v>8</v>
      </c>
      <c r="M70" t="s">
        <v>8</v>
      </c>
      <c r="N70" t="s">
        <v>7</v>
      </c>
      <c r="P70">
        <f t="shared" ref="P70" si="325">IF(C70=D70,0,((E70-D70)-(C70-E70))/(C70-D70))</f>
        <v>-0.35044929396662394</v>
      </c>
      <c r="Q70">
        <f t="shared" ref="Q70" si="326">F70*P70</f>
        <v>-275816698.14146346</v>
      </c>
      <c r="R70">
        <f t="shared" ref="R70" si="327">R71+Q70</f>
        <v>-10962019768.423899</v>
      </c>
      <c r="S70">
        <f t="shared" ref="S70" si="328">R70/100000</f>
        <v>-109620.19768423898</v>
      </c>
      <c r="T70">
        <f t="shared" ref="T70" si="329">S70/1000</f>
        <v>-109.62019768423899</v>
      </c>
    </row>
    <row r="71" spans="1:20" x14ac:dyDescent="0.25">
      <c r="A71" s="5">
        <v>44522</v>
      </c>
      <c r="B71">
        <v>9.1649999999999995E-2</v>
      </c>
      <c r="C71">
        <v>0.10666</v>
      </c>
      <c r="D71">
        <v>8.0579999999999999E-2</v>
      </c>
      <c r="E71">
        <v>8.1360000000000002E-2</v>
      </c>
      <c r="F71">
        <v>744201945.10000002</v>
      </c>
      <c r="G71">
        <v>8.1360000000000002E-2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-0.94018404907975439</v>
      </c>
      <c r="Q71">
        <f t="shared" ref="Q71" si="331">F71*P71</f>
        <v>-699686798.07714713</v>
      </c>
      <c r="R71">
        <f t="shared" ref="R71" si="332">R72+Q71</f>
        <v>-10686203070.282434</v>
      </c>
      <c r="S71">
        <f t="shared" ref="S71" si="333">R71/100000</f>
        <v>-106862.03070282434</v>
      </c>
      <c r="T71">
        <f t="shared" ref="T71" si="334">S71/1000</f>
        <v>-106.86203070282434</v>
      </c>
    </row>
    <row r="72" spans="1:20" x14ac:dyDescent="0.25">
      <c r="A72" s="5">
        <v>44521</v>
      </c>
      <c r="B72">
        <v>0.14741000000000001</v>
      </c>
      <c r="C72">
        <v>0.17269999999999999</v>
      </c>
      <c r="D72">
        <v>9.1480000000000006E-2</v>
      </c>
      <c r="E72">
        <v>9.1700000000000004E-2</v>
      </c>
      <c r="F72">
        <v>1999691231.3</v>
      </c>
      <c r="G72">
        <v>9.1700000000000004E-2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-0.9945826151194288</v>
      </c>
      <c r="Q72">
        <f t="shared" ref="Q72" si="336">F72*P72</f>
        <v>-1988858134.2577446</v>
      </c>
      <c r="R72">
        <f t="shared" ref="R72" si="337">R73+Q72</f>
        <v>-9986516272.2052879</v>
      </c>
      <c r="S72">
        <f t="shared" ref="S72" si="338">R72/100000</f>
        <v>-99865.162722052875</v>
      </c>
      <c r="T72">
        <f t="shared" ref="T72" si="339">S72/1000</f>
        <v>-99.865162722052872</v>
      </c>
    </row>
    <row r="73" spans="1:20" x14ac:dyDescent="0.25">
      <c r="A73" s="5">
        <v>44520</v>
      </c>
      <c r="B73">
        <v>5.7709999999999997E-2</v>
      </c>
      <c r="C73">
        <v>0.1875</v>
      </c>
      <c r="D73">
        <v>5.7709999999999997E-2</v>
      </c>
      <c r="E73">
        <v>0.14724000000000001</v>
      </c>
      <c r="F73">
        <v>7976983614.1000004</v>
      </c>
      <c r="G73">
        <v>0.14724000000000001</v>
      </c>
      <c r="L73" t="s">
        <v>8</v>
      </c>
      <c r="M73" t="s">
        <v>8</v>
      </c>
      <c r="N73" t="s">
        <v>8</v>
      </c>
      <c r="P73">
        <f t="shared" ref="P73" si="340">IF(C73=D73,0,((E73-D73)-(C73-E73))/(C73-D73))</f>
        <v>0.37961322135757775</v>
      </c>
      <c r="Q73">
        <f t="shared" ref="Q73" si="341">F73*P73</f>
        <v>3028168446.4651141</v>
      </c>
      <c r="R73">
        <f t="shared" ref="R73" si="342">R74+Q73</f>
        <v>-7997658137.9475441</v>
      </c>
      <c r="S73">
        <f t="shared" ref="S73" si="343">R73/100000</f>
        <v>-79976.581379475436</v>
      </c>
      <c r="T73">
        <f t="shared" ref="T73" si="344">S73/1000</f>
        <v>-79.976581379475434</v>
      </c>
    </row>
    <row r="74" spans="1:20" x14ac:dyDescent="0.25">
      <c r="A74" s="5">
        <v>44519</v>
      </c>
      <c r="B74">
        <v>4.5749999999999999E-2</v>
      </c>
      <c r="C74">
        <v>6.6739999999999994E-2</v>
      </c>
      <c r="D74">
        <v>4.4150000000000002E-2</v>
      </c>
      <c r="E74">
        <v>5.7799999999999997E-2</v>
      </c>
      <c r="F74">
        <v>1468796313.2</v>
      </c>
      <c r="G74">
        <v>5.7799999999999997E-2</v>
      </c>
      <c r="L74" t="s">
        <v>8</v>
      </c>
      <c r="M74" t="s">
        <v>8</v>
      </c>
      <c r="N74" t="s">
        <v>8</v>
      </c>
      <c r="P74">
        <f t="shared" ref="P74" si="345">IF(C74=D74,0,((E74-D74)-(C74-E74))/(C74-D74))</f>
        <v>0.20849933598937587</v>
      </c>
      <c r="Q74">
        <f t="shared" ref="Q74" si="346">F74*P74</f>
        <v>306243056.00584334</v>
      </c>
      <c r="R74">
        <f t="shared" ref="R74" si="347">R75+Q74</f>
        <v>-11025826584.412659</v>
      </c>
      <c r="S74">
        <f t="shared" ref="S74" si="348">R74/100000</f>
        <v>-110258.26584412658</v>
      </c>
      <c r="T74">
        <f t="shared" ref="T74" si="349">S74/1000</f>
        <v>-110.25826584412658</v>
      </c>
    </row>
    <row r="75" spans="1:20" x14ac:dyDescent="0.25">
      <c r="A75" s="5">
        <v>44518</v>
      </c>
      <c r="B75">
        <v>5.1560000000000002E-2</v>
      </c>
      <c r="C75">
        <v>5.212E-2</v>
      </c>
      <c r="D75">
        <v>4.4630000000000003E-2</v>
      </c>
      <c r="E75">
        <v>4.5560000000000003E-2</v>
      </c>
      <c r="F75">
        <v>147621911.80000001</v>
      </c>
      <c r="G75">
        <v>4.5560000000000003E-2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-0.75166889185580754</v>
      </c>
      <c r="Q75">
        <f t="shared" ref="Q75" si="351">F75*P75</f>
        <v>-110962798.85634176</v>
      </c>
      <c r="R75">
        <f t="shared" ref="R75" si="352">R76+Q75</f>
        <v>-11332069640.418503</v>
      </c>
      <c r="S75">
        <f t="shared" ref="S75" si="353">R75/100000</f>
        <v>-113320.69640418503</v>
      </c>
      <c r="T75">
        <f t="shared" ref="T75" si="354">S75/1000</f>
        <v>-113.32069640418503</v>
      </c>
    </row>
    <row r="76" spans="1:20" x14ac:dyDescent="0.25">
      <c r="A76" s="5">
        <v>44517</v>
      </c>
      <c r="B76">
        <v>5.5710000000000003E-2</v>
      </c>
      <c r="C76">
        <v>5.6579999999999998E-2</v>
      </c>
      <c r="D76">
        <v>5.092E-2</v>
      </c>
      <c r="E76">
        <v>5.16E-2</v>
      </c>
      <c r="F76">
        <v>261242538.5</v>
      </c>
      <c r="G76">
        <v>5.16E-2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-0.75971731448763247</v>
      </c>
      <c r="Q76">
        <f t="shared" ref="Q76" si="356">F76*P76</f>
        <v>-198470479.77915195</v>
      </c>
      <c r="R76">
        <f t="shared" ref="R76" si="357">R77+Q76</f>
        <v>-11221106841.56216</v>
      </c>
      <c r="S76">
        <f t="shared" ref="S76" si="358">R76/100000</f>
        <v>-112211.0684156216</v>
      </c>
      <c r="T76">
        <f t="shared" ref="T76" si="359">S76/1000</f>
        <v>-112.2110684156216</v>
      </c>
    </row>
    <row r="77" spans="1:20" x14ac:dyDescent="0.25">
      <c r="A77" s="5">
        <v>44516</v>
      </c>
      <c r="B77">
        <v>6.0609999999999997E-2</v>
      </c>
      <c r="C77">
        <v>7.3450000000000001E-2</v>
      </c>
      <c r="D77">
        <v>5.5509999999999997E-2</v>
      </c>
      <c r="E77">
        <v>5.5820000000000002E-2</v>
      </c>
      <c r="F77">
        <v>1085028754.2</v>
      </c>
      <c r="G77">
        <v>5.5820000000000002E-2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-0.96544035674470408</v>
      </c>
      <c r="Q77">
        <f t="shared" ref="Q77" si="361">F77*P77</f>
        <v>-1047530547.5331099</v>
      </c>
      <c r="R77">
        <f t="shared" ref="R77" si="362">R78+Q77</f>
        <v>-11022636361.783009</v>
      </c>
      <c r="S77">
        <f t="shared" ref="S77" si="363">R77/100000</f>
        <v>-110226.36361783008</v>
      </c>
      <c r="T77">
        <f t="shared" ref="T77" si="364">S77/1000</f>
        <v>-110.22636361783007</v>
      </c>
    </row>
    <row r="78" spans="1:20" x14ac:dyDescent="0.25">
      <c r="A78" s="5">
        <v>44515</v>
      </c>
      <c r="B78">
        <v>5.1569999999999998E-2</v>
      </c>
      <c r="C78">
        <v>8.097E-2</v>
      </c>
      <c r="D78">
        <v>5.0939999999999999E-2</v>
      </c>
      <c r="E78">
        <v>6.055E-2</v>
      </c>
      <c r="F78">
        <v>1269242769.5999999</v>
      </c>
      <c r="G78">
        <v>6.055E-2</v>
      </c>
      <c r="L78" t="s">
        <v>8</v>
      </c>
      <c r="M78" t="s">
        <v>8</v>
      </c>
      <c r="N78" t="s">
        <v>8</v>
      </c>
      <c r="P78">
        <f t="shared" ref="P78" si="365">IF(C78=D78,0,((E78-D78)-(C78-E78))/(C78-D78))</f>
        <v>-0.35997335997335994</v>
      </c>
      <c r="Q78">
        <f t="shared" ref="Q78" si="366">F78*P78</f>
        <v>-456893584.39480513</v>
      </c>
      <c r="R78">
        <f t="shared" ref="R78" si="367">R79+Q78</f>
        <v>-9975105814.2498989</v>
      </c>
      <c r="S78">
        <f t="shared" ref="S78" si="368">R78/100000</f>
        <v>-99751.058142498994</v>
      </c>
      <c r="T78">
        <f t="shared" ref="T78" si="369">S78/1000</f>
        <v>-99.751058142498991</v>
      </c>
    </row>
    <row r="79" spans="1:20" x14ac:dyDescent="0.25">
      <c r="A79" s="5">
        <v>44514</v>
      </c>
      <c r="B79">
        <v>5.1400000000000001E-2</v>
      </c>
      <c r="C79">
        <v>5.2699999999999997E-2</v>
      </c>
      <c r="D79">
        <v>4.9419999999999999E-2</v>
      </c>
      <c r="E79">
        <v>5.1520000000000003E-2</v>
      </c>
      <c r="F79">
        <v>56350746</v>
      </c>
      <c r="G79">
        <v>5.1520000000000003E-2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0.2804878048780523</v>
      </c>
      <c r="Q79">
        <f t="shared" ref="Q79" si="371">F79*P79</f>
        <v>15805697.048780687</v>
      </c>
      <c r="R79">
        <f t="shared" ref="R79" si="372">R80+Q79</f>
        <v>-9518212229.855093</v>
      </c>
      <c r="S79">
        <f t="shared" ref="S79" si="373">R79/100000</f>
        <v>-95182.122298550923</v>
      </c>
      <c r="T79">
        <f t="shared" ref="T79" si="374">S79/1000</f>
        <v>-95.182122298550922</v>
      </c>
    </row>
    <row r="80" spans="1:20" x14ac:dyDescent="0.25">
      <c r="A80" s="5">
        <v>44513</v>
      </c>
      <c r="B80">
        <v>4.9070000000000003E-2</v>
      </c>
      <c r="C80">
        <v>5.2389999999999999E-2</v>
      </c>
      <c r="D80">
        <v>4.8009999999999997E-2</v>
      </c>
      <c r="E80">
        <v>5.1389999999999998E-2</v>
      </c>
      <c r="F80">
        <v>64644271.600000001</v>
      </c>
      <c r="G80">
        <v>5.1389999999999998E-2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0.54337899543378976</v>
      </c>
      <c r="Q80">
        <f t="shared" ref="Q80" si="376">F80*P80</f>
        <v>35126339.362557068</v>
      </c>
      <c r="R80">
        <f t="shared" ref="R80" si="377">R81+Q80</f>
        <v>-9534017926.9038734</v>
      </c>
      <c r="S80">
        <f t="shared" ref="S80" si="378">R80/100000</f>
        <v>-95340.179269038737</v>
      </c>
      <c r="T80">
        <f t="shared" ref="T80" si="379">S80/1000</f>
        <v>-95.340179269038742</v>
      </c>
    </row>
    <row r="81" spans="1:20" x14ac:dyDescent="0.25">
      <c r="A81" s="5">
        <v>44512</v>
      </c>
      <c r="B81">
        <v>5.0110000000000002E-2</v>
      </c>
      <c r="C81">
        <v>5.0990000000000001E-2</v>
      </c>
      <c r="D81">
        <v>4.7500000000000001E-2</v>
      </c>
      <c r="E81">
        <v>4.9070000000000003E-2</v>
      </c>
      <c r="F81">
        <v>53319421.299999997</v>
      </c>
      <c r="G81">
        <v>4.9070000000000003E-2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-0.1002865329512883</v>
      </c>
      <c r="Q81">
        <f t="shared" ref="Q81" si="381">F81*P81</f>
        <v>-5347219.9011460729</v>
      </c>
      <c r="R81">
        <f t="shared" ref="R81" si="382">R82+Q81</f>
        <v>-9569144266.2664299</v>
      </c>
      <c r="S81">
        <f t="shared" ref="S81" si="383">R81/100000</f>
        <v>-95691.442662664296</v>
      </c>
      <c r="T81">
        <f t="shared" ref="T81" si="384">S81/1000</f>
        <v>-95.691442662664301</v>
      </c>
    </row>
    <row r="82" spans="1:20" x14ac:dyDescent="0.25">
      <c r="A82" s="5">
        <v>44511</v>
      </c>
      <c r="B82">
        <v>4.9320000000000003E-2</v>
      </c>
      <c r="C82">
        <v>5.2650000000000002E-2</v>
      </c>
      <c r="D82">
        <v>4.8160000000000001E-2</v>
      </c>
      <c r="E82">
        <v>5.0110000000000002E-2</v>
      </c>
      <c r="F82">
        <v>48312086.700000003</v>
      </c>
      <c r="G82">
        <v>5.0110000000000002E-2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-0.13140311804008911</v>
      </c>
      <c r="Q82">
        <f t="shared" ref="Q82" si="386">F82*P82</f>
        <v>-6348358.8314031195</v>
      </c>
      <c r="R82">
        <f t="shared" ref="R82" si="387">R83+Q82</f>
        <v>-9563797046.365284</v>
      </c>
      <c r="S82">
        <f t="shared" ref="S82" si="388">R82/100000</f>
        <v>-95637.970463652833</v>
      </c>
      <c r="T82">
        <f t="shared" ref="T82" si="389">S82/1000</f>
        <v>-95.637970463652834</v>
      </c>
    </row>
    <row r="83" spans="1:20" x14ac:dyDescent="0.25">
      <c r="A83" s="5">
        <v>44510</v>
      </c>
      <c r="B83">
        <v>5.2159999999999998E-2</v>
      </c>
      <c r="C83">
        <v>5.3490000000000003E-2</v>
      </c>
      <c r="D83">
        <v>4.6800000000000001E-2</v>
      </c>
      <c r="E83">
        <v>4.9320000000000003E-2</v>
      </c>
      <c r="F83">
        <v>77565220.200000003</v>
      </c>
      <c r="G83">
        <v>4.9320000000000003E-2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-0.24663677130044817</v>
      </c>
      <c r="Q83">
        <f t="shared" ref="Q83" si="391">F83*P83</f>
        <v>-19130435.475336302</v>
      </c>
      <c r="R83">
        <f t="shared" ref="R83" si="392">R84+Q83</f>
        <v>-9557448687.5338802</v>
      </c>
      <c r="S83">
        <f t="shared" ref="S83" si="393">R83/100000</f>
        <v>-95574.4868753388</v>
      </c>
      <c r="T83">
        <f t="shared" ref="T83" si="394">S83/1000</f>
        <v>-95.574486875338806</v>
      </c>
    </row>
    <row r="84" spans="1:20" x14ac:dyDescent="0.25">
      <c r="A84" s="5">
        <v>44509</v>
      </c>
      <c r="B84">
        <v>5.2920000000000002E-2</v>
      </c>
      <c r="C84">
        <v>5.3999999999999999E-2</v>
      </c>
      <c r="D84">
        <v>5.1720000000000002E-2</v>
      </c>
      <c r="E84">
        <v>5.2089999999999997E-2</v>
      </c>
      <c r="F84">
        <v>47976696.899999999</v>
      </c>
      <c r="G84">
        <v>5.2089999999999997E-2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-0.67543859649123184</v>
      </c>
      <c r="Q84">
        <f t="shared" ref="Q84" si="396">F84*P84</f>
        <v>-32405312.818421233</v>
      </c>
      <c r="R84">
        <f t="shared" ref="R84" si="397">R85+Q84</f>
        <v>-9538318252.0585442</v>
      </c>
      <c r="S84">
        <f t="shared" ref="S84" si="398">R84/100000</f>
        <v>-95383.18252058544</v>
      </c>
      <c r="T84">
        <f t="shared" ref="T84" si="399">S84/1000</f>
        <v>-95.383182520585436</v>
      </c>
    </row>
    <row r="85" spans="1:20" x14ac:dyDescent="0.25">
      <c r="A85" s="5">
        <v>44508</v>
      </c>
      <c r="B85">
        <v>5.212E-2</v>
      </c>
      <c r="C85">
        <v>5.3490000000000003E-2</v>
      </c>
      <c r="D85">
        <v>5.1619999999999999E-2</v>
      </c>
      <c r="E85">
        <v>5.2970000000000003E-2</v>
      </c>
      <c r="F85">
        <v>39085811.200000003</v>
      </c>
      <c r="G85">
        <v>5.2970000000000003E-2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0.44385026737968059</v>
      </c>
      <c r="Q85">
        <f t="shared" ref="Q85" si="401">F85*P85</f>
        <v>17348247.751871716</v>
      </c>
      <c r="R85">
        <f t="shared" ref="R85" si="402">R86+Q85</f>
        <v>-9505912939.2401237</v>
      </c>
      <c r="S85">
        <f t="shared" ref="S85" si="403">R85/100000</f>
        <v>-95059.129392401243</v>
      </c>
      <c r="T85">
        <f t="shared" ref="T85" si="404">S85/1000</f>
        <v>-95.059129392401246</v>
      </c>
    </row>
    <row r="86" spans="1:20" x14ac:dyDescent="0.25">
      <c r="A86" s="5">
        <v>44507</v>
      </c>
      <c r="B86">
        <v>5.0590000000000003E-2</v>
      </c>
      <c r="C86">
        <v>5.3900000000000003E-2</v>
      </c>
      <c r="D86">
        <v>5.0259999999999999E-2</v>
      </c>
      <c r="E86">
        <v>5.21E-2</v>
      </c>
      <c r="F86">
        <v>56645914.399999999</v>
      </c>
      <c r="G86">
        <v>5.21E-2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1.0989010989010528E-2</v>
      </c>
      <c r="Q86">
        <f t="shared" ref="Q86" si="406">F86*P86</f>
        <v>622482.57582414977</v>
      </c>
      <c r="R86">
        <f t="shared" ref="R86" si="407">R87+Q86</f>
        <v>-9523261186.9919949</v>
      </c>
      <c r="S86">
        <f t="shared" ref="S86" si="408">R86/100000</f>
        <v>-95232.611869919943</v>
      </c>
      <c r="T86">
        <f t="shared" ref="T86" si="409">S86/1000</f>
        <v>-95.23261186991995</v>
      </c>
    </row>
    <row r="87" spans="1:20" x14ac:dyDescent="0.25">
      <c r="A87" s="5">
        <v>44506</v>
      </c>
      <c r="B87">
        <v>5.092E-2</v>
      </c>
      <c r="C87">
        <v>5.1369999999999999E-2</v>
      </c>
      <c r="D87">
        <v>4.9299999999999997E-2</v>
      </c>
      <c r="E87">
        <v>5.0569999999999997E-2</v>
      </c>
      <c r="F87">
        <v>27073938.199999999</v>
      </c>
      <c r="G87">
        <v>5.0569999999999997E-2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0.22705314009661723</v>
      </c>
      <c r="Q87">
        <f t="shared" ref="Q87" si="411">F87*P87</f>
        <v>6147222.6830917569</v>
      </c>
      <c r="R87">
        <f t="shared" ref="R87" si="412">R88+Q87</f>
        <v>-9523883669.5678196</v>
      </c>
      <c r="S87">
        <f t="shared" ref="S87" si="413">R87/100000</f>
        <v>-95238.836695678197</v>
      </c>
      <c r="T87">
        <f t="shared" ref="T87" si="414">S87/1000</f>
        <v>-95.238836695678202</v>
      </c>
    </row>
    <row r="88" spans="1:20" x14ac:dyDescent="0.25">
      <c r="A88" s="5">
        <v>44505</v>
      </c>
      <c r="B88">
        <v>5.2979999999999999E-2</v>
      </c>
      <c r="C88">
        <v>5.3749999999999999E-2</v>
      </c>
      <c r="D88">
        <v>5.0470000000000001E-2</v>
      </c>
      <c r="E88">
        <v>5.0979999999999998E-2</v>
      </c>
      <c r="F88">
        <v>35575108</v>
      </c>
      <c r="G88">
        <v>5.0979999999999998E-2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-0.68902439024390438</v>
      </c>
      <c r="Q88">
        <f t="shared" ref="Q88" si="416">F88*P88</f>
        <v>-24512117.097561046</v>
      </c>
      <c r="R88">
        <f t="shared" ref="R88" si="417">R89+Q88</f>
        <v>-9530030892.2509117</v>
      </c>
      <c r="S88">
        <f t="shared" ref="S88" si="418">R88/100000</f>
        <v>-95300.308922509124</v>
      </c>
      <c r="T88">
        <f t="shared" ref="T88" si="419">S88/1000</f>
        <v>-95.300308922509117</v>
      </c>
    </row>
    <row r="89" spans="1:20" x14ac:dyDescent="0.25">
      <c r="A89" s="5">
        <v>44504</v>
      </c>
      <c r="B89">
        <v>5.543E-2</v>
      </c>
      <c r="C89">
        <v>5.7610000000000001E-2</v>
      </c>
      <c r="D89">
        <v>5.2260000000000001E-2</v>
      </c>
      <c r="E89">
        <v>5.2990000000000002E-2</v>
      </c>
      <c r="F89">
        <v>83599735.099999994</v>
      </c>
      <c r="G89">
        <v>5.2990000000000002E-2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-0.72710280373831726</v>
      </c>
      <c r="Q89">
        <f t="shared" ref="Q89" si="421">F89*P89</f>
        <v>-60785601.782990605</v>
      </c>
      <c r="R89">
        <f t="shared" ref="R89" si="422">R90+Q89</f>
        <v>-9505518775.1533508</v>
      </c>
      <c r="S89">
        <f t="shared" ref="S89" si="423">R89/100000</f>
        <v>-95055.187751533507</v>
      </c>
      <c r="T89">
        <f t="shared" ref="T89" si="424">S89/1000</f>
        <v>-95.055187751533509</v>
      </c>
    </row>
    <row r="90" spans="1:20" x14ac:dyDescent="0.25">
      <c r="A90" s="5">
        <v>44503</v>
      </c>
      <c r="B90">
        <v>5.2909999999999999E-2</v>
      </c>
      <c r="C90">
        <v>5.8000000000000003E-2</v>
      </c>
      <c r="D90">
        <v>5.1499999999999997E-2</v>
      </c>
      <c r="E90">
        <v>5.5410000000000001E-2</v>
      </c>
      <c r="F90">
        <v>110080602</v>
      </c>
      <c r="G90">
        <v>5.5410000000000001E-2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0.20307692307692315</v>
      </c>
      <c r="Q90">
        <f t="shared" ref="Q90" si="426">F90*P90</f>
        <v>22354829.944615394</v>
      </c>
      <c r="R90">
        <f t="shared" ref="R90" si="427">R91+Q90</f>
        <v>-9444733173.3703594</v>
      </c>
      <c r="S90">
        <f t="shared" ref="S90" si="428">R90/100000</f>
        <v>-94447.331733703599</v>
      </c>
      <c r="T90">
        <f t="shared" ref="T90" si="429">S90/1000</f>
        <v>-94.447331733703592</v>
      </c>
    </row>
    <row r="91" spans="1:20" x14ac:dyDescent="0.25">
      <c r="A91" s="5">
        <v>44502</v>
      </c>
      <c r="B91">
        <v>5.1499999999999997E-2</v>
      </c>
      <c r="C91">
        <v>5.3999999999999999E-2</v>
      </c>
      <c r="D91">
        <v>5.0610000000000002E-2</v>
      </c>
      <c r="E91">
        <v>5.2909999999999999E-2</v>
      </c>
      <c r="F91">
        <v>61582313</v>
      </c>
      <c r="G91">
        <v>5.2909999999999999E-2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0.35693215339232942</v>
      </c>
      <c r="Q91">
        <f t="shared" ref="Q91" si="431">F91*P91</f>
        <v>21980707.589970443</v>
      </c>
      <c r="R91">
        <f t="shared" ref="R91" si="432">R92+Q91</f>
        <v>-9467088003.3149757</v>
      </c>
      <c r="S91">
        <f t="shared" ref="S91" si="433">R91/100000</f>
        <v>-94670.880033149762</v>
      </c>
      <c r="T91">
        <f t="shared" ref="T91" si="434">S91/1000</f>
        <v>-94.670880033149757</v>
      </c>
    </row>
    <row r="92" spans="1:20" x14ac:dyDescent="0.25">
      <c r="A92" s="5">
        <v>44501</v>
      </c>
      <c r="B92">
        <v>4.9970000000000001E-2</v>
      </c>
      <c r="C92">
        <v>5.3800000000000001E-2</v>
      </c>
      <c r="D92">
        <v>4.9099999999999998E-2</v>
      </c>
      <c r="E92">
        <v>5.1569999999999998E-2</v>
      </c>
      <c r="F92">
        <v>84068132.299999997</v>
      </c>
      <c r="G92">
        <v>5.1569999999999998E-2</v>
      </c>
      <c r="L92" t="s">
        <v>8</v>
      </c>
      <c r="M92" t="s">
        <v>8</v>
      </c>
      <c r="N92" t="s">
        <v>8</v>
      </c>
      <c r="P92">
        <f t="shared" ref="P92" si="435">IF(C92=D92,0,((E92-D92)-(C92-E92))/(C92-D92))</f>
        <v>5.1063829787233408E-2</v>
      </c>
      <c r="Q92">
        <f t="shared" ref="Q92" si="436">F92*P92</f>
        <v>4292840.7982978188</v>
      </c>
      <c r="R92">
        <f t="shared" ref="R92" si="437">R93+Q92</f>
        <v>-9489068710.9049454</v>
      </c>
      <c r="S92">
        <f t="shared" ref="S92" si="438">R92/100000</f>
        <v>-94890.687109049453</v>
      </c>
      <c r="T92">
        <f t="shared" ref="T92" si="439">S92/1000</f>
        <v>-94.890687109049452</v>
      </c>
    </row>
    <row r="93" spans="1:20" x14ac:dyDescent="0.25">
      <c r="A93" s="5">
        <v>44500</v>
      </c>
      <c r="B93">
        <v>5.1479999999999998E-2</v>
      </c>
      <c r="C93">
        <v>5.4149999999999997E-2</v>
      </c>
      <c r="D93">
        <v>4.9149999999999999E-2</v>
      </c>
      <c r="E93">
        <v>4.9939999999999998E-2</v>
      </c>
      <c r="F93">
        <v>89417942.900000006</v>
      </c>
      <c r="G93">
        <v>4.9939999999999998E-2</v>
      </c>
      <c r="L93" t="s">
        <v>7</v>
      </c>
      <c r="M93" t="s">
        <v>8</v>
      </c>
      <c r="N93" t="s">
        <v>8</v>
      </c>
      <c r="P93">
        <f t="shared" ref="P93" si="440">IF(C93=D93,0,((E93-D93)-(C93-E93))/(C93-D93))</f>
        <v>-0.68400000000000027</v>
      </c>
      <c r="Q93">
        <f t="shared" ref="Q93" si="441">F93*P93</f>
        <v>-61161872.943600029</v>
      </c>
      <c r="R93">
        <f t="shared" ref="R93" si="442">R94+Q93</f>
        <v>-9493361551.7032433</v>
      </c>
      <c r="S93">
        <f t="shared" ref="S93" si="443">R93/100000</f>
        <v>-94933.615517032435</v>
      </c>
      <c r="T93">
        <f t="shared" ref="T93" si="444">S93/1000</f>
        <v>-94.933615517032436</v>
      </c>
    </row>
    <row r="94" spans="1:20" x14ac:dyDescent="0.25">
      <c r="A94" s="5">
        <v>44499</v>
      </c>
      <c r="B94">
        <v>4.7919999999999997E-2</v>
      </c>
      <c r="C94">
        <v>5.3749999999999999E-2</v>
      </c>
      <c r="D94">
        <v>4.6460000000000001E-2</v>
      </c>
      <c r="E94">
        <v>5.1470000000000002E-2</v>
      </c>
      <c r="F94">
        <v>187229469.90000001</v>
      </c>
      <c r="G94">
        <v>5.1470000000000002E-2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0.3744855967078195</v>
      </c>
      <c r="Q94">
        <f t="shared" ref="Q94" si="446">F94*P94</f>
        <v>70114739.756790236</v>
      </c>
      <c r="R94">
        <f t="shared" ref="R94" si="447">R95+Q94</f>
        <v>-9432199678.7596436</v>
      </c>
      <c r="S94">
        <f t="shared" ref="S94" si="448">R94/100000</f>
        <v>-94321.996787596436</v>
      </c>
      <c r="T94">
        <f t="shared" ref="T94" si="449">S94/1000</f>
        <v>-94.321996787596433</v>
      </c>
    </row>
    <row r="95" spans="1:20" x14ac:dyDescent="0.25">
      <c r="A95" s="5">
        <v>44498</v>
      </c>
      <c r="B95">
        <v>4.6370000000000001E-2</v>
      </c>
      <c r="C95">
        <v>5.083E-2</v>
      </c>
      <c r="D95">
        <v>4.5999999999999999E-2</v>
      </c>
      <c r="E95">
        <v>4.7910000000000001E-2</v>
      </c>
      <c r="F95">
        <v>71946802.099999994</v>
      </c>
      <c r="G95">
        <v>4.7910000000000001E-2</v>
      </c>
      <c r="L95" t="s">
        <v>7</v>
      </c>
      <c r="M95" t="s">
        <v>7</v>
      </c>
      <c r="N95" t="s">
        <v>8</v>
      </c>
      <c r="P95">
        <f t="shared" ref="P95" si="450">IF(C95=D95,0,((E95-D95)-(C95-E95))/(C95-D95))</f>
        <v>-0.20910973084886061</v>
      </c>
      <c r="Q95">
        <f t="shared" ref="Q95" si="451">F95*P95</f>
        <v>-15044776.422567239</v>
      </c>
      <c r="R95">
        <f t="shared" ref="R95" si="452">R96+Q95</f>
        <v>-9502314418.5164337</v>
      </c>
      <c r="S95">
        <f t="shared" ref="S95" si="453">R95/100000</f>
        <v>-95023.144185164332</v>
      </c>
      <c r="T95">
        <f t="shared" ref="T95" si="454">S95/1000</f>
        <v>-95.023144185164327</v>
      </c>
    </row>
    <row r="96" spans="1:20" x14ac:dyDescent="0.25">
      <c r="A96" s="5">
        <v>44497</v>
      </c>
      <c r="B96">
        <v>4.4560000000000002E-2</v>
      </c>
      <c r="C96">
        <v>5.0900000000000001E-2</v>
      </c>
      <c r="D96">
        <v>4.3779999999999999E-2</v>
      </c>
      <c r="E96">
        <v>4.6370000000000001E-2</v>
      </c>
      <c r="F96">
        <v>80927416.400000006</v>
      </c>
      <c r="G96">
        <v>4.6370000000000001E-2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-0.27247191011235911</v>
      </c>
      <c r="Q96">
        <f t="shared" ref="Q96" si="456">F96*P96</f>
        <v>-22050447.726966258</v>
      </c>
      <c r="R96">
        <f t="shared" ref="R96" si="457">R97+Q96</f>
        <v>-9487269642.0938663</v>
      </c>
      <c r="S96">
        <f t="shared" ref="S96" si="458">R96/100000</f>
        <v>-94872.696420938664</v>
      </c>
      <c r="T96">
        <f t="shared" ref="T96" si="459">S96/1000</f>
        <v>-94.872696420938667</v>
      </c>
    </row>
    <row r="97" spans="1:20" x14ac:dyDescent="0.25">
      <c r="A97" s="5">
        <v>44496</v>
      </c>
      <c r="B97">
        <v>5.006E-2</v>
      </c>
      <c r="C97">
        <v>5.1749999999999997E-2</v>
      </c>
      <c r="D97">
        <v>4.3999999999999997E-2</v>
      </c>
      <c r="E97">
        <v>4.4589999999999998E-2</v>
      </c>
      <c r="F97">
        <v>64797476.899999999</v>
      </c>
      <c r="G97">
        <v>4.4589999999999998E-2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-0.84774193548387089</v>
      </c>
      <c r="Q97">
        <f t="shared" ref="Q97" si="461">F97*P97</f>
        <v>-54931538.481677413</v>
      </c>
      <c r="R97">
        <f t="shared" ref="R97" si="462">R98+Q97</f>
        <v>-9465219194.3668995</v>
      </c>
      <c r="S97">
        <f t="shared" ref="S97" si="463">R97/100000</f>
        <v>-94652.191943668993</v>
      </c>
      <c r="T97">
        <f t="shared" ref="T97" si="464">S97/1000</f>
        <v>-94.652191943668996</v>
      </c>
    </row>
    <row r="98" spans="1:20" x14ac:dyDescent="0.25">
      <c r="A98" s="5">
        <v>44495</v>
      </c>
      <c r="B98">
        <v>5.0310000000000001E-2</v>
      </c>
      <c r="C98">
        <v>5.1830000000000001E-2</v>
      </c>
      <c r="D98">
        <v>4.9200000000000001E-2</v>
      </c>
      <c r="E98">
        <v>4.9979999999999997E-2</v>
      </c>
      <c r="F98">
        <v>47053637.399999999</v>
      </c>
      <c r="G98">
        <v>4.9979999999999997E-2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-0.40684410646388147</v>
      </c>
      <c r="Q98">
        <f t="shared" ref="Q98" si="466">F98*P98</f>
        <v>-19143495.063878473</v>
      </c>
      <c r="R98">
        <f t="shared" ref="R98" si="467">R99+Q98</f>
        <v>-9410287655.8852215</v>
      </c>
      <c r="S98">
        <f t="shared" ref="S98" si="468">R98/100000</f>
        <v>-94102.876558852222</v>
      </c>
      <c r="T98">
        <f t="shared" ref="T98" si="469">S98/1000</f>
        <v>-94.102876558852216</v>
      </c>
    </row>
    <row r="99" spans="1:20" x14ac:dyDescent="0.25">
      <c r="A99" s="5">
        <v>44494</v>
      </c>
      <c r="B99">
        <v>4.8989999999999999E-2</v>
      </c>
      <c r="C99">
        <v>5.0900000000000001E-2</v>
      </c>
      <c r="D99">
        <v>4.8739999999999999E-2</v>
      </c>
      <c r="E99">
        <v>5.0310000000000001E-2</v>
      </c>
      <c r="F99">
        <v>32463065</v>
      </c>
      <c r="G99">
        <v>5.0310000000000001E-2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0.45370370370370405</v>
      </c>
      <c r="Q99">
        <f t="shared" ref="Q99" si="471">F99*P99</f>
        <v>14728612.824074086</v>
      </c>
      <c r="R99">
        <f t="shared" ref="R99" si="472">R100+Q99</f>
        <v>-9391144160.8213425</v>
      </c>
      <c r="S99">
        <f t="shared" ref="S99" si="473">R99/100000</f>
        <v>-93911.441608213427</v>
      </c>
      <c r="T99">
        <f t="shared" ref="T99" si="474">S99/1000</f>
        <v>-93.911441608213423</v>
      </c>
    </row>
    <row r="100" spans="1:20" x14ac:dyDescent="0.25">
      <c r="A100" s="5">
        <v>44493</v>
      </c>
      <c r="B100">
        <v>5.0909999999999997E-2</v>
      </c>
      <c r="C100">
        <v>5.1270000000000003E-2</v>
      </c>
      <c r="D100">
        <v>4.8099999999999997E-2</v>
      </c>
      <c r="E100">
        <v>4.9000000000000002E-2</v>
      </c>
      <c r="F100">
        <v>38386466.399999999</v>
      </c>
      <c r="G100">
        <v>4.9000000000000002E-2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-0.43217665615141754</v>
      </c>
      <c r="Q100">
        <f t="shared" ref="Q100" si="476">F100*P100</f>
        <v>-16589734.690220742</v>
      </c>
      <c r="R100">
        <f t="shared" ref="R100" si="477">R101+Q100</f>
        <v>-9405872773.6454163</v>
      </c>
      <c r="S100">
        <f t="shared" ref="S100" si="478">R100/100000</f>
        <v>-94058.727736454166</v>
      </c>
      <c r="T100">
        <f t="shared" ref="T100" si="479">S100/1000</f>
        <v>-94.058727736454159</v>
      </c>
    </row>
    <row r="101" spans="1:20" x14ac:dyDescent="0.25">
      <c r="A101" s="5">
        <v>44492</v>
      </c>
      <c r="B101">
        <v>5.0479999999999997E-2</v>
      </c>
      <c r="C101">
        <v>5.1999999999999998E-2</v>
      </c>
      <c r="D101">
        <v>5.0049999999999997E-2</v>
      </c>
      <c r="E101">
        <v>5.0889999999999998E-2</v>
      </c>
      <c r="F101">
        <v>30578241.399999999</v>
      </c>
      <c r="G101">
        <v>5.0889999999999998E-2</v>
      </c>
      <c r="L101" t="s">
        <v>7</v>
      </c>
      <c r="M101" t="s">
        <v>7</v>
      </c>
      <c r="N101" t="s">
        <v>8</v>
      </c>
      <c r="P101">
        <f t="shared" ref="P101" si="480">IF(C101=D101,0,((E101-D101)-(C101-E101))/(C101-D101))</f>
        <v>-0.13846153846153814</v>
      </c>
      <c r="Q101">
        <f t="shared" ref="Q101" si="481">F101*P101</f>
        <v>-4233910.3476922978</v>
      </c>
      <c r="R101">
        <f t="shared" ref="R101" si="482">R102+Q101</f>
        <v>-9389283038.9551964</v>
      </c>
      <c r="S101">
        <f t="shared" ref="S101" si="483">R101/100000</f>
        <v>-93892.830389551964</v>
      </c>
      <c r="T101">
        <f t="shared" ref="T101" si="484">S101/1000</f>
        <v>-93.89283038955196</v>
      </c>
    </row>
    <row r="102" spans="1:20" x14ac:dyDescent="0.25">
      <c r="A102" s="5">
        <v>44491</v>
      </c>
      <c r="B102">
        <v>5.1279999999999999E-2</v>
      </c>
      <c r="C102">
        <v>5.2400000000000002E-2</v>
      </c>
      <c r="D102">
        <v>4.9369999999999997E-2</v>
      </c>
      <c r="E102">
        <v>5.049E-2</v>
      </c>
      <c r="F102">
        <v>40084784.600000001</v>
      </c>
      <c r="G102">
        <v>5.049E-2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-0.26072607260726</v>
      </c>
      <c r="Q102">
        <f t="shared" ref="Q102" si="486">F102*P102</f>
        <v>-10451148.460065978</v>
      </c>
      <c r="R102">
        <f t="shared" ref="R102" si="487">R103+Q102</f>
        <v>-9385049128.6075039</v>
      </c>
      <c r="S102">
        <f t="shared" ref="S102" si="488">R102/100000</f>
        <v>-93850.491286075034</v>
      </c>
      <c r="T102">
        <f t="shared" ref="T102" si="489">S102/1000</f>
        <v>-93.850491286075027</v>
      </c>
    </row>
    <row r="103" spans="1:20" x14ac:dyDescent="0.25">
      <c r="A103" s="5">
        <v>44490</v>
      </c>
      <c r="B103">
        <v>5.3150000000000003E-2</v>
      </c>
      <c r="C103">
        <v>5.364E-2</v>
      </c>
      <c r="D103">
        <v>5.1119999999999999E-2</v>
      </c>
      <c r="E103">
        <v>5.1279999999999999E-2</v>
      </c>
      <c r="F103">
        <v>47345587.399999999</v>
      </c>
      <c r="G103">
        <v>5.1279999999999999E-2</v>
      </c>
      <c r="L103" t="s">
        <v>7</v>
      </c>
      <c r="M103" t="s">
        <v>7</v>
      </c>
      <c r="N103" t="s">
        <v>8</v>
      </c>
      <c r="P103">
        <f t="shared" ref="P103" si="490">IF(C103=D103,0,((E103-D103)-(C103-E103))/(C103-D103))</f>
        <v>-0.8730158730158728</v>
      </c>
      <c r="Q103">
        <f t="shared" ref="Q103" si="491">F103*P103</f>
        <v>-41333449.317460306</v>
      </c>
      <c r="R103">
        <f t="shared" ref="R103" si="492">R104+Q103</f>
        <v>-9374597980.147438</v>
      </c>
      <c r="S103">
        <f t="shared" ref="S103" si="493">R103/100000</f>
        <v>-93745.979801474386</v>
      </c>
      <c r="T103">
        <f t="shared" ref="T103" si="494">S103/1000</f>
        <v>-93.745979801474391</v>
      </c>
    </row>
    <row r="104" spans="1:20" x14ac:dyDescent="0.25">
      <c r="A104" s="5">
        <v>44489</v>
      </c>
      <c r="B104">
        <v>5.1470000000000002E-2</v>
      </c>
      <c r="C104">
        <v>5.4199999999999998E-2</v>
      </c>
      <c r="D104">
        <v>5.0900000000000001E-2</v>
      </c>
      <c r="E104">
        <v>5.321E-2</v>
      </c>
      <c r="F104">
        <v>54065811.299999997</v>
      </c>
      <c r="G104">
        <v>5.321E-2</v>
      </c>
      <c r="L104" t="s">
        <v>7</v>
      </c>
      <c r="M104" t="s">
        <v>7</v>
      </c>
      <c r="N104" t="s">
        <v>8</v>
      </c>
      <c r="P104">
        <f t="shared" ref="P104" si="495">IF(C104=D104,0,((E104-D104)-(C104-E104))/(C104-D104))</f>
        <v>0.40000000000000085</v>
      </c>
      <c r="Q104">
        <f t="shared" ref="Q104" si="496">F104*P104</f>
        <v>21626324.520000044</v>
      </c>
      <c r="R104">
        <f t="shared" ref="R104" si="497">R105+Q104</f>
        <v>-9333264530.829977</v>
      </c>
      <c r="S104">
        <f t="shared" ref="S104" si="498">R104/100000</f>
        <v>-93332.645308299776</v>
      </c>
      <c r="T104">
        <f t="shared" ref="T104" si="499">S104/1000</f>
        <v>-93.332645308299774</v>
      </c>
    </row>
    <row r="105" spans="1:20" x14ac:dyDescent="0.25">
      <c r="A105" s="5">
        <v>44488</v>
      </c>
      <c r="B105">
        <v>5.2979999999999999E-2</v>
      </c>
      <c r="C105">
        <v>5.4440000000000002E-2</v>
      </c>
      <c r="D105">
        <v>5.0860000000000002E-2</v>
      </c>
      <c r="E105">
        <v>5.1470000000000002E-2</v>
      </c>
      <c r="F105">
        <v>54663045.600000001</v>
      </c>
      <c r="G105">
        <v>5.1470000000000002E-2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-0.65921787709497237</v>
      </c>
      <c r="Q105">
        <f t="shared" ref="Q105" si="501">F105*P105</f>
        <v>-36034856.875977673</v>
      </c>
      <c r="R105">
        <f t="shared" ref="R105" si="502">R106+Q105</f>
        <v>-9354890855.3499775</v>
      </c>
      <c r="S105">
        <f t="shared" ref="S105" si="503">R105/100000</f>
        <v>-93548.908553499772</v>
      </c>
      <c r="T105">
        <f t="shared" ref="T105" si="504">S105/1000</f>
        <v>-93.548908553499771</v>
      </c>
    </row>
    <row r="106" spans="1:20" x14ac:dyDescent="0.25">
      <c r="A106" s="5">
        <v>44487</v>
      </c>
      <c r="B106">
        <v>5.0110000000000002E-2</v>
      </c>
      <c r="C106">
        <v>5.5500000000000001E-2</v>
      </c>
      <c r="D106">
        <v>4.9910000000000003E-2</v>
      </c>
      <c r="E106">
        <v>5.2990000000000002E-2</v>
      </c>
      <c r="F106">
        <v>126859468.3</v>
      </c>
      <c r="G106">
        <v>5.2990000000000002E-2</v>
      </c>
      <c r="L106" t="s">
        <v>8</v>
      </c>
      <c r="M106" t="s">
        <v>7</v>
      </c>
      <c r="N106" t="s">
        <v>8</v>
      </c>
      <c r="P106">
        <f t="shared" ref="P106" si="505">IF(C106=D106,0,((E106-D106)-(C106-E106))/(C106-D106))</f>
        <v>0.10196779964221848</v>
      </c>
      <c r="Q106">
        <f t="shared" ref="Q106" si="506">F106*P106</f>
        <v>12935580.846332766</v>
      </c>
      <c r="R106">
        <f t="shared" ref="R106" si="507">R107+Q106</f>
        <v>-9318855998.473999</v>
      </c>
      <c r="S106">
        <f t="shared" ref="S106" si="508">R106/100000</f>
        <v>-93188.559984739986</v>
      </c>
      <c r="T106">
        <f t="shared" ref="T106" si="509">S106/1000</f>
        <v>-93.188559984739982</v>
      </c>
    </row>
    <row r="107" spans="1:20" x14ac:dyDescent="0.25">
      <c r="A107" s="5">
        <v>44486</v>
      </c>
      <c r="B107">
        <v>5.092E-2</v>
      </c>
      <c r="C107">
        <v>5.3940000000000002E-2</v>
      </c>
      <c r="D107">
        <v>4.9009999999999998E-2</v>
      </c>
      <c r="E107">
        <v>5.0090000000000003E-2</v>
      </c>
      <c r="F107">
        <v>112426393.7</v>
      </c>
      <c r="G107">
        <v>5.0090000000000003E-2</v>
      </c>
      <c r="L107" t="s">
        <v>8</v>
      </c>
      <c r="M107" t="s">
        <v>7</v>
      </c>
      <c r="N107" t="s">
        <v>8</v>
      </c>
      <c r="P107">
        <f t="shared" ref="P107" si="510">IF(C107=D107,0,((E107-D107)-(C107-E107))/(C107-D107))</f>
        <v>-0.56186612576064754</v>
      </c>
      <c r="Q107">
        <f t="shared" ref="Q107" si="511">F107*P107</f>
        <v>-63168582.261460274</v>
      </c>
      <c r="R107">
        <f t="shared" ref="R107" si="512">R108+Q107</f>
        <v>-9331791579.3203316</v>
      </c>
      <c r="S107">
        <f t="shared" ref="S107" si="513">R107/100000</f>
        <v>-93317.915793203312</v>
      </c>
      <c r="T107">
        <f t="shared" ref="T107" si="514">S107/1000</f>
        <v>-93.317915793203312</v>
      </c>
    </row>
    <row r="108" spans="1:20" x14ac:dyDescent="0.25">
      <c r="A108" s="5">
        <v>44485</v>
      </c>
      <c r="B108">
        <v>4.8919999999999998E-2</v>
      </c>
      <c r="C108">
        <v>5.3839999999999999E-2</v>
      </c>
      <c r="D108">
        <v>4.836E-2</v>
      </c>
      <c r="E108">
        <v>5.0930000000000003E-2</v>
      </c>
      <c r="F108">
        <v>88692044.5</v>
      </c>
      <c r="G108">
        <v>5.0930000000000003E-2</v>
      </c>
      <c r="L108" t="s">
        <v>7</v>
      </c>
      <c r="M108" t="s">
        <v>7</v>
      </c>
      <c r="N108" t="s">
        <v>8</v>
      </c>
      <c r="P108">
        <f t="shared" ref="P108" si="515">IF(C108=D108,0,((E108-D108)-(C108-E108))/(C108-D108))</f>
        <v>-6.2043795620436708E-2</v>
      </c>
      <c r="Q108">
        <f t="shared" ref="Q108" si="516">F108*P108</f>
        <v>-5502791.0821166774</v>
      </c>
      <c r="R108">
        <f t="shared" ref="R108" si="517">R109+Q108</f>
        <v>-9268622997.0588722</v>
      </c>
      <c r="S108">
        <f t="shared" ref="S108" si="518">R108/100000</f>
        <v>-92686.229970588727</v>
      </c>
      <c r="T108">
        <f t="shared" ref="T108" si="519">S108/1000</f>
        <v>-92.686229970588727</v>
      </c>
    </row>
    <row r="109" spans="1:20" x14ac:dyDescent="0.25">
      <c r="A109" s="5">
        <v>44484</v>
      </c>
      <c r="B109">
        <v>4.7570000000000001E-2</v>
      </c>
      <c r="C109">
        <v>5.7799999999999997E-2</v>
      </c>
      <c r="D109">
        <v>4.7399999999999998E-2</v>
      </c>
      <c r="E109">
        <v>4.8919999999999998E-2</v>
      </c>
      <c r="F109">
        <v>322109242.30000001</v>
      </c>
      <c r="G109">
        <v>4.8919999999999998E-2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-0.70769230769230762</v>
      </c>
      <c r="Q109">
        <f t="shared" ref="Q109" si="521">F109*P109</f>
        <v>-227954233.01230767</v>
      </c>
      <c r="R109">
        <f t="shared" ref="R109" si="522">R110+Q109</f>
        <v>-9263120205.9767551</v>
      </c>
      <c r="S109">
        <f t="shared" ref="S109" si="523">R109/100000</f>
        <v>-92631.202059767558</v>
      </c>
      <c r="T109">
        <f t="shared" ref="T109" si="524">S109/1000</f>
        <v>-92.63120205976756</v>
      </c>
    </row>
    <row r="110" spans="1:20" x14ac:dyDescent="0.25">
      <c r="A110" s="5">
        <v>44483</v>
      </c>
      <c r="B110">
        <v>4.709E-2</v>
      </c>
      <c r="C110">
        <v>4.9860000000000002E-2</v>
      </c>
      <c r="D110">
        <v>4.6460000000000001E-2</v>
      </c>
      <c r="E110">
        <v>4.7570000000000001E-2</v>
      </c>
      <c r="F110">
        <v>91575822</v>
      </c>
      <c r="G110">
        <v>4.7570000000000001E-2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-0.34705882352941186</v>
      </c>
      <c r="Q110">
        <f t="shared" ref="Q110" si="526">F110*P110</f>
        <v>-31782197.047058832</v>
      </c>
      <c r="R110">
        <f t="shared" ref="R110" si="527">R111+Q110</f>
        <v>-9035165972.964447</v>
      </c>
      <c r="S110">
        <f t="shared" ref="S110" si="528">R110/100000</f>
        <v>-90351.659729644467</v>
      </c>
      <c r="T110">
        <f t="shared" ref="T110" si="529">S110/1000</f>
        <v>-90.351659729644467</v>
      </c>
    </row>
    <row r="111" spans="1:20" x14ac:dyDescent="0.25">
      <c r="A111" s="5">
        <v>44482</v>
      </c>
      <c r="B111">
        <v>4.7230000000000001E-2</v>
      </c>
      <c r="C111">
        <v>4.7969999999999999E-2</v>
      </c>
      <c r="D111">
        <v>4.5289999999999997E-2</v>
      </c>
      <c r="E111">
        <v>4.7100000000000003E-2</v>
      </c>
      <c r="F111">
        <v>55187505.899999999</v>
      </c>
      <c r="G111">
        <v>4.7100000000000003E-2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0.35074626865672004</v>
      </c>
      <c r="Q111">
        <f t="shared" ref="Q111" si="531">F111*P111</f>
        <v>19356811.770895723</v>
      </c>
      <c r="R111">
        <f t="shared" ref="R111" si="532">R112+Q111</f>
        <v>-9003383775.9173889</v>
      </c>
      <c r="S111">
        <f t="shared" ref="S111" si="533">R111/100000</f>
        <v>-90033.837759173883</v>
      </c>
      <c r="T111">
        <f t="shared" ref="T111" si="534">S111/1000</f>
        <v>-90.033837759173878</v>
      </c>
    </row>
    <row r="112" spans="1:20" x14ac:dyDescent="0.25">
      <c r="A112" s="5">
        <v>44481</v>
      </c>
      <c r="B112">
        <v>4.6149999999999997E-2</v>
      </c>
      <c r="C112">
        <v>4.9680000000000002E-2</v>
      </c>
      <c r="D112">
        <v>4.3880000000000002E-2</v>
      </c>
      <c r="E112">
        <v>4.7329999999999997E-2</v>
      </c>
      <c r="F112">
        <v>96708970.700000003</v>
      </c>
      <c r="G112">
        <v>4.7329999999999997E-2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0.18965517241379137</v>
      </c>
      <c r="Q112">
        <f t="shared" ref="Q112" si="536">F112*P112</f>
        <v>18341356.512068797</v>
      </c>
      <c r="R112">
        <f t="shared" ref="R112" si="537">R113+Q112</f>
        <v>-9022740587.6882839</v>
      </c>
      <c r="S112">
        <f t="shared" ref="S112" si="538">R112/100000</f>
        <v>-90227.40587688284</v>
      </c>
      <c r="T112">
        <f t="shared" ref="T112" si="539">S112/1000</f>
        <v>-90.227405876882841</v>
      </c>
    </row>
    <row r="113" spans="1:20" x14ac:dyDescent="0.25">
      <c r="A113" s="5">
        <v>44480</v>
      </c>
      <c r="B113">
        <v>4.752E-2</v>
      </c>
      <c r="C113">
        <v>4.9820000000000003E-2</v>
      </c>
      <c r="D113">
        <v>4.5339999999999998E-2</v>
      </c>
      <c r="E113">
        <v>4.6199999999999998E-2</v>
      </c>
      <c r="F113">
        <v>53162714.100000001</v>
      </c>
      <c r="G113">
        <v>4.6199999999999998E-2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-0.61607142857142916</v>
      </c>
      <c r="Q113">
        <f t="shared" ref="Q113" si="541">F113*P113</f>
        <v>-32752029.222321462</v>
      </c>
      <c r="R113">
        <f t="shared" ref="R113" si="542">R114+Q113</f>
        <v>-9041081944.2003536</v>
      </c>
      <c r="S113">
        <f t="shared" ref="S113" si="543">R113/100000</f>
        <v>-90410.819442003543</v>
      </c>
      <c r="T113">
        <f t="shared" ref="T113" si="544">S113/1000</f>
        <v>-90.410819442003543</v>
      </c>
    </row>
    <row r="114" spans="1:20" x14ac:dyDescent="0.25">
      <c r="A114" s="5">
        <v>44479</v>
      </c>
      <c r="B114">
        <v>4.9000000000000002E-2</v>
      </c>
      <c r="C114">
        <v>5.1159999999999997E-2</v>
      </c>
      <c r="D114">
        <v>4.7350000000000003E-2</v>
      </c>
      <c r="E114">
        <v>4.7669999999999997E-2</v>
      </c>
      <c r="F114">
        <v>71059321</v>
      </c>
      <c r="G114">
        <v>4.7669999999999997E-2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-0.83202099737533097</v>
      </c>
      <c r="Q114">
        <f t="shared" ref="Q114" si="546">F114*P114</f>
        <v>-59122847.131233804</v>
      </c>
      <c r="R114">
        <f t="shared" ref="R114" si="547">R115+Q114</f>
        <v>-9008329914.9780331</v>
      </c>
      <c r="S114">
        <f t="shared" ref="S114" si="548">R114/100000</f>
        <v>-90083.29914978033</v>
      </c>
      <c r="T114">
        <f t="shared" ref="T114" si="549">S114/1000</f>
        <v>-90.083299149780331</v>
      </c>
    </row>
    <row r="115" spans="1:20" x14ac:dyDescent="0.25">
      <c r="A115" s="5">
        <v>44478</v>
      </c>
      <c r="B115">
        <v>5.1529999999999999E-2</v>
      </c>
      <c r="C115">
        <v>5.3999999999999999E-2</v>
      </c>
      <c r="D115">
        <v>4.8070000000000002E-2</v>
      </c>
      <c r="E115">
        <v>4.9000000000000002E-2</v>
      </c>
      <c r="F115">
        <v>167418296.80000001</v>
      </c>
      <c r="G115">
        <v>4.9000000000000002E-2</v>
      </c>
      <c r="L115" t="s">
        <v>8</v>
      </c>
      <c r="M115" t="s">
        <v>8</v>
      </c>
      <c r="N115" t="s">
        <v>8</v>
      </c>
      <c r="P115">
        <f t="shared" ref="P115" si="550">IF(C115=D115,0,((E115-D115)-(C115-E115))/(C115-D115))</f>
        <v>-0.68634064080944335</v>
      </c>
      <c r="Q115">
        <f t="shared" ref="Q115" si="551">F115*P115</f>
        <v>-114905981.10893759</v>
      </c>
      <c r="R115">
        <f t="shared" ref="R115" si="552">R116+Q115</f>
        <v>-8949207067.8467999</v>
      </c>
      <c r="S115">
        <f t="shared" ref="S115" si="553">R115/100000</f>
        <v>-89492.070678467993</v>
      </c>
      <c r="T115">
        <f t="shared" ref="T115" si="554">S115/1000</f>
        <v>-89.492070678467996</v>
      </c>
    </row>
    <row r="116" spans="1:20" x14ac:dyDescent="0.25">
      <c r="A116" s="5">
        <v>44477</v>
      </c>
      <c r="B116">
        <v>4.6649999999999997E-2</v>
      </c>
      <c r="C116">
        <v>5.2999999999999999E-2</v>
      </c>
      <c r="D116">
        <v>4.632E-2</v>
      </c>
      <c r="E116">
        <v>5.1470000000000002E-2</v>
      </c>
      <c r="F116">
        <v>155012365.80000001</v>
      </c>
      <c r="G116">
        <v>5.1470000000000002E-2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0.54191616766467154</v>
      </c>
      <c r="Q116">
        <f t="shared" ref="Q116" si="556">F116*P116</f>
        <v>84003707.214970201</v>
      </c>
      <c r="R116">
        <f t="shared" ref="R116" si="557">R117+Q116</f>
        <v>-8834301086.7378616</v>
      </c>
      <c r="S116">
        <f t="shared" ref="S116" si="558">R116/100000</f>
        <v>-88343.010867378616</v>
      </c>
      <c r="T116">
        <f t="shared" ref="T116" si="559">S116/1000</f>
        <v>-88.343010867378609</v>
      </c>
    </row>
    <row r="117" spans="1:20" x14ac:dyDescent="0.25">
      <c r="A117" s="5">
        <v>44476</v>
      </c>
      <c r="B117">
        <v>4.7289999999999999E-2</v>
      </c>
      <c r="C117">
        <v>4.9399999999999999E-2</v>
      </c>
      <c r="D117">
        <v>4.6019999999999998E-2</v>
      </c>
      <c r="E117">
        <v>4.6510000000000003E-2</v>
      </c>
      <c r="F117">
        <v>84600826</v>
      </c>
      <c r="G117">
        <v>4.6510000000000003E-2</v>
      </c>
      <c r="L117" t="s">
        <v>7</v>
      </c>
      <c r="M117" t="s">
        <v>8</v>
      </c>
      <c r="N117" t="s">
        <v>7</v>
      </c>
      <c r="P117">
        <f t="shared" ref="P117" si="560">IF(C117=D117,0,((E117-D117)-(C117-E117))/(C117-D117))</f>
        <v>-0.71005917159763066</v>
      </c>
      <c r="Q117">
        <f t="shared" ref="Q117" si="561">F117*P117</f>
        <v>-60071592.426035292</v>
      </c>
      <c r="R117">
        <f t="shared" ref="R117" si="562">R118+Q117</f>
        <v>-8918304793.9528313</v>
      </c>
      <c r="S117">
        <f t="shared" ref="S117" si="563">R117/100000</f>
        <v>-89183.047939528318</v>
      </c>
      <c r="T117">
        <f t="shared" ref="T117" si="564">S117/1000</f>
        <v>-89.183047939528322</v>
      </c>
    </row>
    <row r="118" spans="1:20" x14ac:dyDescent="0.25">
      <c r="A118" s="5">
        <v>44475</v>
      </c>
      <c r="B118">
        <v>4.6929999999999999E-2</v>
      </c>
      <c r="C118">
        <v>0.05</v>
      </c>
      <c r="D118">
        <v>4.4069999999999998E-2</v>
      </c>
      <c r="E118">
        <v>4.7390000000000002E-2</v>
      </c>
      <c r="F118">
        <v>98900410.400000006</v>
      </c>
      <c r="G118">
        <v>4.7390000000000002E-2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0.11973018549747078</v>
      </c>
      <c r="Q118">
        <f t="shared" ref="Q118" si="566">F118*P118</f>
        <v>11841364.48296799</v>
      </c>
      <c r="R118">
        <f t="shared" ref="R118" si="567">R119+Q118</f>
        <v>-8858233201.5267963</v>
      </c>
      <c r="S118">
        <f t="shared" ref="S118" si="568">R118/100000</f>
        <v>-88582.332015267966</v>
      </c>
      <c r="T118">
        <f t="shared" ref="T118" si="569">S118/1000</f>
        <v>-88.582332015267966</v>
      </c>
    </row>
    <row r="119" spans="1:20" x14ac:dyDescent="0.25">
      <c r="A119" s="5">
        <v>44474</v>
      </c>
      <c r="B119">
        <v>4.4010000000000001E-2</v>
      </c>
      <c r="C119">
        <v>4.8680000000000001E-2</v>
      </c>
      <c r="D119">
        <v>4.3709999999999999E-2</v>
      </c>
      <c r="E119">
        <v>4.684E-2</v>
      </c>
      <c r="F119">
        <v>88214749</v>
      </c>
      <c r="G119">
        <v>4.684E-2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0.25955734406438608</v>
      </c>
      <c r="Q119">
        <f t="shared" ref="Q119" si="571">F119*P119</f>
        <v>22896785.957746457</v>
      </c>
      <c r="R119">
        <f t="shared" ref="R119" si="572">R120+Q119</f>
        <v>-8870074566.0097637</v>
      </c>
      <c r="S119">
        <f t="shared" ref="S119" si="573">R119/100000</f>
        <v>-88700.745660097644</v>
      </c>
      <c r="T119">
        <f t="shared" ref="T119" si="574">S119/1000</f>
        <v>-88.700745660097638</v>
      </c>
    </row>
    <row r="120" spans="1:20" x14ac:dyDescent="0.25">
      <c r="A120" s="5">
        <v>44473</v>
      </c>
      <c r="B120">
        <v>4.5069999999999999E-2</v>
      </c>
      <c r="C120">
        <v>4.5080000000000002E-2</v>
      </c>
      <c r="D120">
        <v>4.2999999999999997E-2</v>
      </c>
      <c r="E120">
        <v>4.4150000000000002E-2</v>
      </c>
      <c r="F120">
        <v>45430669.600000001</v>
      </c>
      <c r="G120">
        <v>4.4150000000000002E-2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0.10576923076923285</v>
      </c>
      <c r="Q120">
        <f t="shared" ref="Q120" si="576">F120*P120</f>
        <v>4805166.9769231714</v>
      </c>
      <c r="R120">
        <f t="shared" ref="R120" si="577">R121+Q120</f>
        <v>-8892971351.9675102</v>
      </c>
      <c r="S120">
        <f t="shared" ref="S120" si="578">R120/100000</f>
        <v>-88929.713519675104</v>
      </c>
      <c r="T120">
        <f t="shared" ref="T120" si="579">S120/1000</f>
        <v>-88.929713519675104</v>
      </c>
    </row>
    <row r="121" spans="1:20" x14ac:dyDescent="0.25">
      <c r="A121" s="5">
        <v>44472</v>
      </c>
      <c r="B121">
        <v>4.3990000000000001E-2</v>
      </c>
      <c r="C121">
        <v>4.5629999999999997E-2</v>
      </c>
      <c r="D121">
        <v>4.3270000000000003E-2</v>
      </c>
      <c r="E121">
        <v>4.4920000000000002E-2</v>
      </c>
      <c r="F121">
        <v>48354848.799999997</v>
      </c>
      <c r="G121">
        <v>4.4920000000000002E-2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0.39830508474576515</v>
      </c>
      <c r="Q121">
        <f t="shared" ref="Q121" si="581">F121*P121</f>
        <v>19259982.149152659</v>
      </c>
      <c r="R121">
        <f t="shared" ref="R121" si="582">R122+Q121</f>
        <v>-8897776518.9444332</v>
      </c>
      <c r="S121">
        <f t="shared" ref="S121" si="583">R121/100000</f>
        <v>-88977.765189444326</v>
      </c>
      <c r="T121">
        <f t="shared" ref="T121" si="584">S121/1000</f>
        <v>-88.977765189444327</v>
      </c>
    </row>
    <row r="122" spans="1:20" x14ac:dyDescent="0.25">
      <c r="A122" s="5">
        <v>44471</v>
      </c>
      <c r="B122">
        <v>4.5130000000000003E-2</v>
      </c>
      <c r="C122">
        <v>4.65E-2</v>
      </c>
      <c r="D122">
        <v>4.3679999999999997E-2</v>
      </c>
      <c r="E122">
        <v>4.3999999999999997E-2</v>
      </c>
      <c r="F122">
        <v>70299960.700000003</v>
      </c>
      <c r="G122">
        <v>4.3999999999999997E-2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-0.77304964539007059</v>
      </c>
      <c r="Q122">
        <f t="shared" ref="Q122" si="586">F122*P122</f>
        <v>-54345359.690070905</v>
      </c>
      <c r="R122">
        <f t="shared" ref="R122" si="587">R123+Q122</f>
        <v>-8917036501.093586</v>
      </c>
      <c r="S122">
        <f t="shared" ref="S122" si="588">R122/100000</f>
        <v>-89170.365010935857</v>
      </c>
      <c r="T122">
        <f t="shared" ref="T122" si="589">S122/1000</f>
        <v>-89.170365010935853</v>
      </c>
    </row>
    <row r="123" spans="1:20" x14ac:dyDescent="0.25">
      <c r="A123" s="5">
        <v>44470</v>
      </c>
      <c r="B123">
        <v>4.1610000000000001E-2</v>
      </c>
      <c r="C123">
        <v>4.5420000000000002E-2</v>
      </c>
      <c r="D123">
        <v>4.1180000000000001E-2</v>
      </c>
      <c r="E123">
        <v>4.5100000000000001E-2</v>
      </c>
      <c r="F123">
        <v>87351745.299999997</v>
      </c>
      <c r="G123">
        <v>4.5100000000000001E-2</v>
      </c>
      <c r="L123" t="s">
        <v>7</v>
      </c>
      <c r="M123" t="s">
        <v>7</v>
      </c>
      <c r="N123" t="s">
        <v>7</v>
      </c>
      <c r="P123">
        <f t="shared" ref="P123" si="590">IF(C123=D123,0,((E123-D123)-(C123-E123))/(C123-D123))</f>
        <v>0.8490566037735845</v>
      </c>
      <c r="Q123">
        <f t="shared" ref="Q123" si="591">F123*P123</f>
        <v>74166576.198113173</v>
      </c>
      <c r="R123">
        <f t="shared" ref="R123" si="592">R124+Q123</f>
        <v>-8862691141.4035149</v>
      </c>
      <c r="S123">
        <f t="shared" ref="S123" si="593">R123/100000</f>
        <v>-88626.911414035145</v>
      </c>
      <c r="T123">
        <f t="shared" ref="T123" si="594">S123/1000</f>
        <v>-88.626911414035149</v>
      </c>
    </row>
    <row r="124" spans="1:20" x14ac:dyDescent="0.25">
      <c r="A124" s="5">
        <v>44469</v>
      </c>
      <c r="B124">
        <v>3.8949999999999999E-2</v>
      </c>
      <c r="C124">
        <v>4.4749999999999998E-2</v>
      </c>
      <c r="D124">
        <v>3.8769999999999999E-2</v>
      </c>
      <c r="E124">
        <v>4.1529999999999997E-2</v>
      </c>
      <c r="F124">
        <v>121080864</v>
      </c>
      <c r="G124">
        <v>4.1529999999999997E-2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-7.6923076923077274E-2</v>
      </c>
      <c r="Q124">
        <f t="shared" ref="Q124" si="596">F124*P124</f>
        <v>-9313912.6153846588</v>
      </c>
      <c r="R124">
        <f t="shared" ref="R124" si="597">R125+Q124</f>
        <v>-8936857717.6016273</v>
      </c>
      <c r="S124">
        <f t="shared" ref="S124" si="598">R124/100000</f>
        <v>-89368.577176016275</v>
      </c>
      <c r="T124">
        <f t="shared" ref="T124" si="599">S124/1000</f>
        <v>-89.368577176016274</v>
      </c>
    </row>
    <row r="125" spans="1:20" x14ac:dyDescent="0.25">
      <c r="A125" s="5">
        <v>44468</v>
      </c>
      <c r="B125">
        <v>3.9559999999999998E-2</v>
      </c>
      <c r="C125">
        <v>4.1489999999999999E-2</v>
      </c>
      <c r="D125">
        <v>3.8339999999999999E-2</v>
      </c>
      <c r="E125">
        <v>3.8949999999999999E-2</v>
      </c>
      <c r="F125">
        <v>91906919.400000006</v>
      </c>
      <c r="G125">
        <v>3.8949999999999999E-2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-0.61269841269841308</v>
      </c>
      <c r="Q125">
        <f t="shared" ref="Q125" si="601">F125*P125</f>
        <v>-56311223.632380992</v>
      </c>
      <c r="R125">
        <f t="shared" ref="R125" si="602">R126+Q125</f>
        <v>-8927543804.9862423</v>
      </c>
      <c r="S125">
        <f t="shared" ref="S125" si="603">R125/100000</f>
        <v>-89275.438049862423</v>
      </c>
      <c r="T125">
        <f t="shared" ref="T125" si="604">S125/1000</f>
        <v>-89.27543804986243</v>
      </c>
    </row>
    <row r="126" spans="1:20" x14ac:dyDescent="0.25">
      <c r="A126" s="5">
        <v>44467</v>
      </c>
      <c r="B126">
        <v>4.0960000000000003E-2</v>
      </c>
      <c r="C126">
        <v>4.1889999999999997E-2</v>
      </c>
      <c r="D126">
        <v>3.8710000000000001E-2</v>
      </c>
      <c r="E126">
        <v>3.9419999999999997E-2</v>
      </c>
      <c r="F126">
        <v>46162580.600000001</v>
      </c>
      <c r="G126">
        <v>3.9419999999999997E-2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-0.55345911949685767</v>
      </c>
      <c r="Q126">
        <f t="shared" ref="Q126" si="606">F126*P126</f>
        <v>-25549101.212578725</v>
      </c>
      <c r="R126">
        <f t="shared" ref="R126" si="607">R127+Q126</f>
        <v>-8871232581.3538609</v>
      </c>
      <c r="S126">
        <f t="shared" ref="S126" si="608">R126/100000</f>
        <v>-88712.325813538613</v>
      </c>
      <c r="T126">
        <f t="shared" ref="T126" si="609">S126/1000</f>
        <v>-88.712325813538612</v>
      </c>
    </row>
    <row r="127" spans="1:20" x14ac:dyDescent="0.25">
      <c r="A127" s="5">
        <v>44466</v>
      </c>
      <c r="B127">
        <v>4.2139999999999997E-2</v>
      </c>
      <c r="C127">
        <v>4.4769999999999997E-2</v>
      </c>
      <c r="D127">
        <v>4.086E-2</v>
      </c>
      <c r="E127">
        <v>4.0899999999999999E-2</v>
      </c>
      <c r="F127">
        <v>61228457.5</v>
      </c>
      <c r="G127">
        <v>4.0899999999999999E-2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-0.97953964194373488</v>
      </c>
      <c r="Q127">
        <f t="shared" ref="Q127" si="611">F127*P127</f>
        <v>-59975701.336317189</v>
      </c>
      <c r="R127">
        <f t="shared" ref="R127" si="612">R128+Q127</f>
        <v>-8845683480.141283</v>
      </c>
      <c r="S127">
        <f t="shared" ref="S127" si="613">R127/100000</f>
        <v>-88456.834801412828</v>
      </c>
      <c r="T127">
        <f t="shared" ref="T127" si="614">S127/1000</f>
        <v>-88.456834801412825</v>
      </c>
    </row>
    <row r="128" spans="1:20" x14ac:dyDescent="0.25">
      <c r="A128" s="5">
        <v>44465</v>
      </c>
      <c r="B128">
        <v>4.3999999999999997E-2</v>
      </c>
      <c r="C128">
        <v>4.4400000000000002E-2</v>
      </c>
      <c r="D128">
        <v>4.0289999999999999E-2</v>
      </c>
      <c r="E128">
        <v>4.2160000000000003E-2</v>
      </c>
      <c r="F128">
        <v>79783371.400000006</v>
      </c>
      <c r="G128">
        <v>4.2160000000000003E-2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-9.0024330900242117E-2</v>
      </c>
      <c r="Q128">
        <f t="shared" ref="Q128" si="616">F128*P128</f>
        <v>-7182444.627250514</v>
      </c>
      <c r="R128">
        <f t="shared" ref="R128" si="617">R129+Q128</f>
        <v>-8785707778.804966</v>
      </c>
      <c r="S128">
        <f t="shared" ref="S128" si="618">R128/100000</f>
        <v>-87857.077788049661</v>
      </c>
      <c r="T128">
        <f t="shared" ref="T128" si="619">S128/1000</f>
        <v>-87.857077788049665</v>
      </c>
    </row>
    <row r="129" spans="1:20" x14ac:dyDescent="0.25">
      <c r="A129" s="5">
        <v>44464</v>
      </c>
      <c r="B129">
        <v>4.4310000000000002E-2</v>
      </c>
      <c r="C129">
        <v>4.6390000000000001E-2</v>
      </c>
      <c r="D129">
        <v>4.2819999999999997E-2</v>
      </c>
      <c r="E129">
        <v>4.403E-2</v>
      </c>
      <c r="F129">
        <v>69331820.200000003</v>
      </c>
      <c r="G129">
        <v>4.403E-2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-0.32212885154061544</v>
      </c>
      <c r="Q129">
        <f t="shared" ref="Q129" si="621">F129*P129</f>
        <v>-22333779.616246443</v>
      </c>
      <c r="R129">
        <f t="shared" ref="R129" si="622">R130+Q129</f>
        <v>-8778525334.1777153</v>
      </c>
      <c r="S129">
        <f t="shared" ref="S129" si="623">R129/100000</f>
        <v>-87785.253341777148</v>
      </c>
      <c r="T129">
        <f t="shared" ref="T129" si="624">S129/1000</f>
        <v>-87.78525334177715</v>
      </c>
    </row>
    <row r="130" spans="1:20" x14ac:dyDescent="0.25">
      <c r="A130" s="5">
        <v>44463</v>
      </c>
      <c r="B130">
        <v>4.7750000000000001E-2</v>
      </c>
      <c r="C130">
        <v>4.793E-2</v>
      </c>
      <c r="D130">
        <v>4.054E-2</v>
      </c>
      <c r="E130">
        <v>4.4240000000000002E-2</v>
      </c>
      <c r="F130">
        <v>91106610.599999994</v>
      </c>
      <c r="G130">
        <v>4.4240000000000002E-2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1.3531799729368148E-3</v>
      </c>
      <c r="Q130">
        <f t="shared" ref="Q130" si="626">F130*P130</f>
        <v>123283.64086607292</v>
      </c>
      <c r="R130">
        <f t="shared" ref="R130" si="627">R131+Q130</f>
        <v>-8756191554.5614681</v>
      </c>
      <c r="S130">
        <f t="shared" ref="S130" si="628">R130/100000</f>
        <v>-87561.915545614684</v>
      </c>
      <c r="T130">
        <f t="shared" ref="T130" si="629">S130/1000</f>
        <v>-87.561915545614681</v>
      </c>
    </row>
    <row r="131" spans="1:20" x14ac:dyDescent="0.25">
      <c r="A131" s="5">
        <v>44462</v>
      </c>
      <c r="B131">
        <v>4.6960000000000002E-2</v>
      </c>
      <c r="C131">
        <v>4.99E-2</v>
      </c>
      <c r="D131">
        <v>4.616E-2</v>
      </c>
      <c r="E131">
        <v>4.768E-2</v>
      </c>
      <c r="F131">
        <v>79816166.599999994</v>
      </c>
      <c r="G131">
        <v>4.768E-2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-0.1871657754010693</v>
      </c>
      <c r="Q131">
        <f t="shared" ref="Q131" si="631">F131*P131</f>
        <v>-14938854.711229928</v>
      </c>
      <c r="R131">
        <f t="shared" ref="R131" si="632">R132+Q131</f>
        <v>-8756314838.2023335</v>
      </c>
      <c r="S131">
        <f t="shared" ref="S131" si="633">R131/100000</f>
        <v>-87563.148382023341</v>
      </c>
      <c r="T131">
        <f t="shared" ref="T131" si="634">S131/1000</f>
        <v>-87.563148382023343</v>
      </c>
    </row>
    <row r="132" spans="1:20" x14ac:dyDescent="0.25">
      <c r="A132" s="5">
        <v>44461</v>
      </c>
      <c r="B132">
        <v>4.2259999999999999E-2</v>
      </c>
      <c r="C132">
        <v>4.8500000000000001E-2</v>
      </c>
      <c r="D132">
        <v>4.1799999999999997E-2</v>
      </c>
      <c r="E132">
        <v>4.6960000000000002E-2</v>
      </c>
      <c r="F132">
        <v>117280783.5</v>
      </c>
      <c r="G132">
        <v>4.6960000000000002E-2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0.54029850746268693</v>
      </c>
      <c r="Q132">
        <f t="shared" ref="Q132" si="636">F132*P132</f>
        <v>63366632.279104523</v>
      </c>
      <c r="R132">
        <f t="shared" ref="R132" si="637">R133+Q132</f>
        <v>-8741375983.4911041</v>
      </c>
      <c r="S132">
        <f t="shared" ref="S132" si="638">R132/100000</f>
        <v>-87413.759834911049</v>
      </c>
      <c r="T132">
        <f t="shared" ref="T132" si="639">S132/1000</f>
        <v>-87.413759834911048</v>
      </c>
    </row>
    <row r="133" spans="1:20" x14ac:dyDescent="0.25">
      <c r="A133" s="5">
        <v>44460</v>
      </c>
      <c r="B133">
        <v>4.861E-2</v>
      </c>
      <c r="C133">
        <v>4.8619999999999997E-2</v>
      </c>
      <c r="D133">
        <v>4.0899999999999999E-2</v>
      </c>
      <c r="E133">
        <v>4.2270000000000002E-2</v>
      </c>
      <c r="F133">
        <v>208207444</v>
      </c>
      <c r="G133">
        <v>4.2270000000000002E-2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-0.64507772020725296</v>
      </c>
      <c r="Q133">
        <f t="shared" ref="Q133" si="641">F133*P133</f>
        <v>-134309983.30569929</v>
      </c>
      <c r="R133">
        <f t="shared" ref="R133" si="642">R134+Q133</f>
        <v>-8804742615.7702084</v>
      </c>
      <c r="S133">
        <f t="shared" ref="S133" si="643">R133/100000</f>
        <v>-88047.426157702081</v>
      </c>
      <c r="T133">
        <f t="shared" ref="T133" si="644">S133/1000</f>
        <v>-88.047426157702077</v>
      </c>
    </row>
    <row r="134" spans="1:20" x14ac:dyDescent="0.25">
      <c r="A134" s="5">
        <v>44459</v>
      </c>
      <c r="B134">
        <v>5.4190000000000002E-2</v>
      </c>
      <c r="C134">
        <v>6.4780000000000004E-2</v>
      </c>
      <c r="D134">
        <v>5.2269999999999997E-2</v>
      </c>
      <c r="E134">
        <v>6.0040000000000003E-2</v>
      </c>
      <c r="F134">
        <v>636002005.79999995</v>
      </c>
      <c r="G134">
        <v>6.0040000000000003E-2</v>
      </c>
      <c r="L134" t="s">
        <v>8</v>
      </c>
      <c r="M134" t="s">
        <v>8</v>
      </c>
      <c r="N134" t="s">
        <v>8</v>
      </c>
      <c r="P134">
        <f t="shared" ref="P134" si="645">IF(C134=D134,0,((E134-D134)-(C134-E134))/(C134-D134))</f>
        <v>0.24220623501199065</v>
      </c>
      <c r="Q134">
        <f t="shared" ref="Q134" si="646">F134*P134</f>
        <v>154043651.28489223</v>
      </c>
      <c r="R134">
        <f t="shared" ref="R134" si="647">R135+Q134</f>
        <v>-8670432632.46451</v>
      </c>
      <c r="S134">
        <f t="shared" ref="S134" si="648">R134/100000</f>
        <v>-86704.326324645095</v>
      </c>
      <c r="T134">
        <f t="shared" ref="T134" si="649">S134/1000</f>
        <v>-86.704326324645095</v>
      </c>
    </row>
    <row r="135" spans="1:20" x14ac:dyDescent="0.25">
      <c r="A135" s="5">
        <v>44458</v>
      </c>
      <c r="B135">
        <v>5.296E-2</v>
      </c>
      <c r="C135">
        <v>5.6930000000000001E-2</v>
      </c>
      <c r="D135">
        <v>5.1499999999999997E-2</v>
      </c>
      <c r="E135">
        <v>5.4210000000000001E-2</v>
      </c>
      <c r="F135">
        <v>131193403.59999999</v>
      </c>
      <c r="G135">
        <v>5.4210000000000001E-2</v>
      </c>
      <c r="L135" t="s">
        <v>8</v>
      </c>
      <c r="M135" t="s">
        <v>8</v>
      </c>
      <c r="N135" t="s">
        <v>7</v>
      </c>
      <c r="P135">
        <f t="shared" ref="P135" si="650">IF(C135=D135,0,((E135-D135)-(C135-E135))/(C135-D135))</f>
        <v>-1.8416206261502974E-3</v>
      </c>
      <c r="Q135">
        <f t="shared" ref="Q135" si="651">F135*P135</f>
        <v>-241608.47808462067</v>
      </c>
      <c r="R135">
        <f t="shared" ref="R135" si="652">R136+Q135</f>
        <v>-8824476283.749403</v>
      </c>
      <c r="S135">
        <f t="shared" ref="S135" si="653">R135/100000</f>
        <v>-88244.762837494025</v>
      </c>
      <c r="T135">
        <f t="shared" ref="T135" si="654">S135/1000</f>
        <v>-88.244762837494022</v>
      </c>
    </row>
    <row r="136" spans="1:20" x14ac:dyDescent="0.25">
      <c r="A136" s="5">
        <v>44457</v>
      </c>
      <c r="B136">
        <v>5.0549999999999998E-2</v>
      </c>
      <c r="C136">
        <v>5.4739999999999997E-2</v>
      </c>
      <c r="D136">
        <v>4.9869999999999998E-2</v>
      </c>
      <c r="E136">
        <v>5.2979999999999999E-2</v>
      </c>
      <c r="F136">
        <v>82724028.799999997</v>
      </c>
      <c r="G136">
        <v>5.2979999999999999E-2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0.27720739219712609</v>
      </c>
      <c r="Q136">
        <f t="shared" ref="Q136" si="656">F136*P136</f>
        <v>22931712.295687955</v>
      </c>
      <c r="R136">
        <f t="shared" ref="R136" si="657">R137+Q136</f>
        <v>-8824234675.2713184</v>
      </c>
      <c r="S136">
        <f t="shared" ref="S136" si="658">R136/100000</f>
        <v>-88242.346752713187</v>
      </c>
      <c r="T136">
        <f t="shared" ref="T136" si="659">S136/1000</f>
        <v>-88.242346752713189</v>
      </c>
    </row>
    <row r="137" spans="1:20" x14ac:dyDescent="0.25">
      <c r="A137" s="5">
        <v>44456</v>
      </c>
      <c r="B137">
        <v>5.3289999999999997E-2</v>
      </c>
      <c r="C137">
        <v>5.3690000000000002E-2</v>
      </c>
      <c r="D137">
        <v>4.9939999999999998E-2</v>
      </c>
      <c r="E137">
        <v>5.0529999999999999E-2</v>
      </c>
      <c r="F137">
        <v>40473291.100000001</v>
      </c>
      <c r="G137">
        <v>5.0529999999999999E-2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-0.68533333333333346</v>
      </c>
      <c r="Q137">
        <f t="shared" ref="Q137" si="661">F137*P137</f>
        <v>-27737695.500533339</v>
      </c>
      <c r="R137">
        <f t="shared" ref="R137" si="662">R138+Q137</f>
        <v>-8847166387.5670071</v>
      </c>
      <c r="S137">
        <f t="shared" ref="S137" si="663">R137/100000</f>
        <v>-88471.66387567007</v>
      </c>
      <c r="T137">
        <f t="shared" ref="T137" si="664">S137/1000</f>
        <v>-88.471663875670075</v>
      </c>
    </row>
    <row r="138" spans="1:20" x14ac:dyDescent="0.25">
      <c r="A138" s="5">
        <v>44455</v>
      </c>
      <c r="B138">
        <v>5.3280000000000001E-2</v>
      </c>
      <c r="C138">
        <v>5.6059999999999999E-2</v>
      </c>
      <c r="D138">
        <v>5.2449999999999997E-2</v>
      </c>
      <c r="E138">
        <v>5.3339999999999999E-2</v>
      </c>
      <c r="F138">
        <v>78561121.099999994</v>
      </c>
      <c r="G138">
        <v>5.3339999999999999E-2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-0.50692520775623195</v>
      </c>
      <c r="Q138">
        <f t="shared" ref="Q138" si="666">F138*P138</f>
        <v>-39824612.635179996</v>
      </c>
      <c r="R138">
        <f t="shared" ref="R138" si="667">R139+Q138</f>
        <v>-8819428692.066473</v>
      </c>
      <c r="S138">
        <f t="shared" ref="S138" si="668">R138/100000</f>
        <v>-88194.28692066473</v>
      </c>
      <c r="T138">
        <f t="shared" ref="T138" si="669">S138/1000</f>
        <v>-88.194286920664723</v>
      </c>
    </row>
    <row r="139" spans="1:20" x14ac:dyDescent="0.25">
      <c r="A139" s="5">
        <v>44454</v>
      </c>
      <c r="B139">
        <v>5.2990000000000002E-2</v>
      </c>
      <c r="C139">
        <v>5.3960000000000001E-2</v>
      </c>
      <c r="D139">
        <v>5.1639999999999998E-2</v>
      </c>
      <c r="E139">
        <v>5.3280000000000001E-2</v>
      </c>
      <c r="F139">
        <v>61257160.899999999</v>
      </c>
      <c r="G139">
        <v>5.3280000000000001E-2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0.41379310344827647</v>
      </c>
      <c r="Q139">
        <f t="shared" ref="Q139" si="671">F139*P139</f>
        <v>25347790.717241414</v>
      </c>
      <c r="R139">
        <f t="shared" ref="R139" si="672">R140+Q139</f>
        <v>-8779604079.4312935</v>
      </c>
      <c r="S139">
        <f t="shared" ref="S139" si="673">R139/100000</f>
        <v>-87796.040794312939</v>
      </c>
      <c r="T139">
        <f t="shared" ref="T139" si="674">S139/1000</f>
        <v>-87.796040794312944</v>
      </c>
    </row>
    <row r="140" spans="1:20" x14ac:dyDescent="0.25">
      <c r="A140" s="5">
        <v>44453</v>
      </c>
      <c r="B140">
        <v>4.9619999999999997E-2</v>
      </c>
      <c r="C140">
        <v>5.7000000000000002E-2</v>
      </c>
      <c r="D140">
        <v>4.9070000000000003E-2</v>
      </c>
      <c r="E140">
        <v>5.2979999999999999E-2</v>
      </c>
      <c r="F140">
        <v>83229934.099999994</v>
      </c>
      <c r="G140">
        <v>5.2979999999999999E-2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-1.3871374527112981E-2</v>
      </c>
      <c r="Q140">
        <f t="shared" ref="Q140" si="676">F140*P140</f>
        <v>-1154513.587768032</v>
      </c>
      <c r="R140">
        <f t="shared" ref="R140" si="677">R141+Q140</f>
        <v>-8804951870.1485348</v>
      </c>
      <c r="S140">
        <f t="shared" ref="S140" si="678">R140/100000</f>
        <v>-88049.518701485344</v>
      </c>
      <c r="T140">
        <f t="shared" ref="T140" si="679">S140/1000</f>
        <v>-88.04951870148534</v>
      </c>
    </row>
    <row r="141" spans="1:20" x14ac:dyDescent="0.25">
      <c r="A141" s="5">
        <v>44452</v>
      </c>
      <c r="B141">
        <v>5.3460000000000001E-2</v>
      </c>
      <c r="C141">
        <v>5.3990000000000003E-2</v>
      </c>
      <c r="D141">
        <v>4.8009999999999997E-2</v>
      </c>
      <c r="E141">
        <v>4.9590000000000002E-2</v>
      </c>
      <c r="F141">
        <v>47685299.100000001</v>
      </c>
      <c r="G141">
        <v>4.9590000000000002E-2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-0.4715719063545139</v>
      </c>
      <c r="Q141">
        <f t="shared" ref="Q141" si="681">F141*P141</f>
        <v>-22487047.401672188</v>
      </c>
      <c r="R141">
        <f t="shared" ref="R141" si="682">R142+Q141</f>
        <v>-8803797356.5607662</v>
      </c>
      <c r="S141">
        <f t="shared" ref="S141" si="683">R141/100000</f>
        <v>-88037.973565607666</v>
      </c>
      <c r="T141">
        <f t="shared" ref="T141" si="684">S141/1000</f>
        <v>-88.037973565607672</v>
      </c>
    </row>
    <row r="142" spans="1:20" x14ac:dyDescent="0.25">
      <c r="A142" s="5">
        <v>44451</v>
      </c>
      <c r="B142">
        <v>5.3409999999999999E-2</v>
      </c>
      <c r="C142">
        <v>5.5169999999999997E-2</v>
      </c>
      <c r="D142">
        <v>5.1999999999999998E-2</v>
      </c>
      <c r="E142">
        <v>5.3249999999999999E-2</v>
      </c>
      <c r="F142">
        <v>49927704.5</v>
      </c>
      <c r="G142">
        <v>5.3249999999999999E-2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-0.21135646687697071</v>
      </c>
      <c r="Q142">
        <f t="shared" ref="Q142" si="686">F142*P142</f>
        <v>-10552543.222397432</v>
      </c>
      <c r="R142">
        <f t="shared" ref="R142" si="687">R143+Q142</f>
        <v>-8781310309.1590939</v>
      </c>
      <c r="S142">
        <f t="shared" ref="S142" si="688">R142/100000</f>
        <v>-87813.103091590936</v>
      </c>
      <c r="T142">
        <f t="shared" ref="T142" si="689">S142/1000</f>
        <v>-87.813103091590932</v>
      </c>
    </row>
    <row r="143" spans="1:20" x14ac:dyDescent="0.25">
      <c r="A143" s="5">
        <v>44450</v>
      </c>
      <c r="B143">
        <v>5.0250000000000003E-2</v>
      </c>
      <c r="C143">
        <v>5.8369999999999998E-2</v>
      </c>
      <c r="D143">
        <v>4.9759999999999999E-2</v>
      </c>
      <c r="E143">
        <v>5.3409999999999999E-2</v>
      </c>
      <c r="F143">
        <v>172221290.5</v>
      </c>
      <c r="G143">
        <v>5.3409999999999999E-2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-0.15214866434378616</v>
      </c>
      <c r="Q143">
        <f t="shared" ref="Q143" si="691">F143*P143</f>
        <v>-26203239.321138188</v>
      </c>
      <c r="R143">
        <f t="shared" ref="R143" si="692">R144+Q143</f>
        <v>-8770757765.936697</v>
      </c>
      <c r="S143">
        <f t="shared" ref="S143" si="693">R143/100000</f>
        <v>-87707.577659366973</v>
      </c>
      <c r="T143">
        <f t="shared" ref="T143" si="694">S143/1000</f>
        <v>-87.707577659366976</v>
      </c>
    </row>
    <row r="144" spans="1:20" x14ac:dyDescent="0.25">
      <c r="A144" s="5">
        <v>44449</v>
      </c>
      <c r="B144">
        <v>4.9880000000000001E-2</v>
      </c>
      <c r="C144">
        <v>5.3039999999999997E-2</v>
      </c>
      <c r="D144">
        <v>4.7100000000000003E-2</v>
      </c>
      <c r="E144">
        <v>5.0279999999999998E-2</v>
      </c>
      <c r="F144">
        <v>103528456.40000001</v>
      </c>
      <c r="G144">
        <v>5.0279999999999998E-2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7.0707070707070233E-2</v>
      </c>
      <c r="Q144">
        <f t="shared" ref="Q144" si="696">F144*P144</f>
        <v>7320193.886868638</v>
      </c>
      <c r="R144">
        <f t="shared" ref="R144" si="697">R145+Q144</f>
        <v>-8744554526.6155586</v>
      </c>
      <c r="S144">
        <f t="shared" ref="S144" si="698">R144/100000</f>
        <v>-87445.54526615559</v>
      </c>
      <c r="T144">
        <f t="shared" ref="T144" si="699">S144/1000</f>
        <v>-87.445545266155591</v>
      </c>
    </row>
    <row r="145" spans="1:20" x14ac:dyDescent="0.25">
      <c r="A145" s="5">
        <v>44448</v>
      </c>
      <c r="B145">
        <v>4.9050000000000003E-2</v>
      </c>
      <c r="C145">
        <v>5.1279999999999999E-2</v>
      </c>
      <c r="D145">
        <v>4.7899999999999998E-2</v>
      </c>
      <c r="E145">
        <v>4.9889999999999997E-2</v>
      </c>
      <c r="F145">
        <v>99661332.099999994</v>
      </c>
      <c r="G145">
        <v>4.9889999999999997E-2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0.17751479289940716</v>
      </c>
      <c r="Q145">
        <f t="shared" ref="Q145" si="701">F145*P145</f>
        <v>17691360.727810539</v>
      </c>
      <c r="R145">
        <f t="shared" ref="R145" si="702">R146+Q145</f>
        <v>-8751874720.5024281</v>
      </c>
      <c r="S145">
        <f t="shared" ref="S145" si="703">R145/100000</f>
        <v>-87518.74720502428</v>
      </c>
      <c r="T145">
        <f t="shared" ref="T145" si="704">S145/1000</f>
        <v>-87.518747205024283</v>
      </c>
    </row>
    <row r="146" spans="1:20" x14ac:dyDescent="0.25">
      <c r="A146" s="5">
        <v>44447</v>
      </c>
      <c r="B146">
        <v>5.0560000000000001E-2</v>
      </c>
      <c r="C146">
        <v>5.1499999999999997E-2</v>
      </c>
      <c r="D146">
        <v>4.3990000000000001E-2</v>
      </c>
      <c r="E146">
        <v>4.9160000000000002E-2</v>
      </c>
      <c r="F146">
        <v>83834378.299999997</v>
      </c>
      <c r="G146">
        <v>4.9160000000000002E-2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0.37683089214380927</v>
      </c>
      <c r="Q146">
        <f t="shared" ref="Q146" si="706">F146*P146</f>
        <v>31591383.567110602</v>
      </c>
      <c r="R146">
        <f t="shared" ref="R146" si="707">R147+Q146</f>
        <v>-8769566081.230238</v>
      </c>
      <c r="S146">
        <f t="shared" ref="S146" si="708">R146/100000</f>
        <v>-87695.660812302376</v>
      </c>
      <c r="T146">
        <f t="shared" ref="T146" si="709">S146/1000</f>
        <v>-87.695660812302378</v>
      </c>
    </row>
    <row r="147" spans="1:20" x14ac:dyDescent="0.25">
      <c r="A147" s="5">
        <v>44446</v>
      </c>
      <c r="B147">
        <v>6.5809999999999994E-2</v>
      </c>
      <c r="C147">
        <v>6.59E-2</v>
      </c>
      <c r="D147">
        <v>4.5769999999999998E-2</v>
      </c>
      <c r="E147">
        <v>5.0650000000000001E-2</v>
      </c>
      <c r="F147">
        <v>129877629.3</v>
      </c>
      <c r="G147">
        <v>5.0650000000000001E-2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-0.51515151515151492</v>
      </c>
      <c r="Q147">
        <f t="shared" ref="Q147" si="711">F147*P147</f>
        <v>-66906657.518181786</v>
      </c>
      <c r="R147">
        <f t="shared" ref="R147" si="712">R148+Q147</f>
        <v>-8801157464.797348</v>
      </c>
      <c r="S147">
        <f t="shared" ref="S147" si="713">R147/100000</f>
        <v>-88011.574647973481</v>
      </c>
      <c r="T147">
        <f t="shared" ref="T147" si="714">S147/1000</f>
        <v>-88.011574647973475</v>
      </c>
    </row>
    <row r="148" spans="1:20" x14ac:dyDescent="0.25">
      <c r="A148" s="5">
        <v>44445</v>
      </c>
      <c r="B148">
        <v>6.515E-2</v>
      </c>
      <c r="C148">
        <v>6.59E-2</v>
      </c>
      <c r="D148">
        <v>6.13E-2</v>
      </c>
      <c r="E148">
        <v>6.5740000000000007E-2</v>
      </c>
      <c r="F148">
        <v>101510920</v>
      </c>
      <c r="G148">
        <v>6.5740000000000007E-2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0.9304347826086985</v>
      </c>
      <c r="Q148">
        <f t="shared" ref="Q148" si="716">F148*P148</f>
        <v>94449290.782608986</v>
      </c>
      <c r="R148">
        <f t="shared" ref="R148" si="717">R149+Q148</f>
        <v>-8734250807.2791672</v>
      </c>
      <c r="S148">
        <f t="shared" ref="S148" si="718">R148/100000</f>
        <v>-87342.508072791665</v>
      </c>
      <c r="T148">
        <f t="shared" ref="T148" si="719">S148/1000</f>
        <v>-87.342508072791659</v>
      </c>
    </row>
    <row r="149" spans="1:20" x14ac:dyDescent="0.25">
      <c r="A149" s="5">
        <v>44444</v>
      </c>
      <c r="B149">
        <v>6.0490000000000002E-2</v>
      </c>
      <c r="C149">
        <v>7.127E-2</v>
      </c>
      <c r="D149">
        <v>6.0010000000000001E-2</v>
      </c>
      <c r="E149">
        <v>6.5119999999999997E-2</v>
      </c>
      <c r="F149">
        <v>233924131.19999999</v>
      </c>
      <c r="G149">
        <v>6.5119999999999997E-2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-9.2362344582593806E-2</v>
      </c>
      <c r="Q149">
        <f t="shared" ref="Q149" si="721">F149*P149</f>
        <v>-21605781.212078281</v>
      </c>
      <c r="R149">
        <f t="shared" ref="R149" si="722">R150+Q149</f>
        <v>-8828700098.0617771</v>
      </c>
      <c r="S149">
        <f t="shared" ref="S149" si="723">R149/100000</f>
        <v>-88287.00098061777</v>
      </c>
      <c r="T149">
        <f t="shared" ref="T149" si="724">S149/1000</f>
        <v>-88.287000980617776</v>
      </c>
    </row>
    <row r="150" spans="1:20" x14ac:dyDescent="0.25">
      <c r="A150" s="5">
        <v>44443</v>
      </c>
      <c r="B150">
        <v>6.1379999999999997E-2</v>
      </c>
      <c r="C150">
        <v>6.3500000000000001E-2</v>
      </c>
      <c r="D150">
        <v>5.8819999999999997E-2</v>
      </c>
      <c r="E150">
        <v>6.0490000000000002E-2</v>
      </c>
      <c r="F150">
        <v>92061982.599999994</v>
      </c>
      <c r="G150">
        <v>6.0490000000000002E-2</v>
      </c>
      <c r="L150" t="s">
        <v>7</v>
      </c>
      <c r="M150" t="s">
        <v>8</v>
      </c>
      <c r="N150" t="s">
        <v>8</v>
      </c>
      <c r="P150">
        <f t="shared" ref="P150" si="725">IF(C150=D150,0,((E150-D150)-(C150-E150))/(C150-D150))</f>
        <v>-0.28632478632478481</v>
      </c>
      <c r="Q150">
        <f t="shared" ref="Q150" si="726">F150*P150</f>
        <v>-26359627.496581055</v>
      </c>
      <c r="R150">
        <f t="shared" ref="R150" si="727">R151+Q150</f>
        <v>-8807094316.849699</v>
      </c>
      <c r="S150">
        <f t="shared" ref="S150" si="728">R150/100000</f>
        <v>-88070.94316849699</v>
      </c>
      <c r="T150">
        <f t="shared" ref="T150" si="729">S150/1000</f>
        <v>-88.070943168496996</v>
      </c>
    </row>
    <row r="151" spans="1:20" x14ac:dyDescent="0.25">
      <c r="A151" s="5">
        <v>44442</v>
      </c>
      <c r="B151">
        <v>5.7500000000000002E-2</v>
      </c>
      <c r="C151">
        <v>6.3700000000000007E-2</v>
      </c>
      <c r="D151">
        <v>5.6180000000000001E-2</v>
      </c>
      <c r="E151">
        <v>6.1289999999999997E-2</v>
      </c>
      <c r="F151">
        <v>113512165.09999999</v>
      </c>
      <c r="G151">
        <v>6.1289999999999997E-2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0.35904255319148737</v>
      </c>
      <c r="Q151">
        <f t="shared" ref="Q151" si="731">F151*P151</f>
        <v>40755697.575797647</v>
      </c>
      <c r="R151">
        <f t="shared" ref="R151" si="732">R152+Q151</f>
        <v>-8780734689.3531189</v>
      </c>
      <c r="S151">
        <f t="shared" ref="S151" si="733">R151/100000</f>
        <v>-87807.346893531183</v>
      </c>
      <c r="T151">
        <f t="shared" ref="T151" si="734">S151/1000</f>
        <v>-87.807346893531189</v>
      </c>
    </row>
    <row r="152" spans="1:20" x14ac:dyDescent="0.25">
      <c r="A152" s="5">
        <v>44441</v>
      </c>
      <c r="B152">
        <v>5.8950000000000002E-2</v>
      </c>
      <c r="C152">
        <v>6.0999999999999999E-2</v>
      </c>
      <c r="D152">
        <v>5.731E-2</v>
      </c>
      <c r="E152">
        <v>5.7500000000000002E-2</v>
      </c>
      <c r="F152">
        <v>65703482.700000003</v>
      </c>
      <c r="G152">
        <v>5.7500000000000002E-2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-0.89701897018970045</v>
      </c>
      <c r="Q152">
        <f t="shared" ref="Q152" si="736">F152*P152</f>
        <v>-58937270.389430799</v>
      </c>
      <c r="R152">
        <f t="shared" ref="R152" si="737">R153+Q152</f>
        <v>-8821490386.9289169</v>
      </c>
      <c r="S152">
        <f t="shared" ref="S152" si="738">R152/100000</f>
        <v>-88214.903869289163</v>
      </c>
      <c r="T152">
        <f t="shared" ref="T152" si="739">S152/1000</f>
        <v>-88.214903869289159</v>
      </c>
    </row>
    <row r="153" spans="1:20" x14ac:dyDescent="0.25">
      <c r="A153" s="5">
        <v>44440</v>
      </c>
      <c r="B153">
        <v>5.6279999999999997E-2</v>
      </c>
      <c r="C153">
        <v>5.8990000000000001E-2</v>
      </c>
      <c r="D153">
        <v>5.5539999999999999E-2</v>
      </c>
      <c r="E153">
        <v>5.8979999999999998E-2</v>
      </c>
      <c r="F153">
        <v>63023946.600000001</v>
      </c>
      <c r="G153">
        <v>5.8979999999999998E-2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0.99420289855072286</v>
      </c>
      <c r="Q153">
        <f t="shared" ref="Q153" si="741">F153*P153</f>
        <v>62658590.387825973</v>
      </c>
      <c r="R153">
        <f t="shared" ref="R153" si="742">R154+Q153</f>
        <v>-8762553116.5394859</v>
      </c>
      <c r="S153">
        <f t="shared" ref="S153" si="743">R153/100000</f>
        <v>-87625.531165394859</v>
      </c>
      <c r="T153">
        <f t="shared" ref="T153" si="744">S153/1000</f>
        <v>-87.625531165394861</v>
      </c>
    </row>
    <row r="154" spans="1:20" x14ac:dyDescent="0.25">
      <c r="A154" s="5">
        <v>44439</v>
      </c>
      <c r="B154">
        <v>5.339E-2</v>
      </c>
      <c r="C154">
        <v>5.8999999999999997E-2</v>
      </c>
      <c r="D154">
        <v>5.289E-2</v>
      </c>
      <c r="E154">
        <v>5.6309999999999999E-2</v>
      </c>
      <c r="F154">
        <v>111084766.3</v>
      </c>
      <c r="G154">
        <v>5.6309999999999999E-2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0.11947626841243891</v>
      </c>
      <c r="Q154">
        <f t="shared" ref="Q154" si="746">F154*P154</f>
        <v>13271993.354991848</v>
      </c>
      <c r="R154">
        <f t="shared" ref="R154" si="747">R155+Q154</f>
        <v>-8825211706.9273129</v>
      </c>
      <c r="S154">
        <f t="shared" ref="S154" si="748">R154/100000</f>
        <v>-88252.117069273125</v>
      </c>
      <c r="T154">
        <f t="shared" ref="T154" si="749">S154/1000</f>
        <v>-88.252117069273126</v>
      </c>
    </row>
    <row r="155" spans="1:20" x14ac:dyDescent="0.25">
      <c r="A155" s="5">
        <v>44438</v>
      </c>
      <c r="B155">
        <v>5.6300000000000003E-2</v>
      </c>
      <c r="C155">
        <v>5.7639999999999997E-2</v>
      </c>
      <c r="D155">
        <v>5.2819999999999999E-2</v>
      </c>
      <c r="E155">
        <v>5.339E-2</v>
      </c>
      <c r="F155">
        <v>59738571.399999999</v>
      </c>
      <c r="G155">
        <v>5.339E-2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-0.76348547717842274</v>
      </c>
      <c r="Q155">
        <f t="shared" ref="Q155" si="751">F155*P155</f>
        <v>-45609531.691286273</v>
      </c>
      <c r="R155">
        <f t="shared" ref="R155" si="752">R156+Q155</f>
        <v>-8838483700.2823048</v>
      </c>
      <c r="S155">
        <f t="shared" ref="S155" si="753">R155/100000</f>
        <v>-88384.837002823042</v>
      </c>
      <c r="T155">
        <f t="shared" ref="T155" si="754">S155/1000</f>
        <v>-88.384837002823048</v>
      </c>
    </row>
    <row r="156" spans="1:20" x14ac:dyDescent="0.25">
      <c r="A156" s="5">
        <v>44437</v>
      </c>
      <c r="B156">
        <v>5.7070000000000003E-2</v>
      </c>
      <c r="C156">
        <v>5.7979999999999997E-2</v>
      </c>
      <c r="D156">
        <v>5.4809999999999998E-2</v>
      </c>
      <c r="E156">
        <v>5.62E-2</v>
      </c>
      <c r="F156">
        <v>43761835.100000001</v>
      </c>
      <c r="G156">
        <v>5.62E-2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-0.12302839116719073</v>
      </c>
      <c r="Q156">
        <f t="shared" ref="Q156" si="756">F156*P156</f>
        <v>-5383948.1668768972</v>
      </c>
      <c r="R156">
        <f t="shared" ref="R156" si="757">R157+Q156</f>
        <v>-8792874168.5910187</v>
      </c>
      <c r="S156">
        <f t="shared" ref="S156" si="758">R156/100000</f>
        <v>-87928.74168591018</v>
      </c>
      <c r="T156">
        <f t="shared" ref="T156" si="759">S156/1000</f>
        <v>-87.928741685910182</v>
      </c>
    </row>
    <row r="157" spans="1:20" x14ac:dyDescent="0.25">
      <c r="A157" s="5">
        <v>44436</v>
      </c>
      <c r="B157">
        <v>5.7369999999999997E-2</v>
      </c>
      <c r="C157">
        <v>5.8990000000000001E-2</v>
      </c>
      <c r="D157">
        <v>5.5640000000000002E-2</v>
      </c>
      <c r="E157">
        <v>5.6989999999999999E-2</v>
      </c>
      <c r="F157">
        <v>114041429.2</v>
      </c>
      <c r="G157">
        <v>5.6989999999999999E-2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-0.19402985074627013</v>
      </c>
      <c r="Q157">
        <f t="shared" ref="Q157" si="761">F157*P157</f>
        <v>-22127441.486567333</v>
      </c>
      <c r="R157">
        <f t="shared" ref="R157" si="762">R158+Q157</f>
        <v>-8787490220.4241409</v>
      </c>
      <c r="S157">
        <f t="shared" ref="S157" si="763">R157/100000</f>
        <v>-87874.902204241414</v>
      </c>
      <c r="T157">
        <f t="shared" ref="T157" si="764">S157/1000</f>
        <v>-87.874902204241408</v>
      </c>
    </row>
    <row r="158" spans="1:20" x14ac:dyDescent="0.25">
      <c r="A158" s="5">
        <v>44435</v>
      </c>
      <c r="B158">
        <v>5.57E-2</v>
      </c>
      <c r="C158">
        <v>5.7840000000000003E-2</v>
      </c>
      <c r="D158">
        <v>5.1970000000000002E-2</v>
      </c>
      <c r="E158">
        <v>5.7369999999999997E-2</v>
      </c>
      <c r="F158">
        <v>62263724.899999999</v>
      </c>
      <c r="G158">
        <v>5.7369999999999997E-2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0.83986371379897606</v>
      </c>
      <c r="Q158">
        <f t="shared" ref="Q158" si="766">F158*P158</f>
        <v>52293043.22947178</v>
      </c>
      <c r="R158">
        <f t="shared" ref="R158" si="767">R159+Q158</f>
        <v>-8765362778.9375744</v>
      </c>
      <c r="S158">
        <f t="shared" ref="S158" si="768">R158/100000</f>
        <v>-87653.627789375751</v>
      </c>
      <c r="T158">
        <f t="shared" ref="T158" si="769">S158/1000</f>
        <v>-87.653627789375747</v>
      </c>
    </row>
    <row r="159" spans="1:20" x14ac:dyDescent="0.25">
      <c r="A159" s="5">
        <v>44434</v>
      </c>
      <c r="B159">
        <v>6.0639999999999999E-2</v>
      </c>
      <c r="C159">
        <v>6.3E-2</v>
      </c>
      <c r="D159">
        <v>5.4960000000000002E-2</v>
      </c>
      <c r="E159">
        <v>5.5730000000000002E-2</v>
      </c>
      <c r="F159">
        <v>88603354.200000003</v>
      </c>
      <c r="G159">
        <v>5.5730000000000002E-2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-0.80845771144278611</v>
      </c>
      <c r="Q159">
        <f t="shared" ref="Q159" si="771">F159*P159</f>
        <v>-71632064.962686568</v>
      </c>
      <c r="R159">
        <f t="shared" ref="R159" si="772">R160+Q159</f>
        <v>-8817655822.1670456</v>
      </c>
      <c r="S159">
        <f t="shared" ref="S159" si="773">R159/100000</f>
        <v>-88176.55822167045</v>
      </c>
      <c r="T159">
        <f t="shared" ref="T159" si="774">S159/1000</f>
        <v>-88.176558221670447</v>
      </c>
    </row>
    <row r="160" spans="1:20" x14ac:dyDescent="0.25">
      <c r="A160" s="5">
        <v>44433</v>
      </c>
      <c r="B160">
        <v>5.679E-2</v>
      </c>
      <c r="C160">
        <v>6.3490000000000005E-2</v>
      </c>
      <c r="D160">
        <v>5.6500000000000002E-2</v>
      </c>
      <c r="E160">
        <v>6.08E-2</v>
      </c>
      <c r="F160">
        <v>104604100.3</v>
      </c>
      <c r="G160">
        <v>6.08E-2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0.23032904148783873</v>
      </c>
      <c r="Q160">
        <f t="shared" ref="Q160" si="776">F160*P160</f>
        <v>24093362.157796744</v>
      </c>
      <c r="R160">
        <f t="shared" ref="R160" si="777">R161+Q160</f>
        <v>-8746023757.2043591</v>
      </c>
      <c r="S160">
        <f t="shared" ref="S160" si="778">R160/100000</f>
        <v>-87460.237572043596</v>
      </c>
      <c r="T160">
        <f t="shared" ref="T160" si="779">S160/1000</f>
        <v>-87.460237572043596</v>
      </c>
    </row>
    <row r="161" spans="1:20" x14ac:dyDescent="0.25">
      <c r="A161" s="5">
        <v>44432</v>
      </c>
      <c r="B161">
        <v>5.9630000000000002E-2</v>
      </c>
      <c r="C161">
        <v>6.658E-2</v>
      </c>
      <c r="D161">
        <v>5.6340000000000001E-2</v>
      </c>
      <c r="E161">
        <v>5.6800000000000003E-2</v>
      </c>
      <c r="F161">
        <v>218603022.40000001</v>
      </c>
      <c r="G161">
        <v>5.6800000000000003E-2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-0.91015624999999956</v>
      </c>
      <c r="Q161">
        <f t="shared" ref="Q161" si="781">F161*P161</f>
        <v>-198962907.1062499</v>
      </c>
      <c r="R161">
        <f t="shared" ref="R161" si="782">R162+Q161</f>
        <v>-8770117119.3621559</v>
      </c>
      <c r="S161">
        <f t="shared" ref="S161" si="783">R161/100000</f>
        <v>-87701.171193621558</v>
      </c>
      <c r="T161">
        <f t="shared" ref="T161" si="784">S161/1000</f>
        <v>-87.701171193621562</v>
      </c>
    </row>
    <row r="162" spans="1:20" x14ac:dyDescent="0.25">
      <c r="A162" s="5">
        <v>44431</v>
      </c>
      <c r="B162">
        <v>5.858E-2</v>
      </c>
      <c r="C162">
        <v>6.1019999999999998E-2</v>
      </c>
      <c r="D162">
        <v>5.8310000000000001E-2</v>
      </c>
      <c r="E162">
        <v>5.9659999999999998E-2</v>
      </c>
      <c r="F162">
        <v>62977060.299999997</v>
      </c>
      <c r="G162">
        <v>5.9659999999999998E-2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-3.6900369003701377E-3</v>
      </c>
      <c r="Q162">
        <f t="shared" ref="Q162" si="786">F162*P162</f>
        <v>-232387.67638383523</v>
      </c>
      <c r="R162">
        <f t="shared" ref="R162" si="787">R163+Q162</f>
        <v>-8571154212.2559061</v>
      </c>
      <c r="S162">
        <f t="shared" ref="S162" si="788">R162/100000</f>
        <v>-85711.542122559054</v>
      </c>
      <c r="T162">
        <f t="shared" ref="T162" si="789">S162/1000</f>
        <v>-85.711542122559052</v>
      </c>
    </row>
    <row r="163" spans="1:20" x14ac:dyDescent="0.25">
      <c r="A163" s="5">
        <v>44430</v>
      </c>
      <c r="B163">
        <v>5.8299999999999998E-2</v>
      </c>
      <c r="C163">
        <v>5.9229999999999998E-2</v>
      </c>
      <c r="D163">
        <v>5.7950000000000002E-2</v>
      </c>
      <c r="E163">
        <v>5.8779999999999999E-2</v>
      </c>
      <c r="F163">
        <v>9591485.8000000007</v>
      </c>
      <c r="G163">
        <v>5.8779999999999999E-2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0.29687499999999956</v>
      </c>
      <c r="Q163">
        <f t="shared" ref="Q163" si="791">F163*P163</f>
        <v>2847472.3468749961</v>
      </c>
      <c r="R163">
        <f t="shared" ref="R163" si="792">R164+Q163</f>
        <v>-8570921824.5795221</v>
      </c>
      <c r="S163">
        <f t="shared" ref="S163" si="793">R163/100000</f>
        <v>-85709.218245795215</v>
      </c>
      <c r="T163">
        <f t="shared" ref="T163" si="794">S163/1000</f>
        <v>-85.709218245795213</v>
      </c>
    </row>
    <row r="164" spans="1:20" x14ac:dyDescent="0.25">
      <c r="A164" s="5">
        <v>44429</v>
      </c>
      <c r="B164">
        <v>6.0720000000000003E-2</v>
      </c>
      <c r="C164">
        <v>6.1530000000000001E-2</v>
      </c>
      <c r="D164">
        <v>5.7669999999999999E-2</v>
      </c>
      <c r="E164">
        <v>5.8299999999999998E-2</v>
      </c>
      <c r="F164">
        <v>86774362.599999994</v>
      </c>
      <c r="G164">
        <v>5.8299999999999998E-2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-0.67357512953367971</v>
      </c>
      <c r="Q164">
        <f t="shared" ref="Q164" si="796">F164*P164</f>
        <v>-58449052.528497487</v>
      </c>
      <c r="R164">
        <f t="shared" ref="R164" si="797">R165+Q164</f>
        <v>-8573769296.9263973</v>
      </c>
      <c r="S164">
        <f t="shared" ref="S164" si="798">R164/100000</f>
        <v>-85737.692969263968</v>
      </c>
      <c r="T164">
        <f t="shared" ref="T164" si="799">S164/1000</f>
        <v>-85.737692969263975</v>
      </c>
    </row>
    <row r="165" spans="1:20" x14ac:dyDescent="0.25">
      <c r="A165" s="5">
        <v>44428</v>
      </c>
      <c r="B165">
        <v>5.8779999999999999E-2</v>
      </c>
      <c r="C165">
        <v>6.2E-2</v>
      </c>
      <c r="D165">
        <v>5.688E-2</v>
      </c>
      <c r="E165">
        <v>6.0670000000000002E-2</v>
      </c>
      <c r="F165">
        <v>107353564.90000001</v>
      </c>
      <c r="G165">
        <v>6.0670000000000002E-2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0.48046875000000078</v>
      </c>
      <c r="Q165">
        <f t="shared" ref="Q165" si="801">F165*P165</f>
        <v>51580033.13554696</v>
      </c>
      <c r="R165">
        <f t="shared" ref="R165" si="802">R166+Q165</f>
        <v>-8515320244.3978996</v>
      </c>
      <c r="S165">
        <f t="shared" ref="S165" si="803">R165/100000</f>
        <v>-85153.202443978997</v>
      </c>
      <c r="T165">
        <f t="shared" ref="T165" si="804">S165/1000</f>
        <v>-85.153202443978998</v>
      </c>
    </row>
    <row r="166" spans="1:20" x14ac:dyDescent="0.25">
      <c r="A166" s="5">
        <v>44427</v>
      </c>
      <c r="B166">
        <v>5.2479999999999999E-2</v>
      </c>
      <c r="C166">
        <v>5.8999999999999997E-2</v>
      </c>
      <c r="D166">
        <v>5.2010000000000001E-2</v>
      </c>
      <c r="E166">
        <v>5.8819999999999997E-2</v>
      </c>
      <c r="F166">
        <v>89721790.799999997</v>
      </c>
      <c r="G166">
        <v>5.8819999999999997E-2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0.94849785407725329</v>
      </c>
      <c r="Q166">
        <f t="shared" ref="Q166" si="806">F166*P166</f>
        <v>85100926.037768245</v>
      </c>
      <c r="R166">
        <f t="shared" ref="R166" si="807">R167+Q166</f>
        <v>-8566900277.5334463</v>
      </c>
      <c r="S166">
        <f t="shared" ref="S166" si="808">R166/100000</f>
        <v>-85669.002775334462</v>
      </c>
      <c r="T166">
        <f t="shared" ref="T166" si="809">S166/1000</f>
        <v>-85.669002775334462</v>
      </c>
    </row>
    <row r="167" spans="1:20" x14ac:dyDescent="0.25">
      <c r="A167" s="5">
        <v>44426</v>
      </c>
      <c r="B167">
        <v>5.4129999999999998E-2</v>
      </c>
      <c r="C167">
        <v>5.57E-2</v>
      </c>
      <c r="D167">
        <v>5.1569999999999998E-2</v>
      </c>
      <c r="E167">
        <v>5.2479999999999999E-2</v>
      </c>
      <c r="F167">
        <v>106022636.7</v>
      </c>
      <c r="G167">
        <v>5.2479999999999999E-2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-0.5593220338983047</v>
      </c>
      <c r="Q167">
        <f t="shared" ref="Q167" si="811">F167*P167</f>
        <v>-59300796.79830505</v>
      </c>
      <c r="R167">
        <f t="shared" ref="R167" si="812">R168+Q167</f>
        <v>-8652001203.5712147</v>
      </c>
      <c r="S167">
        <f t="shared" ref="S167" si="813">R167/100000</f>
        <v>-86520.012035712149</v>
      </c>
      <c r="T167">
        <f t="shared" ref="T167" si="814">S167/1000</f>
        <v>-86.520012035712142</v>
      </c>
    </row>
    <row r="168" spans="1:20" x14ac:dyDescent="0.25">
      <c r="A168" s="5">
        <v>44425</v>
      </c>
      <c r="B168">
        <v>5.8689999999999999E-2</v>
      </c>
      <c r="C168">
        <v>6.0999999999999999E-2</v>
      </c>
      <c r="D168">
        <v>5.3089999999999998E-2</v>
      </c>
      <c r="E168">
        <v>5.4129999999999998E-2</v>
      </c>
      <c r="F168">
        <v>113981721.59999999</v>
      </c>
      <c r="G168">
        <v>5.4129999999999998E-2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-0.73704171934260454</v>
      </c>
      <c r="Q168">
        <f t="shared" ref="Q168" si="816">F168*P168</f>
        <v>-84009284.061694086</v>
      </c>
      <c r="R168">
        <f t="shared" ref="R168" si="817">R169+Q168</f>
        <v>-8592700406.7729092</v>
      </c>
      <c r="S168">
        <f t="shared" ref="S168" si="818">R168/100000</f>
        <v>-85927.004067729096</v>
      </c>
      <c r="T168">
        <f t="shared" ref="T168" si="819">S168/1000</f>
        <v>-85.927004067729101</v>
      </c>
    </row>
    <row r="169" spans="1:20" x14ac:dyDescent="0.25">
      <c r="A169" s="5">
        <v>44424</v>
      </c>
      <c r="B169">
        <v>6.2190000000000002E-2</v>
      </c>
      <c r="C169">
        <v>6.3490000000000005E-2</v>
      </c>
      <c r="D169">
        <v>5.7639999999999997E-2</v>
      </c>
      <c r="E169">
        <v>5.8619999999999998E-2</v>
      </c>
      <c r="F169">
        <v>231617101.90000001</v>
      </c>
      <c r="G169">
        <v>5.8619999999999998E-2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-0.66495726495726482</v>
      </c>
      <c r="Q169">
        <f t="shared" ref="Q169" si="821">F169*P169</f>
        <v>-154015474.59675211</v>
      </c>
      <c r="R169">
        <f t="shared" ref="R169" si="822">R170+Q169</f>
        <v>-8508691122.711216</v>
      </c>
      <c r="S169">
        <f t="shared" ref="S169" si="823">R169/100000</f>
        <v>-85086.911227112156</v>
      </c>
      <c r="T169">
        <f t="shared" ref="T169" si="824">S169/1000</f>
        <v>-85.086911227112154</v>
      </c>
    </row>
    <row r="170" spans="1:20" x14ac:dyDescent="0.25">
      <c r="A170" s="5">
        <v>44423</v>
      </c>
      <c r="B170">
        <v>5.8130000000000001E-2</v>
      </c>
      <c r="C170">
        <v>6.4439999999999997E-2</v>
      </c>
      <c r="D170">
        <v>5.5840000000000001E-2</v>
      </c>
      <c r="E170">
        <v>6.234E-2</v>
      </c>
      <c r="F170">
        <v>146914006.09999999</v>
      </c>
      <c r="G170">
        <v>6.234E-2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0.51162790697674454</v>
      </c>
      <c r="Q170">
        <f t="shared" ref="Q170" si="826">F170*P170</f>
        <v>75165305.446511671</v>
      </c>
      <c r="R170">
        <f t="shared" ref="R170" si="827">R171+Q170</f>
        <v>-8354675648.1144638</v>
      </c>
      <c r="S170">
        <f t="shared" ref="S170" si="828">R170/100000</f>
        <v>-83546.756481144635</v>
      </c>
      <c r="T170">
        <f t="shared" ref="T170" si="829">S170/1000</f>
        <v>-83.546756481144641</v>
      </c>
    </row>
    <row r="171" spans="1:20" x14ac:dyDescent="0.25">
      <c r="A171" s="5">
        <v>44422</v>
      </c>
      <c r="B171">
        <v>6.2909999999999994E-2</v>
      </c>
      <c r="C171">
        <v>6.3670000000000004E-2</v>
      </c>
      <c r="D171">
        <v>5.7520000000000002E-2</v>
      </c>
      <c r="E171">
        <v>5.8130000000000001E-2</v>
      </c>
      <c r="F171">
        <v>106553846.5</v>
      </c>
      <c r="G171">
        <v>5.8130000000000001E-2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-0.80162601626016283</v>
      </c>
      <c r="Q171">
        <f t="shared" ref="Q171" si="831">F171*P171</f>
        <v>-85416335.486991897</v>
      </c>
      <c r="R171">
        <f t="shared" ref="R171" si="832">R172+Q171</f>
        <v>-8429840953.5609751</v>
      </c>
      <c r="S171">
        <f t="shared" ref="S171" si="833">R171/100000</f>
        <v>-84298.409535609753</v>
      </c>
      <c r="T171">
        <f t="shared" ref="T171" si="834">S171/1000</f>
        <v>-84.29840953560975</v>
      </c>
    </row>
    <row r="172" spans="1:20" x14ac:dyDescent="0.25">
      <c r="A172" s="5">
        <v>44421</v>
      </c>
      <c r="B172">
        <v>5.5939999999999997E-2</v>
      </c>
      <c r="C172">
        <v>6.5000000000000002E-2</v>
      </c>
      <c r="D172">
        <v>5.4800000000000001E-2</v>
      </c>
      <c r="E172">
        <v>6.2909999999999994E-2</v>
      </c>
      <c r="F172">
        <v>226457528.30000001</v>
      </c>
      <c r="G172">
        <v>6.2909999999999994E-2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0.5901960784313709</v>
      </c>
      <c r="Q172">
        <f t="shared" ref="Q172" si="836">F172*P172</f>
        <v>133654345.13392121</v>
      </c>
      <c r="R172">
        <f t="shared" ref="R172" si="837">R173+Q172</f>
        <v>-8344424618.0739832</v>
      </c>
      <c r="S172">
        <f t="shared" ref="S172" si="838">R172/100000</f>
        <v>-83444.246180739836</v>
      </c>
      <c r="T172">
        <f t="shared" ref="T172" si="839">S172/1000</f>
        <v>-83.444246180739839</v>
      </c>
    </row>
    <row r="173" spans="1:20" x14ac:dyDescent="0.25">
      <c r="A173" s="5">
        <v>44420</v>
      </c>
      <c r="B173">
        <v>5.185E-2</v>
      </c>
      <c r="C173">
        <v>5.9499999999999997E-2</v>
      </c>
      <c r="D173">
        <v>4.9849999999999998E-2</v>
      </c>
      <c r="E173">
        <v>5.5910000000000001E-2</v>
      </c>
      <c r="F173">
        <v>211088043</v>
      </c>
      <c r="G173">
        <v>5.5910000000000001E-2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0.25595854922279865</v>
      </c>
      <c r="Q173">
        <f t="shared" ref="Q173" si="841">F173*P173</f>
        <v>54029789.244559735</v>
      </c>
      <c r="R173">
        <f t="shared" ref="R173" si="842">R174+Q173</f>
        <v>-8478078963.2079048</v>
      </c>
      <c r="S173">
        <f t="shared" ref="S173" si="843">R173/100000</f>
        <v>-84780.789632079046</v>
      </c>
      <c r="T173">
        <f t="shared" ref="T173" si="844">S173/1000</f>
        <v>-84.780789632079049</v>
      </c>
    </row>
    <row r="174" spans="1:20" x14ac:dyDescent="0.25">
      <c r="A174" s="5">
        <v>44419</v>
      </c>
      <c r="B174">
        <v>5.0130000000000001E-2</v>
      </c>
      <c r="C174">
        <v>5.6989999999999999E-2</v>
      </c>
      <c r="D174">
        <v>4.972E-2</v>
      </c>
      <c r="E174">
        <v>5.1880000000000003E-2</v>
      </c>
      <c r="F174">
        <v>170836016.5</v>
      </c>
      <c r="G174">
        <v>5.1880000000000003E-2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-0.40577716643741329</v>
      </c>
      <c r="Q174">
        <f t="shared" ref="Q174" si="846">F174*P174</f>
        <v>-69321354.700825185</v>
      </c>
      <c r="R174">
        <f t="shared" ref="R174" si="847">R175+Q174</f>
        <v>-8532108752.4524641</v>
      </c>
      <c r="S174">
        <f t="shared" ref="S174" si="848">R174/100000</f>
        <v>-85321.087524524643</v>
      </c>
      <c r="T174">
        <f t="shared" ref="T174" si="849">S174/1000</f>
        <v>-85.321087524524643</v>
      </c>
    </row>
    <row r="175" spans="1:20" x14ac:dyDescent="0.25">
      <c r="A175" s="5">
        <v>44418</v>
      </c>
      <c r="B175">
        <v>4.9270000000000001E-2</v>
      </c>
      <c r="C175">
        <v>5.0999999999999997E-2</v>
      </c>
      <c r="D175">
        <v>4.7739999999999998E-2</v>
      </c>
      <c r="E175">
        <v>5.0160000000000003E-2</v>
      </c>
      <c r="F175">
        <v>89400267.900000006</v>
      </c>
      <c r="G175">
        <v>5.0160000000000003E-2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0.48466257668712037</v>
      </c>
      <c r="Q175">
        <f t="shared" ref="Q175" si="851">F175*P175</f>
        <v>43328964.19693286</v>
      </c>
      <c r="R175">
        <f t="shared" ref="R175" si="852">R176+Q175</f>
        <v>-8462787397.7516394</v>
      </c>
      <c r="S175">
        <f t="shared" ref="S175" si="853">R175/100000</f>
        <v>-84627.873977516399</v>
      </c>
      <c r="T175">
        <f t="shared" ref="T175" si="854">S175/1000</f>
        <v>-84.627873977516401</v>
      </c>
    </row>
    <row r="176" spans="1:20" x14ac:dyDescent="0.25">
      <c r="A176" s="5">
        <v>44417</v>
      </c>
      <c r="B176">
        <v>4.5409999999999999E-2</v>
      </c>
      <c r="C176">
        <v>5.0500000000000003E-2</v>
      </c>
      <c r="D176">
        <v>4.4400000000000002E-2</v>
      </c>
      <c r="E176">
        <v>4.9390000000000003E-2</v>
      </c>
      <c r="F176">
        <v>91645734</v>
      </c>
      <c r="G176">
        <v>4.9390000000000003E-2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0.63606557377049189</v>
      </c>
      <c r="Q176">
        <f t="shared" ref="Q176" si="856">F176*P176</f>
        <v>58292696.380327873</v>
      </c>
      <c r="R176">
        <f t="shared" ref="R176" si="857">R177+Q176</f>
        <v>-8506116361.9485722</v>
      </c>
      <c r="S176">
        <f t="shared" ref="S176" si="858">R176/100000</f>
        <v>-85061.163619485727</v>
      </c>
      <c r="T176">
        <f t="shared" ref="T176" si="859">S176/1000</f>
        <v>-85.061163619485725</v>
      </c>
    </row>
    <row r="177" spans="1:20" x14ac:dyDescent="0.25">
      <c r="A177" s="5">
        <v>44416</v>
      </c>
      <c r="B177">
        <v>5.0139999999999997E-2</v>
      </c>
      <c r="C177">
        <v>5.0439999999999999E-2</v>
      </c>
      <c r="D177">
        <v>4.4690000000000001E-2</v>
      </c>
      <c r="E177">
        <v>4.5350000000000001E-2</v>
      </c>
      <c r="F177">
        <v>87632149.099999994</v>
      </c>
      <c r="G177">
        <v>4.5350000000000001E-2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-0.77043478260869525</v>
      </c>
      <c r="Q177">
        <f t="shared" ref="Q177" si="861">F177*P177</f>
        <v>-67514855.741391271</v>
      </c>
      <c r="R177">
        <f t="shared" ref="R177" si="862">R178+Q177</f>
        <v>-8564409058.3289003</v>
      </c>
      <c r="S177">
        <f t="shared" ref="S177" si="863">R177/100000</f>
        <v>-85644.090583288998</v>
      </c>
      <c r="T177">
        <f t="shared" ref="T177" si="864">S177/1000</f>
        <v>-85.644090583289</v>
      </c>
    </row>
    <row r="178" spans="1:20" x14ac:dyDescent="0.25">
      <c r="A178" s="5">
        <v>44415</v>
      </c>
      <c r="B178">
        <v>4.6800000000000001E-2</v>
      </c>
      <c r="C178">
        <v>5.33E-2</v>
      </c>
      <c r="D178">
        <v>4.6550000000000001E-2</v>
      </c>
      <c r="E178">
        <v>5.0200000000000002E-2</v>
      </c>
      <c r="F178">
        <v>195641655.69999999</v>
      </c>
      <c r="G178">
        <v>5.0200000000000002E-2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8.1481481481481766E-2</v>
      </c>
      <c r="Q178">
        <f t="shared" ref="Q178" si="866">F178*P178</f>
        <v>15941171.945925981</v>
      </c>
      <c r="R178">
        <f t="shared" ref="R178" si="867">R179+Q178</f>
        <v>-8496894202.5875092</v>
      </c>
      <c r="S178">
        <f t="shared" ref="S178" si="868">R178/100000</f>
        <v>-84968.942025875091</v>
      </c>
      <c r="T178">
        <f t="shared" ref="T178" si="869">S178/1000</f>
        <v>-84.968942025875094</v>
      </c>
    </row>
    <row r="179" spans="1:20" x14ac:dyDescent="0.25">
      <c r="A179" s="5">
        <v>44414</v>
      </c>
      <c r="B179">
        <v>4.5809999999999997E-2</v>
      </c>
      <c r="C179">
        <v>4.7500000000000001E-2</v>
      </c>
      <c r="D179">
        <v>4.4010000000000001E-2</v>
      </c>
      <c r="E179">
        <v>4.6800000000000001E-2</v>
      </c>
      <c r="F179">
        <v>97898999.799999997</v>
      </c>
      <c r="G179">
        <v>4.6800000000000001E-2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0.59885386819484288</v>
      </c>
      <c r="Q179">
        <f t="shared" ref="Q179" si="871">F179*P179</f>
        <v>58627194.722636148</v>
      </c>
      <c r="R179">
        <f t="shared" ref="R179" si="872">R180+Q179</f>
        <v>-8512835374.5334349</v>
      </c>
      <c r="S179">
        <f t="shared" ref="S179" si="873">R179/100000</f>
        <v>-85128.353745334345</v>
      </c>
      <c r="T179">
        <f t="shared" ref="T179" si="874">S179/1000</f>
        <v>-85.128353745334351</v>
      </c>
    </row>
    <row r="180" spans="1:20" x14ac:dyDescent="0.25">
      <c r="A180" s="5">
        <v>44413</v>
      </c>
      <c r="B180">
        <v>4.3040000000000002E-2</v>
      </c>
      <c r="C180">
        <v>4.6370000000000001E-2</v>
      </c>
      <c r="D180">
        <v>4.2000000000000003E-2</v>
      </c>
      <c r="E180">
        <v>4.5809999999999997E-2</v>
      </c>
      <c r="F180">
        <v>207315958.80000001</v>
      </c>
      <c r="G180">
        <v>4.5809999999999997E-2</v>
      </c>
      <c r="L180" t="s">
        <v>8</v>
      </c>
      <c r="M180" t="s">
        <v>8</v>
      </c>
      <c r="N180" t="s">
        <v>7</v>
      </c>
      <c r="P180">
        <f t="shared" ref="P180" si="875">IF(C180=D180,0,((E180-D180)-(C180-E180))/(C180-D180))</f>
        <v>0.74370709382150801</v>
      </c>
      <c r="Q180">
        <f t="shared" ref="Q180" si="876">F180*P180</f>
        <v>154182349.22196749</v>
      </c>
      <c r="R180">
        <f t="shared" ref="R180" si="877">R181+Q180</f>
        <v>-8571462569.2560711</v>
      </c>
      <c r="S180">
        <f t="shared" ref="S180" si="878">R180/100000</f>
        <v>-85714.625692560716</v>
      </c>
      <c r="T180">
        <f t="shared" ref="T180" si="879">S180/1000</f>
        <v>-85.714625692560716</v>
      </c>
    </row>
    <row r="181" spans="1:20" x14ac:dyDescent="0.25">
      <c r="A181" s="5">
        <v>44412</v>
      </c>
      <c r="B181">
        <v>4.1059999999999999E-2</v>
      </c>
      <c r="C181">
        <v>4.4249999999999998E-2</v>
      </c>
      <c r="D181">
        <v>4.0550000000000003E-2</v>
      </c>
      <c r="E181">
        <v>4.2930000000000003E-2</v>
      </c>
      <c r="F181">
        <v>62061006.799999997</v>
      </c>
      <c r="G181">
        <v>4.2930000000000003E-2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0.28648648648648833</v>
      </c>
      <c r="Q181">
        <f t="shared" ref="Q181" si="881">F181*P181</f>
        <v>17779639.78594606</v>
      </c>
      <c r="R181">
        <f t="shared" ref="R181" si="882">R182+Q181</f>
        <v>-8725644918.4780388</v>
      </c>
      <c r="S181">
        <f t="shared" ref="S181" si="883">R181/100000</f>
        <v>-87256.449184780387</v>
      </c>
      <c r="T181">
        <f t="shared" ref="T181" si="884">S181/1000</f>
        <v>-87.256449184780394</v>
      </c>
    </row>
    <row r="182" spans="1:20" x14ac:dyDescent="0.25">
      <c r="A182" s="5">
        <v>44411</v>
      </c>
      <c r="B182">
        <v>4.1880000000000001E-2</v>
      </c>
      <c r="C182">
        <v>4.2459999999999998E-2</v>
      </c>
      <c r="D182">
        <v>4.0079999999999998E-2</v>
      </c>
      <c r="E182">
        <v>4.0960000000000003E-2</v>
      </c>
      <c r="F182">
        <v>44115510.200000003</v>
      </c>
      <c r="G182">
        <v>4.0960000000000003E-2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-0.26050420168066746</v>
      </c>
      <c r="Q182">
        <f t="shared" ref="Q182" si="886">F182*P182</f>
        <v>-11492275.766386343</v>
      </c>
      <c r="R182">
        <f t="shared" ref="R182" si="887">R183+Q182</f>
        <v>-8743424558.2639847</v>
      </c>
      <c r="S182">
        <f t="shared" ref="S182" si="888">R182/100000</f>
        <v>-87434.245582639851</v>
      </c>
      <c r="T182">
        <f t="shared" ref="T182" si="889">S182/1000</f>
        <v>-87.434245582639846</v>
      </c>
    </row>
    <row r="183" spans="1:20" x14ac:dyDescent="0.25">
      <c r="A183" s="5">
        <v>44410</v>
      </c>
      <c r="B183">
        <v>4.2220000000000001E-2</v>
      </c>
      <c r="C183">
        <v>4.3729999999999998E-2</v>
      </c>
      <c r="D183">
        <v>4.0750000000000001E-2</v>
      </c>
      <c r="E183">
        <v>4.1880000000000001E-2</v>
      </c>
      <c r="F183">
        <v>67386925.700000003</v>
      </c>
      <c r="G183">
        <v>4.1880000000000001E-2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-0.24161073825503332</v>
      </c>
      <c r="Q183">
        <f t="shared" ref="Q183" si="891">F183*P183</f>
        <v>-16281404.867114078</v>
      </c>
      <c r="R183">
        <f t="shared" ref="R183" si="892">R184+Q183</f>
        <v>-8731932282.4975986</v>
      </c>
      <c r="S183">
        <f t="shared" ref="S183" si="893">R183/100000</f>
        <v>-87319.322824975985</v>
      </c>
      <c r="T183">
        <f t="shared" ref="T183" si="894">S183/1000</f>
        <v>-87.319322824975984</v>
      </c>
    </row>
    <row r="184" spans="1:20" x14ac:dyDescent="0.25">
      <c r="A184" s="5">
        <v>44409</v>
      </c>
      <c r="B184">
        <v>4.2349999999999999E-2</v>
      </c>
      <c r="C184">
        <v>4.6859999999999999E-2</v>
      </c>
      <c r="D184">
        <v>4.1549999999999997E-2</v>
      </c>
      <c r="E184">
        <v>4.2160000000000003E-2</v>
      </c>
      <c r="F184">
        <v>457767771.80000001</v>
      </c>
      <c r="G184">
        <v>4.2160000000000003E-2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-0.77024482109227643</v>
      </c>
      <c r="Q184">
        <f t="shared" ref="Q184" si="896">F184*P184</f>
        <v>-352593255.49190104</v>
      </c>
      <c r="R184">
        <f t="shared" ref="R184" si="897">R185+Q184</f>
        <v>-8715650877.6304836</v>
      </c>
      <c r="S184">
        <f t="shared" ref="S184" si="898">R184/100000</f>
        <v>-87156.508776304836</v>
      </c>
      <c r="T184">
        <f t="shared" ref="T184" si="899">S184/1000</f>
        <v>-87.156508776304833</v>
      </c>
    </row>
    <row r="185" spans="1:20" x14ac:dyDescent="0.25">
      <c r="A185" s="5">
        <v>44408</v>
      </c>
      <c r="B185">
        <v>4.1570000000000003E-2</v>
      </c>
      <c r="C185">
        <v>4.4999999999999998E-2</v>
      </c>
      <c r="D185">
        <v>4.1189999999999997E-2</v>
      </c>
      <c r="E185">
        <v>4.2349999999999999E-2</v>
      </c>
      <c r="F185">
        <v>115524489.09999999</v>
      </c>
      <c r="G185">
        <v>4.2349999999999999E-2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-0.39107611548556376</v>
      </c>
      <c r="Q185">
        <f t="shared" ref="Q185" si="901">F185*P185</f>
        <v>-45178868.440682352</v>
      </c>
      <c r="R185">
        <f t="shared" ref="R185" si="902">R186+Q185</f>
        <v>-8363057622.1385822</v>
      </c>
      <c r="S185">
        <f t="shared" ref="S185" si="903">R185/100000</f>
        <v>-83630.576221385825</v>
      </c>
      <c r="T185">
        <f t="shared" ref="T185" si="904">S185/1000</f>
        <v>-83.630576221385823</v>
      </c>
    </row>
    <row r="186" spans="1:20" x14ac:dyDescent="0.25">
      <c r="A186" s="5">
        <v>44407</v>
      </c>
      <c r="B186">
        <v>4.1799999999999997E-2</v>
      </c>
      <c r="C186">
        <v>4.249E-2</v>
      </c>
      <c r="D186">
        <v>3.9109999999999999E-2</v>
      </c>
      <c r="E186">
        <v>4.1419999999999998E-2</v>
      </c>
      <c r="F186">
        <v>67863834.700000003</v>
      </c>
      <c r="G186">
        <v>4.1419999999999998E-2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0.36686390532544311</v>
      </c>
      <c r="Q186">
        <f t="shared" ref="Q186" si="906">F186*P186</f>
        <v>24896791.428402323</v>
      </c>
      <c r="R186">
        <f t="shared" ref="R186" si="907">R187+Q186</f>
        <v>-8317878753.6978998</v>
      </c>
      <c r="S186">
        <f t="shared" ref="S186" si="908">R186/100000</f>
        <v>-83178.787536978998</v>
      </c>
      <c r="T186">
        <f t="shared" ref="T186" si="909">S186/1000</f>
        <v>-83.178787536979002</v>
      </c>
    </row>
    <row r="187" spans="1:20" x14ac:dyDescent="0.25">
      <c r="A187" s="5">
        <v>44406</v>
      </c>
      <c r="B187">
        <v>4.0980000000000003E-2</v>
      </c>
      <c r="C187">
        <v>4.3450000000000003E-2</v>
      </c>
      <c r="D187">
        <v>4.0410000000000001E-2</v>
      </c>
      <c r="E187">
        <v>4.1849999999999998E-2</v>
      </c>
      <c r="F187">
        <v>66969728</v>
      </c>
      <c r="G187">
        <v>4.1849999999999998E-2</v>
      </c>
      <c r="L187" t="s">
        <v>8</v>
      </c>
      <c r="M187" t="s">
        <v>7</v>
      </c>
      <c r="N187" t="s">
        <v>7</v>
      </c>
      <c r="P187">
        <f t="shared" ref="P187" si="910">IF(C187=D187,0,((E187-D187)-(C187-E187))/(C187-D187))</f>
        <v>-5.2631578947370826E-2</v>
      </c>
      <c r="Q187">
        <f t="shared" ref="Q187" si="911">F187*P187</f>
        <v>-3524722.5263159503</v>
      </c>
      <c r="R187">
        <f t="shared" ref="R187" si="912">R188+Q187</f>
        <v>-8342775545.1263018</v>
      </c>
      <c r="S187">
        <f t="shared" ref="S187" si="913">R187/100000</f>
        <v>-83427.755451263016</v>
      </c>
      <c r="T187">
        <f t="shared" ref="T187" si="914">S187/1000</f>
        <v>-83.42775545126301</v>
      </c>
    </row>
    <row r="188" spans="1:20" x14ac:dyDescent="0.25">
      <c r="A188" s="5">
        <v>44405</v>
      </c>
      <c r="B188">
        <v>4.19E-2</v>
      </c>
      <c r="C188">
        <v>4.2500000000000003E-2</v>
      </c>
      <c r="D188">
        <v>3.9690000000000003E-2</v>
      </c>
      <c r="E188">
        <v>4.104E-2</v>
      </c>
      <c r="F188">
        <v>59417142.100000001</v>
      </c>
      <c r="G188">
        <v>4.104E-2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-3.9145907473311717E-2</v>
      </c>
      <c r="Q188">
        <f t="shared" ref="Q188" si="916">F188*P188</f>
        <v>-2325937.9469752144</v>
      </c>
      <c r="R188">
        <f t="shared" ref="R188" si="917">R189+Q188</f>
        <v>-8339250822.5999861</v>
      </c>
      <c r="S188">
        <f t="shared" ref="S188" si="918">R188/100000</f>
        <v>-83392.50822599986</v>
      </c>
      <c r="T188">
        <f t="shared" ref="T188" si="919">S188/1000</f>
        <v>-83.392508225999862</v>
      </c>
    </row>
    <row r="189" spans="1:20" x14ac:dyDescent="0.25">
      <c r="A189" s="5">
        <v>44404</v>
      </c>
      <c r="B189">
        <v>4.0160000000000001E-2</v>
      </c>
      <c r="C189">
        <v>4.301E-2</v>
      </c>
      <c r="D189">
        <v>3.8330000000000003E-2</v>
      </c>
      <c r="E189">
        <v>4.19E-2</v>
      </c>
      <c r="F189">
        <v>94277024.900000006</v>
      </c>
      <c r="G189">
        <v>4.19E-2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0.52564102564102533</v>
      </c>
      <c r="Q189">
        <f t="shared" ref="Q189" si="921">F189*P189</f>
        <v>49555872.062820487</v>
      </c>
      <c r="R189">
        <f t="shared" ref="R189" si="922">R190+Q189</f>
        <v>-8336924884.6530113</v>
      </c>
      <c r="S189">
        <f t="shared" ref="S189" si="923">R189/100000</f>
        <v>-83369.248846530114</v>
      </c>
      <c r="T189">
        <f t="shared" ref="T189" si="924">S189/1000</f>
        <v>-83.369248846530112</v>
      </c>
    </row>
    <row r="190" spans="1:20" x14ac:dyDescent="0.25">
      <c r="A190" s="5">
        <v>44403</v>
      </c>
      <c r="B190">
        <v>4.0039999999999999E-2</v>
      </c>
      <c r="C190">
        <v>4.6760000000000003E-2</v>
      </c>
      <c r="D190">
        <v>3.9730000000000001E-2</v>
      </c>
      <c r="E190">
        <v>4.0219999999999999E-2</v>
      </c>
      <c r="F190">
        <v>216272707.40000001</v>
      </c>
      <c r="G190">
        <v>4.0219999999999999E-2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-0.86059743954480872</v>
      </c>
      <c r="Q190">
        <f t="shared" ref="Q190" si="926">F190*P190</f>
        <v>-186123738.23186362</v>
      </c>
      <c r="R190">
        <f t="shared" ref="R190" si="927">R191+Q190</f>
        <v>-8386480756.7158318</v>
      </c>
      <c r="S190">
        <f t="shared" ref="S190" si="928">R190/100000</f>
        <v>-83864.807567158321</v>
      </c>
      <c r="T190">
        <f t="shared" ref="T190" si="929">S190/1000</f>
        <v>-83.864807567158323</v>
      </c>
    </row>
    <row r="191" spans="1:20" x14ac:dyDescent="0.25">
      <c r="A191" s="5">
        <v>44402</v>
      </c>
      <c r="B191">
        <v>3.9530000000000003E-2</v>
      </c>
      <c r="C191">
        <v>4.0680000000000001E-2</v>
      </c>
      <c r="D191">
        <v>3.8260000000000002E-2</v>
      </c>
      <c r="E191">
        <v>4.0039999999999999E-2</v>
      </c>
      <c r="F191">
        <v>79753452</v>
      </c>
      <c r="G191">
        <v>4.0039999999999999E-2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0.47107438016528758</v>
      </c>
      <c r="Q191">
        <f t="shared" ref="Q191" si="931">F191*P191</f>
        <v>37569807.966942012</v>
      </c>
      <c r="R191">
        <f t="shared" ref="R191" si="932">R192+Q191</f>
        <v>-8200357018.4839678</v>
      </c>
      <c r="S191">
        <f t="shared" ref="S191" si="933">R191/100000</f>
        <v>-82003.570184839671</v>
      </c>
      <c r="T191">
        <f t="shared" ref="T191:T197" si="934">S191/1000</f>
        <v>-82.003570184839674</v>
      </c>
    </row>
    <row r="192" spans="1:20" x14ac:dyDescent="0.25">
      <c r="A192" s="5">
        <v>44401</v>
      </c>
      <c r="B192">
        <v>3.925E-2</v>
      </c>
      <c r="C192">
        <v>4.2000000000000003E-2</v>
      </c>
      <c r="D192">
        <v>3.8350000000000002E-2</v>
      </c>
      <c r="E192">
        <v>3.952E-2</v>
      </c>
      <c r="F192">
        <v>131438420.8</v>
      </c>
      <c r="G192">
        <v>3.952E-2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-0.35890410958904256</v>
      </c>
      <c r="Q192">
        <f t="shared" ref="Q192" si="936">F192*P192</f>
        <v>-47173789.383013889</v>
      </c>
      <c r="R192">
        <f t="shared" ref="R192" si="937">R193+Q192</f>
        <v>-8237926826.4509096</v>
      </c>
      <c r="S192">
        <f t="shared" ref="S192" si="938">R192/100000</f>
        <v>-82379.268264509097</v>
      </c>
      <c r="T192">
        <f t="shared" si="934"/>
        <v>-82.379268264509093</v>
      </c>
    </row>
    <row r="193" spans="1:20" x14ac:dyDescent="0.25">
      <c r="A193" s="5">
        <v>44400</v>
      </c>
      <c r="B193">
        <v>3.823E-2</v>
      </c>
      <c r="C193">
        <v>4.0230000000000002E-2</v>
      </c>
      <c r="D193">
        <v>3.6499999999999998E-2</v>
      </c>
      <c r="E193">
        <v>3.9260000000000003E-2</v>
      </c>
      <c r="F193">
        <v>83290766.799999997</v>
      </c>
      <c r="G193">
        <v>3.9260000000000003E-2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0.4798927613941032</v>
      </c>
      <c r="Q193">
        <f t="shared" ref="Q193" si="940">F193*P193</f>
        <v>39970636.078284293</v>
      </c>
      <c r="R193">
        <f t="shared" ref="R193" si="941">R194+Q193</f>
        <v>-8190753037.0678959</v>
      </c>
      <c r="S193">
        <f t="shared" ref="S193" si="942">R193/100000</f>
        <v>-81907.530370678956</v>
      </c>
      <c r="T193">
        <f t="shared" si="934"/>
        <v>-81.907530370678955</v>
      </c>
    </row>
    <row r="194" spans="1:20" x14ac:dyDescent="0.25">
      <c r="A194" s="5">
        <v>44399</v>
      </c>
      <c r="B194">
        <v>3.8559999999999997E-2</v>
      </c>
      <c r="C194">
        <v>3.9600000000000003E-2</v>
      </c>
      <c r="D194">
        <v>3.7600000000000001E-2</v>
      </c>
      <c r="E194">
        <v>3.8210000000000001E-2</v>
      </c>
      <c r="F194">
        <v>83374429.900000006</v>
      </c>
      <c r="G194">
        <v>3.8210000000000001E-2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-0.39000000000000112</v>
      </c>
      <c r="Q194">
        <f t="shared" ref="Q194" si="944">F194*P194</f>
        <v>-32516027.661000095</v>
      </c>
      <c r="R194">
        <f t="shared" ref="R194" si="945">R195+Q194</f>
        <v>-8230723673.1461802</v>
      </c>
      <c r="S194">
        <f t="shared" ref="S194" si="946">R194/100000</f>
        <v>-82307.236731461802</v>
      </c>
      <c r="T194">
        <f t="shared" si="934"/>
        <v>-82.307236731461799</v>
      </c>
    </row>
    <row r="195" spans="1:20" x14ac:dyDescent="0.25">
      <c r="A195" s="5">
        <v>44398</v>
      </c>
      <c r="B195">
        <v>3.4479999999999997E-2</v>
      </c>
      <c r="C195">
        <v>4.1000000000000002E-2</v>
      </c>
      <c r="D195">
        <v>3.3509999999999998E-2</v>
      </c>
      <c r="E195">
        <v>3.8559999999999997E-2</v>
      </c>
      <c r="F195">
        <v>157979433.30000001</v>
      </c>
      <c r="G195">
        <v>3.8559999999999997E-2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0.34846461949265595</v>
      </c>
      <c r="Q195">
        <f t="shared" ref="Q195" si="948">F195*P195</f>
        <v>55050243.112549923</v>
      </c>
      <c r="R195">
        <f t="shared" ref="R195" si="949">R196+Q195</f>
        <v>-8198207645.4851799</v>
      </c>
      <c r="S195">
        <f t="shared" ref="S195" si="950">R195/100000</f>
        <v>-81982.076454851805</v>
      </c>
      <c r="T195">
        <f t="shared" si="934"/>
        <v>-81.982076454851807</v>
      </c>
    </row>
    <row r="196" spans="1:20" x14ac:dyDescent="0.25">
      <c r="A196" s="5">
        <v>44397</v>
      </c>
      <c r="B196">
        <v>3.6220000000000002E-2</v>
      </c>
      <c r="C196">
        <v>3.6920000000000001E-2</v>
      </c>
      <c r="D196">
        <v>3.2680000000000001E-2</v>
      </c>
      <c r="E196">
        <v>3.4500000000000003E-2</v>
      </c>
      <c r="F196">
        <v>98434073.700000003</v>
      </c>
      <c r="G196">
        <v>3.4500000000000003E-2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-0.14150943396226326</v>
      </c>
      <c r="Q196">
        <f t="shared" ref="Q196" si="952">F196*P196</f>
        <v>-13929350.051886706</v>
      </c>
      <c r="R196">
        <f t="shared" ref="R196" si="953">R197+Q196</f>
        <v>-8253257888.5977297</v>
      </c>
      <c r="S196">
        <f t="shared" ref="S196" si="954">R196/100000</f>
        <v>-82532.578885977302</v>
      </c>
      <c r="T196">
        <f t="shared" si="934"/>
        <v>-82.532578885977301</v>
      </c>
    </row>
    <row r="197" spans="1:20" x14ac:dyDescent="0.25">
      <c r="A197" s="5">
        <v>44396</v>
      </c>
      <c r="B197">
        <v>3.9419999999999997E-2</v>
      </c>
      <c r="C197">
        <v>3.9579999999999997E-2</v>
      </c>
      <c r="D197">
        <v>3.5229999999999997E-2</v>
      </c>
      <c r="E197">
        <v>3.6229999999999998E-2</v>
      </c>
      <c r="F197">
        <v>174395456.80000001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-0.54022988505747083</v>
      </c>
      <c r="Q197">
        <f t="shared" ref="Q197" si="956">F197*P197</f>
        <v>-94213637.58160913</v>
      </c>
      <c r="R197">
        <f t="shared" ref="R197" si="957">R198+Q197</f>
        <v>-8239328538.5458431</v>
      </c>
      <c r="S197">
        <f t="shared" ref="S197" si="958">R197/100000</f>
        <v>-82393.285385458425</v>
      </c>
      <c r="T197">
        <f t="shared" si="934"/>
        <v>-82.393285385458427</v>
      </c>
    </row>
    <row r="198" spans="1:20" x14ac:dyDescent="0.25">
      <c r="A198" s="5">
        <v>44395</v>
      </c>
      <c r="B198">
        <v>3.7519999999999998E-2</v>
      </c>
      <c r="C198">
        <v>4.2970000000000001E-2</v>
      </c>
      <c r="D198">
        <v>3.7519999999999998E-2</v>
      </c>
      <c r="E198">
        <v>3.9449999999999999E-2</v>
      </c>
      <c r="F198">
        <v>155267013.59999999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-0.29174311926605506</v>
      </c>
      <c r="Q198">
        <f t="shared" ref="Q198:Q261" si="960">F198*P198</f>
        <v>-45298082.866788991</v>
      </c>
      <c r="R198">
        <f t="shared" ref="R198:R261" si="961">R199+Q198</f>
        <v>-8145114900.9642344</v>
      </c>
      <c r="S198">
        <f t="shared" ref="S198:S261" si="962">R198/100000</f>
        <v>-81451.149009642337</v>
      </c>
      <c r="T198">
        <f t="shared" ref="T198:T261" si="963">S198/1000</f>
        <v>-81.451149009642336</v>
      </c>
    </row>
    <row r="199" spans="1:20" x14ac:dyDescent="0.25">
      <c r="A199" s="5">
        <v>44394</v>
      </c>
      <c r="B199">
        <v>4.011E-2</v>
      </c>
      <c r="C199">
        <v>4.0649999999999999E-2</v>
      </c>
      <c r="D199">
        <v>3.7510000000000002E-2</v>
      </c>
      <c r="E199">
        <v>3.7519999999999998E-2</v>
      </c>
      <c r="F199">
        <v>85871293.400000006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-0.99363057324841009</v>
      </c>
      <c r="Q199">
        <f t="shared" si="960"/>
        <v>-85324342.48662442</v>
      </c>
      <c r="R199">
        <f t="shared" si="961"/>
        <v>-8099816818.0974455</v>
      </c>
      <c r="S199">
        <f t="shared" si="962"/>
        <v>-80998.168180974448</v>
      </c>
      <c r="T199">
        <f t="shared" si="963"/>
        <v>-80.998168180974446</v>
      </c>
    </row>
    <row r="200" spans="1:20" x14ac:dyDescent="0.25">
      <c r="A200" s="5">
        <v>44393</v>
      </c>
      <c r="B200">
        <v>4.623E-2</v>
      </c>
      <c r="C200">
        <v>4.6440000000000002E-2</v>
      </c>
      <c r="D200">
        <v>0.04</v>
      </c>
      <c r="E200">
        <v>4.0189999999999997E-2</v>
      </c>
      <c r="F200">
        <v>166312266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-0.94099378881987716</v>
      </c>
      <c r="Q200">
        <f t="shared" si="960"/>
        <v>-156498809.31055924</v>
      </c>
      <c r="R200">
        <f t="shared" si="961"/>
        <v>-8014492475.6108208</v>
      </c>
      <c r="S200">
        <f t="shared" si="962"/>
        <v>-80144.924756108201</v>
      </c>
      <c r="T200">
        <f t="shared" si="963"/>
        <v>-80.144924756108196</v>
      </c>
    </row>
    <row r="201" spans="1:20" x14ac:dyDescent="0.25">
      <c r="A201" s="5">
        <v>44392</v>
      </c>
      <c r="B201">
        <v>4.922E-2</v>
      </c>
      <c r="C201">
        <v>5.2880000000000003E-2</v>
      </c>
      <c r="D201">
        <v>4.514E-2</v>
      </c>
      <c r="E201">
        <v>4.6100000000000002E-2</v>
      </c>
      <c r="F201">
        <v>241035572.19999999</v>
      </c>
      <c r="G201">
        <v>0</v>
      </c>
      <c r="L201" t="s">
        <v>7</v>
      </c>
      <c r="M201" t="s">
        <v>7</v>
      </c>
      <c r="N201" t="s">
        <v>8</v>
      </c>
      <c r="P201">
        <f t="shared" si="959"/>
        <v>-0.75193798449612348</v>
      </c>
      <c r="Q201">
        <f t="shared" si="960"/>
        <v>-181243802.35193783</v>
      </c>
      <c r="R201">
        <f t="shared" si="961"/>
        <v>-7857993666.3002615</v>
      </c>
      <c r="S201">
        <f t="shared" si="962"/>
        <v>-78579.93666300262</v>
      </c>
      <c r="T201">
        <f t="shared" si="963"/>
        <v>-78.579936663002613</v>
      </c>
    </row>
    <row r="202" spans="1:20" x14ac:dyDescent="0.25">
      <c r="A202" s="5">
        <v>44391</v>
      </c>
      <c r="B202">
        <v>5.1580000000000001E-2</v>
      </c>
      <c r="C202">
        <v>5.7290000000000001E-2</v>
      </c>
      <c r="D202">
        <v>4.8719999999999999E-2</v>
      </c>
      <c r="E202">
        <v>4.9230000000000003E-2</v>
      </c>
      <c r="F202">
        <v>458471993.80000001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-0.88098016336055929</v>
      </c>
      <c r="Q202">
        <f t="shared" si="960"/>
        <v>-403904731.99416536</v>
      </c>
      <c r="R202">
        <f t="shared" si="961"/>
        <v>-7676749863.9483232</v>
      </c>
      <c r="S202">
        <f t="shared" si="962"/>
        <v>-76767.498639483238</v>
      </c>
      <c r="T202">
        <f t="shared" si="963"/>
        <v>-76.767498639483236</v>
      </c>
    </row>
    <row r="203" spans="1:20" x14ac:dyDescent="0.25">
      <c r="A203" s="5">
        <v>44390</v>
      </c>
      <c r="B203">
        <v>4.8840000000000001E-2</v>
      </c>
      <c r="C203">
        <v>6.071E-2</v>
      </c>
      <c r="D203">
        <v>4.4330000000000001E-2</v>
      </c>
      <c r="E203">
        <v>5.16E-2</v>
      </c>
      <c r="F203">
        <v>729158214.79999995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-0.11233211233211242</v>
      </c>
      <c r="Q203">
        <f t="shared" si="960"/>
        <v>-81907882.492796153</v>
      </c>
      <c r="R203">
        <f t="shared" si="961"/>
        <v>-7272845131.9541578</v>
      </c>
      <c r="S203">
        <f t="shared" si="962"/>
        <v>-72728.451319541578</v>
      </c>
      <c r="T203">
        <f t="shared" si="963"/>
        <v>-72.728451319541577</v>
      </c>
    </row>
    <row r="204" spans="1:20" x14ac:dyDescent="0.25">
      <c r="A204" s="5">
        <v>44389</v>
      </c>
      <c r="B204">
        <v>4.607E-2</v>
      </c>
      <c r="C204">
        <v>5.2609999999999997E-2</v>
      </c>
      <c r="D204">
        <v>4.4589999999999998E-2</v>
      </c>
      <c r="E204">
        <v>4.8840000000000001E-2</v>
      </c>
      <c r="F204">
        <v>538524073.89999998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5.9850374064838931E-2</v>
      </c>
      <c r="Q204">
        <f t="shared" si="960"/>
        <v>32230867.265835963</v>
      </c>
      <c r="R204">
        <f t="shared" si="961"/>
        <v>-7190937249.4613619</v>
      </c>
      <c r="S204">
        <f t="shared" si="962"/>
        <v>-71909.372494613621</v>
      </c>
      <c r="T204">
        <f t="shared" si="963"/>
        <v>-71.909372494613621</v>
      </c>
    </row>
    <row r="205" spans="1:20" x14ac:dyDescent="0.25">
      <c r="A205" s="5">
        <v>44388</v>
      </c>
      <c r="B205">
        <v>4.0529999999999997E-2</v>
      </c>
      <c r="C205">
        <v>5.5550000000000002E-2</v>
      </c>
      <c r="D205">
        <v>3.95E-2</v>
      </c>
      <c r="E205">
        <v>4.5999999999999999E-2</v>
      </c>
      <c r="F205">
        <v>577701424.10000002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-0.19003115264797532</v>
      </c>
      <c r="Q205">
        <f t="shared" si="960"/>
        <v>-109781267.50809984</v>
      </c>
      <c r="R205">
        <f t="shared" si="961"/>
        <v>-7223168116.7271976</v>
      </c>
      <c r="S205">
        <f t="shared" si="962"/>
        <v>-72231.681167271978</v>
      </c>
      <c r="T205">
        <f t="shared" si="963"/>
        <v>-72.231681167271972</v>
      </c>
    </row>
    <row r="206" spans="1:20" x14ac:dyDescent="0.25">
      <c r="A206" s="5">
        <v>44387</v>
      </c>
      <c r="B206">
        <v>4.3069999999999997E-2</v>
      </c>
      <c r="C206">
        <v>4.4999999999999998E-2</v>
      </c>
      <c r="D206">
        <v>3.9300000000000002E-2</v>
      </c>
      <c r="E206">
        <v>4.061E-2</v>
      </c>
      <c r="F206">
        <v>239862209.69999999</v>
      </c>
      <c r="G206">
        <v>0</v>
      </c>
      <c r="L206" t="s">
        <v>7</v>
      </c>
      <c r="M206" t="s">
        <v>7</v>
      </c>
      <c r="N206" t="s">
        <v>8</v>
      </c>
      <c r="P206">
        <f t="shared" si="959"/>
        <v>-0.54035087719298269</v>
      </c>
      <c r="Q206">
        <f t="shared" si="960"/>
        <v>-129609755.41684216</v>
      </c>
      <c r="R206">
        <f t="shared" si="961"/>
        <v>-7113386849.2190981</v>
      </c>
      <c r="S206">
        <f t="shared" si="962"/>
        <v>-71133.868492190988</v>
      </c>
      <c r="T206">
        <f t="shared" si="963"/>
        <v>-71.133868492190985</v>
      </c>
    </row>
    <row r="207" spans="1:20" x14ac:dyDescent="0.25">
      <c r="A207" s="5">
        <v>44386</v>
      </c>
      <c r="B207">
        <v>3.56E-2</v>
      </c>
      <c r="C207">
        <v>5.2600000000000001E-2</v>
      </c>
      <c r="D207">
        <v>3.4569999999999997E-2</v>
      </c>
      <c r="E207">
        <v>4.3069999999999997E-2</v>
      </c>
      <c r="F207">
        <v>774521361.79999995</v>
      </c>
      <c r="G207">
        <v>0</v>
      </c>
      <c r="L207" t="s">
        <v>8</v>
      </c>
      <c r="M207" t="s">
        <v>8</v>
      </c>
      <c r="N207" t="s">
        <v>8</v>
      </c>
      <c r="P207">
        <f t="shared" si="959"/>
        <v>-5.7127010537992393E-2</v>
      </c>
      <c r="Q207">
        <f t="shared" si="960"/>
        <v>-44246089.997448817</v>
      </c>
      <c r="R207">
        <f t="shared" si="961"/>
        <v>-6983777093.8022556</v>
      </c>
      <c r="S207">
        <f t="shared" si="962"/>
        <v>-69837.770938022557</v>
      </c>
      <c r="T207">
        <f t="shared" si="963"/>
        <v>-69.837770938022558</v>
      </c>
    </row>
    <row r="208" spans="1:20" x14ac:dyDescent="0.25">
      <c r="A208" s="5">
        <v>44385</v>
      </c>
      <c r="B208">
        <v>3.7879999999999997E-2</v>
      </c>
      <c r="C208">
        <v>3.7879999999999997E-2</v>
      </c>
      <c r="D208">
        <v>3.4110000000000001E-2</v>
      </c>
      <c r="E208">
        <v>3.5799999999999998E-2</v>
      </c>
      <c r="F208">
        <v>57724706.5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-0.10344827586206948</v>
      </c>
      <c r="Q208">
        <f t="shared" si="960"/>
        <v>-5971521.3620689949</v>
      </c>
      <c r="R208">
        <f t="shared" si="961"/>
        <v>-6939531003.8048067</v>
      </c>
      <c r="S208">
        <f t="shared" si="962"/>
        <v>-69395.310038048061</v>
      </c>
      <c r="T208">
        <f t="shared" si="963"/>
        <v>-69.395310038048066</v>
      </c>
    </row>
    <row r="209" spans="1:20" x14ac:dyDescent="0.25">
      <c r="A209" s="5">
        <v>44384</v>
      </c>
      <c r="B209">
        <v>3.7199999999999997E-2</v>
      </c>
      <c r="C209">
        <v>4.0349999999999997E-2</v>
      </c>
      <c r="D209">
        <v>3.6720000000000003E-2</v>
      </c>
      <c r="E209">
        <v>3.7960000000000001E-2</v>
      </c>
      <c r="F209">
        <v>65799749.700000003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-0.31680440771349866</v>
      </c>
      <c r="Q209">
        <f t="shared" si="960"/>
        <v>-20845650.731404964</v>
      </c>
      <c r="R209">
        <f t="shared" si="961"/>
        <v>-6933559482.4427376</v>
      </c>
      <c r="S209">
        <f t="shared" si="962"/>
        <v>-69335.594824427375</v>
      </c>
      <c r="T209">
        <f t="shared" si="963"/>
        <v>-69.335594824427375</v>
      </c>
    </row>
    <row r="210" spans="1:20" x14ac:dyDescent="0.25">
      <c r="A210" s="5">
        <v>44383</v>
      </c>
      <c r="B210">
        <v>3.7670000000000002E-2</v>
      </c>
      <c r="C210">
        <v>3.9199999999999999E-2</v>
      </c>
      <c r="D210">
        <v>3.6540000000000003E-2</v>
      </c>
      <c r="E210">
        <v>3.7199999999999997E-2</v>
      </c>
      <c r="F210">
        <v>99315552.900000006</v>
      </c>
      <c r="G210">
        <v>0</v>
      </c>
      <c r="L210" t="s">
        <v>7</v>
      </c>
      <c r="M210" t="s">
        <v>7</v>
      </c>
      <c r="N210" t="s">
        <v>8</v>
      </c>
      <c r="P210">
        <f t="shared" si="959"/>
        <v>-0.5037593984962444</v>
      </c>
      <c r="Q210">
        <f t="shared" si="960"/>
        <v>-50031143.190225944</v>
      </c>
      <c r="R210">
        <f t="shared" si="961"/>
        <v>-6912713831.7113323</v>
      </c>
      <c r="S210">
        <f t="shared" si="962"/>
        <v>-69127.13831711332</v>
      </c>
      <c r="T210">
        <f t="shared" si="963"/>
        <v>-69.127138317113321</v>
      </c>
    </row>
    <row r="211" spans="1:20" x14ac:dyDescent="0.25">
      <c r="A211" s="5">
        <v>44382</v>
      </c>
      <c r="B211">
        <v>3.6630000000000003E-2</v>
      </c>
      <c r="C211">
        <v>3.977E-2</v>
      </c>
      <c r="D211">
        <v>3.5439999999999999E-2</v>
      </c>
      <c r="E211">
        <v>3.7670000000000002E-2</v>
      </c>
      <c r="F211">
        <v>258416985.90000001</v>
      </c>
      <c r="G211">
        <v>0</v>
      </c>
      <c r="L211" t="s">
        <v>8</v>
      </c>
      <c r="M211" t="s">
        <v>7</v>
      </c>
      <c r="N211" t="s">
        <v>8</v>
      </c>
      <c r="P211">
        <f t="shared" si="959"/>
        <v>3.0023094688222885E-2</v>
      </c>
      <c r="Q211">
        <f t="shared" si="960"/>
        <v>7758477.6367208585</v>
      </c>
      <c r="R211">
        <f t="shared" si="961"/>
        <v>-6862682688.5211067</v>
      </c>
      <c r="S211">
        <f t="shared" si="962"/>
        <v>-68626.826885211063</v>
      </c>
      <c r="T211">
        <f t="shared" si="963"/>
        <v>-68.626826885211059</v>
      </c>
    </row>
    <row r="212" spans="1:20" x14ac:dyDescent="0.25">
      <c r="A212" s="5">
        <v>44381</v>
      </c>
      <c r="B212">
        <v>3.6249999999999998E-2</v>
      </c>
      <c r="C212">
        <v>3.7990000000000003E-2</v>
      </c>
      <c r="D212">
        <v>3.4389999999999997E-2</v>
      </c>
      <c r="E212">
        <v>3.6639999999999999E-2</v>
      </c>
      <c r="F212">
        <v>78103025.599999994</v>
      </c>
      <c r="G212">
        <v>0</v>
      </c>
      <c r="L212" t="s">
        <v>7</v>
      </c>
      <c r="M212" t="s">
        <v>7</v>
      </c>
      <c r="N212" t="s">
        <v>8</v>
      </c>
      <c r="P212">
        <f t="shared" si="959"/>
        <v>0.24999999999999903</v>
      </c>
      <c r="Q212">
        <f t="shared" si="960"/>
        <v>19525756.399999924</v>
      </c>
      <c r="R212">
        <f t="shared" si="961"/>
        <v>-6870441166.1578274</v>
      </c>
      <c r="S212">
        <f t="shared" si="962"/>
        <v>-68704.41166157827</v>
      </c>
      <c r="T212">
        <f t="shared" si="963"/>
        <v>-68.704411661578263</v>
      </c>
    </row>
    <row r="213" spans="1:20" x14ac:dyDescent="0.25">
      <c r="A213" s="5">
        <v>44380</v>
      </c>
      <c r="B213">
        <v>3.5950000000000003E-2</v>
      </c>
      <c r="C213">
        <v>3.764E-2</v>
      </c>
      <c r="D213">
        <v>3.5209999999999998E-2</v>
      </c>
      <c r="E213">
        <v>3.6260000000000001E-2</v>
      </c>
      <c r="F213">
        <v>28467671.199999999</v>
      </c>
      <c r="G213">
        <v>0</v>
      </c>
      <c r="L213" t="s">
        <v>8</v>
      </c>
      <c r="M213" t="s">
        <v>7</v>
      </c>
      <c r="N213" t="s">
        <v>8</v>
      </c>
      <c r="P213">
        <f t="shared" si="959"/>
        <v>-0.13580246913580113</v>
      </c>
      <c r="Q213">
        <f t="shared" si="960"/>
        <v>-3865980.0395061346</v>
      </c>
      <c r="R213">
        <f t="shared" si="961"/>
        <v>-6889966922.557827</v>
      </c>
      <c r="S213">
        <f t="shared" si="962"/>
        <v>-68899.669225578269</v>
      </c>
      <c r="T213">
        <f t="shared" si="963"/>
        <v>-68.899669225578265</v>
      </c>
    </row>
    <row r="214" spans="1:20" x14ac:dyDescent="0.25">
      <c r="A214" s="5">
        <v>44379</v>
      </c>
      <c r="B214">
        <v>3.6380000000000003E-2</v>
      </c>
      <c r="C214">
        <v>3.696E-2</v>
      </c>
      <c r="D214">
        <v>3.4270000000000002E-2</v>
      </c>
      <c r="E214">
        <v>3.5920000000000001E-2</v>
      </c>
      <c r="F214">
        <v>46167476.899999999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0.22676579925650553</v>
      </c>
      <c r="Q214">
        <f t="shared" si="960"/>
        <v>10469204.798884755</v>
      </c>
      <c r="R214">
        <f t="shared" si="961"/>
        <v>-6886100942.518321</v>
      </c>
      <c r="S214">
        <f t="shared" si="962"/>
        <v>-68861.009425183205</v>
      </c>
      <c r="T214">
        <f t="shared" si="963"/>
        <v>-68.861009425183198</v>
      </c>
    </row>
    <row r="215" spans="1:20" x14ac:dyDescent="0.25">
      <c r="A215" s="5">
        <v>44378</v>
      </c>
      <c r="B215">
        <v>4.0219999999999999E-2</v>
      </c>
      <c r="C215">
        <v>4.0219999999999999E-2</v>
      </c>
      <c r="D215">
        <v>3.56E-2</v>
      </c>
      <c r="E215">
        <v>3.6499999999999998E-2</v>
      </c>
      <c r="F215">
        <v>34363567.299999997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-0.61038961038961115</v>
      </c>
      <c r="Q215">
        <f t="shared" si="960"/>
        <v>-20975164.455844179</v>
      </c>
      <c r="R215">
        <f t="shared" si="961"/>
        <v>-6896570147.3172054</v>
      </c>
      <c r="S215">
        <f t="shared" si="962"/>
        <v>-68965.701473172056</v>
      </c>
      <c r="T215">
        <f t="shared" si="963"/>
        <v>-68.965701473172061</v>
      </c>
    </row>
    <row r="216" spans="1:20" x14ac:dyDescent="0.25">
      <c r="A216" s="5">
        <v>44377</v>
      </c>
      <c r="B216">
        <v>3.9759999999999997E-2</v>
      </c>
      <c r="C216">
        <v>4.045E-2</v>
      </c>
      <c r="D216">
        <v>3.6330000000000001E-2</v>
      </c>
      <c r="E216">
        <v>4.0219999999999999E-2</v>
      </c>
      <c r="F216">
        <v>68063168.5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0.88834951456310629</v>
      </c>
      <c r="Q216">
        <f t="shared" si="960"/>
        <v>60463882.696601905</v>
      </c>
      <c r="R216">
        <f t="shared" si="961"/>
        <v>-6875594982.8613615</v>
      </c>
      <c r="S216">
        <f t="shared" si="962"/>
        <v>-68755.949828613622</v>
      </c>
      <c r="T216">
        <f t="shared" si="963"/>
        <v>-68.755949828613623</v>
      </c>
    </row>
    <row r="217" spans="1:20" x14ac:dyDescent="0.25">
      <c r="A217" s="5">
        <v>44376</v>
      </c>
      <c r="B217">
        <v>3.7810000000000003E-2</v>
      </c>
      <c r="C217">
        <v>4.1529999999999997E-2</v>
      </c>
      <c r="D217">
        <v>3.7519999999999998E-2</v>
      </c>
      <c r="E217">
        <v>3.9629999999999999E-2</v>
      </c>
      <c r="F217">
        <v>64675807.799999997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5.2369077306733632E-2</v>
      </c>
      <c r="Q217">
        <f t="shared" si="960"/>
        <v>3387012.3785536457</v>
      </c>
      <c r="R217">
        <f t="shared" si="961"/>
        <v>-6936058865.5579634</v>
      </c>
      <c r="S217">
        <f t="shared" si="962"/>
        <v>-69360.588655579631</v>
      </c>
      <c r="T217">
        <f t="shared" si="963"/>
        <v>-69.360588655579633</v>
      </c>
    </row>
    <row r="218" spans="1:20" x14ac:dyDescent="0.25">
      <c r="A218" s="5">
        <v>44375</v>
      </c>
      <c r="B218">
        <v>3.7260000000000001E-2</v>
      </c>
      <c r="C218">
        <v>3.8960000000000002E-2</v>
      </c>
      <c r="D218">
        <v>3.6060000000000002E-2</v>
      </c>
      <c r="E218">
        <v>3.78E-2</v>
      </c>
      <c r="F218">
        <v>45576021.5</v>
      </c>
      <c r="G218">
        <v>0</v>
      </c>
      <c r="L218" t="s">
        <v>8</v>
      </c>
      <c r="M218" t="s">
        <v>7</v>
      </c>
      <c r="N218" t="s">
        <v>8</v>
      </c>
      <c r="P218">
        <f t="shared" si="959"/>
        <v>0.19999999999999904</v>
      </c>
      <c r="Q218">
        <f t="shared" si="960"/>
        <v>9115204.299999956</v>
      </c>
      <c r="R218">
        <f t="shared" si="961"/>
        <v>-6939445877.9365168</v>
      </c>
      <c r="S218">
        <f t="shared" si="962"/>
        <v>-69394.458779365174</v>
      </c>
      <c r="T218">
        <f t="shared" si="963"/>
        <v>-69.394458779365181</v>
      </c>
    </row>
    <row r="219" spans="1:20" x14ac:dyDescent="0.25">
      <c r="A219" s="5">
        <v>44374</v>
      </c>
      <c r="B219">
        <v>3.5270000000000003E-2</v>
      </c>
      <c r="C219">
        <v>3.7999999999999999E-2</v>
      </c>
      <c r="D219">
        <v>3.49E-2</v>
      </c>
      <c r="E219">
        <v>3.7260000000000001E-2</v>
      </c>
      <c r="F219">
        <v>56410585.899999999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0.52258064516129166</v>
      </c>
      <c r="Q219">
        <f t="shared" si="960"/>
        <v>29479080.373548463</v>
      </c>
      <c r="R219">
        <f t="shared" si="961"/>
        <v>-6948561082.236517</v>
      </c>
      <c r="S219">
        <f t="shared" si="962"/>
        <v>-69485.610822365168</v>
      </c>
      <c r="T219">
        <f t="shared" si="963"/>
        <v>-69.485610822365174</v>
      </c>
    </row>
    <row r="220" spans="1:20" x14ac:dyDescent="0.25">
      <c r="A220" s="5">
        <v>44373</v>
      </c>
      <c r="B220">
        <v>3.5369999999999999E-2</v>
      </c>
      <c r="C220">
        <v>3.6909999999999998E-2</v>
      </c>
      <c r="D220">
        <v>3.2870000000000003E-2</v>
      </c>
      <c r="E220">
        <v>3.5310000000000001E-2</v>
      </c>
      <c r="F220">
        <v>55163971.100000001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0.2079207920792083</v>
      </c>
      <c r="Q220">
        <f t="shared" si="960"/>
        <v>11469736.565346556</v>
      </c>
      <c r="R220">
        <f t="shared" si="961"/>
        <v>-6978040162.6100655</v>
      </c>
      <c r="S220">
        <f t="shared" si="962"/>
        <v>-69780.401626100662</v>
      </c>
      <c r="T220">
        <f t="shared" si="963"/>
        <v>-69.780401626100655</v>
      </c>
    </row>
    <row r="221" spans="1:20" x14ac:dyDescent="0.25">
      <c r="A221" s="5">
        <v>44372</v>
      </c>
      <c r="B221">
        <v>4.0620000000000003E-2</v>
      </c>
      <c r="C221">
        <v>4.1779999999999998E-2</v>
      </c>
      <c r="D221">
        <v>3.4410000000000003E-2</v>
      </c>
      <c r="E221">
        <v>3.5340000000000003E-2</v>
      </c>
      <c r="F221">
        <v>57758175.399999999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-0.74762550881953838</v>
      </c>
      <c r="Q221">
        <f t="shared" si="960"/>
        <v>-43181485.271913141</v>
      </c>
      <c r="R221">
        <f t="shared" si="961"/>
        <v>-6989509899.1754122</v>
      </c>
      <c r="S221">
        <f t="shared" si="962"/>
        <v>-69895.098991754116</v>
      </c>
      <c r="T221">
        <f t="shared" si="963"/>
        <v>-69.895098991754111</v>
      </c>
    </row>
    <row r="222" spans="1:20" x14ac:dyDescent="0.25">
      <c r="A222" s="5">
        <v>44371</v>
      </c>
      <c r="B222">
        <v>3.9750000000000001E-2</v>
      </c>
      <c r="C222">
        <v>4.2200000000000001E-2</v>
      </c>
      <c r="D222">
        <v>3.7240000000000002E-2</v>
      </c>
      <c r="E222">
        <v>4.0620000000000003E-2</v>
      </c>
      <c r="F222">
        <v>46053831.899999999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0.36290322580645229</v>
      </c>
      <c r="Q222">
        <f t="shared" si="960"/>
        <v>16713084.157258095</v>
      </c>
      <c r="R222">
        <f t="shared" si="961"/>
        <v>-6946328413.9034986</v>
      </c>
      <c r="S222">
        <f t="shared" si="962"/>
        <v>-69463.284139034993</v>
      </c>
      <c r="T222">
        <f t="shared" si="963"/>
        <v>-69.463284139034997</v>
      </c>
    </row>
    <row r="223" spans="1:20" x14ac:dyDescent="0.25">
      <c r="A223" s="5">
        <v>44370</v>
      </c>
      <c r="B223">
        <v>3.5209999999999998E-2</v>
      </c>
      <c r="C223">
        <v>4.2299999999999997E-2</v>
      </c>
      <c r="D223">
        <v>3.3910000000000003E-2</v>
      </c>
      <c r="E223">
        <v>3.9829999999999997E-2</v>
      </c>
      <c r="F223">
        <v>64429422.200000003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0.41120381406436196</v>
      </c>
      <c r="Q223">
        <f t="shared" si="960"/>
        <v>26493624.146603078</v>
      </c>
      <c r="R223">
        <f t="shared" si="961"/>
        <v>-6963041498.0607567</v>
      </c>
      <c r="S223">
        <f t="shared" si="962"/>
        <v>-69630.414980607573</v>
      </c>
      <c r="T223">
        <f t="shared" si="963"/>
        <v>-69.630414980607569</v>
      </c>
    </row>
    <row r="224" spans="1:20" x14ac:dyDescent="0.25">
      <c r="A224" s="5">
        <v>44369</v>
      </c>
      <c r="B224">
        <v>3.696E-2</v>
      </c>
      <c r="C224">
        <v>3.968E-2</v>
      </c>
      <c r="D224">
        <v>2.861E-2</v>
      </c>
      <c r="E224">
        <v>3.5220000000000001E-2</v>
      </c>
      <c r="F224">
        <v>172674208.5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0.19421860885275544</v>
      </c>
      <c r="Q224">
        <f t="shared" si="960"/>
        <v>33536544.559620637</v>
      </c>
      <c r="R224">
        <f t="shared" si="961"/>
        <v>-6989535122.2073593</v>
      </c>
      <c r="S224">
        <f t="shared" si="962"/>
        <v>-69895.351222073587</v>
      </c>
      <c r="T224">
        <f t="shared" si="963"/>
        <v>-69.895351222073586</v>
      </c>
    </row>
    <row r="225" spans="1:20" x14ac:dyDescent="0.25">
      <c r="A225" s="5">
        <v>44368</v>
      </c>
      <c r="B225">
        <v>5.0110000000000002E-2</v>
      </c>
      <c r="C225">
        <v>5.0689999999999999E-2</v>
      </c>
      <c r="D225">
        <v>3.6639999999999999E-2</v>
      </c>
      <c r="E225">
        <v>3.7019999999999997E-2</v>
      </c>
      <c r="F225">
        <v>95887065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-0.94590747330960878</v>
      </c>
      <c r="Q225">
        <f t="shared" si="960"/>
        <v>-90700291.377224222</v>
      </c>
      <c r="R225">
        <f t="shared" si="961"/>
        <v>-7023071666.7669802</v>
      </c>
      <c r="S225">
        <f t="shared" si="962"/>
        <v>-70230.716667669796</v>
      </c>
      <c r="T225">
        <f t="shared" si="963"/>
        <v>-70.230716667669796</v>
      </c>
    </row>
    <row r="226" spans="1:20" x14ac:dyDescent="0.25">
      <c r="A226" s="5">
        <v>44367</v>
      </c>
      <c r="B226">
        <v>4.8189999999999997E-2</v>
      </c>
      <c r="C226">
        <v>5.1400000000000001E-2</v>
      </c>
      <c r="D226">
        <v>4.462E-2</v>
      </c>
      <c r="E226">
        <v>5.0119999999999998E-2</v>
      </c>
      <c r="F226">
        <v>87298169.5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0.62241887905604631</v>
      </c>
      <c r="Q226">
        <f t="shared" si="960"/>
        <v>54336028.803834729</v>
      </c>
      <c r="R226">
        <f t="shared" si="961"/>
        <v>-6932371375.3897562</v>
      </c>
      <c r="S226">
        <f t="shared" si="962"/>
        <v>-69323.713753897566</v>
      </c>
      <c r="T226">
        <f t="shared" si="963"/>
        <v>-69.323713753897565</v>
      </c>
    </row>
    <row r="227" spans="1:20" x14ac:dyDescent="0.25">
      <c r="A227" s="5">
        <v>44366</v>
      </c>
      <c r="B227">
        <v>4.8559999999999999E-2</v>
      </c>
      <c r="C227">
        <v>5.5160000000000001E-2</v>
      </c>
      <c r="D227">
        <v>4.7390000000000002E-2</v>
      </c>
      <c r="E227">
        <v>4.8219999999999999E-2</v>
      </c>
      <c r="F227">
        <v>103001710.09999999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-0.78635778635778697</v>
      </c>
      <c r="Q227">
        <f t="shared" si="960"/>
        <v>-80996196.745302498</v>
      </c>
      <c r="R227">
        <f t="shared" si="961"/>
        <v>-6986707404.1935911</v>
      </c>
      <c r="S227">
        <f t="shared" si="962"/>
        <v>-69867.074041935906</v>
      </c>
      <c r="T227">
        <f t="shared" si="963"/>
        <v>-69.867074041935908</v>
      </c>
    </row>
    <row r="228" spans="1:20" x14ac:dyDescent="0.25">
      <c r="A228" s="5">
        <v>44365</v>
      </c>
      <c r="B228">
        <v>5.2089999999999997E-2</v>
      </c>
      <c r="C228">
        <v>5.2519999999999997E-2</v>
      </c>
      <c r="D228">
        <v>4.6370000000000001E-2</v>
      </c>
      <c r="E228">
        <v>4.8559999999999999E-2</v>
      </c>
      <c r="F228">
        <v>46779722.700000003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-0.2878048780487808</v>
      </c>
      <c r="Q228">
        <f t="shared" si="960"/>
        <v>-13463432.386829283</v>
      </c>
      <c r="R228">
        <f t="shared" si="961"/>
        <v>-6905711207.4482889</v>
      </c>
      <c r="S228">
        <f t="shared" si="962"/>
        <v>-69057.112074482895</v>
      </c>
      <c r="T228">
        <f t="shared" si="963"/>
        <v>-69.057112074482902</v>
      </c>
    </row>
    <row r="229" spans="1:20" x14ac:dyDescent="0.25">
      <c r="A229" s="5">
        <v>44364</v>
      </c>
      <c r="B229">
        <v>5.289E-2</v>
      </c>
      <c r="C229">
        <v>5.5460000000000002E-2</v>
      </c>
      <c r="D229">
        <v>5.101E-2</v>
      </c>
      <c r="E229">
        <v>5.1970000000000002E-2</v>
      </c>
      <c r="F229">
        <v>48295547.100000001</v>
      </c>
      <c r="G229">
        <v>0</v>
      </c>
      <c r="L229" t="s">
        <v>7</v>
      </c>
      <c r="M229" t="s">
        <v>8</v>
      </c>
      <c r="N229" t="s">
        <v>7</v>
      </c>
      <c r="P229">
        <f t="shared" si="959"/>
        <v>-0.56853932584269573</v>
      </c>
      <c r="Q229">
        <f t="shared" si="960"/>
        <v>-27457917.789438158</v>
      </c>
      <c r="R229">
        <f t="shared" si="961"/>
        <v>-6892247775.0614595</v>
      </c>
      <c r="S229">
        <f t="shared" si="962"/>
        <v>-68922.477750614591</v>
      </c>
      <c r="T229">
        <f t="shared" si="963"/>
        <v>-68.92247775061459</v>
      </c>
    </row>
    <row r="230" spans="1:20" x14ac:dyDescent="0.25">
      <c r="A230" s="5">
        <v>44363</v>
      </c>
      <c r="B230">
        <v>5.645E-2</v>
      </c>
      <c r="C230">
        <v>5.7849999999999999E-2</v>
      </c>
      <c r="D230">
        <v>5.203E-2</v>
      </c>
      <c r="E230">
        <v>5.289E-2</v>
      </c>
      <c r="F230">
        <v>92854074.200000003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-0.70446735395189009</v>
      </c>
      <c r="Q230">
        <f t="shared" si="960"/>
        <v>-65412663.955326468</v>
      </c>
      <c r="R230">
        <f t="shared" si="961"/>
        <v>-6864789857.2720213</v>
      </c>
      <c r="S230">
        <f t="shared" si="962"/>
        <v>-68647.898572720209</v>
      </c>
      <c r="T230">
        <f t="shared" si="963"/>
        <v>-68.647898572720209</v>
      </c>
    </row>
    <row r="231" spans="1:20" x14ac:dyDescent="0.25">
      <c r="A231" s="5">
        <v>44362</v>
      </c>
      <c r="B231">
        <v>5.6579999999999998E-2</v>
      </c>
      <c r="C231">
        <v>5.8659999999999997E-2</v>
      </c>
      <c r="D231">
        <v>5.3769999999999998E-2</v>
      </c>
      <c r="E231">
        <v>5.6460000000000003E-2</v>
      </c>
      <c r="F231">
        <v>177619922.90000001</v>
      </c>
      <c r="G231">
        <v>0</v>
      </c>
      <c r="L231" t="s">
        <v>7</v>
      </c>
      <c r="M231" t="s">
        <v>8</v>
      </c>
      <c r="N231" t="s">
        <v>7</v>
      </c>
      <c r="P231">
        <f t="shared" si="959"/>
        <v>0.10020449897750744</v>
      </c>
      <c r="Q231">
        <f t="shared" si="960"/>
        <v>17798315.382618003</v>
      </c>
      <c r="R231">
        <f t="shared" si="961"/>
        <v>-6799377193.3166952</v>
      </c>
      <c r="S231">
        <f t="shared" si="962"/>
        <v>-67993.77193316695</v>
      </c>
      <c r="T231">
        <f t="shared" si="963"/>
        <v>-67.993771933166954</v>
      </c>
    </row>
    <row r="232" spans="1:20" x14ac:dyDescent="0.25">
      <c r="A232" s="5">
        <v>44361</v>
      </c>
      <c r="B232">
        <v>5.7239999999999999E-2</v>
      </c>
      <c r="C232">
        <v>6.08E-2</v>
      </c>
      <c r="D232">
        <v>5.398E-2</v>
      </c>
      <c r="E232">
        <v>5.663E-2</v>
      </c>
      <c r="F232">
        <v>132102042.90000001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-0.22287390029325521</v>
      </c>
      <c r="Q232">
        <f t="shared" si="960"/>
        <v>-29442097.537829924</v>
      </c>
      <c r="R232">
        <f t="shared" si="961"/>
        <v>-6817175508.6993132</v>
      </c>
      <c r="S232">
        <f t="shared" si="962"/>
        <v>-68171.755086993129</v>
      </c>
      <c r="T232">
        <f t="shared" si="963"/>
        <v>-68.17175508699313</v>
      </c>
    </row>
    <row r="233" spans="1:20" x14ac:dyDescent="0.25">
      <c r="A233" s="5">
        <v>44360</v>
      </c>
      <c r="B233">
        <v>5.3069999999999999E-2</v>
      </c>
      <c r="C233">
        <v>5.8259999999999999E-2</v>
      </c>
      <c r="D233">
        <v>5.0360000000000002E-2</v>
      </c>
      <c r="E233">
        <v>5.7239999999999999E-2</v>
      </c>
      <c r="F233">
        <v>126998821.09999999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0.74177215189873402</v>
      </c>
      <c r="Q233">
        <f t="shared" si="960"/>
        <v>94204188.815949336</v>
      </c>
      <c r="R233">
        <f t="shared" si="961"/>
        <v>-6787733411.1614828</v>
      </c>
      <c r="S233">
        <f t="shared" si="962"/>
        <v>-67877.334111614822</v>
      </c>
      <c r="T233">
        <f t="shared" si="963"/>
        <v>-67.877334111614829</v>
      </c>
    </row>
    <row r="234" spans="1:20" x14ac:dyDescent="0.25">
      <c r="A234" s="5">
        <v>44359</v>
      </c>
      <c r="B234">
        <v>5.4039999999999998E-2</v>
      </c>
      <c r="C234">
        <v>5.7279999999999998E-2</v>
      </c>
      <c r="D234">
        <v>5.0200000000000002E-2</v>
      </c>
      <c r="E234">
        <v>5.305E-2</v>
      </c>
      <c r="F234">
        <v>138687318.69999999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-0.19491525423728814</v>
      </c>
      <c r="Q234">
        <f t="shared" si="960"/>
        <v>-27032273.983898304</v>
      </c>
      <c r="R234">
        <f t="shared" si="961"/>
        <v>-6881937599.9774323</v>
      </c>
      <c r="S234">
        <f t="shared" si="962"/>
        <v>-68819.375999774318</v>
      </c>
      <c r="T234">
        <f t="shared" si="963"/>
        <v>-68.819375999774323</v>
      </c>
    </row>
    <row r="235" spans="1:20" x14ac:dyDescent="0.25">
      <c r="A235" s="5">
        <v>44358</v>
      </c>
      <c r="B235">
        <v>6.6290000000000002E-2</v>
      </c>
      <c r="C235">
        <v>6.6500000000000004E-2</v>
      </c>
      <c r="D235">
        <v>5.323E-2</v>
      </c>
      <c r="E235">
        <v>5.3940000000000002E-2</v>
      </c>
      <c r="F235">
        <v>222689113.5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-0.89299171062547067</v>
      </c>
      <c r="Q235">
        <f t="shared" si="960"/>
        <v>-198859532.40203458</v>
      </c>
      <c r="R235">
        <f t="shared" si="961"/>
        <v>-6854905325.9935341</v>
      </c>
      <c r="S235">
        <f t="shared" si="962"/>
        <v>-68549.053259935346</v>
      </c>
      <c r="T235">
        <f t="shared" si="963"/>
        <v>-68.549053259935349</v>
      </c>
    </row>
    <row r="236" spans="1:20" x14ac:dyDescent="0.25">
      <c r="A236" s="5">
        <v>44357</v>
      </c>
      <c r="B236">
        <v>7.324E-2</v>
      </c>
      <c r="C236">
        <v>8.8059999999999999E-2</v>
      </c>
      <c r="D236">
        <v>6.5000000000000002E-2</v>
      </c>
      <c r="E236">
        <v>6.6290000000000002E-2</v>
      </c>
      <c r="F236">
        <v>972498255.29999995</v>
      </c>
      <c r="G236">
        <v>0</v>
      </c>
      <c r="L236" t="s">
        <v>8</v>
      </c>
      <c r="M236" t="s">
        <v>8</v>
      </c>
      <c r="N236" t="s">
        <v>8</v>
      </c>
      <c r="P236">
        <f t="shared" si="959"/>
        <v>-0.88811795316565489</v>
      </c>
      <c r="Q236">
        <f t="shared" si="960"/>
        <v>-863693159.95420647</v>
      </c>
      <c r="R236">
        <f t="shared" si="961"/>
        <v>-6656045793.5914993</v>
      </c>
      <c r="S236">
        <f t="shared" si="962"/>
        <v>-66560.457935914994</v>
      </c>
      <c r="T236">
        <f t="shared" si="963"/>
        <v>-66.560457935914997</v>
      </c>
    </row>
    <row r="237" spans="1:20" x14ac:dyDescent="0.25">
      <c r="A237" s="5">
        <v>44356</v>
      </c>
      <c r="B237">
        <v>5.0389999999999997E-2</v>
      </c>
      <c r="C237">
        <v>7.4499999999999997E-2</v>
      </c>
      <c r="D237">
        <v>4.854E-2</v>
      </c>
      <c r="E237">
        <v>7.3219999999999993E-2</v>
      </c>
      <c r="F237">
        <v>640063276.5</v>
      </c>
      <c r="G237">
        <v>0</v>
      </c>
      <c r="L237" t="s">
        <v>8</v>
      </c>
      <c r="M237" t="s">
        <v>8</v>
      </c>
      <c r="N237" t="s">
        <v>8</v>
      </c>
      <c r="P237">
        <f t="shared" si="959"/>
        <v>0.90138674884437564</v>
      </c>
      <c r="Q237">
        <f t="shared" si="960"/>
        <v>576944555.85901368</v>
      </c>
      <c r="R237">
        <f t="shared" si="961"/>
        <v>-5792352633.6372929</v>
      </c>
      <c r="S237">
        <f t="shared" si="962"/>
        <v>-57923.526336372932</v>
      </c>
      <c r="T237">
        <f t="shared" si="963"/>
        <v>-57.92352633637293</v>
      </c>
    </row>
    <row r="238" spans="1:20" x14ac:dyDescent="0.25">
      <c r="A238" s="5">
        <v>44355</v>
      </c>
      <c r="B238">
        <v>4.7989999999999998E-2</v>
      </c>
      <c r="C238">
        <v>5.6000000000000001E-2</v>
      </c>
      <c r="D238">
        <v>4.1750000000000002E-2</v>
      </c>
      <c r="E238">
        <v>5.0430000000000003E-2</v>
      </c>
      <c r="F238">
        <v>270382096.5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0.21824561403508785</v>
      </c>
      <c r="Q238">
        <f t="shared" si="960"/>
        <v>59009706.67473688</v>
      </c>
      <c r="R238">
        <f t="shared" si="961"/>
        <v>-6369297189.4963064</v>
      </c>
      <c r="S238">
        <f t="shared" si="962"/>
        <v>-63692.971894963062</v>
      </c>
      <c r="T238">
        <f t="shared" si="963"/>
        <v>-63.692971894963065</v>
      </c>
    </row>
    <row r="239" spans="1:20" x14ac:dyDescent="0.25">
      <c r="A239" s="5">
        <v>44354</v>
      </c>
      <c r="B239">
        <v>5.5390000000000002E-2</v>
      </c>
      <c r="C239">
        <v>5.7509999999999999E-2</v>
      </c>
      <c r="D239">
        <v>4.725E-2</v>
      </c>
      <c r="E239">
        <v>4.8000000000000001E-2</v>
      </c>
      <c r="F239">
        <v>113204495.8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-0.85380116959064312</v>
      </c>
      <c r="Q239">
        <f t="shared" si="960"/>
        <v>-96654130.916959047</v>
      </c>
      <c r="R239">
        <f t="shared" si="961"/>
        <v>-6428306896.1710434</v>
      </c>
      <c r="S239">
        <f t="shared" si="962"/>
        <v>-64283.068961710436</v>
      </c>
      <c r="T239">
        <f t="shared" si="963"/>
        <v>-64.283068961710441</v>
      </c>
    </row>
    <row r="240" spans="1:20" x14ac:dyDescent="0.25">
      <c r="A240" s="5">
        <v>44353</v>
      </c>
      <c r="B240">
        <v>4.9399999999999999E-2</v>
      </c>
      <c r="C240">
        <v>6.1499999999999999E-2</v>
      </c>
      <c r="D240">
        <v>4.9000000000000002E-2</v>
      </c>
      <c r="E240">
        <v>5.5149999999999998E-2</v>
      </c>
      <c r="F240">
        <v>203344756.59999999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-1.6000000000000462E-2</v>
      </c>
      <c r="Q240">
        <f t="shared" si="960"/>
        <v>-3253516.105600094</v>
      </c>
      <c r="R240">
        <f t="shared" si="961"/>
        <v>-6331652765.2540846</v>
      </c>
      <c r="S240">
        <f t="shared" si="962"/>
        <v>-63316.527652540848</v>
      </c>
      <c r="T240">
        <f t="shared" si="963"/>
        <v>-63.316527652540849</v>
      </c>
    </row>
    <row r="241" spans="1:20" x14ac:dyDescent="0.25">
      <c r="A241" s="5">
        <v>44352</v>
      </c>
      <c r="B241">
        <v>4.8779999999999997E-2</v>
      </c>
      <c r="C241">
        <v>5.8880000000000002E-2</v>
      </c>
      <c r="D241">
        <v>4.7300000000000002E-2</v>
      </c>
      <c r="E241">
        <v>4.9270000000000001E-2</v>
      </c>
      <c r="F241">
        <v>239188727.40000001</v>
      </c>
      <c r="G241">
        <v>0</v>
      </c>
      <c r="L241" t="s">
        <v>8</v>
      </c>
      <c r="M241" t="s">
        <v>8</v>
      </c>
      <c r="N241" t="s">
        <v>7</v>
      </c>
      <c r="P241">
        <f t="shared" si="959"/>
        <v>-0.65975820379965466</v>
      </c>
      <c r="Q241">
        <f t="shared" si="960"/>
        <v>-157806725.15854925</v>
      </c>
      <c r="R241">
        <f t="shared" si="961"/>
        <v>-6328399249.1484842</v>
      </c>
      <c r="S241">
        <f t="shared" si="962"/>
        <v>-63283.992491484845</v>
      </c>
      <c r="T241">
        <f t="shared" si="963"/>
        <v>-63.283992491484845</v>
      </c>
    </row>
    <row r="242" spans="1:20" x14ac:dyDescent="0.25">
      <c r="A242" s="5">
        <v>44351</v>
      </c>
      <c r="B242">
        <v>5.5050000000000002E-2</v>
      </c>
      <c r="C242">
        <v>5.5379999999999999E-2</v>
      </c>
      <c r="D242">
        <v>4.641E-2</v>
      </c>
      <c r="E242">
        <v>4.87E-2</v>
      </c>
      <c r="F242">
        <v>49727703.299999997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-0.48940914158305449</v>
      </c>
      <c r="Q242">
        <f t="shared" si="960"/>
        <v>-24337192.584949825</v>
      </c>
      <c r="R242">
        <f t="shared" si="961"/>
        <v>-6170592523.9899349</v>
      </c>
      <c r="S242">
        <f t="shared" si="962"/>
        <v>-61705.925239899349</v>
      </c>
      <c r="T242">
        <f t="shared" si="963"/>
        <v>-61.705925239899351</v>
      </c>
    </row>
    <row r="243" spans="1:20" x14ac:dyDescent="0.25">
      <c r="A243" s="5">
        <v>44350</v>
      </c>
      <c r="B243">
        <v>5.1639999999999998E-2</v>
      </c>
      <c r="C243">
        <v>5.7230000000000003E-2</v>
      </c>
      <c r="D243">
        <v>5.092E-2</v>
      </c>
      <c r="E243">
        <v>5.5050000000000002E-2</v>
      </c>
      <c r="F243">
        <v>67150593.799999997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0.30903328050713141</v>
      </c>
      <c r="Q243">
        <f t="shared" si="960"/>
        <v>20751768.290015839</v>
      </c>
      <c r="R243">
        <f t="shared" si="961"/>
        <v>-6146255331.4049854</v>
      </c>
      <c r="S243">
        <f t="shared" si="962"/>
        <v>-61462.553314049852</v>
      </c>
      <c r="T243">
        <f t="shared" si="963"/>
        <v>-61.462553314049849</v>
      </c>
    </row>
    <row r="244" spans="1:20" x14ac:dyDescent="0.25">
      <c r="A244" s="5">
        <v>44349</v>
      </c>
      <c r="B244">
        <v>5.1090000000000003E-2</v>
      </c>
      <c r="C244">
        <v>5.4690000000000003E-2</v>
      </c>
      <c r="D244">
        <v>4.9239999999999999E-2</v>
      </c>
      <c r="E244">
        <v>5.1639999999999998E-2</v>
      </c>
      <c r="F244">
        <v>65161537.200000003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-0.11926605504587236</v>
      </c>
      <c r="Q244">
        <f t="shared" si="960"/>
        <v>-7771559.4825688601</v>
      </c>
      <c r="R244">
        <f t="shared" si="961"/>
        <v>-6167007099.6950016</v>
      </c>
      <c r="S244">
        <f t="shared" si="962"/>
        <v>-61670.070996950017</v>
      </c>
      <c r="T244">
        <f t="shared" si="963"/>
        <v>-61.670070996950017</v>
      </c>
    </row>
    <row r="245" spans="1:20" x14ac:dyDescent="0.25">
      <c r="A245" s="5">
        <v>44348</v>
      </c>
      <c r="B245">
        <v>5.3310000000000003E-2</v>
      </c>
      <c r="C245">
        <v>5.765E-2</v>
      </c>
      <c r="D245">
        <v>4.9930000000000002E-2</v>
      </c>
      <c r="E245">
        <v>5.11E-2</v>
      </c>
      <c r="F245">
        <v>62468380.700000003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-0.69689119170984515</v>
      </c>
      <c r="Q245">
        <f t="shared" si="960"/>
        <v>-43533664.270207293</v>
      </c>
      <c r="R245">
        <f t="shared" si="961"/>
        <v>-6159235540.2124329</v>
      </c>
      <c r="S245">
        <f t="shared" si="962"/>
        <v>-61592.355402124325</v>
      </c>
      <c r="T245">
        <f t="shared" si="963"/>
        <v>-61.592355402124326</v>
      </c>
    </row>
    <row r="246" spans="1:20" x14ac:dyDescent="0.25">
      <c r="A246" s="5">
        <v>44347</v>
      </c>
      <c r="B246">
        <v>4.9509999999999998E-2</v>
      </c>
      <c r="C246">
        <v>5.5E-2</v>
      </c>
      <c r="D246">
        <v>4.7E-2</v>
      </c>
      <c r="E246">
        <v>5.3199999999999997E-2</v>
      </c>
      <c r="F246">
        <v>65993089.299999997</v>
      </c>
      <c r="G246">
        <v>0</v>
      </c>
      <c r="L246" t="s">
        <v>7</v>
      </c>
      <c r="M246" t="s">
        <v>8</v>
      </c>
      <c r="N246" t="s">
        <v>7</v>
      </c>
      <c r="P246">
        <f t="shared" si="959"/>
        <v>0.54999999999999927</v>
      </c>
      <c r="Q246">
        <f t="shared" si="960"/>
        <v>36296199.11499995</v>
      </c>
      <c r="R246">
        <f t="shared" si="961"/>
        <v>-6115701875.9422255</v>
      </c>
      <c r="S246">
        <f t="shared" si="962"/>
        <v>-61157.018759422252</v>
      </c>
      <c r="T246">
        <f t="shared" si="963"/>
        <v>-61.15701875942225</v>
      </c>
    </row>
    <row r="247" spans="1:20" x14ac:dyDescent="0.25">
      <c r="A247" s="5">
        <v>44346</v>
      </c>
      <c r="B247">
        <v>4.786E-2</v>
      </c>
      <c r="C247">
        <v>5.5660000000000001E-2</v>
      </c>
      <c r="D247">
        <v>4.5159999999999999E-2</v>
      </c>
      <c r="E247">
        <v>4.9410000000000003E-2</v>
      </c>
      <c r="F247">
        <v>73643946.799999997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-0.19047619047618994</v>
      </c>
      <c r="Q247">
        <f t="shared" si="960"/>
        <v>-14027418.438095197</v>
      </c>
      <c r="R247">
        <f t="shared" si="961"/>
        <v>-6151998075.0572252</v>
      </c>
      <c r="S247">
        <f t="shared" si="962"/>
        <v>-61519.980750572249</v>
      </c>
      <c r="T247">
        <f t="shared" si="963"/>
        <v>-61.519980750572252</v>
      </c>
    </row>
    <row r="248" spans="1:20" x14ac:dyDescent="0.25">
      <c r="A248" s="5">
        <v>44345</v>
      </c>
      <c r="B248">
        <v>5.314E-2</v>
      </c>
      <c r="C248">
        <v>5.5800000000000002E-2</v>
      </c>
      <c r="D248">
        <v>4.505E-2</v>
      </c>
      <c r="E248">
        <v>4.7640000000000002E-2</v>
      </c>
      <c r="F248">
        <v>95155616.5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-0.51813953488372066</v>
      </c>
      <c r="Q248">
        <f t="shared" si="960"/>
        <v>-49303886.874883696</v>
      </c>
      <c r="R248">
        <f t="shared" si="961"/>
        <v>-6137970656.6191301</v>
      </c>
      <c r="S248">
        <f t="shared" si="962"/>
        <v>-61379.7065661913</v>
      </c>
      <c r="T248">
        <f t="shared" si="963"/>
        <v>-61.379706566191302</v>
      </c>
    </row>
    <row r="249" spans="1:20" x14ac:dyDescent="0.25">
      <c r="A249" s="5">
        <v>44344</v>
      </c>
      <c r="B249">
        <v>6.268E-2</v>
      </c>
      <c r="C249">
        <v>6.6000000000000003E-2</v>
      </c>
      <c r="D249">
        <v>5.0619999999999998E-2</v>
      </c>
      <c r="E249">
        <v>5.3150000000000003E-2</v>
      </c>
      <c r="F249">
        <v>305535919.10000002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-0.67100130039011652</v>
      </c>
      <c r="Q249">
        <f t="shared" si="960"/>
        <v>-205014999.03198946</v>
      </c>
      <c r="R249">
        <f t="shared" si="961"/>
        <v>-6088666769.7442465</v>
      </c>
      <c r="S249">
        <f t="shared" si="962"/>
        <v>-60886.667697442463</v>
      </c>
      <c r="T249">
        <f t="shared" si="963"/>
        <v>-60.886667697442462</v>
      </c>
    </row>
    <row r="250" spans="1:20" x14ac:dyDescent="0.25">
      <c r="A250" s="5">
        <v>44343</v>
      </c>
      <c r="B250">
        <v>5.4550000000000001E-2</v>
      </c>
      <c r="C250">
        <v>7.1800000000000003E-2</v>
      </c>
      <c r="D250">
        <v>4.743E-2</v>
      </c>
      <c r="E250">
        <v>6.268E-2</v>
      </c>
      <c r="F250">
        <v>257062204.80000001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0.25153877718506346</v>
      </c>
      <c r="Q250">
        <f t="shared" si="960"/>
        <v>64661112.655888356</v>
      </c>
      <c r="R250">
        <f t="shared" si="961"/>
        <v>-5883651770.7122574</v>
      </c>
      <c r="S250">
        <f t="shared" si="962"/>
        <v>-58836.517707122577</v>
      </c>
      <c r="T250">
        <f t="shared" si="963"/>
        <v>-58.836517707122574</v>
      </c>
    </row>
    <row r="251" spans="1:20" x14ac:dyDescent="0.25">
      <c r="A251" s="5">
        <v>44342</v>
      </c>
      <c r="B251">
        <v>4.8649999999999999E-2</v>
      </c>
      <c r="C251">
        <v>5.7709999999999997E-2</v>
      </c>
      <c r="D251">
        <v>4.861E-2</v>
      </c>
      <c r="E251">
        <v>5.4829999999999997E-2</v>
      </c>
      <c r="F251">
        <v>118362532.40000001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0.36703296703296667</v>
      </c>
      <c r="Q251">
        <f t="shared" si="960"/>
        <v>43442951.452307649</v>
      </c>
      <c r="R251">
        <f t="shared" si="961"/>
        <v>-5948312883.3681459</v>
      </c>
      <c r="S251">
        <f t="shared" si="962"/>
        <v>-59483.128833681461</v>
      </c>
      <c r="T251">
        <f t="shared" si="963"/>
        <v>-59.483128833681462</v>
      </c>
    </row>
    <row r="252" spans="1:20" x14ac:dyDescent="0.25">
      <c r="A252" s="5">
        <v>44341</v>
      </c>
      <c r="B252">
        <v>4.7989999999999998E-2</v>
      </c>
      <c r="C252">
        <v>5.0549999999999998E-2</v>
      </c>
      <c r="D252">
        <v>4.2509999999999999E-2</v>
      </c>
      <c r="E252">
        <v>4.8640000000000003E-2</v>
      </c>
      <c r="F252">
        <v>154934280.80000001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0.52487562189054837</v>
      </c>
      <c r="Q252">
        <f t="shared" si="960"/>
        <v>81321226.987064853</v>
      </c>
      <c r="R252">
        <f t="shared" si="961"/>
        <v>-5991755834.8204536</v>
      </c>
      <c r="S252">
        <f t="shared" si="962"/>
        <v>-59917.558348204533</v>
      </c>
      <c r="T252">
        <f t="shared" si="963"/>
        <v>-59.91755834820453</v>
      </c>
    </row>
    <row r="253" spans="1:20" x14ac:dyDescent="0.25">
      <c r="A253" s="5">
        <v>44340</v>
      </c>
      <c r="B253">
        <v>3.456E-2</v>
      </c>
      <c r="C253">
        <v>5.9499999999999997E-2</v>
      </c>
      <c r="D253">
        <v>3.3300000000000003E-2</v>
      </c>
      <c r="E253">
        <v>4.7989999999999998E-2</v>
      </c>
      <c r="F253">
        <v>368923448.39999998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0.12137404580152657</v>
      </c>
      <c r="Q253">
        <f t="shared" si="960"/>
        <v>44777731.523358718</v>
      </c>
      <c r="R253">
        <f t="shared" si="961"/>
        <v>-6073077061.807519</v>
      </c>
      <c r="S253">
        <f t="shared" si="962"/>
        <v>-60730.770618075192</v>
      </c>
      <c r="T253">
        <f t="shared" si="963"/>
        <v>-60.730770618075191</v>
      </c>
    </row>
    <row r="254" spans="1:20" x14ac:dyDescent="0.25">
      <c r="A254" s="5">
        <v>44339</v>
      </c>
      <c r="B254">
        <v>3.9890000000000002E-2</v>
      </c>
      <c r="C254">
        <v>4.299E-2</v>
      </c>
      <c r="D254">
        <v>2.5229999999999999E-2</v>
      </c>
      <c r="E254">
        <v>3.4380000000000001E-2</v>
      </c>
      <c r="F254">
        <v>165547542.40000001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3.0405405405405532E-2</v>
      </c>
      <c r="Q254">
        <f t="shared" si="960"/>
        <v>5033540.1405405616</v>
      </c>
      <c r="R254">
        <f t="shared" si="961"/>
        <v>-6117854793.3308773</v>
      </c>
      <c r="S254">
        <f t="shared" si="962"/>
        <v>-61178.547933308771</v>
      </c>
      <c r="T254">
        <f t="shared" si="963"/>
        <v>-61.178547933308771</v>
      </c>
    </row>
    <row r="255" spans="1:20" x14ac:dyDescent="0.25">
      <c r="A255" s="5">
        <v>44338</v>
      </c>
      <c r="B255">
        <v>4.2959999999999998E-2</v>
      </c>
      <c r="C255">
        <v>4.446E-2</v>
      </c>
      <c r="D255">
        <v>3.7499999999999999E-2</v>
      </c>
      <c r="E255">
        <v>3.9989999999999998E-2</v>
      </c>
      <c r="F255">
        <v>72126544.799999997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-0.28448275862069</v>
      </c>
      <c r="Q255">
        <f t="shared" si="960"/>
        <v>-20518758.434482783</v>
      </c>
      <c r="R255">
        <f t="shared" si="961"/>
        <v>-6122888333.4714174</v>
      </c>
      <c r="S255">
        <f t="shared" si="962"/>
        <v>-61228.883334714177</v>
      </c>
      <c r="T255">
        <f t="shared" si="963"/>
        <v>-61.228883334714176</v>
      </c>
    </row>
    <row r="256" spans="1:20" x14ac:dyDescent="0.25">
      <c r="A256" s="5">
        <v>44337</v>
      </c>
      <c r="B256">
        <v>5.2130000000000003E-2</v>
      </c>
      <c r="C256">
        <v>5.543E-2</v>
      </c>
      <c r="D256">
        <v>3.671E-2</v>
      </c>
      <c r="E256">
        <v>4.2950000000000002E-2</v>
      </c>
      <c r="F256">
        <v>106809699.2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-0.33333333333333309</v>
      </c>
      <c r="Q256">
        <f t="shared" si="960"/>
        <v>-35603233.06666664</v>
      </c>
      <c r="R256">
        <f t="shared" si="961"/>
        <v>-6102369575.0369349</v>
      </c>
      <c r="S256">
        <f t="shared" si="962"/>
        <v>-61023.695750369348</v>
      </c>
      <c r="T256">
        <f t="shared" si="963"/>
        <v>-61.023695750369349</v>
      </c>
    </row>
    <row r="257" spans="1:20" x14ac:dyDescent="0.25">
      <c r="A257" s="5">
        <v>44336</v>
      </c>
      <c r="B257">
        <v>4.546E-2</v>
      </c>
      <c r="C257">
        <v>5.9360000000000003E-2</v>
      </c>
      <c r="D257">
        <v>4.0460000000000003E-2</v>
      </c>
      <c r="E257">
        <v>5.2200000000000003E-2</v>
      </c>
      <c r="F257">
        <v>130810626.90000001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0.24232804232804236</v>
      </c>
      <c r="Q257">
        <f t="shared" si="960"/>
        <v>31699083.132380959</v>
      </c>
      <c r="R257">
        <f t="shared" si="961"/>
        <v>-6066766341.9702682</v>
      </c>
      <c r="S257">
        <f t="shared" si="962"/>
        <v>-60667.66341970268</v>
      </c>
      <c r="T257">
        <f t="shared" si="963"/>
        <v>-60.667663419702677</v>
      </c>
    </row>
    <row r="258" spans="1:20" x14ac:dyDescent="0.25">
      <c r="A258" s="5">
        <v>44335</v>
      </c>
      <c r="B258">
        <v>7.5560000000000002E-2</v>
      </c>
      <c r="C258">
        <v>7.7579999999999996E-2</v>
      </c>
      <c r="D258">
        <v>3.5000000000000003E-2</v>
      </c>
      <c r="E258">
        <v>4.546E-2</v>
      </c>
      <c r="F258">
        <v>205359023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-0.50868952559887282</v>
      </c>
      <c r="Q258">
        <f t="shared" si="960"/>
        <v>-104463983.98731801</v>
      </c>
      <c r="R258">
        <f t="shared" si="961"/>
        <v>-6098465425.1026487</v>
      </c>
      <c r="S258">
        <f t="shared" si="962"/>
        <v>-60984.654251026484</v>
      </c>
      <c r="T258">
        <f t="shared" si="963"/>
        <v>-60.984654251026484</v>
      </c>
    </row>
    <row r="259" spans="1:20" x14ac:dyDescent="0.25">
      <c r="A259" s="5">
        <v>44334</v>
      </c>
      <c r="B259">
        <v>7.485E-2</v>
      </c>
      <c r="C259">
        <v>7.9439999999999997E-2</v>
      </c>
      <c r="D259">
        <v>7.1940000000000004E-2</v>
      </c>
      <c r="E259">
        <v>7.5370000000000006E-2</v>
      </c>
      <c r="F259">
        <v>72024721.599999994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-8.533333333333179E-2</v>
      </c>
      <c r="Q259">
        <f t="shared" si="960"/>
        <v>-6146109.5765332216</v>
      </c>
      <c r="R259">
        <f t="shared" si="961"/>
        <v>-5994001441.1153307</v>
      </c>
      <c r="S259">
        <f t="shared" si="962"/>
        <v>-59940.014411153308</v>
      </c>
      <c r="T259">
        <f t="shared" si="963"/>
        <v>-59.940014411153307</v>
      </c>
    </row>
    <row r="260" spans="1:20" x14ac:dyDescent="0.25">
      <c r="A260" s="5">
        <v>44333</v>
      </c>
      <c r="B260">
        <v>8.3089999999999997E-2</v>
      </c>
      <c r="C260">
        <v>8.3210000000000006E-2</v>
      </c>
      <c r="D260">
        <v>7.1529999999999996E-2</v>
      </c>
      <c r="E260">
        <v>7.467E-2</v>
      </c>
      <c r="F260">
        <v>106169110.7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-0.46232876712328747</v>
      </c>
      <c r="Q260">
        <f t="shared" si="960"/>
        <v>-49085034.056506827</v>
      </c>
      <c r="R260">
        <f t="shared" si="961"/>
        <v>-5987855331.5387974</v>
      </c>
      <c r="S260">
        <f t="shared" si="962"/>
        <v>-59878.553315387973</v>
      </c>
      <c r="T260">
        <f t="shared" si="963"/>
        <v>-59.878553315387975</v>
      </c>
    </row>
    <row r="261" spans="1:20" x14ac:dyDescent="0.25">
      <c r="A261" s="5">
        <v>44332</v>
      </c>
      <c r="B261">
        <v>8.2320000000000004E-2</v>
      </c>
      <c r="C261">
        <v>9.5869999999999997E-2</v>
      </c>
      <c r="D261">
        <v>7.6160000000000005E-2</v>
      </c>
      <c r="E261">
        <v>8.3089999999999997E-2</v>
      </c>
      <c r="F261">
        <v>158261140.80000001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-0.29680365296803707</v>
      </c>
      <c r="Q261">
        <f t="shared" si="960"/>
        <v>-46972484.712328859</v>
      </c>
      <c r="R261">
        <f t="shared" si="961"/>
        <v>-5938770297.4822903</v>
      </c>
      <c r="S261">
        <f t="shared" si="962"/>
        <v>-59387.702974822903</v>
      </c>
      <c r="T261">
        <f t="shared" si="963"/>
        <v>-59.387702974822901</v>
      </c>
    </row>
    <row r="262" spans="1:20" x14ac:dyDescent="0.25">
      <c r="A262" s="5">
        <v>44331</v>
      </c>
      <c r="B262">
        <v>9.1009999999999994E-2</v>
      </c>
      <c r="C262">
        <v>9.4109999999999999E-2</v>
      </c>
      <c r="D262">
        <v>8.1500000000000003E-2</v>
      </c>
      <c r="E262">
        <v>8.2309999999999994E-2</v>
      </c>
      <c r="F262">
        <v>108890470.8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-0.8715305313243471</v>
      </c>
      <c r="Q262">
        <f t="shared" ref="Q262:Q325" si="965">F262*P262</f>
        <v>-94901369.8724823</v>
      </c>
      <c r="R262">
        <f t="shared" ref="R262:R325" si="966">R263+Q262</f>
        <v>-5891797812.7699614</v>
      </c>
      <c r="S262">
        <f t="shared" ref="S262:S325" si="967">R262/100000</f>
        <v>-58917.978127699615</v>
      </c>
      <c r="T262">
        <f t="shared" ref="T262:T325" si="968">S262/1000</f>
        <v>-58.917978127699612</v>
      </c>
    </row>
    <row r="263" spans="1:20" x14ac:dyDescent="0.25">
      <c r="A263" s="5">
        <v>44330</v>
      </c>
      <c r="B263">
        <v>8.5889999999999994E-2</v>
      </c>
      <c r="C263">
        <v>9.6500000000000002E-2</v>
      </c>
      <c r="D263">
        <v>8.3500000000000005E-2</v>
      </c>
      <c r="E263">
        <v>9.0999999999999998E-2</v>
      </c>
      <c r="F263">
        <v>151917504.30000001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0.15384615384615294</v>
      </c>
      <c r="Q263">
        <f t="shared" si="965"/>
        <v>23371923.738461401</v>
      </c>
      <c r="R263">
        <f t="shared" si="966"/>
        <v>-5796896442.8974791</v>
      </c>
      <c r="S263">
        <f t="shared" si="967"/>
        <v>-57968.964428974788</v>
      </c>
      <c r="T263">
        <f t="shared" si="968"/>
        <v>-57.968964428974786</v>
      </c>
    </row>
    <row r="264" spans="1:20" x14ac:dyDescent="0.25">
      <c r="A264" s="5">
        <v>44329</v>
      </c>
      <c r="B264">
        <v>7.936E-2</v>
      </c>
      <c r="C264">
        <v>9.3840000000000007E-2</v>
      </c>
      <c r="D264">
        <v>7.3690000000000005E-2</v>
      </c>
      <c r="E264">
        <v>8.584E-2</v>
      </c>
      <c r="F264">
        <v>176358421.30000001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0.20595533498759239</v>
      </c>
      <c r="Q264">
        <f t="shared" si="965"/>
        <v>36321957.736724451</v>
      </c>
      <c r="R264">
        <f t="shared" si="966"/>
        <v>-5820268366.6359406</v>
      </c>
      <c r="S264">
        <f t="shared" si="967"/>
        <v>-58202.683666359408</v>
      </c>
      <c r="T264">
        <f t="shared" si="968"/>
        <v>-58.202683666359405</v>
      </c>
    </row>
    <row r="265" spans="1:20" x14ac:dyDescent="0.25">
      <c r="A265" s="5">
        <v>44328</v>
      </c>
      <c r="B265">
        <v>0.10106</v>
      </c>
      <c r="C265">
        <v>0.10667</v>
      </c>
      <c r="D265">
        <v>7.6799999999999993E-2</v>
      </c>
      <c r="E265">
        <v>7.8770000000000007E-2</v>
      </c>
      <c r="F265">
        <v>130905702.90000001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-0.86809507867425428</v>
      </c>
      <c r="Q265">
        <f t="shared" si="965"/>
        <v>-113638596.45788406</v>
      </c>
      <c r="R265">
        <f t="shared" si="966"/>
        <v>-5856590324.3726654</v>
      </c>
      <c r="S265">
        <f t="shared" si="967"/>
        <v>-58565.903243726651</v>
      </c>
      <c r="T265">
        <f t="shared" si="968"/>
        <v>-58.565903243726652</v>
      </c>
    </row>
    <row r="266" spans="1:20" x14ac:dyDescent="0.25">
      <c r="A266" s="5">
        <v>44327</v>
      </c>
      <c r="B266">
        <v>9.8180000000000003E-2</v>
      </c>
      <c r="C266">
        <v>0.10496999999999999</v>
      </c>
      <c r="D266">
        <v>9.2420000000000002E-2</v>
      </c>
      <c r="E266">
        <v>0.10109</v>
      </c>
      <c r="F266">
        <v>141022225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0.38167330677290884</v>
      </c>
      <c r="Q266">
        <f t="shared" si="965"/>
        <v>53824418.944223173</v>
      </c>
      <c r="R266">
        <f t="shared" si="966"/>
        <v>-5742951727.9147816</v>
      </c>
      <c r="S266">
        <f t="shared" si="967"/>
        <v>-57429.517279147818</v>
      </c>
      <c r="T266">
        <f t="shared" si="968"/>
        <v>-57.429517279147817</v>
      </c>
    </row>
    <row r="267" spans="1:20" x14ac:dyDescent="0.25">
      <c r="A267" s="5">
        <v>44326</v>
      </c>
      <c r="B267">
        <v>0.10681</v>
      </c>
      <c r="C267">
        <v>0.12875</v>
      </c>
      <c r="D267">
        <v>0.09</v>
      </c>
      <c r="E267">
        <v>9.8269999999999996E-2</v>
      </c>
      <c r="F267">
        <v>387805079.89999998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-0.57316129032258079</v>
      </c>
      <c r="Q267">
        <f t="shared" si="965"/>
        <v>-222274859.98913553</v>
      </c>
      <c r="R267">
        <f t="shared" si="966"/>
        <v>-5796776146.859005</v>
      </c>
      <c r="S267">
        <f t="shared" si="967"/>
        <v>-57967.761468590048</v>
      </c>
      <c r="T267">
        <f t="shared" si="968"/>
        <v>-57.967761468590048</v>
      </c>
    </row>
    <row r="268" spans="1:20" x14ac:dyDescent="0.25">
      <c r="A268" s="5">
        <v>44325</v>
      </c>
      <c r="B268">
        <v>0.10566</v>
      </c>
      <c r="C268">
        <v>0.10817</v>
      </c>
      <c r="D268">
        <v>9.6500000000000002E-2</v>
      </c>
      <c r="E268">
        <v>0.10691000000000001</v>
      </c>
      <c r="F268">
        <v>124223488.09999999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0.78406169665809811</v>
      </c>
      <c r="Q268">
        <f t="shared" si="965"/>
        <v>97398878.844473049</v>
      </c>
      <c r="R268">
        <f t="shared" si="966"/>
        <v>-5574501286.8698692</v>
      </c>
      <c r="S268">
        <f t="shared" si="967"/>
        <v>-55745.012868698694</v>
      </c>
      <c r="T268">
        <f t="shared" si="968"/>
        <v>-55.745012868698694</v>
      </c>
    </row>
    <row r="269" spans="1:20" x14ac:dyDescent="0.25">
      <c r="A269" s="5">
        <v>44324</v>
      </c>
      <c r="B269">
        <v>0.10893</v>
      </c>
      <c r="C269">
        <v>0.1134</v>
      </c>
      <c r="D269">
        <v>0.10249999999999999</v>
      </c>
      <c r="E269">
        <v>0.10555</v>
      </c>
      <c r="F269">
        <v>91795792</v>
      </c>
      <c r="G269">
        <v>0</v>
      </c>
      <c r="L269" t="s">
        <v>7</v>
      </c>
      <c r="M269" t="s">
        <v>7</v>
      </c>
      <c r="N269" t="s">
        <v>7</v>
      </c>
      <c r="P269">
        <f t="shared" si="964"/>
        <v>-0.44036697247706252</v>
      </c>
      <c r="Q269">
        <f t="shared" si="965"/>
        <v>-40423835.009174153</v>
      </c>
      <c r="R269">
        <f t="shared" si="966"/>
        <v>-5671900165.7143421</v>
      </c>
      <c r="S269">
        <f t="shared" si="967"/>
        <v>-56719.001657143424</v>
      </c>
      <c r="T269">
        <f t="shared" si="968"/>
        <v>-56.719001657143423</v>
      </c>
    </row>
    <row r="270" spans="1:20" x14ac:dyDescent="0.25">
      <c r="A270" s="5">
        <v>44323</v>
      </c>
      <c r="B270">
        <v>0.10975</v>
      </c>
      <c r="C270">
        <v>0.11538</v>
      </c>
      <c r="D270">
        <v>0.105</v>
      </c>
      <c r="E270">
        <v>0.10888</v>
      </c>
      <c r="F270">
        <v>145276061.30000001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-0.25240847784200227</v>
      </c>
      <c r="Q270">
        <f t="shared" si="965"/>
        <v>-36668909.499614418</v>
      </c>
      <c r="R270">
        <f t="shared" si="966"/>
        <v>-5631476330.7051678</v>
      </c>
      <c r="S270">
        <f t="shared" si="967"/>
        <v>-56314.763307051675</v>
      </c>
      <c r="T270">
        <f t="shared" si="968"/>
        <v>-56.314763307051678</v>
      </c>
    </row>
    <row r="271" spans="1:20" x14ac:dyDescent="0.25">
      <c r="A271" s="5">
        <v>44322</v>
      </c>
      <c r="B271">
        <v>0.11391999999999999</v>
      </c>
      <c r="C271">
        <v>0.124</v>
      </c>
      <c r="D271">
        <v>0.10478999999999999</v>
      </c>
      <c r="E271">
        <v>0.10978</v>
      </c>
      <c r="F271">
        <v>195860855</v>
      </c>
      <c r="G271">
        <v>0</v>
      </c>
      <c r="L271" t="s">
        <v>8</v>
      </c>
      <c r="M271" t="s">
        <v>8</v>
      </c>
      <c r="N271" t="s">
        <v>7</v>
      </c>
      <c r="P271">
        <f t="shared" si="964"/>
        <v>-0.48047891723060832</v>
      </c>
      <c r="Q271">
        <f t="shared" si="965"/>
        <v>-94107011.538261175</v>
      </c>
      <c r="R271">
        <f t="shared" si="966"/>
        <v>-5594807421.2055531</v>
      </c>
      <c r="S271">
        <f t="shared" si="967"/>
        <v>-55948.07421205553</v>
      </c>
      <c r="T271">
        <f t="shared" si="968"/>
        <v>-55.948074212055531</v>
      </c>
    </row>
    <row r="272" spans="1:20" x14ac:dyDescent="0.25">
      <c r="A272" s="5">
        <v>44321</v>
      </c>
      <c r="B272">
        <v>0.10649</v>
      </c>
      <c r="C272">
        <v>0.12</v>
      </c>
      <c r="D272">
        <v>0.10511</v>
      </c>
      <c r="E272">
        <v>0.11368</v>
      </c>
      <c r="F272">
        <v>170038996.40000001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0.15110812625923545</v>
      </c>
      <c r="Q272">
        <f t="shared" si="965"/>
        <v>25694274.137004882</v>
      </c>
      <c r="R272">
        <f t="shared" si="966"/>
        <v>-5500700409.6672916</v>
      </c>
      <c r="S272">
        <f t="shared" si="967"/>
        <v>-55007.004096672914</v>
      </c>
      <c r="T272">
        <f t="shared" si="968"/>
        <v>-55.007004096672915</v>
      </c>
    </row>
    <row r="273" spans="1:20" x14ac:dyDescent="0.25">
      <c r="A273" s="5">
        <v>44320</v>
      </c>
      <c r="B273">
        <v>0.12543000000000001</v>
      </c>
      <c r="C273">
        <v>0.12564</v>
      </c>
      <c r="D273">
        <v>0.10417999999999999</v>
      </c>
      <c r="E273">
        <v>0.1065</v>
      </c>
      <c r="F273">
        <v>226119136.40000001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-0.78378378378378366</v>
      </c>
      <c r="Q273">
        <f t="shared" si="965"/>
        <v>-177228512.31351349</v>
      </c>
      <c r="R273">
        <f t="shared" si="966"/>
        <v>-5526394683.8042965</v>
      </c>
      <c r="S273">
        <f t="shared" si="967"/>
        <v>-55263.946838042968</v>
      </c>
      <c r="T273">
        <f t="shared" si="968"/>
        <v>-55.263946838042969</v>
      </c>
    </row>
    <row r="274" spans="1:20" x14ac:dyDescent="0.25">
      <c r="A274" s="5">
        <v>44319</v>
      </c>
      <c r="B274">
        <v>0.13400000000000001</v>
      </c>
      <c r="C274">
        <v>0.13819999999999999</v>
      </c>
      <c r="D274">
        <v>0.12214999999999999</v>
      </c>
      <c r="E274">
        <v>0.12537000000000001</v>
      </c>
      <c r="F274">
        <v>185157293.59999999</v>
      </c>
      <c r="G274">
        <v>0</v>
      </c>
      <c r="L274" t="s">
        <v>8</v>
      </c>
      <c r="M274" t="s">
        <v>7</v>
      </c>
      <c r="N274" t="s">
        <v>8</v>
      </c>
      <c r="P274">
        <f t="shared" si="964"/>
        <v>-0.598753894080995</v>
      </c>
      <c r="Q274">
        <f t="shared" si="965"/>
        <v>-110863650.56049809</v>
      </c>
      <c r="R274">
        <f t="shared" si="966"/>
        <v>-5349166171.4907827</v>
      </c>
      <c r="S274">
        <f t="shared" si="967"/>
        <v>-53491.66171490783</v>
      </c>
      <c r="T274">
        <f t="shared" si="968"/>
        <v>-53.491661714907828</v>
      </c>
    </row>
    <row r="275" spans="1:20" x14ac:dyDescent="0.25">
      <c r="A275" s="5">
        <v>44318</v>
      </c>
      <c r="B275">
        <v>0.12723000000000001</v>
      </c>
      <c r="C275">
        <v>0.13900000000000001</v>
      </c>
      <c r="D275">
        <v>0.11748</v>
      </c>
      <c r="E275">
        <v>0.13353999999999999</v>
      </c>
      <c r="F275">
        <v>225612683.19999999</v>
      </c>
      <c r="G275">
        <v>0</v>
      </c>
      <c r="L275" t="s">
        <v>7</v>
      </c>
      <c r="M275" t="s">
        <v>7</v>
      </c>
      <c r="N275" t="s">
        <v>8</v>
      </c>
      <c r="P275">
        <f t="shared" si="964"/>
        <v>0.49256505576208015</v>
      </c>
      <c r="Q275">
        <f t="shared" si="965"/>
        <v>111128923.88104051</v>
      </c>
      <c r="R275">
        <f t="shared" si="966"/>
        <v>-5238302520.9302845</v>
      </c>
      <c r="S275">
        <f t="shared" si="967"/>
        <v>-52383.025209302847</v>
      </c>
      <c r="T275">
        <f t="shared" si="968"/>
        <v>-52.383025209302843</v>
      </c>
    </row>
    <row r="276" spans="1:20" x14ac:dyDescent="0.25">
      <c r="A276" s="5">
        <v>44317</v>
      </c>
      <c r="B276">
        <v>0.12928000000000001</v>
      </c>
      <c r="C276">
        <v>0.13531000000000001</v>
      </c>
      <c r="D276">
        <v>0.12434000000000001</v>
      </c>
      <c r="E276">
        <v>0.12723000000000001</v>
      </c>
      <c r="F276">
        <v>177923216.59999999</v>
      </c>
      <c r="G276">
        <v>0</v>
      </c>
      <c r="L276" t="s">
        <v>7</v>
      </c>
      <c r="M276" t="s">
        <v>7</v>
      </c>
      <c r="N276" t="s">
        <v>8</v>
      </c>
      <c r="P276">
        <f t="shared" si="964"/>
        <v>-0.47310847766636249</v>
      </c>
      <c r="Q276">
        <f t="shared" si="965"/>
        <v>-84176982.147128478</v>
      </c>
      <c r="R276">
        <f t="shared" si="966"/>
        <v>-5349431444.8113251</v>
      </c>
      <c r="S276">
        <f t="shared" si="967"/>
        <v>-53494.314448113248</v>
      </c>
      <c r="T276">
        <f t="shared" si="968"/>
        <v>-53.494314448113251</v>
      </c>
    </row>
    <row r="277" spans="1:20" x14ac:dyDescent="0.25">
      <c r="A277" s="5">
        <v>44316</v>
      </c>
      <c r="B277">
        <v>0.12897</v>
      </c>
      <c r="C277">
        <v>0.13780000000000001</v>
      </c>
      <c r="D277">
        <v>0.12188</v>
      </c>
      <c r="E277">
        <v>0.12936</v>
      </c>
      <c r="F277">
        <v>305047222.19999999</v>
      </c>
      <c r="G277">
        <v>0</v>
      </c>
      <c r="L277" t="s">
        <v>8</v>
      </c>
      <c r="M277" t="s">
        <v>7</v>
      </c>
      <c r="N277" t="s">
        <v>8</v>
      </c>
      <c r="P277">
        <f t="shared" si="964"/>
        <v>-6.0301507537688585E-2</v>
      </c>
      <c r="Q277">
        <f t="shared" si="965"/>
        <v>-18394807.368844263</v>
      </c>
      <c r="R277">
        <f t="shared" si="966"/>
        <v>-5265254462.664197</v>
      </c>
      <c r="S277">
        <f t="shared" si="967"/>
        <v>-52652.544626641968</v>
      </c>
      <c r="T277">
        <f t="shared" si="968"/>
        <v>-52.652544626641969</v>
      </c>
    </row>
    <row r="278" spans="1:20" x14ac:dyDescent="0.25">
      <c r="A278" s="5">
        <v>44315</v>
      </c>
      <c r="B278">
        <v>0.14169999999999999</v>
      </c>
      <c r="C278">
        <v>0.14210999999999999</v>
      </c>
      <c r="D278">
        <v>0.11824999999999999</v>
      </c>
      <c r="E278">
        <v>0.12895999999999999</v>
      </c>
      <c r="F278">
        <v>409610170.10000002</v>
      </c>
      <c r="G278">
        <v>0</v>
      </c>
      <c r="L278" t="s">
        <v>7</v>
      </c>
      <c r="M278" t="s">
        <v>7</v>
      </c>
      <c r="N278" t="s">
        <v>8</v>
      </c>
      <c r="P278">
        <f t="shared" si="964"/>
        <v>-0.10226320201173505</v>
      </c>
      <c r="Q278">
        <f t="shared" si="965"/>
        <v>-41888047.570997462</v>
      </c>
      <c r="R278">
        <f t="shared" si="966"/>
        <v>-5246859655.2953529</v>
      </c>
      <c r="S278">
        <f t="shared" si="967"/>
        <v>-52468.596552953531</v>
      </c>
      <c r="T278">
        <f t="shared" si="968"/>
        <v>-52.468596552953528</v>
      </c>
    </row>
    <row r="279" spans="1:20" x14ac:dyDescent="0.25">
      <c r="A279" s="5">
        <v>44314</v>
      </c>
      <c r="B279">
        <v>0.12359000000000001</v>
      </c>
      <c r="C279">
        <v>0.15</v>
      </c>
      <c r="D279">
        <v>0.10743999999999999</v>
      </c>
      <c r="E279">
        <v>0.14151</v>
      </c>
      <c r="F279">
        <v>900473548.60000002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0.60103383458646631</v>
      </c>
      <c r="Q279">
        <f t="shared" si="965"/>
        <v>541215069.85874069</v>
      </c>
      <c r="R279">
        <f t="shared" si="966"/>
        <v>-5204971607.7243557</v>
      </c>
      <c r="S279">
        <f t="shared" si="967"/>
        <v>-52049.71607724356</v>
      </c>
      <c r="T279">
        <f t="shared" si="968"/>
        <v>-52.049716077243559</v>
      </c>
    </row>
    <row r="280" spans="1:20" x14ac:dyDescent="0.25">
      <c r="A280" s="5">
        <v>44313</v>
      </c>
      <c r="B280">
        <v>9.9729999999999999E-2</v>
      </c>
      <c r="C280">
        <v>0.12920000000000001</v>
      </c>
      <c r="D280">
        <v>9.597E-2</v>
      </c>
      <c r="E280">
        <v>0.1236</v>
      </c>
      <c r="F280">
        <v>445040303.30000001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0.66295516099909679</v>
      </c>
      <c r="Q280">
        <f t="shared" si="965"/>
        <v>295041765.92533839</v>
      </c>
      <c r="R280">
        <f t="shared" si="966"/>
        <v>-5746186677.5830965</v>
      </c>
      <c r="S280">
        <f t="shared" si="967"/>
        <v>-57461.866775830968</v>
      </c>
      <c r="T280">
        <f t="shared" si="968"/>
        <v>-57.46186677583097</v>
      </c>
    </row>
    <row r="281" spans="1:20" x14ac:dyDescent="0.25">
      <c r="A281" s="5">
        <v>44312</v>
      </c>
      <c r="B281">
        <v>7.7960000000000002E-2</v>
      </c>
      <c r="C281">
        <v>0.11799999999999999</v>
      </c>
      <c r="D281">
        <v>7.7810000000000004E-2</v>
      </c>
      <c r="E281">
        <v>9.9729999999999999E-2</v>
      </c>
      <c r="F281">
        <v>890563538.39999998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9.0818611594924145E-2</v>
      </c>
      <c r="Q281">
        <f t="shared" si="965"/>
        <v>80879744.094550908</v>
      </c>
      <c r="R281">
        <f t="shared" si="966"/>
        <v>-6041228443.5084352</v>
      </c>
      <c r="S281">
        <f t="shared" si="967"/>
        <v>-60412.284435084352</v>
      </c>
      <c r="T281">
        <f t="shared" si="968"/>
        <v>-60.412284435084352</v>
      </c>
    </row>
    <row r="282" spans="1:20" x14ac:dyDescent="0.25">
      <c r="A282" s="5">
        <v>44311</v>
      </c>
      <c r="B282">
        <v>7.0199999999999999E-2</v>
      </c>
      <c r="C282">
        <v>9.2039999999999997E-2</v>
      </c>
      <c r="D282">
        <v>6.9610000000000005E-2</v>
      </c>
      <c r="E282">
        <v>7.7829999999999996E-2</v>
      </c>
      <c r="F282">
        <v>393424590.60000002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-0.26705305394560908</v>
      </c>
      <c r="Q282">
        <f t="shared" si="965"/>
        <v>-105065238.41703098</v>
      </c>
      <c r="R282">
        <f t="shared" si="966"/>
        <v>-6122108187.6029863</v>
      </c>
      <c r="S282">
        <f t="shared" si="967"/>
        <v>-61221.081876029864</v>
      </c>
      <c r="T282">
        <f t="shared" si="968"/>
        <v>-61.221081876029864</v>
      </c>
    </row>
    <row r="283" spans="1:20" x14ac:dyDescent="0.25">
      <c r="A283" s="5">
        <v>44310</v>
      </c>
      <c r="B283">
        <v>7.9979999999999996E-2</v>
      </c>
      <c r="C283">
        <v>8.362E-2</v>
      </c>
      <c r="D283">
        <v>6.9849999999999995E-2</v>
      </c>
      <c r="E283">
        <v>7.0190000000000002E-2</v>
      </c>
      <c r="F283">
        <v>262585895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-0.95061728395061629</v>
      </c>
      <c r="Q283">
        <f t="shared" si="965"/>
        <v>-249618690.3086417</v>
      </c>
      <c r="R283">
        <f t="shared" si="966"/>
        <v>-6017042949.185955</v>
      </c>
      <c r="S283">
        <f t="shared" si="967"/>
        <v>-60170.429491859548</v>
      </c>
      <c r="T283">
        <f t="shared" si="968"/>
        <v>-60.170429491859551</v>
      </c>
    </row>
    <row r="284" spans="1:20" x14ac:dyDescent="0.25">
      <c r="A284" s="5">
        <v>44309</v>
      </c>
      <c r="B284">
        <v>8.4180000000000005E-2</v>
      </c>
      <c r="C284">
        <v>8.5099999999999995E-2</v>
      </c>
      <c r="D284">
        <v>6.13E-2</v>
      </c>
      <c r="E284">
        <v>7.9990000000000006E-2</v>
      </c>
      <c r="F284">
        <v>317662589.5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0.5705882352941184</v>
      </c>
      <c r="Q284">
        <f t="shared" si="965"/>
        <v>181254536.36176494</v>
      </c>
      <c r="R284">
        <f t="shared" si="966"/>
        <v>-5767424258.8773136</v>
      </c>
      <c r="S284">
        <f t="shared" si="967"/>
        <v>-57674.242588773137</v>
      </c>
      <c r="T284">
        <f t="shared" si="968"/>
        <v>-57.67424258877314</v>
      </c>
    </row>
    <row r="285" spans="1:20" x14ac:dyDescent="0.25">
      <c r="A285" s="5">
        <v>44308</v>
      </c>
      <c r="B285">
        <v>9.7879999999999995E-2</v>
      </c>
      <c r="C285">
        <v>0.10471</v>
      </c>
      <c r="D285">
        <v>8.2830000000000001E-2</v>
      </c>
      <c r="E285">
        <v>8.4290000000000004E-2</v>
      </c>
      <c r="F285">
        <v>246891438.09999999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-0.86654478976233973</v>
      </c>
      <c r="Q285">
        <f t="shared" si="965"/>
        <v>-213942489.32248622</v>
      </c>
      <c r="R285">
        <f t="shared" si="966"/>
        <v>-5948678795.2390785</v>
      </c>
      <c r="S285">
        <f t="shared" si="967"/>
        <v>-59486.787952390783</v>
      </c>
      <c r="T285">
        <f t="shared" si="968"/>
        <v>-59.486787952390785</v>
      </c>
    </row>
    <row r="286" spans="1:20" x14ac:dyDescent="0.25">
      <c r="A286" s="5">
        <v>44307</v>
      </c>
      <c r="B286">
        <v>0.10366</v>
      </c>
      <c r="C286">
        <v>0.1188</v>
      </c>
      <c r="D286">
        <v>9.6449999999999994E-2</v>
      </c>
      <c r="E286">
        <v>9.8000000000000004E-2</v>
      </c>
      <c r="F286">
        <v>275781826.69999999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-0.86129753914988738</v>
      </c>
      <c r="Q286">
        <f t="shared" si="965"/>
        <v>-237530208.67897069</v>
      </c>
      <c r="R286">
        <f t="shared" si="966"/>
        <v>-5734736305.9165926</v>
      </c>
      <c r="S286">
        <f t="shared" si="967"/>
        <v>-57347.363059165924</v>
      </c>
      <c r="T286">
        <f t="shared" si="968"/>
        <v>-57.347363059165922</v>
      </c>
    </row>
    <row r="287" spans="1:20" x14ac:dyDescent="0.25">
      <c r="A287" s="5">
        <v>44306</v>
      </c>
      <c r="B287">
        <v>0.10218000000000001</v>
      </c>
      <c r="C287">
        <v>0.11246</v>
      </c>
      <c r="D287">
        <v>0.09</v>
      </c>
      <c r="E287">
        <v>0.10363</v>
      </c>
      <c r="F287">
        <v>218242454.90000001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0.21371326803205687</v>
      </c>
      <c r="Q287">
        <f t="shared" si="965"/>
        <v>46641308.260017782</v>
      </c>
      <c r="R287">
        <f t="shared" si="966"/>
        <v>-5497206097.2376223</v>
      </c>
      <c r="S287">
        <f t="shared" si="967"/>
        <v>-54972.060972376225</v>
      </c>
      <c r="T287">
        <f t="shared" si="968"/>
        <v>-54.972060972376227</v>
      </c>
    </row>
    <row r="288" spans="1:20" x14ac:dyDescent="0.25">
      <c r="A288" s="5">
        <v>44305</v>
      </c>
      <c r="B288">
        <v>0.11457000000000001</v>
      </c>
      <c r="C288">
        <v>0.1275</v>
      </c>
      <c r="D288">
        <v>0.10101</v>
      </c>
      <c r="E288">
        <v>0.10199999999999999</v>
      </c>
      <c r="F288">
        <v>200010403.30000001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-0.9252548131370335</v>
      </c>
      <c r="Q288">
        <f t="shared" si="965"/>
        <v>-185060588.33080423</v>
      </c>
      <c r="R288">
        <f t="shared" si="966"/>
        <v>-5543847405.4976397</v>
      </c>
      <c r="S288">
        <f t="shared" si="967"/>
        <v>-55438.474054976396</v>
      </c>
      <c r="T288">
        <f t="shared" si="968"/>
        <v>-55.438474054976396</v>
      </c>
    </row>
    <row r="289" spans="1:20" x14ac:dyDescent="0.25">
      <c r="A289" s="5">
        <v>44304</v>
      </c>
      <c r="B289">
        <v>0.13938</v>
      </c>
      <c r="C289">
        <v>0.14532</v>
      </c>
      <c r="D289">
        <v>9.6820000000000003E-2</v>
      </c>
      <c r="E289">
        <v>0.11484999999999999</v>
      </c>
      <c r="F289">
        <v>251259417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-0.25649484536082517</v>
      </c>
      <c r="Q289">
        <f t="shared" si="965"/>
        <v>-64446745.308866091</v>
      </c>
      <c r="R289">
        <f t="shared" si="966"/>
        <v>-5358786817.1668358</v>
      </c>
      <c r="S289">
        <f t="shared" si="967"/>
        <v>-53587.868171668357</v>
      </c>
      <c r="T289">
        <f t="shared" si="968"/>
        <v>-53.587868171668354</v>
      </c>
    </row>
    <row r="290" spans="1:20" x14ac:dyDescent="0.25">
      <c r="A290" s="5">
        <v>44303</v>
      </c>
      <c r="B290">
        <v>0.14224999999999999</v>
      </c>
      <c r="C290">
        <v>0.15289</v>
      </c>
      <c r="D290">
        <v>0.13236000000000001</v>
      </c>
      <c r="E290">
        <v>0.13961999999999999</v>
      </c>
      <c r="F290">
        <v>360431185.30000001</v>
      </c>
      <c r="G290">
        <v>0</v>
      </c>
      <c r="L290" t="s">
        <v>7</v>
      </c>
      <c r="M290" t="s">
        <v>7</v>
      </c>
      <c r="N290" t="s">
        <v>8</v>
      </c>
      <c r="P290">
        <f t="shared" si="964"/>
        <v>-0.29274232830004954</v>
      </c>
      <c r="Q290">
        <f t="shared" si="965"/>
        <v>-105513464.37666859</v>
      </c>
      <c r="R290">
        <f t="shared" si="966"/>
        <v>-5294340071.8579693</v>
      </c>
      <c r="S290">
        <f t="shared" si="967"/>
        <v>-52943.400718579695</v>
      </c>
      <c r="T290">
        <f t="shared" si="968"/>
        <v>-52.943400718579696</v>
      </c>
    </row>
    <row r="291" spans="1:20" x14ac:dyDescent="0.25">
      <c r="A291" s="5">
        <v>44302</v>
      </c>
      <c r="B291">
        <v>0.12981000000000001</v>
      </c>
      <c r="C291">
        <v>0.16481000000000001</v>
      </c>
      <c r="D291">
        <v>0.1201</v>
      </c>
      <c r="E291">
        <v>0.14224999999999999</v>
      </c>
      <c r="F291">
        <v>509087959.39999998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-9.1702080071580233E-3</v>
      </c>
      <c r="Q291">
        <f t="shared" si="965"/>
        <v>-4668442.4816376185</v>
      </c>
      <c r="R291">
        <f t="shared" si="966"/>
        <v>-5188826607.4813004</v>
      </c>
      <c r="S291">
        <f t="shared" si="967"/>
        <v>-51888.266074813</v>
      </c>
      <c r="T291">
        <f t="shared" si="968"/>
        <v>-51.888266074813004</v>
      </c>
    </row>
    <row r="292" spans="1:20" x14ac:dyDescent="0.25">
      <c r="A292" s="5">
        <v>44301</v>
      </c>
      <c r="B292">
        <v>0.13367999999999999</v>
      </c>
      <c r="C292">
        <v>0.15</v>
      </c>
      <c r="D292">
        <v>0.12</v>
      </c>
      <c r="E292">
        <v>0.12981000000000001</v>
      </c>
      <c r="F292">
        <v>383707729.80000001</v>
      </c>
      <c r="G292">
        <v>0</v>
      </c>
      <c r="L292" t="s">
        <v>8</v>
      </c>
      <c r="M292" t="s">
        <v>8</v>
      </c>
      <c r="N292" t="s">
        <v>7</v>
      </c>
      <c r="P292">
        <f t="shared" si="964"/>
        <v>-0.34599999999999909</v>
      </c>
      <c r="Q292">
        <f t="shared" si="965"/>
        <v>-132762874.51079965</v>
      </c>
      <c r="R292">
        <f t="shared" si="966"/>
        <v>-5184158164.9996624</v>
      </c>
      <c r="S292">
        <f t="shared" si="967"/>
        <v>-51841.581649996624</v>
      </c>
      <c r="T292">
        <f t="shared" si="968"/>
        <v>-51.841581649996627</v>
      </c>
    </row>
    <row r="293" spans="1:20" x14ac:dyDescent="0.25">
      <c r="A293" s="5">
        <v>44300</v>
      </c>
      <c r="B293">
        <v>0.12468</v>
      </c>
      <c r="C293">
        <v>0.15340000000000001</v>
      </c>
      <c r="D293">
        <v>0.11559</v>
      </c>
      <c r="E293">
        <v>0.13306000000000001</v>
      </c>
      <c r="F293">
        <v>538023271.39999998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-7.5905845014545961E-2</v>
      </c>
      <c r="Q293">
        <f t="shared" si="965"/>
        <v>-40839111.053107396</v>
      </c>
      <c r="R293">
        <f t="shared" si="966"/>
        <v>-5051395290.488863</v>
      </c>
      <c r="S293">
        <f t="shared" si="967"/>
        <v>-50513.952904888632</v>
      </c>
      <c r="T293">
        <f t="shared" si="968"/>
        <v>-50.513952904888633</v>
      </c>
    </row>
    <row r="294" spans="1:20" x14ac:dyDescent="0.25">
      <c r="A294" s="5">
        <v>44299</v>
      </c>
      <c r="B294">
        <v>0.13075999999999999</v>
      </c>
      <c r="C294">
        <v>0.13653000000000001</v>
      </c>
      <c r="D294">
        <v>0.12237000000000001</v>
      </c>
      <c r="E294">
        <v>0.12438</v>
      </c>
      <c r="F294">
        <v>224113032.59999999</v>
      </c>
      <c r="G294">
        <v>0</v>
      </c>
      <c r="L294" t="s">
        <v>7</v>
      </c>
      <c r="M294" t="s">
        <v>7</v>
      </c>
      <c r="N294" t="s">
        <v>7</v>
      </c>
      <c r="P294">
        <f t="shared" si="964"/>
        <v>-0.71610169491525466</v>
      </c>
      <c r="Q294">
        <f t="shared" si="965"/>
        <v>-160487722.49745771</v>
      </c>
      <c r="R294">
        <f t="shared" si="966"/>
        <v>-5010556179.4357557</v>
      </c>
      <c r="S294">
        <f t="shared" si="967"/>
        <v>-50105.561794357556</v>
      </c>
      <c r="T294">
        <f t="shared" si="968"/>
        <v>-50.105561794357556</v>
      </c>
    </row>
    <row r="295" spans="1:20" x14ac:dyDescent="0.25">
      <c r="A295" s="5">
        <v>44298</v>
      </c>
      <c r="B295">
        <v>0.14616000000000001</v>
      </c>
      <c r="C295">
        <v>0.15195</v>
      </c>
      <c r="D295">
        <v>0.13</v>
      </c>
      <c r="E295">
        <v>0.13075999999999999</v>
      </c>
      <c r="F295">
        <v>267691267.09999999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-0.93075170842824761</v>
      </c>
      <c r="Q295">
        <f t="shared" si="965"/>
        <v>-249154104.18464735</v>
      </c>
      <c r="R295">
        <f t="shared" si="966"/>
        <v>-4850068456.9382982</v>
      </c>
      <c r="S295">
        <f t="shared" si="967"/>
        <v>-48500.684569382982</v>
      </c>
      <c r="T295">
        <f t="shared" si="968"/>
        <v>-48.500684569382983</v>
      </c>
    </row>
    <row r="296" spans="1:20" x14ac:dyDescent="0.25">
      <c r="A296" s="5">
        <v>44297</v>
      </c>
      <c r="B296">
        <v>0.13614000000000001</v>
      </c>
      <c r="C296">
        <v>0.16944999999999999</v>
      </c>
      <c r="D296">
        <v>0.13070000000000001</v>
      </c>
      <c r="E296">
        <v>0.14641999999999999</v>
      </c>
      <c r="F296">
        <v>658293079.79999995</v>
      </c>
      <c r="G296">
        <v>0</v>
      </c>
      <c r="L296" t="s">
        <v>8</v>
      </c>
      <c r="M296" t="s">
        <v>8</v>
      </c>
      <c r="N296" t="s">
        <v>7</v>
      </c>
      <c r="P296">
        <f t="shared" si="964"/>
        <v>-0.18864516129032297</v>
      </c>
      <c r="Q296">
        <f t="shared" si="965"/>
        <v>-124183804.21517444</v>
      </c>
      <c r="R296">
        <f t="shared" si="966"/>
        <v>-4600914352.7536507</v>
      </c>
      <c r="S296">
        <f t="shared" si="967"/>
        <v>-46009.143527536507</v>
      </c>
      <c r="T296">
        <f t="shared" si="968"/>
        <v>-46.009143527536509</v>
      </c>
    </row>
    <row r="297" spans="1:20" x14ac:dyDescent="0.25">
      <c r="A297" s="5">
        <v>44296</v>
      </c>
      <c r="B297">
        <v>0.14219000000000001</v>
      </c>
      <c r="C297">
        <v>0.16059999999999999</v>
      </c>
      <c r="D297">
        <v>0.12605</v>
      </c>
      <c r="E297">
        <v>0.13568</v>
      </c>
      <c r="F297">
        <v>564250432.5</v>
      </c>
      <c r="G297">
        <v>0</v>
      </c>
      <c r="L297" t="s">
        <v>7</v>
      </c>
      <c r="M297" t="s">
        <v>7</v>
      </c>
      <c r="N297" t="s">
        <v>7</v>
      </c>
      <c r="P297">
        <f t="shared" si="964"/>
        <v>-0.44254703328509404</v>
      </c>
      <c r="Q297">
        <f t="shared" si="965"/>
        <v>-249707354.93270621</v>
      </c>
      <c r="R297">
        <f t="shared" si="966"/>
        <v>-4476730548.538476</v>
      </c>
      <c r="S297">
        <f t="shared" si="967"/>
        <v>-44767.305485384757</v>
      </c>
      <c r="T297">
        <f t="shared" si="968"/>
        <v>-44.76730548538476</v>
      </c>
    </row>
    <row r="298" spans="1:20" x14ac:dyDescent="0.25">
      <c r="A298" s="5">
        <v>44295</v>
      </c>
      <c r="B298">
        <v>0.16907</v>
      </c>
      <c r="C298">
        <v>0.17208999999999999</v>
      </c>
      <c r="D298">
        <v>0.13689999999999999</v>
      </c>
      <c r="E298">
        <v>0.14176</v>
      </c>
      <c r="F298">
        <v>581365310</v>
      </c>
      <c r="G298">
        <v>0</v>
      </c>
      <c r="L298" t="s">
        <v>7</v>
      </c>
      <c r="M298" t="s">
        <v>7</v>
      </c>
      <c r="N298" t="s">
        <v>8</v>
      </c>
      <c r="P298">
        <f t="shared" si="964"/>
        <v>-0.72378516624040901</v>
      </c>
      <c r="Q298">
        <f t="shared" si="965"/>
        <v>-420783587.54475689</v>
      </c>
      <c r="R298">
        <f t="shared" si="966"/>
        <v>-4227023193.6057696</v>
      </c>
      <c r="S298">
        <f t="shared" si="967"/>
        <v>-42270.231936057695</v>
      </c>
      <c r="T298">
        <f t="shared" si="968"/>
        <v>-42.270231936057698</v>
      </c>
    </row>
    <row r="299" spans="1:20" x14ac:dyDescent="0.25">
      <c r="A299" s="5">
        <v>44294</v>
      </c>
      <c r="B299">
        <v>0.10883</v>
      </c>
      <c r="C299">
        <v>0.184</v>
      </c>
      <c r="D299">
        <v>0.1066</v>
      </c>
      <c r="E299">
        <v>0.16899</v>
      </c>
      <c r="F299">
        <v>1482746288.2</v>
      </c>
      <c r="G299">
        <v>0</v>
      </c>
      <c r="L299" t="s">
        <v>8</v>
      </c>
      <c r="M299" t="s">
        <v>8</v>
      </c>
      <c r="N299" t="s">
        <v>8</v>
      </c>
      <c r="P299">
        <f t="shared" si="964"/>
        <v>0.61214470284237732</v>
      </c>
      <c r="Q299">
        <f t="shared" si="965"/>
        <v>907655285.98082697</v>
      </c>
      <c r="R299">
        <f t="shared" si="966"/>
        <v>-3806239606.0610127</v>
      </c>
      <c r="S299">
        <f t="shared" si="967"/>
        <v>-38062.396060610125</v>
      </c>
      <c r="T299">
        <f t="shared" si="968"/>
        <v>-38.062396060610126</v>
      </c>
    </row>
    <row r="300" spans="1:20" x14ac:dyDescent="0.25">
      <c r="A300" s="5">
        <v>44293</v>
      </c>
      <c r="B300">
        <v>0.12898999999999999</v>
      </c>
      <c r="C300">
        <v>0.13245000000000001</v>
      </c>
      <c r="D300">
        <v>9.6070000000000003E-2</v>
      </c>
      <c r="E300">
        <v>0.10868</v>
      </c>
      <c r="F300">
        <v>510312027.10000002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-0.30676195711929671</v>
      </c>
      <c r="Q300">
        <f t="shared" si="965"/>
        <v>-156544316.17471159</v>
      </c>
      <c r="R300">
        <f t="shared" si="966"/>
        <v>-4713894892.0418396</v>
      </c>
      <c r="S300">
        <f t="shared" si="967"/>
        <v>-47138.948920418399</v>
      </c>
      <c r="T300">
        <f t="shared" si="968"/>
        <v>-47.1389489204184</v>
      </c>
    </row>
    <row r="301" spans="1:20" x14ac:dyDescent="0.25">
      <c r="A301" s="5">
        <v>44292</v>
      </c>
      <c r="B301">
        <v>0.16127</v>
      </c>
      <c r="C301">
        <v>0.17899000000000001</v>
      </c>
      <c r="D301">
        <v>0.11700000000000001</v>
      </c>
      <c r="E301">
        <v>0.12898999999999999</v>
      </c>
      <c r="F301">
        <v>896151057.79999995</v>
      </c>
      <c r="G301">
        <v>0</v>
      </c>
      <c r="L301" t="s">
        <v>7</v>
      </c>
      <c r="M301" t="s">
        <v>7</v>
      </c>
      <c r="N301" t="s">
        <v>7</v>
      </c>
      <c r="P301">
        <f t="shared" si="964"/>
        <v>-0.61316341345378333</v>
      </c>
      <c r="Q301">
        <f t="shared" si="965"/>
        <v>-549487041.5708667</v>
      </c>
      <c r="R301">
        <f t="shared" si="966"/>
        <v>-4557350575.8671284</v>
      </c>
      <c r="S301">
        <f t="shared" si="967"/>
        <v>-45573.505758671286</v>
      </c>
      <c r="T301">
        <f t="shared" si="968"/>
        <v>-45.573505758671288</v>
      </c>
    </row>
    <row r="302" spans="1:20" x14ac:dyDescent="0.25">
      <c r="A302" s="5">
        <v>44291</v>
      </c>
      <c r="B302">
        <v>0.09</v>
      </c>
      <c r="C302">
        <v>0.19900000000000001</v>
      </c>
      <c r="D302">
        <v>8.9990000000000001E-2</v>
      </c>
      <c r="E302">
        <v>0.16142999999999999</v>
      </c>
      <c r="F302">
        <v>4017232530.5999999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0.31070543986790172</v>
      </c>
      <c r="Q302">
        <f t="shared" si="965"/>
        <v>1248176000.4717169</v>
      </c>
      <c r="R302">
        <f t="shared" si="966"/>
        <v>-4007863534.2962618</v>
      </c>
      <c r="S302">
        <f t="shared" si="967"/>
        <v>-40078.635342962618</v>
      </c>
      <c r="T302">
        <f t="shared" si="968"/>
        <v>-40.07863534296262</v>
      </c>
    </row>
    <row r="303" spans="1:20" x14ac:dyDescent="0.25">
      <c r="A303" s="5">
        <v>44290</v>
      </c>
      <c r="B303">
        <v>6.0449999999999997E-2</v>
      </c>
      <c r="C303">
        <v>0.11700000000000001</v>
      </c>
      <c r="D303">
        <v>5.7250000000000002E-2</v>
      </c>
      <c r="E303">
        <v>0.09</v>
      </c>
      <c r="F303">
        <v>2057517928.2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9.6234309623430686E-2</v>
      </c>
      <c r="Q303">
        <f t="shared" si="965"/>
        <v>198003817.35815844</v>
      </c>
      <c r="R303">
        <f t="shared" si="966"/>
        <v>-5256039534.7679787</v>
      </c>
      <c r="S303">
        <f t="shared" si="967"/>
        <v>-52560.395347679783</v>
      </c>
      <c r="T303">
        <f t="shared" si="968"/>
        <v>-52.56039534767978</v>
      </c>
    </row>
    <row r="304" spans="1:20" x14ac:dyDescent="0.25">
      <c r="A304" s="5">
        <v>44289</v>
      </c>
      <c r="B304">
        <v>6.5699999999999995E-2</v>
      </c>
      <c r="C304">
        <v>6.7449999999999996E-2</v>
      </c>
      <c r="D304">
        <v>5.9700000000000003E-2</v>
      </c>
      <c r="E304">
        <v>6.0449999999999997E-2</v>
      </c>
      <c r="F304">
        <v>181533672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-0.8064516129032272</v>
      </c>
      <c r="Q304">
        <f t="shared" si="965"/>
        <v>-146398122.58064541</v>
      </c>
      <c r="R304">
        <f t="shared" si="966"/>
        <v>-5454043352.1261368</v>
      </c>
      <c r="S304">
        <f t="shared" si="967"/>
        <v>-54540.433521261366</v>
      </c>
      <c r="T304">
        <f t="shared" si="968"/>
        <v>-54.540433521261363</v>
      </c>
    </row>
    <row r="305" spans="1:20" x14ac:dyDescent="0.25">
      <c r="A305" s="5">
        <v>44288</v>
      </c>
      <c r="B305">
        <v>6.5259999999999999E-2</v>
      </c>
      <c r="C305">
        <v>7.356E-2</v>
      </c>
      <c r="D305">
        <v>6.2839999999999993E-2</v>
      </c>
      <c r="E305">
        <v>6.5680000000000002E-2</v>
      </c>
      <c r="F305">
        <v>256026357.19999999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-0.47014925373134192</v>
      </c>
      <c r="Q305">
        <f t="shared" si="965"/>
        <v>-120370600.77313398</v>
      </c>
      <c r="R305">
        <f t="shared" si="966"/>
        <v>-5307645229.5454912</v>
      </c>
      <c r="S305">
        <f t="shared" si="967"/>
        <v>-53076.45229545491</v>
      </c>
      <c r="T305">
        <f t="shared" si="968"/>
        <v>-53.076452295454914</v>
      </c>
    </row>
    <row r="306" spans="1:20" x14ac:dyDescent="0.25">
      <c r="A306" s="5">
        <v>44287</v>
      </c>
      <c r="B306">
        <v>6.25E-2</v>
      </c>
      <c r="C306">
        <v>7.0000000000000007E-2</v>
      </c>
      <c r="D306">
        <v>6.139E-2</v>
      </c>
      <c r="E306">
        <v>6.5049999999999997E-2</v>
      </c>
      <c r="F306">
        <v>193289592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-0.14982578397212687</v>
      </c>
      <c r="Q306">
        <f t="shared" si="965"/>
        <v>-28959764.655052543</v>
      </c>
      <c r="R306">
        <f t="shared" si="966"/>
        <v>-5187274628.772357</v>
      </c>
      <c r="S306">
        <f t="shared" si="967"/>
        <v>-51872.746287723567</v>
      </c>
      <c r="T306">
        <f t="shared" si="968"/>
        <v>-51.872746287723565</v>
      </c>
    </row>
    <row r="307" spans="1:20" x14ac:dyDescent="0.25">
      <c r="A307" s="5">
        <v>44286</v>
      </c>
      <c r="B307">
        <v>6.5290000000000001E-2</v>
      </c>
      <c r="C307">
        <v>7.1819999999999995E-2</v>
      </c>
      <c r="D307">
        <v>5.8709999999999998E-2</v>
      </c>
      <c r="E307">
        <v>6.232E-2</v>
      </c>
      <c r="F307">
        <v>307626416.10000002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-0.44927536231884013</v>
      </c>
      <c r="Q307">
        <f t="shared" si="965"/>
        <v>-138208969.55217379</v>
      </c>
      <c r="R307">
        <f t="shared" si="966"/>
        <v>-5158314864.1173048</v>
      </c>
      <c r="S307">
        <f t="shared" si="967"/>
        <v>-51583.148641173051</v>
      </c>
      <c r="T307">
        <f t="shared" si="968"/>
        <v>-51.583148641173054</v>
      </c>
    </row>
    <row r="308" spans="1:20" x14ac:dyDescent="0.25">
      <c r="A308" s="5">
        <v>44285</v>
      </c>
      <c r="B308">
        <v>6.4949999999999994E-2</v>
      </c>
      <c r="C308">
        <v>6.5369999999999998E-2</v>
      </c>
      <c r="D308">
        <v>5.9130000000000002E-2</v>
      </c>
      <c r="E308">
        <v>6.5199999999999994E-2</v>
      </c>
      <c r="F308">
        <v>311879985.10000002</v>
      </c>
      <c r="G308">
        <v>0</v>
      </c>
      <c r="L308" t="s">
        <v>7</v>
      </c>
      <c r="M308" t="s">
        <v>7</v>
      </c>
      <c r="N308" t="s">
        <v>8</v>
      </c>
      <c r="P308">
        <f t="shared" si="964"/>
        <v>0.94551282051281937</v>
      </c>
      <c r="Q308">
        <f t="shared" si="965"/>
        <v>294886524.37339711</v>
      </c>
      <c r="R308">
        <f t="shared" si="966"/>
        <v>-5020105894.5651312</v>
      </c>
      <c r="S308">
        <f t="shared" si="967"/>
        <v>-50201.058945651312</v>
      </c>
      <c r="T308">
        <f t="shared" si="968"/>
        <v>-50.201058945651312</v>
      </c>
    </row>
    <row r="309" spans="1:20" x14ac:dyDescent="0.25">
      <c r="A309" s="5">
        <v>44284</v>
      </c>
      <c r="B309">
        <v>6.8720000000000003E-2</v>
      </c>
      <c r="C309">
        <v>7.4999999999999997E-2</v>
      </c>
      <c r="D309">
        <v>6.1170000000000002E-2</v>
      </c>
      <c r="E309">
        <v>6.4960000000000004E-2</v>
      </c>
      <c r="F309">
        <v>1095491574.4000001</v>
      </c>
      <c r="G309">
        <v>0</v>
      </c>
      <c r="L309" t="s">
        <v>7</v>
      </c>
      <c r="M309" t="s">
        <v>7</v>
      </c>
      <c r="N309" t="s">
        <v>8</v>
      </c>
      <c r="P309">
        <f t="shared" si="964"/>
        <v>-0.45191612436731698</v>
      </c>
      <c r="Q309">
        <f t="shared" si="965"/>
        <v>-495070306.57989836</v>
      </c>
      <c r="R309">
        <f t="shared" si="966"/>
        <v>-5314992418.9385281</v>
      </c>
      <c r="S309">
        <f t="shared" si="967"/>
        <v>-53149.924189385281</v>
      </c>
      <c r="T309">
        <f t="shared" si="968"/>
        <v>-53.149924189385281</v>
      </c>
    </row>
    <row r="310" spans="1:20" x14ac:dyDescent="0.25">
      <c r="A310" s="5">
        <v>44283</v>
      </c>
      <c r="B310">
        <v>4.6080000000000003E-2</v>
      </c>
      <c r="C310">
        <v>7.8899999999999998E-2</v>
      </c>
      <c r="D310">
        <v>4.48E-2</v>
      </c>
      <c r="E310">
        <v>6.8580000000000002E-2</v>
      </c>
      <c r="F310">
        <v>1858878133.8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0.39472140762463365</v>
      </c>
      <c r="Q310">
        <f t="shared" si="965"/>
        <v>733738993.57618809</v>
      </c>
      <c r="R310">
        <f t="shared" si="966"/>
        <v>-4819922112.3586302</v>
      </c>
      <c r="S310">
        <f t="shared" si="967"/>
        <v>-48199.2211235863</v>
      </c>
      <c r="T310">
        <f t="shared" si="968"/>
        <v>-48.199221123586298</v>
      </c>
    </row>
    <row r="311" spans="1:20" x14ac:dyDescent="0.25">
      <c r="A311" s="5">
        <v>44282</v>
      </c>
      <c r="B311">
        <v>4.7E-2</v>
      </c>
      <c r="C311">
        <v>4.7849999999999997E-2</v>
      </c>
      <c r="D311">
        <v>4.3409999999999997E-2</v>
      </c>
      <c r="E311">
        <v>4.6100000000000002E-2</v>
      </c>
      <c r="F311">
        <v>95840057.200000003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0.21171171171171405</v>
      </c>
      <c r="Q311">
        <f t="shared" si="965"/>
        <v>20290462.560360584</v>
      </c>
      <c r="R311">
        <f t="shared" si="966"/>
        <v>-5553661105.9348183</v>
      </c>
      <c r="S311">
        <f t="shared" si="967"/>
        <v>-55536.611059348186</v>
      </c>
      <c r="T311">
        <f t="shared" si="968"/>
        <v>-55.536611059348189</v>
      </c>
    </row>
    <row r="312" spans="1:20" x14ac:dyDescent="0.25">
      <c r="A312" s="5">
        <v>44281</v>
      </c>
      <c r="B312">
        <v>4.0620000000000003E-2</v>
      </c>
      <c r="C312">
        <v>4.8460000000000003E-2</v>
      </c>
      <c r="D312">
        <v>4.0509999999999997E-2</v>
      </c>
      <c r="E312">
        <v>4.6929999999999999E-2</v>
      </c>
      <c r="F312">
        <v>135499153.69999999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0.61509433962264093</v>
      </c>
      <c r="Q312">
        <f t="shared" si="965"/>
        <v>83344762.464528218</v>
      </c>
      <c r="R312">
        <f t="shared" si="966"/>
        <v>-5573951568.4951792</v>
      </c>
      <c r="S312">
        <f t="shared" si="967"/>
        <v>-55739.515684951795</v>
      </c>
      <c r="T312">
        <f t="shared" si="968"/>
        <v>-55.739515684951797</v>
      </c>
    </row>
    <row r="313" spans="1:20" x14ac:dyDescent="0.25">
      <c r="A313" s="5">
        <v>44280</v>
      </c>
      <c r="B313">
        <v>4.3900000000000002E-2</v>
      </c>
      <c r="C313">
        <v>4.4819999999999999E-2</v>
      </c>
      <c r="D313">
        <v>3.8460000000000001E-2</v>
      </c>
      <c r="E313">
        <v>4.0629999999999999E-2</v>
      </c>
      <c r="F313">
        <v>138254600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-0.31761006289308202</v>
      </c>
      <c r="Q313">
        <f t="shared" si="965"/>
        <v>-43911052.201257899</v>
      </c>
      <c r="R313">
        <f t="shared" si="966"/>
        <v>-5657296330.9597073</v>
      </c>
      <c r="S313">
        <f t="shared" si="967"/>
        <v>-56572.963309597071</v>
      </c>
      <c r="T313">
        <f t="shared" si="968"/>
        <v>-56.572963309597071</v>
      </c>
    </row>
    <row r="314" spans="1:20" x14ac:dyDescent="0.25">
      <c r="A314" s="5">
        <v>44279</v>
      </c>
      <c r="B314">
        <v>4.5030000000000001E-2</v>
      </c>
      <c r="C314">
        <v>5.1999999999999998E-2</v>
      </c>
      <c r="D314">
        <v>4.258E-2</v>
      </c>
      <c r="E314">
        <v>4.3799999999999999E-2</v>
      </c>
      <c r="F314">
        <v>209820986.69999999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-0.74097664543524433</v>
      </c>
      <c r="Q314">
        <f t="shared" si="965"/>
        <v>-155472450.86687902</v>
      </c>
      <c r="R314">
        <f t="shared" si="966"/>
        <v>-5613385278.7584496</v>
      </c>
      <c r="S314">
        <f t="shared" si="967"/>
        <v>-56133.852787584496</v>
      </c>
      <c r="T314">
        <f t="shared" si="968"/>
        <v>-56.133852787584495</v>
      </c>
    </row>
    <row r="315" spans="1:20" x14ac:dyDescent="0.25">
      <c r="A315" s="5">
        <v>44278</v>
      </c>
      <c r="B315">
        <v>4.5929999999999999E-2</v>
      </c>
      <c r="C315">
        <v>4.7809999999999998E-2</v>
      </c>
      <c r="D315">
        <v>4.1250000000000002E-2</v>
      </c>
      <c r="E315">
        <v>4.5039999999999997E-2</v>
      </c>
      <c r="F315">
        <v>208409675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0.15548780487804781</v>
      </c>
      <c r="Q315">
        <f t="shared" si="965"/>
        <v>32405162.881097358</v>
      </c>
      <c r="R315">
        <f t="shared" si="966"/>
        <v>-5457912827.8915701</v>
      </c>
      <c r="S315">
        <f t="shared" si="967"/>
        <v>-54579.128278915698</v>
      </c>
      <c r="T315">
        <f t="shared" si="968"/>
        <v>-54.579128278915697</v>
      </c>
    </row>
    <row r="316" spans="1:20" x14ac:dyDescent="0.25">
      <c r="A316" s="5">
        <v>44277</v>
      </c>
      <c r="B316">
        <v>5.1869999999999999E-2</v>
      </c>
      <c r="C316">
        <v>5.4080000000000003E-2</v>
      </c>
      <c r="D316">
        <v>4.5269999999999998E-2</v>
      </c>
      <c r="E316">
        <v>4.5949999999999998E-2</v>
      </c>
      <c r="F316">
        <v>235114133.30000001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-0.84562996594778672</v>
      </c>
      <c r="Q316">
        <f t="shared" si="965"/>
        <v>-198819556.53632239</v>
      </c>
      <c r="R316">
        <f t="shared" si="966"/>
        <v>-5490317990.7726679</v>
      </c>
      <c r="S316">
        <f t="shared" si="967"/>
        <v>-54903.179907726677</v>
      </c>
      <c r="T316">
        <f t="shared" si="968"/>
        <v>-54.903179907726674</v>
      </c>
    </row>
    <row r="317" spans="1:20" x14ac:dyDescent="0.25">
      <c r="A317" s="5">
        <v>44276</v>
      </c>
      <c r="B317">
        <v>4.965E-2</v>
      </c>
      <c r="C317">
        <v>5.2010000000000001E-2</v>
      </c>
      <c r="D317">
        <v>4.666E-2</v>
      </c>
      <c r="E317">
        <v>5.2010000000000001E-2</v>
      </c>
      <c r="F317">
        <v>229949119.19999999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1</v>
      </c>
      <c r="Q317">
        <f t="shared" si="965"/>
        <v>229949119.19999999</v>
      </c>
      <c r="R317">
        <f t="shared" si="966"/>
        <v>-5291498434.2363453</v>
      </c>
      <c r="S317">
        <f t="shared" si="967"/>
        <v>-52914.984342363452</v>
      </c>
      <c r="T317">
        <f t="shared" si="968"/>
        <v>-52.914984342363454</v>
      </c>
    </row>
    <row r="318" spans="1:20" x14ac:dyDescent="0.25">
      <c r="A318" s="5">
        <v>44275</v>
      </c>
      <c r="B318">
        <v>5.3999999999999999E-2</v>
      </c>
      <c r="C318">
        <v>5.6439999999999997E-2</v>
      </c>
      <c r="D318">
        <v>4.9579999999999999E-2</v>
      </c>
      <c r="E318">
        <v>4.972E-2</v>
      </c>
      <c r="F318">
        <v>272211798.89999998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-0.95918367346938738</v>
      </c>
      <c r="Q318">
        <f t="shared" si="965"/>
        <v>-261101113.23061213</v>
      </c>
      <c r="R318">
        <f t="shared" si="966"/>
        <v>-5521447553.4363451</v>
      </c>
      <c r="S318">
        <f t="shared" si="967"/>
        <v>-55214.475534363453</v>
      </c>
      <c r="T318">
        <f t="shared" si="968"/>
        <v>-55.214475534363451</v>
      </c>
    </row>
    <row r="319" spans="1:20" x14ac:dyDescent="0.25">
      <c r="A319" s="5">
        <v>44274</v>
      </c>
      <c r="B319">
        <v>5.1569999999999998E-2</v>
      </c>
      <c r="C319">
        <v>5.6750000000000002E-2</v>
      </c>
      <c r="D319">
        <v>5.0220000000000001E-2</v>
      </c>
      <c r="E319">
        <v>5.3990000000000003E-2</v>
      </c>
      <c r="F319">
        <v>321863771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0.15467075038284897</v>
      </c>
      <c r="Q319">
        <f t="shared" si="965"/>
        <v>49782910.981623463</v>
      </c>
      <c r="R319">
        <f t="shared" si="966"/>
        <v>-5260346440.2057333</v>
      </c>
      <c r="S319">
        <f t="shared" si="967"/>
        <v>-52603.464402057332</v>
      </c>
      <c r="T319">
        <f t="shared" si="968"/>
        <v>-52.603464402057334</v>
      </c>
    </row>
    <row r="320" spans="1:20" x14ac:dyDescent="0.25">
      <c r="A320" s="5">
        <v>44273</v>
      </c>
      <c r="B320">
        <v>5.5059999999999998E-2</v>
      </c>
      <c r="C320">
        <v>6.055E-2</v>
      </c>
      <c r="D320">
        <v>5.0209999999999998E-2</v>
      </c>
      <c r="E320">
        <v>5.1549999999999999E-2</v>
      </c>
      <c r="F320">
        <v>566054090.89999998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-0.74081237911025133</v>
      </c>
      <c r="Q320">
        <f t="shared" si="965"/>
        <v>-419339877.78471947</v>
      </c>
      <c r="R320">
        <f t="shared" si="966"/>
        <v>-5310129351.1873569</v>
      </c>
      <c r="S320">
        <f t="shared" si="967"/>
        <v>-53101.29351187357</v>
      </c>
      <c r="T320">
        <f t="shared" si="968"/>
        <v>-53.101293511873571</v>
      </c>
    </row>
    <row r="321" spans="1:20" x14ac:dyDescent="0.25">
      <c r="A321" s="5">
        <v>44272</v>
      </c>
      <c r="B321">
        <v>5.2139999999999999E-2</v>
      </c>
      <c r="C321">
        <v>7.5509999999999994E-2</v>
      </c>
      <c r="D321">
        <v>4.8120000000000003E-2</v>
      </c>
      <c r="E321">
        <v>5.5059999999999998E-2</v>
      </c>
      <c r="F321">
        <v>2339879250.5999999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-0.49324571011318019</v>
      </c>
      <c r="Q321">
        <f t="shared" si="965"/>
        <v>-1154135402.5412929</v>
      </c>
      <c r="R321">
        <f t="shared" si="966"/>
        <v>-4890789473.4026375</v>
      </c>
      <c r="S321">
        <f t="shared" si="967"/>
        <v>-48907.894734026377</v>
      </c>
      <c r="T321">
        <f t="shared" si="968"/>
        <v>-48.907894734026378</v>
      </c>
    </row>
    <row r="322" spans="1:20" x14ac:dyDescent="0.25">
      <c r="A322" s="5">
        <v>44271</v>
      </c>
      <c r="B322">
        <v>4.2799999999999998E-2</v>
      </c>
      <c r="C322">
        <v>7.8759999999999997E-2</v>
      </c>
      <c r="D322">
        <v>3.8719999999999997E-2</v>
      </c>
      <c r="E322">
        <v>5.2220000000000003E-2</v>
      </c>
      <c r="F322">
        <v>3272782785.1999998</v>
      </c>
      <c r="G322">
        <v>0</v>
      </c>
      <c r="L322" t="s">
        <v>8</v>
      </c>
      <c r="M322" t="s">
        <v>8</v>
      </c>
      <c r="N322" t="s">
        <v>8</v>
      </c>
      <c r="P322">
        <f t="shared" si="964"/>
        <v>-0.32567432567432542</v>
      </c>
      <c r="Q322">
        <f t="shared" si="965"/>
        <v>-1065861326.6485505</v>
      </c>
      <c r="R322">
        <f t="shared" si="966"/>
        <v>-3736654070.8613448</v>
      </c>
      <c r="S322">
        <f t="shared" si="967"/>
        <v>-37366.540708613451</v>
      </c>
      <c r="T322">
        <f t="shared" si="968"/>
        <v>-37.366540708613449</v>
      </c>
    </row>
    <row r="323" spans="1:20" x14ac:dyDescent="0.25">
      <c r="A323" s="5">
        <v>44270</v>
      </c>
      <c r="B323">
        <v>3.2599999999999997E-2</v>
      </c>
      <c r="C323">
        <v>4.4900000000000002E-2</v>
      </c>
      <c r="D323">
        <v>2.911E-2</v>
      </c>
      <c r="E323">
        <v>4.2799999999999998E-2</v>
      </c>
      <c r="F323">
        <v>457203177.80000001</v>
      </c>
      <c r="G323">
        <v>0</v>
      </c>
      <c r="L323" t="s">
        <v>7</v>
      </c>
      <c r="M323" t="s">
        <v>8</v>
      </c>
      <c r="N323" t="s">
        <v>8</v>
      </c>
      <c r="P323">
        <f t="shared" si="964"/>
        <v>0.73400886637112039</v>
      </c>
      <c r="Q323">
        <f t="shared" si="965"/>
        <v>335591186.23825181</v>
      </c>
      <c r="R323">
        <f t="shared" si="966"/>
        <v>-2670792744.2127943</v>
      </c>
      <c r="S323">
        <f t="shared" si="967"/>
        <v>-26707.927442127944</v>
      </c>
      <c r="T323">
        <f t="shared" si="968"/>
        <v>-26.707927442127943</v>
      </c>
    </row>
    <row r="324" spans="1:20" x14ac:dyDescent="0.25">
      <c r="A324" s="5">
        <v>44269</v>
      </c>
      <c r="B324">
        <v>3.422E-2</v>
      </c>
      <c r="C324">
        <v>3.5589999999999997E-2</v>
      </c>
      <c r="D324">
        <v>3.1699999999999999E-2</v>
      </c>
      <c r="E324">
        <v>3.2539999999999999E-2</v>
      </c>
      <c r="F324">
        <v>123303354.5</v>
      </c>
      <c r="G324">
        <v>0</v>
      </c>
      <c r="L324" t="s">
        <v>7</v>
      </c>
      <c r="M324" t="s">
        <v>8</v>
      </c>
      <c r="N324" t="s">
        <v>8</v>
      </c>
      <c r="P324">
        <f t="shared" si="964"/>
        <v>-0.56812339331619488</v>
      </c>
      <c r="Q324">
        <f t="shared" si="965"/>
        <v>-70051520.165809706</v>
      </c>
      <c r="R324">
        <f t="shared" si="966"/>
        <v>-3006383930.451046</v>
      </c>
      <c r="S324">
        <f t="shared" si="967"/>
        <v>-30063.83930451046</v>
      </c>
      <c r="T324">
        <f t="shared" si="968"/>
        <v>-30.063839304510459</v>
      </c>
    </row>
    <row r="325" spans="1:20" x14ac:dyDescent="0.25">
      <c r="A325" s="5">
        <v>44268</v>
      </c>
      <c r="B325">
        <v>3.0159999999999999E-2</v>
      </c>
      <c r="C325">
        <v>3.7199999999999997E-2</v>
      </c>
      <c r="D325">
        <v>2.9270000000000001E-2</v>
      </c>
      <c r="E325">
        <v>3.4299999999999997E-2</v>
      </c>
      <c r="F325">
        <v>238809899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0.26860025220680928</v>
      </c>
      <c r="Q325">
        <f t="shared" si="965"/>
        <v>64144399.100882649</v>
      </c>
      <c r="R325">
        <f t="shared" si="966"/>
        <v>-2936332410.2852364</v>
      </c>
      <c r="S325">
        <f t="shared" si="967"/>
        <v>-29363.324102852363</v>
      </c>
      <c r="T325">
        <f t="shared" si="968"/>
        <v>-29.363324102852363</v>
      </c>
    </row>
    <row r="326" spans="1:20" x14ac:dyDescent="0.25">
      <c r="A326" s="5">
        <v>44267</v>
      </c>
      <c r="B326">
        <v>3.2500000000000001E-2</v>
      </c>
      <c r="C326">
        <v>3.3619999999999997E-2</v>
      </c>
      <c r="D326">
        <v>2.8750000000000001E-2</v>
      </c>
      <c r="E326">
        <v>3.015E-2</v>
      </c>
      <c r="F326">
        <v>201552061.5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-0.42505133470225887</v>
      </c>
      <c r="Q326">
        <f t="shared" ref="Q326:Q389" si="970">F326*P326</f>
        <v>-85669972.75256677</v>
      </c>
      <c r="R326">
        <f t="shared" ref="R326:R389" si="971">R327+Q326</f>
        <v>-3000476809.3861189</v>
      </c>
      <c r="S326">
        <f t="shared" ref="S326:S389" si="972">R326/100000</f>
        <v>-30004.768093861188</v>
      </c>
      <c r="T326">
        <f t="shared" ref="T326:T389" si="973">S326/1000</f>
        <v>-30.004768093861188</v>
      </c>
    </row>
    <row r="327" spans="1:20" x14ac:dyDescent="0.25">
      <c r="A327" s="5">
        <v>44266</v>
      </c>
      <c r="B327">
        <v>2.9690000000000001E-2</v>
      </c>
      <c r="C327">
        <v>3.7490000000000002E-2</v>
      </c>
      <c r="D327">
        <v>2.9000000000000001E-2</v>
      </c>
      <c r="E327">
        <v>3.2480000000000002E-2</v>
      </c>
      <c r="F327">
        <v>354911784.39999998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-0.18021201413427562</v>
      </c>
      <c r="Q327">
        <f t="shared" si="970"/>
        <v>-63959367.506713778</v>
      </c>
      <c r="R327">
        <f t="shared" si="971"/>
        <v>-2914806836.6335521</v>
      </c>
      <c r="S327">
        <f t="shared" si="972"/>
        <v>-29148.068366335519</v>
      </c>
      <c r="T327">
        <f t="shared" si="973"/>
        <v>-29.148068366335519</v>
      </c>
    </row>
    <row r="328" spans="1:20" x14ac:dyDescent="0.25">
      <c r="A328" s="5">
        <v>44265</v>
      </c>
      <c r="B328">
        <v>2.6890000000000001E-2</v>
      </c>
      <c r="C328">
        <v>3.39E-2</v>
      </c>
      <c r="D328">
        <v>2.5149999999999999E-2</v>
      </c>
      <c r="E328">
        <v>2.9520000000000001E-2</v>
      </c>
      <c r="F328">
        <v>346935883.39999998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-1.1428571428566997E-3</v>
      </c>
      <c r="Q328">
        <f t="shared" si="970"/>
        <v>-396498.1524569891</v>
      </c>
      <c r="R328">
        <f t="shared" si="971"/>
        <v>-2850847469.1268382</v>
      </c>
      <c r="S328">
        <f t="shared" si="972"/>
        <v>-28508.47469126838</v>
      </c>
      <c r="T328">
        <f t="shared" si="973"/>
        <v>-28.508474691268379</v>
      </c>
    </row>
    <row r="329" spans="1:20" x14ac:dyDescent="0.25">
      <c r="A329" s="5">
        <v>44264</v>
      </c>
      <c r="B329">
        <v>2.4140000000000002E-2</v>
      </c>
      <c r="C329">
        <v>2.8000000000000001E-2</v>
      </c>
      <c r="D329">
        <v>2.3740000000000001E-2</v>
      </c>
      <c r="E329">
        <v>2.691E-2</v>
      </c>
      <c r="F329">
        <v>165044610.09999999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0.48826291079812173</v>
      </c>
      <c r="Q329">
        <f t="shared" si="970"/>
        <v>80585161.738967076</v>
      </c>
      <c r="R329">
        <f t="shared" si="971"/>
        <v>-2850450970.9743814</v>
      </c>
      <c r="S329">
        <f t="shared" si="972"/>
        <v>-28504.509709743816</v>
      </c>
      <c r="T329">
        <f t="shared" si="973"/>
        <v>-28.504509709743814</v>
      </c>
    </row>
    <row r="330" spans="1:20" x14ac:dyDescent="0.25">
      <c r="A330" s="5">
        <v>44263</v>
      </c>
      <c r="B330">
        <v>2.401E-2</v>
      </c>
      <c r="C330">
        <v>2.46E-2</v>
      </c>
      <c r="D330">
        <v>2.2769999999999999E-2</v>
      </c>
      <c r="E330">
        <v>2.4140000000000002E-2</v>
      </c>
      <c r="F330">
        <v>81045352.799999997</v>
      </c>
      <c r="G330">
        <v>0</v>
      </c>
      <c r="L330" t="s">
        <v>7</v>
      </c>
      <c r="M330" t="s">
        <v>8</v>
      </c>
      <c r="N330" t="s">
        <v>7</v>
      </c>
      <c r="P330">
        <f t="shared" si="969"/>
        <v>0.49726775956284353</v>
      </c>
      <c r="Q330">
        <f t="shared" si="970"/>
        <v>40301241.009836227</v>
      </c>
      <c r="R330">
        <f t="shared" si="971"/>
        <v>-2931036132.7133484</v>
      </c>
      <c r="S330">
        <f t="shared" si="972"/>
        <v>-29310.361327133483</v>
      </c>
      <c r="T330">
        <f t="shared" si="973"/>
        <v>-29.310361327133485</v>
      </c>
    </row>
    <row r="331" spans="1:20" x14ac:dyDescent="0.25">
      <c r="A331" s="5">
        <v>44262</v>
      </c>
      <c r="B331">
        <v>2.2599999999999999E-2</v>
      </c>
      <c r="C331">
        <v>2.6069999999999999E-2</v>
      </c>
      <c r="D331">
        <v>2.2210000000000001E-2</v>
      </c>
      <c r="E331">
        <v>2.3939999999999999E-2</v>
      </c>
      <c r="F331">
        <v>116585603.59999999</v>
      </c>
      <c r="G331">
        <v>0</v>
      </c>
      <c r="L331" t="s">
        <v>8</v>
      </c>
      <c r="M331" t="s">
        <v>8</v>
      </c>
      <c r="N331" t="s">
        <v>7</v>
      </c>
      <c r="P331">
        <f t="shared" si="969"/>
        <v>-0.10362694300518165</v>
      </c>
      <c r="Q331">
        <f t="shared" si="970"/>
        <v>-12081409.699481899</v>
      </c>
      <c r="R331">
        <f t="shared" si="971"/>
        <v>-2971337373.7231846</v>
      </c>
      <c r="S331">
        <f t="shared" si="972"/>
        <v>-29713.373737231846</v>
      </c>
      <c r="T331">
        <f t="shared" si="973"/>
        <v>-29.713373737231848</v>
      </c>
    </row>
    <row r="332" spans="1:20" x14ac:dyDescent="0.25">
      <c r="A332" s="5">
        <v>44261</v>
      </c>
      <c r="B332">
        <v>2.3310000000000001E-2</v>
      </c>
      <c r="C332">
        <v>2.3699999999999999E-2</v>
      </c>
      <c r="D332">
        <v>2.18E-2</v>
      </c>
      <c r="E332">
        <v>2.257E-2</v>
      </c>
      <c r="F332">
        <v>95436536.700000003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-0.18947368421052602</v>
      </c>
      <c r="Q332">
        <f t="shared" si="970"/>
        <v>-18082712.216842078</v>
      </c>
      <c r="R332">
        <f t="shared" si="971"/>
        <v>-2959255964.0237026</v>
      </c>
      <c r="S332">
        <f t="shared" si="972"/>
        <v>-29592.559640237025</v>
      </c>
      <c r="T332">
        <f t="shared" si="973"/>
        <v>-29.592559640237024</v>
      </c>
    </row>
    <row r="333" spans="1:20" x14ac:dyDescent="0.25">
      <c r="A333" s="5">
        <v>44260</v>
      </c>
      <c r="B333">
        <v>2.0539999999999999E-2</v>
      </c>
      <c r="C333">
        <v>2.6380000000000001E-2</v>
      </c>
      <c r="D333">
        <v>1.958E-2</v>
      </c>
      <c r="E333">
        <v>2.3279999999999999E-2</v>
      </c>
      <c r="F333">
        <v>307236724.80000001</v>
      </c>
      <c r="G333">
        <v>0</v>
      </c>
      <c r="L333" t="s">
        <v>7</v>
      </c>
      <c r="M333" t="s">
        <v>8</v>
      </c>
      <c r="N333" t="s">
        <v>7</v>
      </c>
      <c r="P333">
        <f t="shared" si="969"/>
        <v>8.8235294117646523E-2</v>
      </c>
      <c r="Q333">
        <f t="shared" si="970"/>
        <v>27109122.776470426</v>
      </c>
      <c r="R333">
        <f t="shared" si="971"/>
        <v>-2941173251.8068604</v>
      </c>
      <c r="S333">
        <f t="shared" si="972"/>
        <v>-29411.732518068606</v>
      </c>
      <c r="T333">
        <f t="shared" si="973"/>
        <v>-29.411732518068607</v>
      </c>
    </row>
    <row r="334" spans="1:20" x14ac:dyDescent="0.25">
      <c r="A334" s="5">
        <v>44259</v>
      </c>
      <c r="B334">
        <v>2.12E-2</v>
      </c>
      <c r="C334">
        <v>2.1360000000000001E-2</v>
      </c>
      <c r="D334">
        <v>0.02</v>
      </c>
      <c r="E334">
        <v>2.0549999999999999E-2</v>
      </c>
      <c r="F334">
        <v>76620327.900000006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-0.1911764705882377</v>
      </c>
      <c r="Q334">
        <f t="shared" si="970"/>
        <v>-14648003.863235479</v>
      </c>
      <c r="R334">
        <f t="shared" si="971"/>
        <v>-2968282374.5833311</v>
      </c>
      <c r="S334">
        <f t="shared" si="972"/>
        <v>-29682.82374583331</v>
      </c>
      <c r="T334">
        <f t="shared" si="973"/>
        <v>-29.682823745833311</v>
      </c>
    </row>
    <row r="335" spans="1:20" x14ac:dyDescent="0.25">
      <c r="A335" s="5">
        <v>44258</v>
      </c>
      <c r="B335">
        <v>2.0709999999999999E-2</v>
      </c>
      <c r="C335">
        <v>2.1669999999999998E-2</v>
      </c>
      <c r="D335">
        <v>2.0330000000000001E-2</v>
      </c>
      <c r="E335">
        <v>2.1100000000000001E-2</v>
      </c>
      <c r="F335">
        <v>106130108.3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0.14925373134328554</v>
      </c>
      <c r="Q335">
        <f t="shared" si="970"/>
        <v>15840314.671641998</v>
      </c>
      <c r="R335">
        <f t="shared" si="971"/>
        <v>-2953634370.7200956</v>
      </c>
      <c r="S335">
        <f t="shared" si="972"/>
        <v>-29536.343707200955</v>
      </c>
      <c r="T335">
        <f t="shared" si="973"/>
        <v>-29.536343707200956</v>
      </c>
    </row>
    <row r="336" spans="1:20" x14ac:dyDescent="0.25">
      <c r="A336" s="5">
        <v>44257</v>
      </c>
      <c r="B336">
        <v>2.2110000000000001E-2</v>
      </c>
      <c r="C336">
        <v>2.2499999999999999E-2</v>
      </c>
      <c r="D336">
        <v>1.9720000000000001E-2</v>
      </c>
      <c r="E336">
        <v>2.0709999999999999E-2</v>
      </c>
      <c r="F336">
        <v>118481310.2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-0.28776978417266286</v>
      </c>
      <c r="Q336">
        <f t="shared" si="970"/>
        <v>-34095341.064748317</v>
      </c>
      <c r="R336">
        <f t="shared" si="971"/>
        <v>-2969474685.3917375</v>
      </c>
      <c r="S336">
        <f t="shared" si="972"/>
        <v>-29694.746853917375</v>
      </c>
      <c r="T336">
        <f t="shared" si="973"/>
        <v>-29.694746853917376</v>
      </c>
    </row>
    <row r="337" spans="1:20" x14ac:dyDescent="0.25">
      <c r="A337" s="5">
        <v>44256</v>
      </c>
      <c r="B337">
        <v>2.1610000000000001E-2</v>
      </c>
      <c r="C337">
        <v>2.35E-2</v>
      </c>
      <c r="D337">
        <v>2.0219999999999998E-2</v>
      </c>
      <c r="E337">
        <v>2.2069999999999999E-2</v>
      </c>
      <c r="F337">
        <v>226774249.80000001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0.12804878048780488</v>
      </c>
      <c r="Q337">
        <f t="shared" si="970"/>
        <v>29038166.132926833</v>
      </c>
      <c r="R337">
        <f t="shared" si="971"/>
        <v>-2935379344.3269892</v>
      </c>
      <c r="S337">
        <f t="shared" si="972"/>
        <v>-29353.793443269893</v>
      </c>
      <c r="T337">
        <f t="shared" si="973"/>
        <v>-29.353793443269893</v>
      </c>
    </row>
    <row r="338" spans="1:20" x14ac:dyDescent="0.25">
      <c r="A338" s="5">
        <v>44255</v>
      </c>
      <c r="B338">
        <v>2.3970000000000002E-2</v>
      </c>
      <c r="C338">
        <v>2.725E-2</v>
      </c>
      <c r="D338">
        <v>1.9910000000000001E-2</v>
      </c>
      <c r="E338">
        <v>2.1680000000000001E-2</v>
      </c>
      <c r="F338">
        <v>803194606.39999998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-0.5177111716621251</v>
      </c>
      <c r="Q338">
        <f t="shared" si="970"/>
        <v>-415822820.75204337</v>
      </c>
      <c r="R338">
        <f t="shared" si="971"/>
        <v>-2964417510.4599161</v>
      </c>
      <c r="S338">
        <f t="shared" si="972"/>
        <v>-29644.175104599162</v>
      </c>
      <c r="T338">
        <f t="shared" si="973"/>
        <v>-29.644175104599164</v>
      </c>
    </row>
    <row r="339" spans="1:20" x14ac:dyDescent="0.25">
      <c r="A339" s="5">
        <v>44254</v>
      </c>
      <c r="B339">
        <v>1.7299999999999999E-2</v>
      </c>
      <c r="C339">
        <v>2.9479999999999999E-2</v>
      </c>
      <c r="D339">
        <v>1.7260000000000001E-2</v>
      </c>
      <c r="E339">
        <v>2.4E-2</v>
      </c>
      <c r="F339">
        <v>921761558.60000002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0.10310965630114574</v>
      </c>
      <c r="Q339">
        <f t="shared" si="970"/>
        <v>95042517.498854414</v>
      </c>
      <c r="R339">
        <f t="shared" si="971"/>
        <v>-2548594689.7078729</v>
      </c>
      <c r="S339">
        <f t="shared" si="972"/>
        <v>-25485.946897078727</v>
      </c>
      <c r="T339">
        <f t="shared" si="973"/>
        <v>-25.485946897078726</v>
      </c>
    </row>
    <row r="340" spans="1:20" x14ac:dyDescent="0.25">
      <c r="A340" s="5">
        <v>44253</v>
      </c>
      <c r="B340">
        <v>1.7600000000000001E-2</v>
      </c>
      <c r="C340">
        <v>1.821E-2</v>
      </c>
      <c r="D340">
        <v>1.6199999999999999E-2</v>
      </c>
      <c r="E340">
        <v>1.7260000000000001E-2</v>
      </c>
      <c r="F340">
        <v>48162431.399999999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5.4726368159205167E-2</v>
      </c>
      <c r="Q340">
        <f t="shared" si="970"/>
        <v>2635754.9522388629</v>
      </c>
      <c r="R340">
        <f t="shared" si="971"/>
        <v>-2643637207.2067275</v>
      </c>
      <c r="S340">
        <f t="shared" si="972"/>
        <v>-26436.372072067275</v>
      </c>
      <c r="T340">
        <f t="shared" si="973"/>
        <v>-26.436372072067275</v>
      </c>
    </row>
    <row r="341" spans="1:20" x14ac:dyDescent="0.25">
      <c r="A341" s="5">
        <v>44252</v>
      </c>
      <c r="B341">
        <v>1.9380000000000001E-2</v>
      </c>
      <c r="C341">
        <v>1.992E-2</v>
      </c>
      <c r="D341">
        <v>1.7520000000000001E-2</v>
      </c>
      <c r="E341">
        <v>1.7600000000000001E-2</v>
      </c>
      <c r="F341">
        <v>66195754.5</v>
      </c>
      <c r="G341">
        <v>0</v>
      </c>
      <c r="L341" t="s">
        <v>7</v>
      </c>
      <c r="M341" t="s">
        <v>7</v>
      </c>
      <c r="N341" t="s">
        <v>7</v>
      </c>
      <c r="P341">
        <f t="shared" si="969"/>
        <v>-0.93333333333333313</v>
      </c>
      <c r="Q341">
        <f t="shared" si="970"/>
        <v>-61782704.199999988</v>
      </c>
      <c r="R341">
        <f t="shared" si="971"/>
        <v>-2646272962.1589665</v>
      </c>
      <c r="S341">
        <f t="shared" si="972"/>
        <v>-26462.729621589664</v>
      </c>
      <c r="T341">
        <f t="shared" si="973"/>
        <v>-26.462729621589663</v>
      </c>
    </row>
    <row r="342" spans="1:20" x14ac:dyDescent="0.25">
      <c r="A342" s="5">
        <v>44251</v>
      </c>
      <c r="B342">
        <v>1.77E-2</v>
      </c>
      <c r="C342">
        <v>2.1999999999999999E-2</v>
      </c>
      <c r="D342">
        <v>1.67E-2</v>
      </c>
      <c r="E342">
        <v>1.9349999999999999E-2</v>
      </c>
      <c r="F342">
        <v>83666842.599999994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</v>
      </c>
      <c r="Q342">
        <f t="shared" si="970"/>
        <v>0</v>
      </c>
      <c r="R342">
        <f t="shared" si="971"/>
        <v>-2584490257.9589667</v>
      </c>
      <c r="S342">
        <f t="shared" si="972"/>
        <v>-25844.902579589667</v>
      </c>
      <c r="T342">
        <f t="shared" si="973"/>
        <v>-25.844902579589668</v>
      </c>
    </row>
    <row r="343" spans="1:20" x14ac:dyDescent="0.25">
      <c r="A343" s="5">
        <v>44250</v>
      </c>
      <c r="B343">
        <v>2.1190000000000001E-2</v>
      </c>
      <c r="C343">
        <v>2.1899999999999999E-2</v>
      </c>
      <c r="D343">
        <v>1.5180000000000001E-2</v>
      </c>
      <c r="E343">
        <v>1.7690000000000001E-2</v>
      </c>
      <c r="F343">
        <v>152722404.40000001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-0.2529761904761903</v>
      </c>
      <c r="Q343">
        <f t="shared" si="970"/>
        <v>-38635132.065476164</v>
      </c>
      <c r="R343">
        <f t="shared" si="971"/>
        <v>-2584490257.9589667</v>
      </c>
      <c r="S343">
        <f t="shared" si="972"/>
        <v>-25844.902579589667</v>
      </c>
      <c r="T343">
        <f t="shared" si="973"/>
        <v>-25.844902579589668</v>
      </c>
    </row>
    <row r="344" spans="1:20" x14ac:dyDescent="0.25">
      <c r="A344" s="5">
        <v>44249</v>
      </c>
      <c r="B344">
        <v>2.41E-2</v>
      </c>
      <c r="C344">
        <v>2.41E-2</v>
      </c>
      <c r="D344">
        <v>1.822E-2</v>
      </c>
      <c r="E344">
        <v>2.1160000000000002E-2</v>
      </c>
      <c r="F344">
        <v>122429986.5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5.9004199863156708E-16</v>
      </c>
      <c r="Q344">
        <f t="shared" si="970"/>
        <v>7.2238833926895772E-8</v>
      </c>
      <c r="R344">
        <f t="shared" si="971"/>
        <v>-2545855125.8934908</v>
      </c>
      <c r="S344">
        <f t="shared" si="972"/>
        <v>-25458.551258934909</v>
      </c>
      <c r="T344">
        <f t="shared" si="973"/>
        <v>-25.458551258934911</v>
      </c>
    </row>
    <row r="345" spans="1:20" x14ac:dyDescent="0.25">
      <c r="A345" s="5">
        <v>44248</v>
      </c>
      <c r="B345">
        <v>2.299E-2</v>
      </c>
      <c r="C345">
        <v>2.426E-2</v>
      </c>
      <c r="D345">
        <v>2.2509999999999999E-2</v>
      </c>
      <c r="E345">
        <v>2.41E-2</v>
      </c>
      <c r="F345">
        <v>79343085.299999997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0.81714285714285684</v>
      </c>
      <c r="Q345">
        <f t="shared" si="970"/>
        <v>64834635.416571401</v>
      </c>
      <c r="R345">
        <f t="shared" si="971"/>
        <v>-2545855125.8934908</v>
      </c>
      <c r="S345">
        <f t="shared" si="972"/>
        <v>-25458.551258934909</v>
      </c>
      <c r="T345">
        <f t="shared" si="973"/>
        <v>-25.458551258934911</v>
      </c>
    </row>
    <row r="346" spans="1:20" x14ac:dyDescent="0.25">
      <c r="A346" s="5">
        <v>44247</v>
      </c>
      <c r="B346">
        <v>2.529E-2</v>
      </c>
      <c r="C346">
        <v>2.5999999999999999E-2</v>
      </c>
      <c r="D346">
        <v>2.2030000000000001E-2</v>
      </c>
      <c r="E346">
        <v>2.2939999999999999E-2</v>
      </c>
      <c r="F346">
        <v>132012948.90000001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-0.54156171284634858</v>
      </c>
      <c r="Q346">
        <f t="shared" si="970"/>
        <v>-71493158.724181488</v>
      </c>
      <c r="R346">
        <f t="shared" si="971"/>
        <v>-2610689761.3100624</v>
      </c>
      <c r="S346">
        <f t="shared" si="972"/>
        <v>-26106.897613100624</v>
      </c>
      <c r="T346">
        <f t="shared" si="973"/>
        <v>-26.106897613100625</v>
      </c>
    </row>
    <row r="347" spans="1:20" x14ac:dyDescent="0.25">
      <c r="A347" s="5">
        <v>44246</v>
      </c>
      <c r="B347">
        <v>2.3089999999999999E-2</v>
      </c>
      <c r="C347">
        <v>2.7900000000000001E-2</v>
      </c>
      <c r="D347">
        <v>2.2849999999999999E-2</v>
      </c>
      <c r="E347">
        <v>2.53E-2</v>
      </c>
      <c r="F347">
        <v>148369218.90000001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-2.9702970297029854E-2</v>
      </c>
      <c r="Q347">
        <f t="shared" si="970"/>
        <v>-4407006.5019802209</v>
      </c>
      <c r="R347">
        <f t="shared" si="971"/>
        <v>-2539196602.5858808</v>
      </c>
      <c r="S347">
        <f t="shared" si="972"/>
        <v>-25391.966025858808</v>
      </c>
      <c r="T347">
        <f t="shared" si="973"/>
        <v>-25.391966025858807</v>
      </c>
    </row>
    <row r="348" spans="1:20" x14ac:dyDescent="0.25">
      <c r="A348" s="5">
        <v>44245</v>
      </c>
      <c r="B348">
        <v>2.1749999999999999E-2</v>
      </c>
      <c r="C348">
        <v>2.41E-2</v>
      </c>
      <c r="D348">
        <v>2.1700000000000001E-2</v>
      </c>
      <c r="E348">
        <v>2.3089999999999999E-2</v>
      </c>
      <c r="F348">
        <v>121034443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0.15833333333333272</v>
      </c>
      <c r="Q348">
        <f t="shared" si="970"/>
        <v>19163786.808333259</v>
      </c>
      <c r="R348">
        <f t="shared" si="971"/>
        <v>-2534789596.0839005</v>
      </c>
      <c r="S348">
        <f t="shared" si="972"/>
        <v>-25347.895960839003</v>
      </c>
      <c r="T348">
        <f t="shared" si="973"/>
        <v>-25.347895960839004</v>
      </c>
    </row>
    <row r="349" spans="1:20" x14ac:dyDescent="0.25">
      <c r="A349" s="5">
        <v>44244</v>
      </c>
      <c r="B349">
        <v>2.0389999999999998E-2</v>
      </c>
      <c r="C349">
        <v>2.23E-2</v>
      </c>
      <c r="D349">
        <v>1.9060000000000001E-2</v>
      </c>
      <c r="E349">
        <v>2.1700000000000001E-2</v>
      </c>
      <c r="F349">
        <v>113442515.40000001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0.62962962962962976</v>
      </c>
      <c r="Q349">
        <f t="shared" si="970"/>
        <v>71426768.955555573</v>
      </c>
      <c r="R349">
        <f t="shared" si="971"/>
        <v>-2553953382.8922338</v>
      </c>
      <c r="S349">
        <f t="shared" si="972"/>
        <v>-25539.53382892234</v>
      </c>
      <c r="T349">
        <f t="shared" si="973"/>
        <v>-25.539533828922341</v>
      </c>
    </row>
    <row r="350" spans="1:20" x14ac:dyDescent="0.25">
      <c r="A350" s="5">
        <v>44243</v>
      </c>
      <c r="B350">
        <v>2.044E-2</v>
      </c>
      <c r="C350">
        <v>2.1749999999999999E-2</v>
      </c>
      <c r="D350">
        <v>1.95E-2</v>
      </c>
      <c r="E350">
        <v>2.0320000000000001E-2</v>
      </c>
      <c r="F350">
        <v>79723774.5</v>
      </c>
      <c r="G350">
        <v>0</v>
      </c>
      <c r="L350" t="s">
        <v>8</v>
      </c>
      <c r="M350" t="s">
        <v>7</v>
      </c>
      <c r="N350" t="s">
        <v>8</v>
      </c>
      <c r="P350">
        <f t="shared" si="969"/>
        <v>-0.27111111111110947</v>
      </c>
      <c r="Q350">
        <f t="shared" si="970"/>
        <v>-21614001.086666536</v>
      </c>
      <c r="R350">
        <f t="shared" si="971"/>
        <v>-2625380151.8477893</v>
      </c>
      <c r="S350">
        <f t="shared" si="972"/>
        <v>-26253.801518477892</v>
      </c>
      <c r="T350">
        <f t="shared" si="973"/>
        <v>-26.253801518477893</v>
      </c>
    </row>
    <row r="351" spans="1:20" x14ac:dyDescent="0.25">
      <c r="A351" s="5">
        <v>44242</v>
      </c>
      <c r="B351">
        <v>2.1479999999999999E-2</v>
      </c>
      <c r="C351">
        <v>2.198E-2</v>
      </c>
      <c r="D351">
        <v>1.8519999999999998E-2</v>
      </c>
      <c r="E351">
        <v>2.043E-2</v>
      </c>
      <c r="F351">
        <v>142860442.40000001</v>
      </c>
      <c r="G351">
        <v>0</v>
      </c>
      <c r="L351" t="s">
        <v>7</v>
      </c>
      <c r="M351" t="s">
        <v>7</v>
      </c>
      <c r="N351" t="s">
        <v>8</v>
      </c>
      <c r="P351">
        <f t="shared" si="969"/>
        <v>0.10404624277456721</v>
      </c>
      <c r="Q351">
        <f t="shared" si="970"/>
        <v>14864092.272832476</v>
      </c>
      <c r="R351">
        <f t="shared" si="971"/>
        <v>-2603766150.7611227</v>
      </c>
      <c r="S351">
        <f t="shared" si="972"/>
        <v>-26037.661507611228</v>
      </c>
      <c r="T351">
        <f t="shared" si="973"/>
        <v>-26.037661507611229</v>
      </c>
    </row>
    <row r="352" spans="1:20" x14ac:dyDescent="0.25">
      <c r="A352" s="5">
        <v>44241</v>
      </c>
      <c r="B352">
        <v>2.3800000000000002E-2</v>
      </c>
      <c r="C352">
        <v>2.4E-2</v>
      </c>
      <c r="D352">
        <v>2.0549999999999999E-2</v>
      </c>
      <c r="E352">
        <v>2.147E-2</v>
      </c>
      <c r="F352">
        <v>152040483.30000001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-0.46666666666666651</v>
      </c>
      <c r="Q352">
        <f t="shared" si="970"/>
        <v>-70952225.539999977</v>
      </c>
      <c r="R352">
        <f t="shared" si="971"/>
        <v>-2618630243.0339551</v>
      </c>
      <c r="S352">
        <f t="shared" si="972"/>
        <v>-26186.30243033955</v>
      </c>
      <c r="T352">
        <f t="shared" si="973"/>
        <v>-26.186302430339552</v>
      </c>
    </row>
    <row r="353" spans="1:20" x14ac:dyDescent="0.25">
      <c r="A353" s="5">
        <v>44240</v>
      </c>
      <c r="B353">
        <v>2.18E-2</v>
      </c>
      <c r="C353">
        <v>2.5250000000000002E-2</v>
      </c>
      <c r="D353">
        <v>2.0719999999999999E-2</v>
      </c>
      <c r="E353">
        <v>2.3779999999999999E-2</v>
      </c>
      <c r="F353">
        <v>300675112.19999999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0.350993377483443</v>
      </c>
      <c r="Q353">
        <f t="shared" si="970"/>
        <v>105534973.15629117</v>
      </c>
      <c r="R353">
        <f t="shared" si="971"/>
        <v>-2547678017.4939551</v>
      </c>
      <c r="S353">
        <f t="shared" si="972"/>
        <v>-25476.780174939551</v>
      </c>
      <c r="T353">
        <f t="shared" si="973"/>
        <v>-25.476780174939552</v>
      </c>
    </row>
    <row r="354" spans="1:20" x14ac:dyDescent="0.25">
      <c r="A354" s="5">
        <v>44239</v>
      </c>
      <c r="B354">
        <v>2.1299999999999999E-2</v>
      </c>
      <c r="C354">
        <v>2.3029999999999998E-2</v>
      </c>
      <c r="D354">
        <v>1.9529999999999999E-2</v>
      </c>
      <c r="E354">
        <v>2.1749999999999999E-2</v>
      </c>
      <c r="F354">
        <v>274813866.89999998</v>
      </c>
      <c r="G354">
        <v>0</v>
      </c>
      <c r="L354" t="s">
        <v>7</v>
      </c>
      <c r="M354" t="s">
        <v>8</v>
      </c>
      <c r="N354" t="s">
        <v>8</v>
      </c>
      <c r="P354">
        <f t="shared" si="969"/>
        <v>0.26857142857142857</v>
      </c>
      <c r="Q354">
        <f t="shared" si="970"/>
        <v>73807152.824571416</v>
      </c>
      <c r="R354">
        <f t="shared" si="971"/>
        <v>-2653212990.6502461</v>
      </c>
      <c r="S354">
        <f t="shared" si="972"/>
        <v>-26532.129906502461</v>
      </c>
      <c r="T354">
        <f t="shared" si="973"/>
        <v>-26.532129906502462</v>
      </c>
    </row>
    <row r="355" spans="1:20" x14ac:dyDescent="0.25">
      <c r="A355" s="5">
        <v>44238</v>
      </c>
      <c r="B355">
        <v>1.7330000000000002E-2</v>
      </c>
      <c r="C355">
        <v>2.298E-2</v>
      </c>
      <c r="D355">
        <v>1.6449999999999999E-2</v>
      </c>
      <c r="E355">
        <v>2.1250000000000002E-2</v>
      </c>
      <c r="F355">
        <v>334209190.30000001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0.47013782542113364</v>
      </c>
      <c r="Q355">
        <f t="shared" si="970"/>
        <v>157124381.96339983</v>
      </c>
      <c r="R355">
        <f t="shared" si="971"/>
        <v>-2727020143.4748178</v>
      </c>
      <c r="S355">
        <f t="shared" si="972"/>
        <v>-27270.201434748178</v>
      </c>
      <c r="T355">
        <f t="shared" si="973"/>
        <v>-27.270201434748177</v>
      </c>
    </row>
    <row r="356" spans="1:20" x14ac:dyDescent="0.25">
      <c r="A356" s="5">
        <v>44237</v>
      </c>
      <c r="B356">
        <v>1.7389999999999999E-2</v>
      </c>
      <c r="C356">
        <v>1.8749999999999999E-2</v>
      </c>
      <c r="D356">
        <v>1.508E-2</v>
      </c>
      <c r="E356">
        <v>1.7260000000000001E-2</v>
      </c>
      <c r="F356">
        <v>250565539.09999999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0.18801089918256217</v>
      </c>
      <c r="Q356">
        <f t="shared" si="970"/>
        <v>47109052.310354441</v>
      </c>
      <c r="R356">
        <f t="shared" si="971"/>
        <v>-2884144525.4382176</v>
      </c>
      <c r="S356">
        <f t="shared" si="972"/>
        <v>-28841.445254382175</v>
      </c>
      <c r="T356">
        <f t="shared" si="973"/>
        <v>-28.841445254382176</v>
      </c>
    </row>
    <row r="357" spans="1:20" x14ac:dyDescent="0.25">
      <c r="A357" s="5">
        <v>44236</v>
      </c>
      <c r="B357">
        <v>1.504E-2</v>
      </c>
      <c r="C357">
        <v>1.7999999999999999E-2</v>
      </c>
      <c r="D357">
        <v>1.464E-2</v>
      </c>
      <c r="E357">
        <v>1.7350000000000001E-2</v>
      </c>
      <c r="F357">
        <v>267016838.40000001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0.61309523809523925</v>
      </c>
      <c r="Q357">
        <f t="shared" si="970"/>
        <v>163706752.11428604</v>
      </c>
      <c r="R357">
        <f t="shared" si="971"/>
        <v>-2931253577.7485719</v>
      </c>
      <c r="S357">
        <f t="shared" si="972"/>
        <v>-29312.535777485718</v>
      </c>
      <c r="T357">
        <f t="shared" si="973"/>
        <v>-29.312535777485717</v>
      </c>
    </row>
    <row r="358" spans="1:20" x14ac:dyDescent="0.25">
      <c r="A358" s="5">
        <v>44235</v>
      </c>
      <c r="B358">
        <v>1.349E-2</v>
      </c>
      <c r="C358">
        <v>1.52E-2</v>
      </c>
      <c r="D358">
        <v>1.3310000000000001E-2</v>
      </c>
      <c r="E358">
        <v>1.5100000000000001E-2</v>
      </c>
      <c r="F358">
        <v>137457573.90000001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0.89417989417989474</v>
      </c>
      <c r="Q358">
        <f t="shared" si="970"/>
        <v>122911798.88412707</v>
      </c>
      <c r="R358">
        <f t="shared" si="971"/>
        <v>-3094960329.8628578</v>
      </c>
      <c r="S358">
        <f t="shared" si="972"/>
        <v>-30949.603298628579</v>
      </c>
      <c r="T358">
        <f t="shared" si="973"/>
        <v>-30.949603298628578</v>
      </c>
    </row>
    <row r="359" spans="1:20" x14ac:dyDescent="0.25">
      <c r="A359" s="5">
        <v>44234</v>
      </c>
      <c r="B359">
        <v>1.4069999999999999E-2</v>
      </c>
      <c r="C359">
        <v>1.43E-2</v>
      </c>
      <c r="D359">
        <v>1.2800000000000001E-2</v>
      </c>
      <c r="E359">
        <v>1.349E-2</v>
      </c>
      <c r="F359">
        <v>82680288.599999994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-8.0000000000000238E-2</v>
      </c>
      <c r="Q359">
        <f t="shared" si="970"/>
        <v>-6614423.0880000191</v>
      </c>
      <c r="R359">
        <f t="shared" si="971"/>
        <v>-3217872128.746985</v>
      </c>
      <c r="S359">
        <f t="shared" si="972"/>
        <v>-32178.721287469849</v>
      </c>
      <c r="T359">
        <f t="shared" si="973"/>
        <v>-32.178721287469848</v>
      </c>
    </row>
    <row r="360" spans="1:20" x14ac:dyDescent="0.25">
      <c r="A360" s="5">
        <v>44233</v>
      </c>
      <c r="B360">
        <v>1.528E-2</v>
      </c>
      <c r="C360">
        <v>1.545E-2</v>
      </c>
      <c r="D360">
        <v>1.3650000000000001E-2</v>
      </c>
      <c r="E360">
        <v>1.406E-2</v>
      </c>
      <c r="F360">
        <v>108344569.8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-0.54444444444444551</v>
      </c>
      <c r="Q360">
        <f t="shared" si="970"/>
        <v>-58987599.113333449</v>
      </c>
      <c r="R360">
        <f t="shared" si="971"/>
        <v>-3211257705.6589851</v>
      </c>
      <c r="S360">
        <f t="shared" si="972"/>
        <v>-32112.577056589853</v>
      </c>
      <c r="T360">
        <f t="shared" si="973"/>
        <v>-32.112577056589856</v>
      </c>
    </row>
    <row r="361" spans="1:20" x14ac:dyDescent="0.25">
      <c r="A361" s="5">
        <v>44232</v>
      </c>
      <c r="B361">
        <v>1.451E-2</v>
      </c>
      <c r="C361">
        <v>1.5740000000000001E-2</v>
      </c>
      <c r="D361">
        <v>1.4200000000000001E-2</v>
      </c>
      <c r="E361">
        <v>1.529E-2</v>
      </c>
      <c r="F361">
        <v>166247040.90000001</v>
      </c>
      <c r="G361">
        <v>0</v>
      </c>
      <c r="L361" t="s">
        <v>7</v>
      </c>
      <c r="M361" t="s">
        <v>7</v>
      </c>
      <c r="N361" t="s">
        <v>8</v>
      </c>
      <c r="P361">
        <f t="shared" si="969"/>
        <v>0.4155844155844145</v>
      </c>
      <c r="Q361">
        <f t="shared" si="970"/>
        <v>69089679.335064754</v>
      </c>
      <c r="R361">
        <f t="shared" si="971"/>
        <v>-3152270106.5456519</v>
      </c>
      <c r="S361">
        <f t="shared" si="972"/>
        <v>-31522.70106545652</v>
      </c>
      <c r="T361">
        <f t="shared" si="973"/>
        <v>-31.52270106545652</v>
      </c>
    </row>
    <row r="362" spans="1:20" x14ac:dyDescent="0.25">
      <c r="A362" s="5">
        <v>44231</v>
      </c>
      <c r="B362">
        <v>1.478E-2</v>
      </c>
      <c r="C362">
        <v>1.6990000000000002E-2</v>
      </c>
      <c r="D362">
        <v>1.3599999999999999E-2</v>
      </c>
      <c r="E362">
        <v>1.451E-2</v>
      </c>
      <c r="F362">
        <v>263480572.09999999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-0.46312684365781687</v>
      </c>
      <c r="Q362">
        <f t="shared" si="970"/>
        <v>-122024925.72182885</v>
      </c>
      <c r="R362">
        <f t="shared" si="971"/>
        <v>-3221359785.8807168</v>
      </c>
      <c r="S362">
        <f t="shared" si="972"/>
        <v>-32213.597858807167</v>
      </c>
      <c r="T362">
        <f t="shared" si="973"/>
        <v>-32.213597858807169</v>
      </c>
    </row>
    <row r="363" spans="1:20" x14ac:dyDescent="0.25">
      <c r="A363" s="5">
        <v>44230</v>
      </c>
      <c r="B363">
        <v>1.2959999999999999E-2</v>
      </c>
      <c r="C363">
        <v>1.499E-2</v>
      </c>
      <c r="D363">
        <v>1.295E-2</v>
      </c>
      <c r="E363">
        <v>1.4749999999999999E-2</v>
      </c>
      <c r="F363">
        <v>217315171.59999999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0.76470588235294057</v>
      </c>
      <c r="Q363">
        <f t="shared" si="970"/>
        <v>166182190.0470587</v>
      </c>
      <c r="R363">
        <f t="shared" si="971"/>
        <v>-3099334860.1588879</v>
      </c>
      <c r="S363">
        <f t="shared" si="972"/>
        <v>-30993.348601588878</v>
      </c>
      <c r="T363">
        <f t="shared" si="973"/>
        <v>-30.993348601588878</v>
      </c>
    </row>
    <row r="364" spans="1:20" x14ac:dyDescent="0.25">
      <c r="A364" s="5">
        <v>44229</v>
      </c>
      <c r="B364">
        <v>1.192E-2</v>
      </c>
      <c r="C364">
        <v>1.4500000000000001E-2</v>
      </c>
      <c r="D364">
        <v>1.1780000000000001E-2</v>
      </c>
      <c r="E364">
        <v>1.2959999999999999E-2</v>
      </c>
      <c r="F364">
        <v>474715762.5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-0.13235294117647156</v>
      </c>
      <c r="Q364">
        <f t="shared" si="970"/>
        <v>-62830027.389706343</v>
      </c>
      <c r="R364">
        <f t="shared" si="971"/>
        <v>-3265517050.2059464</v>
      </c>
      <c r="S364">
        <f t="shared" si="972"/>
        <v>-32655.170502059464</v>
      </c>
      <c r="T364">
        <f t="shared" si="973"/>
        <v>-32.655170502059462</v>
      </c>
    </row>
    <row r="365" spans="1:20" x14ac:dyDescent="0.25">
      <c r="A365" s="5">
        <v>44228</v>
      </c>
      <c r="B365">
        <v>1.2579999999999999E-2</v>
      </c>
      <c r="C365">
        <v>1.2840000000000001E-2</v>
      </c>
      <c r="D365">
        <v>1.1520000000000001E-2</v>
      </c>
      <c r="E365">
        <v>1.191E-2</v>
      </c>
      <c r="F365">
        <v>176351193.90000001</v>
      </c>
      <c r="G365">
        <v>0</v>
      </c>
      <c r="L365" t="s">
        <v>7</v>
      </c>
      <c r="M365" t="s">
        <v>7</v>
      </c>
      <c r="N365" t="s">
        <v>7</v>
      </c>
      <c r="P365">
        <f t="shared" si="969"/>
        <v>-0.4090909090909095</v>
      </c>
      <c r="Q365">
        <f t="shared" si="970"/>
        <v>-72143670.231818259</v>
      </c>
      <c r="R365">
        <f t="shared" si="971"/>
        <v>-3202687022.8162403</v>
      </c>
      <c r="S365">
        <f t="shared" si="972"/>
        <v>-32026.870228162403</v>
      </c>
      <c r="T365">
        <f t="shared" si="973"/>
        <v>-32.026870228162402</v>
      </c>
    </row>
    <row r="366" spans="1:20" x14ac:dyDescent="0.25">
      <c r="A366" s="5">
        <v>44227</v>
      </c>
      <c r="B366">
        <v>1.3650000000000001E-2</v>
      </c>
      <c r="C366">
        <v>1.515E-2</v>
      </c>
      <c r="D366">
        <v>1.217E-2</v>
      </c>
      <c r="E366">
        <v>1.2579999999999999E-2</v>
      </c>
      <c r="F366">
        <v>421033491.39999998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-0.7248322147651014</v>
      </c>
      <c r="Q366">
        <f t="shared" si="970"/>
        <v>-305178638.06174529</v>
      </c>
      <c r="R366">
        <f t="shared" si="971"/>
        <v>-3130543352.5844221</v>
      </c>
      <c r="S366">
        <f t="shared" si="972"/>
        <v>-31305.433525844222</v>
      </c>
      <c r="T366">
        <f t="shared" si="973"/>
        <v>-31.305433525844222</v>
      </c>
    </row>
    <row r="367" spans="1:20" x14ac:dyDescent="0.25">
      <c r="A367" s="5">
        <v>44226</v>
      </c>
      <c r="B367">
        <v>9.8600000000000007E-3</v>
      </c>
      <c r="C367">
        <v>2.555E-2</v>
      </c>
      <c r="D367">
        <v>9.5600000000000008E-3</v>
      </c>
      <c r="E367">
        <v>1.37E-2</v>
      </c>
      <c r="F367">
        <v>2137699414.3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-0.48217636022514077</v>
      </c>
      <c r="Q367">
        <f t="shared" si="970"/>
        <v>-1030748122.8425893</v>
      </c>
      <c r="R367">
        <f t="shared" si="971"/>
        <v>-2825364714.5226769</v>
      </c>
      <c r="S367">
        <f t="shared" si="972"/>
        <v>-28253.647145226769</v>
      </c>
      <c r="T367">
        <f t="shared" si="973"/>
        <v>-28.253647145226768</v>
      </c>
    </row>
    <row r="368" spans="1:20" x14ac:dyDescent="0.25">
      <c r="A368" s="5">
        <v>44225</v>
      </c>
      <c r="B368">
        <v>9.58E-3</v>
      </c>
      <c r="C368">
        <v>1.04E-2</v>
      </c>
      <c r="D368">
        <v>9.3100000000000006E-3</v>
      </c>
      <c r="E368">
        <v>9.8399999999999998E-3</v>
      </c>
      <c r="F368">
        <v>129160524.3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-2.7522935779817011E-2</v>
      </c>
      <c r="Q368">
        <f t="shared" si="970"/>
        <v>-3554876.8155963942</v>
      </c>
      <c r="R368">
        <f t="shared" si="971"/>
        <v>-1794616591.6800876</v>
      </c>
      <c r="S368">
        <f t="shared" si="972"/>
        <v>-17946.165916800877</v>
      </c>
      <c r="T368">
        <f t="shared" si="973"/>
        <v>-17.946165916800876</v>
      </c>
    </row>
    <row r="369" spans="1:20" x14ac:dyDescent="0.25">
      <c r="A369" s="5">
        <v>44224</v>
      </c>
      <c r="B369">
        <v>8.6099999999999996E-3</v>
      </c>
      <c r="C369">
        <v>1.0109999999999999E-2</v>
      </c>
      <c r="D369">
        <v>8.4899999999999993E-3</v>
      </c>
      <c r="E369">
        <v>9.5999999999999992E-3</v>
      </c>
      <c r="F369">
        <v>119670471.40000001</v>
      </c>
      <c r="G369">
        <v>0</v>
      </c>
      <c r="L369" t="s">
        <v>8</v>
      </c>
      <c r="M369" t="s">
        <v>8</v>
      </c>
      <c r="N369" t="s">
        <v>7</v>
      </c>
      <c r="P369">
        <f t="shared" si="969"/>
        <v>0.37037037037037029</v>
      </c>
      <c r="Q369">
        <f t="shared" si="970"/>
        <v>44322396.814814806</v>
      </c>
      <c r="R369">
        <f t="shared" si="971"/>
        <v>-1791061714.8644912</v>
      </c>
      <c r="S369">
        <f t="shared" si="972"/>
        <v>-17910.617148644913</v>
      </c>
      <c r="T369">
        <f t="shared" si="973"/>
        <v>-17.910617148644913</v>
      </c>
    </row>
    <row r="370" spans="1:20" x14ac:dyDescent="0.25">
      <c r="A370" s="5">
        <v>44223</v>
      </c>
      <c r="B370">
        <v>9.6200000000000001E-3</v>
      </c>
      <c r="C370">
        <v>9.6900000000000007E-3</v>
      </c>
      <c r="D370">
        <v>8.3199999999999993E-3</v>
      </c>
      <c r="E370">
        <v>8.5800000000000008E-3</v>
      </c>
      <c r="F370">
        <v>76447677.900000006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-0.62043795620437769</v>
      </c>
      <c r="Q370">
        <f t="shared" si="970"/>
        <v>-47431041.032846577</v>
      </c>
      <c r="R370">
        <f t="shared" si="971"/>
        <v>-1835384111.679306</v>
      </c>
      <c r="S370">
        <f t="shared" si="972"/>
        <v>-18353.841116793061</v>
      </c>
      <c r="T370">
        <f t="shared" si="973"/>
        <v>-18.35384111679306</v>
      </c>
    </row>
    <row r="371" spans="1:20" x14ac:dyDescent="0.25">
      <c r="A371" s="5">
        <v>44222</v>
      </c>
      <c r="B371">
        <v>9.7199999999999995E-3</v>
      </c>
      <c r="C371">
        <v>1.0070000000000001E-2</v>
      </c>
      <c r="D371">
        <v>9.1699999999999993E-3</v>
      </c>
      <c r="E371">
        <v>9.6200000000000001E-3</v>
      </c>
      <c r="F371">
        <v>64780328.5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</v>
      </c>
      <c r="Q371">
        <f t="shared" si="970"/>
        <v>0</v>
      </c>
      <c r="R371">
        <f t="shared" si="971"/>
        <v>-1787953070.6464593</v>
      </c>
      <c r="S371">
        <f t="shared" si="972"/>
        <v>-17879.530706464593</v>
      </c>
      <c r="T371">
        <f t="shared" si="973"/>
        <v>-17.879530706464593</v>
      </c>
    </row>
    <row r="372" spans="1:20" x14ac:dyDescent="0.25">
      <c r="A372" s="5">
        <v>44221</v>
      </c>
      <c r="B372">
        <v>1.0670000000000001E-2</v>
      </c>
      <c r="C372">
        <v>1.085E-2</v>
      </c>
      <c r="D372">
        <v>9.4999999999999998E-3</v>
      </c>
      <c r="E372">
        <v>9.7099999999999999E-3</v>
      </c>
      <c r="F372">
        <v>69388251.599999994</v>
      </c>
      <c r="G372">
        <v>0</v>
      </c>
      <c r="L372" t="s">
        <v>7</v>
      </c>
      <c r="M372" t="s">
        <v>8</v>
      </c>
      <c r="N372" t="s">
        <v>8</v>
      </c>
      <c r="P372">
        <f t="shared" si="969"/>
        <v>-0.68888888888888888</v>
      </c>
      <c r="Q372">
        <f t="shared" si="970"/>
        <v>-47800795.546666659</v>
      </c>
      <c r="R372">
        <f t="shared" si="971"/>
        <v>-1787953070.6464593</v>
      </c>
      <c r="S372">
        <f t="shared" si="972"/>
        <v>-17879.530706464593</v>
      </c>
      <c r="T372">
        <f t="shared" si="973"/>
        <v>-17.879530706464593</v>
      </c>
    </row>
    <row r="373" spans="1:20" x14ac:dyDescent="0.25">
      <c r="A373" s="5">
        <v>44220</v>
      </c>
      <c r="B373">
        <v>1.022E-2</v>
      </c>
      <c r="C373">
        <v>1.0999999999999999E-2</v>
      </c>
      <c r="D373">
        <v>1.0030000000000001E-2</v>
      </c>
      <c r="E373">
        <v>1.0670000000000001E-2</v>
      </c>
      <c r="F373">
        <v>88001052.900000006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0.31958762886598113</v>
      </c>
      <c r="Q373">
        <f t="shared" si="970"/>
        <v>28124047.834020775</v>
      </c>
      <c r="R373">
        <f t="shared" si="971"/>
        <v>-1740152275.0997927</v>
      </c>
      <c r="S373">
        <f t="shared" si="972"/>
        <v>-17401.522750997927</v>
      </c>
      <c r="T373">
        <f t="shared" si="973"/>
        <v>-17.401522750997927</v>
      </c>
    </row>
    <row r="374" spans="1:20" x14ac:dyDescent="0.25">
      <c r="A374" s="5">
        <v>44219</v>
      </c>
      <c r="B374">
        <v>1.0059999999999999E-2</v>
      </c>
      <c r="C374">
        <v>1.06E-2</v>
      </c>
      <c r="D374">
        <v>9.6399999999999993E-3</v>
      </c>
      <c r="E374">
        <v>1.022E-2</v>
      </c>
      <c r="F374">
        <v>108101817.8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0.2083333333333337</v>
      </c>
      <c r="Q374">
        <f t="shared" si="970"/>
        <v>22521212.041666705</v>
      </c>
      <c r="R374">
        <f t="shared" si="971"/>
        <v>-1768276322.9338136</v>
      </c>
      <c r="S374">
        <f t="shared" si="972"/>
        <v>-17682.763229338136</v>
      </c>
      <c r="T374">
        <f t="shared" si="973"/>
        <v>-17.682763229338136</v>
      </c>
    </row>
    <row r="375" spans="1:20" x14ac:dyDescent="0.25">
      <c r="A375" s="5">
        <v>44218</v>
      </c>
      <c r="B375">
        <v>1.0319999999999999E-2</v>
      </c>
      <c r="C375">
        <v>1.065E-2</v>
      </c>
      <c r="D375">
        <v>8.6700000000000006E-3</v>
      </c>
      <c r="E375">
        <v>1.009E-2</v>
      </c>
      <c r="F375">
        <v>164987785</v>
      </c>
      <c r="G375">
        <v>0</v>
      </c>
      <c r="L375" t="s">
        <v>7</v>
      </c>
      <c r="M375" t="s">
        <v>7</v>
      </c>
      <c r="N375" t="s">
        <v>8</v>
      </c>
      <c r="P375">
        <f t="shared" si="969"/>
        <v>0.43434343434343436</v>
      </c>
      <c r="Q375">
        <f t="shared" si="970"/>
        <v>71661361.161616161</v>
      </c>
      <c r="R375">
        <f t="shared" si="971"/>
        <v>-1790797534.9754803</v>
      </c>
      <c r="S375">
        <f t="shared" si="972"/>
        <v>-17907.975349754804</v>
      </c>
      <c r="T375">
        <f t="shared" si="973"/>
        <v>-17.907975349754803</v>
      </c>
    </row>
    <row r="376" spans="1:20" x14ac:dyDescent="0.25">
      <c r="A376" s="5">
        <v>44217</v>
      </c>
      <c r="B376">
        <v>9.4400000000000005E-3</v>
      </c>
      <c r="C376">
        <v>1.18E-2</v>
      </c>
      <c r="D376">
        <v>8.9999999999999993E-3</v>
      </c>
      <c r="E376">
        <v>1.0330000000000001E-2</v>
      </c>
      <c r="F376">
        <v>389557504.5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-4.9999999999999198E-2</v>
      </c>
      <c r="Q376">
        <f t="shared" si="970"/>
        <v>-19477875.224999689</v>
      </c>
      <c r="R376">
        <f t="shared" si="971"/>
        <v>-1862458896.1370964</v>
      </c>
      <c r="S376">
        <f t="shared" si="972"/>
        <v>-18624.588961370962</v>
      </c>
      <c r="T376">
        <f t="shared" si="973"/>
        <v>-18.624588961370961</v>
      </c>
    </row>
    <row r="377" spans="1:20" x14ac:dyDescent="0.25">
      <c r="A377" s="5">
        <v>44216</v>
      </c>
      <c r="B377">
        <v>9.5499999999999995E-3</v>
      </c>
      <c r="C377">
        <v>9.5499999999999995E-3</v>
      </c>
      <c r="D377">
        <v>8.6599999999999993E-3</v>
      </c>
      <c r="E377">
        <v>9.4199999999999996E-3</v>
      </c>
      <c r="F377">
        <v>70651228.200000003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0.70786516853932613</v>
      </c>
      <c r="Q377">
        <f t="shared" si="970"/>
        <v>50011543.557303391</v>
      </c>
      <c r="R377">
        <f t="shared" si="971"/>
        <v>-1842981020.9120967</v>
      </c>
      <c r="S377">
        <f t="shared" si="972"/>
        <v>-18429.810209120966</v>
      </c>
      <c r="T377">
        <f t="shared" si="973"/>
        <v>-18.429810209120966</v>
      </c>
    </row>
    <row r="378" spans="1:20" x14ac:dyDescent="0.25">
      <c r="A378" s="5">
        <v>44215</v>
      </c>
      <c r="B378">
        <v>9.6100000000000005E-3</v>
      </c>
      <c r="C378">
        <v>1.0999999999999999E-2</v>
      </c>
      <c r="D378">
        <v>9.4999999999999998E-3</v>
      </c>
      <c r="E378">
        <v>9.5200000000000007E-3</v>
      </c>
      <c r="F378">
        <v>166532166.30000001</v>
      </c>
      <c r="G378">
        <v>0</v>
      </c>
      <c r="L378" t="s">
        <v>8</v>
      </c>
      <c r="M378" t="s">
        <v>8</v>
      </c>
      <c r="N378" t="s">
        <v>8</v>
      </c>
      <c r="P378">
        <f t="shared" si="969"/>
        <v>-0.97333333333333205</v>
      </c>
      <c r="Q378">
        <f t="shared" si="970"/>
        <v>-162091308.5319998</v>
      </c>
      <c r="R378">
        <f t="shared" si="971"/>
        <v>-1892992564.4694002</v>
      </c>
      <c r="S378">
        <f t="shared" si="972"/>
        <v>-18929.925644694002</v>
      </c>
      <c r="T378">
        <f t="shared" si="973"/>
        <v>-18.929925644694002</v>
      </c>
    </row>
    <row r="379" spans="1:20" x14ac:dyDescent="0.25">
      <c r="A379" s="5">
        <v>44214</v>
      </c>
      <c r="B379">
        <v>9.4999999999999998E-3</v>
      </c>
      <c r="C379">
        <v>9.7999999999999997E-3</v>
      </c>
      <c r="D379">
        <v>9.1900000000000003E-3</v>
      </c>
      <c r="E379">
        <v>9.6100000000000005E-3</v>
      </c>
      <c r="F379">
        <v>84023700.900000006</v>
      </c>
      <c r="G379">
        <v>0</v>
      </c>
      <c r="L379" t="s">
        <v>7</v>
      </c>
      <c r="M379" t="s">
        <v>8</v>
      </c>
      <c r="N379" t="s">
        <v>7</v>
      </c>
      <c r="P379">
        <f t="shared" si="969"/>
        <v>0.37704918032787088</v>
      </c>
      <c r="Q379">
        <f t="shared" si="970"/>
        <v>31681067.552459188</v>
      </c>
      <c r="R379">
        <f t="shared" si="971"/>
        <v>-1730901255.9374003</v>
      </c>
      <c r="S379">
        <f t="shared" si="972"/>
        <v>-17309.012559374005</v>
      </c>
      <c r="T379">
        <f t="shared" si="973"/>
        <v>-17.309012559374004</v>
      </c>
    </row>
    <row r="380" spans="1:20" x14ac:dyDescent="0.25">
      <c r="A380" s="5">
        <v>44213</v>
      </c>
      <c r="B380">
        <v>9.2999999999999992E-3</v>
      </c>
      <c r="C380">
        <v>9.9799999999999993E-3</v>
      </c>
      <c r="D380">
        <v>8.6099999999999996E-3</v>
      </c>
      <c r="E380">
        <v>9.4800000000000006E-3</v>
      </c>
      <c r="F380">
        <v>82381743.200000003</v>
      </c>
      <c r="G380">
        <v>0</v>
      </c>
      <c r="L380" t="s">
        <v>8</v>
      </c>
      <c r="M380" t="s">
        <v>8</v>
      </c>
      <c r="N380" t="s">
        <v>7</v>
      </c>
      <c r="P380">
        <f t="shared" si="969"/>
        <v>0.27007299270073165</v>
      </c>
      <c r="Q380">
        <f t="shared" si="970"/>
        <v>22249083.929927152</v>
      </c>
      <c r="R380">
        <f t="shared" si="971"/>
        <v>-1762582323.4898596</v>
      </c>
      <c r="S380">
        <f t="shared" si="972"/>
        <v>-17625.823234898595</v>
      </c>
      <c r="T380">
        <f t="shared" si="973"/>
        <v>-17.625823234898593</v>
      </c>
    </row>
    <row r="381" spans="1:20" x14ac:dyDescent="0.25">
      <c r="A381" s="5">
        <v>44212</v>
      </c>
      <c r="B381">
        <v>8.6199999999999992E-3</v>
      </c>
      <c r="C381">
        <v>9.8499999999999994E-3</v>
      </c>
      <c r="D381">
        <v>8.5100000000000002E-3</v>
      </c>
      <c r="E381">
        <v>9.3200000000000002E-3</v>
      </c>
      <c r="F381">
        <v>191974597.30000001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0.2089552238805977</v>
      </c>
      <c r="Q381">
        <f t="shared" si="970"/>
        <v>40114094.95820909</v>
      </c>
      <c r="R381">
        <f t="shared" si="971"/>
        <v>-1784831407.4197867</v>
      </c>
      <c r="S381">
        <f t="shared" si="972"/>
        <v>-17848.314074197868</v>
      </c>
      <c r="T381">
        <f t="shared" si="973"/>
        <v>-17.848314074197869</v>
      </c>
    </row>
    <row r="382" spans="1:20" x14ac:dyDescent="0.25">
      <c r="A382" s="5">
        <v>44211</v>
      </c>
      <c r="B382">
        <v>8.6199999999999992E-3</v>
      </c>
      <c r="C382">
        <v>8.9999999999999993E-3</v>
      </c>
      <c r="D382">
        <v>7.92E-3</v>
      </c>
      <c r="E382">
        <v>8.5800000000000008E-3</v>
      </c>
      <c r="F382">
        <v>144232738.59999999</v>
      </c>
      <c r="G382">
        <v>0</v>
      </c>
      <c r="L382" t="s">
        <v>7</v>
      </c>
      <c r="M382" t="s">
        <v>7</v>
      </c>
      <c r="N382" t="s">
        <v>7</v>
      </c>
      <c r="P382">
        <f t="shared" si="969"/>
        <v>0.22222222222222454</v>
      </c>
      <c r="Q382">
        <f t="shared" si="970"/>
        <v>32051719.68888922</v>
      </c>
      <c r="R382">
        <f t="shared" si="971"/>
        <v>-1824945502.3779957</v>
      </c>
      <c r="S382">
        <f t="shared" si="972"/>
        <v>-18249.455023779956</v>
      </c>
      <c r="T382">
        <f t="shared" si="973"/>
        <v>-18.249455023779955</v>
      </c>
    </row>
    <row r="383" spans="1:20" x14ac:dyDescent="0.25">
      <c r="A383" s="5">
        <v>44210</v>
      </c>
      <c r="B383">
        <v>8.7200000000000003E-3</v>
      </c>
      <c r="C383">
        <v>9.1699999999999993E-3</v>
      </c>
      <c r="D383">
        <v>8.3999999999999995E-3</v>
      </c>
      <c r="E383">
        <v>8.6199999999999992E-3</v>
      </c>
      <c r="F383">
        <v>80823068.099999994</v>
      </c>
      <c r="G383">
        <v>0</v>
      </c>
      <c r="L383" t="s">
        <v>8</v>
      </c>
      <c r="M383" t="s">
        <v>7</v>
      </c>
      <c r="N383" t="s">
        <v>7</v>
      </c>
      <c r="P383">
        <f t="shared" si="969"/>
        <v>-0.42857142857142921</v>
      </c>
      <c r="Q383">
        <f t="shared" si="970"/>
        <v>-34638457.757142909</v>
      </c>
      <c r="R383">
        <f t="shared" si="971"/>
        <v>-1856997222.066885</v>
      </c>
      <c r="S383">
        <f t="shared" si="972"/>
        <v>-18569.972220668849</v>
      </c>
      <c r="T383">
        <f t="shared" si="973"/>
        <v>-18.569972220668848</v>
      </c>
    </row>
    <row r="384" spans="1:20" x14ac:dyDescent="0.25">
      <c r="A384" s="5">
        <v>44209</v>
      </c>
      <c r="B384">
        <v>8.3000000000000001E-3</v>
      </c>
      <c r="C384">
        <v>8.77E-3</v>
      </c>
      <c r="D384">
        <v>7.8100000000000001E-3</v>
      </c>
      <c r="E384">
        <v>8.7200000000000003E-3</v>
      </c>
      <c r="F384">
        <v>74380415.700000003</v>
      </c>
      <c r="G384">
        <v>0</v>
      </c>
      <c r="L384" t="s">
        <v>7</v>
      </c>
      <c r="M384" t="s">
        <v>7</v>
      </c>
      <c r="N384" t="s">
        <v>7</v>
      </c>
      <c r="P384">
        <f t="shared" si="969"/>
        <v>0.89583333333333393</v>
      </c>
      <c r="Q384">
        <f t="shared" si="970"/>
        <v>66632455.731250048</v>
      </c>
      <c r="R384">
        <f t="shared" si="971"/>
        <v>-1822358764.309742</v>
      </c>
      <c r="S384">
        <f t="shared" si="972"/>
        <v>-18223.58764309742</v>
      </c>
      <c r="T384">
        <f t="shared" si="973"/>
        <v>-18.223587643097421</v>
      </c>
    </row>
    <row r="385" spans="1:20" x14ac:dyDescent="0.25">
      <c r="A385" s="5">
        <v>44208</v>
      </c>
      <c r="B385">
        <v>8.5299999999999994E-3</v>
      </c>
      <c r="C385">
        <v>9.1900000000000003E-3</v>
      </c>
      <c r="D385">
        <v>8.0499999999999999E-3</v>
      </c>
      <c r="E385">
        <v>8.3000000000000001E-3</v>
      </c>
      <c r="F385">
        <v>51018336.700000003</v>
      </c>
      <c r="G385">
        <v>0</v>
      </c>
      <c r="L385" t="s">
        <v>8</v>
      </c>
      <c r="M385" t="s">
        <v>7</v>
      </c>
      <c r="N385" t="s">
        <v>7</v>
      </c>
      <c r="P385">
        <f t="shared" si="969"/>
        <v>-0.56140350877192957</v>
      </c>
      <c r="Q385">
        <f t="shared" si="970"/>
        <v>-28641873.235087708</v>
      </c>
      <c r="R385">
        <f t="shared" si="971"/>
        <v>-1888991220.040992</v>
      </c>
      <c r="S385">
        <f t="shared" si="972"/>
        <v>-18889.912200409919</v>
      </c>
      <c r="T385">
        <f t="shared" si="973"/>
        <v>-18.88991220040992</v>
      </c>
    </row>
    <row r="386" spans="1:20" x14ac:dyDescent="0.25">
      <c r="A386" s="5">
        <v>44207</v>
      </c>
      <c r="B386">
        <v>9.9100000000000004E-3</v>
      </c>
      <c r="C386">
        <v>9.9100000000000004E-3</v>
      </c>
      <c r="D386">
        <v>7.6299999999999996E-3</v>
      </c>
      <c r="E386">
        <v>8.5199999999999998E-3</v>
      </c>
      <c r="F386">
        <v>110280549.40000001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-0.21929824561403521</v>
      </c>
      <c r="Q386">
        <f t="shared" si="970"/>
        <v>-24184331.008771945</v>
      </c>
      <c r="R386">
        <f t="shared" si="971"/>
        <v>-1860349346.8059044</v>
      </c>
      <c r="S386">
        <f t="shared" si="972"/>
        <v>-18603.493468059045</v>
      </c>
      <c r="T386">
        <f t="shared" si="973"/>
        <v>-18.603493468059046</v>
      </c>
    </row>
    <row r="387" spans="1:20" x14ac:dyDescent="0.25">
      <c r="A387" s="5">
        <v>44206</v>
      </c>
      <c r="B387">
        <v>1.072E-2</v>
      </c>
      <c r="C387">
        <v>1.108E-2</v>
      </c>
      <c r="D387">
        <v>9.4999999999999998E-3</v>
      </c>
      <c r="E387">
        <v>9.8899999999999995E-3</v>
      </c>
      <c r="F387">
        <v>98472033.599999994</v>
      </c>
      <c r="G387">
        <v>0</v>
      </c>
      <c r="L387" t="s">
        <v>7</v>
      </c>
      <c r="M387" t="s">
        <v>8</v>
      </c>
      <c r="N387" t="s">
        <v>8</v>
      </c>
      <c r="P387">
        <f t="shared" si="969"/>
        <v>-0.50632911392405089</v>
      </c>
      <c r="Q387">
        <f t="shared" si="970"/>
        <v>-49859257.518987365</v>
      </c>
      <c r="R387">
        <f t="shared" si="971"/>
        <v>-1836165015.7971325</v>
      </c>
      <c r="S387">
        <f t="shared" si="972"/>
        <v>-18361.650157971326</v>
      </c>
      <c r="T387">
        <f t="shared" si="973"/>
        <v>-18.361650157971326</v>
      </c>
    </row>
    <row r="388" spans="1:20" x14ac:dyDescent="0.25">
      <c r="A388" s="5">
        <v>44205</v>
      </c>
      <c r="B388">
        <v>1.0120000000000001E-2</v>
      </c>
      <c r="C388">
        <v>1.1140000000000001E-2</v>
      </c>
      <c r="D388">
        <v>9.5999999999999992E-3</v>
      </c>
      <c r="E388">
        <v>1.0670000000000001E-2</v>
      </c>
      <c r="F388">
        <v>147962114.59999999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0.3896103896103903</v>
      </c>
      <c r="Q388">
        <f t="shared" si="970"/>
        <v>57647577.116883218</v>
      </c>
      <c r="R388">
        <f t="shared" si="971"/>
        <v>-1786305758.2781451</v>
      </c>
      <c r="S388">
        <f t="shared" si="972"/>
        <v>-17863.05758278145</v>
      </c>
      <c r="T388">
        <f t="shared" si="973"/>
        <v>-17.863057582781451</v>
      </c>
    </row>
    <row r="389" spans="1:20" x14ac:dyDescent="0.25">
      <c r="A389" s="5">
        <v>44204</v>
      </c>
      <c r="B389">
        <v>9.5700000000000004E-3</v>
      </c>
      <c r="C389">
        <v>1.09E-2</v>
      </c>
      <c r="D389">
        <v>8.9599999999999992E-3</v>
      </c>
      <c r="E389">
        <v>1.0109999999999999E-2</v>
      </c>
      <c r="F389">
        <v>181490402.59999999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0.18556701030927786</v>
      </c>
      <c r="Q389">
        <f t="shared" si="970"/>
        <v>33678631.410309188</v>
      </c>
      <c r="R389">
        <f t="shared" si="971"/>
        <v>-1843953335.3950284</v>
      </c>
      <c r="S389">
        <f t="shared" si="972"/>
        <v>-18439.533353950283</v>
      </c>
      <c r="T389">
        <f t="shared" si="973"/>
        <v>-18.439533353950281</v>
      </c>
    </row>
    <row r="390" spans="1:20" x14ac:dyDescent="0.25">
      <c r="A390" s="5">
        <v>44203</v>
      </c>
      <c r="B390">
        <v>1.0370000000000001E-2</v>
      </c>
      <c r="C390">
        <v>1.04E-2</v>
      </c>
      <c r="D390">
        <v>9.2499999999999995E-3</v>
      </c>
      <c r="E390">
        <v>9.5600000000000008E-3</v>
      </c>
      <c r="F390">
        <v>166318073.59999999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-0.46086956521738914</v>
      </c>
      <c r="Q390">
        <f t="shared" ref="Q390:Q453" si="975">F390*P390</f>
        <v>-76650938.267825723</v>
      </c>
      <c r="R390">
        <f t="shared" ref="R390:R453" si="976">R391+Q390</f>
        <v>-1877631966.8053374</v>
      </c>
      <c r="S390">
        <f t="shared" ref="S390:S453" si="977">R390/100000</f>
        <v>-18776.319668053373</v>
      </c>
      <c r="T390">
        <f t="shared" ref="T390:T453" si="978">S390/1000</f>
        <v>-18.776319668053372</v>
      </c>
    </row>
    <row r="391" spans="1:20" x14ac:dyDescent="0.25">
      <c r="A391" s="5">
        <v>44202</v>
      </c>
      <c r="B391">
        <v>9.4599999999999997E-3</v>
      </c>
      <c r="C391">
        <v>1.1849999999999999E-2</v>
      </c>
      <c r="D391">
        <v>9.2099999999999994E-3</v>
      </c>
      <c r="E391">
        <v>1.038E-2</v>
      </c>
      <c r="F391">
        <v>328919957.30000001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-0.11363636363636295</v>
      </c>
      <c r="Q391">
        <f t="shared" si="975"/>
        <v>-37377267.874999776</v>
      </c>
      <c r="R391">
        <f t="shared" si="976"/>
        <v>-1800981028.5375118</v>
      </c>
      <c r="S391">
        <f t="shared" si="977"/>
        <v>-18009.810285375119</v>
      </c>
      <c r="T391">
        <f t="shared" si="978"/>
        <v>-18.009810285375117</v>
      </c>
    </row>
    <row r="392" spans="1:20" x14ac:dyDescent="0.25">
      <c r="A392" s="5">
        <v>44201</v>
      </c>
      <c r="B392">
        <v>9.3900000000000008E-3</v>
      </c>
      <c r="C392">
        <v>9.6600000000000002E-3</v>
      </c>
      <c r="D392">
        <v>8.5599999999999999E-3</v>
      </c>
      <c r="E392">
        <v>9.4800000000000006E-3</v>
      </c>
      <c r="F392">
        <v>168605112.5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0.67272727272727351</v>
      </c>
      <c r="Q392">
        <f t="shared" si="975"/>
        <v>113425257.50000013</v>
      </c>
      <c r="R392">
        <f t="shared" si="976"/>
        <v>-1763603760.6625121</v>
      </c>
      <c r="S392">
        <f t="shared" si="977"/>
        <v>-17636.037606625119</v>
      </c>
      <c r="T392">
        <f t="shared" si="978"/>
        <v>-17.63603760662512</v>
      </c>
    </row>
    <row r="393" spans="1:20" x14ac:dyDescent="0.25">
      <c r="A393" s="5">
        <v>44200</v>
      </c>
      <c r="B393">
        <v>9.8499999999999994E-3</v>
      </c>
      <c r="C393">
        <v>1.076E-2</v>
      </c>
      <c r="D393">
        <v>8.3599999999999994E-3</v>
      </c>
      <c r="E393">
        <v>9.3900000000000008E-3</v>
      </c>
      <c r="F393">
        <v>363127616.60000002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-0.14166666666666589</v>
      </c>
      <c r="Q393">
        <f t="shared" si="975"/>
        <v>-51443079.018333055</v>
      </c>
      <c r="R393">
        <f t="shared" si="976"/>
        <v>-1877029018.1625123</v>
      </c>
      <c r="S393">
        <f t="shared" si="977"/>
        <v>-18770.290181625121</v>
      </c>
      <c r="T393">
        <f t="shared" si="978"/>
        <v>-18.770290181625121</v>
      </c>
    </row>
    <row r="394" spans="1:20" x14ac:dyDescent="0.25">
      <c r="A394" s="5">
        <v>44199</v>
      </c>
      <c r="B394">
        <v>1.1259999999999999E-2</v>
      </c>
      <c r="C394">
        <v>1.129E-2</v>
      </c>
      <c r="D394">
        <v>9.4999999999999998E-3</v>
      </c>
      <c r="E394">
        <v>9.8200000000000006E-3</v>
      </c>
      <c r="F394">
        <v>205408692.19999999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-0.64245810055865826</v>
      </c>
      <c r="Q394">
        <f t="shared" si="975"/>
        <v>-131966478.22905007</v>
      </c>
      <c r="R394">
        <f t="shared" si="976"/>
        <v>-1825585939.1441793</v>
      </c>
      <c r="S394">
        <f t="shared" si="977"/>
        <v>-18255.859391441794</v>
      </c>
      <c r="T394">
        <f t="shared" si="978"/>
        <v>-18.255859391441795</v>
      </c>
    </row>
    <row r="395" spans="1:20" x14ac:dyDescent="0.25">
      <c r="A395" s="5">
        <v>44198</v>
      </c>
      <c r="B395">
        <v>1.319E-2</v>
      </c>
      <c r="C395">
        <v>1.321E-2</v>
      </c>
      <c r="D395">
        <v>1.042E-2</v>
      </c>
      <c r="E395">
        <v>1.1259999999999999E-2</v>
      </c>
      <c r="F395">
        <v>301037613.69999999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-0.3978494623655921</v>
      </c>
      <c r="Q395">
        <f t="shared" si="975"/>
        <v>-119767652.7623658</v>
      </c>
      <c r="R395">
        <f t="shared" si="976"/>
        <v>-1693619460.9151292</v>
      </c>
      <c r="S395">
        <f t="shared" si="977"/>
        <v>-16936.194609151291</v>
      </c>
      <c r="T395">
        <f t="shared" si="978"/>
        <v>-16.93619460915129</v>
      </c>
    </row>
    <row r="396" spans="1:20" x14ac:dyDescent="0.25">
      <c r="A396" s="5">
        <v>44197</v>
      </c>
      <c r="B396">
        <v>1.371E-2</v>
      </c>
      <c r="C396">
        <v>1.538E-2</v>
      </c>
      <c r="D396">
        <v>1.277E-2</v>
      </c>
      <c r="E396">
        <v>1.321E-2</v>
      </c>
      <c r="F396">
        <v>174684006.40000001</v>
      </c>
      <c r="G396">
        <v>0</v>
      </c>
      <c r="L396" t="s">
        <v>7</v>
      </c>
      <c r="M396" t="s">
        <v>7</v>
      </c>
      <c r="N396" t="s">
        <v>7</v>
      </c>
      <c r="P396">
        <f t="shared" si="974"/>
        <v>-0.66283524904214597</v>
      </c>
      <c r="Q396">
        <f t="shared" si="975"/>
        <v>-115786716.88582383</v>
      </c>
      <c r="R396">
        <f t="shared" si="976"/>
        <v>-1573851808.1527634</v>
      </c>
      <c r="S396">
        <f t="shared" si="977"/>
        <v>-15738.518081527634</v>
      </c>
      <c r="T396">
        <f t="shared" si="978"/>
        <v>-15.738518081527634</v>
      </c>
    </row>
    <row r="397" spans="1:20" x14ac:dyDescent="0.25">
      <c r="A397" s="5">
        <v>44196</v>
      </c>
      <c r="B397">
        <v>1.559E-2</v>
      </c>
      <c r="C397">
        <v>1.5689999999999999E-2</v>
      </c>
      <c r="D397">
        <v>1.3270000000000001E-2</v>
      </c>
      <c r="E397">
        <v>1.371E-2</v>
      </c>
      <c r="F397">
        <v>298519657.39999998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-0.63636363636363658</v>
      </c>
      <c r="Q397">
        <f t="shared" si="975"/>
        <v>-189967054.70909095</v>
      </c>
      <c r="R397">
        <f t="shared" si="976"/>
        <v>-1458065091.2669396</v>
      </c>
      <c r="S397">
        <f t="shared" si="977"/>
        <v>-14580.650912669396</v>
      </c>
      <c r="T397">
        <f t="shared" si="978"/>
        <v>-14.580650912669396</v>
      </c>
    </row>
    <row r="398" spans="1:20" x14ac:dyDescent="0.25">
      <c r="A398" s="5">
        <v>44195</v>
      </c>
      <c r="B398">
        <v>1.244E-2</v>
      </c>
      <c r="C398">
        <v>1.8769999999999998E-2</v>
      </c>
      <c r="D398">
        <v>1.1129999999999999E-2</v>
      </c>
      <c r="E398">
        <v>1.558E-2</v>
      </c>
      <c r="F398">
        <v>1164819161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0.16492146596858673</v>
      </c>
      <c r="Q398">
        <f t="shared" si="975"/>
        <v>192103683.62041923</v>
      </c>
      <c r="R398">
        <f t="shared" si="976"/>
        <v>-1268098036.5578487</v>
      </c>
      <c r="S398">
        <f t="shared" si="977"/>
        <v>-12680.980365578487</v>
      </c>
      <c r="T398">
        <f t="shared" si="978"/>
        <v>-12.680980365578487</v>
      </c>
    </row>
    <row r="399" spans="1:20" x14ac:dyDescent="0.25">
      <c r="A399" s="5">
        <v>44194</v>
      </c>
      <c r="B399">
        <v>1.325E-2</v>
      </c>
      <c r="C399">
        <v>1.55E-2</v>
      </c>
      <c r="D399">
        <v>1.061E-2</v>
      </c>
      <c r="E399">
        <v>1.248E-2</v>
      </c>
      <c r="F399">
        <v>703822553.70000005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-0.23517382413087934</v>
      </c>
      <c r="Q399">
        <f t="shared" si="975"/>
        <v>-165520641.4631902</v>
      </c>
      <c r="R399">
        <f t="shared" si="976"/>
        <v>-1460201720.178268</v>
      </c>
      <c r="S399">
        <f t="shared" si="977"/>
        <v>-14602.017201782679</v>
      </c>
      <c r="T399">
        <f t="shared" si="978"/>
        <v>-14.602017201782679</v>
      </c>
    </row>
    <row r="400" spans="1:20" x14ac:dyDescent="0.25">
      <c r="A400" s="5">
        <v>44193</v>
      </c>
      <c r="B400">
        <v>1.7659999999999999E-2</v>
      </c>
      <c r="C400">
        <v>1.9779999999999999E-2</v>
      </c>
      <c r="D400">
        <v>1.2109999999999999E-2</v>
      </c>
      <c r="E400">
        <v>1.325E-2</v>
      </c>
      <c r="F400">
        <v>828341637.10000002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-0.70273794002607548</v>
      </c>
      <c r="Q400">
        <f t="shared" si="975"/>
        <v>-582107095.69348097</v>
      </c>
      <c r="R400">
        <f t="shared" si="976"/>
        <v>-1294681078.7150779</v>
      </c>
      <c r="S400">
        <f t="shared" si="977"/>
        <v>-12946.810787150778</v>
      </c>
      <c r="T400">
        <f t="shared" si="978"/>
        <v>-12.946810787150778</v>
      </c>
    </row>
    <row r="401" spans="1:20" x14ac:dyDescent="0.25">
      <c r="A401" s="5">
        <v>44192</v>
      </c>
      <c r="B401">
        <v>1.1169999999999999E-2</v>
      </c>
      <c r="C401">
        <v>1.823E-2</v>
      </c>
      <c r="D401">
        <v>1.11E-2</v>
      </c>
      <c r="E401">
        <v>1.7749999999999998E-2</v>
      </c>
      <c r="F401">
        <v>1030334017.2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0.86535764375876545</v>
      </c>
      <c r="Q401">
        <f t="shared" si="975"/>
        <v>891607417.40869534</v>
      </c>
      <c r="R401">
        <f t="shared" si="976"/>
        <v>-712573983.02159679</v>
      </c>
      <c r="S401">
        <f t="shared" si="977"/>
        <v>-7125.7398302159681</v>
      </c>
      <c r="T401">
        <f t="shared" si="978"/>
        <v>-7.1257398302159682</v>
      </c>
    </row>
    <row r="402" spans="1:20" x14ac:dyDescent="0.25">
      <c r="A402" s="5">
        <v>44191</v>
      </c>
      <c r="B402">
        <v>8.8599999999999998E-3</v>
      </c>
      <c r="C402">
        <v>1.1900000000000001E-2</v>
      </c>
      <c r="D402">
        <v>8.5100000000000002E-3</v>
      </c>
      <c r="E402">
        <v>1.1140000000000001E-2</v>
      </c>
      <c r="F402">
        <v>404346456.69999999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0.55162241887905594</v>
      </c>
      <c r="Q402">
        <f t="shared" si="975"/>
        <v>223046570.51002944</v>
      </c>
      <c r="R402">
        <f t="shared" si="976"/>
        <v>-1604181400.4302921</v>
      </c>
      <c r="S402">
        <f t="shared" si="977"/>
        <v>-16041.814004302922</v>
      </c>
      <c r="T402">
        <f t="shared" si="978"/>
        <v>-16.041814004302921</v>
      </c>
    </row>
    <row r="403" spans="1:20" x14ac:dyDescent="0.25">
      <c r="A403" s="5">
        <v>44190</v>
      </c>
      <c r="B403">
        <v>8.5800000000000008E-3</v>
      </c>
      <c r="C403">
        <v>9.4000000000000004E-3</v>
      </c>
      <c r="D403">
        <v>7.9699999999999997E-3</v>
      </c>
      <c r="E403">
        <v>8.8500000000000002E-3</v>
      </c>
      <c r="F403">
        <v>144900559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0.23076923076923095</v>
      </c>
      <c r="Q403">
        <f t="shared" si="975"/>
        <v>33438590.538461566</v>
      </c>
      <c r="R403">
        <f t="shared" si="976"/>
        <v>-1827227970.9403214</v>
      </c>
      <c r="S403">
        <f t="shared" si="977"/>
        <v>-18272.279709403214</v>
      </c>
      <c r="T403">
        <f t="shared" si="978"/>
        <v>-18.272279709403215</v>
      </c>
    </row>
    <row r="404" spans="1:20" x14ac:dyDescent="0.25">
      <c r="A404" s="5">
        <v>44189</v>
      </c>
      <c r="B404">
        <v>6.9100000000000003E-3</v>
      </c>
      <c r="C404">
        <v>1.136E-2</v>
      </c>
      <c r="D404">
        <v>6.5599999999999999E-3</v>
      </c>
      <c r="E404">
        <v>8.5500000000000003E-3</v>
      </c>
      <c r="F404">
        <v>398599955.89999998</v>
      </c>
      <c r="G404">
        <v>0</v>
      </c>
      <c r="L404" t="s">
        <v>8</v>
      </c>
      <c r="M404" t="s">
        <v>8</v>
      </c>
      <c r="N404" t="s">
        <v>8</v>
      </c>
      <c r="P404">
        <f t="shared" si="974"/>
        <v>-0.17083333333333323</v>
      </c>
      <c r="Q404">
        <f t="shared" si="975"/>
        <v>-68094159.132916614</v>
      </c>
      <c r="R404">
        <f t="shared" si="976"/>
        <v>-1860666561.4787829</v>
      </c>
      <c r="S404">
        <f t="shared" si="977"/>
        <v>-18606.665614787828</v>
      </c>
      <c r="T404">
        <f t="shared" si="978"/>
        <v>-18.606665614787829</v>
      </c>
    </row>
    <row r="405" spans="1:20" x14ac:dyDescent="0.25">
      <c r="A405" s="5">
        <v>44188</v>
      </c>
      <c r="B405">
        <v>8.5699999999999995E-3</v>
      </c>
      <c r="C405">
        <v>9.9000000000000008E-3</v>
      </c>
      <c r="D405">
        <v>6.45E-3</v>
      </c>
      <c r="E405">
        <v>6.8599999999999998E-3</v>
      </c>
      <c r="F405">
        <v>380511949.10000002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-0.76231884057971033</v>
      </c>
      <c r="Q405">
        <f t="shared" si="975"/>
        <v>-290071427.86463779</v>
      </c>
      <c r="R405">
        <f t="shared" si="976"/>
        <v>-1792572402.3458662</v>
      </c>
      <c r="S405">
        <f t="shared" si="977"/>
        <v>-17925.724023458661</v>
      </c>
      <c r="T405">
        <f t="shared" si="978"/>
        <v>-17.92572402345866</v>
      </c>
    </row>
    <row r="406" spans="1:20" x14ac:dyDescent="0.25">
      <c r="A406" s="5">
        <v>44187</v>
      </c>
      <c r="B406">
        <v>6.62E-3</v>
      </c>
      <c r="C406">
        <v>9.8499999999999994E-3</v>
      </c>
      <c r="D406">
        <v>6.0600000000000003E-3</v>
      </c>
      <c r="E406">
        <v>8.5599999999999999E-3</v>
      </c>
      <c r="F406">
        <v>688200948.89999998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0.31926121372031674</v>
      </c>
      <c r="Q406">
        <f t="shared" si="975"/>
        <v>219715870.22928768</v>
      </c>
      <c r="R406">
        <f t="shared" si="976"/>
        <v>-1502500974.4812284</v>
      </c>
      <c r="S406">
        <f t="shared" si="977"/>
        <v>-15025.009744812283</v>
      </c>
      <c r="T406">
        <f t="shared" si="978"/>
        <v>-15.025009744812284</v>
      </c>
    </row>
    <row r="407" spans="1:20" x14ac:dyDescent="0.25">
      <c r="A407" s="5">
        <v>44186</v>
      </c>
      <c r="B407">
        <v>8.1899999999999994E-3</v>
      </c>
      <c r="C407">
        <v>9.7000000000000003E-3</v>
      </c>
      <c r="D407">
        <v>6.0000000000000001E-3</v>
      </c>
      <c r="E407">
        <v>6.6E-3</v>
      </c>
      <c r="F407">
        <v>248796067.90000001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-0.67567567567567577</v>
      </c>
      <c r="Q407">
        <f t="shared" si="975"/>
        <v>-168105451.28378382</v>
      </c>
      <c r="R407">
        <f t="shared" si="976"/>
        <v>-1722216844.710516</v>
      </c>
      <c r="S407">
        <f t="shared" si="977"/>
        <v>-17222.168447105159</v>
      </c>
      <c r="T407">
        <f t="shared" si="978"/>
        <v>-17.222168447105158</v>
      </c>
    </row>
    <row r="408" spans="1:20" x14ac:dyDescent="0.25">
      <c r="A408" s="5">
        <v>44185</v>
      </c>
      <c r="B408">
        <v>6.3600000000000002E-3</v>
      </c>
      <c r="C408">
        <v>1.0919999999999999E-2</v>
      </c>
      <c r="D408">
        <v>5.9300000000000004E-3</v>
      </c>
      <c r="E408">
        <v>8.1600000000000006E-3</v>
      </c>
      <c r="F408">
        <v>623756759.60000002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-0.10621242484969909</v>
      </c>
      <c r="Q408">
        <f t="shared" si="975"/>
        <v>-66250717.95350682</v>
      </c>
      <c r="R408">
        <f t="shared" si="976"/>
        <v>-1554111393.4267321</v>
      </c>
      <c r="S408">
        <f t="shared" si="977"/>
        <v>-15541.113934267321</v>
      </c>
      <c r="T408">
        <f t="shared" si="978"/>
        <v>-15.541113934267321</v>
      </c>
    </row>
    <row r="409" spans="1:20" x14ac:dyDescent="0.25">
      <c r="A409" s="5">
        <v>44184</v>
      </c>
      <c r="B409">
        <v>6.1199999999999996E-3</v>
      </c>
      <c r="C409">
        <v>6.8799999999999998E-3</v>
      </c>
      <c r="D409">
        <v>6.1000000000000004E-3</v>
      </c>
      <c r="E409">
        <v>6.3800000000000003E-3</v>
      </c>
      <c r="F409">
        <v>78705029.900000006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-0.28205128205128188</v>
      </c>
      <c r="Q409">
        <f t="shared" si="975"/>
        <v>-22198854.587179475</v>
      </c>
      <c r="R409">
        <f t="shared" si="976"/>
        <v>-1487860675.4732254</v>
      </c>
      <c r="S409">
        <f t="shared" si="977"/>
        <v>-14878.606754732253</v>
      </c>
      <c r="T409">
        <f t="shared" si="978"/>
        <v>-14.878606754732253</v>
      </c>
    </row>
    <row r="410" spans="1:20" x14ac:dyDescent="0.25">
      <c r="A410" s="5">
        <v>44183</v>
      </c>
      <c r="B410">
        <v>5.6699999999999997E-3</v>
      </c>
      <c r="C410">
        <v>6.1500000000000001E-3</v>
      </c>
      <c r="D410">
        <v>5.5799999999999999E-3</v>
      </c>
      <c r="E410">
        <v>6.11E-3</v>
      </c>
      <c r="F410">
        <v>24514579.600000001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0.85964912280701722</v>
      </c>
      <c r="Q410">
        <f t="shared" si="975"/>
        <v>21073936.8491228</v>
      </c>
      <c r="R410">
        <f t="shared" si="976"/>
        <v>-1465661820.8860459</v>
      </c>
      <c r="S410">
        <f t="shared" si="977"/>
        <v>-14656.61820886046</v>
      </c>
      <c r="T410">
        <f t="shared" si="978"/>
        <v>-14.65661820886046</v>
      </c>
    </row>
    <row r="411" spans="1:20" x14ac:dyDescent="0.25">
      <c r="A411" s="5">
        <v>44182</v>
      </c>
      <c r="B411">
        <v>5.47E-3</v>
      </c>
      <c r="C411">
        <v>5.9100000000000003E-3</v>
      </c>
      <c r="D411">
        <v>5.4400000000000004E-3</v>
      </c>
      <c r="E411">
        <v>5.6499999999999996E-3</v>
      </c>
      <c r="F411">
        <v>36449154</v>
      </c>
      <c r="G411">
        <v>0</v>
      </c>
      <c r="L411" t="s">
        <v>7</v>
      </c>
      <c r="M411" t="s">
        <v>8</v>
      </c>
      <c r="N411" t="s">
        <v>7</v>
      </c>
      <c r="P411">
        <f t="shared" si="974"/>
        <v>-0.10638297872340732</v>
      </c>
      <c r="Q411">
        <f t="shared" si="975"/>
        <v>-3877569.5744681968</v>
      </c>
      <c r="R411">
        <f t="shared" si="976"/>
        <v>-1486735757.7351687</v>
      </c>
      <c r="S411">
        <f t="shared" si="977"/>
        <v>-14867.357577351688</v>
      </c>
      <c r="T411">
        <f t="shared" si="978"/>
        <v>-14.867357577351688</v>
      </c>
    </row>
    <row r="412" spans="1:20" x14ac:dyDescent="0.25">
      <c r="A412" s="5">
        <v>44181</v>
      </c>
      <c r="B412">
        <v>5.2900000000000004E-3</v>
      </c>
      <c r="C412">
        <v>5.8300000000000001E-3</v>
      </c>
      <c r="D412">
        <v>5.1399999999999996E-3</v>
      </c>
      <c r="E412">
        <v>5.47E-3</v>
      </c>
      <c r="F412">
        <v>46586549.100000001</v>
      </c>
      <c r="G412">
        <v>0</v>
      </c>
      <c r="L412" t="s">
        <v>8</v>
      </c>
      <c r="M412" t="s">
        <v>8</v>
      </c>
      <c r="N412" t="s">
        <v>7</v>
      </c>
      <c r="P412">
        <f t="shared" si="974"/>
        <v>-4.3478260869564668E-2</v>
      </c>
      <c r="Q412">
        <f t="shared" si="975"/>
        <v>-2025502.1347825832</v>
      </c>
      <c r="R412">
        <f t="shared" si="976"/>
        <v>-1482858188.1607006</v>
      </c>
      <c r="S412">
        <f t="shared" si="977"/>
        <v>-14828.581881607006</v>
      </c>
      <c r="T412">
        <f t="shared" si="978"/>
        <v>-14.828581881607006</v>
      </c>
    </row>
    <row r="413" spans="1:20" x14ac:dyDescent="0.25">
      <c r="A413" s="5">
        <v>44180</v>
      </c>
      <c r="B413">
        <v>5.3699999999999998E-3</v>
      </c>
      <c r="C413">
        <v>5.5100000000000001E-3</v>
      </c>
      <c r="D413">
        <v>5.1799999999999997E-3</v>
      </c>
      <c r="E413">
        <v>5.3E-3</v>
      </c>
      <c r="F413">
        <v>22934763.899999999</v>
      </c>
      <c r="G413">
        <v>0</v>
      </c>
      <c r="L413" t="s">
        <v>8</v>
      </c>
      <c r="M413" t="s">
        <v>7</v>
      </c>
      <c r="N413" t="s">
        <v>7</v>
      </c>
      <c r="P413">
        <f t="shared" si="974"/>
        <v>-0.27272727272727176</v>
      </c>
      <c r="Q413">
        <f t="shared" si="975"/>
        <v>-6254935.609090887</v>
      </c>
      <c r="R413">
        <f t="shared" si="976"/>
        <v>-1480832686.025918</v>
      </c>
      <c r="S413">
        <f t="shared" si="977"/>
        <v>-14808.32686025918</v>
      </c>
      <c r="T413">
        <f t="shared" si="978"/>
        <v>-14.80832686025918</v>
      </c>
    </row>
    <row r="414" spans="1:20" x14ac:dyDescent="0.25">
      <c r="A414" s="5">
        <v>44179</v>
      </c>
      <c r="B414">
        <v>5.1599999999999997E-3</v>
      </c>
      <c r="C414">
        <v>5.47E-3</v>
      </c>
      <c r="D414">
        <v>5.1399999999999996E-3</v>
      </c>
      <c r="E414">
        <v>5.3699999999999998E-3</v>
      </c>
      <c r="F414">
        <v>25800491.300000001</v>
      </c>
      <c r="G414">
        <v>0</v>
      </c>
      <c r="L414" t="s">
        <v>8</v>
      </c>
      <c r="M414" t="s">
        <v>7</v>
      </c>
      <c r="N414" t="s">
        <v>7</v>
      </c>
      <c r="P414">
        <f t="shared" si="974"/>
        <v>0.39393939393939315</v>
      </c>
      <c r="Q414">
        <f t="shared" si="975"/>
        <v>10163829.906060586</v>
      </c>
      <c r="R414">
        <f t="shared" si="976"/>
        <v>-1474577750.4168272</v>
      </c>
      <c r="S414">
        <f t="shared" si="977"/>
        <v>-14745.777504168273</v>
      </c>
      <c r="T414">
        <f t="shared" si="978"/>
        <v>-14.745777504168272</v>
      </c>
    </row>
    <row r="415" spans="1:20" x14ac:dyDescent="0.25">
      <c r="A415" s="5">
        <v>44178</v>
      </c>
      <c r="B415">
        <v>5.1799999999999997E-3</v>
      </c>
      <c r="C415">
        <v>5.3099999999999996E-3</v>
      </c>
      <c r="D415">
        <v>5.0600000000000003E-3</v>
      </c>
      <c r="E415">
        <v>5.1599999999999997E-3</v>
      </c>
      <c r="F415">
        <v>12448896.1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-0.20000000000000279</v>
      </c>
      <c r="Q415">
        <f t="shared" si="975"/>
        <v>-2489779.2200000347</v>
      </c>
      <c r="R415">
        <f t="shared" si="976"/>
        <v>-1484741580.3228879</v>
      </c>
      <c r="S415">
        <f t="shared" si="977"/>
        <v>-14847.41580322888</v>
      </c>
      <c r="T415">
        <f t="shared" si="978"/>
        <v>-14.847415803228881</v>
      </c>
    </row>
    <row r="416" spans="1:20" x14ac:dyDescent="0.25">
      <c r="A416" s="5">
        <v>44177</v>
      </c>
      <c r="B416">
        <v>4.8799999999999998E-3</v>
      </c>
      <c r="C416">
        <v>5.3400000000000001E-3</v>
      </c>
      <c r="D416">
        <v>4.8799999999999998E-3</v>
      </c>
      <c r="E416">
        <v>5.1900000000000002E-3</v>
      </c>
      <c r="F416">
        <v>61942463.899999999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0.3478260869565224</v>
      </c>
      <c r="Q416">
        <f t="shared" si="975"/>
        <v>21545204.834782649</v>
      </c>
      <c r="R416">
        <f t="shared" si="976"/>
        <v>-1482251801.1028879</v>
      </c>
      <c r="S416">
        <f t="shared" si="977"/>
        <v>-14822.518011028878</v>
      </c>
      <c r="T416">
        <f t="shared" si="978"/>
        <v>-14.822518011028878</v>
      </c>
    </row>
    <row r="417" spans="1:20" x14ac:dyDescent="0.25">
      <c r="A417" s="5">
        <v>44176</v>
      </c>
      <c r="B417">
        <v>5.11E-3</v>
      </c>
      <c r="C417">
        <v>5.1200000000000004E-3</v>
      </c>
      <c r="D417">
        <v>4.7999999999999996E-3</v>
      </c>
      <c r="E417">
        <v>4.8999999999999998E-3</v>
      </c>
      <c r="F417">
        <v>14599403.800000001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-0.375</v>
      </c>
      <c r="Q417">
        <f t="shared" si="975"/>
        <v>-5474776.4250000007</v>
      </c>
      <c r="R417">
        <f t="shared" si="976"/>
        <v>-1503797005.9376705</v>
      </c>
      <c r="S417">
        <f t="shared" si="977"/>
        <v>-15037.970059376705</v>
      </c>
      <c r="T417">
        <f t="shared" si="978"/>
        <v>-15.037970059376704</v>
      </c>
    </row>
    <row r="418" spans="1:20" x14ac:dyDescent="0.25">
      <c r="A418" s="5">
        <v>44175</v>
      </c>
      <c r="B418">
        <v>5.3099999999999996E-3</v>
      </c>
      <c r="C418">
        <v>5.3200000000000001E-3</v>
      </c>
      <c r="D418">
        <v>4.96E-3</v>
      </c>
      <c r="E418">
        <v>5.1399999999999996E-3</v>
      </c>
      <c r="F418">
        <v>27235030.300000001</v>
      </c>
      <c r="G418">
        <v>0</v>
      </c>
      <c r="L418" t="s">
        <v>8</v>
      </c>
      <c r="M418" t="s">
        <v>7</v>
      </c>
      <c r="N418" t="s">
        <v>7</v>
      </c>
      <c r="P418">
        <f t="shared" si="974"/>
        <v>-2.4093381610788984E-15</v>
      </c>
      <c r="Q418">
        <f t="shared" si="975"/>
        <v>-6.5618397819930086E-8</v>
      </c>
      <c r="R418">
        <f t="shared" si="976"/>
        <v>-1498322229.5126705</v>
      </c>
      <c r="S418">
        <f t="shared" si="977"/>
        <v>-14983.222295126705</v>
      </c>
      <c r="T418">
        <f t="shared" si="978"/>
        <v>-14.983222295126705</v>
      </c>
    </row>
    <row r="419" spans="1:20" x14ac:dyDescent="0.25">
      <c r="A419" s="5">
        <v>44174</v>
      </c>
      <c r="B419">
        <v>5.0000000000000001E-3</v>
      </c>
      <c r="C419">
        <v>5.45E-3</v>
      </c>
      <c r="D419">
        <v>4.7999999999999996E-3</v>
      </c>
      <c r="E419">
        <v>5.2900000000000004E-3</v>
      </c>
      <c r="F419">
        <v>34951038.899999999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0.50769230769230933</v>
      </c>
      <c r="Q419">
        <f t="shared" si="975"/>
        <v>17744373.595384672</v>
      </c>
      <c r="R419">
        <f t="shared" si="976"/>
        <v>-1498322229.5126705</v>
      </c>
      <c r="S419">
        <f t="shared" si="977"/>
        <v>-14983.222295126705</v>
      </c>
      <c r="T419">
        <f t="shared" si="978"/>
        <v>-14.983222295126705</v>
      </c>
    </row>
    <row r="420" spans="1:20" x14ac:dyDescent="0.25">
      <c r="A420" s="5">
        <v>44173</v>
      </c>
      <c r="B420">
        <v>5.4200000000000003E-3</v>
      </c>
      <c r="C420">
        <v>5.5500000000000002E-3</v>
      </c>
      <c r="D420">
        <v>4.8799999999999998E-3</v>
      </c>
      <c r="E420">
        <v>5.0000000000000001E-3</v>
      </c>
      <c r="F420">
        <v>138177362.69999999</v>
      </c>
      <c r="G420">
        <v>0</v>
      </c>
      <c r="L420" t="s">
        <v>7</v>
      </c>
      <c r="M420" t="s">
        <v>7</v>
      </c>
      <c r="N420" t="s">
        <v>8</v>
      </c>
      <c r="P420">
        <f t="shared" si="974"/>
        <v>-0.6417910447761187</v>
      </c>
      <c r="Q420">
        <f t="shared" si="975"/>
        <v>-88680993.97164169</v>
      </c>
      <c r="R420">
        <f t="shared" si="976"/>
        <v>-1516066603.1080551</v>
      </c>
      <c r="S420">
        <f t="shared" si="977"/>
        <v>-15160.666031080551</v>
      </c>
      <c r="T420">
        <f t="shared" si="978"/>
        <v>-15.160666031080551</v>
      </c>
    </row>
    <row r="421" spans="1:20" x14ac:dyDescent="0.25">
      <c r="A421" s="5">
        <v>44172</v>
      </c>
      <c r="B421">
        <v>5.5999999999999999E-3</v>
      </c>
      <c r="C421">
        <v>5.6499999999999996E-3</v>
      </c>
      <c r="D421">
        <v>5.3299999999999997E-3</v>
      </c>
      <c r="E421">
        <v>5.4000000000000003E-3</v>
      </c>
      <c r="F421">
        <v>14272427.6</v>
      </c>
      <c r="G421">
        <v>0</v>
      </c>
      <c r="L421" t="s">
        <v>7</v>
      </c>
      <c r="M421" t="s">
        <v>7</v>
      </c>
      <c r="N421" t="s">
        <v>8</v>
      </c>
      <c r="P421">
        <f t="shared" si="974"/>
        <v>-0.56249999999999611</v>
      </c>
      <c r="Q421">
        <f t="shared" si="975"/>
        <v>-8028240.5249999445</v>
      </c>
      <c r="R421">
        <f t="shared" si="976"/>
        <v>-1427385609.1364133</v>
      </c>
      <c r="S421">
        <f t="shared" si="977"/>
        <v>-14273.856091364134</v>
      </c>
      <c r="T421">
        <f t="shared" si="978"/>
        <v>-14.273856091364134</v>
      </c>
    </row>
    <row r="422" spans="1:20" x14ac:dyDescent="0.25">
      <c r="A422" s="5">
        <v>44171</v>
      </c>
      <c r="B422">
        <v>5.7499999999999999E-3</v>
      </c>
      <c r="C422">
        <v>5.8999999999999999E-3</v>
      </c>
      <c r="D422">
        <v>5.45E-3</v>
      </c>
      <c r="E422">
        <v>5.6100000000000004E-3</v>
      </c>
      <c r="F422">
        <v>19149246.600000001</v>
      </c>
      <c r="G422">
        <v>0</v>
      </c>
      <c r="L422" t="s">
        <v>7</v>
      </c>
      <c r="M422" t="s">
        <v>7</v>
      </c>
      <c r="N422" t="s">
        <v>8</v>
      </c>
      <c r="P422">
        <f t="shared" si="974"/>
        <v>-0.28888888888888681</v>
      </c>
      <c r="Q422">
        <f t="shared" si="975"/>
        <v>-5532004.5733332941</v>
      </c>
      <c r="R422">
        <f t="shared" si="976"/>
        <v>-1419357368.6114135</v>
      </c>
      <c r="S422">
        <f t="shared" si="977"/>
        <v>-14193.573686114134</v>
      </c>
      <c r="T422">
        <f t="shared" si="978"/>
        <v>-14.193573686114133</v>
      </c>
    </row>
    <row r="423" spans="1:20" x14ac:dyDescent="0.25">
      <c r="A423" s="5">
        <v>44170</v>
      </c>
      <c r="B423">
        <v>5.5700000000000003E-3</v>
      </c>
      <c r="C423">
        <v>5.8100000000000001E-3</v>
      </c>
      <c r="D423">
        <v>5.5199999999999997E-3</v>
      </c>
      <c r="E423">
        <v>5.77E-3</v>
      </c>
      <c r="F423">
        <v>14184966.699999999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0.72413793103448232</v>
      </c>
      <c r="Q423">
        <f t="shared" si="975"/>
        <v>10271872.437931027</v>
      </c>
      <c r="R423">
        <f t="shared" si="976"/>
        <v>-1413825364.0380802</v>
      </c>
      <c r="S423">
        <f t="shared" si="977"/>
        <v>-14138.253640380803</v>
      </c>
      <c r="T423">
        <f t="shared" si="978"/>
        <v>-14.138253640380803</v>
      </c>
    </row>
    <row r="424" spans="1:20" x14ac:dyDescent="0.25">
      <c r="A424" s="5">
        <v>44169</v>
      </c>
      <c r="B424">
        <v>6.0200000000000002E-3</v>
      </c>
      <c r="C424">
        <v>6.1999999999999998E-3</v>
      </c>
      <c r="D424">
        <v>5.5199999999999997E-3</v>
      </c>
      <c r="E424">
        <v>5.5900000000000004E-3</v>
      </c>
      <c r="F424">
        <v>23855277.300000001</v>
      </c>
      <c r="G424">
        <v>0</v>
      </c>
      <c r="L424" t="s">
        <v>7</v>
      </c>
      <c r="M424" t="s">
        <v>7</v>
      </c>
      <c r="N424" t="s">
        <v>8</v>
      </c>
      <c r="P424">
        <f t="shared" si="974"/>
        <v>-0.79411764705882171</v>
      </c>
      <c r="Q424">
        <f t="shared" si="975"/>
        <v>-18943896.67941172</v>
      </c>
      <c r="R424">
        <f t="shared" si="976"/>
        <v>-1424097236.4760113</v>
      </c>
      <c r="S424">
        <f t="shared" si="977"/>
        <v>-14240.972364760113</v>
      </c>
      <c r="T424">
        <f t="shared" si="978"/>
        <v>-14.240972364760113</v>
      </c>
    </row>
    <row r="425" spans="1:20" x14ac:dyDescent="0.25">
      <c r="A425" s="5">
        <v>44168</v>
      </c>
      <c r="B425">
        <v>5.9800000000000001E-3</v>
      </c>
      <c r="C425">
        <v>6.1999999999999998E-3</v>
      </c>
      <c r="D425">
        <v>5.8999999999999999E-3</v>
      </c>
      <c r="E425">
        <v>6.0299999999999998E-3</v>
      </c>
      <c r="F425">
        <v>14172056.1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-0.13333333333333372</v>
      </c>
      <c r="Q425">
        <f t="shared" si="975"/>
        <v>-1889607.4800000053</v>
      </c>
      <c r="R425">
        <f t="shared" si="976"/>
        <v>-1405153339.7965996</v>
      </c>
      <c r="S425">
        <f t="shared" si="977"/>
        <v>-14051.533397965995</v>
      </c>
      <c r="T425">
        <f t="shared" si="978"/>
        <v>-14.051533397965995</v>
      </c>
    </row>
    <row r="426" spans="1:20" x14ac:dyDescent="0.25">
      <c r="A426" s="5">
        <v>44167</v>
      </c>
      <c r="B426">
        <v>5.5599999999999998E-3</v>
      </c>
      <c r="C426">
        <v>6.0499999999999998E-3</v>
      </c>
      <c r="D426">
        <v>5.5399999999999998E-3</v>
      </c>
      <c r="E426">
        <v>5.9899999999999997E-3</v>
      </c>
      <c r="F426">
        <v>13484677.199999999</v>
      </c>
      <c r="G426">
        <v>0</v>
      </c>
      <c r="L426" t="s">
        <v>8</v>
      </c>
      <c r="M426" t="s">
        <v>7</v>
      </c>
      <c r="N426" t="s">
        <v>8</v>
      </c>
      <c r="P426">
        <f t="shared" si="974"/>
        <v>0.76470588235294057</v>
      </c>
      <c r="Q426">
        <f t="shared" si="975"/>
        <v>10311811.97647058</v>
      </c>
      <c r="R426">
        <f t="shared" si="976"/>
        <v>-1403263732.3165996</v>
      </c>
      <c r="S426">
        <f t="shared" si="977"/>
        <v>-14032.637323165996</v>
      </c>
      <c r="T426">
        <f t="shared" si="978"/>
        <v>-14.032637323165996</v>
      </c>
    </row>
    <row r="427" spans="1:20" x14ac:dyDescent="0.25">
      <c r="A427" s="5">
        <v>44166</v>
      </c>
      <c r="B427">
        <v>6.0000000000000001E-3</v>
      </c>
      <c r="C427">
        <v>6.2500000000000003E-3</v>
      </c>
      <c r="D427">
        <v>5.45E-3</v>
      </c>
      <c r="E427">
        <v>5.5799999999999999E-3</v>
      </c>
      <c r="F427">
        <v>35882966.600000001</v>
      </c>
      <c r="G427">
        <v>0</v>
      </c>
      <c r="L427" t="s">
        <v>7</v>
      </c>
      <c r="M427" t="s">
        <v>7</v>
      </c>
      <c r="N427" t="s">
        <v>8</v>
      </c>
      <c r="P427">
        <f t="shared" si="974"/>
        <v>-0.67500000000000038</v>
      </c>
      <c r="Q427">
        <f t="shared" si="975"/>
        <v>-24221002.455000013</v>
      </c>
      <c r="R427">
        <f t="shared" si="976"/>
        <v>-1413575544.2930701</v>
      </c>
      <c r="S427">
        <f t="shared" si="977"/>
        <v>-14135.7554429307</v>
      </c>
      <c r="T427">
        <f t="shared" si="978"/>
        <v>-14.1357554429307</v>
      </c>
    </row>
    <row r="428" spans="1:20" x14ac:dyDescent="0.25">
      <c r="A428" s="5">
        <v>44165</v>
      </c>
      <c r="B428">
        <v>6.0899999999999999E-3</v>
      </c>
      <c r="C428">
        <v>6.2199999999999998E-3</v>
      </c>
      <c r="D428">
        <v>5.9100000000000003E-3</v>
      </c>
      <c r="E428">
        <v>6.0000000000000001E-3</v>
      </c>
      <c r="F428">
        <v>15721122.5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-0.41935483870967777</v>
      </c>
      <c r="Q428">
        <f t="shared" si="975"/>
        <v>-6592728.790322586</v>
      </c>
      <c r="R428">
        <f t="shared" si="976"/>
        <v>-1389354541.8380702</v>
      </c>
      <c r="S428">
        <f t="shared" si="977"/>
        <v>-13893.545418380701</v>
      </c>
      <c r="T428">
        <f t="shared" si="978"/>
        <v>-13.893545418380702</v>
      </c>
    </row>
    <row r="429" spans="1:20" x14ac:dyDescent="0.25">
      <c r="A429" s="5">
        <v>44164</v>
      </c>
      <c r="B429">
        <v>5.96E-3</v>
      </c>
      <c r="C429">
        <v>6.2199999999999998E-3</v>
      </c>
      <c r="D429">
        <v>5.6600000000000001E-3</v>
      </c>
      <c r="E429">
        <v>6.1399999999999996E-3</v>
      </c>
      <c r="F429">
        <v>26158856.699999999</v>
      </c>
      <c r="G429">
        <v>0</v>
      </c>
      <c r="L429" t="s">
        <v>8</v>
      </c>
      <c r="M429" t="s">
        <v>7</v>
      </c>
      <c r="N429" t="s">
        <v>8</v>
      </c>
      <c r="P429">
        <f t="shared" si="974"/>
        <v>0.71428571428571341</v>
      </c>
      <c r="Q429">
        <f t="shared" si="975"/>
        <v>18684897.642857119</v>
      </c>
      <c r="R429">
        <f t="shared" si="976"/>
        <v>-1382761813.0477476</v>
      </c>
      <c r="S429">
        <f t="shared" si="977"/>
        <v>-13827.618130477476</v>
      </c>
      <c r="T429">
        <f t="shared" si="978"/>
        <v>-13.827618130477477</v>
      </c>
    </row>
    <row r="430" spans="1:20" x14ac:dyDescent="0.25">
      <c r="A430" s="5">
        <v>44163</v>
      </c>
      <c r="B430">
        <v>5.62E-3</v>
      </c>
      <c r="C430">
        <v>6.0000000000000001E-3</v>
      </c>
      <c r="D430">
        <v>5.5199999999999997E-3</v>
      </c>
      <c r="E430">
        <v>5.94E-3</v>
      </c>
      <c r="F430">
        <v>24578721.699999999</v>
      </c>
      <c r="G430">
        <v>0</v>
      </c>
      <c r="L430" t="s">
        <v>8</v>
      </c>
      <c r="M430" t="s">
        <v>7</v>
      </c>
      <c r="N430" t="s">
        <v>8</v>
      </c>
      <c r="P430">
        <f t="shared" si="974"/>
        <v>0.74999999999999956</v>
      </c>
      <c r="Q430">
        <f t="shared" si="975"/>
        <v>18434041.274999987</v>
      </c>
      <c r="R430">
        <f t="shared" si="976"/>
        <v>-1401446710.6906047</v>
      </c>
      <c r="S430">
        <f t="shared" si="977"/>
        <v>-14014.467106906048</v>
      </c>
      <c r="T430">
        <f t="shared" si="978"/>
        <v>-14.014467106906048</v>
      </c>
    </row>
    <row r="431" spans="1:20" x14ac:dyDescent="0.25">
      <c r="A431" s="5">
        <v>44162</v>
      </c>
      <c r="B431">
        <v>5.5199999999999997E-3</v>
      </c>
      <c r="C431">
        <v>5.8599999999999998E-3</v>
      </c>
      <c r="D431">
        <v>5.3400000000000001E-3</v>
      </c>
      <c r="E431">
        <v>5.6499999999999996E-3</v>
      </c>
      <c r="F431">
        <v>13085387.5</v>
      </c>
      <c r="G431">
        <v>0</v>
      </c>
      <c r="L431" t="s">
        <v>8</v>
      </c>
      <c r="M431" t="s">
        <v>7</v>
      </c>
      <c r="N431" t="s">
        <v>8</v>
      </c>
      <c r="P431">
        <f t="shared" si="974"/>
        <v>0.19230769230769129</v>
      </c>
      <c r="Q431">
        <f t="shared" si="975"/>
        <v>2516420.67307691</v>
      </c>
      <c r="R431">
        <f t="shared" si="976"/>
        <v>-1419880751.9656048</v>
      </c>
      <c r="S431">
        <f t="shared" si="977"/>
        <v>-14198.807519656048</v>
      </c>
      <c r="T431">
        <f t="shared" si="978"/>
        <v>-14.198807519656048</v>
      </c>
    </row>
    <row r="432" spans="1:20" x14ac:dyDescent="0.25">
      <c r="A432" s="5">
        <v>44161</v>
      </c>
      <c r="B432">
        <v>6.3499999999999997E-3</v>
      </c>
      <c r="C432">
        <v>6.5900000000000004E-3</v>
      </c>
      <c r="D432">
        <v>5.1500000000000001E-3</v>
      </c>
      <c r="E432">
        <v>5.4999999999999997E-3</v>
      </c>
      <c r="F432">
        <v>48591334.600000001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-0.51388888888888951</v>
      </c>
      <c r="Q432">
        <f t="shared" si="975"/>
        <v>-24970546.947222251</v>
      </c>
      <c r="R432">
        <f t="shared" si="976"/>
        <v>-1422397172.6386817</v>
      </c>
      <c r="S432">
        <f t="shared" si="977"/>
        <v>-14223.971726386817</v>
      </c>
      <c r="T432">
        <f t="shared" si="978"/>
        <v>-14.223971726386816</v>
      </c>
    </row>
    <row r="433" spans="1:20" x14ac:dyDescent="0.25">
      <c r="A433" s="5">
        <v>44160</v>
      </c>
      <c r="B433">
        <v>6.1199999999999996E-3</v>
      </c>
      <c r="C433">
        <v>6.9899999999999997E-3</v>
      </c>
      <c r="D433">
        <v>6.0699999999999999E-3</v>
      </c>
      <c r="E433">
        <v>6.3400000000000001E-3</v>
      </c>
      <c r="F433">
        <v>81325556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-0.41304347826086885</v>
      </c>
      <c r="Q433">
        <f t="shared" si="975"/>
        <v>-33590990.521739073</v>
      </c>
      <c r="R433">
        <f t="shared" si="976"/>
        <v>-1397426625.6914594</v>
      </c>
      <c r="S433">
        <f t="shared" si="977"/>
        <v>-13974.266256914594</v>
      </c>
      <c r="T433">
        <f t="shared" si="978"/>
        <v>-13.974266256914595</v>
      </c>
    </row>
    <row r="434" spans="1:20" x14ac:dyDescent="0.25">
      <c r="A434" s="5">
        <v>44159</v>
      </c>
      <c r="B434">
        <v>5.6499999999999996E-3</v>
      </c>
      <c r="C434">
        <v>6.1999999999999998E-3</v>
      </c>
      <c r="D434">
        <v>5.4999999999999997E-3</v>
      </c>
      <c r="E434">
        <v>6.11E-3</v>
      </c>
      <c r="F434">
        <v>76316213.700000003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0.74285714285714344</v>
      </c>
      <c r="Q434">
        <f t="shared" si="975"/>
        <v>56692044.462857187</v>
      </c>
      <c r="R434">
        <f t="shared" si="976"/>
        <v>-1363835635.1697204</v>
      </c>
      <c r="S434">
        <f t="shared" si="977"/>
        <v>-13638.356351697204</v>
      </c>
      <c r="T434">
        <f t="shared" si="978"/>
        <v>-13.638356351697205</v>
      </c>
    </row>
    <row r="435" spans="1:20" x14ac:dyDescent="0.25">
      <c r="A435" s="5">
        <v>44158</v>
      </c>
      <c r="B435">
        <v>5.3499999999999997E-3</v>
      </c>
      <c r="C435">
        <v>5.77E-3</v>
      </c>
      <c r="D435">
        <v>5.3400000000000001E-3</v>
      </c>
      <c r="E435">
        <v>5.6499999999999996E-3</v>
      </c>
      <c r="F435">
        <v>35254180.899999999</v>
      </c>
      <c r="G435">
        <v>0</v>
      </c>
      <c r="L435" t="s">
        <v>7</v>
      </c>
      <c r="M435" t="s">
        <v>8</v>
      </c>
      <c r="N435" t="s">
        <v>8</v>
      </c>
      <c r="P435">
        <f t="shared" si="974"/>
        <v>0.44186046511627736</v>
      </c>
      <c r="Q435">
        <f t="shared" si="975"/>
        <v>15577428.769767381</v>
      </c>
      <c r="R435">
        <f t="shared" si="976"/>
        <v>-1420527679.6325777</v>
      </c>
      <c r="S435">
        <f t="shared" si="977"/>
        <v>-14205.276796325777</v>
      </c>
      <c r="T435">
        <f t="shared" si="978"/>
        <v>-14.205276796325778</v>
      </c>
    </row>
    <row r="436" spans="1:20" x14ac:dyDescent="0.25">
      <c r="A436" s="5">
        <v>44157</v>
      </c>
      <c r="B436">
        <v>5.5199999999999997E-3</v>
      </c>
      <c r="C436">
        <v>5.8999999999999999E-3</v>
      </c>
      <c r="D436">
        <v>5.0200000000000002E-3</v>
      </c>
      <c r="E436">
        <v>5.3200000000000001E-3</v>
      </c>
      <c r="F436">
        <v>34637154.799999997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-0.31818181818181812</v>
      </c>
      <c r="Q436">
        <f t="shared" si="975"/>
        <v>-11020912.890909089</v>
      </c>
      <c r="R436">
        <f t="shared" si="976"/>
        <v>-1436105108.4023449</v>
      </c>
      <c r="S436">
        <f t="shared" si="977"/>
        <v>-14361.051084023449</v>
      </c>
      <c r="T436">
        <f t="shared" si="978"/>
        <v>-14.361051084023449</v>
      </c>
    </row>
    <row r="437" spans="1:20" x14ac:dyDescent="0.25">
      <c r="A437" s="5">
        <v>44156</v>
      </c>
      <c r="B437">
        <v>4.81E-3</v>
      </c>
      <c r="C437">
        <v>5.79E-3</v>
      </c>
      <c r="D437">
        <v>4.7000000000000002E-3</v>
      </c>
      <c r="E437">
        <v>5.5100000000000001E-3</v>
      </c>
      <c r="F437">
        <v>65438443.600000001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0.48623853211009188</v>
      </c>
      <c r="Q437">
        <f t="shared" si="975"/>
        <v>31818692.759633038</v>
      </c>
      <c r="R437">
        <f t="shared" si="976"/>
        <v>-1425084195.5114357</v>
      </c>
      <c r="S437">
        <f t="shared" si="977"/>
        <v>-14250.841955114358</v>
      </c>
      <c r="T437">
        <f t="shared" si="978"/>
        <v>-14.250841955114359</v>
      </c>
    </row>
    <row r="438" spans="1:20" x14ac:dyDescent="0.25">
      <c r="A438" s="5">
        <v>44155</v>
      </c>
      <c r="B438">
        <v>4.6100000000000004E-3</v>
      </c>
      <c r="C438">
        <v>4.81E-3</v>
      </c>
      <c r="D438">
        <v>4.5599999999999998E-3</v>
      </c>
      <c r="E438">
        <v>4.7999999999999996E-3</v>
      </c>
      <c r="F438">
        <v>23077448</v>
      </c>
      <c r="G438">
        <v>0</v>
      </c>
      <c r="L438" t="s">
        <v>7</v>
      </c>
      <c r="M438" t="s">
        <v>7</v>
      </c>
      <c r="N438" t="s">
        <v>8</v>
      </c>
      <c r="P438">
        <f t="shared" si="974"/>
        <v>0.91999999999999638</v>
      </c>
      <c r="Q438">
        <f t="shared" si="975"/>
        <v>21231252.159999918</v>
      </c>
      <c r="R438">
        <f t="shared" si="976"/>
        <v>-1456902888.2710688</v>
      </c>
      <c r="S438">
        <f t="shared" si="977"/>
        <v>-14569.028882710689</v>
      </c>
      <c r="T438">
        <f t="shared" si="978"/>
        <v>-14.569028882710688</v>
      </c>
    </row>
    <row r="439" spans="1:20" x14ac:dyDescent="0.25">
      <c r="A439" s="5">
        <v>44154</v>
      </c>
      <c r="B439">
        <v>4.7999999999999996E-3</v>
      </c>
      <c r="C439">
        <v>4.9199999999999999E-3</v>
      </c>
      <c r="D439">
        <v>4.5999999999999999E-3</v>
      </c>
      <c r="E439">
        <v>4.6100000000000004E-3</v>
      </c>
      <c r="F439">
        <v>53927565.399999999</v>
      </c>
      <c r="G439">
        <v>0</v>
      </c>
      <c r="L439" t="s">
        <v>7</v>
      </c>
      <c r="M439" t="s">
        <v>7</v>
      </c>
      <c r="N439" t="s">
        <v>8</v>
      </c>
      <c r="P439">
        <f t="shared" si="974"/>
        <v>-0.93749999999999711</v>
      </c>
      <c r="Q439">
        <f t="shared" si="975"/>
        <v>-50557092.562499844</v>
      </c>
      <c r="R439">
        <f t="shared" si="976"/>
        <v>-1478134140.4310687</v>
      </c>
      <c r="S439">
        <f t="shared" si="977"/>
        <v>-14781.341404310686</v>
      </c>
      <c r="T439">
        <f t="shared" si="978"/>
        <v>-14.781341404310686</v>
      </c>
    </row>
    <row r="440" spans="1:20" x14ac:dyDescent="0.25">
      <c r="A440" s="5">
        <v>44153</v>
      </c>
      <c r="B440">
        <v>5.0400000000000002E-3</v>
      </c>
      <c r="C440">
        <v>5.1200000000000004E-3</v>
      </c>
      <c r="D440">
        <v>4.6600000000000001E-3</v>
      </c>
      <c r="E440">
        <v>4.8199999999999996E-3</v>
      </c>
      <c r="F440">
        <v>47614738.200000003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-0.30434782608695898</v>
      </c>
      <c r="Q440">
        <f t="shared" si="975"/>
        <v>-14491442.060869683</v>
      </c>
      <c r="R440">
        <f t="shared" si="976"/>
        <v>-1427577047.8685689</v>
      </c>
      <c r="S440">
        <f t="shared" si="977"/>
        <v>-14275.770478685688</v>
      </c>
      <c r="T440">
        <f t="shared" si="978"/>
        <v>-14.275770478685688</v>
      </c>
    </row>
    <row r="441" spans="1:20" x14ac:dyDescent="0.25">
      <c r="A441" s="5">
        <v>44152</v>
      </c>
      <c r="B441">
        <v>4.9300000000000004E-3</v>
      </c>
      <c r="C441">
        <v>5.1399999999999996E-3</v>
      </c>
      <c r="D441">
        <v>4.8599999999999997E-3</v>
      </c>
      <c r="E441">
        <v>5.0400000000000002E-3</v>
      </c>
      <c r="F441">
        <v>16547978.1</v>
      </c>
      <c r="G441">
        <v>0</v>
      </c>
      <c r="L441" t="s">
        <v>8</v>
      </c>
      <c r="M441" t="s">
        <v>7</v>
      </c>
      <c r="N441" t="s">
        <v>8</v>
      </c>
      <c r="P441">
        <f t="shared" si="974"/>
        <v>0.2857142857142897</v>
      </c>
      <c r="Q441">
        <f t="shared" si="975"/>
        <v>4727993.7428572085</v>
      </c>
      <c r="R441">
        <f t="shared" si="976"/>
        <v>-1413085605.8076992</v>
      </c>
      <c r="S441">
        <f t="shared" si="977"/>
        <v>-14130.856058076992</v>
      </c>
      <c r="T441">
        <f t="shared" si="978"/>
        <v>-14.130856058076992</v>
      </c>
    </row>
    <row r="442" spans="1:20" x14ac:dyDescent="0.25">
      <c r="A442" s="5">
        <v>44151</v>
      </c>
      <c r="B442">
        <v>4.8999999999999998E-3</v>
      </c>
      <c r="C442">
        <v>4.9800000000000001E-3</v>
      </c>
      <c r="D442">
        <v>4.7800000000000004E-3</v>
      </c>
      <c r="E442">
        <v>4.9300000000000004E-3</v>
      </c>
      <c r="F442">
        <v>15640964.5</v>
      </c>
      <c r="G442">
        <v>0</v>
      </c>
      <c r="L442" t="s">
        <v>8</v>
      </c>
      <c r="M442" t="s">
        <v>7</v>
      </c>
      <c r="N442" t="s">
        <v>8</v>
      </c>
      <c r="P442">
        <f t="shared" si="974"/>
        <v>0.50000000000000222</v>
      </c>
      <c r="Q442">
        <f t="shared" si="975"/>
        <v>7820482.2500000345</v>
      </c>
      <c r="R442">
        <f t="shared" si="976"/>
        <v>-1417813599.5505564</v>
      </c>
      <c r="S442">
        <f t="shared" si="977"/>
        <v>-14178.135995505565</v>
      </c>
      <c r="T442">
        <f t="shared" si="978"/>
        <v>-14.178135995505565</v>
      </c>
    </row>
    <row r="443" spans="1:20" x14ac:dyDescent="0.25">
      <c r="A443" s="5">
        <v>44150</v>
      </c>
      <c r="B443">
        <v>4.8500000000000001E-3</v>
      </c>
      <c r="C443">
        <v>5.0699999999999999E-3</v>
      </c>
      <c r="D443">
        <v>4.7699999999999999E-3</v>
      </c>
      <c r="E443">
        <v>4.8900000000000002E-3</v>
      </c>
      <c r="F443">
        <v>16618295.300000001</v>
      </c>
      <c r="G443">
        <v>0</v>
      </c>
      <c r="L443" t="s">
        <v>8</v>
      </c>
      <c r="M443" t="s">
        <v>7</v>
      </c>
      <c r="N443" t="s">
        <v>8</v>
      </c>
      <c r="P443">
        <f t="shared" si="974"/>
        <v>-0.19999999999999768</v>
      </c>
      <c r="Q443">
        <f t="shared" si="975"/>
        <v>-3323659.0599999614</v>
      </c>
      <c r="R443">
        <f t="shared" si="976"/>
        <v>-1425634081.8005564</v>
      </c>
      <c r="S443">
        <f t="shared" si="977"/>
        <v>-14256.340818005565</v>
      </c>
      <c r="T443">
        <f t="shared" si="978"/>
        <v>-14.256340818005565</v>
      </c>
    </row>
    <row r="444" spans="1:20" x14ac:dyDescent="0.25">
      <c r="A444" s="5">
        <v>44149</v>
      </c>
      <c r="B444">
        <v>5.1700000000000001E-3</v>
      </c>
      <c r="C444">
        <v>5.2100000000000002E-3</v>
      </c>
      <c r="D444">
        <v>4.5999999999999999E-3</v>
      </c>
      <c r="E444">
        <v>4.8700000000000002E-3</v>
      </c>
      <c r="F444">
        <v>40322054.899999999</v>
      </c>
      <c r="G444">
        <v>0</v>
      </c>
      <c r="L444" t="s">
        <v>7</v>
      </c>
      <c r="M444" t="s">
        <v>7</v>
      </c>
      <c r="N444" t="s">
        <v>8</v>
      </c>
      <c r="P444">
        <f t="shared" si="974"/>
        <v>-0.11475409836065527</v>
      </c>
      <c r="Q444">
        <f t="shared" si="975"/>
        <v>-4627121.0540983416</v>
      </c>
      <c r="R444">
        <f t="shared" si="976"/>
        <v>-1422310422.7405565</v>
      </c>
      <c r="S444">
        <f t="shared" si="977"/>
        <v>-14223.104227405565</v>
      </c>
      <c r="T444">
        <f t="shared" si="978"/>
        <v>-14.223104227405566</v>
      </c>
    </row>
    <row r="445" spans="1:20" x14ac:dyDescent="0.25">
      <c r="A445" s="5">
        <v>44148</v>
      </c>
      <c r="B445">
        <v>4.8799999999999998E-3</v>
      </c>
      <c r="C445">
        <v>5.3699999999999998E-3</v>
      </c>
      <c r="D445">
        <v>4.8500000000000001E-3</v>
      </c>
      <c r="E445">
        <v>5.1900000000000002E-3</v>
      </c>
      <c r="F445">
        <v>21161448</v>
      </c>
      <c r="G445">
        <v>0</v>
      </c>
      <c r="L445" t="s">
        <v>8</v>
      </c>
      <c r="M445" t="s">
        <v>7</v>
      </c>
      <c r="N445" t="s">
        <v>8</v>
      </c>
      <c r="P445">
        <f t="shared" si="974"/>
        <v>0.30769230769230871</v>
      </c>
      <c r="Q445">
        <f t="shared" si="975"/>
        <v>6511214.7692307904</v>
      </c>
      <c r="R445">
        <f t="shared" si="976"/>
        <v>-1417683301.6864581</v>
      </c>
      <c r="S445">
        <f t="shared" si="977"/>
        <v>-14176.833016864581</v>
      </c>
      <c r="T445">
        <f t="shared" si="978"/>
        <v>-14.176833016864581</v>
      </c>
    </row>
    <row r="446" spans="1:20" x14ac:dyDescent="0.25">
      <c r="A446" s="5">
        <v>44147</v>
      </c>
      <c r="B446">
        <v>5.2199999999999998E-3</v>
      </c>
      <c r="C446">
        <v>5.3E-3</v>
      </c>
      <c r="D446">
        <v>4.81E-3</v>
      </c>
      <c r="E446">
        <v>4.8799999999999998E-3</v>
      </c>
      <c r="F446">
        <v>14525998.4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-0.7142857142857153</v>
      </c>
      <c r="Q446">
        <f t="shared" si="975"/>
        <v>-10375713.142857159</v>
      </c>
      <c r="R446">
        <f t="shared" si="976"/>
        <v>-1424194516.455689</v>
      </c>
      <c r="S446">
        <f t="shared" si="977"/>
        <v>-14241.94516455689</v>
      </c>
      <c r="T446">
        <f t="shared" si="978"/>
        <v>-14.24194516455689</v>
      </c>
    </row>
    <row r="447" spans="1:20" x14ac:dyDescent="0.25">
      <c r="A447" s="5">
        <v>44146</v>
      </c>
      <c r="B447">
        <v>5.4900000000000001E-3</v>
      </c>
      <c r="C447">
        <v>5.5999999999999999E-3</v>
      </c>
      <c r="D447">
        <v>5.1599999999999997E-3</v>
      </c>
      <c r="E447">
        <v>5.2300000000000003E-3</v>
      </c>
      <c r="F447">
        <v>18340658.899999999</v>
      </c>
      <c r="G447">
        <v>0</v>
      </c>
      <c r="L447" t="s">
        <v>7</v>
      </c>
      <c r="M447" t="s">
        <v>8</v>
      </c>
      <c r="N447" t="s">
        <v>8</v>
      </c>
      <c r="P447">
        <f t="shared" si="974"/>
        <v>-0.68181818181817921</v>
      </c>
      <c r="Q447">
        <f t="shared" si="975"/>
        <v>-12504994.704545407</v>
      </c>
      <c r="R447">
        <f t="shared" si="976"/>
        <v>-1413818803.3128319</v>
      </c>
      <c r="S447">
        <f t="shared" si="977"/>
        <v>-14138.188033128319</v>
      </c>
      <c r="T447">
        <f t="shared" si="978"/>
        <v>-14.138188033128319</v>
      </c>
    </row>
    <row r="448" spans="1:20" x14ac:dyDescent="0.25">
      <c r="A448" s="5">
        <v>44145</v>
      </c>
      <c r="B448">
        <v>5.13E-3</v>
      </c>
      <c r="C448">
        <v>5.7099999999999998E-3</v>
      </c>
      <c r="D448">
        <v>5.0800000000000003E-3</v>
      </c>
      <c r="E448">
        <v>5.47E-3</v>
      </c>
      <c r="F448">
        <v>30551958.899999999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0.23809523809523822</v>
      </c>
      <c r="Q448">
        <f t="shared" si="975"/>
        <v>7274275.9285714319</v>
      </c>
      <c r="R448">
        <f t="shared" si="976"/>
        <v>-1401313808.6082864</v>
      </c>
      <c r="S448">
        <f t="shared" si="977"/>
        <v>-14013.138086082863</v>
      </c>
      <c r="T448">
        <f t="shared" si="978"/>
        <v>-14.013138086082863</v>
      </c>
    </row>
    <row r="449" spans="1:20" x14ac:dyDescent="0.25">
      <c r="A449" s="5">
        <v>44144</v>
      </c>
      <c r="B449">
        <v>5.2100000000000002E-3</v>
      </c>
      <c r="C449">
        <v>5.62E-3</v>
      </c>
      <c r="D449">
        <v>4.96E-3</v>
      </c>
      <c r="E449">
        <v>5.1500000000000001E-3</v>
      </c>
      <c r="F449">
        <v>39392031.899999999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-0.42424242424242403</v>
      </c>
      <c r="Q449">
        <f t="shared" si="975"/>
        <v>-16711771.1090909</v>
      </c>
      <c r="R449">
        <f t="shared" si="976"/>
        <v>-1408588084.5368578</v>
      </c>
      <c r="S449">
        <f t="shared" si="977"/>
        <v>-14085.880845368578</v>
      </c>
      <c r="T449">
        <f t="shared" si="978"/>
        <v>-14.085880845368578</v>
      </c>
    </row>
    <row r="450" spans="1:20" x14ac:dyDescent="0.25">
      <c r="A450" s="5">
        <v>44143</v>
      </c>
      <c r="B450">
        <v>4.6600000000000001E-3</v>
      </c>
      <c r="C450">
        <v>5.4400000000000004E-3</v>
      </c>
      <c r="D450">
        <v>4.5199999999999997E-3</v>
      </c>
      <c r="E450">
        <v>5.2100000000000002E-3</v>
      </c>
      <c r="F450">
        <v>29896664.300000001</v>
      </c>
      <c r="G450">
        <v>0</v>
      </c>
      <c r="L450" t="s">
        <v>8</v>
      </c>
      <c r="M450" t="s">
        <v>8</v>
      </c>
      <c r="N450" t="s">
        <v>8</v>
      </c>
      <c r="P450">
        <f t="shared" si="974"/>
        <v>0.5</v>
      </c>
      <c r="Q450">
        <f t="shared" si="975"/>
        <v>14948332.15</v>
      </c>
      <c r="R450">
        <f t="shared" si="976"/>
        <v>-1391876313.427767</v>
      </c>
      <c r="S450">
        <f t="shared" si="977"/>
        <v>-13918.763134277671</v>
      </c>
      <c r="T450">
        <f t="shared" si="978"/>
        <v>-13.918763134277672</v>
      </c>
    </row>
    <row r="451" spans="1:20" x14ac:dyDescent="0.25">
      <c r="A451" s="5">
        <v>44142</v>
      </c>
      <c r="B451">
        <v>4.96E-3</v>
      </c>
      <c r="C451">
        <v>5.2700000000000004E-3</v>
      </c>
      <c r="D451">
        <v>4.3499999999999997E-3</v>
      </c>
      <c r="E451">
        <v>4.64E-3</v>
      </c>
      <c r="F451">
        <v>34531709.100000001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-0.3695652173913041</v>
      </c>
      <c r="Q451">
        <f t="shared" si="975"/>
        <v>-12761718.580434775</v>
      </c>
      <c r="R451">
        <f t="shared" si="976"/>
        <v>-1406824645.5777671</v>
      </c>
      <c r="S451">
        <f t="shared" si="977"/>
        <v>-14068.246455777671</v>
      </c>
      <c r="T451">
        <f t="shared" si="978"/>
        <v>-14.068246455777672</v>
      </c>
    </row>
    <row r="452" spans="1:20" x14ac:dyDescent="0.25">
      <c r="A452" s="5">
        <v>44141</v>
      </c>
      <c r="B452">
        <v>4.2300000000000003E-3</v>
      </c>
      <c r="C452">
        <v>5.0899999999999999E-3</v>
      </c>
      <c r="D452">
        <v>4.1099999999999999E-3</v>
      </c>
      <c r="E452">
        <v>4.9899999999999996E-3</v>
      </c>
      <c r="F452">
        <v>40279364.899999999</v>
      </c>
      <c r="G452">
        <v>0</v>
      </c>
      <c r="L452" t="s">
        <v>8</v>
      </c>
      <c r="M452" t="s">
        <v>8</v>
      </c>
      <c r="N452" t="s">
        <v>7</v>
      </c>
      <c r="P452">
        <f t="shared" si="974"/>
        <v>0.79591836734693822</v>
      </c>
      <c r="Q452">
        <f t="shared" si="975"/>
        <v>32059086.34897957</v>
      </c>
      <c r="R452">
        <f t="shared" si="976"/>
        <v>-1394062926.9973323</v>
      </c>
      <c r="S452">
        <f t="shared" si="977"/>
        <v>-13940.629269973324</v>
      </c>
      <c r="T452">
        <f t="shared" si="978"/>
        <v>-13.940629269973323</v>
      </c>
    </row>
    <row r="453" spans="1:20" x14ac:dyDescent="0.25">
      <c r="A453" s="5">
        <v>44140</v>
      </c>
      <c r="B453">
        <v>4.0899999999999999E-3</v>
      </c>
      <c r="C453">
        <v>4.3E-3</v>
      </c>
      <c r="D453">
        <v>4.0499999999999998E-3</v>
      </c>
      <c r="E453">
        <v>4.2199999999999998E-3</v>
      </c>
      <c r="F453">
        <v>13229257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0.35999999999999888</v>
      </c>
      <c r="Q453">
        <f t="shared" si="975"/>
        <v>4762532.5199999856</v>
      </c>
      <c r="R453">
        <f t="shared" si="976"/>
        <v>-1426122013.3463118</v>
      </c>
      <c r="S453">
        <f t="shared" si="977"/>
        <v>-14261.220133463117</v>
      </c>
      <c r="T453">
        <f t="shared" si="978"/>
        <v>-14.261220133463118</v>
      </c>
    </row>
    <row r="454" spans="1:20" x14ac:dyDescent="0.25">
      <c r="A454" s="5">
        <v>44139</v>
      </c>
      <c r="B454">
        <v>4.0600000000000002E-3</v>
      </c>
      <c r="C454">
        <v>4.13E-3</v>
      </c>
      <c r="D454">
        <v>3.9199999999999999E-3</v>
      </c>
      <c r="E454">
        <v>4.0699999999999998E-3</v>
      </c>
      <c r="F454">
        <v>8719588.5999999996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0.42857142857142738</v>
      </c>
      <c r="Q454">
        <f t="shared" ref="Q454:Q517" si="980">F454*P454</f>
        <v>3736966.5428571324</v>
      </c>
      <c r="R454">
        <f t="shared" ref="R454:R517" si="981">R455+Q454</f>
        <v>-1430884545.8663118</v>
      </c>
      <c r="S454">
        <f t="shared" ref="S454:S517" si="982">R454/100000</f>
        <v>-14308.845458663118</v>
      </c>
      <c r="T454">
        <f t="shared" ref="T454:T517" si="983">S454/1000</f>
        <v>-14.308845458663118</v>
      </c>
    </row>
    <row r="455" spans="1:20" x14ac:dyDescent="0.25">
      <c r="A455" s="5">
        <v>44138</v>
      </c>
      <c r="B455">
        <v>4.13E-3</v>
      </c>
      <c r="C455">
        <v>4.2300000000000003E-3</v>
      </c>
      <c r="D455">
        <v>3.8800000000000002E-3</v>
      </c>
      <c r="E455">
        <v>4.1099999999999999E-3</v>
      </c>
      <c r="F455">
        <v>16580463.9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0.31428571428571261</v>
      </c>
      <c r="Q455">
        <f t="shared" si="980"/>
        <v>5211002.9399999725</v>
      </c>
      <c r="R455">
        <f t="shared" si="981"/>
        <v>-1434621512.409169</v>
      </c>
      <c r="S455">
        <f t="shared" si="982"/>
        <v>-14346.21512409169</v>
      </c>
      <c r="T455">
        <f t="shared" si="983"/>
        <v>-14.346215124091691</v>
      </c>
    </row>
    <row r="456" spans="1:20" x14ac:dyDescent="0.25">
      <c r="A456" s="5">
        <v>44137</v>
      </c>
      <c r="B456">
        <v>4.4000000000000003E-3</v>
      </c>
      <c r="C456">
        <v>4.64E-3</v>
      </c>
      <c r="D456">
        <v>4.0400000000000002E-3</v>
      </c>
      <c r="E456">
        <v>4.13E-3</v>
      </c>
      <c r="F456">
        <v>21378575.800000001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-0.70000000000000062</v>
      </c>
      <c r="Q456">
        <f t="shared" si="980"/>
        <v>-14965003.060000014</v>
      </c>
      <c r="R456">
        <f t="shared" si="981"/>
        <v>-1439832515.349169</v>
      </c>
      <c r="S456">
        <f t="shared" si="982"/>
        <v>-14398.325153491691</v>
      </c>
      <c r="T456">
        <f t="shared" si="983"/>
        <v>-14.39832515349169</v>
      </c>
    </row>
    <row r="457" spans="1:20" x14ac:dyDescent="0.25">
      <c r="A457" s="5">
        <v>44136</v>
      </c>
      <c r="B457">
        <v>4.0899999999999999E-3</v>
      </c>
      <c r="C457">
        <v>4.4799999999999996E-3</v>
      </c>
      <c r="D457">
        <v>4.0099999999999997E-3</v>
      </c>
      <c r="E457">
        <v>4.3899999999999998E-3</v>
      </c>
      <c r="F457">
        <v>16670740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0.61702127659574546</v>
      </c>
      <c r="Q457">
        <f t="shared" si="980"/>
        <v>10286201.276595758</v>
      </c>
      <c r="R457">
        <f t="shared" si="981"/>
        <v>-1424867512.2891691</v>
      </c>
      <c r="S457">
        <f t="shared" si="982"/>
        <v>-14248.675122891691</v>
      </c>
      <c r="T457">
        <f t="shared" si="983"/>
        <v>-14.24867512289169</v>
      </c>
    </row>
    <row r="458" spans="1:20" x14ac:dyDescent="0.25">
      <c r="A458" s="5">
        <v>44135</v>
      </c>
      <c r="B458">
        <v>4.1700000000000001E-3</v>
      </c>
      <c r="C458">
        <v>4.3200000000000001E-3</v>
      </c>
      <c r="D458">
        <v>3.9899999999999996E-3</v>
      </c>
      <c r="E458">
        <v>4.0800000000000003E-3</v>
      </c>
      <c r="F458">
        <v>19875729.899999999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-0.4545454545454512</v>
      </c>
      <c r="Q458">
        <f t="shared" si="980"/>
        <v>-9034422.6818181146</v>
      </c>
      <c r="R458">
        <f t="shared" si="981"/>
        <v>-1435153713.5657649</v>
      </c>
      <c r="S458">
        <f t="shared" si="982"/>
        <v>-14351.537135657649</v>
      </c>
      <c r="T458">
        <f t="shared" si="983"/>
        <v>-14.351537135657649</v>
      </c>
    </row>
    <row r="459" spans="1:20" x14ac:dyDescent="0.25">
      <c r="A459" s="5">
        <v>44134</v>
      </c>
      <c r="B459">
        <v>4.3699999999999998E-3</v>
      </c>
      <c r="C459">
        <v>4.3699999999999998E-3</v>
      </c>
      <c r="D459">
        <v>3.9699999999999996E-3</v>
      </c>
      <c r="E459">
        <v>4.1700000000000001E-3</v>
      </c>
      <c r="F459">
        <v>15720307.199999999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2.1684043449710081E-15</v>
      </c>
      <c r="Q459">
        <f t="shared" si="980"/>
        <v>3.4087982436759021E-8</v>
      </c>
      <c r="R459">
        <f t="shared" si="981"/>
        <v>-1426119290.8839469</v>
      </c>
      <c r="S459">
        <f t="shared" si="982"/>
        <v>-14261.192908839468</v>
      </c>
      <c r="T459">
        <f t="shared" si="983"/>
        <v>-14.261192908839469</v>
      </c>
    </row>
    <row r="460" spans="1:20" x14ac:dyDescent="0.25">
      <c r="A460" s="5">
        <v>44133</v>
      </c>
      <c r="B460">
        <v>4.6699999999999997E-3</v>
      </c>
      <c r="C460">
        <v>4.6699999999999997E-3</v>
      </c>
      <c r="D460">
        <v>4.3E-3</v>
      </c>
      <c r="E460">
        <v>4.3600000000000002E-3</v>
      </c>
      <c r="F460">
        <v>15060792.1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-0.67567567567567455</v>
      </c>
      <c r="Q460">
        <f t="shared" si="980"/>
        <v>-10176210.878378361</v>
      </c>
      <c r="R460">
        <f t="shared" si="981"/>
        <v>-1426119290.8839469</v>
      </c>
      <c r="S460">
        <f t="shared" si="982"/>
        <v>-14261.192908839468</v>
      </c>
      <c r="T460">
        <f t="shared" si="983"/>
        <v>-14.261192908839469</v>
      </c>
    </row>
    <row r="461" spans="1:20" x14ac:dyDescent="0.25">
      <c r="A461" s="5">
        <v>44132</v>
      </c>
      <c r="B461">
        <v>4.8500000000000001E-3</v>
      </c>
      <c r="C461">
        <v>4.8999999999999998E-3</v>
      </c>
      <c r="D461">
        <v>4.5500000000000002E-3</v>
      </c>
      <c r="E461">
        <v>4.6699999999999997E-3</v>
      </c>
      <c r="F461">
        <v>13078426.6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-0.31428571428571667</v>
      </c>
      <c r="Q461">
        <f t="shared" si="980"/>
        <v>-4110362.6457143165</v>
      </c>
      <c r="R461">
        <f t="shared" si="981"/>
        <v>-1415943080.0055685</v>
      </c>
      <c r="S461">
        <f t="shared" si="982"/>
        <v>-14159.430800055685</v>
      </c>
      <c r="T461">
        <f t="shared" si="983"/>
        <v>-14.159430800055684</v>
      </c>
    </row>
    <row r="462" spans="1:20" x14ac:dyDescent="0.25">
      <c r="A462" s="5">
        <v>44131</v>
      </c>
      <c r="B462">
        <v>4.9100000000000003E-3</v>
      </c>
      <c r="C462">
        <v>4.9399999999999999E-3</v>
      </c>
      <c r="D462">
        <v>4.6699999999999997E-3</v>
      </c>
      <c r="E462">
        <v>4.8300000000000001E-3</v>
      </c>
      <c r="F462">
        <v>14510712.4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0.18518518518518709</v>
      </c>
      <c r="Q462">
        <f t="shared" si="980"/>
        <v>2687168.9629629906</v>
      </c>
      <c r="R462">
        <f t="shared" si="981"/>
        <v>-1411832717.3598542</v>
      </c>
      <c r="S462">
        <f t="shared" si="982"/>
        <v>-14118.327173598542</v>
      </c>
      <c r="T462">
        <f t="shared" si="983"/>
        <v>-14.118327173598543</v>
      </c>
    </row>
    <row r="463" spans="1:20" x14ac:dyDescent="0.25">
      <c r="A463" s="5">
        <v>44130</v>
      </c>
      <c r="B463">
        <v>5.1399999999999996E-3</v>
      </c>
      <c r="C463">
        <v>5.1900000000000002E-3</v>
      </c>
      <c r="D463">
        <v>4.7499999999999999E-3</v>
      </c>
      <c r="E463">
        <v>4.8799999999999998E-3</v>
      </c>
      <c r="F463">
        <v>8921424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-0.40909090909090989</v>
      </c>
      <c r="Q463">
        <f t="shared" si="980"/>
        <v>-3649673.4545454616</v>
      </c>
      <c r="R463">
        <f t="shared" si="981"/>
        <v>-1414519886.3228173</v>
      </c>
      <c r="S463">
        <f t="shared" si="982"/>
        <v>-14145.198863228174</v>
      </c>
      <c r="T463">
        <f t="shared" si="983"/>
        <v>-14.145198863228174</v>
      </c>
    </row>
    <row r="464" spans="1:20" x14ac:dyDescent="0.25">
      <c r="A464" s="5">
        <v>44129</v>
      </c>
      <c r="B464">
        <v>5.1500000000000001E-3</v>
      </c>
      <c r="C464">
        <v>5.2500000000000003E-3</v>
      </c>
      <c r="D464">
        <v>5.0099999999999997E-3</v>
      </c>
      <c r="E464">
        <v>5.1799999999999997E-3</v>
      </c>
      <c r="F464">
        <v>8325168.5999999996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0.41666666666666308</v>
      </c>
      <c r="Q464">
        <f t="shared" si="980"/>
        <v>3468820.2499999697</v>
      </c>
      <c r="R464">
        <f t="shared" si="981"/>
        <v>-1410870212.8682718</v>
      </c>
      <c r="S464">
        <f t="shared" si="982"/>
        <v>-14108.702128682718</v>
      </c>
      <c r="T464">
        <f t="shared" si="983"/>
        <v>-14.108702128682719</v>
      </c>
    </row>
    <row r="465" spans="1:20" x14ac:dyDescent="0.25">
      <c r="A465" s="5">
        <v>44128</v>
      </c>
      <c r="B465">
        <v>5.1999999999999998E-3</v>
      </c>
      <c r="C465">
        <v>5.4999999999999997E-3</v>
      </c>
      <c r="D465">
        <v>5.0699999999999999E-3</v>
      </c>
      <c r="E465">
        <v>5.1500000000000001E-3</v>
      </c>
      <c r="F465">
        <v>20872578.300000001</v>
      </c>
      <c r="G465">
        <v>0</v>
      </c>
      <c r="L465" t="s">
        <v>8</v>
      </c>
      <c r="M465" t="s">
        <v>8</v>
      </c>
      <c r="N465" t="s">
        <v>7</v>
      </c>
      <c r="P465">
        <f t="shared" si="979"/>
        <v>-0.62790697674418494</v>
      </c>
      <c r="Q465">
        <f t="shared" si="980"/>
        <v>-13106037.53720928</v>
      </c>
      <c r="R465">
        <f t="shared" si="981"/>
        <v>-1414339033.1182718</v>
      </c>
      <c r="S465">
        <f t="shared" si="982"/>
        <v>-14143.390331182718</v>
      </c>
      <c r="T465">
        <f t="shared" si="983"/>
        <v>-14.143390331182719</v>
      </c>
    </row>
    <row r="466" spans="1:20" x14ac:dyDescent="0.25">
      <c r="A466" s="5">
        <v>44127</v>
      </c>
      <c r="B466">
        <v>5.13E-3</v>
      </c>
      <c r="C466">
        <v>5.5500000000000002E-3</v>
      </c>
      <c r="D466">
        <v>5.0800000000000003E-3</v>
      </c>
      <c r="E466">
        <v>5.2100000000000002E-3</v>
      </c>
      <c r="F466">
        <v>18405651.899999999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-0.44680851063829818</v>
      </c>
      <c r="Q466">
        <f t="shared" si="980"/>
        <v>-8223801.9127659621</v>
      </c>
      <c r="R466">
        <f t="shared" si="981"/>
        <v>-1401232995.5810626</v>
      </c>
      <c r="S466">
        <f t="shared" si="982"/>
        <v>-14012.329955810626</v>
      </c>
      <c r="T466">
        <f t="shared" si="983"/>
        <v>-14.012329955810626</v>
      </c>
    </row>
    <row r="467" spans="1:20" x14ac:dyDescent="0.25">
      <c r="A467" s="5">
        <v>44126</v>
      </c>
      <c r="B467">
        <v>5.0499999999999998E-3</v>
      </c>
      <c r="C467">
        <v>5.4999999999999997E-3</v>
      </c>
      <c r="D467">
        <v>4.9699999999999996E-3</v>
      </c>
      <c r="E467">
        <v>5.1500000000000001E-3</v>
      </c>
      <c r="F467">
        <v>17568419.699999999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-0.32075471698113039</v>
      </c>
      <c r="Q467">
        <f t="shared" si="980"/>
        <v>-5635153.4886792153</v>
      </c>
      <c r="R467">
        <f t="shared" si="981"/>
        <v>-1393009193.6682966</v>
      </c>
      <c r="S467">
        <f t="shared" si="982"/>
        <v>-13930.091936682966</v>
      </c>
      <c r="T467">
        <f t="shared" si="983"/>
        <v>-13.930091936682965</v>
      </c>
    </row>
    <row r="468" spans="1:20" x14ac:dyDescent="0.25">
      <c r="A468" s="5">
        <v>44125</v>
      </c>
      <c r="B468">
        <v>4.7499999999999999E-3</v>
      </c>
      <c r="C468">
        <v>5.0899999999999999E-3</v>
      </c>
      <c r="D468">
        <v>4.7099999999999998E-3</v>
      </c>
      <c r="E468">
        <v>5.0499999999999998E-3</v>
      </c>
      <c r="F468">
        <v>15624880.5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0.78947368421052588</v>
      </c>
      <c r="Q468">
        <f t="shared" si="980"/>
        <v>12335431.973684203</v>
      </c>
      <c r="R468">
        <f t="shared" si="981"/>
        <v>-1387374040.1796174</v>
      </c>
      <c r="S468">
        <f t="shared" si="982"/>
        <v>-13873.740401796174</v>
      </c>
      <c r="T468">
        <f t="shared" si="983"/>
        <v>-13.873740401796175</v>
      </c>
    </row>
    <row r="469" spans="1:20" x14ac:dyDescent="0.25">
      <c r="A469" s="5">
        <v>44124</v>
      </c>
      <c r="B469">
        <v>4.96E-3</v>
      </c>
      <c r="C469">
        <v>5.0200000000000002E-3</v>
      </c>
      <c r="D469">
        <v>4.5999999999999999E-3</v>
      </c>
      <c r="E469">
        <v>4.7099999999999998E-3</v>
      </c>
      <c r="F469">
        <v>17230239.699999999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-0.47619047619047716</v>
      </c>
      <c r="Q469">
        <f t="shared" si="980"/>
        <v>-8204876.0476190643</v>
      </c>
      <c r="R469">
        <f t="shared" si="981"/>
        <v>-1399709472.1533017</v>
      </c>
      <c r="S469">
        <f t="shared" si="982"/>
        <v>-13997.094721533018</v>
      </c>
      <c r="T469">
        <f t="shared" si="983"/>
        <v>-13.997094721533019</v>
      </c>
    </row>
    <row r="470" spans="1:20" x14ac:dyDescent="0.25">
      <c r="A470" s="5">
        <v>44123</v>
      </c>
      <c r="B470">
        <v>5.0600000000000003E-3</v>
      </c>
      <c r="C470">
        <v>5.1799999999999997E-3</v>
      </c>
      <c r="D470">
        <v>4.9199999999999999E-3</v>
      </c>
      <c r="E470">
        <v>4.96E-3</v>
      </c>
      <c r="F470">
        <v>8601935.8000000007</v>
      </c>
      <c r="G470">
        <v>0</v>
      </c>
      <c r="L470" t="s">
        <v>7</v>
      </c>
      <c r="M470" t="s">
        <v>8</v>
      </c>
      <c r="N470" t="s">
        <v>7</v>
      </c>
      <c r="P470">
        <f t="shared" si="979"/>
        <v>-0.69230769230769129</v>
      </c>
      <c r="Q470">
        <f t="shared" si="980"/>
        <v>-5955186.323076915</v>
      </c>
      <c r="R470">
        <f t="shared" si="981"/>
        <v>-1391504596.1056826</v>
      </c>
      <c r="S470">
        <f t="shared" si="982"/>
        <v>-13915.045961056827</v>
      </c>
      <c r="T470">
        <f t="shared" si="983"/>
        <v>-13.915045961056826</v>
      </c>
    </row>
    <row r="471" spans="1:20" x14ac:dyDescent="0.25">
      <c r="A471" s="5">
        <v>44122</v>
      </c>
      <c r="B471">
        <v>5.11E-3</v>
      </c>
      <c r="C471">
        <v>5.2199999999999998E-3</v>
      </c>
      <c r="D471">
        <v>5.0600000000000003E-3</v>
      </c>
      <c r="E471">
        <v>5.11E-3</v>
      </c>
      <c r="F471">
        <v>7122347.0999999996</v>
      </c>
      <c r="G471">
        <v>0</v>
      </c>
      <c r="L471" t="s">
        <v>7</v>
      </c>
      <c r="M471" t="s">
        <v>8</v>
      </c>
      <c r="N471" t="s">
        <v>7</v>
      </c>
      <c r="P471">
        <f t="shared" si="979"/>
        <v>-0.37500000000000205</v>
      </c>
      <c r="Q471">
        <f t="shared" si="980"/>
        <v>-2670880.1625000145</v>
      </c>
      <c r="R471">
        <f t="shared" si="981"/>
        <v>-1385549409.7826056</v>
      </c>
      <c r="S471">
        <f t="shared" si="982"/>
        <v>-13855.494097826057</v>
      </c>
      <c r="T471">
        <f t="shared" si="983"/>
        <v>-13.855494097826057</v>
      </c>
    </row>
    <row r="472" spans="1:20" x14ac:dyDescent="0.25">
      <c r="A472" s="5">
        <v>44121</v>
      </c>
      <c r="B472">
        <v>5.0200000000000002E-3</v>
      </c>
      <c r="C472">
        <v>5.1500000000000001E-3</v>
      </c>
      <c r="D472">
        <v>5.0000000000000001E-3</v>
      </c>
      <c r="E472">
        <v>5.1000000000000004E-3</v>
      </c>
      <c r="F472">
        <v>6906491</v>
      </c>
      <c r="G472">
        <v>0</v>
      </c>
      <c r="L472" t="s">
        <v>7</v>
      </c>
      <c r="M472" t="s">
        <v>8</v>
      </c>
      <c r="N472" t="s">
        <v>7</v>
      </c>
      <c r="P472">
        <f t="shared" si="979"/>
        <v>0.3333333333333372</v>
      </c>
      <c r="Q472">
        <f t="shared" si="980"/>
        <v>2302163.6666666935</v>
      </c>
      <c r="R472">
        <f t="shared" si="981"/>
        <v>-1382878529.6201057</v>
      </c>
      <c r="S472">
        <f t="shared" si="982"/>
        <v>-13828.785296201057</v>
      </c>
      <c r="T472">
        <f t="shared" si="983"/>
        <v>-13.828785296201056</v>
      </c>
    </row>
    <row r="473" spans="1:20" x14ac:dyDescent="0.25">
      <c r="A473" s="5">
        <v>44120</v>
      </c>
      <c r="B473">
        <v>5.1900000000000002E-3</v>
      </c>
      <c r="C473">
        <v>5.2500000000000003E-3</v>
      </c>
      <c r="D473">
        <v>4.9500000000000004E-3</v>
      </c>
      <c r="E473">
        <v>5.0099999999999997E-3</v>
      </c>
      <c r="F473">
        <v>9777204.5999999996</v>
      </c>
      <c r="G473">
        <v>0</v>
      </c>
      <c r="L473" t="s">
        <v>7</v>
      </c>
      <c r="M473" t="s">
        <v>8</v>
      </c>
      <c r="N473" t="s">
        <v>7</v>
      </c>
      <c r="P473">
        <f t="shared" si="979"/>
        <v>-0.60000000000000464</v>
      </c>
      <c r="Q473">
        <f t="shared" si="980"/>
        <v>-5866322.7600000454</v>
      </c>
      <c r="R473">
        <f t="shared" si="981"/>
        <v>-1385180693.2867725</v>
      </c>
      <c r="S473">
        <f t="shared" si="982"/>
        <v>-13851.806932867725</v>
      </c>
      <c r="T473">
        <f t="shared" si="983"/>
        <v>-13.851806932867724</v>
      </c>
    </row>
    <row r="474" spans="1:20" x14ac:dyDescent="0.25">
      <c r="A474" s="5">
        <v>44119</v>
      </c>
      <c r="B474">
        <v>5.2700000000000004E-3</v>
      </c>
      <c r="C474">
        <v>5.4299999999999999E-3</v>
      </c>
      <c r="D474">
        <v>5.0800000000000003E-3</v>
      </c>
      <c r="E474">
        <v>5.1900000000000002E-3</v>
      </c>
      <c r="F474">
        <v>11242848.6</v>
      </c>
      <c r="G474">
        <v>0</v>
      </c>
      <c r="L474" t="s">
        <v>7</v>
      </c>
      <c r="M474" t="s">
        <v>8</v>
      </c>
      <c r="N474" t="s">
        <v>7</v>
      </c>
      <c r="P474">
        <f t="shared" si="979"/>
        <v>-0.37142857142857155</v>
      </c>
      <c r="Q474">
        <f t="shared" si="980"/>
        <v>-4175915.1942857155</v>
      </c>
      <c r="R474">
        <f t="shared" si="981"/>
        <v>-1379314370.5267725</v>
      </c>
      <c r="S474">
        <f t="shared" si="982"/>
        <v>-13793.143705267725</v>
      </c>
      <c r="T474">
        <f t="shared" si="983"/>
        <v>-13.793143705267724</v>
      </c>
    </row>
    <row r="475" spans="1:20" x14ac:dyDescent="0.25">
      <c r="A475" s="5">
        <v>44118</v>
      </c>
      <c r="B475">
        <v>5.45E-3</v>
      </c>
      <c r="C475">
        <v>5.5199999999999997E-3</v>
      </c>
      <c r="D475">
        <v>5.1700000000000001E-3</v>
      </c>
      <c r="E475">
        <v>5.2500000000000003E-3</v>
      </c>
      <c r="F475">
        <v>19440023.300000001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-0.54285714285714115</v>
      </c>
      <c r="Q475">
        <f t="shared" si="980"/>
        <v>-10553155.505714253</v>
      </c>
      <c r="R475">
        <f t="shared" si="981"/>
        <v>-1375138455.3324869</v>
      </c>
      <c r="S475">
        <f t="shared" si="982"/>
        <v>-13751.38455332487</v>
      </c>
      <c r="T475">
        <f t="shared" si="983"/>
        <v>-13.75138455332487</v>
      </c>
    </row>
    <row r="476" spans="1:20" x14ac:dyDescent="0.25">
      <c r="A476" s="5">
        <v>44117</v>
      </c>
      <c r="B476">
        <v>5.4900000000000001E-3</v>
      </c>
      <c r="C476">
        <v>5.7200000000000003E-3</v>
      </c>
      <c r="D476">
        <v>5.4000000000000003E-3</v>
      </c>
      <c r="E476">
        <v>5.4900000000000001E-3</v>
      </c>
      <c r="F476">
        <v>19826414.199999999</v>
      </c>
      <c r="G476">
        <v>0</v>
      </c>
      <c r="L476" t="s">
        <v>8</v>
      </c>
      <c r="M476" t="s">
        <v>8</v>
      </c>
      <c r="N476" t="s">
        <v>7</v>
      </c>
      <c r="P476">
        <f t="shared" si="979"/>
        <v>-0.43750000000000117</v>
      </c>
      <c r="Q476">
        <f t="shared" si="980"/>
        <v>-8674056.2125000227</v>
      </c>
      <c r="R476">
        <f t="shared" si="981"/>
        <v>-1364585299.8267727</v>
      </c>
      <c r="S476">
        <f t="shared" si="982"/>
        <v>-13645.852998267726</v>
      </c>
      <c r="T476">
        <f t="shared" si="983"/>
        <v>-13.645852998267726</v>
      </c>
    </row>
    <row r="477" spans="1:20" x14ac:dyDescent="0.25">
      <c r="A477" s="5">
        <v>44116</v>
      </c>
      <c r="B477">
        <v>5.4200000000000003E-3</v>
      </c>
      <c r="C477">
        <v>5.5799999999999999E-3</v>
      </c>
      <c r="D477">
        <v>5.3299999999999997E-3</v>
      </c>
      <c r="E477">
        <v>5.5300000000000002E-3</v>
      </c>
      <c r="F477">
        <v>6643716.5</v>
      </c>
      <c r="G477">
        <v>0</v>
      </c>
      <c r="L477" t="s">
        <v>7</v>
      </c>
      <c r="M477" t="s">
        <v>8</v>
      </c>
      <c r="N477" t="s">
        <v>7</v>
      </c>
      <c r="P477">
        <f t="shared" si="979"/>
        <v>0.60000000000000275</v>
      </c>
      <c r="Q477">
        <f t="shared" si="980"/>
        <v>3986229.9000000181</v>
      </c>
      <c r="R477">
        <f t="shared" si="981"/>
        <v>-1355911243.6142726</v>
      </c>
      <c r="S477">
        <f t="shared" si="982"/>
        <v>-13559.112436142726</v>
      </c>
      <c r="T477">
        <f t="shared" si="983"/>
        <v>-13.559112436142726</v>
      </c>
    </row>
    <row r="478" spans="1:20" x14ac:dyDescent="0.25">
      <c r="A478" s="5">
        <v>44115</v>
      </c>
      <c r="B478">
        <v>5.4599999999999996E-3</v>
      </c>
      <c r="C478">
        <v>5.6100000000000004E-3</v>
      </c>
      <c r="D478">
        <v>5.3600000000000002E-3</v>
      </c>
      <c r="E478">
        <v>5.3899999999999998E-3</v>
      </c>
      <c r="F478">
        <v>9025424.9000000004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-0.76000000000000301</v>
      </c>
      <c r="Q478">
        <f t="shared" si="980"/>
        <v>-6859322.9240000276</v>
      </c>
      <c r="R478">
        <f t="shared" si="981"/>
        <v>-1359897473.5142727</v>
      </c>
      <c r="S478">
        <f t="shared" si="982"/>
        <v>-13598.974735142727</v>
      </c>
      <c r="T478">
        <f t="shared" si="983"/>
        <v>-13.598974735142727</v>
      </c>
    </row>
    <row r="479" spans="1:20" x14ac:dyDescent="0.25">
      <c r="A479" s="5">
        <v>44114</v>
      </c>
      <c r="B479">
        <v>5.5300000000000002E-3</v>
      </c>
      <c r="C479">
        <v>5.6600000000000001E-3</v>
      </c>
      <c r="D479">
        <v>5.4299999999999999E-3</v>
      </c>
      <c r="E479">
        <v>5.4299999999999999E-3</v>
      </c>
      <c r="F479">
        <v>12916853.1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-1</v>
      </c>
      <c r="Q479">
        <f t="shared" si="980"/>
        <v>-12916853.1</v>
      </c>
      <c r="R479">
        <f t="shared" si="981"/>
        <v>-1353038150.5902727</v>
      </c>
      <c r="S479">
        <f t="shared" si="982"/>
        <v>-13530.381505902727</v>
      </c>
      <c r="T479">
        <f t="shared" si="983"/>
        <v>-13.530381505902728</v>
      </c>
    </row>
    <row r="480" spans="1:20" x14ac:dyDescent="0.25">
      <c r="A480" s="5">
        <v>44113</v>
      </c>
      <c r="B480">
        <v>4.96E-3</v>
      </c>
      <c r="C480">
        <v>5.7099999999999998E-3</v>
      </c>
      <c r="D480">
        <v>4.9100000000000003E-3</v>
      </c>
      <c r="E480">
        <v>5.5300000000000002E-3</v>
      </c>
      <c r="F480">
        <v>29645073.600000001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0.55000000000000071</v>
      </c>
      <c r="Q480">
        <f t="shared" si="980"/>
        <v>16304790.480000023</v>
      </c>
      <c r="R480">
        <f t="shared" si="981"/>
        <v>-1340121297.4902728</v>
      </c>
      <c r="S480">
        <f t="shared" si="982"/>
        <v>-13401.212974902728</v>
      </c>
      <c r="T480">
        <f t="shared" si="983"/>
        <v>-13.401212974902728</v>
      </c>
    </row>
    <row r="481" spans="1:20" x14ac:dyDescent="0.25">
      <c r="A481" s="5">
        <v>44112</v>
      </c>
      <c r="B481">
        <v>4.9500000000000004E-3</v>
      </c>
      <c r="C481">
        <v>4.9899999999999996E-3</v>
      </c>
      <c r="D481">
        <v>4.7400000000000003E-3</v>
      </c>
      <c r="E481">
        <v>4.9399999999999999E-3</v>
      </c>
      <c r="F481">
        <v>15060974.6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0.60000000000000142</v>
      </c>
      <c r="Q481">
        <f t="shared" si="980"/>
        <v>9036584.7600000203</v>
      </c>
      <c r="R481">
        <f t="shared" si="981"/>
        <v>-1356426087.9702728</v>
      </c>
      <c r="S481">
        <f t="shared" si="982"/>
        <v>-13564.260879702728</v>
      </c>
      <c r="T481">
        <f t="shared" si="983"/>
        <v>-13.564260879702728</v>
      </c>
    </row>
    <row r="482" spans="1:20" x14ac:dyDescent="0.25">
      <c r="A482" s="5">
        <v>44111</v>
      </c>
      <c r="B482">
        <v>4.6800000000000001E-3</v>
      </c>
      <c r="C482">
        <v>5.1200000000000004E-3</v>
      </c>
      <c r="D482">
        <v>4.5500000000000002E-3</v>
      </c>
      <c r="E482">
        <v>4.9399999999999999E-3</v>
      </c>
      <c r="F482">
        <v>26181377.800000001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0.36842105263157748</v>
      </c>
      <c r="Q482">
        <f t="shared" si="980"/>
        <v>9645770.7684210148</v>
      </c>
      <c r="R482">
        <f t="shared" si="981"/>
        <v>-1365462672.7302728</v>
      </c>
      <c r="S482">
        <f t="shared" si="982"/>
        <v>-13654.626727302728</v>
      </c>
      <c r="T482">
        <f t="shared" si="983"/>
        <v>-13.654626727302729</v>
      </c>
    </row>
    <row r="483" spans="1:20" x14ac:dyDescent="0.25">
      <c r="A483" s="5">
        <v>44110</v>
      </c>
      <c r="B483">
        <v>5.3299999999999997E-3</v>
      </c>
      <c r="C483">
        <v>5.4099999999999999E-3</v>
      </c>
      <c r="D483">
        <v>4.6600000000000001E-3</v>
      </c>
      <c r="E483">
        <v>4.6800000000000001E-3</v>
      </c>
      <c r="F483">
        <v>19664931.800000001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-0.94666666666666655</v>
      </c>
      <c r="Q483">
        <f t="shared" si="980"/>
        <v>-18616135.437333331</v>
      </c>
      <c r="R483">
        <f t="shared" si="981"/>
        <v>-1375108443.4986937</v>
      </c>
      <c r="S483">
        <f t="shared" si="982"/>
        <v>-13751.084434986937</v>
      </c>
      <c r="T483">
        <f t="shared" si="983"/>
        <v>-13.751084434986936</v>
      </c>
    </row>
    <row r="484" spans="1:20" x14ac:dyDescent="0.25">
      <c r="A484" s="5">
        <v>44109</v>
      </c>
      <c r="B484">
        <v>5.2100000000000002E-3</v>
      </c>
      <c r="C484">
        <v>5.3200000000000001E-3</v>
      </c>
      <c r="D484">
        <v>5.1599999999999997E-3</v>
      </c>
      <c r="E484">
        <v>5.3200000000000001E-3</v>
      </c>
      <c r="F484">
        <v>5829393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1</v>
      </c>
      <c r="Q484">
        <f t="shared" si="980"/>
        <v>5829393</v>
      </c>
      <c r="R484">
        <f t="shared" si="981"/>
        <v>-1356492308.0613604</v>
      </c>
      <c r="S484">
        <f t="shared" si="982"/>
        <v>-13564.923080613604</v>
      </c>
      <c r="T484">
        <f t="shared" si="983"/>
        <v>-13.564923080613603</v>
      </c>
    </row>
    <row r="485" spans="1:20" x14ac:dyDescent="0.25">
      <c r="A485" s="5">
        <v>44108</v>
      </c>
      <c r="B485">
        <v>5.1500000000000001E-3</v>
      </c>
      <c r="C485">
        <v>5.2100000000000002E-3</v>
      </c>
      <c r="D485">
        <v>5.0400000000000002E-3</v>
      </c>
      <c r="E485">
        <v>5.2100000000000002E-3</v>
      </c>
      <c r="F485">
        <v>8380270.0999999996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1</v>
      </c>
      <c r="Q485">
        <f t="shared" si="980"/>
        <v>8380270.0999999996</v>
      </c>
      <c r="R485">
        <f t="shared" si="981"/>
        <v>-1362321701.0613604</v>
      </c>
      <c r="S485">
        <f t="shared" si="982"/>
        <v>-13623.217010613604</v>
      </c>
      <c r="T485">
        <f t="shared" si="983"/>
        <v>-13.623217010613603</v>
      </c>
    </row>
    <row r="486" spans="1:20" x14ac:dyDescent="0.25">
      <c r="A486" s="5">
        <v>44107</v>
      </c>
      <c r="B486">
        <v>5.2199999999999998E-3</v>
      </c>
      <c r="C486">
        <v>5.2900000000000004E-3</v>
      </c>
      <c r="D486">
        <v>5.0800000000000003E-3</v>
      </c>
      <c r="E486">
        <v>5.1200000000000004E-3</v>
      </c>
      <c r="F486">
        <v>12825196.1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-0.61904761904761829</v>
      </c>
      <c r="Q486">
        <f t="shared" si="980"/>
        <v>-7939407.1095237993</v>
      </c>
      <c r="R486">
        <f t="shared" si="981"/>
        <v>-1370701971.1613603</v>
      </c>
      <c r="S486">
        <f t="shared" si="982"/>
        <v>-13707.019711613602</v>
      </c>
      <c r="T486">
        <f t="shared" si="983"/>
        <v>-13.707019711613603</v>
      </c>
    </row>
    <row r="487" spans="1:20" x14ac:dyDescent="0.25">
      <c r="A487" s="5">
        <v>44106</v>
      </c>
      <c r="B487">
        <v>5.4000000000000003E-3</v>
      </c>
      <c r="C487">
        <v>5.5599999999999998E-3</v>
      </c>
      <c r="D487">
        <v>4.9699999999999996E-3</v>
      </c>
      <c r="E487">
        <v>5.2100000000000002E-3</v>
      </c>
      <c r="F487">
        <v>32274461.699999999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-0.18644067796609989</v>
      </c>
      <c r="Q487">
        <f t="shared" si="980"/>
        <v>-6017272.5203389246</v>
      </c>
      <c r="R487">
        <f t="shared" si="981"/>
        <v>-1362762564.0518365</v>
      </c>
      <c r="S487">
        <f t="shared" si="982"/>
        <v>-13627.625640518365</v>
      </c>
      <c r="T487">
        <f t="shared" si="983"/>
        <v>-13.627625640518366</v>
      </c>
    </row>
    <row r="488" spans="1:20" x14ac:dyDescent="0.25">
      <c r="A488" s="5">
        <v>44105</v>
      </c>
      <c r="B488">
        <v>5.47E-3</v>
      </c>
      <c r="C488">
        <v>5.8399999999999997E-3</v>
      </c>
      <c r="D488">
        <v>5.3200000000000001E-3</v>
      </c>
      <c r="E488">
        <v>5.4000000000000003E-3</v>
      </c>
      <c r="F488">
        <v>25066297.399999999</v>
      </c>
      <c r="G488">
        <v>0</v>
      </c>
      <c r="L488" t="s">
        <v>8</v>
      </c>
      <c r="M488" t="s">
        <v>7</v>
      </c>
      <c r="N488" t="s">
        <v>7</v>
      </c>
      <c r="P488">
        <f t="shared" si="979"/>
        <v>-0.69230769230769129</v>
      </c>
      <c r="Q488">
        <f t="shared" si="980"/>
        <v>-17353590.507692281</v>
      </c>
      <c r="R488">
        <f t="shared" si="981"/>
        <v>-1356745291.5314975</v>
      </c>
      <c r="S488">
        <f t="shared" si="982"/>
        <v>-13567.452915314974</v>
      </c>
      <c r="T488">
        <f t="shared" si="983"/>
        <v>-13.567452915314973</v>
      </c>
    </row>
    <row r="489" spans="1:20" x14ac:dyDescent="0.25">
      <c r="A489" s="5">
        <v>44104</v>
      </c>
      <c r="B489">
        <v>5.3699999999999998E-3</v>
      </c>
      <c r="C489">
        <v>5.5900000000000004E-3</v>
      </c>
      <c r="D489">
        <v>5.1900000000000002E-3</v>
      </c>
      <c r="E489">
        <v>5.4599999999999996E-3</v>
      </c>
      <c r="F489">
        <v>24844645.300000001</v>
      </c>
      <c r="G489">
        <v>0</v>
      </c>
      <c r="L489" t="s">
        <v>8</v>
      </c>
      <c r="M489" t="s">
        <v>7</v>
      </c>
      <c r="N489" t="s">
        <v>7</v>
      </c>
      <c r="P489">
        <f t="shared" si="979"/>
        <v>0.34999999999999643</v>
      </c>
      <c r="Q489">
        <f t="shared" si="980"/>
        <v>8695625.854999911</v>
      </c>
      <c r="R489">
        <f t="shared" si="981"/>
        <v>-1339391701.0238051</v>
      </c>
      <c r="S489">
        <f t="shared" si="982"/>
        <v>-13393.917010238052</v>
      </c>
      <c r="T489">
        <f t="shared" si="983"/>
        <v>-13.393917010238052</v>
      </c>
    </row>
    <row r="490" spans="1:20" x14ac:dyDescent="0.25">
      <c r="A490" s="5">
        <v>44103</v>
      </c>
      <c r="B490">
        <v>5.4799999999999996E-3</v>
      </c>
      <c r="C490">
        <v>5.5900000000000004E-3</v>
      </c>
      <c r="D490">
        <v>5.11E-3</v>
      </c>
      <c r="E490">
        <v>5.3600000000000002E-3</v>
      </c>
      <c r="F490">
        <v>16295420.800000001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4.1666666666666741E-2</v>
      </c>
      <c r="Q490">
        <f t="shared" si="980"/>
        <v>678975.86666666786</v>
      </c>
      <c r="R490">
        <f t="shared" si="981"/>
        <v>-1348087326.8788052</v>
      </c>
      <c r="S490">
        <f t="shared" si="982"/>
        <v>-13480.873268788051</v>
      </c>
      <c r="T490">
        <f t="shared" si="983"/>
        <v>-13.48087326878805</v>
      </c>
    </row>
    <row r="491" spans="1:20" x14ac:dyDescent="0.25">
      <c r="A491" s="5">
        <v>44102</v>
      </c>
      <c r="B491">
        <v>5.4599999999999996E-3</v>
      </c>
      <c r="C491">
        <v>5.7600000000000004E-3</v>
      </c>
      <c r="D491">
        <v>5.4599999999999996E-3</v>
      </c>
      <c r="E491">
        <v>5.4799999999999996E-3</v>
      </c>
      <c r="F491">
        <v>23911264.5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-0.8666666666666667</v>
      </c>
      <c r="Q491">
        <f t="shared" si="980"/>
        <v>-20723095.900000002</v>
      </c>
      <c r="R491">
        <f t="shared" si="981"/>
        <v>-1348766302.7454717</v>
      </c>
      <c r="S491">
        <f t="shared" si="982"/>
        <v>-13487.663027454717</v>
      </c>
      <c r="T491">
        <f t="shared" si="983"/>
        <v>-13.487663027454717</v>
      </c>
    </row>
    <row r="492" spans="1:20" x14ac:dyDescent="0.25">
      <c r="A492" s="5">
        <v>44101</v>
      </c>
      <c r="B492">
        <v>5.5100000000000001E-3</v>
      </c>
      <c r="C492">
        <v>5.5900000000000004E-3</v>
      </c>
      <c r="D492">
        <v>5.2300000000000003E-3</v>
      </c>
      <c r="E492">
        <v>5.5100000000000001E-3</v>
      </c>
      <c r="F492">
        <v>19614827.300000001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0.55555555555555447</v>
      </c>
      <c r="Q492">
        <f t="shared" si="980"/>
        <v>10897126.277777757</v>
      </c>
      <c r="R492">
        <f t="shared" si="981"/>
        <v>-1328043206.8454716</v>
      </c>
      <c r="S492">
        <f t="shared" si="982"/>
        <v>-13280.432068454717</v>
      </c>
      <c r="T492">
        <f t="shared" si="983"/>
        <v>-13.280432068454717</v>
      </c>
    </row>
    <row r="493" spans="1:20" x14ac:dyDescent="0.25">
      <c r="A493" s="5">
        <v>44100</v>
      </c>
      <c r="B493">
        <v>5.5199999999999997E-3</v>
      </c>
      <c r="C493">
        <v>5.6699999999999997E-3</v>
      </c>
      <c r="D493">
        <v>5.4599999999999996E-3</v>
      </c>
      <c r="E493">
        <v>5.5100000000000001E-3</v>
      </c>
      <c r="F493">
        <v>14531881</v>
      </c>
      <c r="G493">
        <v>0</v>
      </c>
      <c r="L493" t="s">
        <v>7</v>
      </c>
      <c r="M493" t="s">
        <v>8</v>
      </c>
      <c r="N493" t="s">
        <v>7</v>
      </c>
      <c r="P493">
        <f t="shared" si="979"/>
        <v>-0.52380952380951873</v>
      </c>
      <c r="Q493">
        <f t="shared" si="980"/>
        <v>-7611937.6666665925</v>
      </c>
      <c r="R493">
        <f t="shared" si="981"/>
        <v>-1338940333.1232493</v>
      </c>
      <c r="S493">
        <f t="shared" si="982"/>
        <v>-13389.403331232494</v>
      </c>
      <c r="T493">
        <f t="shared" si="983"/>
        <v>-13.389403331232494</v>
      </c>
    </row>
    <row r="494" spans="1:20" x14ac:dyDescent="0.25">
      <c r="A494" s="5">
        <v>44099</v>
      </c>
      <c r="B494">
        <v>5.3499999999999997E-3</v>
      </c>
      <c r="C494">
        <v>6.0000000000000001E-3</v>
      </c>
      <c r="D494">
        <v>5.2900000000000004E-3</v>
      </c>
      <c r="E494">
        <v>5.5199999999999997E-3</v>
      </c>
      <c r="F494">
        <v>39296269.700000003</v>
      </c>
      <c r="G494">
        <v>0</v>
      </c>
      <c r="L494" t="s">
        <v>8</v>
      </c>
      <c r="M494" t="s">
        <v>8</v>
      </c>
      <c r="N494" t="s">
        <v>7</v>
      </c>
      <c r="P494">
        <f t="shared" si="979"/>
        <v>-0.35211267605633972</v>
      </c>
      <c r="Q494">
        <f t="shared" si="980"/>
        <v>-13836714.683098659</v>
      </c>
      <c r="R494">
        <f t="shared" si="981"/>
        <v>-1331328395.4565828</v>
      </c>
      <c r="S494">
        <f t="shared" si="982"/>
        <v>-13313.283954565828</v>
      </c>
      <c r="T494">
        <f t="shared" si="983"/>
        <v>-13.313283954565827</v>
      </c>
    </row>
    <row r="495" spans="1:20" x14ac:dyDescent="0.25">
      <c r="A495" s="5">
        <v>44098</v>
      </c>
      <c r="B495">
        <v>4.8599999999999997E-3</v>
      </c>
      <c r="C495">
        <v>5.5599999999999998E-3</v>
      </c>
      <c r="D495">
        <v>4.8500000000000001E-3</v>
      </c>
      <c r="E495">
        <v>5.3600000000000002E-3</v>
      </c>
      <c r="F495">
        <v>85449009.700000003</v>
      </c>
      <c r="G495">
        <v>0</v>
      </c>
      <c r="L495" t="s">
        <v>8</v>
      </c>
      <c r="M495" t="s">
        <v>7</v>
      </c>
      <c r="N495" t="s">
        <v>7</v>
      </c>
      <c r="P495">
        <f t="shared" si="979"/>
        <v>0.43661971830985985</v>
      </c>
      <c r="Q495">
        <f t="shared" si="980"/>
        <v>37308722.545070484</v>
      </c>
      <c r="R495">
        <f t="shared" si="981"/>
        <v>-1317491680.7734842</v>
      </c>
      <c r="S495">
        <f t="shared" si="982"/>
        <v>-13174.916807734842</v>
      </c>
      <c r="T495">
        <f t="shared" si="983"/>
        <v>-13.174916807734842</v>
      </c>
    </row>
    <row r="496" spans="1:20" x14ac:dyDescent="0.25">
      <c r="A496" s="5">
        <v>44097</v>
      </c>
      <c r="B496">
        <v>5.2199999999999998E-3</v>
      </c>
      <c r="C496">
        <v>5.8100000000000001E-3</v>
      </c>
      <c r="D496">
        <v>4.7999999999999996E-3</v>
      </c>
      <c r="E496">
        <v>4.8599999999999997E-3</v>
      </c>
      <c r="F496">
        <v>71785813.700000003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-0.88118811881188097</v>
      </c>
      <c r="Q496">
        <f t="shared" si="980"/>
        <v>-63256806.131683156</v>
      </c>
      <c r="R496">
        <f t="shared" si="981"/>
        <v>-1354800403.3185546</v>
      </c>
      <c r="S496">
        <f t="shared" si="982"/>
        <v>-13548.004033185547</v>
      </c>
      <c r="T496">
        <f t="shared" si="983"/>
        <v>-13.548004033185547</v>
      </c>
    </row>
    <row r="497" spans="1:20" x14ac:dyDescent="0.25">
      <c r="A497" s="5">
        <v>44096</v>
      </c>
      <c r="B497">
        <v>5.1599999999999997E-3</v>
      </c>
      <c r="C497">
        <v>6.4999999999999997E-3</v>
      </c>
      <c r="D497">
        <v>4.7699999999999999E-3</v>
      </c>
      <c r="E497">
        <v>5.2199999999999998E-3</v>
      </c>
      <c r="F497">
        <v>59648207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-0.47976878612716772</v>
      </c>
      <c r="Q497">
        <f t="shared" si="980"/>
        <v>-28617347.86705203</v>
      </c>
      <c r="R497">
        <f t="shared" si="981"/>
        <v>-1291543597.1868715</v>
      </c>
      <c r="S497">
        <f t="shared" si="982"/>
        <v>-12915.435971868716</v>
      </c>
      <c r="T497">
        <f t="shared" si="983"/>
        <v>-12.915435971868716</v>
      </c>
    </row>
    <row r="498" spans="1:20" x14ac:dyDescent="0.25">
      <c r="A498" s="5">
        <v>44095</v>
      </c>
      <c r="B498">
        <v>5.7400000000000003E-3</v>
      </c>
      <c r="C498">
        <v>6.0699999999999999E-3</v>
      </c>
      <c r="D498">
        <v>4.8500000000000001E-3</v>
      </c>
      <c r="E498">
        <v>5.1599999999999997E-3</v>
      </c>
      <c r="F498">
        <v>47762998.5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-0.4918032786885253</v>
      </c>
      <c r="Q498">
        <f t="shared" si="980"/>
        <v>-23489999.262295116</v>
      </c>
      <c r="R498">
        <f t="shared" si="981"/>
        <v>-1262926249.3198195</v>
      </c>
      <c r="S498">
        <f t="shared" si="982"/>
        <v>-12629.262493198194</v>
      </c>
      <c r="T498">
        <f t="shared" si="983"/>
        <v>-12.629262493198194</v>
      </c>
    </row>
    <row r="499" spans="1:20" x14ac:dyDescent="0.25">
      <c r="A499" s="5">
        <v>44094</v>
      </c>
      <c r="B499">
        <v>5.8100000000000001E-3</v>
      </c>
      <c r="C499">
        <v>5.9100000000000003E-3</v>
      </c>
      <c r="D499">
        <v>5.4999999999999997E-3</v>
      </c>
      <c r="E499">
        <v>5.7200000000000003E-3</v>
      </c>
      <c r="F499">
        <v>14606234.699999999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7.3170731707318207E-2</v>
      </c>
      <c r="Q499">
        <f t="shared" si="980"/>
        <v>1068748.8804878213</v>
      </c>
      <c r="R499">
        <f t="shared" si="981"/>
        <v>-1239436250.0575244</v>
      </c>
      <c r="S499">
        <f t="shared" si="982"/>
        <v>-12394.362500575244</v>
      </c>
      <c r="T499">
        <f t="shared" si="983"/>
        <v>-12.394362500575244</v>
      </c>
    </row>
    <row r="500" spans="1:20" x14ac:dyDescent="0.25">
      <c r="A500" s="5">
        <v>44093</v>
      </c>
      <c r="B500">
        <v>5.9300000000000004E-3</v>
      </c>
      <c r="C500">
        <v>6.0000000000000001E-3</v>
      </c>
      <c r="D500">
        <v>5.7299999999999999E-3</v>
      </c>
      <c r="E500">
        <v>5.8100000000000001E-3</v>
      </c>
      <c r="F500">
        <v>14736881.699999999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-0.40740740740740644</v>
      </c>
      <c r="Q500">
        <f t="shared" si="980"/>
        <v>-6003914.7666666517</v>
      </c>
      <c r="R500">
        <f t="shared" si="981"/>
        <v>-1240504998.9380124</v>
      </c>
      <c r="S500">
        <f t="shared" si="982"/>
        <v>-12405.049989380124</v>
      </c>
      <c r="T500">
        <f t="shared" si="983"/>
        <v>-12.405049989380124</v>
      </c>
    </row>
    <row r="501" spans="1:20" x14ac:dyDescent="0.25">
      <c r="A501" s="5">
        <v>44092</v>
      </c>
      <c r="B501">
        <v>6.1900000000000002E-3</v>
      </c>
      <c r="C501">
        <v>6.2300000000000003E-3</v>
      </c>
      <c r="D501">
        <v>5.7800000000000004E-3</v>
      </c>
      <c r="E501">
        <v>5.9300000000000004E-3</v>
      </c>
      <c r="F501">
        <v>17547147.699999999</v>
      </c>
      <c r="G501">
        <v>0</v>
      </c>
      <c r="L501" t="s">
        <v>8</v>
      </c>
      <c r="M501" t="s">
        <v>7</v>
      </c>
      <c r="N501" t="s">
        <v>7</v>
      </c>
      <c r="P501">
        <f t="shared" si="979"/>
        <v>-0.33333333333333331</v>
      </c>
      <c r="Q501">
        <f t="shared" si="980"/>
        <v>-5849049.2333333325</v>
      </c>
      <c r="R501">
        <f t="shared" si="981"/>
        <v>-1234501084.1713457</v>
      </c>
      <c r="S501">
        <f t="shared" si="982"/>
        <v>-12345.010841713458</v>
      </c>
      <c r="T501">
        <f t="shared" si="983"/>
        <v>-12.345010841713458</v>
      </c>
    </row>
    <row r="502" spans="1:20" x14ac:dyDescent="0.25">
      <c r="A502" s="5">
        <v>44091</v>
      </c>
      <c r="B502">
        <v>6.0899999999999999E-3</v>
      </c>
      <c r="C502">
        <v>6.8199999999999997E-3</v>
      </c>
      <c r="D502">
        <v>5.6499999999999996E-3</v>
      </c>
      <c r="E502">
        <v>6.1500000000000001E-3</v>
      </c>
      <c r="F502">
        <v>71339324.299999997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-0.14529914529914456</v>
      </c>
      <c r="Q502">
        <f t="shared" si="980"/>
        <v>-10365542.847008495</v>
      </c>
      <c r="R502">
        <f t="shared" si="981"/>
        <v>-1228652034.9380124</v>
      </c>
      <c r="S502">
        <f t="shared" si="982"/>
        <v>-12286.520349380124</v>
      </c>
      <c r="T502">
        <f t="shared" si="983"/>
        <v>-12.286520349380124</v>
      </c>
    </row>
    <row r="503" spans="1:20" x14ac:dyDescent="0.25">
      <c r="A503" s="5">
        <v>44090</v>
      </c>
      <c r="B503">
        <v>6.3200000000000001E-3</v>
      </c>
      <c r="C503">
        <v>6.9499999999999996E-3</v>
      </c>
      <c r="D503">
        <v>5.8500000000000002E-3</v>
      </c>
      <c r="E503">
        <v>6.11E-3</v>
      </c>
      <c r="F503">
        <v>38661518.899999999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-0.52727272727272734</v>
      </c>
      <c r="Q503">
        <f t="shared" si="980"/>
        <v>-20385164.510909092</v>
      </c>
      <c r="R503">
        <f t="shared" si="981"/>
        <v>-1218286492.0910039</v>
      </c>
      <c r="S503">
        <f t="shared" si="982"/>
        <v>-12182.864920910039</v>
      </c>
      <c r="T503">
        <f t="shared" si="983"/>
        <v>-12.182864920910038</v>
      </c>
    </row>
    <row r="504" spans="1:20" x14ac:dyDescent="0.25">
      <c r="A504" s="5">
        <v>44089</v>
      </c>
      <c r="B504">
        <v>6.94E-3</v>
      </c>
      <c r="C504">
        <v>6.9499999999999996E-3</v>
      </c>
      <c r="D504">
        <v>6.1900000000000002E-3</v>
      </c>
      <c r="E504">
        <v>6.2899999999999996E-3</v>
      </c>
      <c r="F504">
        <v>27626664.800000001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-0.7368421052631593</v>
      </c>
      <c r="Q504">
        <f t="shared" si="980"/>
        <v>-20356489.852631617</v>
      </c>
      <c r="R504">
        <f t="shared" si="981"/>
        <v>-1197901327.5800948</v>
      </c>
      <c r="S504">
        <f t="shared" si="982"/>
        <v>-11979.013275800948</v>
      </c>
      <c r="T504">
        <f t="shared" si="983"/>
        <v>-11.979013275800948</v>
      </c>
    </row>
    <row r="505" spans="1:20" x14ac:dyDescent="0.25">
      <c r="A505" s="5">
        <v>44088</v>
      </c>
      <c r="B505">
        <v>6.8799999999999998E-3</v>
      </c>
      <c r="C505">
        <v>7.1199999999999996E-3</v>
      </c>
      <c r="D505">
        <v>6.8100000000000001E-3</v>
      </c>
      <c r="E505">
        <v>6.94E-3</v>
      </c>
      <c r="F505">
        <v>18300288.399999999</v>
      </c>
      <c r="G505">
        <v>0</v>
      </c>
      <c r="L505" t="s">
        <v>8</v>
      </c>
      <c r="M505" t="s">
        <v>7</v>
      </c>
      <c r="N505" t="s">
        <v>8</v>
      </c>
      <c r="P505">
        <f t="shared" si="979"/>
        <v>-0.16129032258064444</v>
      </c>
      <c r="Q505">
        <f t="shared" si="980"/>
        <v>-2951659.4193548253</v>
      </c>
      <c r="R505">
        <f t="shared" si="981"/>
        <v>-1177544837.7274632</v>
      </c>
      <c r="S505">
        <f t="shared" si="982"/>
        <v>-11775.448377274632</v>
      </c>
      <c r="T505">
        <f t="shared" si="983"/>
        <v>-11.775448377274632</v>
      </c>
    </row>
    <row r="506" spans="1:20" x14ac:dyDescent="0.25">
      <c r="A506" s="5">
        <v>44087</v>
      </c>
      <c r="B506">
        <v>7.4700000000000001E-3</v>
      </c>
      <c r="C506">
        <v>7.5399999999999998E-3</v>
      </c>
      <c r="D506">
        <v>6.6699999999999997E-3</v>
      </c>
      <c r="E506">
        <v>6.9100000000000003E-3</v>
      </c>
      <c r="F506">
        <v>14940819.199999999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-0.44827586206896414</v>
      </c>
      <c r="Q506">
        <f t="shared" si="980"/>
        <v>-6697608.6068965308</v>
      </c>
      <c r="R506">
        <f t="shared" si="981"/>
        <v>-1174593178.3081083</v>
      </c>
      <c r="S506">
        <f t="shared" si="982"/>
        <v>-11745.931783081083</v>
      </c>
      <c r="T506">
        <f t="shared" si="983"/>
        <v>-11.745931783081083</v>
      </c>
    </row>
    <row r="507" spans="1:20" x14ac:dyDescent="0.25">
      <c r="A507" s="5">
        <v>44086</v>
      </c>
      <c r="B507">
        <v>7.45E-3</v>
      </c>
      <c r="C507">
        <v>7.5300000000000002E-3</v>
      </c>
      <c r="D507">
        <v>7.1199999999999996E-3</v>
      </c>
      <c r="E507">
        <v>7.4700000000000001E-3</v>
      </c>
      <c r="F507">
        <v>16584575.300000001</v>
      </c>
      <c r="G507">
        <v>0</v>
      </c>
      <c r="L507" t="s">
        <v>8</v>
      </c>
      <c r="M507" t="s">
        <v>7</v>
      </c>
      <c r="N507" t="s">
        <v>8</v>
      </c>
      <c r="P507">
        <f t="shared" si="979"/>
        <v>0.70731707317073145</v>
      </c>
      <c r="Q507">
        <f t="shared" si="980"/>
        <v>11730553.260975607</v>
      </c>
      <c r="R507">
        <f t="shared" si="981"/>
        <v>-1167895569.7012117</v>
      </c>
      <c r="S507">
        <f t="shared" si="982"/>
        <v>-11678.955697012118</v>
      </c>
      <c r="T507">
        <f t="shared" si="983"/>
        <v>-11.678955697012118</v>
      </c>
    </row>
    <row r="508" spans="1:20" x14ac:dyDescent="0.25">
      <c r="A508" s="5">
        <v>44085</v>
      </c>
      <c r="B508">
        <v>7.2399999999999999E-3</v>
      </c>
      <c r="C508">
        <v>7.4999999999999997E-3</v>
      </c>
      <c r="D508">
        <v>7.0000000000000001E-3</v>
      </c>
      <c r="E508">
        <v>7.4799999999999997E-3</v>
      </c>
      <c r="F508">
        <v>16227199.9</v>
      </c>
      <c r="G508">
        <v>0</v>
      </c>
      <c r="L508" t="s">
        <v>7</v>
      </c>
      <c r="M508" t="s">
        <v>7</v>
      </c>
      <c r="N508" t="s">
        <v>8</v>
      </c>
      <c r="P508">
        <f t="shared" si="979"/>
        <v>0.91999999999999971</v>
      </c>
      <c r="Q508">
        <f t="shared" si="980"/>
        <v>14929023.907999996</v>
      </c>
      <c r="R508">
        <f t="shared" si="981"/>
        <v>-1179626122.9621873</v>
      </c>
      <c r="S508">
        <f t="shared" si="982"/>
        <v>-11796.261229621872</v>
      </c>
      <c r="T508">
        <f t="shared" si="983"/>
        <v>-11.796261229621873</v>
      </c>
    </row>
    <row r="509" spans="1:20" x14ac:dyDescent="0.25">
      <c r="A509" s="5">
        <v>44084</v>
      </c>
      <c r="B509">
        <v>7.1500000000000001E-3</v>
      </c>
      <c r="C509">
        <v>7.6699999999999997E-3</v>
      </c>
      <c r="D509">
        <v>7.1000000000000004E-3</v>
      </c>
      <c r="E509">
        <v>7.2100000000000003E-3</v>
      </c>
      <c r="F509">
        <v>38083015.5</v>
      </c>
      <c r="G509">
        <v>0</v>
      </c>
      <c r="L509" t="s">
        <v>8</v>
      </c>
      <c r="M509" t="s">
        <v>7</v>
      </c>
      <c r="N509" t="s">
        <v>8</v>
      </c>
      <c r="P509">
        <f t="shared" si="979"/>
        <v>-0.61403508771929827</v>
      </c>
      <c r="Q509">
        <f t="shared" si="980"/>
        <v>-23384307.763157897</v>
      </c>
      <c r="R509">
        <f t="shared" si="981"/>
        <v>-1194555146.8701873</v>
      </c>
      <c r="S509">
        <f t="shared" si="982"/>
        <v>-11945.551468701873</v>
      </c>
      <c r="T509">
        <f t="shared" si="983"/>
        <v>-11.945551468701874</v>
      </c>
    </row>
    <row r="510" spans="1:20" x14ac:dyDescent="0.25">
      <c r="A510" s="5">
        <v>44083</v>
      </c>
      <c r="B510">
        <v>7.11E-3</v>
      </c>
      <c r="C510">
        <v>7.3800000000000003E-3</v>
      </c>
      <c r="D510">
        <v>6.7799999999999996E-3</v>
      </c>
      <c r="E510">
        <v>7.1700000000000002E-3</v>
      </c>
      <c r="F510">
        <v>26729490.600000001</v>
      </c>
      <c r="G510">
        <v>0</v>
      </c>
      <c r="L510" t="s">
        <v>7</v>
      </c>
      <c r="M510" t="s">
        <v>7</v>
      </c>
      <c r="N510" t="s">
        <v>8</v>
      </c>
      <c r="P510">
        <f t="shared" si="979"/>
        <v>0.30000000000000043</v>
      </c>
      <c r="Q510">
        <f t="shared" si="980"/>
        <v>8018847.1800000118</v>
      </c>
      <c r="R510">
        <f t="shared" si="981"/>
        <v>-1171170839.1070294</v>
      </c>
      <c r="S510">
        <f t="shared" si="982"/>
        <v>-11711.708391070295</v>
      </c>
      <c r="T510">
        <f t="shared" si="983"/>
        <v>-11.711708391070294</v>
      </c>
    </row>
    <row r="511" spans="1:20" x14ac:dyDescent="0.25">
      <c r="A511" s="5">
        <v>44082</v>
      </c>
      <c r="B511">
        <v>6.9499999999999996E-3</v>
      </c>
      <c r="C511">
        <v>8.9999999999999993E-3</v>
      </c>
      <c r="D511">
        <v>6.3899999999999998E-3</v>
      </c>
      <c r="E511">
        <v>7.1199999999999996E-3</v>
      </c>
      <c r="F511">
        <v>47679235.700000003</v>
      </c>
      <c r="G511">
        <v>0</v>
      </c>
      <c r="L511" t="s">
        <v>8</v>
      </c>
      <c r="M511" t="s">
        <v>8</v>
      </c>
      <c r="N511" t="s">
        <v>8</v>
      </c>
      <c r="P511">
        <f t="shared" si="979"/>
        <v>-0.44061302681992343</v>
      </c>
      <c r="Q511">
        <f t="shared" si="980"/>
        <v>-21008092.358237553</v>
      </c>
      <c r="R511">
        <f t="shared" si="981"/>
        <v>-1179189686.2870295</v>
      </c>
      <c r="S511">
        <f t="shared" si="982"/>
        <v>-11791.896862870295</v>
      </c>
      <c r="T511">
        <f t="shared" si="983"/>
        <v>-11.791896862870296</v>
      </c>
    </row>
    <row r="512" spans="1:20" x14ac:dyDescent="0.25">
      <c r="A512" s="5">
        <v>44081</v>
      </c>
      <c r="B512">
        <v>7.0299999999999998E-3</v>
      </c>
      <c r="C512">
        <v>7.3600000000000002E-3</v>
      </c>
      <c r="D512">
        <v>6.3400000000000001E-3</v>
      </c>
      <c r="E512">
        <v>6.9199999999999999E-3</v>
      </c>
      <c r="F512">
        <v>25946017.100000001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0.13725490196078383</v>
      </c>
      <c r="Q512">
        <f t="shared" si="980"/>
        <v>3561218.0333333211</v>
      </c>
      <c r="R512">
        <f t="shared" si="981"/>
        <v>-1158181593.928792</v>
      </c>
      <c r="S512">
        <f t="shared" si="982"/>
        <v>-11581.815939287921</v>
      </c>
      <c r="T512">
        <f t="shared" si="983"/>
        <v>-11.581815939287921</v>
      </c>
    </row>
    <row r="513" spans="1:20" x14ac:dyDescent="0.25">
      <c r="A513" s="5">
        <v>44080</v>
      </c>
      <c r="B513">
        <v>6.7000000000000002E-3</v>
      </c>
      <c r="C513">
        <v>7.79E-3</v>
      </c>
      <c r="D513">
        <v>6.3099999999999996E-3</v>
      </c>
      <c r="E513">
        <v>7.0099999999999997E-3</v>
      </c>
      <c r="F513">
        <v>56091779.5</v>
      </c>
      <c r="G513">
        <v>0</v>
      </c>
      <c r="L513" t="s">
        <v>8</v>
      </c>
      <c r="M513" t="s">
        <v>8</v>
      </c>
      <c r="N513" t="s">
        <v>7</v>
      </c>
      <c r="P513">
        <f t="shared" si="979"/>
        <v>-5.4054054054054182E-2</v>
      </c>
      <c r="Q513">
        <f t="shared" si="980"/>
        <v>-3031988.0810810882</v>
      </c>
      <c r="R513">
        <f t="shared" si="981"/>
        <v>-1161742811.9621253</v>
      </c>
      <c r="S513">
        <f t="shared" si="982"/>
        <v>-11617.428119621252</v>
      </c>
      <c r="T513">
        <f t="shared" si="983"/>
        <v>-11.617428119621252</v>
      </c>
    </row>
    <row r="514" spans="1:20" x14ac:dyDescent="0.25">
      <c r="A514" s="5">
        <v>44079</v>
      </c>
      <c r="B514">
        <v>8.0199999999999994E-3</v>
      </c>
      <c r="C514">
        <v>8.0199999999999994E-3</v>
      </c>
      <c r="D514">
        <v>6.3899999999999998E-3</v>
      </c>
      <c r="E514">
        <v>6.7200000000000003E-3</v>
      </c>
      <c r="F514">
        <v>46831703.200000003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-0.59509202453987664</v>
      </c>
      <c r="Q514">
        <f t="shared" si="980"/>
        <v>-27869173.069938622</v>
      </c>
      <c r="R514">
        <f t="shared" si="981"/>
        <v>-1158710823.8810441</v>
      </c>
      <c r="S514">
        <f t="shared" si="982"/>
        <v>-11587.108238810442</v>
      </c>
      <c r="T514">
        <f t="shared" si="983"/>
        <v>-11.587108238810442</v>
      </c>
    </row>
    <row r="515" spans="1:20" x14ac:dyDescent="0.25">
      <c r="A515" s="5">
        <v>44078</v>
      </c>
      <c r="B515">
        <v>7.4000000000000003E-3</v>
      </c>
      <c r="C515">
        <v>8.7899999999999992E-3</v>
      </c>
      <c r="D515">
        <v>6.94E-3</v>
      </c>
      <c r="E515">
        <v>8.0000000000000002E-3</v>
      </c>
      <c r="F515">
        <v>70874632.599999994</v>
      </c>
      <c r="G515">
        <v>0</v>
      </c>
      <c r="L515" t="s">
        <v>7</v>
      </c>
      <c r="M515" t="s">
        <v>8</v>
      </c>
      <c r="N515" t="s">
        <v>7</v>
      </c>
      <c r="P515">
        <f t="shared" si="979"/>
        <v>0.14594594594594662</v>
      </c>
      <c r="Q515">
        <f t="shared" si="980"/>
        <v>10343865.298378425</v>
      </c>
      <c r="R515">
        <f t="shared" si="981"/>
        <v>-1130841650.8111055</v>
      </c>
      <c r="S515">
        <f t="shared" si="982"/>
        <v>-11308.416508111055</v>
      </c>
      <c r="T515">
        <f t="shared" si="983"/>
        <v>-11.308416508111055</v>
      </c>
    </row>
    <row r="516" spans="1:20" x14ac:dyDescent="0.25">
      <c r="A516" s="5">
        <v>44077</v>
      </c>
      <c r="B516">
        <v>9.7099999999999999E-3</v>
      </c>
      <c r="C516">
        <v>9.9500000000000005E-3</v>
      </c>
      <c r="D516">
        <v>7.1900000000000002E-3</v>
      </c>
      <c r="E516">
        <v>7.43E-3</v>
      </c>
      <c r="F516">
        <v>55204030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-0.82608695652173936</v>
      </c>
      <c r="Q516">
        <f t="shared" si="980"/>
        <v>-45603329.130434796</v>
      </c>
      <c r="R516">
        <f t="shared" si="981"/>
        <v>-1141185516.109484</v>
      </c>
      <c r="S516">
        <f t="shared" si="982"/>
        <v>-11411.85516109484</v>
      </c>
      <c r="T516">
        <f t="shared" si="983"/>
        <v>-11.41185516109484</v>
      </c>
    </row>
    <row r="517" spans="1:20" x14ac:dyDescent="0.25">
      <c r="A517" s="5">
        <v>44076</v>
      </c>
      <c r="B517">
        <v>1.094E-2</v>
      </c>
      <c r="C517">
        <v>1.0970000000000001E-2</v>
      </c>
      <c r="D517">
        <v>9.4000000000000004E-3</v>
      </c>
      <c r="E517">
        <v>9.7199999999999995E-3</v>
      </c>
      <c r="F517">
        <v>44088610.5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-0.59235668789809037</v>
      </c>
      <c r="Q517">
        <f t="shared" si="980"/>
        <v>-26116183.28980897</v>
      </c>
      <c r="R517">
        <f t="shared" si="981"/>
        <v>-1095582186.9790492</v>
      </c>
      <c r="S517">
        <f t="shared" si="982"/>
        <v>-10955.821869790492</v>
      </c>
      <c r="T517">
        <f t="shared" si="983"/>
        <v>-10.955821869790492</v>
      </c>
    </row>
    <row r="518" spans="1:20" x14ac:dyDescent="0.25">
      <c r="A518" s="5">
        <v>44075</v>
      </c>
      <c r="B518">
        <v>1.1129999999999999E-2</v>
      </c>
      <c r="C518">
        <v>1.157E-2</v>
      </c>
      <c r="D518">
        <v>1.069E-2</v>
      </c>
      <c r="E518">
        <v>1.094E-2</v>
      </c>
      <c r="F518">
        <v>51976377</v>
      </c>
      <c r="G518">
        <v>0</v>
      </c>
      <c r="L518" t="s">
        <v>8</v>
      </c>
      <c r="M518" t="s">
        <v>8</v>
      </c>
      <c r="N518" t="s">
        <v>7</v>
      </c>
      <c r="P518">
        <f t="shared" ref="P518:P581" si="984">IF(C518=D518,0,((E518-D518)-(C518-E518))/(C518-D518))</f>
        <v>-0.43181818181818166</v>
      </c>
      <c r="Q518">
        <f t="shared" ref="Q518:Q581" si="985">F518*P518</f>
        <v>-22444344.613636356</v>
      </c>
      <c r="R518">
        <f t="shared" ref="R518:R581" si="986">R519+Q518</f>
        <v>-1069466003.6892402</v>
      </c>
      <c r="S518">
        <f t="shared" ref="S518:S581" si="987">R518/100000</f>
        <v>-10694.660036892403</v>
      </c>
      <c r="T518">
        <f t="shared" ref="T518:T581" si="988">S518/1000</f>
        <v>-10.694660036892403</v>
      </c>
    </row>
    <row r="519" spans="1:20" x14ac:dyDescent="0.25">
      <c r="A519" s="5">
        <v>44074</v>
      </c>
      <c r="B519">
        <v>1.051E-2</v>
      </c>
      <c r="C519">
        <v>1.1379999999999999E-2</v>
      </c>
      <c r="D519">
        <v>1.0200000000000001E-2</v>
      </c>
      <c r="E519">
        <v>1.111E-2</v>
      </c>
      <c r="F519">
        <v>43170940.299999997</v>
      </c>
      <c r="G519">
        <v>0</v>
      </c>
      <c r="L519" t="s">
        <v>8</v>
      </c>
      <c r="M519" t="s">
        <v>8</v>
      </c>
      <c r="N519" t="s">
        <v>7</v>
      </c>
      <c r="P519">
        <f t="shared" si="984"/>
        <v>0.54237288135593276</v>
      </c>
      <c r="Q519">
        <f t="shared" si="985"/>
        <v>23414747.281355955</v>
      </c>
      <c r="R519">
        <f t="shared" si="986"/>
        <v>-1047021659.0756038</v>
      </c>
      <c r="S519">
        <f t="shared" si="987"/>
        <v>-10470.216590756039</v>
      </c>
      <c r="T519">
        <f t="shared" si="988"/>
        <v>-10.470216590756038</v>
      </c>
    </row>
    <row r="520" spans="1:20" x14ac:dyDescent="0.25">
      <c r="A520" s="5">
        <v>44073</v>
      </c>
      <c r="B520">
        <v>1.064E-2</v>
      </c>
      <c r="C520">
        <v>1.085E-2</v>
      </c>
      <c r="D520">
        <v>1.0319999999999999E-2</v>
      </c>
      <c r="E520">
        <v>1.0500000000000001E-2</v>
      </c>
      <c r="F520">
        <v>22480375.5</v>
      </c>
      <c r="G520">
        <v>0</v>
      </c>
      <c r="L520" t="s">
        <v>8</v>
      </c>
      <c r="M520" t="s">
        <v>7</v>
      </c>
      <c r="N520" t="s">
        <v>7</v>
      </c>
      <c r="P520">
        <f t="shared" si="984"/>
        <v>-0.32075471698112823</v>
      </c>
      <c r="Q520">
        <f t="shared" si="985"/>
        <v>-7210686.4811319886</v>
      </c>
      <c r="R520">
        <f t="shared" si="986"/>
        <v>-1070436406.3569598</v>
      </c>
      <c r="S520">
        <f t="shared" si="987"/>
        <v>-10704.364063569597</v>
      </c>
      <c r="T520">
        <f t="shared" si="988"/>
        <v>-10.704364063569598</v>
      </c>
    </row>
    <row r="521" spans="1:20" x14ac:dyDescent="0.25">
      <c r="A521" s="5">
        <v>44072</v>
      </c>
      <c r="B521">
        <v>1.01E-2</v>
      </c>
      <c r="C521">
        <v>1.09E-2</v>
      </c>
      <c r="D521">
        <v>9.9799999999999993E-3</v>
      </c>
      <c r="E521">
        <v>1.057E-2</v>
      </c>
      <c r="F521">
        <v>25294557.5</v>
      </c>
      <c r="G521">
        <v>0</v>
      </c>
      <c r="L521" t="s">
        <v>8</v>
      </c>
      <c r="M521" t="s">
        <v>7</v>
      </c>
      <c r="N521" t="s">
        <v>7</v>
      </c>
      <c r="P521">
        <f t="shared" si="984"/>
        <v>0.2826086956521735</v>
      </c>
      <c r="Q521">
        <f t="shared" si="985"/>
        <v>7148461.9021739028</v>
      </c>
      <c r="R521">
        <f t="shared" si="986"/>
        <v>-1063225719.8758278</v>
      </c>
      <c r="S521">
        <f t="shared" si="987"/>
        <v>-10632.257198758278</v>
      </c>
      <c r="T521">
        <f t="shared" si="988"/>
        <v>-10.632257198758278</v>
      </c>
    </row>
    <row r="522" spans="1:20" x14ac:dyDescent="0.25">
      <c r="A522" s="5">
        <v>44071</v>
      </c>
      <c r="B522">
        <v>9.5300000000000003E-3</v>
      </c>
      <c r="C522">
        <v>1.023E-2</v>
      </c>
      <c r="D522">
        <v>9.4999999999999998E-3</v>
      </c>
      <c r="E522">
        <v>1.009E-2</v>
      </c>
      <c r="F522">
        <v>18630275.100000001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0.6164383561643848</v>
      </c>
      <c r="Q522">
        <f t="shared" si="985"/>
        <v>11484416.157534271</v>
      </c>
      <c r="R522">
        <f t="shared" si="986"/>
        <v>-1070374181.7780017</v>
      </c>
      <c r="S522">
        <f t="shared" si="987"/>
        <v>-10703.741817780017</v>
      </c>
      <c r="T522">
        <f t="shared" si="988"/>
        <v>-10.703741817780017</v>
      </c>
    </row>
    <row r="523" spans="1:20" x14ac:dyDescent="0.25">
      <c r="A523" s="5">
        <v>44070</v>
      </c>
      <c r="B523">
        <v>1.0290000000000001E-2</v>
      </c>
      <c r="C523">
        <v>1.0359999999999999E-2</v>
      </c>
      <c r="D523">
        <v>9.4000000000000004E-3</v>
      </c>
      <c r="E523">
        <v>9.5399999999999999E-3</v>
      </c>
      <c r="F523">
        <v>21426807.899999999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-0.70833333333333404</v>
      </c>
      <c r="Q523">
        <f t="shared" si="985"/>
        <v>-15177322.262500014</v>
      </c>
      <c r="R523">
        <f t="shared" si="986"/>
        <v>-1081858597.9355359</v>
      </c>
      <c r="S523">
        <f t="shared" si="987"/>
        <v>-10818.585979355359</v>
      </c>
      <c r="T523">
        <f t="shared" si="988"/>
        <v>-10.818585979355358</v>
      </c>
    </row>
    <row r="524" spans="1:20" x14ac:dyDescent="0.25">
      <c r="A524" s="5">
        <v>44069</v>
      </c>
      <c r="B524">
        <v>9.8899999999999995E-3</v>
      </c>
      <c r="C524">
        <v>1.0449999999999999E-2</v>
      </c>
      <c r="D524">
        <v>9.8300000000000002E-3</v>
      </c>
      <c r="E524">
        <v>1.031E-2</v>
      </c>
      <c r="F524">
        <v>37482213</v>
      </c>
      <c r="G524">
        <v>0</v>
      </c>
      <c r="L524" t="s">
        <v>8</v>
      </c>
      <c r="M524" t="s">
        <v>7</v>
      </c>
      <c r="N524" t="s">
        <v>7</v>
      </c>
      <c r="P524">
        <f t="shared" si="984"/>
        <v>0.5483870967741945</v>
      </c>
      <c r="Q524">
        <f t="shared" si="985"/>
        <v>20554761.96774197</v>
      </c>
      <c r="R524">
        <f t="shared" si="986"/>
        <v>-1066681275.6730359</v>
      </c>
      <c r="S524">
        <f t="shared" si="987"/>
        <v>-10666.812756730358</v>
      </c>
      <c r="T524">
        <f t="shared" si="988"/>
        <v>-10.666812756730359</v>
      </c>
    </row>
    <row r="525" spans="1:20" x14ac:dyDescent="0.25">
      <c r="A525" s="5">
        <v>44068</v>
      </c>
      <c r="B525">
        <v>1.0840000000000001E-2</v>
      </c>
      <c r="C525">
        <v>1.1140000000000001E-2</v>
      </c>
      <c r="D525">
        <v>9.4999999999999998E-3</v>
      </c>
      <c r="E525">
        <v>9.9399999999999992E-3</v>
      </c>
      <c r="F525">
        <v>43271681</v>
      </c>
      <c r="G525">
        <v>0</v>
      </c>
      <c r="L525" t="s">
        <v>7</v>
      </c>
      <c r="M525" t="s">
        <v>7</v>
      </c>
      <c r="N525" t="s">
        <v>7</v>
      </c>
      <c r="P525">
        <f t="shared" si="984"/>
        <v>-0.46341463414634243</v>
      </c>
      <c r="Q525">
        <f t="shared" si="985"/>
        <v>-20052730.219512235</v>
      </c>
      <c r="R525">
        <f t="shared" si="986"/>
        <v>-1087236037.6407778</v>
      </c>
      <c r="S525">
        <f t="shared" si="987"/>
        <v>-10872.360376407778</v>
      </c>
      <c r="T525">
        <f t="shared" si="988"/>
        <v>-10.872360376407778</v>
      </c>
    </row>
    <row r="526" spans="1:20" x14ac:dyDescent="0.25">
      <c r="A526" s="5">
        <v>44067</v>
      </c>
      <c r="B526">
        <v>9.7999999999999997E-3</v>
      </c>
      <c r="C526">
        <v>1.099E-2</v>
      </c>
      <c r="D526">
        <v>9.5999999999999992E-3</v>
      </c>
      <c r="E526">
        <v>1.0840000000000001E-2</v>
      </c>
      <c r="F526">
        <v>37063495.200000003</v>
      </c>
      <c r="G526">
        <v>0</v>
      </c>
      <c r="L526" t="s">
        <v>8</v>
      </c>
      <c r="M526" t="s">
        <v>7</v>
      </c>
      <c r="N526" t="s">
        <v>7</v>
      </c>
      <c r="P526">
        <f t="shared" si="984"/>
        <v>0.78417266187050505</v>
      </c>
      <c r="Q526">
        <f t="shared" si="985"/>
        <v>29064179.68920869</v>
      </c>
      <c r="R526">
        <f t="shared" si="986"/>
        <v>-1067183307.4212656</v>
      </c>
      <c r="S526">
        <f t="shared" si="987"/>
        <v>-10671.833074212656</v>
      </c>
      <c r="T526">
        <f t="shared" si="988"/>
        <v>-10.671833074212657</v>
      </c>
    </row>
    <row r="527" spans="1:20" x14ac:dyDescent="0.25">
      <c r="A527" s="5">
        <v>44066</v>
      </c>
      <c r="B527">
        <v>9.8300000000000002E-3</v>
      </c>
      <c r="C527">
        <v>1.0149999999999999E-2</v>
      </c>
      <c r="D527">
        <v>9.5200000000000007E-3</v>
      </c>
      <c r="E527">
        <v>9.7999999999999997E-3</v>
      </c>
      <c r="F527">
        <v>22979070.5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-0.11111111111111234</v>
      </c>
      <c r="Q527">
        <f t="shared" si="985"/>
        <v>-2553230.0555555839</v>
      </c>
      <c r="R527">
        <f t="shared" si="986"/>
        <v>-1096247487.1104743</v>
      </c>
      <c r="S527">
        <f t="shared" si="987"/>
        <v>-10962.474871104743</v>
      </c>
      <c r="T527">
        <f t="shared" si="988"/>
        <v>-10.962474871104742</v>
      </c>
    </row>
    <row r="528" spans="1:20" x14ac:dyDescent="0.25">
      <c r="A528" s="5">
        <v>44065</v>
      </c>
      <c r="B528">
        <v>9.9399999999999992E-3</v>
      </c>
      <c r="C528">
        <v>9.9699999999999997E-3</v>
      </c>
      <c r="D528">
        <v>9.2499999999999995E-3</v>
      </c>
      <c r="E528">
        <v>9.8399999999999998E-3</v>
      </c>
      <c r="F528">
        <v>29555666.399999999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0.63888888888888917</v>
      </c>
      <c r="Q528">
        <f t="shared" si="985"/>
        <v>18882786.866666675</v>
      </c>
      <c r="R528">
        <f t="shared" si="986"/>
        <v>-1093694257.0549188</v>
      </c>
      <c r="S528">
        <f t="shared" si="987"/>
        <v>-10936.942570549189</v>
      </c>
      <c r="T528">
        <f t="shared" si="988"/>
        <v>-10.936942570549189</v>
      </c>
    </row>
    <row r="529" spans="1:20" x14ac:dyDescent="0.25">
      <c r="A529" s="5">
        <v>44064</v>
      </c>
      <c r="B529">
        <v>1.072E-2</v>
      </c>
      <c r="C529">
        <v>1.1129999999999999E-2</v>
      </c>
      <c r="D529">
        <v>9.8700000000000003E-3</v>
      </c>
      <c r="E529">
        <v>9.9500000000000005E-3</v>
      </c>
      <c r="F529">
        <v>31131122.800000001</v>
      </c>
      <c r="G529">
        <v>0</v>
      </c>
      <c r="L529" t="s">
        <v>8</v>
      </c>
      <c r="M529" t="s">
        <v>7</v>
      </c>
      <c r="N529" t="s">
        <v>8</v>
      </c>
      <c r="P529">
        <f t="shared" si="984"/>
        <v>-0.87301587301587258</v>
      </c>
      <c r="Q529">
        <f t="shared" si="985"/>
        <v>-27177964.349206336</v>
      </c>
      <c r="R529">
        <f t="shared" si="986"/>
        <v>-1112577043.9215856</v>
      </c>
      <c r="S529">
        <f t="shared" si="987"/>
        <v>-11125.770439215856</v>
      </c>
      <c r="T529">
        <f t="shared" si="988"/>
        <v>-11.125770439215856</v>
      </c>
    </row>
    <row r="530" spans="1:20" x14ac:dyDescent="0.25">
      <c r="A530" s="5">
        <v>44063</v>
      </c>
      <c r="B530">
        <v>1.0330000000000001E-2</v>
      </c>
      <c r="C530">
        <v>1.089E-2</v>
      </c>
      <c r="D530">
        <v>1.027E-2</v>
      </c>
      <c r="E530">
        <v>1.076E-2</v>
      </c>
      <c r="F530">
        <v>17177830.199999999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0.5806451612903234</v>
      </c>
      <c r="Q530">
        <f t="shared" si="985"/>
        <v>9974223.9870967884</v>
      </c>
      <c r="R530">
        <f t="shared" si="986"/>
        <v>-1085399079.5723791</v>
      </c>
      <c r="S530">
        <f t="shared" si="987"/>
        <v>-10853.990795723792</v>
      </c>
      <c r="T530">
        <f t="shared" si="988"/>
        <v>-10.853990795723792</v>
      </c>
    </row>
    <row r="531" spans="1:20" x14ac:dyDescent="0.25">
      <c r="A531" s="5">
        <v>44062</v>
      </c>
      <c r="B531">
        <v>1.124E-2</v>
      </c>
      <c r="C531">
        <v>1.1350000000000001E-2</v>
      </c>
      <c r="D531">
        <v>9.8600000000000007E-3</v>
      </c>
      <c r="E531">
        <v>1.0290000000000001E-2</v>
      </c>
      <c r="F531">
        <v>38089939.200000003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-0.42281879194630895</v>
      </c>
      <c r="Q531">
        <f t="shared" si="985"/>
        <v>-16105142.077852359</v>
      </c>
      <c r="R531">
        <f t="shared" si="986"/>
        <v>-1095373303.5594759</v>
      </c>
      <c r="S531">
        <f t="shared" si="987"/>
        <v>-10953.73303559476</v>
      </c>
      <c r="T531">
        <f t="shared" si="988"/>
        <v>-10.953733035594759</v>
      </c>
    </row>
    <row r="532" spans="1:20" x14ac:dyDescent="0.25">
      <c r="A532" s="5">
        <v>44061</v>
      </c>
      <c r="B532">
        <v>1.1690000000000001E-2</v>
      </c>
      <c r="C532">
        <v>1.221E-2</v>
      </c>
      <c r="D532">
        <v>1.103E-2</v>
      </c>
      <c r="E532">
        <v>1.125E-2</v>
      </c>
      <c r="F532">
        <v>48426839.399999999</v>
      </c>
      <c r="G532">
        <v>0</v>
      </c>
      <c r="L532" t="s">
        <v>8</v>
      </c>
      <c r="M532" t="s">
        <v>7</v>
      </c>
      <c r="N532" t="s">
        <v>8</v>
      </c>
      <c r="P532">
        <f t="shared" si="984"/>
        <v>-0.62711864406779727</v>
      </c>
      <c r="Q532">
        <f t="shared" si="985"/>
        <v>-30369373.861016981</v>
      </c>
      <c r="R532">
        <f t="shared" si="986"/>
        <v>-1079268161.4816236</v>
      </c>
      <c r="S532">
        <f t="shared" si="987"/>
        <v>-10792.681614816236</v>
      </c>
      <c r="T532">
        <f t="shared" si="988"/>
        <v>-10.792681614816235</v>
      </c>
    </row>
    <row r="533" spans="1:20" x14ac:dyDescent="0.25">
      <c r="A533" s="5">
        <v>44060</v>
      </c>
      <c r="B533">
        <v>1.1780000000000001E-2</v>
      </c>
      <c r="C533">
        <v>1.221E-2</v>
      </c>
      <c r="D533">
        <v>1.115E-2</v>
      </c>
      <c r="E533">
        <v>1.1690000000000001E-2</v>
      </c>
      <c r="F533">
        <v>64504227.299999997</v>
      </c>
      <c r="G533">
        <v>0</v>
      </c>
      <c r="L533" t="s">
        <v>7</v>
      </c>
      <c r="M533" t="s">
        <v>7</v>
      </c>
      <c r="N533" t="s">
        <v>8</v>
      </c>
      <c r="P533">
        <f t="shared" si="984"/>
        <v>1.886792452830275E-2</v>
      </c>
      <c r="Q533">
        <f t="shared" si="985"/>
        <v>1217060.8924528859</v>
      </c>
      <c r="R533">
        <f t="shared" si="986"/>
        <v>-1048898787.6206067</v>
      </c>
      <c r="S533">
        <f t="shared" si="987"/>
        <v>-10488.987876206067</v>
      </c>
      <c r="T533">
        <f t="shared" si="988"/>
        <v>-10.488987876206068</v>
      </c>
    </row>
    <row r="534" spans="1:20" x14ac:dyDescent="0.25">
      <c r="A534" s="5">
        <v>44059</v>
      </c>
      <c r="B534">
        <v>1.078E-2</v>
      </c>
      <c r="C534">
        <v>1.2160000000000001E-2</v>
      </c>
      <c r="D534">
        <v>1.0659999999999999E-2</v>
      </c>
      <c r="E534">
        <v>1.1780000000000001E-2</v>
      </c>
      <c r="F534">
        <v>56592288</v>
      </c>
      <c r="G534">
        <v>0</v>
      </c>
      <c r="L534" t="s">
        <v>8</v>
      </c>
      <c r="M534" t="s">
        <v>7</v>
      </c>
      <c r="N534" t="s">
        <v>8</v>
      </c>
      <c r="P534">
        <f t="shared" si="984"/>
        <v>0.49333333333333362</v>
      </c>
      <c r="Q534">
        <f t="shared" si="985"/>
        <v>27918862.080000017</v>
      </c>
      <c r="R534">
        <f t="shared" si="986"/>
        <v>-1050115848.5130595</v>
      </c>
      <c r="S534">
        <f t="shared" si="987"/>
        <v>-10501.158485130594</v>
      </c>
      <c r="T534">
        <f t="shared" si="988"/>
        <v>-10.501158485130594</v>
      </c>
    </row>
    <row r="535" spans="1:20" x14ac:dyDescent="0.25">
      <c r="A535" s="5">
        <v>44058</v>
      </c>
      <c r="B535">
        <v>1.132E-2</v>
      </c>
      <c r="C535">
        <v>1.142E-2</v>
      </c>
      <c r="D535">
        <v>1.0540000000000001E-2</v>
      </c>
      <c r="E535">
        <v>1.074E-2</v>
      </c>
      <c r="F535">
        <v>43220712</v>
      </c>
      <c r="G535">
        <v>0</v>
      </c>
      <c r="L535" t="s">
        <v>7</v>
      </c>
      <c r="M535" t="s">
        <v>7</v>
      </c>
      <c r="N535" t="s">
        <v>8</v>
      </c>
      <c r="P535">
        <f t="shared" si="984"/>
        <v>-0.54545454545454763</v>
      </c>
      <c r="Q535">
        <f t="shared" si="985"/>
        <v>-23574933.818181913</v>
      </c>
      <c r="R535">
        <f t="shared" si="986"/>
        <v>-1078034710.5930595</v>
      </c>
      <c r="S535">
        <f t="shared" si="987"/>
        <v>-10780.347105930596</v>
      </c>
      <c r="T535">
        <f t="shared" si="988"/>
        <v>-10.780347105930595</v>
      </c>
    </row>
    <row r="536" spans="1:20" x14ac:dyDescent="0.25">
      <c r="A536" s="5">
        <v>44057</v>
      </c>
      <c r="B536">
        <v>1.0840000000000001E-2</v>
      </c>
      <c r="C536">
        <v>1.18E-2</v>
      </c>
      <c r="D536">
        <v>1.078E-2</v>
      </c>
      <c r="E536">
        <v>1.132E-2</v>
      </c>
      <c r="F536">
        <v>53318173.5</v>
      </c>
      <c r="G536">
        <v>0</v>
      </c>
      <c r="L536" t="s">
        <v>7</v>
      </c>
      <c r="M536" t="s">
        <v>7</v>
      </c>
      <c r="N536" t="s">
        <v>8</v>
      </c>
      <c r="P536">
        <f t="shared" si="984"/>
        <v>5.8823529411765704E-2</v>
      </c>
      <c r="Q536">
        <f t="shared" si="985"/>
        <v>3136363.1470588767</v>
      </c>
      <c r="R536">
        <f t="shared" si="986"/>
        <v>-1054459776.7748777</v>
      </c>
      <c r="S536">
        <f t="shared" si="987"/>
        <v>-10544.597767748777</v>
      </c>
      <c r="T536">
        <f t="shared" si="988"/>
        <v>-10.544597767748778</v>
      </c>
    </row>
    <row r="537" spans="1:20" x14ac:dyDescent="0.25">
      <c r="A537" s="5">
        <v>44056</v>
      </c>
      <c r="B537">
        <v>1.153E-2</v>
      </c>
      <c r="C537">
        <v>1.183E-2</v>
      </c>
      <c r="D537">
        <v>1.061E-2</v>
      </c>
      <c r="E537">
        <v>1.0840000000000001E-2</v>
      </c>
      <c r="F537">
        <v>69614351.400000006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-0.62295081967212962</v>
      </c>
      <c r="Q537">
        <f t="shared" si="985"/>
        <v>-43366317.265573665</v>
      </c>
      <c r="R537">
        <f t="shared" si="986"/>
        <v>-1057596139.9219365</v>
      </c>
      <c r="S537">
        <f t="shared" si="987"/>
        <v>-10575.961399219364</v>
      </c>
      <c r="T537">
        <f t="shared" si="988"/>
        <v>-10.575961399219365</v>
      </c>
    </row>
    <row r="538" spans="1:20" x14ac:dyDescent="0.25">
      <c r="A538" s="5">
        <v>44055</v>
      </c>
      <c r="B538">
        <v>1.0970000000000001E-2</v>
      </c>
      <c r="C538">
        <v>1.2149999999999999E-2</v>
      </c>
      <c r="D538">
        <v>1.064E-2</v>
      </c>
      <c r="E538">
        <v>1.155E-2</v>
      </c>
      <c r="F538">
        <v>63932482.700000003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0.20529801324503291</v>
      </c>
      <c r="Q538">
        <f t="shared" si="985"/>
        <v>13125211.680132437</v>
      </c>
      <c r="R538">
        <f t="shared" si="986"/>
        <v>-1014229822.6563629</v>
      </c>
      <c r="S538">
        <f t="shared" si="987"/>
        <v>-10142.298226563629</v>
      </c>
      <c r="T538">
        <f t="shared" si="988"/>
        <v>-10.142298226563629</v>
      </c>
    </row>
    <row r="539" spans="1:20" x14ac:dyDescent="0.25">
      <c r="A539" s="5">
        <v>44054</v>
      </c>
      <c r="B539">
        <v>1.256E-2</v>
      </c>
      <c r="C539">
        <v>1.3679999999999999E-2</v>
      </c>
      <c r="D539">
        <v>1.023E-2</v>
      </c>
      <c r="E539">
        <v>1.1039999999999999E-2</v>
      </c>
      <c r="F539">
        <v>132124760.59999999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-0.5304347826086957</v>
      </c>
      <c r="Q539">
        <f t="shared" si="985"/>
        <v>-70083568.666086957</v>
      </c>
      <c r="R539">
        <f t="shared" si="986"/>
        <v>-1027355034.3364953</v>
      </c>
      <c r="S539">
        <f t="shared" si="987"/>
        <v>-10273.550343364952</v>
      </c>
      <c r="T539">
        <f t="shared" si="988"/>
        <v>-10.273550343364953</v>
      </c>
    </row>
    <row r="540" spans="1:20" x14ac:dyDescent="0.25">
      <c r="A540" s="5">
        <v>44053</v>
      </c>
      <c r="B540">
        <v>1.089E-2</v>
      </c>
      <c r="C540">
        <v>1.34E-2</v>
      </c>
      <c r="D540">
        <v>1.0330000000000001E-2</v>
      </c>
      <c r="E540">
        <v>1.256E-2</v>
      </c>
      <c r="F540">
        <v>136998909.09999999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0.45276872964169346</v>
      </c>
      <c r="Q540">
        <f t="shared" si="985"/>
        <v>62028822.035504833</v>
      </c>
      <c r="R540">
        <f t="shared" si="986"/>
        <v>-957271465.67040837</v>
      </c>
      <c r="S540">
        <f t="shared" si="987"/>
        <v>-9572.7146567040836</v>
      </c>
      <c r="T540">
        <f t="shared" si="988"/>
        <v>-9.5727146567040844</v>
      </c>
    </row>
    <row r="541" spans="1:20" x14ac:dyDescent="0.25">
      <c r="A541" s="5">
        <v>44052</v>
      </c>
      <c r="B541">
        <v>1.0359999999999999E-2</v>
      </c>
      <c r="C541">
        <v>1.091E-2</v>
      </c>
      <c r="D541">
        <v>9.8700000000000003E-3</v>
      </c>
      <c r="E541">
        <v>1.0880000000000001E-2</v>
      </c>
      <c r="F541">
        <v>67590072.599999994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0.94230769230769462</v>
      </c>
      <c r="Q541">
        <f t="shared" si="985"/>
        <v>63690645.334615536</v>
      </c>
      <c r="R541">
        <f t="shared" si="986"/>
        <v>-1019300287.7059132</v>
      </c>
      <c r="S541">
        <f t="shared" si="987"/>
        <v>-10193.002877059133</v>
      </c>
      <c r="T541">
        <f t="shared" si="988"/>
        <v>-10.193002877059133</v>
      </c>
    </row>
    <row r="542" spans="1:20" x14ac:dyDescent="0.25">
      <c r="A542" s="5">
        <v>44051</v>
      </c>
      <c r="B542">
        <v>9.9600000000000001E-3</v>
      </c>
      <c r="C542">
        <v>1.0699999999999999E-2</v>
      </c>
      <c r="D542">
        <v>9.8499999999999994E-3</v>
      </c>
      <c r="E542">
        <v>1.035E-2</v>
      </c>
      <c r="F542">
        <v>52170996.399999999</v>
      </c>
      <c r="G542">
        <v>0</v>
      </c>
      <c r="L542" t="s">
        <v>7</v>
      </c>
      <c r="M542" t="s">
        <v>8</v>
      </c>
      <c r="N542" t="s">
        <v>7</v>
      </c>
      <c r="P542">
        <f t="shared" si="984"/>
        <v>0.17647058823529507</v>
      </c>
      <c r="Q542">
        <f t="shared" si="985"/>
        <v>9206646.423529461</v>
      </c>
      <c r="R542">
        <f t="shared" si="986"/>
        <v>-1082990933.0405288</v>
      </c>
      <c r="S542">
        <f t="shared" si="987"/>
        <v>-10829.909330405288</v>
      </c>
      <c r="T542">
        <f t="shared" si="988"/>
        <v>-10.829909330405288</v>
      </c>
    </row>
    <row r="543" spans="1:20" x14ac:dyDescent="0.25">
      <c r="A543" s="5">
        <v>44050</v>
      </c>
      <c r="B543">
        <v>1.001E-2</v>
      </c>
      <c r="C543">
        <v>1.1259999999999999E-2</v>
      </c>
      <c r="D543">
        <v>9.5700000000000004E-3</v>
      </c>
      <c r="E543">
        <v>9.9600000000000001E-3</v>
      </c>
      <c r="F543">
        <v>90184783.599999994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-0.53846153846153844</v>
      </c>
      <c r="Q543">
        <f t="shared" si="985"/>
        <v>-48561037.323076919</v>
      </c>
      <c r="R543">
        <f t="shared" si="986"/>
        <v>-1092197579.4640582</v>
      </c>
      <c r="S543">
        <f t="shared" si="987"/>
        <v>-10921.975794640581</v>
      </c>
      <c r="T543">
        <f t="shared" si="988"/>
        <v>-10.921975794640581</v>
      </c>
    </row>
    <row r="544" spans="1:20" x14ac:dyDescent="0.25">
      <c r="A544" s="5">
        <v>44049</v>
      </c>
      <c r="B544">
        <v>9.0600000000000003E-3</v>
      </c>
      <c r="C544">
        <v>1.04E-2</v>
      </c>
      <c r="D544">
        <v>9.0100000000000006E-3</v>
      </c>
      <c r="E544">
        <v>0.01</v>
      </c>
      <c r="F544">
        <v>80218089.900000006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0.42446043165467678</v>
      </c>
      <c r="Q544">
        <f t="shared" si="985"/>
        <v>34049405.065467671</v>
      </c>
      <c r="R544">
        <f t="shared" si="986"/>
        <v>-1043636542.1409813</v>
      </c>
      <c r="S544">
        <f t="shared" si="987"/>
        <v>-10436.365421409813</v>
      </c>
      <c r="T544">
        <f t="shared" si="988"/>
        <v>-10.436365421409814</v>
      </c>
    </row>
    <row r="545" spans="1:20" x14ac:dyDescent="0.25">
      <c r="A545" s="5">
        <v>44048</v>
      </c>
      <c r="B545">
        <v>9.1800000000000007E-3</v>
      </c>
      <c r="C545">
        <v>9.4199999999999996E-3</v>
      </c>
      <c r="D545">
        <v>8.8999999999999999E-3</v>
      </c>
      <c r="E545">
        <v>9.0699999999999999E-3</v>
      </c>
      <c r="F545">
        <v>26892544.5</v>
      </c>
      <c r="G545">
        <v>0</v>
      </c>
      <c r="L545" t="s">
        <v>8</v>
      </c>
      <c r="M545" t="s">
        <v>7</v>
      </c>
      <c r="N545" t="s">
        <v>7</v>
      </c>
      <c r="P545">
        <f t="shared" si="984"/>
        <v>-0.34615384615384565</v>
      </c>
      <c r="Q545">
        <f t="shared" si="985"/>
        <v>-9308957.7115384471</v>
      </c>
      <c r="R545">
        <f t="shared" si="986"/>
        <v>-1077685947.206449</v>
      </c>
      <c r="S545">
        <f t="shared" si="987"/>
        <v>-10776.859472064491</v>
      </c>
      <c r="T545">
        <f t="shared" si="988"/>
        <v>-10.776859472064491</v>
      </c>
    </row>
    <row r="546" spans="1:20" x14ac:dyDescent="0.25">
      <c r="A546" s="5">
        <v>44047</v>
      </c>
      <c r="B546">
        <v>8.77E-3</v>
      </c>
      <c r="C546">
        <v>9.2499999999999995E-3</v>
      </c>
      <c r="D546">
        <v>8.6700000000000006E-3</v>
      </c>
      <c r="E546">
        <v>9.1400000000000006E-3</v>
      </c>
      <c r="F546">
        <v>24498845.899999999</v>
      </c>
      <c r="G546">
        <v>0</v>
      </c>
      <c r="L546" t="s">
        <v>8</v>
      </c>
      <c r="M546" t="s">
        <v>7</v>
      </c>
      <c r="N546" t="s">
        <v>7</v>
      </c>
      <c r="P546">
        <f t="shared" si="984"/>
        <v>0.62068965517241659</v>
      </c>
      <c r="Q546">
        <f t="shared" si="985"/>
        <v>15206180.213793172</v>
      </c>
      <c r="R546">
        <f t="shared" si="986"/>
        <v>-1068376989.4949106</v>
      </c>
      <c r="S546">
        <f t="shared" si="987"/>
        <v>-10683.769894949106</v>
      </c>
      <c r="T546">
        <f t="shared" si="988"/>
        <v>-10.683769894949107</v>
      </c>
    </row>
    <row r="547" spans="1:20" x14ac:dyDescent="0.25">
      <c r="A547" s="5">
        <v>44046</v>
      </c>
      <c r="B547">
        <v>8.77E-3</v>
      </c>
      <c r="C547">
        <v>9.2899999999999996E-3</v>
      </c>
      <c r="D547">
        <v>8.6599999999999993E-3</v>
      </c>
      <c r="E547">
        <v>8.77E-3</v>
      </c>
      <c r="F547">
        <v>28553232.899999999</v>
      </c>
      <c r="G547">
        <v>0</v>
      </c>
      <c r="L547" t="s">
        <v>8</v>
      </c>
      <c r="M547" t="s">
        <v>7</v>
      </c>
      <c r="N547" t="s">
        <v>7</v>
      </c>
      <c r="P547">
        <f t="shared" si="984"/>
        <v>-0.6507936507936487</v>
      </c>
      <c r="Q547">
        <f t="shared" si="985"/>
        <v>-18582262.680952322</v>
      </c>
      <c r="R547">
        <f t="shared" si="986"/>
        <v>-1083583169.7087038</v>
      </c>
      <c r="S547">
        <f t="shared" si="987"/>
        <v>-10835.831697087038</v>
      </c>
      <c r="T547">
        <f t="shared" si="988"/>
        <v>-10.835831697087038</v>
      </c>
    </row>
    <row r="548" spans="1:20" x14ac:dyDescent="0.25">
      <c r="A548" s="5">
        <v>44045</v>
      </c>
      <c r="B548">
        <v>9.1699999999999993E-3</v>
      </c>
      <c r="C548">
        <v>9.1800000000000007E-3</v>
      </c>
      <c r="D548">
        <v>8.1600000000000006E-3</v>
      </c>
      <c r="E548">
        <v>8.77E-3</v>
      </c>
      <c r="F548">
        <v>49391827.899999999</v>
      </c>
      <c r="G548">
        <v>0</v>
      </c>
      <c r="L548" t="s">
        <v>7</v>
      </c>
      <c r="M548" t="s">
        <v>7</v>
      </c>
      <c r="N548" t="s">
        <v>7</v>
      </c>
      <c r="P548">
        <f t="shared" si="984"/>
        <v>0.19607843137254782</v>
      </c>
      <c r="Q548">
        <f t="shared" si="985"/>
        <v>9684672.1372548435</v>
      </c>
      <c r="R548">
        <f t="shared" si="986"/>
        <v>-1065000907.0277513</v>
      </c>
      <c r="S548">
        <f t="shared" si="987"/>
        <v>-10650.009070277512</v>
      </c>
      <c r="T548">
        <f t="shared" si="988"/>
        <v>-10.650009070277513</v>
      </c>
    </row>
    <row r="549" spans="1:20" x14ac:dyDescent="0.25">
      <c r="A549" s="5">
        <v>44044</v>
      </c>
      <c r="B549">
        <v>8.9899999999999997E-3</v>
      </c>
      <c r="C549">
        <v>9.2999999999999992E-3</v>
      </c>
      <c r="D549">
        <v>8.5500000000000003E-3</v>
      </c>
      <c r="E549">
        <v>9.1400000000000006E-3</v>
      </c>
      <c r="F549">
        <v>57646444.600000001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0.57333333333333625</v>
      </c>
      <c r="Q549">
        <f t="shared" si="985"/>
        <v>33050628.237333503</v>
      </c>
      <c r="R549">
        <f t="shared" si="986"/>
        <v>-1074685579.1650062</v>
      </c>
      <c r="S549">
        <f t="shared" si="987"/>
        <v>-10746.855791650061</v>
      </c>
      <c r="T549">
        <f t="shared" si="988"/>
        <v>-10.746855791650061</v>
      </c>
    </row>
    <row r="550" spans="1:20" x14ac:dyDescent="0.25">
      <c r="A550" s="5">
        <v>44043</v>
      </c>
      <c r="B550">
        <v>9.3799999999999994E-3</v>
      </c>
      <c r="C550">
        <v>0.01</v>
      </c>
      <c r="D550">
        <v>8.8199999999999997E-3</v>
      </c>
      <c r="E550">
        <v>8.9899999999999997E-3</v>
      </c>
      <c r="F550">
        <v>59609742.700000003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-0.71186440677966112</v>
      </c>
      <c r="Q550">
        <f t="shared" si="985"/>
        <v>-42434054.125423737</v>
      </c>
      <c r="R550">
        <f t="shared" si="986"/>
        <v>-1107736207.4023397</v>
      </c>
      <c r="S550">
        <f t="shared" si="987"/>
        <v>-11077.362074023396</v>
      </c>
      <c r="T550">
        <f t="shared" si="988"/>
        <v>-11.077362074023396</v>
      </c>
    </row>
    <row r="551" spans="1:20" x14ac:dyDescent="0.25">
      <c r="A551" s="5">
        <v>44042</v>
      </c>
      <c r="B551">
        <v>9.0699999999999999E-3</v>
      </c>
      <c r="C551">
        <v>9.4900000000000002E-3</v>
      </c>
      <c r="D551">
        <v>9.0100000000000006E-3</v>
      </c>
      <c r="E551">
        <v>9.41E-3</v>
      </c>
      <c r="F551">
        <v>25891491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0.66666666666666541</v>
      </c>
      <c r="Q551">
        <f t="shared" si="985"/>
        <v>17260993.999999966</v>
      </c>
      <c r="R551">
        <f t="shared" si="986"/>
        <v>-1065302153.276916</v>
      </c>
      <c r="S551">
        <f t="shared" si="987"/>
        <v>-10653.02153276916</v>
      </c>
      <c r="T551">
        <f t="shared" si="988"/>
        <v>-10.653021532769161</v>
      </c>
    </row>
    <row r="552" spans="1:20" x14ac:dyDescent="0.25">
      <c r="A552" s="5">
        <v>44041</v>
      </c>
      <c r="B552">
        <v>9.4400000000000005E-3</v>
      </c>
      <c r="C552">
        <v>9.8399999999999998E-3</v>
      </c>
      <c r="D552">
        <v>8.9899999999999997E-3</v>
      </c>
      <c r="E552">
        <v>9.0900000000000009E-3</v>
      </c>
      <c r="F552">
        <v>48796818.600000001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-0.76470588235293857</v>
      </c>
      <c r="Q552">
        <f t="shared" si="985"/>
        <v>-37315214.223529287</v>
      </c>
      <c r="R552">
        <f t="shared" si="986"/>
        <v>-1082563147.276916</v>
      </c>
      <c r="S552">
        <f t="shared" si="987"/>
        <v>-10825.631472769161</v>
      </c>
      <c r="T552">
        <f t="shared" si="988"/>
        <v>-10.82563147276916</v>
      </c>
    </row>
    <row r="553" spans="1:20" x14ac:dyDescent="0.25">
      <c r="A553" s="5">
        <v>44040</v>
      </c>
      <c r="B553">
        <v>8.8299999999999993E-3</v>
      </c>
      <c r="C553">
        <v>9.5200000000000007E-3</v>
      </c>
      <c r="D553">
        <v>8.5800000000000008E-3</v>
      </c>
      <c r="E553">
        <v>9.4299999999999991E-3</v>
      </c>
      <c r="F553">
        <v>59751436.299999997</v>
      </c>
      <c r="G553">
        <v>0</v>
      </c>
      <c r="L553" t="s">
        <v>8</v>
      </c>
      <c r="M553" t="s">
        <v>7</v>
      </c>
      <c r="N553" t="s">
        <v>7</v>
      </c>
      <c r="P553">
        <f t="shared" si="984"/>
        <v>0.80851063829786907</v>
      </c>
      <c r="Q553">
        <f t="shared" si="985"/>
        <v>48309671.90212746</v>
      </c>
      <c r="R553">
        <f t="shared" si="986"/>
        <v>-1045247933.0533867</v>
      </c>
      <c r="S553">
        <f t="shared" si="987"/>
        <v>-10452.479330533866</v>
      </c>
      <c r="T553">
        <f t="shared" si="988"/>
        <v>-10.452479330533865</v>
      </c>
    </row>
    <row r="554" spans="1:20" x14ac:dyDescent="0.25">
      <c r="A554" s="5">
        <v>44039</v>
      </c>
      <c r="B554">
        <v>1.047E-2</v>
      </c>
      <c r="C554">
        <v>1.0540000000000001E-2</v>
      </c>
      <c r="D554">
        <v>8.0099999999999998E-3</v>
      </c>
      <c r="E554">
        <v>8.7899999999999992E-3</v>
      </c>
      <c r="F554">
        <v>122760626.3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-0.38339920948616668</v>
      </c>
      <c r="Q554">
        <f t="shared" si="985"/>
        <v>-47066327.079446718</v>
      </c>
      <c r="R554">
        <f t="shared" si="986"/>
        <v>-1093557604.9555142</v>
      </c>
      <c r="S554">
        <f t="shared" si="987"/>
        <v>-10935.576049555142</v>
      </c>
      <c r="T554">
        <f t="shared" si="988"/>
        <v>-10.935576049555142</v>
      </c>
    </row>
    <row r="555" spans="1:20" x14ac:dyDescent="0.25">
      <c r="A555" s="5">
        <v>44038</v>
      </c>
      <c r="B555">
        <v>1.0869999999999999E-2</v>
      </c>
      <c r="C555">
        <v>1.115E-2</v>
      </c>
      <c r="D555">
        <v>9.8300000000000002E-3</v>
      </c>
      <c r="E555">
        <v>1.048E-2</v>
      </c>
      <c r="F555">
        <v>66628825.700000003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-1.5151515151515849E-2</v>
      </c>
      <c r="Q555">
        <f t="shared" si="985"/>
        <v>-1009527.6621212587</v>
      </c>
      <c r="R555">
        <f t="shared" si="986"/>
        <v>-1046491277.8760675</v>
      </c>
      <c r="S555">
        <f t="shared" si="987"/>
        <v>-10464.912778760676</v>
      </c>
      <c r="T555">
        <f t="shared" si="988"/>
        <v>-10.464912778760675</v>
      </c>
    </row>
    <row r="556" spans="1:20" x14ac:dyDescent="0.25">
      <c r="A556" s="5">
        <v>44037</v>
      </c>
      <c r="B556">
        <v>1.0789999999999999E-2</v>
      </c>
      <c r="C556">
        <v>1.2E-2</v>
      </c>
      <c r="D556">
        <v>1.0699999999999999E-2</v>
      </c>
      <c r="E556">
        <v>1.0869999999999999E-2</v>
      </c>
      <c r="F556">
        <v>72234696.400000006</v>
      </c>
      <c r="G556">
        <v>0</v>
      </c>
      <c r="L556" t="s">
        <v>8</v>
      </c>
      <c r="M556" t="s">
        <v>7</v>
      </c>
      <c r="N556" t="s">
        <v>8</v>
      </c>
      <c r="P556">
        <f t="shared" si="984"/>
        <v>-0.73846153846153861</v>
      </c>
      <c r="Q556">
        <f t="shared" si="985"/>
        <v>-53342545.03384617</v>
      </c>
      <c r="R556">
        <f t="shared" si="986"/>
        <v>-1045481750.2139462</v>
      </c>
      <c r="S556">
        <f t="shared" si="987"/>
        <v>-10454.817502139462</v>
      </c>
      <c r="T556">
        <f t="shared" si="988"/>
        <v>-10.454817502139461</v>
      </c>
    </row>
    <row r="557" spans="1:20" x14ac:dyDescent="0.25">
      <c r="A557" s="5">
        <v>44036</v>
      </c>
      <c r="B557">
        <v>1.1650000000000001E-2</v>
      </c>
      <c r="C557">
        <v>1.2109999999999999E-2</v>
      </c>
      <c r="D557">
        <v>1.0670000000000001E-2</v>
      </c>
      <c r="E557">
        <v>1.089E-2</v>
      </c>
      <c r="F557">
        <v>110367278.90000001</v>
      </c>
      <c r="G557">
        <v>0</v>
      </c>
      <c r="L557" t="s">
        <v>7</v>
      </c>
      <c r="M557" t="s">
        <v>7</v>
      </c>
      <c r="N557" t="s">
        <v>8</v>
      </c>
      <c r="P557">
        <f t="shared" si="984"/>
        <v>-0.69444444444444453</v>
      </c>
      <c r="Q557">
        <f t="shared" si="985"/>
        <v>-76643943.680555567</v>
      </c>
      <c r="R557">
        <f t="shared" si="986"/>
        <v>-992139205.18010008</v>
      </c>
      <c r="S557">
        <f t="shared" si="987"/>
        <v>-9921.392051801</v>
      </c>
      <c r="T557">
        <f t="shared" si="988"/>
        <v>-9.9213920518009999</v>
      </c>
    </row>
    <row r="558" spans="1:20" x14ac:dyDescent="0.25">
      <c r="A558" s="5">
        <v>44035</v>
      </c>
      <c r="B558">
        <v>1.235E-2</v>
      </c>
      <c r="C558">
        <v>1.4449999999999999E-2</v>
      </c>
      <c r="D558">
        <v>1.1560000000000001E-2</v>
      </c>
      <c r="E558">
        <v>1.174E-2</v>
      </c>
      <c r="F558">
        <v>294208287</v>
      </c>
      <c r="G558">
        <v>0</v>
      </c>
      <c r="L558" t="s">
        <v>8</v>
      </c>
      <c r="M558" t="s">
        <v>8</v>
      </c>
      <c r="N558" t="s">
        <v>8</v>
      </c>
      <c r="P558">
        <f t="shared" si="984"/>
        <v>-0.87543252595155729</v>
      </c>
      <c r="Q558">
        <f t="shared" si="985"/>
        <v>-257559503.8442907</v>
      </c>
      <c r="R558">
        <f t="shared" si="986"/>
        <v>-915495261.4995445</v>
      </c>
      <c r="S558">
        <f t="shared" si="987"/>
        <v>-9154.9526149954454</v>
      </c>
      <c r="T558">
        <f t="shared" si="988"/>
        <v>-9.1549526149954445</v>
      </c>
    </row>
    <row r="559" spans="1:20" x14ac:dyDescent="0.25">
      <c r="A559" s="5">
        <v>44034</v>
      </c>
      <c r="B559">
        <v>9.1000000000000004E-3</v>
      </c>
      <c r="C559">
        <v>1.3899999999999999E-2</v>
      </c>
      <c r="D559">
        <v>8.8900000000000003E-3</v>
      </c>
      <c r="E559">
        <v>1.24E-2</v>
      </c>
      <c r="F559">
        <v>299307937</v>
      </c>
      <c r="G559">
        <v>0</v>
      </c>
      <c r="L559" t="s">
        <v>8</v>
      </c>
      <c r="M559" t="s">
        <v>8</v>
      </c>
      <c r="N559" t="s">
        <v>8</v>
      </c>
      <c r="P559">
        <f t="shared" si="984"/>
        <v>0.40119760479041916</v>
      </c>
      <c r="Q559">
        <f t="shared" si="985"/>
        <v>120081627.41916168</v>
      </c>
      <c r="R559">
        <f t="shared" si="986"/>
        <v>-657935757.65525377</v>
      </c>
      <c r="S559">
        <f t="shared" si="987"/>
        <v>-6579.3575765525375</v>
      </c>
      <c r="T559">
        <f t="shared" si="988"/>
        <v>-6.5793575765525372</v>
      </c>
    </row>
    <row r="560" spans="1:20" x14ac:dyDescent="0.25">
      <c r="A560" s="5">
        <v>44033</v>
      </c>
      <c r="B560">
        <v>9.5999999999999992E-3</v>
      </c>
      <c r="C560">
        <v>1.01E-2</v>
      </c>
      <c r="D560">
        <v>8.6800000000000002E-3</v>
      </c>
      <c r="E560">
        <v>9.1000000000000004E-3</v>
      </c>
      <c r="F560">
        <v>83602151.400000006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-0.40845070422535151</v>
      </c>
      <c r="Q560">
        <f t="shared" si="985"/>
        <v>-34147357.61408446</v>
      </c>
      <c r="R560">
        <f t="shared" si="986"/>
        <v>-778017385.07441545</v>
      </c>
      <c r="S560">
        <f t="shared" si="987"/>
        <v>-7780.1738507441542</v>
      </c>
      <c r="T560">
        <f t="shared" si="988"/>
        <v>-7.7801738507441538</v>
      </c>
    </row>
    <row r="561" spans="1:104" x14ac:dyDescent="0.25">
      <c r="A561" s="5">
        <v>44032</v>
      </c>
      <c r="B561">
        <v>8.4799999999999997E-3</v>
      </c>
      <c r="C561">
        <v>1.0500000000000001E-2</v>
      </c>
      <c r="D561">
        <v>8.1499999999999993E-3</v>
      </c>
      <c r="E561">
        <v>9.6299999999999997E-3</v>
      </c>
      <c r="F561">
        <v>214419464.30000001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0.25957446808510598</v>
      </c>
      <c r="Q561">
        <f t="shared" si="985"/>
        <v>55657818.392765872</v>
      </c>
      <c r="R561">
        <f t="shared" si="986"/>
        <v>-743870027.46033096</v>
      </c>
      <c r="S561">
        <f t="shared" si="987"/>
        <v>-7438.7002746033095</v>
      </c>
      <c r="T561">
        <f t="shared" si="988"/>
        <v>-7.4387002746033097</v>
      </c>
      <c r="CZ561" t="s">
        <v>7</v>
      </c>
    </row>
    <row r="562" spans="1:104" x14ac:dyDescent="0.25">
      <c r="A562" s="5">
        <v>44031</v>
      </c>
      <c r="B562">
        <v>7.4000000000000003E-3</v>
      </c>
      <c r="C562">
        <v>8.7500000000000008E-3</v>
      </c>
      <c r="D562">
        <v>7.3000000000000001E-3</v>
      </c>
      <c r="E562">
        <v>8.4799999999999997E-3</v>
      </c>
      <c r="F562">
        <v>153505628.59999999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0.62758620689655031</v>
      </c>
      <c r="Q562">
        <f t="shared" si="985"/>
        <v>96338015.190344602</v>
      </c>
      <c r="R562">
        <f t="shared" si="986"/>
        <v>-799527845.85309684</v>
      </c>
      <c r="S562">
        <f t="shared" si="987"/>
        <v>-7995.2784585309682</v>
      </c>
      <c r="T562">
        <f t="shared" si="988"/>
        <v>-7.9952784585309686</v>
      </c>
      <c r="CZ562" t="s">
        <v>7</v>
      </c>
    </row>
    <row r="563" spans="1:104" x14ac:dyDescent="0.25">
      <c r="A563" s="5">
        <v>44030</v>
      </c>
      <c r="B563">
        <v>6.7000000000000002E-3</v>
      </c>
      <c r="C563">
        <v>7.7099999999999998E-3</v>
      </c>
      <c r="D563">
        <v>6.6400000000000001E-3</v>
      </c>
      <c r="E563">
        <v>7.3800000000000003E-3</v>
      </c>
      <c r="F563">
        <v>67879679.5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0.38317757009345865</v>
      </c>
      <c r="Q563">
        <f t="shared" si="985"/>
        <v>26009970.649532758</v>
      </c>
      <c r="R563">
        <f t="shared" si="986"/>
        <v>-895865861.04344141</v>
      </c>
      <c r="S563">
        <f t="shared" si="987"/>
        <v>-8958.6586104344133</v>
      </c>
      <c r="T563">
        <f t="shared" si="988"/>
        <v>-8.9586586104344139</v>
      </c>
      <c r="CZ563" t="s">
        <v>7</v>
      </c>
    </row>
    <row r="564" spans="1:104" x14ac:dyDescent="0.25">
      <c r="A564" s="5">
        <v>44029</v>
      </c>
      <c r="B564">
        <v>6.5799999999999999E-3</v>
      </c>
      <c r="C564">
        <v>6.79E-3</v>
      </c>
      <c r="D564">
        <v>6.4700000000000001E-3</v>
      </c>
      <c r="E564">
        <v>6.7099999999999998E-3</v>
      </c>
      <c r="F564">
        <v>21616038.300000001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0.49999999999999867</v>
      </c>
      <c r="Q564">
        <f t="shared" si="985"/>
        <v>10808019.149999972</v>
      </c>
      <c r="R564">
        <f t="shared" si="986"/>
        <v>-921875831.69297421</v>
      </c>
      <c r="S564">
        <f t="shared" si="987"/>
        <v>-9218.7583169297413</v>
      </c>
      <c r="T564">
        <f t="shared" si="988"/>
        <v>-9.2187583169297405</v>
      </c>
    </row>
    <row r="565" spans="1:104" x14ac:dyDescent="0.25">
      <c r="A565" s="5">
        <v>44028</v>
      </c>
      <c r="B565">
        <v>6.6899999999999998E-3</v>
      </c>
      <c r="C565">
        <v>6.8999999999999999E-3</v>
      </c>
      <c r="D565">
        <v>6.1500000000000001E-3</v>
      </c>
      <c r="E565">
        <v>6.5799999999999999E-3</v>
      </c>
      <c r="F565">
        <v>57403924.700000003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0.1466666666666665</v>
      </c>
      <c r="Q565">
        <f t="shared" si="985"/>
        <v>8419242.2893333249</v>
      </c>
      <c r="R565">
        <f t="shared" si="986"/>
        <v>-932683850.84297419</v>
      </c>
      <c r="S565">
        <f t="shared" si="987"/>
        <v>-9326.8385084297424</v>
      </c>
      <c r="T565">
        <f t="shared" si="988"/>
        <v>-9.3268385084297432</v>
      </c>
    </row>
    <row r="566" spans="1:104" x14ac:dyDescent="0.25">
      <c r="A566" s="5">
        <v>44027</v>
      </c>
      <c r="B566">
        <v>6.8500000000000002E-3</v>
      </c>
      <c r="C566">
        <v>7.0400000000000003E-3</v>
      </c>
      <c r="D566">
        <v>6.6100000000000004E-3</v>
      </c>
      <c r="E566">
        <v>6.7000000000000002E-3</v>
      </c>
      <c r="F566">
        <v>42728385.600000001</v>
      </c>
      <c r="G566">
        <v>0</v>
      </c>
      <c r="L566" t="s">
        <v>7</v>
      </c>
      <c r="M566" t="s">
        <v>7</v>
      </c>
      <c r="N566" t="s">
        <v>8</v>
      </c>
      <c r="P566">
        <f t="shared" si="984"/>
        <v>-0.58139534883721</v>
      </c>
      <c r="Q566">
        <f t="shared" si="985"/>
        <v>-24842084.651162822</v>
      </c>
      <c r="R566">
        <f t="shared" si="986"/>
        <v>-941103093.13230753</v>
      </c>
      <c r="S566">
        <f t="shared" si="987"/>
        <v>-9411.0309313230755</v>
      </c>
      <c r="T566">
        <f t="shared" si="988"/>
        <v>-9.4110309313230758</v>
      </c>
    </row>
    <row r="567" spans="1:104" x14ac:dyDescent="0.25">
      <c r="A567" s="5">
        <v>44026</v>
      </c>
      <c r="B567">
        <v>6.7099999999999998E-3</v>
      </c>
      <c r="C567">
        <v>7.0699999999999999E-3</v>
      </c>
      <c r="D567">
        <v>6.6299999999999996E-3</v>
      </c>
      <c r="E567">
        <v>6.8500000000000002E-3</v>
      </c>
      <c r="F567">
        <v>53093091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1.9712766772463703E-15</v>
      </c>
      <c r="Q567">
        <f t="shared" si="985"/>
        <v>1.0466117201121916E-7</v>
      </c>
      <c r="R567">
        <f t="shared" si="986"/>
        <v>-916261008.48114467</v>
      </c>
      <c r="S567">
        <f t="shared" si="987"/>
        <v>-9162.6100848114475</v>
      </c>
      <c r="T567">
        <f t="shared" si="988"/>
        <v>-9.1626100848114476</v>
      </c>
    </row>
    <row r="568" spans="1:104" x14ac:dyDescent="0.25">
      <c r="A568" s="5">
        <v>44025</v>
      </c>
      <c r="B568">
        <v>6.5300000000000002E-3</v>
      </c>
      <c r="C568">
        <v>7.2899999999999996E-3</v>
      </c>
      <c r="D568">
        <v>6.5199999999999998E-3</v>
      </c>
      <c r="E568">
        <v>6.6600000000000001E-3</v>
      </c>
      <c r="F568">
        <v>93248542.599999994</v>
      </c>
      <c r="G568">
        <v>0</v>
      </c>
      <c r="L568" t="s">
        <v>8</v>
      </c>
      <c r="M568" t="s">
        <v>7</v>
      </c>
      <c r="N568" t="s">
        <v>8</v>
      </c>
      <c r="P568">
        <f t="shared" si="984"/>
        <v>-0.63636363636363535</v>
      </c>
      <c r="Q568">
        <f t="shared" si="985"/>
        <v>-59339981.654545359</v>
      </c>
      <c r="R568">
        <f t="shared" si="986"/>
        <v>-916261008.48114479</v>
      </c>
      <c r="S568">
        <f t="shared" si="987"/>
        <v>-9162.6100848114475</v>
      </c>
      <c r="T568">
        <f t="shared" si="988"/>
        <v>-9.1626100848114476</v>
      </c>
    </row>
    <row r="569" spans="1:104" x14ac:dyDescent="0.25">
      <c r="A569" s="5">
        <v>44024</v>
      </c>
      <c r="B569">
        <v>6.94E-3</v>
      </c>
      <c r="C569">
        <v>7.3000000000000001E-3</v>
      </c>
      <c r="D569">
        <v>6.4900000000000001E-3</v>
      </c>
      <c r="E569">
        <v>6.5199999999999998E-3</v>
      </c>
      <c r="F569">
        <v>64894489.299999997</v>
      </c>
      <c r="G569">
        <v>0</v>
      </c>
      <c r="L569" t="s">
        <v>7</v>
      </c>
      <c r="M569" t="s">
        <v>7</v>
      </c>
      <c r="N569" t="s">
        <v>8</v>
      </c>
      <c r="P569">
        <f t="shared" si="984"/>
        <v>-0.92592592592592682</v>
      </c>
      <c r="Q569">
        <f t="shared" si="985"/>
        <v>-60087490.092592649</v>
      </c>
      <c r="R569">
        <f t="shared" si="986"/>
        <v>-856921026.82659948</v>
      </c>
      <c r="S569">
        <f t="shared" si="987"/>
        <v>-8569.2102682659952</v>
      </c>
      <c r="T569">
        <f t="shared" si="988"/>
        <v>-8.5692102682659943</v>
      </c>
    </row>
    <row r="570" spans="1:104" x14ac:dyDescent="0.25">
      <c r="A570" s="5">
        <v>44023</v>
      </c>
      <c r="B570">
        <v>7.1900000000000002E-3</v>
      </c>
      <c r="C570">
        <v>7.7499999999999999E-3</v>
      </c>
      <c r="D570">
        <v>6.7799999999999996E-3</v>
      </c>
      <c r="E570">
        <v>6.94E-3</v>
      </c>
      <c r="F570">
        <v>82114092</v>
      </c>
      <c r="G570">
        <v>0</v>
      </c>
      <c r="L570" t="s">
        <v>7</v>
      </c>
      <c r="M570" t="s">
        <v>7</v>
      </c>
      <c r="N570" t="s">
        <v>8</v>
      </c>
      <c r="P570">
        <f t="shared" si="984"/>
        <v>-0.67010309278350444</v>
      </c>
      <c r="Q570">
        <f t="shared" si="985"/>
        <v>-55024907.010309219</v>
      </c>
      <c r="R570">
        <f t="shared" si="986"/>
        <v>-796833536.73400688</v>
      </c>
      <c r="S570">
        <f t="shared" si="987"/>
        <v>-7968.3353673400688</v>
      </c>
      <c r="T570">
        <f t="shared" si="988"/>
        <v>-7.9683353673400692</v>
      </c>
    </row>
    <row r="571" spans="1:104" x14ac:dyDescent="0.25">
      <c r="A571" s="5">
        <v>44022</v>
      </c>
      <c r="B571">
        <v>6.3499999999999997E-3</v>
      </c>
      <c r="C571">
        <v>8.0099999999999998E-3</v>
      </c>
      <c r="D571">
        <v>6.3099999999999996E-3</v>
      </c>
      <c r="E571">
        <v>7.1900000000000002E-3</v>
      </c>
      <c r="F571">
        <v>278775928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3.5294117647059427E-2</v>
      </c>
      <c r="Q571">
        <f t="shared" si="985"/>
        <v>9839150.400000168</v>
      </c>
      <c r="R571">
        <f t="shared" si="986"/>
        <v>-741808629.72369766</v>
      </c>
      <c r="S571">
        <f t="shared" si="987"/>
        <v>-7418.0862972369769</v>
      </c>
      <c r="T571">
        <f t="shared" si="988"/>
        <v>-7.418086297236977</v>
      </c>
    </row>
    <row r="572" spans="1:104" x14ac:dyDescent="0.25">
      <c r="A572" s="5">
        <v>44021</v>
      </c>
      <c r="B572">
        <v>6.13E-3</v>
      </c>
      <c r="C572">
        <v>6.8900000000000003E-3</v>
      </c>
      <c r="D572">
        <v>5.9800000000000001E-3</v>
      </c>
      <c r="E572">
        <v>6.3699999999999998E-3</v>
      </c>
      <c r="F572">
        <v>93020032.599999994</v>
      </c>
      <c r="G572">
        <v>0</v>
      </c>
      <c r="L572" t="s">
        <v>8</v>
      </c>
      <c r="M572" t="s">
        <v>8</v>
      </c>
      <c r="N572" t="s">
        <v>7</v>
      </c>
      <c r="P572">
        <f t="shared" si="984"/>
        <v>-0.14285714285714368</v>
      </c>
      <c r="Q572">
        <f t="shared" si="985"/>
        <v>-13288576.085714361</v>
      </c>
      <c r="R572">
        <f t="shared" si="986"/>
        <v>-751647780.12369788</v>
      </c>
      <c r="S572">
        <f t="shared" si="987"/>
        <v>-7516.4778012369788</v>
      </c>
      <c r="T572">
        <f t="shared" si="988"/>
        <v>-7.5164778012369791</v>
      </c>
    </row>
    <row r="573" spans="1:104" x14ac:dyDescent="0.25">
      <c r="A573" s="5">
        <v>44020</v>
      </c>
      <c r="B573">
        <v>5.8799999999999998E-3</v>
      </c>
      <c r="C573">
        <v>6.1900000000000002E-3</v>
      </c>
      <c r="D573">
        <v>5.8500000000000002E-3</v>
      </c>
      <c r="E573">
        <v>6.13E-3</v>
      </c>
      <c r="F573">
        <v>32435116.5</v>
      </c>
      <c r="G573">
        <v>0</v>
      </c>
      <c r="L573" t="s">
        <v>8</v>
      </c>
      <c r="M573" t="s">
        <v>8</v>
      </c>
      <c r="N573" t="s">
        <v>7</v>
      </c>
      <c r="P573">
        <f t="shared" si="984"/>
        <v>0.64705882352941091</v>
      </c>
      <c r="Q573">
        <f t="shared" si="985"/>
        <v>20987428.323529385</v>
      </c>
      <c r="R573">
        <f t="shared" si="986"/>
        <v>-738359204.03798354</v>
      </c>
      <c r="S573">
        <f t="shared" si="987"/>
        <v>-7383.5920403798355</v>
      </c>
      <c r="T573">
        <f t="shared" si="988"/>
        <v>-7.3835920403798356</v>
      </c>
    </row>
    <row r="574" spans="1:104" x14ac:dyDescent="0.25">
      <c r="A574" s="5">
        <v>44019</v>
      </c>
      <c r="B574">
        <v>6.0000000000000001E-3</v>
      </c>
      <c r="C574">
        <v>6.0499999999999998E-3</v>
      </c>
      <c r="D574">
        <v>5.8300000000000001E-3</v>
      </c>
      <c r="E574">
        <v>5.8900000000000003E-3</v>
      </c>
      <c r="F574">
        <v>20878954.699999999</v>
      </c>
      <c r="G574">
        <v>0</v>
      </c>
      <c r="L574" t="s">
        <v>8</v>
      </c>
      <c r="M574" t="s">
        <v>8</v>
      </c>
      <c r="N574" t="s">
        <v>7</v>
      </c>
      <c r="P574">
        <f t="shared" si="984"/>
        <v>-0.45454545454545242</v>
      </c>
      <c r="Q574">
        <f t="shared" si="985"/>
        <v>-9490433.9545454103</v>
      </c>
      <c r="R574">
        <f t="shared" si="986"/>
        <v>-759346632.3615129</v>
      </c>
      <c r="S574">
        <f t="shared" si="987"/>
        <v>-7593.4663236151291</v>
      </c>
      <c r="T574">
        <f t="shared" si="988"/>
        <v>-7.5934663236151287</v>
      </c>
    </row>
    <row r="575" spans="1:104" x14ac:dyDescent="0.25">
      <c r="A575" s="5">
        <v>44018</v>
      </c>
      <c r="B575">
        <v>5.7800000000000004E-3</v>
      </c>
      <c r="C575">
        <v>6.1500000000000001E-3</v>
      </c>
      <c r="D575">
        <v>5.7600000000000004E-3</v>
      </c>
      <c r="E575">
        <v>6.0000000000000001E-3</v>
      </c>
      <c r="F575">
        <v>23775725.199999999</v>
      </c>
      <c r="G575">
        <v>0</v>
      </c>
      <c r="L575" t="s">
        <v>8</v>
      </c>
      <c r="M575" t="s">
        <v>8</v>
      </c>
      <c r="N575" t="s">
        <v>7</v>
      </c>
      <c r="P575">
        <f t="shared" si="984"/>
        <v>0.23076923076923042</v>
      </c>
      <c r="Q575">
        <f t="shared" si="985"/>
        <v>5486705.8153846068</v>
      </c>
      <c r="R575">
        <f t="shared" si="986"/>
        <v>-749856198.40696752</v>
      </c>
      <c r="S575">
        <f t="shared" si="987"/>
        <v>-7498.5619840696754</v>
      </c>
      <c r="T575">
        <f t="shared" si="988"/>
        <v>-7.4985619840696751</v>
      </c>
    </row>
    <row r="576" spans="1:104" x14ac:dyDescent="0.25">
      <c r="A576" s="5">
        <v>44017</v>
      </c>
      <c r="B576">
        <v>6.0899999999999999E-3</v>
      </c>
      <c r="C576">
        <v>6.1999999999999998E-3</v>
      </c>
      <c r="D576">
        <v>5.62E-3</v>
      </c>
      <c r="E576">
        <v>5.77E-3</v>
      </c>
      <c r="F576">
        <v>24249840</v>
      </c>
      <c r="G576">
        <v>0</v>
      </c>
      <c r="L576" t="s">
        <v>7</v>
      </c>
      <c r="M576" t="s">
        <v>8</v>
      </c>
      <c r="N576" t="s">
        <v>7</v>
      </c>
      <c r="P576">
        <f t="shared" si="984"/>
        <v>-0.48275862068965514</v>
      </c>
      <c r="Q576">
        <f t="shared" si="985"/>
        <v>-11706819.310344826</v>
      </c>
      <c r="R576">
        <f t="shared" si="986"/>
        <v>-755342904.22235215</v>
      </c>
      <c r="S576">
        <f t="shared" si="987"/>
        <v>-7553.4290422235217</v>
      </c>
      <c r="T576">
        <f t="shared" si="988"/>
        <v>-7.553429042223522</v>
      </c>
    </row>
    <row r="577" spans="1:20" x14ac:dyDescent="0.25">
      <c r="A577" s="5">
        <v>44016</v>
      </c>
      <c r="B577">
        <v>5.8300000000000001E-3</v>
      </c>
      <c r="C577">
        <v>6.2199999999999998E-3</v>
      </c>
      <c r="D577">
        <v>5.7999999999999996E-3</v>
      </c>
      <c r="E577">
        <v>6.0899999999999999E-3</v>
      </c>
      <c r="F577">
        <v>28908878.300000001</v>
      </c>
      <c r="G577">
        <v>0</v>
      </c>
      <c r="L577" t="s">
        <v>8</v>
      </c>
      <c r="M577" t="s">
        <v>8</v>
      </c>
      <c r="N577" t="s">
        <v>7</v>
      </c>
      <c r="P577">
        <f t="shared" si="984"/>
        <v>0.38095238095238176</v>
      </c>
      <c r="Q577">
        <f t="shared" si="985"/>
        <v>11012906.019047642</v>
      </c>
      <c r="R577">
        <f t="shared" si="986"/>
        <v>-743636084.91200733</v>
      </c>
      <c r="S577">
        <f t="shared" si="987"/>
        <v>-7436.360849120073</v>
      </c>
      <c r="T577">
        <f t="shared" si="988"/>
        <v>-7.4363608491200726</v>
      </c>
    </row>
    <row r="578" spans="1:20" x14ac:dyDescent="0.25">
      <c r="A578" s="5">
        <v>44015</v>
      </c>
      <c r="B578">
        <v>5.6100000000000004E-3</v>
      </c>
      <c r="C578">
        <v>5.9899999999999997E-3</v>
      </c>
      <c r="D578">
        <v>5.5199999999999997E-3</v>
      </c>
      <c r="E578">
        <v>5.8300000000000001E-3</v>
      </c>
      <c r="F578">
        <v>21030583.399999999</v>
      </c>
      <c r="G578">
        <v>0</v>
      </c>
      <c r="L578" t="s">
        <v>8</v>
      </c>
      <c r="M578" t="s">
        <v>8</v>
      </c>
      <c r="N578" t="s">
        <v>7</v>
      </c>
      <c r="P578">
        <f t="shared" si="984"/>
        <v>0.31914893617021456</v>
      </c>
      <c r="Q578">
        <f t="shared" si="985"/>
        <v>6711888.3191489736</v>
      </c>
      <c r="R578">
        <f t="shared" si="986"/>
        <v>-754648990.93105495</v>
      </c>
      <c r="S578">
        <f t="shared" si="987"/>
        <v>-7546.4899093105496</v>
      </c>
      <c r="T578">
        <f t="shared" si="988"/>
        <v>-7.5464899093105497</v>
      </c>
    </row>
    <row r="579" spans="1:20" x14ac:dyDescent="0.25">
      <c r="A579" s="5">
        <v>44014</v>
      </c>
      <c r="B579">
        <v>5.79E-3</v>
      </c>
      <c r="C579">
        <v>5.9100000000000003E-3</v>
      </c>
      <c r="D579">
        <v>5.45E-3</v>
      </c>
      <c r="E579">
        <v>5.62E-3</v>
      </c>
      <c r="F579">
        <v>18072807.100000001</v>
      </c>
      <c r="G579">
        <v>0</v>
      </c>
      <c r="L579" t="s">
        <v>7</v>
      </c>
      <c r="M579" t="s">
        <v>7</v>
      </c>
      <c r="N579" t="s">
        <v>7</v>
      </c>
      <c r="P579">
        <f t="shared" si="984"/>
        <v>-0.2608695652173918</v>
      </c>
      <c r="Q579">
        <f t="shared" si="985"/>
        <v>-4714645.3304347917</v>
      </c>
      <c r="R579">
        <f t="shared" si="986"/>
        <v>-761360879.25020397</v>
      </c>
      <c r="S579">
        <f t="shared" si="987"/>
        <v>-7613.6087925020393</v>
      </c>
      <c r="T579">
        <f t="shared" si="988"/>
        <v>-7.6136087925020393</v>
      </c>
    </row>
    <row r="580" spans="1:20" x14ac:dyDescent="0.25">
      <c r="A580" s="5">
        <v>44013</v>
      </c>
      <c r="B580">
        <v>5.6699999999999997E-3</v>
      </c>
      <c r="C580">
        <v>5.8399999999999997E-3</v>
      </c>
      <c r="D580">
        <v>5.5700000000000003E-3</v>
      </c>
      <c r="E580">
        <v>5.7800000000000004E-3</v>
      </c>
      <c r="F580">
        <v>9817059.8000000007</v>
      </c>
      <c r="G580">
        <v>0</v>
      </c>
      <c r="L580" t="s">
        <v>7</v>
      </c>
      <c r="M580" t="s">
        <v>7</v>
      </c>
      <c r="N580" t="s">
        <v>7</v>
      </c>
      <c r="P580">
        <f t="shared" si="984"/>
        <v>0.5555555555555598</v>
      </c>
      <c r="Q580">
        <f t="shared" si="985"/>
        <v>5453922.1111111529</v>
      </c>
      <c r="R580">
        <f t="shared" si="986"/>
        <v>-756646233.91976917</v>
      </c>
      <c r="S580">
        <f t="shared" si="987"/>
        <v>-7566.462339197692</v>
      </c>
      <c r="T580">
        <f t="shared" si="988"/>
        <v>-7.5664623391976917</v>
      </c>
    </row>
    <row r="581" spans="1:20" x14ac:dyDescent="0.25">
      <c r="A581" s="5">
        <v>44012</v>
      </c>
      <c r="B581">
        <v>5.7800000000000004E-3</v>
      </c>
      <c r="C581">
        <v>5.9500000000000004E-3</v>
      </c>
      <c r="D581">
        <v>5.6299999999999996E-3</v>
      </c>
      <c r="E581">
        <v>5.6699999999999997E-3</v>
      </c>
      <c r="F581">
        <v>20177445.100000001</v>
      </c>
      <c r="G581">
        <v>0</v>
      </c>
      <c r="L581" t="s">
        <v>8</v>
      </c>
      <c r="M581" t="s">
        <v>7</v>
      </c>
      <c r="N581" t="s">
        <v>7</v>
      </c>
      <c r="P581">
        <f t="shared" si="984"/>
        <v>-0.75</v>
      </c>
      <c r="Q581">
        <f t="shared" si="985"/>
        <v>-15133083.825000001</v>
      </c>
      <c r="R581">
        <f t="shared" si="986"/>
        <v>-762100156.03088033</v>
      </c>
      <c r="S581">
        <f t="shared" si="987"/>
        <v>-7621.0015603088032</v>
      </c>
      <c r="T581">
        <f t="shared" si="988"/>
        <v>-7.6210015603088035</v>
      </c>
    </row>
    <row r="582" spans="1:20" x14ac:dyDescent="0.25">
      <c r="A582" s="5">
        <v>44011</v>
      </c>
      <c r="B582">
        <v>5.5199999999999997E-3</v>
      </c>
      <c r="C582">
        <v>5.8100000000000001E-3</v>
      </c>
      <c r="D582">
        <v>5.4200000000000003E-3</v>
      </c>
      <c r="E582">
        <v>5.77E-3</v>
      </c>
      <c r="F582">
        <v>15648162.300000001</v>
      </c>
      <c r="G582">
        <v>0</v>
      </c>
      <c r="L582" t="s">
        <v>8</v>
      </c>
      <c r="M582" t="s">
        <v>7</v>
      </c>
      <c r="N582" t="s">
        <v>7</v>
      </c>
      <c r="P582">
        <f t="shared" ref="P582:P645" si="989">IF(C582=D582,0,((E582-D582)-(C582-E582))/(C582-D582))</f>
        <v>0.79487179487179416</v>
      </c>
      <c r="Q582">
        <f t="shared" ref="Q582:Q645" si="990">F582*P582</f>
        <v>12438282.853846144</v>
      </c>
      <c r="R582">
        <f t="shared" ref="R582:R645" si="991">R583+Q582</f>
        <v>-746967072.20588028</v>
      </c>
      <c r="S582">
        <f t="shared" ref="S582:S645" si="992">R582/100000</f>
        <v>-7469.6707220588032</v>
      </c>
      <c r="T582">
        <f t="shared" ref="T582:T645" si="993">S582/1000</f>
        <v>-7.4696707220588028</v>
      </c>
    </row>
    <row r="583" spans="1:20" x14ac:dyDescent="0.25">
      <c r="A583" s="5">
        <v>44010</v>
      </c>
      <c r="B583">
        <v>5.3299999999999997E-3</v>
      </c>
      <c r="C583">
        <v>5.6600000000000001E-3</v>
      </c>
      <c r="D583">
        <v>5.0699999999999999E-3</v>
      </c>
      <c r="E583">
        <v>5.5199999999999997E-3</v>
      </c>
      <c r="F583">
        <v>15731356.800000001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0.52542372881355826</v>
      </c>
      <c r="Q583">
        <f t="shared" si="990"/>
        <v>8265628.1491525257</v>
      </c>
      <c r="R583">
        <f t="shared" si="991"/>
        <v>-759405355.05972648</v>
      </c>
      <c r="S583">
        <f t="shared" si="992"/>
        <v>-7594.0535505972648</v>
      </c>
      <c r="T583">
        <f t="shared" si="993"/>
        <v>-7.5940535505972644</v>
      </c>
    </row>
    <row r="584" spans="1:20" x14ac:dyDescent="0.25">
      <c r="A584" s="5">
        <v>44009</v>
      </c>
      <c r="B584">
        <v>5.8300000000000001E-3</v>
      </c>
      <c r="C584">
        <v>5.8300000000000001E-3</v>
      </c>
      <c r="D584">
        <v>5.1999999999999998E-3</v>
      </c>
      <c r="E584">
        <v>5.3099999999999996E-3</v>
      </c>
      <c r="F584">
        <v>25822447.899999999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-0.65079365079365148</v>
      </c>
      <c r="Q584">
        <f t="shared" si="990"/>
        <v>-16805085.141269859</v>
      </c>
      <c r="R584">
        <f t="shared" si="991"/>
        <v>-767670983.20887899</v>
      </c>
      <c r="S584">
        <f t="shared" si="992"/>
        <v>-7676.7098320887899</v>
      </c>
      <c r="T584">
        <f t="shared" si="993"/>
        <v>-7.6767098320887897</v>
      </c>
    </row>
    <row r="585" spans="1:20" x14ac:dyDescent="0.25">
      <c r="A585" s="5">
        <v>44008</v>
      </c>
      <c r="B585">
        <v>5.9199999999999999E-3</v>
      </c>
      <c r="C585">
        <v>6.1900000000000002E-3</v>
      </c>
      <c r="D585">
        <v>5.64E-3</v>
      </c>
      <c r="E585">
        <v>5.8399999999999997E-3</v>
      </c>
      <c r="F585">
        <v>25993774.699999999</v>
      </c>
      <c r="G585">
        <v>0</v>
      </c>
      <c r="L585" t="s">
        <v>8</v>
      </c>
      <c r="M585" t="s">
        <v>7</v>
      </c>
      <c r="N585" t="s">
        <v>8</v>
      </c>
      <c r="P585">
        <f t="shared" si="989"/>
        <v>-0.27272727272727415</v>
      </c>
      <c r="Q585">
        <f t="shared" si="990"/>
        <v>-7089211.2818182185</v>
      </c>
      <c r="R585">
        <f t="shared" si="991"/>
        <v>-750865898.06760919</v>
      </c>
      <c r="S585">
        <f t="shared" si="992"/>
        <v>-7508.6589806760921</v>
      </c>
      <c r="T585">
        <f t="shared" si="993"/>
        <v>-7.5086589806760919</v>
      </c>
    </row>
    <row r="586" spans="1:20" x14ac:dyDescent="0.25">
      <c r="A586" s="5">
        <v>44007</v>
      </c>
      <c r="B586">
        <v>5.96E-3</v>
      </c>
      <c r="C586">
        <v>6.2700000000000004E-3</v>
      </c>
      <c r="D586">
        <v>5.47E-3</v>
      </c>
      <c r="E586">
        <v>5.9500000000000004E-3</v>
      </c>
      <c r="F586">
        <v>60300403</v>
      </c>
      <c r="G586">
        <v>0</v>
      </c>
      <c r="L586" t="s">
        <v>7</v>
      </c>
      <c r="M586" t="s">
        <v>7</v>
      </c>
      <c r="N586" t="s">
        <v>8</v>
      </c>
      <c r="P586">
        <f t="shared" si="989"/>
        <v>0.20000000000000043</v>
      </c>
      <c r="Q586">
        <f t="shared" si="990"/>
        <v>12060080.600000026</v>
      </c>
      <c r="R586">
        <f t="shared" si="991"/>
        <v>-743776686.78579092</v>
      </c>
      <c r="S586">
        <f t="shared" si="992"/>
        <v>-7437.7668678579093</v>
      </c>
      <c r="T586">
        <f t="shared" si="993"/>
        <v>-7.437766867857909</v>
      </c>
    </row>
    <row r="587" spans="1:20" x14ac:dyDescent="0.25">
      <c r="A587" s="5">
        <v>44006</v>
      </c>
      <c r="B587">
        <v>6.1500000000000001E-3</v>
      </c>
      <c r="C587">
        <v>6.4400000000000004E-3</v>
      </c>
      <c r="D587">
        <v>5.8100000000000001E-3</v>
      </c>
      <c r="E587">
        <v>5.9500000000000004E-3</v>
      </c>
      <c r="F587">
        <v>44291070.700000003</v>
      </c>
      <c r="G587">
        <v>0</v>
      </c>
      <c r="L587" t="s">
        <v>7</v>
      </c>
      <c r="M587" t="s">
        <v>7</v>
      </c>
      <c r="N587" t="s">
        <v>8</v>
      </c>
      <c r="P587">
        <f t="shared" si="989"/>
        <v>-0.55555555555555469</v>
      </c>
      <c r="Q587">
        <f t="shared" si="990"/>
        <v>-24606150.388888851</v>
      </c>
      <c r="R587">
        <f t="shared" si="991"/>
        <v>-755836767.38579094</v>
      </c>
      <c r="S587">
        <f t="shared" si="992"/>
        <v>-7558.3676738579097</v>
      </c>
      <c r="T587">
        <f t="shared" si="993"/>
        <v>-7.5583676738579095</v>
      </c>
    </row>
    <row r="588" spans="1:20" x14ac:dyDescent="0.25">
      <c r="A588" s="5">
        <v>44005</v>
      </c>
      <c r="B588">
        <v>6.2899999999999996E-3</v>
      </c>
      <c r="C588">
        <v>6.3099999999999996E-3</v>
      </c>
      <c r="D588">
        <v>6.0200000000000002E-3</v>
      </c>
      <c r="E588">
        <v>6.1900000000000002E-3</v>
      </c>
      <c r="F588">
        <v>28759733.300000001</v>
      </c>
      <c r="G588">
        <v>0</v>
      </c>
      <c r="L588" t="s">
        <v>7</v>
      </c>
      <c r="M588" t="s">
        <v>7</v>
      </c>
      <c r="N588" t="s">
        <v>8</v>
      </c>
      <c r="P588">
        <f t="shared" si="989"/>
        <v>0.17241379310345054</v>
      </c>
      <c r="Q588">
        <f t="shared" si="990"/>
        <v>4958574.7068966171</v>
      </c>
      <c r="R588">
        <f t="shared" si="991"/>
        <v>-731230616.99690211</v>
      </c>
      <c r="S588">
        <f t="shared" si="992"/>
        <v>-7312.3061699690206</v>
      </c>
      <c r="T588">
        <f t="shared" si="993"/>
        <v>-7.3123061699690206</v>
      </c>
    </row>
    <row r="589" spans="1:20" x14ac:dyDescent="0.25">
      <c r="A589" s="5">
        <v>44004</v>
      </c>
      <c r="B589">
        <v>6.2500000000000003E-3</v>
      </c>
      <c r="C589">
        <v>6.7299999999999999E-3</v>
      </c>
      <c r="D589">
        <v>6.2300000000000003E-3</v>
      </c>
      <c r="E589">
        <v>6.3E-3</v>
      </c>
      <c r="F589">
        <v>50297725.5</v>
      </c>
      <c r="G589">
        <v>0</v>
      </c>
      <c r="L589" t="s">
        <v>8</v>
      </c>
      <c r="M589" t="s">
        <v>7</v>
      </c>
      <c r="N589" t="s">
        <v>8</v>
      </c>
      <c r="P589">
        <f t="shared" si="989"/>
        <v>-0.72000000000000075</v>
      </c>
      <c r="Q589">
        <f t="shared" si="990"/>
        <v>-36214362.360000037</v>
      </c>
      <c r="R589">
        <f t="shared" si="991"/>
        <v>-736189191.70379877</v>
      </c>
      <c r="S589">
        <f t="shared" si="992"/>
        <v>-7361.8919170379877</v>
      </c>
      <c r="T589">
        <f t="shared" si="993"/>
        <v>-7.3618919170379877</v>
      </c>
    </row>
    <row r="590" spans="1:20" x14ac:dyDescent="0.25">
      <c r="A590" s="5">
        <v>44003</v>
      </c>
      <c r="B590">
        <v>6.2599999999999999E-3</v>
      </c>
      <c r="C590">
        <v>6.4200000000000004E-3</v>
      </c>
      <c r="D590">
        <v>6.11E-3</v>
      </c>
      <c r="E590">
        <v>6.2500000000000003E-3</v>
      </c>
      <c r="F590">
        <v>26802940.5</v>
      </c>
      <c r="G590">
        <v>0</v>
      </c>
      <c r="L590" t="s">
        <v>8</v>
      </c>
      <c r="M590" t="s">
        <v>7</v>
      </c>
      <c r="N590" t="s">
        <v>8</v>
      </c>
      <c r="P590">
        <f t="shared" si="989"/>
        <v>-9.6774193548385831E-2</v>
      </c>
      <c r="Q590">
        <f t="shared" si="990"/>
        <v>-2593832.9516128693</v>
      </c>
      <c r="R590">
        <f t="shared" si="991"/>
        <v>-699974829.34379876</v>
      </c>
      <c r="S590">
        <f t="shared" si="992"/>
        <v>-6999.7482934379877</v>
      </c>
      <c r="T590">
        <f t="shared" si="993"/>
        <v>-6.999748293437988</v>
      </c>
    </row>
    <row r="591" spans="1:20" x14ac:dyDescent="0.25">
      <c r="A591" s="5">
        <v>44002</v>
      </c>
      <c r="B591">
        <v>6.1999999999999998E-3</v>
      </c>
      <c r="C591">
        <v>6.4099999999999999E-3</v>
      </c>
      <c r="D591">
        <v>6.0299999999999998E-3</v>
      </c>
      <c r="E591">
        <v>6.2599999999999999E-3</v>
      </c>
      <c r="F591">
        <v>38174416.700000003</v>
      </c>
      <c r="G591">
        <v>0</v>
      </c>
      <c r="L591" t="s">
        <v>8</v>
      </c>
      <c r="M591" t="s">
        <v>7</v>
      </c>
      <c r="N591" t="s">
        <v>8</v>
      </c>
      <c r="P591">
        <f t="shared" si="989"/>
        <v>0.21052631578947417</v>
      </c>
      <c r="Q591">
        <f t="shared" si="990"/>
        <v>8036719.3052631775</v>
      </c>
      <c r="R591">
        <f t="shared" si="991"/>
        <v>-697380996.39218593</v>
      </c>
      <c r="S591">
        <f t="shared" si="992"/>
        <v>-6973.809963921859</v>
      </c>
      <c r="T591">
        <f t="shared" si="993"/>
        <v>-6.9738099639218589</v>
      </c>
    </row>
    <row r="592" spans="1:20" x14ac:dyDescent="0.25">
      <c r="A592" s="5">
        <v>44001</v>
      </c>
      <c r="B592">
        <v>6.2300000000000003E-3</v>
      </c>
      <c r="C592">
        <v>6.6E-3</v>
      </c>
      <c r="D592">
        <v>5.8999999999999999E-3</v>
      </c>
      <c r="E592">
        <v>6.1900000000000002E-3</v>
      </c>
      <c r="F592">
        <v>47488317.899999999</v>
      </c>
      <c r="G592">
        <v>0</v>
      </c>
      <c r="L592" t="s">
        <v>7</v>
      </c>
      <c r="M592" t="s">
        <v>7</v>
      </c>
      <c r="N592" t="s">
        <v>8</v>
      </c>
      <c r="P592">
        <f t="shared" si="989"/>
        <v>-0.17142857142857063</v>
      </c>
      <c r="Q592">
        <f t="shared" si="990"/>
        <v>-8140854.4971428188</v>
      </c>
      <c r="R592">
        <f t="shared" si="991"/>
        <v>-705417715.69744909</v>
      </c>
      <c r="S592">
        <f t="shared" si="992"/>
        <v>-7054.1771569744906</v>
      </c>
      <c r="T592">
        <f t="shared" si="993"/>
        <v>-7.0541771569744904</v>
      </c>
    </row>
    <row r="593" spans="1:20" x14ac:dyDescent="0.25">
      <c r="A593" s="5">
        <v>44000</v>
      </c>
      <c r="B593">
        <v>6.6299999999999996E-3</v>
      </c>
      <c r="C593">
        <v>6.6400000000000001E-3</v>
      </c>
      <c r="D593">
        <v>6.11E-3</v>
      </c>
      <c r="E593">
        <v>6.2300000000000003E-3</v>
      </c>
      <c r="F593">
        <v>54772240.700000003</v>
      </c>
      <c r="G593">
        <v>0</v>
      </c>
      <c r="L593" t="s">
        <v>7</v>
      </c>
      <c r="M593" t="s">
        <v>7</v>
      </c>
      <c r="N593" t="s">
        <v>8</v>
      </c>
      <c r="P593">
        <f t="shared" si="989"/>
        <v>-0.5471698113207536</v>
      </c>
      <c r="Q593">
        <f t="shared" si="990"/>
        <v>-29969716.609433904</v>
      </c>
      <c r="R593">
        <f t="shared" si="991"/>
        <v>-697276861.2003063</v>
      </c>
      <c r="S593">
        <f t="shared" si="992"/>
        <v>-6972.768612003063</v>
      </c>
      <c r="T593">
        <f t="shared" si="993"/>
        <v>-6.9727686120030627</v>
      </c>
    </row>
    <row r="594" spans="1:20" x14ac:dyDescent="0.25">
      <c r="A594" s="5">
        <v>43999</v>
      </c>
      <c r="B594">
        <v>6.6E-3</v>
      </c>
      <c r="C594">
        <v>7.2500000000000004E-3</v>
      </c>
      <c r="D594">
        <v>6.1900000000000002E-3</v>
      </c>
      <c r="E594">
        <v>6.5900000000000004E-3</v>
      </c>
      <c r="F594">
        <v>118368171.90000001</v>
      </c>
      <c r="G594">
        <v>0</v>
      </c>
      <c r="L594" t="s">
        <v>8</v>
      </c>
      <c r="M594" t="s">
        <v>8</v>
      </c>
      <c r="N594" t="s">
        <v>8</v>
      </c>
      <c r="P594">
        <f t="shared" si="989"/>
        <v>-0.24528301886792431</v>
      </c>
      <c r="Q594">
        <f t="shared" si="990"/>
        <v>-29033702.541509409</v>
      </c>
      <c r="R594">
        <f t="shared" si="991"/>
        <v>-667307144.59087241</v>
      </c>
      <c r="S594">
        <f t="shared" si="992"/>
        <v>-6673.0714459087239</v>
      </c>
      <c r="T594">
        <f t="shared" si="993"/>
        <v>-6.6730714459087244</v>
      </c>
    </row>
    <row r="595" spans="1:20" x14ac:dyDescent="0.25">
      <c r="A595" s="5">
        <v>43998</v>
      </c>
      <c r="B595">
        <v>5.5700000000000003E-3</v>
      </c>
      <c r="C595">
        <v>6.9800000000000001E-3</v>
      </c>
      <c r="D595">
        <v>5.4400000000000004E-3</v>
      </c>
      <c r="E595">
        <v>6.6400000000000001E-3</v>
      </c>
      <c r="F595">
        <v>130570269</v>
      </c>
      <c r="G595">
        <v>0</v>
      </c>
      <c r="L595" t="s">
        <v>8</v>
      </c>
      <c r="M595" t="s">
        <v>8</v>
      </c>
      <c r="N595" t="s">
        <v>8</v>
      </c>
      <c r="P595">
        <f t="shared" si="989"/>
        <v>0.55844155844155829</v>
      </c>
      <c r="Q595">
        <f t="shared" si="990"/>
        <v>72915864.506493494</v>
      </c>
      <c r="R595">
        <f t="shared" si="991"/>
        <v>-638273442.04936302</v>
      </c>
      <c r="S595">
        <f t="shared" si="992"/>
        <v>-6382.7344204936298</v>
      </c>
      <c r="T595">
        <f t="shared" si="993"/>
        <v>-6.3827344204936303</v>
      </c>
    </row>
    <row r="596" spans="1:20" x14ac:dyDescent="0.25">
      <c r="A596" s="5">
        <v>43997</v>
      </c>
      <c r="B596">
        <v>5.8399999999999997E-3</v>
      </c>
      <c r="C596">
        <v>6.0800000000000003E-3</v>
      </c>
      <c r="D596">
        <v>5.0000000000000001E-3</v>
      </c>
      <c r="E596">
        <v>5.62E-3</v>
      </c>
      <c r="F596">
        <v>99754459.700000003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0.1481481481481477</v>
      </c>
      <c r="Q596">
        <f t="shared" si="990"/>
        <v>14778438.47407403</v>
      </c>
      <c r="R596">
        <f t="shared" si="991"/>
        <v>-711189306.55585647</v>
      </c>
      <c r="S596">
        <f t="shared" si="992"/>
        <v>-7111.8930655585646</v>
      </c>
      <c r="T596">
        <f t="shared" si="993"/>
        <v>-7.1118930655585642</v>
      </c>
    </row>
    <row r="597" spans="1:20" x14ac:dyDescent="0.25">
      <c r="A597" s="5">
        <v>43996</v>
      </c>
      <c r="B597">
        <v>5.3699999999999998E-3</v>
      </c>
      <c r="C597">
        <v>6.11E-3</v>
      </c>
      <c r="D597">
        <v>5.2399999999999999E-3</v>
      </c>
      <c r="E597">
        <v>5.8500000000000002E-3</v>
      </c>
      <c r="F597">
        <v>93770549.099999994</v>
      </c>
      <c r="G597">
        <v>0</v>
      </c>
      <c r="L597" t="s">
        <v>8</v>
      </c>
      <c r="M597" t="s">
        <v>8</v>
      </c>
      <c r="N597" t="s">
        <v>8</v>
      </c>
      <c r="P597">
        <f t="shared" si="989"/>
        <v>0.40229885057471315</v>
      </c>
      <c r="Q597">
        <f t="shared" si="990"/>
        <v>37723784.120689698</v>
      </c>
      <c r="R597">
        <f t="shared" si="991"/>
        <v>-725967745.02993047</v>
      </c>
      <c r="S597">
        <f t="shared" si="992"/>
        <v>-7259.6774502993048</v>
      </c>
      <c r="T597">
        <f t="shared" si="993"/>
        <v>-7.2596774502993044</v>
      </c>
    </row>
    <row r="598" spans="1:20" x14ac:dyDescent="0.25">
      <c r="A598" s="5">
        <v>43995</v>
      </c>
      <c r="B598">
        <v>5.0400000000000002E-3</v>
      </c>
      <c r="C598">
        <v>5.45E-3</v>
      </c>
      <c r="D598">
        <v>4.9100000000000003E-3</v>
      </c>
      <c r="E598">
        <v>5.3400000000000001E-3</v>
      </c>
      <c r="F598">
        <v>44916144.5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0.59259259259259289</v>
      </c>
      <c r="Q598">
        <f t="shared" si="990"/>
        <v>26616974.518518534</v>
      </c>
      <c r="R598">
        <f t="shared" si="991"/>
        <v>-763691529.15062022</v>
      </c>
      <c r="S598">
        <f t="shared" si="992"/>
        <v>-7636.9152915062023</v>
      </c>
      <c r="T598">
        <f t="shared" si="993"/>
        <v>-7.6369152915062024</v>
      </c>
    </row>
    <row r="599" spans="1:20" x14ac:dyDescent="0.25">
      <c r="A599" s="5">
        <v>43994</v>
      </c>
      <c r="B599">
        <v>4.7999999999999996E-3</v>
      </c>
      <c r="C599">
        <v>5.0699999999999999E-3</v>
      </c>
      <c r="D599">
        <v>4.7400000000000003E-3</v>
      </c>
      <c r="E599">
        <v>4.9899999999999996E-3</v>
      </c>
      <c r="F599">
        <v>29442953.600000001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0.51515151515151325</v>
      </c>
      <c r="Q599">
        <f t="shared" si="990"/>
        <v>15167582.157575702</v>
      </c>
      <c r="R599">
        <f t="shared" si="991"/>
        <v>-790308503.66913879</v>
      </c>
      <c r="S599">
        <f t="shared" si="992"/>
        <v>-7903.0850366913883</v>
      </c>
      <c r="T599">
        <f t="shared" si="993"/>
        <v>-7.9030850366913885</v>
      </c>
    </row>
    <row r="600" spans="1:20" x14ac:dyDescent="0.25">
      <c r="A600" s="5">
        <v>43993</v>
      </c>
      <c r="B600">
        <v>5.5799999999999999E-3</v>
      </c>
      <c r="C600">
        <v>5.62E-3</v>
      </c>
      <c r="D600">
        <v>4.6800000000000001E-3</v>
      </c>
      <c r="E600">
        <v>4.7999999999999996E-3</v>
      </c>
      <c r="F600">
        <v>62949262.700000003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-0.74468085106383097</v>
      </c>
      <c r="Q600">
        <f t="shared" si="990"/>
        <v>-46877110.521276675</v>
      </c>
      <c r="R600">
        <f t="shared" si="991"/>
        <v>-805476085.82671452</v>
      </c>
      <c r="S600">
        <f t="shared" si="992"/>
        <v>-8054.7608582671455</v>
      </c>
      <c r="T600">
        <f t="shared" si="993"/>
        <v>-8.0547608582671462</v>
      </c>
    </row>
    <row r="601" spans="1:20" x14ac:dyDescent="0.25">
      <c r="A601" s="5">
        <v>43992</v>
      </c>
      <c r="B601">
        <v>5.5799999999999999E-3</v>
      </c>
      <c r="C601">
        <v>5.8399999999999997E-3</v>
      </c>
      <c r="D601">
        <v>5.4599999999999996E-3</v>
      </c>
      <c r="E601">
        <v>5.5700000000000003E-3</v>
      </c>
      <c r="F601">
        <v>38415186.899999999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-0.42105263157894374</v>
      </c>
      <c r="Q601">
        <f t="shared" si="990"/>
        <v>-16174815.536841964</v>
      </c>
      <c r="R601">
        <f t="shared" si="991"/>
        <v>-758598975.3054378</v>
      </c>
      <c r="S601">
        <f t="shared" si="992"/>
        <v>-7585.9897530543776</v>
      </c>
      <c r="T601">
        <f t="shared" si="993"/>
        <v>-7.5859897530543776</v>
      </c>
    </row>
    <row r="602" spans="1:20" x14ac:dyDescent="0.25">
      <c r="A602" s="5">
        <v>43991</v>
      </c>
      <c r="B602">
        <v>5.4000000000000003E-3</v>
      </c>
      <c r="C602">
        <v>5.7000000000000002E-3</v>
      </c>
      <c r="D602">
        <v>5.3099999999999996E-3</v>
      </c>
      <c r="E602">
        <v>5.5799999999999999E-3</v>
      </c>
      <c r="F602">
        <v>32326640.100000001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0.38461538461538392</v>
      </c>
      <c r="Q602">
        <f t="shared" si="990"/>
        <v>12433323.115384594</v>
      </c>
      <c r="R602">
        <f t="shared" si="991"/>
        <v>-742424159.76859581</v>
      </c>
      <c r="S602">
        <f t="shared" si="992"/>
        <v>-7424.2415976859584</v>
      </c>
      <c r="T602">
        <f t="shared" si="993"/>
        <v>-7.4242415976859579</v>
      </c>
    </row>
    <row r="603" spans="1:20" x14ac:dyDescent="0.25">
      <c r="A603" s="5">
        <v>43990</v>
      </c>
      <c r="B603">
        <v>5.4200000000000003E-3</v>
      </c>
      <c r="C603">
        <v>5.4299999999999999E-3</v>
      </c>
      <c r="D603">
        <v>5.2399999999999999E-3</v>
      </c>
      <c r="E603">
        <v>5.3699999999999998E-3</v>
      </c>
      <c r="F603">
        <v>20105292.100000001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0.36842105263157748</v>
      </c>
      <c r="Q603">
        <f t="shared" si="990"/>
        <v>7407212.87894734</v>
      </c>
      <c r="R603">
        <f t="shared" si="991"/>
        <v>-754857482.88398039</v>
      </c>
      <c r="S603">
        <f t="shared" si="992"/>
        <v>-7548.5748288398036</v>
      </c>
      <c r="T603">
        <f t="shared" si="993"/>
        <v>-7.5485748288398034</v>
      </c>
    </row>
    <row r="604" spans="1:20" x14ac:dyDescent="0.25">
      <c r="A604" s="5">
        <v>43989</v>
      </c>
      <c r="B604">
        <v>5.5599999999999998E-3</v>
      </c>
      <c r="C604">
        <v>5.5700000000000003E-3</v>
      </c>
      <c r="D604">
        <v>5.0899999999999999E-3</v>
      </c>
      <c r="E604">
        <v>5.4099999999999999E-3</v>
      </c>
      <c r="F604">
        <v>21943781.5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0.33333333333333215</v>
      </c>
      <c r="Q604">
        <f t="shared" si="990"/>
        <v>7314593.8333333069</v>
      </c>
      <c r="R604">
        <f t="shared" si="991"/>
        <v>-762264695.76292777</v>
      </c>
      <c r="S604">
        <f t="shared" si="992"/>
        <v>-7622.6469576292775</v>
      </c>
      <c r="T604">
        <f t="shared" si="993"/>
        <v>-7.6226469576292777</v>
      </c>
    </row>
    <row r="605" spans="1:20" x14ac:dyDescent="0.25">
      <c r="A605" s="5">
        <v>43988</v>
      </c>
      <c r="B605">
        <v>5.1500000000000001E-3</v>
      </c>
      <c r="C605">
        <v>5.6499999999999996E-3</v>
      </c>
      <c r="D605">
        <v>5.0400000000000002E-3</v>
      </c>
      <c r="E605">
        <v>5.5500000000000002E-3</v>
      </c>
      <c r="F605">
        <v>35288661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0.67213114754098524</v>
      </c>
      <c r="Q605">
        <f t="shared" si="990"/>
        <v>23718608.213114813</v>
      </c>
      <c r="R605">
        <f t="shared" si="991"/>
        <v>-769579289.59626102</v>
      </c>
      <c r="S605">
        <f t="shared" si="992"/>
        <v>-7695.7928959626106</v>
      </c>
      <c r="T605">
        <f t="shared" si="993"/>
        <v>-7.6957928959626107</v>
      </c>
    </row>
    <row r="606" spans="1:20" x14ac:dyDescent="0.25">
      <c r="A606" s="5">
        <v>43987</v>
      </c>
      <c r="B606">
        <v>5.6100000000000004E-3</v>
      </c>
      <c r="C606">
        <v>5.6499999999999996E-3</v>
      </c>
      <c r="D606">
        <v>5.11E-3</v>
      </c>
      <c r="E606">
        <v>5.1200000000000004E-3</v>
      </c>
      <c r="F606">
        <v>58606608.5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-0.96296296296296124</v>
      </c>
      <c r="Q606">
        <f t="shared" si="990"/>
        <v>-56435993.370370269</v>
      </c>
      <c r="R606">
        <f t="shared" si="991"/>
        <v>-793297897.80937588</v>
      </c>
      <c r="S606">
        <f t="shared" si="992"/>
        <v>-7932.978978093759</v>
      </c>
      <c r="T606">
        <f t="shared" si="993"/>
        <v>-7.9329789780937592</v>
      </c>
    </row>
    <row r="607" spans="1:20" x14ac:dyDescent="0.25">
      <c r="A607" s="5">
        <v>43986</v>
      </c>
      <c r="B607">
        <v>4.9300000000000004E-3</v>
      </c>
      <c r="C607">
        <v>5.7000000000000002E-3</v>
      </c>
      <c r="D607">
        <v>4.8999999999999998E-3</v>
      </c>
      <c r="E607">
        <v>5.6100000000000004E-3</v>
      </c>
      <c r="F607">
        <v>86279638.099999994</v>
      </c>
      <c r="G607">
        <v>0</v>
      </c>
      <c r="L607" t="s">
        <v>8</v>
      </c>
      <c r="M607" t="s">
        <v>8</v>
      </c>
      <c r="N607" t="s">
        <v>8</v>
      </c>
      <c r="P607">
        <f t="shared" si="989"/>
        <v>0.77500000000000058</v>
      </c>
      <c r="Q607">
        <f t="shared" si="990"/>
        <v>66866719.527500048</v>
      </c>
      <c r="R607">
        <f t="shared" si="991"/>
        <v>-736861904.43900561</v>
      </c>
      <c r="S607">
        <f t="shared" si="992"/>
        <v>-7368.6190443900559</v>
      </c>
      <c r="T607">
        <f t="shared" si="993"/>
        <v>-7.3686190443900559</v>
      </c>
    </row>
    <row r="608" spans="1:20" x14ac:dyDescent="0.25">
      <c r="A608" s="5">
        <v>43985</v>
      </c>
      <c r="B608">
        <v>4.8199999999999996E-3</v>
      </c>
      <c r="C608">
        <v>4.96E-3</v>
      </c>
      <c r="D608">
        <v>4.7200000000000002E-3</v>
      </c>
      <c r="E608">
        <v>4.9100000000000003E-3</v>
      </c>
      <c r="F608">
        <v>22115404.699999999</v>
      </c>
      <c r="G608">
        <v>0</v>
      </c>
      <c r="L608" t="s">
        <v>8</v>
      </c>
      <c r="M608" t="s">
        <v>7</v>
      </c>
      <c r="N608" t="s">
        <v>8</v>
      </c>
      <c r="P608">
        <f t="shared" si="989"/>
        <v>0.58333333333333548</v>
      </c>
      <c r="Q608">
        <f t="shared" si="990"/>
        <v>12900652.741666714</v>
      </c>
      <c r="R608">
        <f t="shared" si="991"/>
        <v>-803728623.96650565</v>
      </c>
      <c r="S608">
        <f t="shared" si="992"/>
        <v>-8037.2862396650562</v>
      </c>
      <c r="T608">
        <f t="shared" si="993"/>
        <v>-8.0372862396650557</v>
      </c>
    </row>
    <row r="609" spans="1:20" x14ac:dyDescent="0.25">
      <c r="A609" s="5">
        <v>43984</v>
      </c>
      <c r="B609">
        <v>4.79E-3</v>
      </c>
      <c r="C609">
        <v>5.0000000000000001E-3</v>
      </c>
      <c r="D609">
        <v>4.3800000000000002E-3</v>
      </c>
      <c r="E609">
        <v>4.8199999999999996E-3</v>
      </c>
      <c r="F609">
        <v>44984271.799999997</v>
      </c>
      <c r="G609">
        <v>0</v>
      </c>
      <c r="L609" t="s">
        <v>7</v>
      </c>
      <c r="M609" t="s">
        <v>7</v>
      </c>
      <c r="N609" t="s">
        <v>8</v>
      </c>
      <c r="P609">
        <f t="shared" si="989"/>
        <v>0.41935483870967577</v>
      </c>
      <c r="Q609">
        <f t="shared" si="990"/>
        <v>18864372.045161214</v>
      </c>
      <c r="R609">
        <f t="shared" si="991"/>
        <v>-816629276.70817232</v>
      </c>
      <c r="S609">
        <f t="shared" si="992"/>
        <v>-8166.2927670817235</v>
      </c>
      <c r="T609">
        <f t="shared" si="993"/>
        <v>-8.1662927670817229</v>
      </c>
    </row>
    <row r="610" spans="1:20" x14ac:dyDescent="0.25">
      <c r="A610" s="5">
        <v>43983</v>
      </c>
      <c r="B610">
        <v>4.6800000000000001E-3</v>
      </c>
      <c r="C610">
        <v>4.9300000000000004E-3</v>
      </c>
      <c r="D610">
        <v>4.6499999999999996E-3</v>
      </c>
      <c r="E610">
        <v>4.7699999999999999E-3</v>
      </c>
      <c r="F610">
        <v>39914912.700000003</v>
      </c>
      <c r="G610">
        <v>0</v>
      </c>
      <c r="L610" t="s">
        <v>7</v>
      </c>
      <c r="M610" t="s">
        <v>7</v>
      </c>
      <c r="N610" t="s">
        <v>8</v>
      </c>
      <c r="P610">
        <f t="shared" si="989"/>
        <v>-0.14285714285714285</v>
      </c>
      <c r="Q610">
        <f t="shared" si="990"/>
        <v>-5702130.385714286</v>
      </c>
      <c r="R610">
        <f t="shared" si="991"/>
        <v>-835493648.75333357</v>
      </c>
      <c r="S610">
        <f t="shared" si="992"/>
        <v>-8354.9364875333358</v>
      </c>
      <c r="T610">
        <f t="shared" si="993"/>
        <v>-8.354936487533335</v>
      </c>
    </row>
    <row r="611" spans="1:20" x14ac:dyDescent="0.25">
      <c r="A611" s="5">
        <v>43982</v>
      </c>
      <c r="B611">
        <v>4.9399999999999999E-3</v>
      </c>
      <c r="C611">
        <v>5.0099999999999997E-3</v>
      </c>
      <c r="D611">
        <v>4.6499999999999996E-3</v>
      </c>
      <c r="E611">
        <v>4.6499999999999996E-3</v>
      </c>
      <c r="F611">
        <v>54995280.100000001</v>
      </c>
      <c r="G611">
        <v>0</v>
      </c>
      <c r="L611" t="s">
        <v>7</v>
      </c>
      <c r="M611" t="s">
        <v>7</v>
      </c>
      <c r="N611" t="s">
        <v>8</v>
      </c>
      <c r="P611">
        <f t="shared" si="989"/>
        <v>-1</v>
      </c>
      <c r="Q611">
        <f t="shared" si="990"/>
        <v>-54995280.100000001</v>
      </c>
      <c r="R611">
        <f t="shared" si="991"/>
        <v>-829791518.36761928</v>
      </c>
      <c r="S611">
        <f t="shared" si="992"/>
        <v>-8297.9151836761921</v>
      </c>
      <c r="T611">
        <f t="shared" si="993"/>
        <v>-8.2979151836761922</v>
      </c>
    </row>
    <row r="612" spans="1:20" x14ac:dyDescent="0.25">
      <c r="A612" s="5">
        <v>43981</v>
      </c>
      <c r="B612">
        <v>4.8999999999999998E-3</v>
      </c>
      <c r="C612">
        <v>5.2399999999999999E-3</v>
      </c>
      <c r="D612">
        <v>4.8799999999999998E-3</v>
      </c>
      <c r="E612">
        <v>4.9300000000000004E-3</v>
      </c>
      <c r="F612">
        <v>42508402.399999999</v>
      </c>
      <c r="G612">
        <v>0</v>
      </c>
      <c r="L612" t="s">
        <v>8</v>
      </c>
      <c r="M612" t="s">
        <v>7</v>
      </c>
      <c r="N612" t="s">
        <v>8</v>
      </c>
      <c r="P612">
        <f t="shared" si="989"/>
        <v>-0.7222222222222191</v>
      </c>
      <c r="Q612">
        <f t="shared" si="990"/>
        <v>-30700512.844444312</v>
      </c>
      <c r="R612">
        <f t="shared" si="991"/>
        <v>-774796238.26761925</v>
      </c>
      <c r="S612">
        <f t="shared" si="992"/>
        <v>-7747.9623826761926</v>
      </c>
      <c r="T612">
        <f t="shared" si="993"/>
        <v>-7.7479623826761923</v>
      </c>
    </row>
    <row r="613" spans="1:20" x14ac:dyDescent="0.25">
      <c r="A613" s="5">
        <v>43980</v>
      </c>
      <c r="B613">
        <v>4.6899999999999997E-3</v>
      </c>
      <c r="C613">
        <v>5.0000000000000001E-3</v>
      </c>
      <c r="D613">
        <v>4.6800000000000001E-3</v>
      </c>
      <c r="E613">
        <v>4.8900000000000002E-3</v>
      </c>
      <c r="F613">
        <v>31672503.300000001</v>
      </c>
      <c r="G613">
        <v>0</v>
      </c>
      <c r="L613" t="s">
        <v>8</v>
      </c>
      <c r="M613" t="s">
        <v>7</v>
      </c>
      <c r="N613" t="s">
        <v>8</v>
      </c>
      <c r="P613">
        <f t="shared" si="989"/>
        <v>0.31250000000000083</v>
      </c>
      <c r="Q613">
        <f t="shared" si="990"/>
        <v>9897657.2812500261</v>
      </c>
      <c r="R613">
        <f t="shared" si="991"/>
        <v>-744095725.42317498</v>
      </c>
      <c r="S613">
        <f t="shared" si="992"/>
        <v>-7440.9572542317501</v>
      </c>
      <c r="T613">
        <f t="shared" si="993"/>
        <v>-7.4409572542317504</v>
      </c>
    </row>
    <row r="614" spans="1:20" x14ac:dyDescent="0.25">
      <c r="A614" s="5">
        <v>43979</v>
      </c>
      <c r="B614">
        <v>4.8300000000000001E-3</v>
      </c>
      <c r="C614">
        <v>4.8599999999999997E-3</v>
      </c>
      <c r="D614">
        <v>4.6499999999999996E-3</v>
      </c>
      <c r="E614">
        <v>4.6899999999999997E-3</v>
      </c>
      <c r="F614">
        <v>29418506.5</v>
      </c>
      <c r="G614">
        <v>0</v>
      </c>
      <c r="L614" t="s">
        <v>7</v>
      </c>
      <c r="M614" t="s">
        <v>7</v>
      </c>
      <c r="N614" t="s">
        <v>8</v>
      </c>
      <c r="P614">
        <f t="shared" si="989"/>
        <v>-0.61904761904761829</v>
      </c>
      <c r="Q614">
        <f t="shared" si="990"/>
        <v>-18211456.404761884</v>
      </c>
      <c r="R614">
        <f t="shared" si="991"/>
        <v>-753993382.70442498</v>
      </c>
      <c r="S614">
        <f t="shared" si="992"/>
        <v>-7539.9338270442495</v>
      </c>
      <c r="T614">
        <f t="shared" si="993"/>
        <v>-7.5399338270442495</v>
      </c>
    </row>
    <row r="615" spans="1:20" x14ac:dyDescent="0.25">
      <c r="A615" s="5">
        <v>43978</v>
      </c>
      <c r="B615">
        <v>4.9500000000000004E-3</v>
      </c>
      <c r="C615">
        <v>5.2199999999999998E-3</v>
      </c>
      <c r="D615">
        <v>4.62E-3</v>
      </c>
      <c r="E615">
        <v>4.81E-3</v>
      </c>
      <c r="F615">
        <v>70120056</v>
      </c>
      <c r="G615">
        <v>0</v>
      </c>
      <c r="L615" t="s">
        <v>7</v>
      </c>
      <c r="M615" t="s">
        <v>7</v>
      </c>
      <c r="N615" t="s">
        <v>8</v>
      </c>
      <c r="P615">
        <f t="shared" si="989"/>
        <v>-0.36666666666666631</v>
      </c>
      <c r="Q615">
        <f t="shared" si="990"/>
        <v>-25710687.199999973</v>
      </c>
      <c r="R615">
        <f t="shared" si="991"/>
        <v>-735781926.29966307</v>
      </c>
      <c r="S615">
        <f t="shared" si="992"/>
        <v>-7357.8192629966306</v>
      </c>
      <c r="T615">
        <f t="shared" si="993"/>
        <v>-7.3578192629966308</v>
      </c>
    </row>
    <row r="616" spans="1:20" x14ac:dyDescent="0.25">
      <c r="A616" s="5">
        <v>43977</v>
      </c>
      <c r="B616">
        <v>5.3899999999999998E-3</v>
      </c>
      <c r="C616">
        <v>5.4299999999999999E-3</v>
      </c>
      <c r="D616">
        <v>4.8700000000000002E-3</v>
      </c>
      <c r="E616">
        <v>4.9500000000000004E-3</v>
      </c>
      <c r="F616">
        <v>80485895.900000006</v>
      </c>
      <c r="G616">
        <v>0</v>
      </c>
      <c r="L616" t="s">
        <v>7</v>
      </c>
      <c r="M616" t="s">
        <v>7</v>
      </c>
      <c r="N616" t="s">
        <v>8</v>
      </c>
      <c r="P616">
        <f t="shared" si="989"/>
        <v>-0.71428571428571341</v>
      </c>
      <c r="Q616">
        <f t="shared" si="990"/>
        <v>-57489925.642857075</v>
      </c>
      <c r="R616">
        <f t="shared" si="991"/>
        <v>-710071239.09966314</v>
      </c>
      <c r="S616">
        <f t="shared" si="992"/>
        <v>-7100.7123909966313</v>
      </c>
      <c r="T616">
        <f t="shared" si="993"/>
        <v>-7.1007123909966312</v>
      </c>
    </row>
    <row r="617" spans="1:20" x14ac:dyDescent="0.25">
      <c r="A617" s="5">
        <v>43976</v>
      </c>
      <c r="B617">
        <v>4.6600000000000001E-3</v>
      </c>
      <c r="C617">
        <v>6.11E-3</v>
      </c>
      <c r="D617">
        <v>4.4799999999999996E-3</v>
      </c>
      <c r="E617">
        <v>5.3899999999999998E-3</v>
      </c>
      <c r="F617">
        <v>198941302.59999999</v>
      </c>
      <c r="G617">
        <v>0</v>
      </c>
      <c r="L617" t="s">
        <v>8</v>
      </c>
      <c r="M617" t="s">
        <v>8</v>
      </c>
      <c r="N617" t="s">
        <v>8</v>
      </c>
      <c r="P617">
        <f t="shared" si="989"/>
        <v>0.11656441717791412</v>
      </c>
      <c r="Q617">
        <f t="shared" si="990"/>
        <v>23189476.99018405</v>
      </c>
      <c r="R617">
        <f t="shared" si="991"/>
        <v>-652581313.45680606</v>
      </c>
      <c r="S617">
        <f t="shared" si="992"/>
        <v>-6525.8131345680604</v>
      </c>
      <c r="T617">
        <f t="shared" si="993"/>
        <v>-6.5258131345680601</v>
      </c>
    </row>
    <row r="618" spans="1:20" x14ac:dyDescent="0.25">
      <c r="A618" s="5">
        <v>43975</v>
      </c>
      <c r="B618">
        <v>4.4600000000000004E-3</v>
      </c>
      <c r="C618">
        <v>5.1999999999999998E-3</v>
      </c>
      <c r="D618">
        <v>4.3800000000000002E-3</v>
      </c>
      <c r="E618">
        <v>4.6800000000000001E-3</v>
      </c>
      <c r="F618">
        <v>144687778.5</v>
      </c>
      <c r="G618">
        <v>0</v>
      </c>
      <c r="L618" t="s">
        <v>8</v>
      </c>
      <c r="M618" t="s">
        <v>8</v>
      </c>
      <c r="N618" t="s">
        <v>8</v>
      </c>
      <c r="P618">
        <f t="shared" si="989"/>
        <v>-0.26829268292682906</v>
      </c>
      <c r="Q618">
        <f t="shared" si="990"/>
        <v>-38818672.280487776</v>
      </c>
      <c r="R618">
        <f t="shared" si="991"/>
        <v>-675770790.44699013</v>
      </c>
      <c r="S618">
        <f t="shared" si="992"/>
        <v>-6757.7079044699012</v>
      </c>
      <c r="T618">
        <f t="shared" si="993"/>
        <v>-6.7577079044699015</v>
      </c>
    </row>
    <row r="619" spans="1:20" x14ac:dyDescent="0.25">
      <c r="A619" s="5">
        <v>43974</v>
      </c>
      <c r="B619">
        <v>4.28E-3</v>
      </c>
      <c r="C619">
        <v>4.7099999999999998E-3</v>
      </c>
      <c r="D619">
        <v>4.2500000000000003E-3</v>
      </c>
      <c r="E619">
        <v>4.4600000000000004E-3</v>
      </c>
      <c r="F619">
        <v>71196941</v>
      </c>
      <c r="G619">
        <v>0</v>
      </c>
      <c r="L619" t="s">
        <v>8</v>
      </c>
      <c r="M619" t="s">
        <v>8</v>
      </c>
      <c r="N619" t="s">
        <v>8</v>
      </c>
      <c r="P619">
        <f t="shared" si="989"/>
        <v>-8.6956521739128878E-2</v>
      </c>
      <c r="Q619">
        <f t="shared" si="990"/>
        <v>-6191038.3478259761</v>
      </c>
      <c r="R619">
        <f t="shared" si="991"/>
        <v>-636952118.16650236</v>
      </c>
      <c r="S619">
        <f t="shared" si="992"/>
        <v>-6369.5211816650235</v>
      </c>
      <c r="T619">
        <f t="shared" si="993"/>
        <v>-6.3695211816650232</v>
      </c>
    </row>
    <row r="620" spans="1:20" x14ac:dyDescent="0.25">
      <c r="A620" s="5">
        <v>43973</v>
      </c>
      <c r="B620">
        <v>3.8500000000000001E-3</v>
      </c>
      <c r="C620">
        <v>4.64E-3</v>
      </c>
      <c r="D620">
        <v>3.81E-3</v>
      </c>
      <c r="E620">
        <v>4.2700000000000004E-3</v>
      </c>
      <c r="F620">
        <v>92316744.900000006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0.10843373493975984</v>
      </c>
      <c r="Q620">
        <f t="shared" si="990"/>
        <v>10010249.446988028</v>
      </c>
      <c r="R620">
        <f t="shared" si="991"/>
        <v>-630761079.81867635</v>
      </c>
      <c r="S620">
        <f t="shared" si="992"/>
        <v>-6307.6107981867635</v>
      </c>
      <c r="T620">
        <f t="shared" si="993"/>
        <v>-6.3076107981867633</v>
      </c>
    </row>
    <row r="621" spans="1:20" x14ac:dyDescent="0.25">
      <c r="A621" s="5">
        <v>43972</v>
      </c>
      <c r="B621">
        <v>3.7699999999999999E-3</v>
      </c>
      <c r="C621">
        <v>4.1099999999999999E-3</v>
      </c>
      <c r="D621">
        <v>3.6800000000000001E-3</v>
      </c>
      <c r="E621">
        <v>3.8500000000000001E-3</v>
      </c>
      <c r="F621">
        <v>51976231.5</v>
      </c>
      <c r="G621">
        <v>0</v>
      </c>
      <c r="L621" t="s">
        <v>8</v>
      </c>
      <c r="M621" t="s">
        <v>8</v>
      </c>
      <c r="N621" t="s">
        <v>7</v>
      </c>
      <c r="P621">
        <f t="shared" si="989"/>
        <v>-0.20930232558139497</v>
      </c>
      <c r="Q621">
        <f t="shared" si="990"/>
        <v>-10878746.127906958</v>
      </c>
      <c r="R621">
        <f t="shared" si="991"/>
        <v>-640771329.26566434</v>
      </c>
      <c r="S621">
        <f t="shared" si="992"/>
        <v>-6407.7132926566437</v>
      </c>
      <c r="T621">
        <f t="shared" si="993"/>
        <v>-6.407713292656644</v>
      </c>
    </row>
    <row r="622" spans="1:20" x14ac:dyDescent="0.25">
      <c r="A622" s="5">
        <v>43971</v>
      </c>
      <c r="B622">
        <v>3.8300000000000001E-3</v>
      </c>
      <c r="C622">
        <v>3.9199999999999999E-3</v>
      </c>
      <c r="D622">
        <v>3.6700000000000001E-3</v>
      </c>
      <c r="E622">
        <v>3.79E-3</v>
      </c>
      <c r="F622">
        <v>19348520.5</v>
      </c>
      <c r="G622">
        <v>0</v>
      </c>
      <c r="L622" t="s">
        <v>7</v>
      </c>
      <c r="M622" t="s">
        <v>8</v>
      </c>
      <c r="N622" t="s">
        <v>7</v>
      </c>
      <c r="P622">
        <f t="shared" si="989"/>
        <v>-4.000000000000014E-2</v>
      </c>
      <c r="Q622">
        <f t="shared" si="990"/>
        <v>-773940.82000000274</v>
      </c>
      <c r="R622">
        <f t="shared" si="991"/>
        <v>-629892583.13775742</v>
      </c>
      <c r="S622">
        <f t="shared" si="992"/>
        <v>-6298.9258313775745</v>
      </c>
      <c r="T622">
        <f t="shared" si="993"/>
        <v>-6.2989258313775744</v>
      </c>
    </row>
    <row r="623" spans="1:20" x14ac:dyDescent="0.25">
      <c r="A623" s="5">
        <v>43970</v>
      </c>
      <c r="B623">
        <v>3.9199999999999999E-3</v>
      </c>
      <c r="C623">
        <v>3.9199999999999999E-3</v>
      </c>
      <c r="D623">
        <v>3.7799999999999999E-3</v>
      </c>
      <c r="E623">
        <v>3.8500000000000001E-3</v>
      </c>
      <c r="F623">
        <v>11406071.9</v>
      </c>
      <c r="G623">
        <v>0</v>
      </c>
      <c r="L623" t="s">
        <v>7</v>
      </c>
      <c r="M623" t="s">
        <v>8</v>
      </c>
      <c r="N623" t="s">
        <v>7</v>
      </c>
      <c r="P623">
        <f t="shared" si="989"/>
        <v>3.0977204928157283E-15</v>
      </c>
      <c r="Q623">
        <f t="shared" si="990"/>
        <v>3.533282266715963E-8</v>
      </c>
      <c r="R623">
        <f t="shared" si="991"/>
        <v>-629118642.31775737</v>
      </c>
      <c r="S623">
        <f t="shared" si="992"/>
        <v>-6291.1864231775735</v>
      </c>
      <c r="T623">
        <f t="shared" si="993"/>
        <v>-6.2911864231775736</v>
      </c>
    </row>
    <row r="624" spans="1:20" x14ac:dyDescent="0.25">
      <c r="A624" s="5">
        <v>43969</v>
      </c>
      <c r="B624">
        <v>3.79E-3</v>
      </c>
      <c r="C624">
        <v>3.9300000000000003E-3</v>
      </c>
      <c r="D624">
        <v>3.7699999999999999E-3</v>
      </c>
      <c r="E624">
        <v>3.9199999999999999E-3</v>
      </c>
      <c r="F624">
        <v>31109655.100000001</v>
      </c>
      <c r="G624">
        <v>0</v>
      </c>
      <c r="L624" t="s">
        <v>7</v>
      </c>
      <c r="M624" t="s">
        <v>8</v>
      </c>
      <c r="N624" t="s">
        <v>7</v>
      </c>
      <c r="P624">
        <f t="shared" si="989"/>
        <v>0.87499999999999456</v>
      </c>
      <c r="Q624">
        <f t="shared" si="990"/>
        <v>27220948.212499831</v>
      </c>
      <c r="R624">
        <f t="shared" si="991"/>
        <v>-629118642.31775737</v>
      </c>
      <c r="S624">
        <f t="shared" si="992"/>
        <v>-6291.1864231775735</v>
      </c>
      <c r="T624">
        <f t="shared" si="993"/>
        <v>-6.2911864231775736</v>
      </c>
    </row>
    <row r="625" spans="1:20" x14ac:dyDescent="0.25">
      <c r="A625" s="5">
        <v>43968</v>
      </c>
      <c r="B625">
        <v>4.0000000000000001E-3</v>
      </c>
      <c r="C625">
        <v>4.2199999999999998E-3</v>
      </c>
      <c r="D625">
        <v>3.7799999999999999E-3</v>
      </c>
      <c r="E625">
        <v>3.79E-3</v>
      </c>
      <c r="F625">
        <v>47845363.600000001</v>
      </c>
      <c r="G625">
        <v>0</v>
      </c>
      <c r="L625" t="s">
        <v>7</v>
      </c>
      <c r="M625" t="s">
        <v>8</v>
      </c>
      <c r="N625" t="s">
        <v>7</v>
      </c>
      <c r="P625">
        <f t="shared" si="989"/>
        <v>-0.95454545454545436</v>
      </c>
      <c r="Q625">
        <f t="shared" si="990"/>
        <v>-45670574.345454536</v>
      </c>
      <c r="R625">
        <f t="shared" si="991"/>
        <v>-656339590.53025723</v>
      </c>
      <c r="S625">
        <f t="shared" si="992"/>
        <v>-6563.3959053025719</v>
      </c>
      <c r="T625">
        <f t="shared" si="993"/>
        <v>-6.5633959053025723</v>
      </c>
    </row>
    <row r="626" spans="1:20" x14ac:dyDescent="0.25">
      <c r="A626" s="5">
        <v>43967</v>
      </c>
      <c r="B626">
        <v>3.63E-3</v>
      </c>
      <c r="C626">
        <v>4.1799999999999997E-3</v>
      </c>
      <c r="D626">
        <v>3.6099999999999999E-3</v>
      </c>
      <c r="E626">
        <v>3.96E-3</v>
      </c>
      <c r="F626">
        <v>37291664.200000003</v>
      </c>
      <c r="G626">
        <v>0</v>
      </c>
      <c r="L626" t="s">
        <v>8</v>
      </c>
      <c r="M626" t="s">
        <v>8</v>
      </c>
      <c r="N626" t="s">
        <v>7</v>
      </c>
      <c r="P626">
        <f t="shared" si="989"/>
        <v>0.22807017543859717</v>
      </c>
      <c r="Q626">
        <f t="shared" si="990"/>
        <v>8505116.3964912537</v>
      </c>
      <c r="R626">
        <f t="shared" si="991"/>
        <v>-610669016.18480265</v>
      </c>
      <c r="S626">
        <f t="shared" si="992"/>
        <v>-6106.6901618480269</v>
      </c>
      <c r="T626">
        <f t="shared" si="993"/>
        <v>-6.1066901618480269</v>
      </c>
    </row>
    <row r="627" spans="1:20" x14ac:dyDescent="0.25">
      <c r="A627" s="5">
        <v>43966</v>
      </c>
      <c r="B627">
        <v>3.7100000000000002E-3</v>
      </c>
      <c r="C627">
        <v>3.8300000000000001E-3</v>
      </c>
      <c r="D627">
        <v>3.5599999999999998E-3</v>
      </c>
      <c r="E627">
        <v>3.63E-3</v>
      </c>
      <c r="F627">
        <v>27929786.199999999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-0.48148148148148062</v>
      </c>
      <c r="Q627">
        <f t="shared" si="990"/>
        <v>-13447674.837037012</v>
      </c>
      <c r="R627">
        <f t="shared" si="991"/>
        <v>-619174132.58129394</v>
      </c>
      <c r="S627">
        <f t="shared" si="992"/>
        <v>-6191.7413258129391</v>
      </c>
      <c r="T627">
        <f t="shared" si="993"/>
        <v>-6.1917413258129388</v>
      </c>
    </row>
    <row r="628" spans="1:20" x14ac:dyDescent="0.25">
      <c r="A628" s="5">
        <v>43965</v>
      </c>
      <c r="B628">
        <v>3.5699999999999998E-3</v>
      </c>
      <c r="C628">
        <v>3.7499999999999999E-3</v>
      </c>
      <c r="D628">
        <v>3.5500000000000002E-3</v>
      </c>
      <c r="E628">
        <v>3.7200000000000002E-3</v>
      </c>
      <c r="F628">
        <v>21834142.300000001</v>
      </c>
      <c r="G628">
        <v>0</v>
      </c>
      <c r="L628" t="s">
        <v>8</v>
      </c>
      <c r="M628" t="s">
        <v>7</v>
      </c>
      <c r="N628" t="s">
        <v>7</v>
      </c>
      <c r="P628">
        <f t="shared" si="989"/>
        <v>0.70000000000000306</v>
      </c>
      <c r="Q628">
        <f t="shared" si="990"/>
        <v>15283899.610000068</v>
      </c>
      <c r="R628">
        <f t="shared" si="991"/>
        <v>-605726457.74425697</v>
      </c>
      <c r="S628">
        <f t="shared" si="992"/>
        <v>-6057.26457744257</v>
      </c>
      <c r="T628">
        <f t="shared" si="993"/>
        <v>-6.0572645774425702</v>
      </c>
    </row>
    <row r="629" spans="1:20" x14ac:dyDescent="0.25">
      <c r="A629" s="5">
        <v>43964</v>
      </c>
      <c r="B629">
        <v>3.5799999999999998E-3</v>
      </c>
      <c r="C629">
        <v>3.7200000000000002E-3</v>
      </c>
      <c r="D629">
        <v>3.5300000000000002E-3</v>
      </c>
      <c r="E629">
        <v>3.5699999999999998E-3</v>
      </c>
      <c r="F629">
        <v>13761633.6</v>
      </c>
      <c r="G629">
        <v>0</v>
      </c>
      <c r="L629" t="s">
        <v>8</v>
      </c>
      <c r="M629" t="s">
        <v>7</v>
      </c>
      <c r="N629" t="s">
        <v>7</v>
      </c>
      <c r="P629">
        <f t="shared" si="989"/>
        <v>-0.57894736842105621</v>
      </c>
      <c r="Q629">
        <f t="shared" si="990"/>
        <v>-7967261.5578947859</v>
      </c>
      <c r="R629">
        <f t="shared" si="991"/>
        <v>-621010357.35425699</v>
      </c>
      <c r="S629">
        <f t="shared" si="992"/>
        <v>-6210.1035735425703</v>
      </c>
      <c r="T629">
        <f t="shared" si="993"/>
        <v>-6.21010357354257</v>
      </c>
    </row>
    <row r="630" spans="1:20" x14ac:dyDescent="0.25">
      <c r="A630" s="5">
        <v>43963</v>
      </c>
      <c r="B630">
        <v>3.5699999999999998E-3</v>
      </c>
      <c r="C630">
        <v>3.6600000000000001E-3</v>
      </c>
      <c r="D630">
        <v>3.48E-3</v>
      </c>
      <c r="E630">
        <v>3.5500000000000002E-3</v>
      </c>
      <c r="F630">
        <v>9654199.1999999993</v>
      </c>
      <c r="G630">
        <v>0</v>
      </c>
      <c r="L630" t="s">
        <v>8</v>
      </c>
      <c r="M630" t="s">
        <v>7</v>
      </c>
      <c r="N630" t="s">
        <v>7</v>
      </c>
      <c r="P630">
        <f t="shared" si="989"/>
        <v>-0.22222222222222035</v>
      </c>
      <c r="Q630">
        <f t="shared" si="990"/>
        <v>-2145377.5999999819</v>
      </c>
      <c r="R630">
        <f t="shared" si="991"/>
        <v>-613043095.79636216</v>
      </c>
      <c r="S630">
        <f t="shared" si="992"/>
        <v>-6130.4309579636219</v>
      </c>
      <c r="T630">
        <f t="shared" si="993"/>
        <v>-6.1304309579636218</v>
      </c>
    </row>
    <row r="631" spans="1:20" x14ac:dyDescent="0.25">
      <c r="A631" s="5">
        <v>43962</v>
      </c>
      <c r="B631">
        <v>3.5300000000000002E-3</v>
      </c>
      <c r="C631">
        <v>3.63E-3</v>
      </c>
      <c r="D631">
        <v>3.3500000000000001E-3</v>
      </c>
      <c r="E631">
        <v>3.5500000000000002E-3</v>
      </c>
      <c r="F631">
        <v>17328302.800000001</v>
      </c>
      <c r="G631">
        <v>0</v>
      </c>
      <c r="L631" t="s">
        <v>8</v>
      </c>
      <c r="M631" t="s">
        <v>7</v>
      </c>
      <c r="N631" t="s">
        <v>7</v>
      </c>
      <c r="P631">
        <f t="shared" si="989"/>
        <v>0.42857142857142988</v>
      </c>
      <c r="Q631">
        <f t="shared" si="990"/>
        <v>7426415.4857143089</v>
      </c>
      <c r="R631">
        <f t="shared" si="991"/>
        <v>-610897718.19636214</v>
      </c>
      <c r="S631">
        <f t="shared" si="992"/>
        <v>-6108.9771819636217</v>
      </c>
      <c r="T631">
        <f t="shared" si="993"/>
        <v>-6.1089771819636214</v>
      </c>
    </row>
    <row r="632" spans="1:20" x14ac:dyDescent="0.25">
      <c r="A632" s="5">
        <v>43961</v>
      </c>
      <c r="B632">
        <v>3.8700000000000002E-3</v>
      </c>
      <c r="C632">
        <v>3.8700000000000002E-3</v>
      </c>
      <c r="D632">
        <v>3.3600000000000001E-3</v>
      </c>
      <c r="E632">
        <v>3.5200000000000001E-3</v>
      </c>
      <c r="F632">
        <v>22833086.600000001</v>
      </c>
      <c r="G632">
        <v>0</v>
      </c>
      <c r="L632" t="s">
        <v>7</v>
      </c>
      <c r="M632" t="s">
        <v>7</v>
      </c>
      <c r="N632" t="s">
        <v>7</v>
      </c>
      <c r="P632">
        <f t="shared" si="989"/>
        <v>-0.37254901960784326</v>
      </c>
      <c r="Q632">
        <f t="shared" si="990"/>
        <v>-8506444.0274509843</v>
      </c>
      <c r="R632">
        <f t="shared" si="991"/>
        <v>-618324133.68207645</v>
      </c>
      <c r="S632">
        <f t="shared" si="992"/>
        <v>-6183.2413368207644</v>
      </c>
      <c r="T632">
        <f t="shared" si="993"/>
        <v>-6.1832413368207648</v>
      </c>
    </row>
    <row r="633" spans="1:20" x14ac:dyDescent="0.25">
      <c r="A633" s="5">
        <v>43960</v>
      </c>
      <c r="B633">
        <v>3.9100000000000003E-3</v>
      </c>
      <c r="C633">
        <v>4.0299999999999997E-3</v>
      </c>
      <c r="D633">
        <v>3.8300000000000001E-3</v>
      </c>
      <c r="E633">
        <v>3.8999999999999998E-3</v>
      </c>
      <c r="F633">
        <v>22668338.600000001</v>
      </c>
      <c r="G633">
        <v>0</v>
      </c>
      <c r="L633" t="s">
        <v>8</v>
      </c>
      <c r="M633" t="s">
        <v>8</v>
      </c>
      <c r="N633" t="s">
        <v>7</v>
      </c>
      <c r="P633">
        <f t="shared" si="989"/>
        <v>-0.30000000000000132</v>
      </c>
      <c r="Q633">
        <f t="shared" si="990"/>
        <v>-6800501.5800000308</v>
      </c>
      <c r="R633">
        <f t="shared" si="991"/>
        <v>-609817689.65462542</v>
      </c>
      <c r="S633">
        <f t="shared" si="992"/>
        <v>-6098.1768965462543</v>
      </c>
      <c r="T633">
        <f t="shared" si="993"/>
        <v>-6.0981768965462546</v>
      </c>
    </row>
    <row r="634" spans="1:20" x14ac:dyDescent="0.25">
      <c r="A634" s="5">
        <v>43959</v>
      </c>
      <c r="B634">
        <v>3.7499999999999999E-3</v>
      </c>
      <c r="C634">
        <v>3.9899999999999996E-3</v>
      </c>
      <c r="D634">
        <v>3.7299999999999998E-3</v>
      </c>
      <c r="E634">
        <v>3.9500000000000004E-3</v>
      </c>
      <c r="F634">
        <v>20669372.399999999</v>
      </c>
      <c r="G634">
        <v>0</v>
      </c>
      <c r="L634" t="s">
        <v>8</v>
      </c>
      <c r="M634" t="s">
        <v>8</v>
      </c>
      <c r="N634" t="s">
        <v>7</v>
      </c>
      <c r="P634">
        <f t="shared" si="989"/>
        <v>0.69230769230769795</v>
      </c>
      <c r="Q634">
        <f t="shared" si="990"/>
        <v>14309565.507692423</v>
      </c>
      <c r="R634">
        <f t="shared" si="991"/>
        <v>-603017188.07462537</v>
      </c>
      <c r="S634">
        <f t="shared" si="992"/>
        <v>-6030.1718807462539</v>
      </c>
      <c r="T634">
        <f t="shared" si="993"/>
        <v>-6.0301718807462539</v>
      </c>
    </row>
    <row r="635" spans="1:20" x14ac:dyDescent="0.25">
      <c r="A635" s="5">
        <v>43958</v>
      </c>
      <c r="B635">
        <v>3.8700000000000002E-3</v>
      </c>
      <c r="C635">
        <v>3.9199999999999999E-3</v>
      </c>
      <c r="D635">
        <v>3.5999999999999999E-3</v>
      </c>
      <c r="E635">
        <v>3.7499999999999999E-3</v>
      </c>
      <c r="F635">
        <v>35302392.299999997</v>
      </c>
      <c r="G635">
        <v>0</v>
      </c>
      <c r="L635" t="s">
        <v>7</v>
      </c>
      <c r="M635" t="s">
        <v>8</v>
      </c>
      <c r="N635" t="s">
        <v>7</v>
      </c>
      <c r="P635">
        <f t="shared" si="989"/>
        <v>-6.2500000000000167E-2</v>
      </c>
      <c r="Q635">
        <f t="shared" si="990"/>
        <v>-2206399.5187500059</v>
      </c>
      <c r="R635">
        <f t="shared" si="991"/>
        <v>-617326753.58231783</v>
      </c>
      <c r="S635">
        <f t="shared" si="992"/>
        <v>-6173.2675358231782</v>
      </c>
      <c r="T635">
        <f t="shared" si="993"/>
        <v>-6.1732675358231779</v>
      </c>
    </row>
    <row r="636" spans="1:20" x14ac:dyDescent="0.25">
      <c r="A636" s="5">
        <v>43957</v>
      </c>
      <c r="B636">
        <v>3.8999999999999998E-3</v>
      </c>
      <c r="C636">
        <v>4.0600000000000002E-3</v>
      </c>
      <c r="D636">
        <v>3.8400000000000001E-3</v>
      </c>
      <c r="E636">
        <v>3.8700000000000002E-3</v>
      </c>
      <c r="F636">
        <v>27537086.100000001</v>
      </c>
      <c r="G636">
        <v>0</v>
      </c>
      <c r="L636" t="s">
        <v>8</v>
      </c>
      <c r="M636" t="s">
        <v>8</v>
      </c>
      <c r="N636" t="s">
        <v>7</v>
      </c>
      <c r="P636">
        <f t="shared" si="989"/>
        <v>-0.72727272727272674</v>
      </c>
      <c r="Q636">
        <f t="shared" si="990"/>
        <v>-20026971.709090896</v>
      </c>
      <c r="R636">
        <f t="shared" si="991"/>
        <v>-615120354.06356788</v>
      </c>
      <c r="S636">
        <f t="shared" si="992"/>
        <v>-6151.203540635679</v>
      </c>
      <c r="T636">
        <f t="shared" si="993"/>
        <v>-6.1512035406356791</v>
      </c>
    </row>
    <row r="637" spans="1:20" x14ac:dyDescent="0.25">
      <c r="A637" s="5">
        <v>43956</v>
      </c>
      <c r="B637">
        <v>3.8600000000000001E-3</v>
      </c>
      <c r="C637">
        <v>4.0699999999999998E-3</v>
      </c>
      <c r="D637">
        <v>3.81E-3</v>
      </c>
      <c r="E637">
        <v>3.8999999999999998E-3</v>
      </c>
      <c r="F637">
        <v>30240867.800000001</v>
      </c>
      <c r="G637">
        <v>0</v>
      </c>
      <c r="L637" t="s">
        <v>8</v>
      </c>
      <c r="M637" t="s">
        <v>8</v>
      </c>
      <c r="N637" t="s">
        <v>7</v>
      </c>
      <c r="P637">
        <f t="shared" si="989"/>
        <v>-0.30769230769230871</v>
      </c>
      <c r="Q637">
        <f t="shared" si="990"/>
        <v>-9304882.4000000302</v>
      </c>
      <c r="R637">
        <f t="shared" si="991"/>
        <v>-595093382.35447693</v>
      </c>
      <c r="S637">
        <f t="shared" si="992"/>
        <v>-5950.9338235447694</v>
      </c>
      <c r="T637">
        <f t="shared" si="993"/>
        <v>-5.9509338235447693</v>
      </c>
    </row>
    <row r="638" spans="1:20" x14ac:dyDescent="0.25">
      <c r="A638" s="5">
        <v>43955</v>
      </c>
      <c r="B638">
        <v>3.8899999999999998E-3</v>
      </c>
      <c r="C638">
        <v>3.98E-3</v>
      </c>
      <c r="D638">
        <v>3.5699999999999998E-3</v>
      </c>
      <c r="E638">
        <v>3.81E-3</v>
      </c>
      <c r="F638">
        <v>21636178.899999999</v>
      </c>
      <c r="G638">
        <v>0</v>
      </c>
      <c r="L638" t="s">
        <v>7</v>
      </c>
      <c r="M638" t="s">
        <v>8</v>
      </c>
      <c r="N638" t="s">
        <v>7</v>
      </c>
      <c r="P638">
        <f t="shared" si="989"/>
        <v>0.17073170731707354</v>
      </c>
      <c r="Q638">
        <f t="shared" si="990"/>
        <v>3693981.7634146418</v>
      </c>
      <c r="R638">
        <f t="shared" si="991"/>
        <v>-585788499.95447695</v>
      </c>
      <c r="S638">
        <f t="shared" si="992"/>
        <v>-5857.8849995447699</v>
      </c>
      <c r="T638">
        <f t="shared" si="993"/>
        <v>-5.8578849995447699</v>
      </c>
    </row>
    <row r="639" spans="1:20" x14ac:dyDescent="0.25">
      <c r="A639" s="5">
        <v>43954</v>
      </c>
      <c r="B639">
        <v>3.9500000000000004E-3</v>
      </c>
      <c r="C639">
        <v>4.0099999999999997E-3</v>
      </c>
      <c r="D639">
        <v>3.8E-3</v>
      </c>
      <c r="E639">
        <v>3.8899999999999998E-3</v>
      </c>
      <c r="F639">
        <v>16713260.4</v>
      </c>
      <c r="G639">
        <v>0</v>
      </c>
      <c r="L639" t="s">
        <v>8</v>
      </c>
      <c r="M639" t="s">
        <v>8</v>
      </c>
      <c r="N639" t="s">
        <v>7</v>
      </c>
      <c r="P639">
        <f t="shared" si="989"/>
        <v>-0.14285714285714346</v>
      </c>
      <c r="Q639">
        <f t="shared" si="990"/>
        <v>-2387608.6285714386</v>
      </c>
      <c r="R639">
        <f t="shared" si="991"/>
        <v>-589482481.71789157</v>
      </c>
      <c r="S639">
        <f t="shared" si="992"/>
        <v>-5894.8248171789155</v>
      </c>
      <c r="T639">
        <f t="shared" si="993"/>
        <v>-5.8948248171789155</v>
      </c>
    </row>
    <row r="640" spans="1:20" x14ac:dyDescent="0.25">
      <c r="A640" s="5">
        <v>43953</v>
      </c>
      <c r="B640">
        <v>3.9300000000000003E-3</v>
      </c>
      <c r="C640">
        <v>4.0499999999999998E-3</v>
      </c>
      <c r="D640">
        <v>3.8600000000000001E-3</v>
      </c>
      <c r="E640">
        <v>3.9500000000000004E-3</v>
      </c>
      <c r="F640">
        <v>19483847.199999999</v>
      </c>
      <c r="G640">
        <v>0</v>
      </c>
      <c r="L640" t="s">
        <v>8</v>
      </c>
      <c r="M640" t="s">
        <v>8</v>
      </c>
      <c r="N640" t="s">
        <v>7</v>
      </c>
      <c r="P640">
        <f t="shared" si="989"/>
        <v>-5.2631578947364095E-2</v>
      </c>
      <c r="Q640">
        <f t="shared" si="990"/>
        <v>-1025465.6421051788</v>
      </c>
      <c r="R640">
        <f t="shared" si="991"/>
        <v>-587094873.08932018</v>
      </c>
      <c r="S640">
        <f t="shared" si="992"/>
        <v>-5870.9487308932021</v>
      </c>
      <c r="T640">
        <f t="shared" si="993"/>
        <v>-5.8709487308932022</v>
      </c>
    </row>
    <row r="641" spans="1:20" x14ac:dyDescent="0.25">
      <c r="A641" s="5">
        <v>43952</v>
      </c>
      <c r="B641">
        <v>3.7599999999999999E-3</v>
      </c>
      <c r="C641">
        <v>3.96E-3</v>
      </c>
      <c r="D641">
        <v>3.7599999999999999E-3</v>
      </c>
      <c r="E641">
        <v>3.9300000000000003E-3</v>
      </c>
      <c r="F641">
        <v>26670490.5</v>
      </c>
      <c r="G641">
        <v>0</v>
      </c>
      <c r="L641" t="s">
        <v>8</v>
      </c>
      <c r="M641" t="s">
        <v>8</v>
      </c>
      <c r="N641" t="s">
        <v>7</v>
      </c>
      <c r="P641">
        <f t="shared" si="989"/>
        <v>0.70000000000000373</v>
      </c>
      <c r="Q641">
        <f t="shared" si="990"/>
        <v>18669343.350000098</v>
      </c>
      <c r="R641">
        <f t="shared" si="991"/>
        <v>-586069407.44721496</v>
      </c>
      <c r="S641">
        <f t="shared" si="992"/>
        <v>-5860.6940744721496</v>
      </c>
      <c r="T641">
        <f t="shared" si="993"/>
        <v>-5.8606940744721499</v>
      </c>
    </row>
    <row r="642" spans="1:20" x14ac:dyDescent="0.25">
      <c r="A642" s="5">
        <v>43951</v>
      </c>
      <c r="B642">
        <v>3.9500000000000004E-3</v>
      </c>
      <c r="C642">
        <v>4.1000000000000003E-3</v>
      </c>
      <c r="D642">
        <v>3.6600000000000001E-3</v>
      </c>
      <c r="E642">
        <v>3.7699999999999999E-3</v>
      </c>
      <c r="F642">
        <v>59229854.799999997</v>
      </c>
      <c r="G642">
        <v>0</v>
      </c>
      <c r="L642" t="s">
        <v>7</v>
      </c>
      <c r="M642" t="s">
        <v>8</v>
      </c>
      <c r="N642" t="s">
        <v>7</v>
      </c>
      <c r="P642">
        <f t="shared" si="989"/>
        <v>-0.500000000000001</v>
      </c>
      <c r="Q642">
        <f t="shared" si="990"/>
        <v>-29614927.400000058</v>
      </c>
      <c r="R642">
        <f t="shared" si="991"/>
        <v>-604738750.7972151</v>
      </c>
      <c r="S642">
        <f t="shared" si="992"/>
        <v>-6047.3875079721511</v>
      </c>
      <c r="T642">
        <f t="shared" si="993"/>
        <v>-6.0473875079721511</v>
      </c>
    </row>
    <row r="643" spans="1:20" x14ac:dyDescent="0.25">
      <c r="A643" s="5">
        <v>43950</v>
      </c>
      <c r="B643">
        <v>3.8800000000000002E-3</v>
      </c>
      <c r="C643">
        <v>4.1200000000000004E-3</v>
      </c>
      <c r="D643">
        <v>3.82E-3</v>
      </c>
      <c r="E643">
        <v>3.96E-3</v>
      </c>
      <c r="F643">
        <v>46475947.200000003</v>
      </c>
      <c r="G643">
        <v>0</v>
      </c>
      <c r="L643" t="s">
        <v>8</v>
      </c>
      <c r="M643" t="s">
        <v>8</v>
      </c>
      <c r="N643" t="s">
        <v>7</v>
      </c>
      <c r="P643">
        <f t="shared" si="989"/>
        <v>-6.6666666666668206E-2</v>
      </c>
      <c r="Q643">
        <f t="shared" si="990"/>
        <v>-3098396.4800000717</v>
      </c>
      <c r="R643">
        <f t="shared" si="991"/>
        <v>-575123823.39721501</v>
      </c>
      <c r="S643">
        <f t="shared" si="992"/>
        <v>-5751.2382339721498</v>
      </c>
      <c r="T643">
        <f t="shared" si="993"/>
        <v>-5.7512382339721499</v>
      </c>
    </row>
    <row r="644" spans="1:20" x14ac:dyDescent="0.25">
      <c r="A644" s="5">
        <v>43949</v>
      </c>
      <c r="B644">
        <v>3.8999999999999998E-3</v>
      </c>
      <c r="C644">
        <v>3.9399999999999999E-3</v>
      </c>
      <c r="D644">
        <v>3.8E-3</v>
      </c>
      <c r="E644">
        <v>3.8999999999999998E-3</v>
      </c>
      <c r="F644">
        <v>12049035.199999999</v>
      </c>
      <c r="G644">
        <v>0</v>
      </c>
      <c r="L644" t="s">
        <v>7</v>
      </c>
      <c r="M644" t="s">
        <v>8</v>
      </c>
      <c r="N644" t="s">
        <v>7</v>
      </c>
      <c r="P644">
        <f t="shared" si="989"/>
        <v>0.42857142857142683</v>
      </c>
      <c r="Q644">
        <f t="shared" si="990"/>
        <v>5163872.2285714075</v>
      </c>
      <c r="R644">
        <f t="shared" si="991"/>
        <v>-572025426.91721499</v>
      </c>
      <c r="S644">
        <f t="shared" si="992"/>
        <v>-5720.2542691721501</v>
      </c>
      <c r="T644">
        <f t="shared" si="993"/>
        <v>-5.7202542691721501</v>
      </c>
    </row>
    <row r="645" spans="1:20" x14ac:dyDescent="0.25">
      <c r="A645" s="5">
        <v>43948</v>
      </c>
      <c r="B645">
        <v>3.8500000000000001E-3</v>
      </c>
      <c r="C645">
        <v>4.15E-3</v>
      </c>
      <c r="D645">
        <v>3.7699999999999999E-3</v>
      </c>
      <c r="E645">
        <v>3.9100000000000003E-3</v>
      </c>
      <c r="F645">
        <v>39512973.100000001</v>
      </c>
      <c r="G645">
        <v>0</v>
      </c>
      <c r="L645" t="s">
        <v>8</v>
      </c>
      <c r="M645" t="s">
        <v>8</v>
      </c>
      <c r="N645" t="s">
        <v>7</v>
      </c>
      <c r="P645">
        <f t="shared" si="989"/>
        <v>-0.26315789473684043</v>
      </c>
      <c r="Q645">
        <f t="shared" si="990"/>
        <v>-10398150.815789407</v>
      </c>
      <c r="R645">
        <f t="shared" si="991"/>
        <v>-577189299.1457864</v>
      </c>
      <c r="S645">
        <f t="shared" si="992"/>
        <v>-5771.8929914578639</v>
      </c>
      <c r="T645">
        <f t="shared" si="993"/>
        <v>-5.7718929914578636</v>
      </c>
    </row>
    <row r="646" spans="1:20" x14ac:dyDescent="0.25">
      <c r="A646" s="5">
        <v>43947</v>
      </c>
      <c r="B646">
        <v>3.7399999999999998E-3</v>
      </c>
      <c r="C646">
        <v>3.8800000000000002E-3</v>
      </c>
      <c r="D646">
        <v>3.7000000000000002E-3</v>
      </c>
      <c r="E646">
        <v>3.8400000000000001E-3</v>
      </c>
      <c r="F646">
        <v>26677289.600000001</v>
      </c>
      <c r="G646">
        <v>0</v>
      </c>
      <c r="L646" t="s">
        <v>8</v>
      </c>
      <c r="M646" t="s">
        <v>8</v>
      </c>
      <c r="N646" t="s">
        <v>7</v>
      </c>
      <c r="P646">
        <f t="shared" ref="P646:P709" si="994">IF(C646=D646,0,((E646-D646)-(C646-E646))/(C646-D646))</f>
        <v>0.55555555555555447</v>
      </c>
      <c r="Q646">
        <f t="shared" ref="Q646:Q709" si="995">F646*P646</f>
        <v>14820716.444444416</v>
      </c>
      <c r="R646">
        <f t="shared" ref="R646:R709" si="996">R647+Q646</f>
        <v>-566791148.32999694</v>
      </c>
      <c r="S646">
        <f t="shared" ref="S646:S709" si="997">R646/100000</f>
        <v>-5667.9114832999694</v>
      </c>
      <c r="T646">
        <f t="shared" ref="T646:T709" si="998">S646/1000</f>
        <v>-5.6679114832999691</v>
      </c>
    </row>
    <row r="647" spans="1:20" x14ac:dyDescent="0.25">
      <c r="A647" s="5">
        <v>43946</v>
      </c>
      <c r="B647">
        <v>3.7000000000000002E-3</v>
      </c>
      <c r="C647">
        <v>3.9500000000000004E-3</v>
      </c>
      <c r="D647">
        <v>3.6800000000000001E-3</v>
      </c>
      <c r="E647">
        <v>3.7399999999999998E-3</v>
      </c>
      <c r="F647">
        <v>31284022</v>
      </c>
      <c r="G647">
        <v>0</v>
      </c>
      <c r="L647" t="s">
        <v>8</v>
      </c>
      <c r="M647" t="s">
        <v>8</v>
      </c>
      <c r="N647" t="s">
        <v>7</v>
      </c>
      <c r="P647">
        <f t="shared" si="994"/>
        <v>-0.55555555555555802</v>
      </c>
      <c r="Q647">
        <f t="shared" si="995"/>
        <v>-17380012.222222298</v>
      </c>
      <c r="R647">
        <f t="shared" si="996"/>
        <v>-581611864.77444136</v>
      </c>
      <c r="S647">
        <f t="shared" si="997"/>
        <v>-5816.1186477444135</v>
      </c>
      <c r="T647">
        <f t="shared" si="998"/>
        <v>-5.8161186477444131</v>
      </c>
    </row>
    <row r="648" spans="1:20" x14ac:dyDescent="0.25">
      <c r="A648" s="5">
        <v>43945</v>
      </c>
      <c r="B648">
        <v>3.5899999999999999E-3</v>
      </c>
      <c r="C648">
        <v>3.7499999999999999E-3</v>
      </c>
      <c r="D648">
        <v>3.5799999999999998E-3</v>
      </c>
      <c r="E648">
        <v>3.7000000000000002E-3</v>
      </c>
      <c r="F648">
        <v>14137699.4</v>
      </c>
      <c r="G648">
        <v>0</v>
      </c>
      <c r="L648" t="s">
        <v>8</v>
      </c>
      <c r="M648" t="s">
        <v>7</v>
      </c>
      <c r="N648" t="s">
        <v>7</v>
      </c>
      <c r="P648">
        <f t="shared" si="994"/>
        <v>0.41176470588235653</v>
      </c>
      <c r="Q648">
        <f t="shared" si="995"/>
        <v>5821405.6352941683</v>
      </c>
      <c r="R648">
        <f t="shared" si="996"/>
        <v>-564231852.55221903</v>
      </c>
      <c r="S648">
        <f t="shared" si="997"/>
        <v>-5642.3185255221906</v>
      </c>
      <c r="T648">
        <f t="shared" si="998"/>
        <v>-5.6423185255221906</v>
      </c>
    </row>
    <row r="649" spans="1:20" x14ac:dyDescent="0.25">
      <c r="A649" s="5">
        <v>43944</v>
      </c>
      <c r="B649">
        <v>3.5300000000000002E-3</v>
      </c>
      <c r="C649">
        <v>3.7799999999999999E-3</v>
      </c>
      <c r="D649">
        <v>3.46E-3</v>
      </c>
      <c r="E649">
        <v>3.5400000000000002E-3</v>
      </c>
      <c r="F649">
        <v>26792063.800000001</v>
      </c>
      <c r="G649">
        <v>0</v>
      </c>
      <c r="L649" t="s">
        <v>8</v>
      </c>
      <c r="M649" t="s">
        <v>7</v>
      </c>
      <c r="N649" t="s">
        <v>7</v>
      </c>
      <c r="P649">
        <f t="shared" si="994"/>
        <v>-0.49999999999999867</v>
      </c>
      <c r="Q649">
        <f t="shared" si="995"/>
        <v>-13396031.899999965</v>
      </c>
      <c r="R649">
        <f t="shared" si="996"/>
        <v>-570053258.18751323</v>
      </c>
      <c r="S649">
        <f t="shared" si="997"/>
        <v>-5700.5325818751326</v>
      </c>
      <c r="T649">
        <f t="shared" si="998"/>
        <v>-5.7005325818751329</v>
      </c>
    </row>
    <row r="650" spans="1:20" x14ac:dyDescent="0.25">
      <c r="A650" s="5">
        <v>43943</v>
      </c>
      <c r="B650">
        <v>3.3999999999999998E-3</v>
      </c>
      <c r="C650">
        <v>3.6700000000000001E-3</v>
      </c>
      <c r="D650">
        <v>3.3E-3</v>
      </c>
      <c r="E650">
        <v>3.5500000000000002E-3</v>
      </c>
      <c r="F650">
        <v>29545779.800000001</v>
      </c>
      <c r="G650">
        <v>0</v>
      </c>
      <c r="L650" t="s">
        <v>8</v>
      </c>
      <c r="M650" t="s">
        <v>7</v>
      </c>
      <c r="N650" t="s">
        <v>7</v>
      </c>
      <c r="P650">
        <f t="shared" si="994"/>
        <v>0.35135135135135215</v>
      </c>
      <c r="Q650">
        <f t="shared" si="995"/>
        <v>10380949.659459483</v>
      </c>
      <c r="R650">
        <f t="shared" si="996"/>
        <v>-556657226.28751326</v>
      </c>
      <c r="S650">
        <f t="shared" si="997"/>
        <v>-5566.5722628751328</v>
      </c>
      <c r="T650">
        <f t="shared" si="998"/>
        <v>-5.5665722628751331</v>
      </c>
    </row>
    <row r="651" spans="1:20" x14ac:dyDescent="0.25">
      <c r="A651" s="5">
        <v>43942</v>
      </c>
      <c r="B651">
        <v>3.3999999999999998E-3</v>
      </c>
      <c r="C651">
        <v>3.5000000000000001E-3</v>
      </c>
      <c r="D651">
        <v>3.3300000000000001E-3</v>
      </c>
      <c r="E651">
        <v>3.3899999999999998E-3</v>
      </c>
      <c r="F651">
        <v>17058552</v>
      </c>
      <c r="G651">
        <v>0</v>
      </c>
      <c r="L651" t="s">
        <v>8</v>
      </c>
      <c r="M651" t="s">
        <v>7</v>
      </c>
      <c r="N651" t="s">
        <v>7</v>
      </c>
      <c r="P651">
        <f t="shared" si="994"/>
        <v>-0.29411764705882681</v>
      </c>
      <c r="Q651">
        <f t="shared" si="995"/>
        <v>-5017221.1764706438</v>
      </c>
      <c r="R651">
        <f t="shared" si="996"/>
        <v>-567038175.94697273</v>
      </c>
      <c r="S651">
        <f t="shared" si="997"/>
        <v>-5670.3817594697275</v>
      </c>
      <c r="T651">
        <f t="shared" si="998"/>
        <v>-5.6703817594697279</v>
      </c>
    </row>
    <row r="652" spans="1:20" x14ac:dyDescent="0.25">
      <c r="A652" s="5">
        <v>43941</v>
      </c>
      <c r="B652">
        <v>3.6800000000000001E-3</v>
      </c>
      <c r="C652">
        <v>3.7100000000000002E-3</v>
      </c>
      <c r="D652">
        <v>3.2200000000000002E-3</v>
      </c>
      <c r="E652">
        <v>3.3700000000000002E-3</v>
      </c>
      <c r="F652">
        <v>43188793.399999999</v>
      </c>
      <c r="G652">
        <v>0</v>
      </c>
      <c r="L652" t="s">
        <v>7</v>
      </c>
      <c r="M652" t="s">
        <v>7</v>
      </c>
      <c r="N652" t="s">
        <v>7</v>
      </c>
      <c r="P652">
        <f t="shared" si="994"/>
        <v>-0.38775510204081648</v>
      </c>
      <c r="Q652">
        <f t="shared" si="995"/>
        <v>-16746674.991836742</v>
      </c>
      <c r="R652">
        <f t="shared" si="996"/>
        <v>-562020954.77050209</v>
      </c>
      <c r="S652">
        <f t="shared" si="997"/>
        <v>-5620.2095477050207</v>
      </c>
      <c r="T652">
        <f t="shared" si="998"/>
        <v>-5.6202095477050209</v>
      </c>
    </row>
    <row r="653" spans="1:20" x14ac:dyDescent="0.25">
      <c r="A653" s="5">
        <v>43940</v>
      </c>
      <c r="B653">
        <v>3.8300000000000001E-3</v>
      </c>
      <c r="C653">
        <v>3.8300000000000001E-3</v>
      </c>
      <c r="D653">
        <v>3.5999999999999999E-3</v>
      </c>
      <c r="E653">
        <v>3.65E-3</v>
      </c>
      <c r="F653">
        <v>10092683.199999999</v>
      </c>
      <c r="G653">
        <v>0</v>
      </c>
      <c r="L653" t="s">
        <v>7</v>
      </c>
      <c r="M653" t="s">
        <v>8</v>
      </c>
      <c r="N653" t="s">
        <v>8</v>
      </c>
      <c r="P653">
        <f t="shared" si="994"/>
        <v>-0.56521739130434701</v>
      </c>
      <c r="Q653">
        <f t="shared" si="995"/>
        <v>-5704560.0695652086</v>
      </c>
      <c r="R653">
        <f t="shared" si="996"/>
        <v>-545274279.7786653</v>
      </c>
      <c r="S653">
        <f t="shared" si="997"/>
        <v>-5452.7427977866528</v>
      </c>
      <c r="T653">
        <f t="shared" si="998"/>
        <v>-5.4527427977866525</v>
      </c>
    </row>
    <row r="654" spans="1:20" x14ac:dyDescent="0.25">
      <c r="A654" s="5">
        <v>43939</v>
      </c>
      <c r="B654">
        <v>3.5899999999999999E-3</v>
      </c>
      <c r="C654">
        <v>3.8500000000000001E-3</v>
      </c>
      <c r="D654">
        <v>3.5599999999999998E-3</v>
      </c>
      <c r="E654">
        <v>3.82E-3</v>
      </c>
      <c r="F654">
        <v>19630223.100000001</v>
      </c>
      <c r="G654">
        <v>0</v>
      </c>
      <c r="L654" t="s">
        <v>8</v>
      </c>
      <c r="M654" t="s">
        <v>8</v>
      </c>
      <c r="N654" t="s">
        <v>8</v>
      </c>
      <c r="P654">
        <f t="shared" si="994"/>
        <v>0.79310344827586177</v>
      </c>
      <c r="Q654">
        <f t="shared" si="995"/>
        <v>15568797.631034479</v>
      </c>
      <c r="R654">
        <f t="shared" si="996"/>
        <v>-539569719.70910013</v>
      </c>
      <c r="S654">
        <f t="shared" si="997"/>
        <v>-5395.6971970910017</v>
      </c>
      <c r="T654">
        <f t="shared" si="998"/>
        <v>-5.3956971970910015</v>
      </c>
    </row>
    <row r="655" spans="1:20" x14ac:dyDescent="0.25">
      <c r="A655" s="5">
        <v>43938</v>
      </c>
      <c r="B655">
        <v>3.65E-3</v>
      </c>
      <c r="C655">
        <v>3.6700000000000001E-3</v>
      </c>
      <c r="D655">
        <v>3.5500000000000002E-3</v>
      </c>
      <c r="E655">
        <v>3.5999999999999999E-3</v>
      </c>
      <c r="F655">
        <v>12048222.800000001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-0.16666666666667088</v>
      </c>
      <c r="Q655">
        <f t="shared" si="995"/>
        <v>-2008037.1333333841</v>
      </c>
      <c r="R655">
        <f t="shared" si="996"/>
        <v>-555138517.34013462</v>
      </c>
      <c r="S655">
        <f t="shared" si="997"/>
        <v>-5551.385173401346</v>
      </c>
      <c r="T655">
        <f t="shared" si="998"/>
        <v>-5.5513851734013464</v>
      </c>
    </row>
    <row r="656" spans="1:20" x14ac:dyDescent="0.25">
      <c r="A656" s="5">
        <v>43937</v>
      </c>
      <c r="B656">
        <v>3.4499999999999999E-3</v>
      </c>
      <c r="C656">
        <v>3.7100000000000002E-3</v>
      </c>
      <c r="D656">
        <v>3.31E-3</v>
      </c>
      <c r="E656">
        <v>3.6099999999999999E-3</v>
      </c>
      <c r="F656">
        <v>48731766.899999999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0.49999999999999889</v>
      </c>
      <c r="Q656">
        <f t="shared" si="995"/>
        <v>24365883.449999943</v>
      </c>
      <c r="R656">
        <f t="shared" si="996"/>
        <v>-553130480.2068013</v>
      </c>
      <c r="S656">
        <f t="shared" si="997"/>
        <v>-5531.3048020680126</v>
      </c>
      <c r="T656">
        <f t="shared" si="998"/>
        <v>-5.5313048020680124</v>
      </c>
    </row>
    <row r="657" spans="1:20" x14ac:dyDescent="0.25">
      <c r="A657" s="5">
        <v>43936</v>
      </c>
      <c r="B657">
        <v>3.8500000000000001E-3</v>
      </c>
      <c r="C657">
        <v>3.8500000000000001E-3</v>
      </c>
      <c r="D657">
        <v>3.4499999999999999E-3</v>
      </c>
      <c r="E657">
        <v>3.4499999999999999E-3</v>
      </c>
      <c r="F657">
        <v>59920329.100000001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-1</v>
      </c>
      <c r="Q657">
        <f t="shared" si="995"/>
        <v>-59920329.100000001</v>
      </c>
      <c r="R657">
        <f t="shared" si="996"/>
        <v>-577496363.65680122</v>
      </c>
      <c r="S657">
        <f t="shared" si="997"/>
        <v>-5774.9636365680126</v>
      </c>
      <c r="T657">
        <f t="shared" si="998"/>
        <v>-5.7749636365680121</v>
      </c>
    </row>
    <row r="658" spans="1:20" x14ac:dyDescent="0.25">
      <c r="A658" s="5">
        <v>43935</v>
      </c>
      <c r="B658">
        <v>3.8E-3</v>
      </c>
      <c r="C658">
        <v>4.79E-3</v>
      </c>
      <c r="D658">
        <v>3.62E-3</v>
      </c>
      <c r="E658">
        <v>3.8700000000000002E-3</v>
      </c>
      <c r="F658">
        <v>182079948.5</v>
      </c>
      <c r="G658">
        <v>0</v>
      </c>
      <c r="L658" t="s">
        <v>8</v>
      </c>
      <c r="M658" t="s">
        <v>8</v>
      </c>
      <c r="N658" t="s">
        <v>8</v>
      </c>
      <c r="P658">
        <f t="shared" si="994"/>
        <v>-0.57264957264957228</v>
      </c>
      <c r="Q658">
        <f t="shared" si="995"/>
        <v>-104268004.69658113</v>
      </c>
      <c r="R658">
        <f t="shared" si="996"/>
        <v>-517576034.55680126</v>
      </c>
      <c r="S658">
        <f t="shared" si="997"/>
        <v>-5175.7603455680128</v>
      </c>
      <c r="T658">
        <f t="shared" si="998"/>
        <v>-5.1757603455680128</v>
      </c>
    </row>
    <row r="659" spans="1:20" x14ac:dyDescent="0.25">
      <c r="A659" s="5">
        <v>43934</v>
      </c>
      <c r="B659">
        <v>3.5100000000000001E-3</v>
      </c>
      <c r="C659">
        <v>3.8400000000000001E-3</v>
      </c>
      <c r="D659">
        <v>3.3300000000000001E-3</v>
      </c>
      <c r="E659">
        <v>3.8E-3</v>
      </c>
      <c r="F659">
        <v>17867166.699999999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0.84313725490196034</v>
      </c>
      <c r="Q659">
        <f t="shared" si="995"/>
        <v>15064473.884313717</v>
      </c>
      <c r="R659">
        <f t="shared" si="996"/>
        <v>-413308029.86022013</v>
      </c>
      <c r="S659">
        <f t="shared" si="997"/>
        <v>-4133.0802986022018</v>
      </c>
      <c r="T659">
        <f t="shared" si="998"/>
        <v>-4.1330802986022022</v>
      </c>
    </row>
    <row r="660" spans="1:20" x14ac:dyDescent="0.25">
      <c r="A660" s="5">
        <v>43933</v>
      </c>
      <c r="B660">
        <v>3.47E-3</v>
      </c>
      <c r="C660">
        <v>3.5999999999999999E-3</v>
      </c>
      <c r="D660">
        <v>3.3899999999999998E-3</v>
      </c>
      <c r="E660">
        <v>3.5200000000000001E-3</v>
      </c>
      <c r="F660">
        <v>11577033.199999999</v>
      </c>
      <c r="G660">
        <v>0</v>
      </c>
      <c r="L660" t="s">
        <v>7</v>
      </c>
      <c r="M660" t="s">
        <v>7</v>
      </c>
      <c r="N660" t="s">
        <v>8</v>
      </c>
      <c r="P660">
        <f t="shared" si="994"/>
        <v>0.23809523809524066</v>
      </c>
      <c r="Q660">
        <f t="shared" si="995"/>
        <v>2756436.4761905055</v>
      </c>
      <c r="R660">
        <f t="shared" si="996"/>
        <v>-428372503.74453384</v>
      </c>
      <c r="S660">
        <f t="shared" si="997"/>
        <v>-4283.7250374453388</v>
      </c>
      <c r="T660">
        <f t="shared" si="998"/>
        <v>-4.2837250374453388</v>
      </c>
    </row>
    <row r="661" spans="1:20" x14ac:dyDescent="0.25">
      <c r="A661" s="5">
        <v>43932</v>
      </c>
      <c r="B661">
        <v>3.5000000000000001E-3</v>
      </c>
      <c r="C661">
        <v>3.5400000000000002E-3</v>
      </c>
      <c r="D661">
        <v>3.3800000000000002E-3</v>
      </c>
      <c r="E661">
        <v>3.46E-3</v>
      </c>
      <c r="F661">
        <v>8359727.7999999998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-2.7105054312137615E-15</v>
      </c>
      <c r="Q661">
        <f t="shared" si="995"/>
        <v>-2.265908760536867E-8</v>
      </c>
      <c r="R661">
        <f t="shared" si="996"/>
        <v>-431128940.22072434</v>
      </c>
      <c r="S661">
        <f t="shared" si="997"/>
        <v>-4311.2894022072433</v>
      </c>
      <c r="T661">
        <f t="shared" si="998"/>
        <v>-4.311289402207243</v>
      </c>
    </row>
    <row r="662" spans="1:20" x14ac:dyDescent="0.25">
      <c r="A662" s="5">
        <v>43931</v>
      </c>
      <c r="B662">
        <v>3.8600000000000001E-3</v>
      </c>
      <c r="C662">
        <v>3.8899999999999998E-3</v>
      </c>
      <c r="D662">
        <v>3.3899999999999998E-3</v>
      </c>
      <c r="E662">
        <v>3.49E-3</v>
      </c>
      <c r="F662">
        <v>22614309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-0.59999999999999898</v>
      </c>
      <c r="Q662">
        <f t="shared" si="995"/>
        <v>-13568585.399999976</v>
      </c>
      <c r="R662">
        <f t="shared" si="996"/>
        <v>-431128940.22072434</v>
      </c>
      <c r="S662">
        <f t="shared" si="997"/>
        <v>-4311.2894022072433</v>
      </c>
      <c r="T662">
        <f t="shared" si="998"/>
        <v>-4.311289402207243</v>
      </c>
    </row>
    <row r="663" spans="1:20" x14ac:dyDescent="0.25">
      <c r="A663" s="5">
        <v>43930</v>
      </c>
      <c r="B663">
        <v>3.96E-3</v>
      </c>
      <c r="C663">
        <v>3.96E-3</v>
      </c>
      <c r="D663">
        <v>3.7499999999999999E-3</v>
      </c>
      <c r="E663">
        <v>3.8600000000000001E-3</v>
      </c>
      <c r="F663">
        <v>17055189.600000001</v>
      </c>
      <c r="G663">
        <v>0</v>
      </c>
      <c r="L663" t="s">
        <v>7</v>
      </c>
      <c r="M663" t="s">
        <v>8</v>
      </c>
      <c r="N663" t="s">
        <v>8</v>
      </c>
      <c r="P663">
        <f t="shared" si="994"/>
        <v>4.7619047619049781E-2</v>
      </c>
      <c r="Q663">
        <f t="shared" si="995"/>
        <v>812151.88571432268</v>
      </c>
      <c r="R663">
        <f t="shared" si="996"/>
        <v>-417560354.82072437</v>
      </c>
      <c r="S663">
        <f t="shared" si="997"/>
        <v>-4175.6035482072439</v>
      </c>
      <c r="T663">
        <f t="shared" si="998"/>
        <v>-4.1756035482072438</v>
      </c>
    </row>
    <row r="664" spans="1:20" x14ac:dyDescent="0.25">
      <c r="A664" s="5">
        <v>43929</v>
      </c>
      <c r="B664">
        <v>3.6800000000000001E-3</v>
      </c>
      <c r="C664">
        <v>4.0000000000000001E-3</v>
      </c>
      <c r="D664">
        <v>3.65E-3</v>
      </c>
      <c r="E664">
        <v>3.96E-3</v>
      </c>
      <c r="F664">
        <v>21459890.800000001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0.77142857142857091</v>
      </c>
      <c r="Q664">
        <f t="shared" si="995"/>
        <v>16554772.902857132</v>
      </c>
      <c r="R664">
        <f t="shared" si="996"/>
        <v>-418372506.70643872</v>
      </c>
      <c r="S664">
        <f t="shared" si="997"/>
        <v>-4183.7250670643871</v>
      </c>
      <c r="T664">
        <f t="shared" si="998"/>
        <v>-4.1837250670643868</v>
      </c>
    </row>
    <row r="665" spans="1:20" x14ac:dyDescent="0.25">
      <c r="A665" s="5">
        <v>43928</v>
      </c>
      <c r="B665">
        <v>3.8800000000000002E-3</v>
      </c>
      <c r="C665">
        <v>4.0600000000000002E-3</v>
      </c>
      <c r="D665">
        <v>3.6099999999999999E-3</v>
      </c>
      <c r="E665">
        <v>3.6800000000000001E-3</v>
      </c>
      <c r="F665">
        <v>43156904.200000003</v>
      </c>
      <c r="G665">
        <v>0</v>
      </c>
      <c r="L665" t="s">
        <v>7</v>
      </c>
      <c r="M665" t="s">
        <v>8</v>
      </c>
      <c r="N665" t="s">
        <v>8</v>
      </c>
      <c r="P665">
        <f t="shared" si="994"/>
        <v>-0.68888888888888833</v>
      </c>
      <c r="Q665">
        <f t="shared" si="995"/>
        <v>-29730311.7822222</v>
      </c>
      <c r="R665">
        <f t="shared" si="996"/>
        <v>-434927279.60929585</v>
      </c>
      <c r="S665">
        <f t="shared" si="997"/>
        <v>-4349.2727960929587</v>
      </c>
      <c r="T665">
        <f t="shared" si="998"/>
        <v>-4.3492727960929587</v>
      </c>
    </row>
    <row r="666" spans="1:20" x14ac:dyDescent="0.25">
      <c r="A666" s="5">
        <v>43927</v>
      </c>
      <c r="B666">
        <v>3.48E-3</v>
      </c>
      <c r="C666">
        <v>4.0800000000000003E-3</v>
      </c>
      <c r="D666">
        <v>3.48E-3</v>
      </c>
      <c r="E666">
        <v>3.8800000000000002E-3</v>
      </c>
      <c r="F666">
        <v>74043992.099999994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0.33333333333333331</v>
      </c>
      <c r="Q666">
        <f t="shared" si="995"/>
        <v>24681330.699999996</v>
      </c>
      <c r="R666">
        <f t="shared" si="996"/>
        <v>-405196967.82707363</v>
      </c>
      <c r="S666">
        <f t="shared" si="997"/>
        <v>-4051.9696782707365</v>
      </c>
      <c r="T666">
        <f t="shared" si="998"/>
        <v>-4.0519696782707362</v>
      </c>
    </row>
    <row r="667" spans="1:20" x14ac:dyDescent="0.25">
      <c r="A667" s="5">
        <v>43926</v>
      </c>
      <c r="B667">
        <v>3.49E-3</v>
      </c>
      <c r="C667">
        <v>3.5999999999999999E-3</v>
      </c>
      <c r="D667">
        <v>3.3500000000000001E-3</v>
      </c>
      <c r="E667">
        <v>3.46E-3</v>
      </c>
      <c r="F667">
        <v>21023276.100000001</v>
      </c>
      <c r="G667">
        <v>0</v>
      </c>
      <c r="L667" t="s">
        <v>8</v>
      </c>
      <c r="M667" t="s">
        <v>8</v>
      </c>
      <c r="N667" t="s">
        <v>7</v>
      </c>
      <c r="P667">
        <f t="shared" si="994"/>
        <v>-0.12000000000000041</v>
      </c>
      <c r="Q667">
        <f t="shared" si="995"/>
        <v>-2522793.1320000091</v>
      </c>
      <c r="R667">
        <f t="shared" si="996"/>
        <v>-429878298.52707362</v>
      </c>
      <c r="S667">
        <f t="shared" si="997"/>
        <v>-4298.7829852707364</v>
      </c>
      <c r="T667">
        <f t="shared" si="998"/>
        <v>-4.2987829852707362</v>
      </c>
    </row>
    <row r="668" spans="1:20" x14ac:dyDescent="0.25">
      <c r="A668" s="5">
        <v>43925</v>
      </c>
      <c r="B668">
        <v>3.4099999999999998E-3</v>
      </c>
      <c r="C668">
        <v>3.5000000000000001E-3</v>
      </c>
      <c r="D668">
        <v>3.3400000000000001E-3</v>
      </c>
      <c r="E668">
        <v>3.5000000000000001E-3</v>
      </c>
      <c r="F668">
        <v>10650040.300000001</v>
      </c>
      <c r="G668">
        <v>0</v>
      </c>
      <c r="L668" t="s">
        <v>8</v>
      </c>
      <c r="M668" t="s">
        <v>8</v>
      </c>
      <c r="N668" t="s">
        <v>7</v>
      </c>
      <c r="P668">
        <f t="shared" si="994"/>
        <v>1</v>
      </c>
      <c r="Q668">
        <f t="shared" si="995"/>
        <v>10650040.300000001</v>
      </c>
      <c r="R668">
        <f t="shared" si="996"/>
        <v>-427355505.39507359</v>
      </c>
      <c r="S668">
        <f t="shared" si="997"/>
        <v>-4273.5550539507358</v>
      </c>
      <c r="T668">
        <f t="shared" si="998"/>
        <v>-4.2735550539507354</v>
      </c>
    </row>
    <row r="669" spans="1:20" x14ac:dyDescent="0.25">
      <c r="A669" s="5">
        <v>43924</v>
      </c>
      <c r="B669">
        <v>3.49E-3</v>
      </c>
      <c r="C669">
        <v>3.5500000000000002E-3</v>
      </c>
      <c r="D669">
        <v>3.2699999999999999E-3</v>
      </c>
      <c r="E669">
        <v>3.3999999999999998E-3</v>
      </c>
      <c r="F669">
        <v>15018988.300000001</v>
      </c>
      <c r="G669">
        <v>0</v>
      </c>
      <c r="L669" t="s">
        <v>7</v>
      </c>
      <c r="M669" t="s">
        <v>8</v>
      </c>
      <c r="N669" t="s">
        <v>7</v>
      </c>
      <c r="P669">
        <f t="shared" si="994"/>
        <v>-7.142857142857309E-2</v>
      </c>
      <c r="Q669">
        <f t="shared" si="995"/>
        <v>-1072784.8785714535</v>
      </c>
      <c r="R669">
        <f t="shared" si="996"/>
        <v>-438005545.6950736</v>
      </c>
      <c r="S669">
        <f t="shared" si="997"/>
        <v>-4380.0554569507358</v>
      </c>
      <c r="T669">
        <f t="shared" si="998"/>
        <v>-4.3800554569507355</v>
      </c>
    </row>
    <row r="670" spans="1:20" x14ac:dyDescent="0.25">
      <c r="A670" s="5">
        <v>43923</v>
      </c>
      <c r="B670">
        <v>3.4399999999999999E-3</v>
      </c>
      <c r="C670">
        <v>3.6099999999999999E-3</v>
      </c>
      <c r="D670">
        <v>3.3800000000000002E-3</v>
      </c>
      <c r="E670">
        <v>3.5100000000000001E-3</v>
      </c>
      <c r="F670">
        <v>30102302.800000001</v>
      </c>
      <c r="G670">
        <v>0</v>
      </c>
      <c r="L670" t="s">
        <v>8</v>
      </c>
      <c r="M670" t="s">
        <v>8</v>
      </c>
      <c r="N670" t="s">
        <v>7</v>
      </c>
      <c r="P670">
        <f t="shared" si="994"/>
        <v>0.13043478260869615</v>
      </c>
      <c r="Q670">
        <f t="shared" si="995"/>
        <v>3926387.3217391456</v>
      </c>
      <c r="R670">
        <f t="shared" si="996"/>
        <v>-436932760.81650215</v>
      </c>
      <c r="S670">
        <f t="shared" si="997"/>
        <v>-4369.327608165022</v>
      </c>
      <c r="T670">
        <f t="shared" si="998"/>
        <v>-4.3693276081650216</v>
      </c>
    </row>
    <row r="671" spans="1:20" x14ac:dyDescent="0.25">
      <c r="A671" s="5">
        <v>43922</v>
      </c>
      <c r="B671">
        <v>3.3400000000000001E-3</v>
      </c>
      <c r="C671">
        <v>3.4399999999999999E-3</v>
      </c>
      <c r="D671">
        <v>3.14E-3</v>
      </c>
      <c r="E671">
        <v>3.4399999999999999E-3</v>
      </c>
      <c r="F671">
        <v>17651552.699999999</v>
      </c>
      <c r="G671">
        <v>0</v>
      </c>
      <c r="L671" t="s">
        <v>7</v>
      </c>
      <c r="M671" t="s">
        <v>8</v>
      </c>
      <c r="N671" t="s">
        <v>7</v>
      </c>
      <c r="P671">
        <f t="shared" si="994"/>
        <v>1</v>
      </c>
      <c r="Q671">
        <f t="shared" si="995"/>
        <v>17651552.699999999</v>
      </c>
      <c r="R671">
        <f t="shared" si="996"/>
        <v>-440859148.13824129</v>
      </c>
      <c r="S671">
        <f t="shared" si="997"/>
        <v>-4408.5914813824129</v>
      </c>
      <c r="T671">
        <f t="shared" si="998"/>
        <v>-4.4085914813824125</v>
      </c>
    </row>
    <row r="672" spans="1:20" x14ac:dyDescent="0.25">
      <c r="A672" s="5">
        <v>43921</v>
      </c>
      <c r="B672">
        <v>3.15E-3</v>
      </c>
      <c r="C672">
        <v>3.5100000000000001E-3</v>
      </c>
      <c r="D672">
        <v>3.0899999999999999E-3</v>
      </c>
      <c r="E672">
        <v>3.3500000000000001E-3</v>
      </c>
      <c r="F672">
        <v>12382280.4</v>
      </c>
      <c r="G672">
        <v>0</v>
      </c>
      <c r="L672" t="s">
        <v>8</v>
      </c>
      <c r="M672" t="s">
        <v>8</v>
      </c>
      <c r="N672" t="s">
        <v>7</v>
      </c>
      <c r="P672">
        <f t="shared" si="994"/>
        <v>0.23809523809523858</v>
      </c>
      <c r="Q672">
        <f t="shared" si="995"/>
        <v>2948162.0000000061</v>
      </c>
      <c r="R672">
        <f t="shared" si="996"/>
        <v>-458510700.83824128</v>
      </c>
      <c r="S672">
        <f t="shared" si="997"/>
        <v>-4585.1070083824125</v>
      </c>
      <c r="T672">
        <f t="shared" si="998"/>
        <v>-4.5851070083824128</v>
      </c>
    </row>
    <row r="673" spans="1:20" x14ac:dyDescent="0.25">
      <c r="A673" s="5">
        <v>43920</v>
      </c>
      <c r="B673">
        <v>2.97E-3</v>
      </c>
      <c r="C673">
        <v>3.2200000000000002E-3</v>
      </c>
      <c r="D673">
        <v>2.96E-3</v>
      </c>
      <c r="E673">
        <v>3.14E-3</v>
      </c>
      <c r="F673">
        <v>9226343</v>
      </c>
      <c r="G673">
        <v>0</v>
      </c>
      <c r="L673" t="s">
        <v>8</v>
      </c>
      <c r="M673" t="s">
        <v>7</v>
      </c>
      <c r="N673" t="s">
        <v>7</v>
      </c>
      <c r="P673">
        <f t="shared" si="994"/>
        <v>0.38461538461538358</v>
      </c>
      <c r="Q673">
        <f t="shared" si="995"/>
        <v>3548593.4615384522</v>
      </c>
      <c r="R673">
        <f t="shared" si="996"/>
        <v>-461458862.83824128</v>
      </c>
      <c r="S673">
        <f t="shared" si="997"/>
        <v>-4614.5886283824129</v>
      </c>
      <c r="T673">
        <f t="shared" si="998"/>
        <v>-4.6145886283824131</v>
      </c>
    </row>
    <row r="674" spans="1:20" x14ac:dyDescent="0.25">
      <c r="A674" s="5">
        <v>43919</v>
      </c>
      <c r="B674">
        <v>3.14E-3</v>
      </c>
      <c r="C674">
        <v>3.16E-3</v>
      </c>
      <c r="D674">
        <v>2.9199999999999999E-3</v>
      </c>
      <c r="E674">
        <v>2.97E-3</v>
      </c>
      <c r="F674">
        <v>17885893.300000001</v>
      </c>
      <c r="G674">
        <v>0</v>
      </c>
      <c r="L674" t="s">
        <v>7</v>
      </c>
      <c r="M674" t="s">
        <v>7</v>
      </c>
      <c r="N674" t="s">
        <v>7</v>
      </c>
      <c r="P674">
        <f t="shared" si="994"/>
        <v>-0.58333333333333259</v>
      </c>
      <c r="Q674">
        <f t="shared" si="995"/>
        <v>-10433437.75833332</v>
      </c>
      <c r="R674">
        <f t="shared" si="996"/>
        <v>-465007456.29977971</v>
      </c>
      <c r="S674">
        <f t="shared" si="997"/>
        <v>-4650.0745629977973</v>
      </c>
      <c r="T674">
        <f t="shared" si="998"/>
        <v>-4.6500745629977978</v>
      </c>
    </row>
    <row r="675" spans="1:20" x14ac:dyDescent="0.25">
      <c r="A675" s="5">
        <v>43918</v>
      </c>
      <c r="B675">
        <v>3.31E-3</v>
      </c>
      <c r="C675">
        <v>3.31E-3</v>
      </c>
      <c r="D675">
        <v>2.99E-3</v>
      </c>
      <c r="E675">
        <v>3.15E-3</v>
      </c>
      <c r="F675">
        <v>16627612.9</v>
      </c>
      <c r="G675">
        <v>0</v>
      </c>
      <c r="L675" t="s">
        <v>7</v>
      </c>
      <c r="M675" t="s">
        <v>7</v>
      </c>
      <c r="N675" t="s">
        <v>7</v>
      </c>
      <c r="P675">
        <f t="shared" si="994"/>
        <v>0</v>
      </c>
      <c r="Q675">
        <f t="shared" si="995"/>
        <v>0</v>
      </c>
      <c r="R675">
        <f t="shared" si="996"/>
        <v>-454574018.54144639</v>
      </c>
      <c r="S675">
        <f t="shared" si="997"/>
        <v>-4545.7401854144637</v>
      </c>
      <c r="T675">
        <f t="shared" si="998"/>
        <v>-4.5457401854144637</v>
      </c>
    </row>
    <row r="676" spans="1:20" x14ac:dyDescent="0.25">
      <c r="A676" s="5">
        <v>43917</v>
      </c>
      <c r="B676">
        <v>3.46E-3</v>
      </c>
      <c r="C676">
        <v>3.5699999999999998E-3</v>
      </c>
      <c r="D676">
        <v>3.2699999999999999E-3</v>
      </c>
      <c r="E676">
        <v>3.31E-3</v>
      </c>
      <c r="F676">
        <v>13894425.300000001</v>
      </c>
      <c r="G676">
        <v>0</v>
      </c>
      <c r="L676" t="s">
        <v>8</v>
      </c>
      <c r="M676" t="s">
        <v>8</v>
      </c>
      <c r="N676" t="s">
        <v>7</v>
      </c>
      <c r="P676">
        <f t="shared" si="994"/>
        <v>-0.73333333333333262</v>
      </c>
      <c r="Q676">
        <f t="shared" si="995"/>
        <v>-10189245.219999991</v>
      </c>
      <c r="R676">
        <f t="shared" si="996"/>
        <v>-454574018.54144639</v>
      </c>
      <c r="S676">
        <f t="shared" si="997"/>
        <v>-4545.7401854144637</v>
      </c>
      <c r="T676">
        <f t="shared" si="998"/>
        <v>-4.5457401854144637</v>
      </c>
    </row>
    <row r="677" spans="1:20" x14ac:dyDescent="0.25">
      <c r="A677" s="5">
        <v>43916</v>
      </c>
      <c r="B677">
        <v>3.3500000000000001E-3</v>
      </c>
      <c r="C677">
        <v>3.49E-3</v>
      </c>
      <c r="D677">
        <v>3.2200000000000002E-3</v>
      </c>
      <c r="E677">
        <v>3.4299999999999999E-3</v>
      </c>
      <c r="F677">
        <v>14278338</v>
      </c>
      <c r="G677">
        <v>0</v>
      </c>
      <c r="L677" t="s">
        <v>7</v>
      </c>
      <c r="M677" t="s">
        <v>8</v>
      </c>
      <c r="N677" t="s">
        <v>7</v>
      </c>
      <c r="P677">
        <f t="shared" si="994"/>
        <v>0.55555555555555414</v>
      </c>
      <c r="Q677">
        <f t="shared" si="995"/>
        <v>7932409.9999999795</v>
      </c>
      <c r="R677">
        <f t="shared" si="996"/>
        <v>-444384773.32144642</v>
      </c>
      <c r="S677">
        <f t="shared" si="997"/>
        <v>-4443.8477332144639</v>
      </c>
      <c r="T677">
        <f t="shared" si="998"/>
        <v>-4.4438477332144641</v>
      </c>
    </row>
    <row r="678" spans="1:20" x14ac:dyDescent="0.25">
      <c r="A678" s="5">
        <v>43915</v>
      </c>
      <c r="B678">
        <v>3.2499999999999999E-3</v>
      </c>
      <c r="C678">
        <v>3.5000000000000001E-3</v>
      </c>
      <c r="D678">
        <v>3.0699999999999998E-3</v>
      </c>
      <c r="E678">
        <v>3.3600000000000001E-3</v>
      </c>
      <c r="F678">
        <v>14963009.1</v>
      </c>
      <c r="G678">
        <v>0</v>
      </c>
      <c r="L678" t="s">
        <v>8</v>
      </c>
      <c r="M678" t="s">
        <v>8</v>
      </c>
      <c r="N678" t="s">
        <v>7</v>
      </c>
      <c r="P678">
        <f t="shared" si="994"/>
        <v>0.34883720930232631</v>
      </c>
      <c r="Q678">
        <f t="shared" si="995"/>
        <v>5219654.3372093132</v>
      </c>
      <c r="R678">
        <f t="shared" si="996"/>
        <v>-452317183.32144642</v>
      </c>
      <c r="S678">
        <f t="shared" si="997"/>
        <v>-4523.1718332144646</v>
      </c>
      <c r="T678">
        <f t="shared" si="998"/>
        <v>-4.523171833214465</v>
      </c>
    </row>
    <row r="679" spans="1:20" x14ac:dyDescent="0.25">
      <c r="A679" s="5">
        <v>43914</v>
      </c>
      <c r="B679">
        <v>3.1900000000000001E-3</v>
      </c>
      <c r="C679">
        <v>3.3E-3</v>
      </c>
      <c r="D679">
        <v>3.0599999999999998E-3</v>
      </c>
      <c r="E679">
        <v>3.2399999999999998E-3</v>
      </c>
      <c r="F679">
        <v>15289516.800000001</v>
      </c>
      <c r="G679">
        <v>0</v>
      </c>
      <c r="L679" t="s">
        <v>8</v>
      </c>
      <c r="M679" t="s">
        <v>7</v>
      </c>
      <c r="N679" t="s">
        <v>7</v>
      </c>
      <c r="P679">
        <f t="shared" si="994"/>
        <v>0.49999999999999911</v>
      </c>
      <c r="Q679">
        <f t="shared" si="995"/>
        <v>7644758.3999999864</v>
      </c>
      <c r="R679">
        <f t="shared" si="996"/>
        <v>-457536837.6586557</v>
      </c>
      <c r="S679">
        <f t="shared" si="997"/>
        <v>-4575.3683765865571</v>
      </c>
      <c r="T679">
        <f t="shared" si="998"/>
        <v>-4.5753683765865567</v>
      </c>
    </row>
    <row r="680" spans="1:20" x14ac:dyDescent="0.25">
      <c r="A680" s="5">
        <v>43913</v>
      </c>
      <c r="B680">
        <v>2.9399999999999999E-3</v>
      </c>
      <c r="C680">
        <v>3.2499999999999999E-3</v>
      </c>
      <c r="D680">
        <v>2.7699999999999999E-3</v>
      </c>
      <c r="E680">
        <v>3.1900000000000001E-3</v>
      </c>
      <c r="F680">
        <v>18372348.300000001</v>
      </c>
      <c r="G680">
        <v>0</v>
      </c>
      <c r="L680" t="s">
        <v>7</v>
      </c>
      <c r="M680" t="s">
        <v>7</v>
      </c>
      <c r="N680" t="s">
        <v>7</v>
      </c>
      <c r="P680">
        <f t="shared" si="994"/>
        <v>0.75000000000000111</v>
      </c>
      <c r="Q680">
        <f t="shared" si="995"/>
        <v>13779261.22500002</v>
      </c>
      <c r="R680">
        <f t="shared" si="996"/>
        <v>-465181596.05865568</v>
      </c>
      <c r="S680">
        <f t="shared" si="997"/>
        <v>-4651.8159605865567</v>
      </c>
      <c r="T680">
        <f t="shared" si="998"/>
        <v>-4.651815960586557</v>
      </c>
    </row>
    <row r="681" spans="1:20" x14ac:dyDescent="0.25">
      <c r="A681" s="5">
        <v>43912</v>
      </c>
      <c r="B681">
        <v>3.2699999999999999E-3</v>
      </c>
      <c r="C681">
        <v>3.4299999999999999E-3</v>
      </c>
      <c r="D681">
        <v>2.8900000000000002E-3</v>
      </c>
      <c r="E681">
        <v>2.9499999999999999E-3</v>
      </c>
      <c r="F681">
        <v>21918985.399999999</v>
      </c>
      <c r="G681">
        <v>0</v>
      </c>
      <c r="L681" t="s">
        <v>7</v>
      </c>
      <c r="M681" t="s">
        <v>7</v>
      </c>
      <c r="N681" t="s">
        <v>7</v>
      </c>
      <c r="P681">
        <f t="shared" si="994"/>
        <v>-0.77777777777777868</v>
      </c>
      <c r="Q681">
        <f t="shared" si="995"/>
        <v>-17048099.755555574</v>
      </c>
      <c r="R681">
        <f t="shared" si="996"/>
        <v>-478960857.2836557</v>
      </c>
      <c r="S681">
        <f t="shared" si="997"/>
        <v>-4789.608572836557</v>
      </c>
      <c r="T681">
        <f t="shared" si="998"/>
        <v>-4.7896085728365572</v>
      </c>
    </row>
    <row r="682" spans="1:20" x14ac:dyDescent="0.25">
      <c r="A682" s="5">
        <v>43911</v>
      </c>
      <c r="B682">
        <v>3.32E-3</v>
      </c>
      <c r="C682">
        <v>3.5000000000000001E-3</v>
      </c>
      <c r="D682">
        <v>2.9499999999999999E-3</v>
      </c>
      <c r="E682">
        <v>3.2699999999999999E-3</v>
      </c>
      <c r="F682">
        <v>35547999.399999999</v>
      </c>
      <c r="G682">
        <v>0</v>
      </c>
      <c r="L682" t="s">
        <v>7</v>
      </c>
      <c r="M682" t="s">
        <v>7</v>
      </c>
      <c r="N682" t="s">
        <v>7</v>
      </c>
      <c r="P682">
        <f t="shared" si="994"/>
        <v>0.16363636363636325</v>
      </c>
      <c r="Q682">
        <f t="shared" si="995"/>
        <v>5816945.3563636225</v>
      </c>
      <c r="R682">
        <f t="shared" si="996"/>
        <v>-461912757.52810013</v>
      </c>
      <c r="S682">
        <f t="shared" si="997"/>
        <v>-4619.1275752810016</v>
      </c>
      <c r="T682">
        <f t="shared" si="998"/>
        <v>-4.6191275752810013</v>
      </c>
    </row>
    <row r="683" spans="1:20" x14ac:dyDescent="0.25">
      <c r="A683" s="5">
        <v>43910</v>
      </c>
      <c r="B683">
        <v>3.5400000000000002E-3</v>
      </c>
      <c r="C683">
        <v>4.1999999999999997E-3</v>
      </c>
      <c r="D683">
        <v>2.97E-3</v>
      </c>
      <c r="E683">
        <v>3.29E-3</v>
      </c>
      <c r="F683">
        <v>43436866.100000001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-0.47967479674796742</v>
      </c>
      <c r="Q683">
        <f t="shared" si="995"/>
        <v>-20835569.917886179</v>
      </c>
      <c r="R683">
        <f t="shared" si="996"/>
        <v>-467729702.88446373</v>
      </c>
      <c r="S683">
        <f t="shared" si="997"/>
        <v>-4677.2970288446377</v>
      </c>
      <c r="T683">
        <f t="shared" si="998"/>
        <v>-4.677297028844638</v>
      </c>
    </row>
    <row r="684" spans="1:20" x14ac:dyDescent="0.25">
      <c r="A684" s="5">
        <v>43909</v>
      </c>
      <c r="B684">
        <v>2.8900000000000002E-3</v>
      </c>
      <c r="C684">
        <v>3.5999999999999999E-3</v>
      </c>
      <c r="D684">
        <v>2.8600000000000001E-3</v>
      </c>
      <c r="E684">
        <v>3.5400000000000002E-3</v>
      </c>
      <c r="F684">
        <v>37179783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0.83783783783783849</v>
      </c>
      <c r="Q684">
        <f t="shared" si="995"/>
        <v>31150629.000000026</v>
      </c>
      <c r="R684">
        <f t="shared" si="996"/>
        <v>-446894132.96657753</v>
      </c>
      <c r="S684">
        <f t="shared" si="997"/>
        <v>-4468.9413296657749</v>
      </c>
      <c r="T684">
        <f t="shared" si="998"/>
        <v>-4.4689413296657747</v>
      </c>
    </row>
    <row r="685" spans="1:20" x14ac:dyDescent="0.25">
      <c r="A685" s="5">
        <v>43908</v>
      </c>
      <c r="B685">
        <v>2.8400000000000001E-3</v>
      </c>
      <c r="C685">
        <v>2.9399999999999999E-3</v>
      </c>
      <c r="D685">
        <v>2.65E-3</v>
      </c>
      <c r="E685">
        <v>2.8700000000000002E-3</v>
      </c>
      <c r="F685">
        <v>7425033.9000000004</v>
      </c>
      <c r="G685">
        <v>0</v>
      </c>
      <c r="L685" t="s">
        <v>7</v>
      </c>
      <c r="M685" t="s">
        <v>8</v>
      </c>
      <c r="N685" t="s">
        <v>7</v>
      </c>
      <c r="P685">
        <f t="shared" si="994"/>
        <v>0.51724137931034642</v>
      </c>
      <c r="Q685">
        <f t="shared" si="995"/>
        <v>3840534.775862081</v>
      </c>
      <c r="R685">
        <f t="shared" si="996"/>
        <v>-478044761.96657753</v>
      </c>
      <c r="S685">
        <f t="shared" si="997"/>
        <v>-4780.4476196657752</v>
      </c>
      <c r="T685">
        <f t="shared" si="998"/>
        <v>-4.7804476196657752</v>
      </c>
    </row>
    <row r="686" spans="1:20" x14ac:dyDescent="0.25">
      <c r="A686" s="5">
        <v>43907</v>
      </c>
      <c r="B686">
        <v>2.81E-3</v>
      </c>
      <c r="C686">
        <v>3.0400000000000002E-3</v>
      </c>
      <c r="D686">
        <v>2.7599999999999999E-3</v>
      </c>
      <c r="E686">
        <v>2.8500000000000001E-3</v>
      </c>
      <c r="F686">
        <v>13058636</v>
      </c>
      <c r="G686">
        <v>0</v>
      </c>
      <c r="L686" t="s">
        <v>8</v>
      </c>
      <c r="M686" t="s">
        <v>8</v>
      </c>
      <c r="N686" t="s">
        <v>7</v>
      </c>
      <c r="P686">
        <f t="shared" si="994"/>
        <v>-0.35714285714285615</v>
      </c>
      <c r="Q686">
        <f t="shared" si="995"/>
        <v>-4663798.5714285588</v>
      </c>
      <c r="R686">
        <f t="shared" si="996"/>
        <v>-481885296.74243963</v>
      </c>
      <c r="S686">
        <f t="shared" si="997"/>
        <v>-4818.8529674243964</v>
      </c>
      <c r="T686">
        <f t="shared" si="998"/>
        <v>-4.8188529674243963</v>
      </c>
    </row>
    <row r="687" spans="1:20" x14ac:dyDescent="0.25">
      <c r="A687" s="5">
        <v>43906</v>
      </c>
      <c r="B687">
        <v>3.0000000000000001E-3</v>
      </c>
      <c r="C687">
        <v>3.13E-3</v>
      </c>
      <c r="D687">
        <v>2.4499999999999999E-3</v>
      </c>
      <c r="E687">
        <v>2.81E-3</v>
      </c>
      <c r="F687">
        <v>12077563.5</v>
      </c>
      <c r="G687">
        <v>0</v>
      </c>
      <c r="L687" t="s">
        <v>7</v>
      </c>
      <c r="M687" t="s">
        <v>7</v>
      </c>
      <c r="N687" t="s">
        <v>7</v>
      </c>
      <c r="P687">
        <f t="shared" si="994"/>
        <v>5.8823529411764858E-2</v>
      </c>
      <c r="Q687">
        <f t="shared" si="995"/>
        <v>710444.91176470777</v>
      </c>
      <c r="R687">
        <f t="shared" si="996"/>
        <v>-477221498.17101109</v>
      </c>
      <c r="S687">
        <f t="shared" si="997"/>
        <v>-4772.2149817101108</v>
      </c>
      <c r="T687">
        <f t="shared" si="998"/>
        <v>-4.7722149817101105</v>
      </c>
    </row>
    <row r="688" spans="1:20" x14ac:dyDescent="0.25">
      <c r="A688" s="5">
        <v>43905</v>
      </c>
      <c r="B688">
        <v>2.97E-3</v>
      </c>
      <c r="C688">
        <v>3.3899999999999998E-3</v>
      </c>
      <c r="D688">
        <v>2.9199999999999999E-3</v>
      </c>
      <c r="E688">
        <v>3.0599999999999998E-3</v>
      </c>
      <c r="F688">
        <v>10231305.4</v>
      </c>
      <c r="G688">
        <v>0</v>
      </c>
      <c r="L688" t="s">
        <v>7</v>
      </c>
      <c r="M688" t="s">
        <v>8</v>
      </c>
      <c r="N688" t="s">
        <v>8</v>
      </c>
      <c r="P688">
        <f t="shared" si="994"/>
        <v>-0.40425531914893637</v>
      </c>
      <c r="Q688">
        <f t="shared" si="995"/>
        <v>-4136059.629787236</v>
      </c>
      <c r="R688">
        <f t="shared" si="996"/>
        <v>-477931943.08277577</v>
      </c>
      <c r="S688">
        <f t="shared" si="997"/>
        <v>-4779.319430827758</v>
      </c>
      <c r="T688">
        <f t="shared" si="998"/>
        <v>-4.7793194308277576</v>
      </c>
    </row>
    <row r="689" spans="1:20" x14ac:dyDescent="0.25">
      <c r="A689" s="5">
        <v>43904</v>
      </c>
      <c r="B689">
        <v>3.2599999999999999E-3</v>
      </c>
      <c r="C689">
        <v>3.3999999999999998E-3</v>
      </c>
      <c r="D689">
        <v>2.8900000000000002E-3</v>
      </c>
      <c r="E689">
        <v>2.97E-3</v>
      </c>
      <c r="F689">
        <v>15544877.9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-0.68627450980392224</v>
      </c>
      <c r="Q689">
        <f t="shared" si="995"/>
        <v>-10668053.460784324</v>
      </c>
      <c r="R689">
        <f t="shared" si="996"/>
        <v>-473795883.45298856</v>
      </c>
      <c r="S689">
        <f t="shared" si="997"/>
        <v>-4737.9588345298853</v>
      </c>
      <c r="T689">
        <f t="shared" si="998"/>
        <v>-4.7379588345298851</v>
      </c>
    </row>
    <row r="690" spans="1:20" x14ac:dyDescent="0.25">
      <c r="A690" s="5">
        <v>43903</v>
      </c>
      <c r="B690">
        <v>2.7200000000000002E-3</v>
      </c>
      <c r="C690">
        <v>3.62E-3</v>
      </c>
      <c r="D690">
        <v>1.98E-3</v>
      </c>
      <c r="E690">
        <v>3.1099999999999999E-3</v>
      </c>
      <c r="F690">
        <v>37621529.899999999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0.37804878048780483</v>
      </c>
      <c r="Q690">
        <f t="shared" si="995"/>
        <v>14222773.498780485</v>
      </c>
      <c r="R690">
        <f t="shared" si="996"/>
        <v>-463127829.99220425</v>
      </c>
      <c r="S690">
        <f t="shared" si="997"/>
        <v>-4631.2782999220426</v>
      </c>
      <c r="T690">
        <f t="shared" si="998"/>
        <v>-4.6312782999220428</v>
      </c>
    </row>
    <row r="691" spans="1:20" x14ac:dyDescent="0.25">
      <c r="A691" s="5">
        <v>43902</v>
      </c>
      <c r="B691">
        <v>6.0000000000000001E-3</v>
      </c>
      <c r="C691">
        <v>6.0000000000000001E-3</v>
      </c>
      <c r="D691">
        <v>2.64E-3</v>
      </c>
      <c r="E691">
        <v>2.8E-3</v>
      </c>
      <c r="F691">
        <v>59289753.600000001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-0.90476190476190477</v>
      </c>
      <c r="Q691">
        <f t="shared" si="995"/>
        <v>-53643110.399999999</v>
      </c>
      <c r="R691">
        <f t="shared" si="996"/>
        <v>-477350603.49098474</v>
      </c>
      <c r="S691">
        <f t="shared" si="997"/>
        <v>-4773.5060349098476</v>
      </c>
      <c r="T691">
        <f t="shared" si="998"/>
        <v>-4.7735060349098477</v>
      </c>
    </row>
    <row r="692" spans="1:20" x14ac:dyDescent="0.25">
      <c r="A692" s="5">
        <v>43901</v>
      </c>
      <c r="B692">
        <v>6.0699999999999999E-3</v>
      </c>
      <c r="C692">
        <v>6.2399999999999999E-3</v>
      </c>
      <c r="D692">
        <v>5.7099999999999998E-3</v>
      </c>
      <c r="E692">
        <v>6.0000000000000001E-3</v>
      </c>
      <c r="F692">
        <v>12889083</v>
      </c>
      <c r="G692">
        <v>0</v>
      </c>
      <c r="L692" t="s">
        <v>7</v>
      </c>
      <c r="M692" t="s">
        <v>8</v>
      </c>
      <c r="N692" t="s">
        <v>7</v>
      </c>
      <c r="P692">
        <f t="shared" si="994"/>
        <v>9.4339622641510482E-2</v>
      </c>
      <c r="Q692">
        <f t="shared" si="995"/>
        <v>1215951.226415108</v>
      </c>
      <c r="R692">
        <f t="shared" si="996"/>
        <v>-423707493.09098476</v>
      </c>
      <c r="S692">
        <f t="shared" si="997"/>
        <v>-4237.0749309098474</v>
      </c>
      <c r="T692">
        <f t="shared" si="998"/>
        <v>-4.2370749309098477</v>
      </c>
    </row>
    <row r="693" spans="1:20" x14ac:dyDescent="0.25">
      <c r="A693" s="5">
        <v>43900</v>
      </c>
      <c r="B693">
        <v>6.11E-3</v>
      </c>
      <c r="C693">
        <v>6.6400000000000001E-3</v>
      </c>
      <c r="D693">
        <v>5.96E-3</v>
      </c>
      <c r="E693">
        <v>6.13E-3</v>
      </c>
      <c r="F693">
        <v>14002330.9</v>
      </c>
      <c r="G693">
        <v>0</v>
      </c>
      <c r="L693" t="s">
        <v>8</v>
      </c>
      <c r="M693" t="s">
        <v>8</v>
      </c>
      <c r="N693" t="s">
        <v>7</v>
      </c>
      <c r="P693">
        <f t="shared" si="994"/>
        <v>-0.5</v>
      </c>
      <c r="Q693">
        <f t="shared" si="995"/>
        <v>-7001165.4500000002</v>
      </c>
      <c r="R693">
        <f t="shared" si="996"/>
        <v>-424923444.31739986</v>
      </c>
      <c r="S693">
        <f t="shared" si="997"/>
        <v>-4249.2344431739984</v>
      </c>
      <c r="T693">
        <f t="shared" si="998"/>
        <v>-4.2492344431739983</v>
      </c>
    </row>
    <row r="694" spans="1:20" x14ac:dyDescent="0.25">
      <c r="A694" s="5">
        <v>43899</v>
      </c>
      <c r="B694">
        <v>5.9100000000000003E-3</v>
      </c>
      <c r="C694">
        <v>6.13E-3</v>
      </c>
      <c r="D694">
        <v>5.6499999999999996E-3</v>
      </c>
      <c r="E694">
        <v>6.0899999999999999E-3</v>
      </c>
      <c r="F694">
        <v>11574003.199999999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0.83333333333333304</v>
      </c>
      <c r="Q694">
        <f t="shared" si="995"/>
        <v>9645002.6666666623</v>
      </c>
      <c r="R694">
        <f t="shared" si="996"/>
        <v>-417922278.86739987</v>
      </c>
      <c r="S694">
        <f t="shared" si="997"/>
        <v>-4179.2227886739984</v>
      </c>
      <c r="T694">
        <f t="shared" si="998"/>
        <v>-4.1792227886739983</v>
      </c>
    </row>
    <row r="695" spans="1:20" x14ac:dyDescent="0.25">
      <c r="A695" s="5">
        <v>43898</v>
      </c>
      <c r="B695">
        <v>6.9100000000000003E-3</v>
      </c>
      <c r="C695">
        <v>6.9499999999999996E-3</v>
      </c>
      <c r="D695">
        <v>5.8100000000000001E-3</v>
      </c>
      <c r="E695">
        <v>5.8399999999999997E-3</v>
      </c>
      <c r="F695">
        <v>14656276.800000001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-0.94736842105263219</v>
      </c>
      <c r="Q695">
        <f t="shared" si="995"/>
        <v>-13884893.810526326</v>
      </c>
      <c r="R695">
        <f t="shared" si="996"/>
        <v>-427567281.53406656</v>
      </c>
      <c r="S695">
        <f t="shared" si="997"/>
        <v>-4275.6728153406657</v>
      </c>
      <c r="T695">
        <f t="shared" si="998"/>
        <v>-4.2756728153406653</v>
      </c>
    </row>
    <row r="696" spans="1:20" x14ac:dyDescent="0.25">
      <c r="A696" s="5">
        <v>43897</v>
      </c>
      <c r="B696">
        <v>7.4099999999999999E-3</v>
      </c>
      <c r="C696">
        <v>7.4999999999999997E-3</v>
      </c>
      <c r="D696">
        <v>6.8399999999999997E-3</v>
      </c>
      <c r="E696">
        <v>6.9800000000000001E-3</v>
      </c>
      <c r="F696">
        <v>12977010.9</v>
      </c>
      <c r="G696">
        <v>0</v>
      </c>
      <c r="L696" t="s">
        <v>7</v>
      </c>
      <c r="M696" t="s">
        <v>8</v>
      </c>
      <c r="N696" t="s">
        <v>7</v>
      </c>
      <c r="P696">
        <f t="shared" si="994"/>
        <v>-0.57575757575757469</v>
      </c>
      <c r="Q696">
        <f t="shared" si="995"/>
        <v>-7471612.3363636229</v>
      </c>
      <c r="R696">
        <f t="shared" si="996"/>
        <v>-413682387.72354025</v>
      </c>
      <c r="S696">
        <f t="shared" si="997"/>
        <v>-4136.8238772354025</v>
      </c>
      <c r="T696">
        <f t="shared" si="998"/>
        <v>-4.1368238772354022</v>
      </c>
    </row>
    <row r="697" spans="1:20" x14ac:dyDescent="0.25">
      <c r="A697" s="5">
        <v>43896</v>
      </c>
      <c r="B697">
        <v>7.0299999999999998E-3</v>
      </c>
      <c r="C697">
        <v>7.8300000000000002E-3</v>
      </c>
      <c r="D697">
        <v>6.7799999999999996E-3</v>
      </c>
      <c r="E697">
        <v>7.3899999999999999E-3</v>
      </c>
      <c r="F697">
        <v>21192286.899999999</v>
      </c>
      <c r="G697">
        <v>0</v>
      </c>
      <c r="L697" t="s">
        <v>8</v>
      </c>
      <c r="M697" t="s">
        <v>8</v>
      </c>
      <c r="N697" t="s">
        <v>7</v>
      </c>
      <c r="P697">
        <f t="shared" si="994"/>
        <v>0.16190476190476183</v>
      </c>
      <c r="Q697">
        <f t="shared" si="995"/>
        <v>3431132.1647619028</v>
      </c>
      <c r="R697">
        <f t="shared" si="996"/>
        <v>-406210775.38717663</v>
      </c>
      <c r="S697">
        <f t="shared" si="997"/>
        <v>-4062.1077538717664</v>
      </c>
      <c r="T697">
        <f t="shared" si="998"/>
        <v>-4.062107753871766</v>
      </c>
    </row>
    <row r="698" spans="1:20" x14ac:dyDescent="0.25">
      <c r="A698" s="5">
        <v>43895</v>
      </c>
      <c r="B698">
        <v>6.7400000000000003E-3</v>
      </c>
      <c r="C698">
        <v>7.2300000000000003E-3</v>
      </c>
      <c r="D698">
        <v>6.7400000000000003E-3</v>
      </c>
      <c r="E698">
        <v>7.0299999999999998E-3</v>
      </c>
      <c r="F698">
        <v>9126537.9000000004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0.18367346938775295</v>
      </c>
      <c r="Q698">
        <f t="shared" si="995"/>
        <v>1676302.879591817</v>
      </c>
      <c r="R698">
        <f t="shared" si="996"/>
        <v>-409641907.55193853</v>
      </c>
      <c r="S698">
        <f t="shared" si="997"/>
        <v>-4096.4190755193849</v>
      </c>
      <c r="T698">
        <f t="shared" si="998"/>
        <v>-4.0964190755193846</v>
      </c>
    </row>
    <row r="699" spans="1:20" x14ac:dyDescent="0.25">
      <c r="A699" s="5">
        <v>43894</v>
      </c>
      <c r="B699">
        <v>6.6400000000000001E-3</v>
      </c>
      <c r="C699">
        <v>6.9100000000000003E-3</v>
      </c>
      <c r="D699">
        <v>6.6E-3</v>
      </c>
      <c r="E699">
        <v>6.7400000000000003E-3</v>
      </c>
      <c r="F699">
        <v>8593830.1999999993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-9.6774193548385831E-2</v>
      </c>
      <c r="Q699">
        <f t="shared" si="995"/>
        <v>-831660.98709676322</v>
      </c>
      <c r="R699">
        <f t="shared" si="996"/>
        <v>-411318210.43153036</v>
      </c>
      <c r="S699">
        <f t="shared" si="997"/>
        <v>-4113.1821043153031</v>
      </c>
      <c r="T699">
        <f t="shared" si="998"/>
        <v>-4.1131821043153032</v>
      </c>
    </row>
    <row r="700" spans="1:20" x14ac:dyDescent="0.25">
      <c r="A700" s="5">
        <v>43893</v>
      </c>
      <c r="B700">
        <v>6.6499999999999997E-3</v>
      </c>
      <c r="C700">
        <v>7.0400000000000003E-3</v>
      </c>
      <c r="D700">
        <v>6.5399999999999998E-3</v>
      </c>
      <c r="E700">
        <v>6.6499999999999997E-3</v>
      </c>
      <c r="F700">
        <v>8890988.6999999993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-0.56000000000000094</v>
      </c>
      <c r="Q700">
        <f t="shared" si="995"/>
        <v>-4978953.6720000077</v>
      </c>
      <c r="R700">
        <f t="shared" si="996"/>
        <v>-410486549.44443357</v>
      </c>
      <c r="S700">
        <f t="shared" si="997"/>
        <v>-4104.865494444336</v>
      </c>
      <c r="T700">
        <f t="shared" si="998"/>
        <v>-4.1048654944443363</v>
      </c>
    </row>
    <row r="701" spans="1:20" x14ac:dyDescent="0.25">
      <c r="A701" s="5">
        <v>43892</v>
      </c>
      <c r="B701">
        <v>6.2300000000000003E-3</v>
      </c>
      <c r="C701">
        <v>6.7499999999999999E-3</v>
      </c>
      <c r="D701">
        <v>6.2100000000000002E-3</v>
      </c>
      <c r="E701">
        <v>6.6600000000000001E-3</v>
      </c>
      <c r="F701">
        <v>7808541.9000000004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0.66666666666666718</v>
      </c>
      <c r="Q701">
        <f t="shared" si="995"/>
        <v>5205694.6000000043</v>
      </c>
      <c r="R701">
        <f t="shared" si="996"/>
        <v>-405507595.77243358</v>
      </c>
      <c r="S701">
        <f t="shared" si="997"/>
        <v>-4055.0759577243357</v>
      </c>
      <c r="T701">
        <f t="shared" si="998"/>
        <v>-4.0550759577243358</v>
      </c>
    </row>
    <row r="702" spans="1:20" x14ac:dyDescent="0.25">
      <c r="A702" s="5">
        <v>43891</v>
      </c>
      <c r="B702">
        <v>6.3600000000000002E-3</v>
      </c>
      <c r="C702">
        <v>6.6E-3</v>
      </c>
      <c r="D702">
        <v>6.1500000000000001E-3</v>
      </c>
      <c r="E702">
        <v>6.2399999999999999E-3</v>
      </c>
      <c r="F702">
        <v>4818530.3</v>
      </c>
      <c r="G702">
        <v>0</v>
      </c>
      <c r="L702" t="s">
        <v>7</v>
      </c>
      <c r="M702" t="s">
        <v>7</v>
      </c>
      <c r="N702" t="s">
        <v>7</v>
      </c>
      <c r="P702">
        <f t="shared" si="994"/>
        <v>-0.60000000000000075</v>
      </c>
      <c r="Q702">
        <f t="shared" si="995"/>
        <v>-2891118.1800000034</v>
      </c>
      <c r="R702">
        <f t="shared" si="996"/>
        <v>-410713290.3724336</v>
      </c>
      <c r="S702">
        <f t="shared" si="997"/>
        <v>-4107.1329037243358</v>
      </c>
      <c r="T702">
        <f t="shared" si="998"/>
        <v>-4.1071329037243363</v>
      </c>
    </row>
    <row r="703" spans="1:20" x14ac:dyDescent="0.25">
      <c r="A703" s="5">
        <v>43890</v>
      </c>
      <c r="B703">
        <v>6.5799999999999999E-3</v>
      </c>
      <c r="C703">
        <v>6.7099999999999998E-3</v>
      </c>
      <c r="D703">
        <v>6.3E-3</v>
      </c>
      <c r="E703">
        <v>6.3600000000000002E-3</v>
      </c>
      <c r="F703">
        <v>6246807.4000000004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-0.70731707317073078</v>
      </c>
      <c r="Q703">
        <f t="shared" si="995"/>
        <v>-4418473.5268292632</v>
      </c>
      <c r="R703">
        <f t="shared" si="996"/>
        <v>-407822172.1924336</v>
      </c>
      <c r="S703">
        <f t="shared" si="997"/>
        <v>-4078.2217219243362</v>
      </c>
      <c r="T703">
        <f t="shared" si="998"/>
        <v>-4.0782217219243364</v>
      </c>
    </row>
    <row r="704" spans="1:20" x14ac:dyDescent="0.25">
      <c r="A704" s="5">
        <v>43889</v>
      </c>
      <c r="B704">
        <v>6.6800000000000002E-3</v>
      </c>
      <c r="C704">
        <v>6.8799999999999998E-3</v>
      </c>
      <c r="D704">
        <v>6.1999999999999998E-3</v>
      </c>
      <c r="E704">
        <v>6.5799999999999999E-3</v>
      </c>
      <c r="F704">
        <v>5672354.7999999998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0.11764705882352972</v>
      </c>
      <c r="Q704">
        <f t="shared" si="995"/>
        <v>667335.85882353107</v>
      </c>
      <c r="R704">
        <f t="shared" si="996"/>
        <v>-403403698.66560435</v>
      </c>
      <c r="S704">
        <f t="shared" si="997"/>
        <v>-4034.0369866560436</v>
      </c>
      <c r="T704">
        <f t="shared" si="998"/>
        <v>-4.0340369866560435</v>
      </c>
    </row>
    <row r="705" spans="1:20" x14ac:dyDescent="0.25">
      <c r="A705" s="5">
        <v>43888</v>
      </c>
      <c r="B705">
        <v>6.4799999999999996E-3</v>
      </c>
      <c r="C705">
        <v>6.9899999999999997E-3</v>
      </c>
      <c r="D705">
        <v>6.11E-3</v>
      </c>
      <c r="E705">
        <v>6.6699999999999997E-3</v>
      </c>
      <c r="F705">
        <v>13646294.6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0.27272727272727254</v>
      </c>
      <c r="Q705">
        <f t="shared" si="995"/>
        <v>3721716.7090909067</v>
      </c>
      <c r="R705">
        <f t="shared" si="996"/>
        <v>-404071034.52442789</v>
      </c>
      <c r="S705">
        <f t="shared" si="997"/>
        <v>-4040.7103452442789</v>
      </c>
      <c r="T705">
        <f t="shared" si="998"/>
        <v>-4.0407103452442792</v>
      </c>
    </row>
    <row r="706" spans="1:20" x14ac:dyDescent="0.25">
      <c r="A706" s="5">
        <v>43887</v>
      </c>
      <c r="B706">
        <v>7.4200000000000004E-3</v>
      </c>
      <c r="C706">
        <v>7.45E-3</v>
      </c>
      <c r="D706">
        <v>6.11E-3</v>
      </c>
      <c r="E706">
        <v>6.4900000000000001E-3</v>
      </c>
      <c r="F706">
        <v>24691825.5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-0.43283582089552219</v>
      </c>
      <c r="Q706">
        <f t="shared" si="995"/>
        <v>-10687506.559701487</v>
      </c>
      <c r="R706">
        <f t="shared" si="996"/>
        <v>-407792751.23351878</v>
      </c>
      <c r="S706">
        <f t="shared" si="997"/>
        <v>-4077.9275123351877</v>
      </c>
      <c r="T706">
        <f t="shared" si="998"/>
        <v>-4.0779275123351875</v>
      </c>
    </row>
    <row r="707" spans="1:20" x14ac:dyDescent="0.25">
      <c r="A707" s="5">
        <v>43886</v>
      </c>
      <c r="B707">
        <v>8.0400000000000003E-3</v>
      </c>
      <c r="C707">
        <v>8.3999999999999995E-3</v>
      </c>
      <c r="D707">
        <v>7.2300000000000003E-3</v>
      </c>
      <c r="E707">
        <v>7.43E-3</v>
      </c>
      <c r="F707">
        <v>21538789.800000001</v>
      </c>
      <c r="G707">
        <v>0</v>
      </c>
      <c r="L707" t="s">
        <v>7</v>
      </c>
      <c r="M707" t="s">
        <v>7</v>
      </c>
      <c r="N707" t="s">
        <v>7</v>
      </c>
      <c r="P707">
        <f t="shared" si="994"/>
        <v>-0.65811965811965845</v>
      </c>
      <c r="Q707">
        <f t="shared" si="995"/>
        <v>-14175100.979487186</v>
      </c>
      <c r="R707">
        <f t="shared" si="996"/>
        <v>-397105244.67381728</v>
      </c>
      <c r="S707">
        <f t="shared" si="997"/>
        <v>-3971.0524467381729</v>
      </c>
      <c r="T707">
        <f t="shared" si="998"/>
        <v>-3.9710524467381729</v>
      </c>
    </row>
    <row r="708" spans="1:20" x14ac:dyDescent="0.25">
      <c r="A708" s="5">
        <v>43885</v>
      </c>
      <c r="B708">
        <v>8.4499999999999992E-3</v>
      </c>
      <c r="C708">
        <v>8.5000000000000006E-3</v>
      </c>
      <c r="D708">
        <v>7.77E-3</v>
      </c>
      <c r="E708">
        <v>8.09E-3</v>
      </c>
      <c r="F708">
        <v>12544270.9</v>
      </c>
      <c r="G708">
        <v>0</v>
      </c>
      <c r="L708" t="s">
        <v>7</v>
      </c>
      <c r="M708" t="s">
        <v>7</v>
      </c>
      <c r="N708" t="s">
        <v>7</v>
      </c>
      <c r="P708">
        <f t="shared" si="994"/>
        <v>-0.12328767123287752</v>
      </c>
      <c r="Q708">
        <f t="shared" si="995"/>
        <v>-1546553.9465753527</v>
      </c>
      <c r="R708">
        <f t="shared" si="996"/>
        <v>-382930143.6943301</v>
      </c>
      <c r="S708">
        <f t="shared" si="997"/>
        <v>-3829.3014369433008</v>
      </c>
      <c r="T708">
        <f t="shared" si="998"/>
        <v>-3.8293014369433007</v>
      </c>
    </row>
    <row r="709" spans="1:20" x14ac:dyDescent="0.25">
      <c r="A709" s="5">
        <v>43884</v>
      </c>
      <c r="B709">
        <v>8.3899999999999999E-3</v>
      </c>
      <c r="C709">
        <v>8.6300000000000005E-3</v>
      </c>
      <c r="D709">
        <v>8.3000000000000001E-3</v>
      </c>
      <c r="E709">
        <v>8.4499999999999992E-3</v>
      </c>
      <c r="F709">
        <v>6217287.5999999996</v>
      </c>
      <c r="G709">
        <v>0</v>
      </c>
      <c r="L709" t="s">
        <v>8</v>
      </c>
      <c r="M709" t="s">
        <v>7</v>
      </c>
      <c r="N709" t="s">
        <v>7</v>
      </c>
      <c r="P709">
        <f t="shared" si="994"/>
        <v>-9.0909090909097601E-2</v>
      </c>
      <c r="Q709">
        <f t="shared" si="995"/>
        <v>-565207.96363640518</v>
      </c>
      <c r="R709">
        <f t="shared" si="996"/>
        <v>-381383589.74775475</v>
      </c>
      <c r="S709">
        <f t="shared" si="997"/>
        <v>-3813.8358974775474</v>
      </c>
      <c r="T709">
        <f t="shared" si="998"/>
        <v>-3.8138358974775475</v>
      </c>
    </row>
    <row r="710" spans="1:20" x14ac:dyDescent="0.25">
      <c r="A710" s="5">
        <v>43883</v>
      </c>
      <c r="B710">
        <v>8.43E-3</v>
      </c>
      <c r="C710">
        <v>8.5000000000000006E-3</v>
      </c>
      <c r="D710">
        <v>8.0999999999999996E-3</v>
      </c>
      <c r="E710">
        <v>8.3999999999999995E-3</v>
      </c>
      <c r="F710">
        <v>7810896.5999999996</v>
      </c>
      <c r="G710">
        <v>0</v>
      </c>
      <c r="L710" t="s">
        <v>8</v>
      </c>
      <c r="M710" t="s">
        <v>7</v>
      </c>
      <c r="N710" t="s">
        <v>7</v>
      </c>
      <c r="P710">
        <f t="shared" ref="P710:P766" si="999">IF(C710=D710,0,((E710-D710)-(C710-E710))/(C710-D710))</f>
        <v>0.49999999999999567</v>
      </c>
      <c r="Q710">
        <f t="shared" ref="Q710:Q766" si="1000">F710*P710</f>
        <v>3905448.2999999658</v>
      </c>
      <c r="R710">
        <f t="shared" ref="R710:R766" si="1001">R711+Q710</f>
        <v>-380818381.78411835</v>
      </c>
      <c r="S710">
        <f t="shared" ref="S710:S766" si="1002">R710/100000</f>
        <v>-3808.1838178411836</v>
      </c>
      <c r="T710">
        <f t="shared" ref="T710:T766" si="1003">S710/1000</f>
        <v>-3.8081838178411838</v>
      </c>
    </row>
    <row r="711" spans="1:20" x14ac:dyDescent="0.25">
      <c r="A711" s="5">
        <v>43882</v>
      </c>
      <c r="B711">
        <v>8.2000000000000007E-3</v>
      </c>
      <c r="C711">
        <v>8.6E-3</v>
      </c>
      <c r="D711">
        <v>8.1700000000000002E-3</v>
      </c>
      <c r="E711">
        <v>8.4100000000000008E-3</v>
      </c>
      <c r="F711">
        <v>8967275</v>
      </c>
      <c r="G711">
        <v>0</v>
      </c>
      <c r="L711" t="s">
        <v>8</v>
      </c>
      <c r="M711" t="s">
        <v>7</v>
      </c>
      <c r="N711" t="s">
        <v>7</v>
      </c>
      <c r="P711">
        <f t="shared" si="999"/>
        <v>0.11627906976744523</v>
      </c>
      <c r="Q711">
        <f t="shared" si="1000"/>
        <v>1042706.3953488674</v>
      </c>
      <c r="R711">
        <f t="shared" si="1001"/>
        <v>-384723830.08411831</v>
      </c>
      <c r="S711">
        <f t="shared" si="1002"/>
        <v>-3847.238300841183</v>
      </c>
      <c r="T711">
        <f t="shared" si="1003"/>
        <v>-3.847238300841183</v>
      </c>
    </row>
    <row r="712" spans="1:20" x14ac:dyDescent="0.25">
      <c r="A712" s="5">
        <v>43881</v>
      </c>
      <c r="B712">
        <v>8.5199999999999998E-3</v>
      </c>
      <c r="C712">
        <v>8.6999999999999994E-3</v>
      </c>
      <c r="D712">
        <v>7.8799999999999999E-3</v>
      </c>
      <c r="E712">
        <v>8.2000000000000007E-3</v>
      </c>
      <c r="F712">
        <v>14582835.5</v>
      </c>
      <c r="G712">
        <v>0</v>
      </c>
      <c r="L712" t="s">
        <v>7</v>
      </c>
      <c r="M712" t="s">
        <v>7</v>
      </c>
      <c r="N712" t="s">
        <v>7</v>
      </c>
      <c r="P712">
        <f t="shared" si="999"/>
        <v>-0.21951219512194875</v>
      </c>
      <c r="Q712">
        <f t="shared" si="1000"/>
        <v>-3201110.231707281</v>
      </c>
      <c r="R712">
        <f t="shared" si="1001"/>
        <v>-385766536.47946715</v>
      </c>
      <c r="S712">
        <f t="shared" si="1002"/>
        <v>-3857.6653647946714</v>
      </c>
      <c r="T712">
        <f t="shared" si="1003"/>
        <v>-3.8576653647946713</v>
      </c>
    </row>
    <row r="713" spans="1:20" x14ac:dyDescent="0.25">
      <c r="A713" s="5">
        <v>43880</v>
      </c>
      <c r="B713">
        <v>9.3799999999999994E-3</v>
      </c>
      <c r="C713">
        <v>9.4500000000000001E-3</v>
      </c>
      <c r="D713">
        <v>8.3000000000000001E-3</v>
      </c>
      <c r="E713">
        <v>8.4799999999999997E-3</v>
      </c>
      <c r="F713">
        <v>13802666.5</v>
      </c>
      <c r="G713">
        <v>0</v>
      </c>
      <c r="L713" t="s">
        <v>7</v>
      </c>
      <c r="M713" t="s">
        <v>7</v>
      </c>
      <c r="N713" t="s">
        <v>7</v>
      </c>
      <c r="P713">
        <f t="shared" si="999"/>
        <v>-0.68695652173913113</v>
      </c>
      <c r="Q713">
        <f t="shared" si="1000"/>
        <v>-9481831.7695652265</v>
      </c>
      <c r="R713">
        <f t="shared" si="1001"/>
        <v>-382565426.24775988</v>
      </c>
      <c r="S713">
        <f t="shared" si="1002"/>
        <v>-3825.6542624775989</v>
      </c>
      <c r="T713">
        <f t="shared" si="1003"/>
        <v>-3.8256542624775989</v>
      </c>
    </row>
    <row r="714" spans="1:20" x14ac:dyDescent="0.25">
      <c r="A714" s="5">
        <v>43879</v>
      </c>
      <c r="B714">
        <v>9.0699999999999999E-3</v>
      </c>
      <c r="C714">
        <v>9.4599999999999997E-3</v>
      </c>
      <c r="D714">
        <v>8.6499999999999997E-3</v>
      </c>
      <c r="E714">
        <v>9.3799999999999994E-3</v>
      </c>
      <c r="F714">
        <v>23304059.300000001</v>
      </c>
      <c r="G714">
        <v>0</v>
      </c>
      <c r="L714" t="s">
        <v>8</v>
      </c>
      <c r="M714" t="s">
        <v>7</v>
      </c>
      <c r="N714" t="s">
        <v>7</v>
      </c>
      <c r="P714">
        <f t="shared" si="999"/>
        <v>0.80246913580246859</v>
      </c>
      <c r="Q714">
        <f t="shared" si="1000"/>
        <v>18700788.327160481</v>
      </c>
      <c r="R714">
        <f t="shared" si="1001"/>
        <v>-373083594.47819465</v>
      </c>
      <c r="S714">
        <f t="shared" si="1002"/>
        <v>-3730.8359447819466</v>
      </c>
      <c r="T714">
        <f t="shared" si="1003"/>
        <v>-3.7308359447819468</v>
      </c>
    </row>
    <row r="715" spans="1:20" x14ac:dyDescent="0.25">
      <c r="A715" s="5">
        <v>43878</v>
      </c>
      <c r="B715">
        <v>9.3699999999999999E-3</v>
      </c>
      <c r="C715">
        <v>9.4900000000000002E-3</v>
      </c>
      <c r="D715">
        <v>8.1600000000000006E-3</v>
      </c>
      <c r="E715">
        <v>9.0600000000000003E-3</v>
      </c>
      <c r="F715">
        <v>27239858.100000001</v>
      </c>
      <c r="G715">
        <v>0</v>
      </c>
      <c r="L715" t="s">
        <v>7</v>
      </c>
      <c r="M715" t="s">
        <v>7</v>
      </c>
      <c r="N715" t="s">
        <v>7</v>
      </c>
      <c r="P715">
        <f t="shared" si="999"/>
        <v>0.35338345864661658</v>
      </c>
      <c r="Q715">
        <f t="shared" si="1000"/>
        <v>9626115.2684210539</v>
      </c>
      <c r="R715">
        <f t="shared" si="1001"/>
        <v>-391784382.80535513</v>
      </c>
      <c r="S715">
        <f t="shared" si="1002"/>
        <v>-3917.8438280535515</v>
      </c>
      <c r="T715">
        <f t="shared" si="1003"/>
        <v>-3.9178438280535515</v>
      </c>
    </row>
    <row r="716" spans="1:20" x14ac:dyDescent="0.25">
      <c r="A716" s="5">
        <v>43877</v>
      </c>
      <c r="B716">
        <v>1.01E-2</v>
      </c>
      <c r="C716">
        <v>1.077E-2</v>
      </c>
      <c r="D716">
        <v>8.3499999999999998E-3</v>
      </c>
      <c r="E716">
        <v>9.4400000000000005E-3</v>
      </c>
      <c r="F716">
        <v>50122363.5</v>
      </c>
      <c r="G716">
        <v>0</v>
      </c>
      <c r="L716" t="s">
        <v>8</v>
      </c>
      <c r="M716" t="s">
        <v>8</v>
      </c>
      <c r="N716" t="s">
        <v>7</v>
      </c>
      <c r="P716">
        <f t="shared" si="999"/>
        <v>-9.9173553719007795E-2</v>
      </c>
      <c r="Q716">
        <f t="shared" si="1000"/>
        <v>-4970812.9090908859</v>
      </c>
      <c r="R716">
        <f t="shared" si="1001"/>
        <v>-401410498.07377619</v>
      </c>
      <c r="S716">
        <f t="shared" si="1002"/>
        <v>-4014.1049807377617</v>
      </c>
      <c r="T716">
        <f t="shared" si="1003"/>
        <v>-4.0141049807377618</v>
      </c>
    </row>
    <row r="717" spans="1:20" x14ac:dyDescent="0.25">
      <c r="A717" s="5">
        <v>43876</v>
      </c>
      <c r="B717">
        <v>1.145E-2</v>
      </c>
      <c r="C717">
        <v>1.2E-2</v>
      </c>
      <c r="D717">
        <v>8.26E-3</v>
      </c>
      <c r="E717">
        <v>1.013E-2</v>
      </c>
      <c r="F717">
        <v>76660985.5</v>
      </c>
      <c r="G717">
        <v>0</v>
      </c>
      <c r="L717" t="s">
        <v>7</v>
      </c>
      <c r="M717" t="s">
        <v>7</v>
      </c>
      <c r="N717" t="s">
        <v>7</v>
      </c>
      <c r="P717">
        <f t="shared" si="999"/>
        <v>0</v>
      </c>
      <c r="Q717">
        <f t="shared" si="1000"/>
        <v>0</v>
      </c>
      <c r="R717">
        <f t="shared" si="1001"/>
        <v>-396439685.16468531</v>
      </c>
      <c r="S717">
        <f t="shared" si="1002"/>
        <v>-3964.3968516468531</v>
      </c>
      <c r="T717">
        <f t="shared" si="1003"/>
        <v>-3.9643968516468528</v>
      </c>
    </row>
    <row r="718" spans="1:20" x14ac:dyDescent="0.25">
      <c r="A718" s="5">
        <v>43875</v>
      </c>
      <c r="B718">
        <v>1.155E-2</v>
      </c>
      <c r="C718">
        <v>1.26E-2</v>
      </c>
      <c r="D718">
        <v>1.1350000000000001E-2</v>
      </c>
      <c r="E718">
        <v>1.146E-2</v>
      </c>
      <c r="F718">
        <v>50464801.200000003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-0.82400000000000151</v>
      </c>
      <c r="Q718">
        <f t="shared" si="1000"/>
        <v>-41582996.188800082</v>
      </c>
      <c r="R718">
        <f t="shared" si="1001"/>
        <v>-396439685.16468531</v>
      </c>
      <c r="S718">
        <f t="shared" si="1002"/>
        <v>-3964.3968516468531</v>
      </c>
      <c r="T718">
        <f t="shared" si="1003"/>
        <v>-3.9643968516468528</v>
      </c>
    </row>
    <row r="719" spans="1:20" x14ac:dyDescent="0.25">
      <c r="A719" s="5">
        <v>43874</v>
      </c>
      <c r="B719">
        <v>1.0659999999999999E-2</v>
      </c>
      <c r="C719">
        <v>1.26E-2</v>
      </c>
      <c r="D719">
        <v>9.6500000000000006E-3</v>
      </c>
      <c r="E719">
        <v>1.1560000000000001E-2</v>
      </c>
      <c r="F719">
        <v>86112312.700000003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0.29491525423728854</v>
      </c>
      <c r="Q719">
        <f t="shared" si="1000"/>
        <v>25395834.592881393</v>
      </c>
      <c r="R719">
        <f t="shared" si="1001"/>
        <v>-354856688.97588521</v>
      </c>
      <c r="S719">
        <f t="shared" si="1002"/>
        <v>-3548.5668897588521</v>
      </c>
      <c r="T719">
        <f t="shared" si="1003"/>
        <v>-3.548566889758852</v>
      </c>
    </row>
    <row r="720" spans="1:20" x14ac:dyDescent="0.25">
      <c r="A720" s="5">
        <v>43873</v>
      </c>
      <c r="B720">
        <v>9.6100000000000005E-3</v>
      </c>
      <c r="C720">
        <v>1.099E-2</v>
      </c>
      <c r="D720">
        <v>9.3900000000000008E-3</v>
      </c>
      <c r="E720">
        <v>1.082E-2</v>
      </c>
      <c r="F720">
        <v>121485966.8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0.78749999999999987</v>
      </c>
      <c r="Q720">
        <f t="shared" si="1000"/>
        <v>95670198.854999974</v>
      </c>
      <c r="R720">
        <f t="shared" si="1001"/>
        <v>-380252523.56876659</v>
      </c>
      <c r="S720">
        <f t="shared" si="1002"/>
        <v>-3802.5252356876658</v>
      </c>
      <c r="T720">
        <f t="shared" si="1003"/>
        <v>-3.802525235687666</v>
      </c>
    </row>
    <row r="721" spans="1:20" x14ac:dyDescent="0.25">
      <c r="A721" s="5">
        <v>43872</v>
      </c>
      <c r="B721">
        <v>9.6100000000000005E-3</v>
      </c>
      <c r="C721">
        <v>9.7900000000000001E-3</v>
      </c>
      <c r="D721">
        <v>9.0399999999999994E-3</v>
      </c>
      <c r="E721">
        <v>9.5399999999999999E-3</v>
      </c>
      <c r="F721">
        <v>28916296.399999999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0.33333333333333331</v>
      </c>
      <c r="Q721">
        <f t="shared" si="1000"/>
        <v>9638765.4666666649</v>
      </c>
      <c r="R721">
        <f t="shared" si="1001"/>
        <v>-475922722.42376655</v>
      </c>
      <c r="S721">
        <f t="shared" si="1002"/>
        <v>-4759.2272242376657</v>
      </c>
      <c r="T721">
        <f t="shared" si="1003"/>
        <v>-4.7592272242376659</v>
      </c>
    </row>
    <row r="722" spans="1:20" x14ac:dyDescent="0.25">
      <c r="A722" s="5">
        <v>43871</v>
      </c>
      <c r="B722">
        <v>9.75E-3</v>
      </c>
      <c r="C722">
        <v>9.8899999999999995E-3</v>
      </c>
      <c r="D722">
        <v>8.94E-3</v>
      </c>
      <c r="E722">
        <v>9.6500000000000006E-3</v>
      </c>
      <c r="F722">
        <v>30567361.600000001</v>
      </c>
      <c r="G722">
        <v>0</v>
      </c>
      <c r="L722" t="s">
        <v>7</v>
      </c>
      <c r="M722" t="s">
        <v>8</v>
      </c>
      <c r="N722" t="s">
        <v>8</v>
      </c>
      <c r="P722">
        <f t="shared" si="999"/>
        <v>0.4947368421052652</v>
      </c>
      <c r="Q722">
        <f t="shared" si="1000"/>
        <v>15122799.949473748</v>
      </c>
      <c r="R722">
        <f t="shared" si="1001"/>
        <v>-485561487.89043319</v>
      </c>
      <c r="S722">
        <f t="shared" si="1002"/>
        <v>-4855.6148789043318</v>
      </c>
      <c r="T722">
        <f t="shared" si="1003"/>
        <v>-4.8556148789043316</v>
      </c>
    </row>
    <row r="723" spans="1:20" x14ac:dyDescent="0.25">
      <c r="A723" s="5">
        <v>43870</v>
      </c>
      <c r="B723">
        <v>9.3399999999999993E-3</v>
      </c>
      <c r="C723">
        <v>1.0019999999999999E-2</v>
      </c>
      <c r="D723">
        <v>9.2899999999999996E-3</v>
      </c>
      <c r="E723">
        <v>9.7300000000000008E-3</v>
      </c>
      <c r="F723">
        <v>12429182.800000001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0.20547945205479809</v>
      </c>
      <c r="Q723">
        <f t="shared" si="1000"/>
        <v>2553941.6712329211</v>
      </c>
      <c r="R723">
        <f t="shared" si="1001"/>
        <v>-500684287.83990693</v>
      </c>
      <c r="S723">
        <f t="shared" si="1002"/>
        <v>-5006.8428783990694</v>
      </c>
      <c r="T723">
        <f t="shared" si="1003"/>
        <v>-5.0068428783990697</v>
      </c>
    </row>
    <row r="724" spans="1:20" x14ac:dyDescent="0.25">
      <c r="A724" s="5">
        <v>43869</v>
      </c>
      <c r="B724">
        <v>9.7699999999999992E-3</v>
      </c>
      <c r="C724">
        <v>1.01E-2</v>
      </c>
      <c r="D724">
        <v>9.1999999999999998E-3</v>
      </c>
      <c r="E724">
        <v>9.2499999999999995E-3</v>
      </c>
      <c r="F724">
        <v>19381936.100000001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-0.88888888888888951</v>
      </c>
      <c r="Q724">
        <f t="shared" si="1000"/>
        <v>-17228387.644444458</v>
      </c>
      <c r="R724">
        <f t="shared" si="1001"/>
        <v>-503238229.51113987</v>
      </c>
      <c r="S724">
        <f t="shared" si="1002"/>
        <v>-5032.3822951113989</v>
      </c>
      <c r="T724">
        <f t="shared" si="1003"/>
        <v>-5.0323822951113986</v>
      </c>
    </row>
    <row r="725" spans="1:20" x14ac:dyDescent="0.25">
      <c r="A725" s="5">
        <v>43868</v>
      </c>
      <c r="B725">
        <v>9.6399999999999993E-3</v>
      </c>
      <c r="C725">
        <v>1.0489999999999999E-2</v>
      </c>
      <c r="D725">
        <v>9.3799999999999994E-3</v>
      </c>
      <c r="E725">
        <v>9.8799999999999999E-3</v>
      </c>
      <c r="F725">
        <v>27117946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-9.9099099099098198E-2</v>
      </c>
      <c r="Q725">
        <f t="shared" si="1000"/>
        <v>-2687364.0180179938</v>
      </c>
      <c r="R725">
        <f t="shared" si="1001"/>
        <v>-486009841.8666954</v>
      </c>
      <c r="S725">
        <f t="shared" si="1002"/>
        <v>-4860.0984186669539</v>
      </c>
      <c r="T725">
        <f t="shared" si="1003"/>
        <v>-4.8600984186669542</v>
      </c>
    </row>
    <row r="726" spans="1:20" x14ac:dyDescent="0.25">
      <c r="A726" s="5">
        <v>43867</v>
      </c>
      <c r="B726">
        <v>8.3899999999999999E-3</v>
      </c>
      <c r="C726">
        <v>9.8399999999999998E-3</v>
      </c>
      <c r="D726">
        <v>8.3000000000000001E-3</v>
      </c>
      <c r="E726">
        <v>9.6399999999999993E-3</v>
      </c>
      <c r="F726">
        <v>35603070.5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0.74025974025973951</v>
      </c>
      <c r="Q726">
        <f t="shared" si="1000"/>
        <v>26355519.720779195</v>
      </c>
      <c r="R726">
        <f t="shared" si="1001"/>
        <v>-483322477.8486774</v>
      </c>
      <c r="S726">
        <f t="shared" si="1002"/>
        <v>-4833.2247784867741</v>
      </c>
      <c r="T726">
        <f t="shared" si="1003"/>
        <v>-4.8332247784867741</v>
      </c>
    </row>
    <row r="727" spans="1:20" x14ac:dyDescent="0.25">
      <c r="A727" s="5">
        <v>43866</v>
      </c>
      <c r="B727">
        <v>8.4200000000000004E-3</v>
      </c>
      <c r="C727">
        <v>8.6800000000000002E-3</v>
      </c>
      <c r="D727">
        <v>8.0199999999999994E-3</v>
      </c>
      <c r="E727">
        <v>8.3899999999999999E-3</v>
      </c>
      <c r="F727">
        <v>16621196.800000001</v>
      </c>
      <c r="G727">
        <v>0</v>
      </c>
      <c r="L727" t="s">
        <v>8</v>
      </c>
      <c r="M727" t="s">
        <v>7</v>
      </c>
      <c r="N727" t="s">
        <v>7</v>
      </c>
      <c r="P727">
        <f t="shared" si="999"/>
        <v>0.12121212121212137</v>
      </c>
      <c r="Q727">
        <f t="shared" si="1000"/>
        <v>2014690.5212121238</v>
      </c>
      <c r="R727">
        <f t="shared" si="1001"/>
        <v>-509677997.56945658</v>
      </c>
      <c r="S727">
        <f t="shared" si="1002"/>
        <v>-5096.779975694566</v>
      </c>
      <c r="T727">
        <f t="shared" si="1003"/>
        <v>-5.0967799756945658</v>
      </c>
    </row>
    <row r="728" spans="1:20" x14ac:dyDescent="0.25">
      <c r="A728" s="5">
        <v>43865</v>
      </c>
      <c r="B728">
        <v>7.8600000000000007E-3</v>
      </c>
      <c r="C728">
        <v>8.5299999999999994E-3</v>
      </c>
      <c r="D728">
        <v>7.8300000000000002E-3</v>
      </c>
      <c r="E728">
        <v>8.3700000000000007E-3</v>
      </c>
      <c r="F728">
        <v>11444797.199999999</v>
      </c>
      <c r="G728">
        <v>0</v>
      </c>
      <c r="L728" t="s">
        <v>8</v>
      </c>
      <c r="M728" t="s">
        <v>7</v>
      </c>
      <c r="N728" t="s">
        <v>7</v>
      </c>
      <c r="P728">
        <f t="shared" si="999"/>
        <v>0.54285714285714615</v>
      </c>
      <c r="Q728">
        <f t="shared" si="1000"/>
        <v>6212889.9085714659</v>
      </c>
      <c r="R728">
        <f t="shared" si="1001"/>
        <v>-511692688.09066868</v>
      </c>
      <c r="S728">
        <f t="shared" si="1002"/>
        <v>-5116.9268809066871</v>
      </c>
      <c r="T728">
        <f t="shared" si="1003"/>
        <v>-5.1169268809066875</v>
      </c>
    </row>
    <row r="729" spans="1:20" x14ac:dyDescent="0.25">
      <c r="A729" s="5">
        <v>43864</v>
      </c>
      <c r="B729">
        <v>7.9900000000000006E-3</v>
      </c>
      <c r="C729">
        <v>8.1700000000000002E-3</v>
      </c>
      <c r="D729">
        <v>7.7799999999999996E-3</v>
      </c>
      <c r="E729">
        <v>7.92E-3</v>
      </c>
      <c r="F729">
        <v>9993584.1999999993</v>
      </c>
      <c r="G729">
        <v>0</v>
      </c>
      <c r="L729" t="s">
        <v>8</v>
      </c>
      <c r="M729" t="s">
        <v>7</v>
      </c>
      <c r="N729" t="s">
        <v>7</v>
      </c>
      <c r="P729">
        <f t="shared" si="999"/>
        <v>-0.28205128205128127</v>
      </c>
      <c r="Q729">
        <f t="shared" si="1000"/>
        <v>-2818703.2358974279</v>
      </c>
      <c r="R729">
        <f t="shared" si="1001"/>
        <v>-517905577.99924016</v>
      </c>
      <c r="S729">
        <f t="shared" si="1002"/>
        <v>-5179.0557799924018</v>
      </c>
      <c r="T729">
        <f t="shared" si="1003"/>
        <v>-5.1790557799924022</v>
      </c>
    </row>
    <row r="730" spans="1:20" x14ac:dyDescent="0.25">
      <c r="A730" s="5">
        <v>43863</v>
      </c>
      <c r="B730">
        <v>7.92E-3</v>
      </c>
      <c r="C730">
        <v>8.2000000000000007E-3</v>
      </c>
      <c r="D730">
        <v>7.8100000000000001E-3</v>
      </c>
      <c r="E730">
        <v>7.9900000000000006E-3</v>
      </c>
      <c r="F730">
        <v>8942328</v>
      </c>
      <c r="G730">
        <v>0</v>
      </c>
      <c r="L730" t="s">
        <v>8</v>
      </c>
      <c r="M730" t="s">
        <v>7</v>
      </c>
      <c r="N730" t="s">
        <v>7</v>
      </c>
      <c r="P730">
        <f t="shared" si="999"/>
        <v>-7.69230769230759E-2</v>
      </c>
      <c r="Q730">
        <f t="shared" si="1000"/>
        <v>-687871.38461537543</v>
      </c>
      <c r="R730">
        <f t="shared" si="1001"/>
        <v>-515086874.76334274</v>
      </c>
      <c r="S730">
        <f t="shared" si="1002"/>
        <v>-5150.8687476334271</v>
      </c>
      <c r="T730">
        <f t="shared" si="1003"/>
        <v>-5.1508687476334272</v>
      </c>
    </row>
    <row r="731" spans="1:20" x14ac:dyDescent="0.25">
      <c r="A731" s="5">
        <v>43862</v>
      </c>
      <c r="B731">
        <v>8.0000000000000002E-3</v>
      </c>
      <c r="C731">
        <v>8.0599999999999995E-3</v>
      </c>
      <c r="D731">
        <v>7.62E-3</v>
      </c>
      <c r="E731">
        <v>7.92E-3</v>
      </c>
      <c r="F731">
        <v>8379285.7000000002</v>
      </c>
      <c r="G731">
        <v>0</v>
      </c>
      <c r="L731" t="s">
        <v>8</v>
      </c>
      <c r="M731" t="s">
        <v>7</v>
      </c>
      <c r="N731" t="s">
        <v>7</v>
      </c>
      <c r="P731">
        <f t="shared" si="999"/>
        <v>0.36363636363636509</v>
      </c>
      <c r="Q731">
        <f t="shared" si="1000"/>
        <v>3047012.981818194</v>
      </c>
      <c r="R731">
        <f t="shared" si="1001"/>
        <v>-514399003.37872738</v>
      </c>
      <c r="S731">
        <f t="shared" si="1002"/>
        <v>-5143.9900337872741</v>
      </c>
      <c r="T731">
        <f t="shared" si="1003"/>
        <v>-5.1439900337872739</v>
      </c>
    </row>
    <row r="732" spans="1:20" x14ac:dyDescent="0.25">
      <c r="A732" s="5">
        <v>43861</v>
      </c>
      <c r="B732">
        <v>7.3899999999999999E-3</v>
      </c>
      <c r="C732">
        <v>8.0099999999999998E-3</v>
      </c>
      <c r="D732">
        <v>7.3099999999999997E-3</v>
      </c>
      <c r="E732">
        <v>7.9399999999999991E-3</v>
      </c>
      <c r="F732">
        <v>16813877</v>
      </c>
      <c r="G732">
        <v>0</v>
      </c>
      <c r="L732" t="s">
        <v>8</v>
      </c>
      <c r="M732" t="s">
        <v>7</v>
      </c>
      <c r="N732" t="s">
        <v>7</v>
      </c>
      <c r="P732">
        <f t="shared" si="999"/>
        <v>0.79999999999999827</v>
      </c>
      <c r="Q732">
        <f t="shared" si="1000"/>
        <v>13451101.599999972</v>
      </c>
      <c r="R732">
        <f t="shared" si="1001"/>
        <v>-517446016.36054558</v>
      </c>
      <c r="S732">
        <f t="shared" si="1002"/>
        <v>-5174.4601636054558</v>
      </c>
      <c r="T732">
        <f t="shared" si="1003"/>
        <v>-5.1744601636054561</v>
      </c>
    </row>
    <row r="733" spans="1:20" x14ac:dyDescent="0.25">
      <c r="A733" s="5">
        <v>43860</v>
      </c>
      <c r="B733">
        <v>7.6299999999999996E-3</v>
      </c>
      <c r="C733">
        <v>7.6400000000000001E-3</v>
      </c>
      <c r="D733">
        <v>7.2700000000000004E-3</v>
      </c>
      <c r="E733">
        <v>7.4200000000000004E-3</v>
      </c>
      <c r="F733">
        <v>9567797.3000000007</v>
      </c>
      <c r="G733">
        <v>0</v>
      </c>
      <c r="L733" t="s">
        <v>7</v>
      </c>
      <c r="M733" t="s">
        <v>7</v>
      </c>
      <c r="N733" t="s">
        <v>7</v>
      </c>
      <c r="P733">
        <f t="shared" si="999"/>
        <v>-0.18918918918918867</v>
      </c>
      <c r="Q733">
        <f t="shared" si="1000"/>
        <v>-1810123.8135135088</v>
      </c>
      <c r="R733">
        <f t="shared" si="1001"/>
        <v>-530897117.96054554</v>
      </c>
      <c r="S733">
        <f t="shared" si="1002"/>
        <v>-5308.9711796054553</v>
      </c>
      <c r="T733">
        <f t="shared" si="1003"/>
        <v>-5.3089711796054555</v>
      </c>
    </row>
    <row r="734" spans="1:20" x14ac:dyDescent="0.25">
      <c r="A734" s="5">
        <v>43859</v>
      </c>
      <c r="B734">
        <v>7.7099999999999998E-3</v>
      </c>
      <c r="C734">
        <v>7.8100000000000001E-3</v>
      </c>
      <c r="D734">
        <v>7.4700000000000001E-3</v>
      </c>
      <c r="E734">
        <v>7.6400000000000001E-3</v>
      </c>
      <c r="F734">
        <v>13844769</v>
      </c>
      <c r="G734">
        <v>0</v>
      </c>
      <c r="L734" t="s">
        <v>7</v>
      </c>
      <c r="M734" t="s">
        <v>7</v>
      </c>
      <c r="N734" t="s">
        <v>7</v>
      </c>
      <c r="P734">
        <f t="shared" si="999"/>
        <v>0</v>
      </c>
      <c r="Q734">
        <f t="shared" si="1000"/>
        <v>0</v>
      </c>
      <c r="R734">
        <f t="shared" si="1001"/>
        <v>-529086994.14703202</v>
      </c>
      <c r="S734">
        <f t="shared" si="1002"/>
        <v>-5290.8699414703206</v>
      </c>
      <c r="T734">
        <f t="shared" si="1003"/>
        <v>-5.2908699414703202</v>
      </c>
    </row>
    <row r="735" spans="1:20" x14ac:dyDescent="0.25">
      <c r="A735" s="5">
        <v>43858</v>
      </c>
      <c r="B735">
        <v>7.8499999999999993E-3</v>
      </c>
      <c r="C735">
        <v>8.0400000000000003E-3</v>
      </c>
      <c r="D735">
        <v>7.6699999999999997E-3</v>
      </c>
      <c r="E735">
        <v>7.7600000000000004E-3</v>
      </c>
      <c r="F735">
        <v>8231578.7999999998</v>
      </c>
      <c r="G735">
        <v>0</v>
      </c>
      <c r="L735" t="s">
        <v>7</v>
      </c>
      <c r="M735" t="s">
        <v>8</v>
      </c>
      <c r="N735" t="s">
        <v>7</v>
      </c>
      <c r="P735">
        <f t="shared" si="999"/>
        <v>-0.5135135135135106</v>
      </c>
      <c r="Q735">
        <f t="shared" si="1000"/>
        <v>-4227026.9513513269</v>
      </c>
      <c r="R735">
        <f t="shared" si="1001"/>
        <v>-529086994.14703202</v>
      </c>
      <c r="S735">
        <f t="shared" si="1002"/>
        <v>-5290.8699414703206</v>
      </c>
      <c r="T735">
        <f t="shared" si="1003"/>
        <v>-5.2908699414703202</v>
      </c>
    </row>
    <row r="736" spans="1:20" x14ac:dyDescent="0.25">
      <c r="A736" s="5">
        <v>43857</v>
      </c>
      <c r="B736">
        <v>8.1099999999999992E-3</v>
      </c>
      <c r="C736">
        <v>8.1600000000000006E-3</v>
      </c>
      <c r="D736">
        <v>7.6800000000000002E-3</v>
      </c>
      <c r="E736">
        <v>7.8100000000000001E-3</v>
      </c>
      <c r="F736">
        <v>14501569.300000001</v>
      </c>
      <c r="G736">
        <v>0</v>
      </c>
      <c r="L736" t="s">
        <v>7</v>
      </c>
      <c r="M736" t="s">
        <v>8</v>
      </c>
      <c r="N736" t="s">
        <v>7</v>
      </c>
      <c r="P736">
        <f t="shared" si="999"/>
        <v>-0.45833333333333415</v>
      </c>
      <c r="Q736">
        <f t="shared" si="1000"/>
        <v>-6646552.5958333453</v>
      </c>
      <c r="R736">
        <f t="shared" si="1001"/>
        <v>-524859967.19568068</v>
      </c>
      <c r="S736">
        <f t="shared" si="1002"/>
        <v>-5248.5996719568066</v>
      </c>
      <c r="T736">
        <f t="shared" si="1003"/>
        <v>-5.2485996719568062</v>
      </c>
    </row>
    <row r="737" spans="1:20" x14ac:dyDescent="0.25">
      <c r="A737" s="5">
        <v>43856</v>
      </c>
      <c r="B737">
        <v>7.3499999999999998E-3</v>
      </c>
      <c r="C737">
        <v>9.1000000000000004E-3</v>
      </c>
      <c r="D737">
        <v>7.28E-3</v>
      </c>
      <c r="E737">
        <v>8.1300000000000001E-3</v>
      </c>
      <c r="F737">
        <v>36043588.899999999</v>
      </c>
      <c r="G737">
        <v>0</v>
      </c>
      <c r="L737" t="s">
        <v>8</v>
      </c>
      <c r="M737" t="s">
        <v>8</v>
      </c>
      <c r="N737" t="s">
        <v>7</v>
      </c>
      <c r="P737">
        <f t="shared" si="999"/>
        <v>-6.5934065934066088E-2</v>
      </c>
      <c r="Q737">
        <f t="shared" si="1000"/>
        <v>-2376500.3670329726</v>
      </c>
      <c r="R737">
        <f t="shared" si="1001"/>
        <v>-518213414.59984732</v>
      </c>
      <c r="S737">
        <f t="shared" si="1002"/>
        <v>-5182.1341459984733</v>
      </c>
      <c r="T737">
        <f t="shared" si="1003"/>
        <v>-5.1821341459984733</v>
      </c>
    </row>
    <row r="738" spans="1:20" x14ac:dyDescent="0.25">
      <c r="A738" s="5">
        <v>43855</v>
      </c>
      <c r="B738">
        <v>7.2700000000000004E-3</v>
      </c>
      <c r="C738">
        <v>7.4599999999999996E-3</v>
      </c>
      <c r="D738">
        <v>7.0299999999999998E-3</v>
      </c>
      <c r="E738">
        <v>7.4200000000000004E-3</v>
      </c>
      <c r="F738">
        <v>2020258.8</v>
      </c>
      <c r="G738">
        <v>0</v>
      </c>
      <c r="L738" t="s">
        <v>7</v>
      </c>
      <c r="M738" t="s">
        <v>8</v>
      </c>
      <c r="N738" t="s">
        <v>7</v>
      </c>
      <c r="P738">
        <f t="shared" si="999"/>
        <v>0.81395348837209647</v>
      </c>
      <c r="Q738">
        <f t="shared" si="1000"/>
        <v>1644396.6976744256</v>
      </c>
      <c r="R738">
        <f t="shared" si="1001"/>
        <v>-515836914.23281437</v>
      </c>
      <c r="S738">
        <f t="shared" si="1002"/>
        <v>-5158.3691423281434</v>
      </c>
      <c r="T738">
        <f t="shared" si="1003"/>
        <v>-5.1583691423281435</v>
      </c>
    </row>
    <row r="739" spans="1:20" x14ac:dyDescent="0.25">
      <c r="A739" s="5">
        <v>43854</v>
      </c>
      <c r="B739">
        <v>7.3200000000000001E-3</v>
      </c>
      <c r="C739">
        <v>7.4400000000000004E-3</v>
      </c>
      <c r="D739">
        <v>7.0400000000000003E-3</v>
      </c>
      <c r="E739">
        <v>7.28E-3</v>
      </c>
      <c r="F739">
        <v>3236872.3</v>
      </c>
      <c r="G739">
        <v>0</v>
      </c>
      <c r="L739" t="s">
        <v>7</v>
      </c>
      <c r="M739" t="s">
        <v>8</v>
      </c>
      <c r="N739" t="s">
        <v>7</v>
      </c>
      <c r="P739">
        <f t="shared" si="999"/>
        <v>0.19999999999999826</v>
      </c>
      <c r="Q739">
        <f t="shared" si="1000"/>
        <v>647374.45999999437</v>
      </c>
      <c r="R739">
        <f t="shared" si="1001"/>
        <v>-517481310.93048882</v>
      </c>
      <c r="S739">
        <f t="shared" si="1002"/>
        <v>-5174.8131093048878</v>
      </c>
      <c r="T739">
        <f t="shared" si="1003"/>
        <v>-5.1748131093048881</v>
      </c>
    </row>
    <row r="740" spans="1:20" x14ac:dyDescent="0.25">
      <c r="A740" s="5">
        <v>43853</v>
      </c>
      <c r="B740">
        <v>7.6899999999999998E-3</v>
      </c>
      <c r="C740">
        <v>7.7200000000000003E-3</v>
      </c>
      <c r="D740">
        <v>7.0200000000000002E-3</v>
      </c>
      <c r="E740">
        <v>7.3400000000000002E-3</v>
      </c>
      <c r="F740">
        <v>10129658.300000001</v>
      </c>
      <c r="G740">
        <v>0</v>
      </c>
      <c r="L740" t="s">
        <v>7</v>
      </c>
      <c r="M740" t="s">
        <v>8</v>
      </c>
      <c r="N740" t="s">
        <v>7</v>
      </c>
      <c r="P740">
        <f t="shared" si="999"/>
        <v>-8.5714285714285923E-2</v>
      </c>
      <c r="Q740">
        <f t="shared" si="1000"/>
        <v>-868256.42571428791</v>
      </c>
      <c r="R740">
        <f t="shared" si="1001"/>
        <v>-518128685.3904888</v>
      </c>
      <c r="S740">
        <f t="shared" si="1002"/>
        <v>-5181.2868539048877</v>
      </c>
      <c r="T740">
        <f t="shared" si="1003"/>
        <v>-5.1812868539048873</v>
      </c>
    </row>
    <row r="741" spans="1:20" x14ac:dyDescent="0.25">
      <c r="A741" s="5">
        <v>43852</v>
      </c>
      <c r="B741">
        <v>7.2399999999999999E-3</v>
      </c>
      <c r="C741">
        <v>8.1399999999999997E-3</v>
      </c>
      <c r="D741">
        <v>7.2399999999999999E-3</v>
      </c>
      <c r="E741">
        <v>7.6699999999999997E-3</v>
      </c>
      <c r="F741">
        <v>24826555</v>
      </c>
      <c r="G741">
        <v>0</v>
      </c>
      <c r="L741" t="s">
        <v>8</v>
      </c>
      <c r="M741" t="s">
        <v>8</v>
      </c>
      <c r="N741" t="s">
        <v>7</v>
      </c>
      <c r="P741">
        <f t="shared" si="999"/>
        <v>-4.4444444444444571E-2</v>
      </c>
      <c r="Q741">
        <f t="shared" si="1000"/>
        <v>-1103402.4444444475</v>
      </c>
      <c r="R741">
        <f t="shared" si="1001"/>
        <v>-517260428.96477449</v>
      </c>
      <c r="S741">
        <f t="shared" si="1002"/>
        <v>-5172.6042896477447</v>
      </c>
      <c r="T741">
        <f t="shared" si="1003"/>
        <v>-5.1726042896477447</v>
      </c>
    </row>
    <row r="742" spans="1:20" x14ac:dyDescent="0.25">
      <c r="A742" s="5">
        <v>43851</v>
      </c>
      <c r="B742">
        <v>6.9499999999999996E-3</v>
      </c>
      <c r="C742">
        <v>7.3699999999999998E-3</v>
      </c>
      <c r="D742">
        <v>6.9100000000000003E-3</v>
      </c>
      <c r="E742">
        <v>7.2700000000000004E-3</v>
      </c>
      <c r="F742">
        <v>2773673.6</v>
      </c>
      <c r="G742">
        <v>0</v>
      </c>
      <c r="L742" t="s">
        <v>8</v>
      </c>
      <c r="M742" t="s">
        <v>7</v>
      </c>
      <c r="N742" t="s">
        <v>7</v>
      </c>
      <c r="P742">
        <f t="shared" si="999"/>
        <v>0.56521739130435</v>
      </c>
      <c r="Q742">
        <f t="shared" si="1000"/>
        <v>1567728.5565217452</v>
      </c>
      <c r="R742">
        <f t="shared" si="1001"/>
        <v>-516157026.52033007</v>
      </c>
      <c r="S742">
        <f t="shared" si="1002"/>
        <v>-5161.5702652033006</v>
      </c>
      <c r="T742">
        <f t="shared" si="1003"/>
        <v>-5.1615702652033004</v>
      </c>
    </row>
    <row r="743" spans="1:20" x14ac:dyDescent="0.25">
      <c r="A743" s="5">
        <v>43850</v>
      </c>
      <c r="B743">
        <v>7.0600000000000003E-3</v>
      </c>
      <c r="C743">
        <v>7.1000000000000004E-3</v>
      </c>
      <c r="D743">
        <v>6.8100000000000001E-3</v>
      </c>
      <c r="E743">
        <v>6.9199999999999999E-3</v>
      </c>
      <c r="F743">
        <v>3869035.3</v>
      </c>
      <c r="G743">
        <v>0</v>
      </c>
      <c r="L743" t="s">
        <v>7</v>
      </c>
      <c r="M743" t="s">
        <v>7</v>
      </c>
      <c r="N743" t="s">
        <v>7</v>
      </c>
      <c r="P743">
        <f t="shared" si="999"/>
        <v>-0.24137931034482946</v>
      </c>
      <c r="Q743">
        <f t="shared" si="1000"/>
        <v>-933905.07241380028</v>
      </c>
      <c r="R743">
        <f t="shared" si="1001"/>
        <v>-517724755.07685184</v>
      </c>
      <c r="S743">
        <f t="shared" si="1002"/>
        <v>-5177.2475507685185</v>
      </c>
      <c r="T743">
        <f t="shared" si="1003"/>
        <v>-5.1772475507685183</v>
      </c>
    </row>
    <row r="744" spans="1:20" x14ac:dyDescent="0.25">
      <c r="A744" s="5">
        <v>43849</v>
      </c>
      <c r="B744">
        <v>7.3000000000000001E-3</v>
      </c>
      <c r="C744">
        <v>7.4000000000000003E-3</v>
      </c>
      <c r="D744">
        <v>6.77E-3</v>
      </c>
      <c r="E744">
        <v>7.0400000000000003E-3</v>
      </c>
      <c r="F744">
        <v>4843360.8</v>
      </c>
      <c r="G744">
        <v>0</v>
      </c>
      <c r="L744" t="s">
        <v>7</v>
      </c>
      <c r="M744" t="s">
        <v>7</v>
      </c>
      <c r="N744" t="s">
        <v>7</v>
      </c>
      <c r="P744">
        <f t="shared" si="999"/>
        <v>-0.14285714285714246</v>
      </c>
      <c r="Q744">
        <f t="shared" si="1000"/>
        <v>-691908.68571428373</v>
      </c>
      <c r="R744">
        <f t="shared" si="1001"/>
        <v>-516790850.00443804</v>
      </c>
      <c r="S744">
        <f t="shared" si="1002"/>
        <v>-5167.9085000443802</v>
      </c>
      <c r="T744">
        <f t="shared" si="1003"/>
        <v>-5.1679085000443798</v>
      </c>
    </row>
    <row r="745" spans="1:20" x14ac:dyDescent="0.25">
      <c r="A745" s="5">
        <v>43848</v>
      </c>
      <c r="B745">
        <v>7.2700000000000004E-3</v>
      </c>
      <c r="C745">
        <v>7.5399999999999998E-3</v>
      </c>
      <c r="D745">
        <v>7.1399999999999996E-3</v>
      </c>
      <c r="E745">
        <v>7.3200000000000001E-3</v>
      </c>
      <c r="F745">
        <v>7822391.5999999996</v>
      </c>
      <c r="G745">
        <v>0</v>
      </c>
      <c r="L745" t="s">
        <v>8</v>
      </c>
      <c r="M745" t="s">
        <v>7</v>
      </c>
      <c r="N745" t="s">
        <v>7</v>
      </c>
      <c r="P745">
        <f t="shared" si="999"/>
        <v>-9.9999999999998049E-2</v>
      </c>
      <c r="Q745">
        <f t="shared" si="1000"/>
        <v>-782239.15999998467</v>
      </c>
      <c r="R745">
        <f t="shared" si="1001"/>
        <v>-516098941.31872374</v>
      </c>
      <c r="S745">
        <f t="shared" si="1002"/>
        <v>-5160.989413187237</v>
      </c>
      <c r="T745">
        <f t="shared" si="1003"/>
        <v>-5.1609894131872371</v>
      </c>
    </row>
    <row r="746" spans="1:20" x14ac:dyDescent="0.25">
      <c r="A746" s="5">
        <v>43847</v>
      </c>
      <c r="B746">
        <v>7.1500000000000001E-3</v>
      </c>
      <c r="C746">
        <v>7.3400000000000002E-3</v>
      </c>
      <c r="D746">
        <v>6.9899999999999997E-3</v>
      </c>
      <c r="E746">
        <v>7.2300000000000003E-3</v>
      </c>
      <c r="F746">
        <v>10301281.1</v>
      </c>
      <c r="G746">
        <v>0</v>
      </c>
      <c r="L746" t="s">
        <v>8</v>
      </c>
      <c r="M746" t="s">
        <v>7</v>
      </c>
      <c r="N746" t="s">
        <v>7</v>
      </c>
      <c r="P746">
        <f t="shared" si="999"/>
        <v>0.37142857142857311</v>
      </c>
      <c r="Q746">
        <f t="shared" si="1000"/>
        <v>3826190.1228571599</v>
      </c>
      <c r="R746">
        <f t="shared" si="1001"/>
        <v>-515316702.15872377</v>
      </c>
      <c r="S746">
        <f t="shared" si="1002"/>
        <v>-5153.1670215872373</v>
      </c>
      <c r="T746">
        <f t="shared" si="1003"/>
        <v>-5.1531670215872376</v>
      </c>
    </row>
    <row r="747" spans="1:20" x14ac:dyDescent="0.25">
      <c r="A747" s="5">
        <v>43846</v>
      </c>
      <c r="B747">
        <v>7.1500000000000001E-3</v>
      </c>
      <c r="C747">
        <v>7.1599999999999997E-3</v>
      </c>
      <c r="D747">
        <v>6.8599999999999998E-3</v>
      </c>
      <c r="E747">
        <v>7.1599999999999997E-3</v>
      </c>
      <c r="F747">
        <v>11460643.699999999</v>
      </c>
      <c r="G747">
        <v>0</v>
      </c>
      <c r="L747" t="s">
        <v>8</v>
      </c>
      <c r="M747" t="s">
        <v>7</v>
      </c>
      <c r="N747" t="s">
        <v>7</v>
      </c>
      <c r="P747">
        <f t="shared" si="999"/>
        <v>1</v>
      </c>
      <c r="Q747">
        <f t="shared" si="1000"/>
        <v>11460643.699999999</v>
      </c>
      <c r="R747">
        <f t="shared" si="1001"/>
        <v>-519142892.28158092</v>
      </c>
      <c r="S747">
        <f t="shared" si="1002"/>
        <v>-5191.4289228158095</v>
      </c>
      <c r="T747">
        <f t="shared" si="1003"/>
        <v>-5.1914289228158097</v>
      </c>
    </row>
    <row r="748" spans="1:20" x14ac:dyDescent="0.25">
      <c r="A748" s="5">
        <v>43845</v>
      </c>
      <c r="B748">
        <v>6.7799999999999996E-3</v>
      </c>
      <c r="C748">
        <v>7.3600000000000002E-3</v>
      </c>
      <c r="D748">
        <v>6.7600000000000004E-3</v>
      </c>
      <c r="E748">
        <v>7.1500000000000001E-3</v>
      </c>
      <c r="F748">
        <v>15554817.199999999</v>
      </c>
      <c r="G748">
        <v>0</v>
      </c>
      <c r="L748" t="s">
        <v>8</v>
      </c>
      <c r="M748" t="s">
        <v>7</v>
      </c>
      <c r="N748" t="s">
        <v>7</v>
      </c>
      <c r="P748">
        <f t="shared" si="999"/>
        <v>0.29999999999999943</v>
      </c>
      <c r="Q748">
        <f t="shared" si="1000"/>
        <v>4666445.1599999908</v>
      </c>
      <c r="R748">
        <f t="shared" si="1001"/>
        <v>-530603535.98158091</v>
      </c>
      <c r="S748">
        <f t="shared" si="1002"/>
        <v>-5306.035359815809</v>
      </c>
      <c r="T748">
        <f t="shared" si="1003"/>
        <v>-5.3060353598158088</v>
      </c>
    </row>
    <row r="749" spans="1:20" x14ac:dyDescent="0.25">
      <c r="A749" s="5">
        <v>43844</v>
      </c>
      <c r="B749">
        <v>6.6899999999999998E-3</v>
      </c>
      <c r="C749">
        <v>7.0000000000000001E-3</v>
      </c>
      <c r="D749">
        <v>6.5399999999999998E-3</v>
      </c>
      <c r="E749">
        <v>6.79E-3</v>
      </c>
      <c r="F749">
        <v>21304362.699999999</v>
      </c>
      <c r="G749">
        <v>0</v>
      </c>
      <c r="L749" t="s">
        <v>8</v>
      </c>
      <c r="M749" t="s">
        <v>7</v>
      </c>
      <c r="N749" t="s">
        <v>7</v>
      </c>
      <c r="P749">
        <f t="shared" si="999"/>
        <v>8.6956521739130599E-2</v>
      </c>
      <c r="Q749">
        <f t="shared" si="1000"/>
        <v>1852553.2782608729</v>
      </c>
      <c r="R749">
        <f t="shared" si="1001"/>
        <v>-535269981.14158088</v>
      </c>
      <c r="S749">
        <f t="shared" si="1002"/>
        <v>-5352.6998114158087</v>
      </c>
      <c r="T749">
        <f t="shared" si="1003"/>
        <v>-5.3526998114158086</v>
      </c>
    </row>
    <row r="750" spans="1:20" x14ac:dyDescent="0.25">
      <c r="A750" s="5">
        <v>43843</v>
      </c>
      <c r="B750">
        <v>6.7200000000000003E-3</v>
      </c>
      <c r="C750">
        <v>6.79E-3</v>
      </c>
      <c r="D750">
        <v>6.5100000000000002E-3</v>
      </c>
      <c r="E750">
        <v>6.6899999999999998E-3</v>
      </c>
      <c r="F750">
        <v>4595528.5999999996</v>
      </c>
      <c r="G750">
        <v>0</v>
      </c>
      <c r="L750" t="s">
        <v>7</v>
      </c>
      <c r="M750" t="s">
        <v>7</v>
      </c>
      <c r="N750" t="s">
        <v>7</v>
      </c>
      <c r="P750">
        <f t="shared" si="999"/>
        <v>0.28571428571428348</v>
      </c>
      <c r="Q750">
        <f t="shared" si="1000"/>
        <v>1313008.171428561</v>
      </c>
      <c r="R750">
        <f t="shared" si="1001"/>
        <v>-537122534.41984177</v>
      </c>
      <c r="S750">
        <f t="shared" si="1002"/>
        <v>-5371.2253441984176</v>
      </c>
      <c r="T750">
        <f t="shared" si="1003"/>
        <v>-5.3712253441984172</v>
      </c>
    </row>
    <row r="751" spans="1:20" x14ac:dyDescent="0.25">
      <c r="A751" s="5">
        <v>43842</v>
      </c>
      <c r="B751">
        <v>6.6699999999999997E-3</v>
      </c>
      <c r="C751">
        <v>6.8199999999999997E-3</v>
      </c>
      <c r="D751">
        <v>6.6E-3</v>
      </c>
      <c r="E751">
        <v>6.7099999999999998E-3</v>
      </c>
      <c r="F751">
        <v>3809772.5</v>
      </c>
      <c r="G751">
        <v>0</v>
      </c>
      <c r="L751" t="s">
        <v>8</v>
      </c>
      <c r="M751" t="s">
        <v>7</v>
      </c>
      <c r="N751" t="s">
        <v>7</v>
      </c>
      <c r="P751">
        <f t="shared" si="999"/>
        <v>0</v>
      </c>
      <c r="Q751">
        <f t="shared" si="1000"/>
        <v>0</v>
      </c>
      <c r="R751">
        <f t="shared" si="1001"/>
        <v>-538435542.59127033</v>
      </c>
      <c r="S751">
        <f t="shared" si="1002"/>
        <v>-5384.3554259127031</v>
      </c>
      <c r="T751">
        <f t="shared" si="1003"/>
        <v>-5.3843554259127036</v>
      </c>
    </row>
    <row r="752" spans="1:20" x14ac:dyDescent="0.25">
      <c r="A752" s="5">
        <v>43841</v>
      </c>
      <c r="B752">
        <v>6.5500000000000003E-3</v>
      </c>
      <c r="C752">
        <v>7.0299999999999998E-3</v>
      </c>
      <c r="D752">
        <v>6.4799999999999996E-3</v>
      </c>
      <c r="E752">
        <v>6.6899999999999998E-3</v>
      </c>
      <c r="F752">
        <v>13012516.4</v>
      </c>
      <c r="G752">
        <v>0</v>
      </c>
      <c r="L752" t="s">
        <v>8</v>
      </c>
      <c r="M752" t="s">
        <v>7</v>
      </c>
      <c r="N752" t="s">
        <v>7</v>
      </c>
      <c r="P752">
        <f t="shared" si="999"/>
        <v>-0.23636363636363614</v>
      </c>
      <c r="Q752">
        <f t="shared" si="1000"/>
        <v>-3075685.6945454516</v>
      </c>
      <c r="R752">
        <f t="shared" si="1001"/>
        <v>-538435542.59127033</v>
      </c>
      <c r="S752">
        <f t="shared" si="1002"/>
        <v>-5384.3554259127031</v>
      </c>
      <c r="T752">
        <f t="shared" si="1003"/>
        <v>-5.3843554259127036</v>
      </c>
    </row>
    <row r="753" spans="1:20" x14ac:dyDescent="0.25">
      <c r="A753" s="5">
        <v>43840</v>
      </c>
      <c r="B753">
        <v>6.6499999999999997E-3</v>
      </c>
      <c r="C753">
        <v>6.79E-3</v>
      </c>
      <c r="D753">
        <v>6.4200000000000004E-3</v>
      </c>
      <c r="E753">
        <v>6.5500000000000003E-3</v>
      </c>
      <c r="F753">
        <v>9860030.6999999993</v>
      </c>
      <c r="G753">
        <v>0</v>
      </c>
      <c r="L753" t="s">
        <v>7</v>
      </c>
      <c r="M753" t="s">
        <v>7</v>
      </c>
      <c r="N753" t="s">
        <v>7</v>
      </c>
      <c r="P753">
        <f t="shared" si="999"/>
        <v>-0.29729729729729715</v>
      </c>
      <c r="Q753">
        <f t="shared" si="1000"/>
        <v>-2931360.4783783765</v>
      </c>
      <c r="R753">
        <f t="shared" si="1001"/>
        <v>-535359856.89672482</v>
      </c>
      <c r="S753">
        <f t="shared" si="1002"/>
        <v>-5353.598568967248</v>
      </c>
      <c r="T753">
        <f t="shared" si="1003"/>
        <v>-5.3535985689672483</v>
      </c>
    </row>
    <row r="754" spans="1:20" x14ac:dyDescent="0.25">
      <c r="A754" s="5">
        <v>43839</v>
      </c>
      <c r="B754">
        <v>6.7799999999999996E-3</v>
      </c>
      <c r="C754">
        <v>6.8500000000000002E-3</v>
      </c>
      <c r="D754">
        <v>6.5799999999999999E-3</v>
      </c>
      <c r="E754">
        <v>6.6400000000000001E-3</v>
      </c>
      <c r="F754">
        <v>5808930.7000000002</v>
      </c>
      <c r="G754">
        <v>0</v>
      </c>
      <c r="L754" t="s">
        <v>7</v>
      </c>
      <c r="M754" t="s">
        <v>7</v>
      </c>
      <c r="N754" t="s">
        <v>7</v>
      </c>
      <c r="P754">
        <f t="shared" si="999"/>
        <v>-0.5555555555555548</v>
      </c>
      <c r="Q754">
        <f t="shared" si="1000"/>
        <v>-3227183.7222222178</v>
      </c>
      <c r="R754">
        <f t="shared" si="1001"/>
        <v>-532428496.41834646</v>
      </c>
      <c r="S754">
        <f t="shared" si="1002"/>
        <v>-5324.2849641834646</v>
      </c>
      <c r="T754">
        <f t="shared" si="1003"/>
        <v>-5.3242849641834642</v>
      </c>
    </row>
    <row r="755" spans="1:20" x14ac:dyDescent="0.25">
      <c r="A755" s="5">
        <v>43838</v>
      </c>
      <c r="B755">
        <v>7.0499999999999998E-3</v>
      </c>
      <c r="C755">
        <v>7.1399999999999996E-3</v>
      </c>
      <c r="D755">
        <v>6.6800000000000002E-3</v>
      </c>
      <c r="E755">
        <v>6.7799999999999996E-3</v>
      </c>
      <c r="F755">
        <v>14334271.6</v>
      </c>
      <c r="G755">
        <v>0</v>
      </c>
      <c r="L755" t="s">
        <v>7</v>
      </c>
      <c r="M755" t="s">
        <v>7</v>
      </c>
      <c r="N755" t="s">
        <v>7</v>
      </c>
      <c r="P755">
        <f t="shared" si="999"/>
        <v>-0.56521739130435</v>
      </c>
      <c r="Q755">
        <f t="shared" si="1000"/>
        <v>-8101979.6000000313</v>
      </c>
      <c r="R755">
        <f t="shared" si="1001"/>
        <v>-529201312.69612426</v>
      </c>
      <c r="S755">
        <f t="shared" si="1002"/>
        <v>-5292.013126961243</v>
      </c>
      <c r="T755">
        <f t="shared" si="1003"/>
        <v>-5.2920131269612432</v>
      </c>
    </row>
    <row r="756" spans="1:20" x14ac:dyDescent="0.25">
      <c r="A756" s="5">
        <v>43837</v>
      </c>
      <c r="B756">
        <v>7.4099999999999999E-3</v>
      </c>
      <c r="C756">
        <v>7.4700000000000001E-3</v>
      </c>
      <c r="D756">
        <v>6.96E-3</v>
      </c>
      <c r="E756">
        <v>7.0499999999999998E-3</v>
      </c>
      <c r="F756">
        <v>10632954.1</v>
      </c>
      <c r="G756">
        <v>0</v>
      </c>
      <c r="L756" t="s">
        <v>8</v>
      </c>
      <c r="M756" t="s">
        <v>7</v>
      </c>
      <c r="N756" t="s">
        <v>7</v>
      </c>
      <c r="P756">
        <f t="shared" si="999"/>
        <v>-0.64705882352941257</v>
      </c>
      <c r="Q756">
        <f t="shared" si="1000"/>
        <v>-6880146.7705882434</v>
      </c>
      <c r="R756">
        <f t="shared" si="1001"/>
        <v>-521099333.09612423</v>
      </c>
      <c r="S756">
        <f t="shared" si="1002"/>
        <v>-5210.9933309612425</v>
      </c>
      <c r="T756">
        <f t="shared" si="1003"/>
        <v>-5.2109933309612426</v>
      </c>
    </row>
    <row r="757" spans="1:20" x14ac:dyDescent="0.25">
      <c r="A757" s="5">
        <v>43836</v>
      </c>
      <c r="B757">
        <v>7.3400000000000002E-3</v>
      </c>
      <c r="C757">
        <v>7.4700000000000001E-3</v>
      </c>
      <c r="D757">
        <v>7.2399999999999999E-3</v>
      </c>
      <c r="E757">
        <v>7.4099999999999999E-3</v>
      </c>
      <c r="F757">
        <v>7645856.7000000002</v>
      </c>
      <c r="G757">
        <v>0</v>
      </c>
      <c r="L757" t="s">
        <v>8</v>
      </c>
      <c r="M757" t="s">
        <v>7</v>
      </c>
      <c r="N757" t="s">
        <v>7</v>
      </c>
      <c r="P757">
        <f t="shared" si="999"/>
        <v>0.47826086956521641</v>
      </c>
      <c r="Q757">
        <f t="shared" si="1000"/>
        <v>3656714.0739130359</v>
      </c>
      <c r="R757">
        <f t="shared" si="1001"/>
        <v>-514219186.32553601</v>
      </c>
      <c r="S757">
        <f t="shared" si="1002"/>
        <v>-5142.1918632553597</v>
      </c>
      <c r="T757">
        <f t="shared" si="1003"/>
        <v>-5.14219186325536</v>
      </c>
    </row>
    <row r="758" spans="1:20" x14ac:dyDescent="0.25">
      <c r="A758" s="5">
        <v>43835</v>
      </c>
      <c r="B758">
        <v>7.2700000000000004E-3</v>
      </c>
      <c r="C758">
        <v>7.4599999999999996E-3</v>
      </c>
      <c r="D758">
        <v>7.1999999999999998E-3</v>
      </c>
      <c r="E758">
        <v>7.3400000000000002E-3</v>
      </c>
      <c r="F758">
        <v>3853634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7.6923076923080522E-2</v>
      </c>
      <c r="Q758">
        <f t="shared" si="1000"/>
        <v>296433.38461539848</v>
      </c>
      <c r="R758">
        <f t="shared" si="1001"/>
        <v>-517875900.39944905</v>
      </c>
      <c r="S758">
        <f t="shared" si="1002"/>
        <v>-5178.7590039944907</v>
      </c>
      <c r="T758">
        <f t="shared" si="1003"/>
        <v>-5.1787590039944904</v>
      </c>
    </row>
    <row r="759" spans="1:20" x14ac:dyDescent="0.25">
      <c r="A759" s="5">
        <v>43834</v>
      </c>
      <c r="B759">
        <v>7.4200000000000004E-3</v>
      </c>
      <c r="C759">
        <v>7.4400000000000004E-3</v>
      </c>
      <c r="D759">
        <v>7.1300000000000001E-3</v>
      </c>
      <c r="E759">
        <v>7.28E-3</v>
      </c>
      <c r="F759">
        <v>4878531.7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-3.2258064516130475E-2</v>
      </c>
      <c r="Q759">
        <f t="shared" si="1000"/>
        <v>-157371.99032258769</v>
      </c>
      <c r="R759">
        <f t="shared" si="1001"/>
        <v>-518172333.78406447</v>
      </c>
      <c r="S759">
        <f t="shared" si="1002"/>
        <v>-5181.7233378406445</v>
      </c>
      <c r="T759">
        <f t="shared" si="1003"/>
        <v>-5.1817233378406442</v>
      </c>
    </row>
    <row r="760" spans="1:20" x14ac:dyDescent="0.25">
      <c r="A760" s="5">
        <v>43833</v>
      </c>
      <c r="B760">
        <v>7.0000000000000001E-3</v>
      </c>
      <c r="C760">
        <v>7.4799999999999997E-3</v>
      </c>
      <c r="D760">
        <v>6.94E-3</v>
      </c>
      <c r="E760">
        <v>7.3899999999999999E-3</v>
      </c>
      <c r="F760">
        <v>7614468.2000000002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0.66666666666666718</v>
      </c>
      <c r="Q760">
        <f t="shared" si="1000"/>
        <v>5076312.1333333375</v>
      </c>
      <c r="R760">
        <f t="shared" si="1001"/>
        <v>-518014961.79374188</v>
      </c>
      <c r="S760">
        <f t="shared" si="1002"/>
        <v>-5180.149617937419</v>
      </c>
      <c r="T760">
        <f t="shared" si="1003"/>
        <v>-5.1801496179374187</v>
      </c>
    </row>
    <row r="761" spans="1:20" x14ac:dyDescent="0.25">
      <c r="A761" s="5">
        <v>43832</v>
      </c>
      <c r="B761">
        <v>7.5399999999999998E-3</v>
      </c>
      <c r="C761">
        <v>7.6099999999999996E-3</v>
      </c>
      <c r="D761">
        <v>6.8199999999999997E-3</v>
      </c>
      <c r="E761">
        <v>6.9899999999999997E-3</v>
      </c>
      <c r="F761">
        <v>15220691.9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-0.56962025316455689</v>
      </c>
      <c r="Q761">
        <f t="shared" si="1000"/>
        <v>-8670014.3734177202</v>
      </c>
      <c r="R761">
        <f t="shared" si="1001"/>
        <v>-523091273.92707521</v>
      </c>
      <c r="S761">
        <f t="shared" si="1002"/>
        <v>-5230.9127392707524</v>
      </c>
      <c r="T761">
        <f t="shared" si="1003"/>
        <v>-5.2309127392707522</v>
      </c>
    </row>
    <row r="762" spans="1:20" x14ac:dyDescent="0.25">
      <c r="A762" s="5">
        <v>43831</v>
      </c>
      <c r="B762">
        <v>7.0800000000000004E-3</v>
      </c>
      <c r="C762">
        <v>7.7299999999999999E-3</v>
      </c>
      <c r="D762">
        <v>7.0299999999999998E-3</v>
      </c>
      <c r="E762">
        <v>7.5700000000000003E-3</v>
      </c>
      <c r="F762">
        <v>6866617.9000000004</v>
      </c>
      <c r="G762">
        <v>0</v>
      </c>
      <c r="L762" t="s">
        <v>8</v>
      </c>
      <c r="M762" t="s">
        <v>7</v>
      </c>
      <c r="N762" t="s">
        <v>7</v>
      </c>
      <c r="P762">
        <f t="shared" si="999"/>
        <v>0.54285714285714415</v>
      </c>
      <c r="Q762">
        <f t="shared" si="1000"/>
        <v>3727592.5742857233</v>
      </c>
      <c r="R762">
        <f t="shared" si="1001"/>
        <v>-514421259.55365747</v>
      </c>
      <c r="S762">
        <f t="shared" si="1002"/>
        <v>-5144.2125955365746</v>
      </c>
      <c r="T762">
        <f t="shared" si="1003"/>
        <v>-5.1442125955365743</v>
      </c>
    </row>
    <row r="763" spans="1:20" x14ac:dyDescent="0.25">
      <c r="A763" s="5">
        <v>43830</v>
      </c>
      <c r="B763">
        <v>7.3400000000000002E-3</v>
      </c>
      <c r="C763">
        <v>7.3899999999999999E-3</v>
      </c>
      <c r="D763">
        <v>6.9800000000000001E-3</v>
      </c>
      <c r="E763">
        <v>7.0699999999999999E-3</v>
      </c>
      <c r="F763">
        <v>6442305.7999999998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-0.56097560975609828</v>
      </c>
      <c r="Q763">
        <f t="shared" si="1000"/>
        <v>-3613976.4243902485</v>
      </c>
      <c r="R763">
        <f t="shared" si="1001"/>
        <v>-518148852.12794322</v>
      </c>
      <c r="S763">
        <f t="shared" si="1002"/>
        <v>-5181.4885212794325</v>
      </c>
      <c r="T763">
        <f t="shared" si="1003"/>
        <v>-5.1814885212794328</v>
      </c>
    </row>
    <row r="764" spans="1:20" x14ac:dyDescent="0.25">
      <c r="A764" s="5">
        <v>43829</v>
      </c>
      <c r="B764">
        <v>7.3800000000000003E-3</v>
      </c>
      <c r="C764">
        <v>7.6E-3</v>
      </c>
      <c r="D764">
        <v>7.2700000000000004E-3</v>
      </c>
      <c r="E764">
        <v>7.4200000000000004E-3</v>
      </c>
      <c r="F764">
        <v>9878808</v>
      </c>
      <c r="G764">
        <v>0</v>
      </c>
      <c r="L764" t="s">
        <v>7</v>
      </c>
      <c r="M764" t="s">
        <v>7</v>
      </c>
      <c r="N764" t="s">
        <v>7</v>
      </c>
      <c r="P764">
        <f t="shared" si="999"/>
        <v>-9.0909090909089954E-2</v>
      </c>
      <c r="Q764">
        <f t="shared" si="1000"/>
        <v>-898073.45454544516</v>
      </c>
      <c r="R764">
        <f t="shared" si="1001"/>
        <v>-514534875.70355296</v>
      </c>
      <c r="S764">
        <f t="shared" si="1002"/>
        <v>-5145.3487570355292</v>
      </c>
      <c r="T764">
        <f t="shared" si="1003"/>
        <v>-5.1453487570355287</v>
      </c>
    </row>
    <row r="765" spans="1:20" x14ac:dyDescent="0.25">
      <c r="A765" s="5">
        <v>43828</v>
      </c>
      <c r="B765">
        <v>7.7499999999999999E-3</v>
      </c>
      <c r="C765">
        <v>7.8600000000000007E-3</v>
      </c>
      <c r="D765">
        <v>7.28E-3</v>
      </c>
      <c r="E765">
        <v>7.4000000000000003E-3</v>
      </c>
      <c r="F765">
        <v>11638329.800000001</v>
      </c>
      <c r="G765">
        <v>0</v>
      </c>
      <c r="L765" t="s">
        <v>7</v>
      </c>
      <c r="M765" t="s">
        <v>7</v>
      </c>
      <c r="N765" t="s">
        <v>7</v>
      </c>
      <c r="P765">
        <f t="shared" si="999"/>
        <v>-0.58620689655172353</v>
      </c>
      <c r="Q765">
        <f t="shared" si="1000"/>
        <v>-6822469.193103442</v>
      </c>
      <c r="R765">
        <f t="shared" si="1001"/>
        <v>-513636802.24900752</v>
      </c>
      <c r="S765">
        <f t="shared" si="1002"/>
        <v>-5136.3680224900754</v>
      </c>
      <c r="T765">
        <f t="shared" si="1003"/>
        <v>-5.1363680224900756</v>
      </c>
    </row>
    <row r="766" spans="1:20" x14ac:dyDescent="0.25">
      <c r="A766" s="5">
        <v>43827</v>
      </c>
      <c r="B766">
        <v>7.8399999999999997E-3</v>
      </c>
      <c r="C766">
        <v>7.8799999999999999E-3</v>
      </c>
      <c r="D766">
        <v>7.7000000000000002E-3</v>
      </c>
      <c r="E766">
        <v>7.7499999999999999E-3</v>
      </c>
      <c r="F766">
        <v>5326650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-0.44444444444444658</v>
      </c>
      <c r="Q766">
        <f t="shared" si="1000"/>
        <v>-2367400.0000000112</v>
      </c>
      <c r="R766">
        <f t="shared" si="1001"/>
        <v>-506814333.05590409</v>
      </c>
      <c r="S766">
        <f t="shared" si="1002"/>
        <v>-5068.1433305590408</v>
      </c>
      <c r="T766">
        <f t="shared" si="1003"/>
        <v>-5.0681433305590406</v>
      </c>
    </row>
    <row r="767" spans="1:20" x14ac:dyDescent="0.25">
      <c r="A767" s="5">
        <v>43826</v>
      </c>
      <c r="B767">
        <v>7.9100000000000004E-3</v>
      </c>
      <c r="C767">
        <v>7.9500000000000005E-3</v>
      </c>
      <c r="D767">
        <v>7.5599999999999999E-3</v>
      </c>
      <c r="E767">
        <v>7.8200000000000006E-3</v>
      </c>
      <c r="F767">
        <v>8646818.6999999993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0.33333333333333481</v>
      </c>
      <c r="Q767">
        <f t="shared" ref="Q767:Q830" si="1005">F767*P767</f>
        <v>2882272.9000000125</v>
      </c>
      <c r="R767">
        <f t="shared" ref="R767:R830" si="1006">R768+Q767</f>
        <v>-504446933.05590409</v>
      </c>
      <c r="S767">
        <f t="shared" ref="S767:S830" si="1007">R767/100000</f>
        <v>-5044.4693305590408</v>
      </c>
      <c r="T767">
        <f t="shared" ref="T767:T830" si="1008">S767/1000</f>
        <v>-5.0444693305590409</v>
      </c>
    </row>
    <row r="768" spans="1:20" x14ac:dyDescent="0.25">
      <c r="A768" s="5">
        <v>43825</v>
      </c>
      <c r="B768">
        <v>8.2900000000000005E-3</v>
      </c>
      <c r="C768">
        <v>8.3800000000000003E-3</v>
      </c>
      <c r="D768">
        <v>7.77E-3</v>
      </c>
      <c r="E768">
        <v>7.9299999999999995E-3</v>
      </c>
      <c r="F768">
        <v>25072584.800000001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-0.47540983606557552</v>
      </c>
      <c r="Q768">
        <f t="shared" si="1005"/>
        <v>-11919753.429508241</v>
      </c>
      <c r="R768">
        <f t="shared" si="1006"/>
        <v>-507329205.95590413</v>
      </c>
      <c r="S768">
        <f t="shared" si="1007"/>
        <v>-5073.2920595590413</v>
      </c>
      <c r="T768">
        <f t="shared" si="1008"/>
        <v>-5.0732920595590416</v>
      </c>
    </row>
    <row r="769" spans="1:20" x14ac:dyDescent="0.25">
      <c r="A769" s="5">
        <v>43824</v>
      </c>
      <c r="B769">
        <v>8.4399999999999996E-3</v>
      </c>
      <c r="C769">
        <v>8.4399999999999996E-3</v>
      </c>
      <c r="D769">
        <v>8.2000000000000007E-3</v>
      </c>
      <c r="E769">
        <v>8.3199999999999993E-3</v>
      </c>
      <c r="F769">
        <v>4590971.7</v>
      </c>
      <c r="G769">
        <v>0</v>
      </c>
      <c r="L769" t="s">
        <v>7</v>
      </c>
      <c r="M769" t="s">
        <v>8</v>
      </c>
      <c r="N769" t="s">
        <v>7</v>
      </c>
      <c r="P769">
        <f t="shared" si="1004"/>
        <v>-7.2280144832367299E-15</v>
      </c>
      <c r="Q769">
        <f t="shared" si="1005"/>
        <v>-3.3183609939729956E-8</v>
      </c>
      <c r="R769">
        <f t="shared" si="1006"/>
        <v>-495409452.52639586</v>
      </c>
      <c r="S769">
        <f t="shared" si="1007"/>
        <v>-4954.0945252639585</v>
      </c>
      <c r="T769">
        <f t="shared" si="1008"/>
        <v>-4.9540945252639581</v>
      </c>
    </row>
    <row r="770" spans="1:20" x14ac:dyDescent="0.25">
      <c r="A770" s="5">
        <v>43823</v>
      </c>
      <c r="B770">
        <v>8.3499999999999998E-3</v>
      </c>
      <c r="C770">
        <v>8.8000000000000005E-3</v>
      </c>
      <c r="D770">
        <v>8.2900000000000005E-3</v>
      </c>
      <c r="E770">
        <v>8.4399999999999996E-3</v>
      </c>
      <c r="F770">
        <v>6282038.5</v>
      </c>
      <c r="G770">
        <v>0</v>
      </c>
      <c r="L770" t="s">
        <v>7</v>
      </c>
      <c r="M770" t="s">
        <v>8</v>
      </c>
      <c r="N770" t="s">
        <v>7</v>
      </c>
      <c r="P770">
        <f t="shared" si="1004"/>
        <v>-0.41176470588235653</v>
      </c>
      <c r="Q770">
        <f t="shared" si="1005"/>
        <v>-2586721.7352941404</v>
      </c>
      <c r="R770">
        <f t="shared" si="1006"/>
        <v>-495409452.5263958</v>
      </c>
      <c r="S770">
        <f t="shared" si="1007"/>
        <v>-4954.0945252639576</v>
      </c>
      <c r="T770">
        <f t="shared" si="1008"/>
        <v>-4.9540945252639572</v>
      </c>
    </row>
    <row r="771" spans="1:20" x14ac:dyDescent="0.25">
      <c r="A771" s="5">
        <v>43822</v>
      </c>
      <c r="B771">
        <v>9.0799999999999995E-3</v>
      </c>
      <c r="C771">
        <v>9.0799999999999995E-3</v>
      </c>
      <c r="D771">
        <v>8.3000000000000001E-3</v>
      </c>
      <c r="E771">
        <v>8.3700000000000007E-3</v>
      </c>
      <c r="F771">
        <v>9639170.4000000004</v>
      </c>
      <c r="G771">
        <v>0</v>
      </c>
      <c r="L771" t="s">
        <v>7</v>
      </c>
      <c r="M771" t="s">
        <v>8</v>
      </c>
      <c r="N771" t="s">
        <v>7</v>
      </c>
      <c r="P771">
        <f t="shared" si="1004"/>
        <v>-0.82051282051281882</v>
      </c>
      <c r="Q771">
        <f t="shared" si="1005"/>
        <v>-7909062.8923076764</v>
      </c>
      <c r="R771">
        <f t="shared" si="1006"/>
        <v>-492822730.79110163</v>
      </c>
      <c r="S771">
        <f t="shared" si="1007"/>
        <v>-4928.2273079110164</v>
      </c>
      <c r="T771">
        <f t="shared" si="1008"/>
        <v>-4.9282273079110164</v>
      </c>
    </row>
    <row r="772" spans="1:20" x14ac:dyDescent="0.25">
      <c r="A772" s="5">
        <v>43821</v>
      </c>
      <c r="B772">
        <v>8.6400000000000001E-3</v>
      </c>
      <c r="C772">
        <v>9.2700000000000005E-3</v>
      </c>
      <c r="D772">
        <v>8.5000000000000006E-3</v>
      </c>
      <c r="E772">
        <v>9.0699999999999999E-3</v>
      </c>
      <c r="F772">
        <v>10424085.199999999</v>
      </c>
      <c r="G772">
        <v>0</v>
      </c>
      <c r="L772" t="s">
        <v>8</v>
      </c>
      <c r="M772" t="s">
        <v>8</v>
      </c>
      <c r="N772" t="s">
        <v>7</v>
      </c>
      <c r="P772">
        <f t="shared" si="1004"/>
        <v>0.48051948051947907</v>
      </c>
      <c r="Q772">
        <f t="shared" si="1005"/>
        <v>5008976.0051947897</v>
      </c>
      <c r="R772">
        <f t="shared" si="1006"/>
        <v>-484913667.89879394</v>
      </c>
      <c r="S772">
        <f t="shared" si="1007"/>
        <v>-4849.1366789879394</v>
      </c>
      <c r="T772">
        <f t="shared" si="1008"/>
        <v>-4.8491366789879393</v>
      </c>
    </row>
    <row r="773" spans="1:20" x14ac:dyDescent="0.25">
      <c r="A773" s="5">
        <v>43820</v>
      </c>
      <c r="B773">
        <v>8.6199999999999992E-3</v>
      </c>
      <c r="C773">
        <v>8.7299999999999999E-3</v>
      </c>
      <c r="D773">
        <v>8.4700000000000001E-3</v>
      </c>
      <c r="E773">
        <v>8.6599999999999993E-3</v>
      </c>
      <c r="F773">
        <v>5928542</v>
      </c>
      <c r="G773">
        <v>0</v>
      </c>
      <c r="L773" t="s">
        <v>8</v>
      </c>
      <c r="M773" t="s">
        <v>8</v>
      </c>
      <c r="N773" t="s">
        <v>7</v>
      </c>
      <c r="P773">
        <f t="shared" si="1004"/>
        <v>0.4615384615384564</v>
      </c>
      <c r="Q773">
        <f t="shared" si="1005"/>
        <v>2736250.1538461233</v>
      </c>
      <c r="R773">
        <f t="shared" si="1006"/>
        <v>-489922643.90398872</v>
      </c>
      <c r="S773">
        <f t="shared" si="1007"/>
        <v>-4899.2264390398868</v>
      </c>
      <c r="T773">
        <f t="shared" si="1008"/>
        <v>-4.8992264390398867</v>
      </c>
    </row>
    <row r="774" spans="1:20" x14ac:dyDescent="0.25">
      <c r="A774" s="5">
        <v>43819</v>
      </c>
      <c r="B774">
        <v>8.9300000000000004E-3</v>
      </c>
      <c r="C774">
        <v>8.9300000000000004E-3</v>
      </c>
      <c r="D774">
        <v>8.5400000000000007E-3</v>
      </c>
      <c r="E774">
        <v>8.6599999999999993E-3</v>
      </c>
      <c r="F774">
        <v>5833929.4000000004</v>
      </c>
      <c r="G774">
        <v>0</v>
      </c>
      <c r="L774" t="s">
        <v>8</v>
      </c>
      <c r="M774" t="s">
        <v>8</v>
      </c>
      <c r="N774" t="s">
        <v>7</v>
      </c>
      <c r="P774">
        <f t="shared" si="1004"/>
        <v>-0.38461538461539146</v>
      </c>
      <c r="Q774">
        <f t="shared" si="1005"/>
        <v>-2243819.00000004</v>
      </c>
      <c r="R774">
        <f t="shared" si="1006"/>
        <v>-492658894.05783486</v>
      </c>
      <c r="S774">
        <f t="shared" si="1007"/>
        <v>-4926.5889405783482</v>
      </c>
      <c r="T774">
        <f t="shared" si="1008"/>
        <v>-4.9265889405783483</v>
      </c>
    </row>
    <row r="775" spans="1:20" x14ac:dyDescent="0.25">
      <c r="A775" s="5">
        <v>43818</v>
      </c>
      <c r="B775">
        <v>8.7299999999999999E-3</v>
      </c>
      <c r="C775">
        <v>8.9999999999999993E-3</v>
      </c>
      <c r="D775">
        <v>8.43E-3</v>
      </c>
      <c r="E775">
        <v>8.9300000000000004E-3</v>
      </c>
      <c r="F775">
        <v>6316602.2999999998</v>
      </c>
      <c r="G775">
        <v>0</v>
      </c>
      <c r="L775" t="s">
        <v>8</v>
      </c>
      <c r="M775" t="s">
        <v>8</v>
      </c>
      <c r="N775" t="s">
        <v>7</v>
      </c>
      <c r="P775">
        <f t="shared" si="1004"/>
        <v>0.75438596491228438</v>
      </c>
      <c r="Q775">
        <f t="shared" si="1005"/>
        <v>4765156.1210526545</v>
      </c>
      <c r="R775">
        <f t="shared" si="1006"/>
        <v>-490415075.0578348</v>
      </c>
      <c r="S775">
        <f t="shared" si="1007"/>
        <v>-4904.1507505783484</v>
      </c>
      <c r="T775">
        <f t="shared" si="1008"/>
        <v>-4.9041507505783484</v>
      </c>
    </row>
    <row r="776" spans="1:20" x14ac:dyDescent="0.25">
      <c r="A776" s="5">
        <v>43817</v>
      </c>
      <c r="B776">
        <v>7.7400000000000004E-3</v>
      </c>
      <c r="C776">
        <v>9.0699999999999999E-3</v>
      </c>
      <c r="D776">
        <v>7.6E-3</v>
      </c>
      <c r="E776">
        <v>8.7200000000000003E-3</v>
      </c>
      <c r="F776">
        <v>9809794.8000000007</v>
      </c>
      <c r="G776">
        <v>0</v>
      </c>
      <c r="L776" t="s">
        <v>7</v>
      </c>
      <c r="M776" t="s">
        <v>7</v>
      </c>
      <c r="N776" t="s">
        <v>7</v>
      </c>
      <c r="P776">
        <f t="shared" si="1004"/>
        <v>0.52380952380952428</v>
      </c>
      <c r="Q776">
        <f t="shared" si="1005"/>
        <v>5138463.9428571481</v>
      </c>
      <c r="R776">
        <f t="shared" si="1006"/>
        <v>-495180231.17888749</v>
      </c>
      <c r="S776">
        <f t="shared" si="1007"/>
        <v>-4951.8023117888752</v>
      </c>
      <c r="T776">
        <f t="shared" si="1008"/>
        <v>-4.9518023117888754</v>
      </c>
    </row>
    <row r="777" spans="1:20" x14ac:dyDescent="0.25">
      <c r="A777" s="5">
        <v>43816</v>
      </c>
      <c r="B777">
        <v>8.8199999999999997E-3</v>
      </c>
      <c r="C777">
        <v>8.9200000000000008E-3</v>
      </c>
      <c r="D777">
        <v>7.7000000000000002E-3</v>
      </c>
      <c r="E777">
        <v>7.7400000000000004E-3</v>
      </c>
      <c r="F777">
        <v>12246393.1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-0.93442622950819654</v>
      </c>
      <c r="Q777">
        <f t="shared" si="1005"/>
        <v>-11443350.929508194</v>
      </c>
      <c r="R777">
        <f t="shared" si="1006"/>
        <v>-500318695.12174463</v>
      </c>
      <c r="S777">
        <f t="shared" si="1007"/>
        <v>-5003.1869512174462</v>
      </c>
      <c r="T777">
        <f t="shared" si="1008"/>
        <v>-5.0031869512174465</v>
      </c>
    </row>
    <row r="778" spans="1:20" x14ac:dyDescent="0.25">
      <c r="A778" s="5">
        <v>43815</v>
      </c>
      <c r="B778">
        <v>9.5600000000000008E-3</v>
      </c>
      <c r="C778">
        <v>9.7199999999999995E-3</v>
      </c>
      <c r="D778">
        <v>8.8100000000000001E-3</v>
      </c>
      <c r="E778">
        <v>8.9800000000000001E-3</v>
      </c>
      <c r="F778">
        <v>7028820.5999999996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-0.62637362637362604</v>
      </c>
      <c r="Q778">
        <f t="shared" si="1005"/>
        <v>-4402667.8483516453</v>
      </c>
      <c r="R778">
        <f t="shared" si="1006"/>
        <v>-488875344.19223642</v>
      </c>
      <c r="S778">
        <f t="shared" si="1007"/>
        <v>-4888.7534419223639</v>
      </c>
      <c r="T778">
        <f t="shared" si="1008"/>
        <v>-4.8887534419223639</v>
      </c>
    </row>
    <row r="779" spans="1:20" x14ac:dyDescent="0.25">
      <c r="A779" s="5">
        <v>43814</v>
      </c>
      <c r="B779">
        <v>9.11E-3</v>
      </c>
      <c r="C779">
        <v>9.75E-3</v>
      </c>
      <c r="D779">
        <v>8.8199999999999997E-3</v>
      </c>
      <c r="E779">
        <v>9.5999999999999992E-3</v>
      </c>
      <c r="F779">
        <v>10864276</v>
      </c>
      <c r="G779">
        <v>0</v>
      </c>
      <c r="L779" t="s">
        <v>8</v>
      </c>
      <c r="M779" t="s">
        <v>7</v>
      </c>
      <c r="N779" t="s">
        <v>7</v>
      </c>
      <c r="P779">
        <f t="shared" si="1004"/>
        <v>0.67741935483870797</v>
      </c>
      <c r="Q779">
        <f t="shared" si="1005"/>
        <v>7359670.8387096589</v>
      </c>
      <c r="R779">
        <f t="shared" si="1006"/>
        <v>-484472676.34388477</v>
      </c>
      <c r="S779">
        <f t="shared" si="1007"/>
        <v>-4844.7267634388472</v>
      </c>
      <c r="T779">
        <f t="shared" si="1008"/>
        <v>-4.8447267634388469</v>
      </c>
    </row>
    <row r="780" spans="1:20" x14ac:dyDescent="0.25">
      <c r="A780" s="5">
        <v>43813</v>
      </c>
      <c r="B780">
        <v>9.41E-3</v>
      </c>
      <c r="C780">
        <v>9.4900000000000002E-3</v>
      </c>
      <c r="D780">
        <v>8.5900000000000004E-3</v>
      </c>
      <c r="E780">
        <v>9.1299999999999992E-3</v>
      </c>
      <c r="F780">
        <v>6527529.5999999996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0.19999999999999768</v>
      </c>
      <c r="Q780">
        <f t="shared" si="1005"/>
        <v>1305505.9199999848</v>
      </c>
      <c r="R780">
        <f t="shared" si="1006"/>
        <v>-491832347.18259442</v>
      </c>
      <c r="S780">
        <f t="shared" si="1007"/>
        <v>-4918.3234718259446</v>
      </c>
      <c r="T780">
        <f t="shared" si="1008"/>
        <v>-4.9183234718259445</v>
      </c>
    </row>
    <row r="781" spans="1:20" x14ac:dyDescent="0.25">
      <c r="A781" s="5">
        <v>43812</v>
      </c>
      <c r="B781">
        <v>9.2300000000000004E-3</v>
      </c>
      <c r="C781">
        <v>9.9299999999999996E-3</v>
      </c>
      <c r="D781">
        <v>9.1800000000000007E-3</v>
      </c>
      <c r="E781">
        <v>9.41E-3</v>
      </c>
      <c r="F781">
        <v>10474751.4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-0.38666666666666766</v>
      </c>
      <c r="Q781">
        <f t="shared" si="1005"/>
        <v>-4050237.2080000103</v>
      </c>
      <c r="R781">
        <f t="shared" si="1006"/>
        <v>-493137853.10259438</v>
      </c>
      <c r="S781">
        <f t="shared" si="1007"/>
        <v>-4931.3785310259436</v>
      </c>
      <c r="T781">
        <f t="shared" si="1008"/>
        <v>-4.9313785310259437</v>
      </c>
    </row>
    <row r="782" spans="1:20" x14ac:dyDescent="0.25">
      <c r="A782" s="5">
        <v>43811</v>
      </c>
      <c r="B782">
        <v>9.9699999999999997E-3</v>
      </c>
      <c r="C782">
        <v>9.9699999999999997E-3</v>
      </c>
      <c r="D782">
        <v>8.9599999999999992E-3</v>
      </c>
      <c r="E782">
        <v>9.2200000000000008E-3</v>
      </c>
      <c r="F782">
        <v>18603150.100000001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-0.4851485148514823</v>
      </c>
      <c r="Q782">
        <f t="shared" si="1005"/>
        <v>-9025290.642574206</v>
      </c>
      <c r="R782">
        <f t="shared" si="1006"/>
        <v>-489087615.89459437</v>
      </c>
      <c r="S782">
        <f t="shared" si="1007"/>
        <v>-4890.8761589459436</v>
      </c>
      <c r="T782">
        <f t="shared" si="1008"/>
        <v>-4.890876158945944</v>
      </c>
    </row>
    <row r="783" spans="1:20" x14ac:dyDescent="0.25">
      <c r="A783" s="5">
        <v>43810</v>
      </c>
      <c r="B783">
        <v>9.2599999999999991E-3</v>
      </c>
      <c r="C783">
        <v>1.086E-2</v>
      </c>
      <c r="D783">
        <v>9.1000000000000004E-3</v>
      </c>
      <c r="E783">
        <v>9.8499999999999994E-3</v>
      </c>
      <c r="F783">
        <v>29903574.100000001</v>
      </c>
      <c r="G783">
        <v>0</v>
      </c>
      <c r="L783" t="s">
        <v>8</v>
      </c>
      <c r="M783" t="s">
        <v>8</v>
      </c>
      <c r="N783" t="s">
        <v>7</v>
      </c>
      <c r="P783">
        <f t="shared" si="1004"/>
        <v>-0.14772727272727365</v>
      </c>
      <c r="Q783">
        <f t="shared" si="1005"/>
        <v>-4417573.4465909367</v>
      </c>
      <c r="R783">
        <f t="shared" si="1006"/>
        <v>-480062325.25202018</v>
      </c>
      <c r="S783">
        <f t="shared" si="1007"/>
        <v>-4800.6232525202022</v>
      </c>
      <c r="T783">
        <f t="shared" si="1008"/>
        <v>-4.8006232525202019</v>
      </c>
    </row>
    <row r="784" spans="1:20" x14ac:dyDescent="0.25">
      <c r="A784" s="5">
        <v>43809</v>
      </c>
      <c r="B784">
        <v>9.6900000000000007E-3</v>
      </c>
      <c r="C784">
        <v>9.8099999999999993E-3</v>
      </c>
      <c r="D784">
        <v>8.5800000000000008E-3</v>
      </c>
      <c r="E784">
        <v>9.2399999999999999E-3</v>
      </c>
      <c r="F784">
        <v>12220053.4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7.3170731707316999E-2</v>
      </c>
      <c r="Q784">
        <f t="shared" si="1005"/>
        <v>894150.24878048687</v>
      </c>
      <c r="R784">
        <f t="shared" si="1006"/>
        <v>-475644751.80542922</v>
      </c>
      <c r="S784">
        <f t="shared" si="1007"/>
        <v>-4756.4475180542922</v>
      </c>
      <c r="T784">
        <f t="shared" si="1008"/>
        <v>-4.7564475180542924</v>
      </c>
    </row>
    <row r="785" spans="1:20" x14ac:dyDescent="0.25">
      <c r="A785" s="5">
        <v>43808</v>
      </c>
      <c r="B785">
        <v>1.0149999999999999E-2</v>
      </c>
      <c r="C785">
        <v>1.018E-2</v>
      </c>
      <c r="D785">
        <v>9.4800000000000006E-3</v>
      </c>
      <c r="E785">
        <v>9.6299999999999997E-3</v>
      </c>
      <c r="F785">
        <v>9636311</v>
      </c>
      <c r="G785">
        <v>0</v>
      </c>
      <c r="L785" t="s">
        <v>8</v>
      </c>
      <c r="M785" t="s">
        <v>8</v>
      </c>
      <c r="N785" t="s">
        <v>7</v>
      </c>
      <c r="P785">
        <f t="shared" si="1004"/>
        <v>-0.57142857142857351</v>
      </c>
      <c r="Q785">
        <f t="shared" si="1005"/>
        <v>-5506463.4285714487</v>
      </c>
      <c r="R785">
        <f t="shared" si="1006"/>
        <v>-476538902.05420971</v>
      </c>
      <c r="S785">
        <f t="shared" si="1007"/>
        <v>-4765.3890205420967</v>
      </c>
      <c r="T785">
        <f t="shared" si="1008"/>
        <v>-4.7653890205420968</v>
      </c>
    </row>
    <row r="786" spans="1:20" x14ac:dyDescent="0.25">
      <c r="A786" s="5">
        <v>43807</v>
      </c>
      <c r="B786">
        <v>9.4900000000000002E-3</v>
      </c>
      <c r="C786">
        <v>1.0160000000000001E-2</v>
      </c>
      <c r="D786">
        <v>9.4000000000000004E-3</v>
      </c>
      <c r="E786">
        <v>1.0059999999999999E-2</v>
      </c>
      <c r="F786">
        <v>15351477.800000001</v>
      </c>
      <c r="G786">
        <v>0</v>
      </c>
      <c r="L786" t="s">
        <v>7</v>
      </c>
      <c r="M786" t="s">
        <v>8</v>
      </c>
      <c r="N786" t="s">
        <v>7</v>
      </c>
      <c r="P786">
        <f t="shared" si="1004"/>
        <v>0.73684210526315497</v>
      </c>
      <c r="Q786">
        <f t="shared" si="1005"/>
        <v>11311615.221052587</v>
      </c>
      <c r="R786">
        <f t="shared" si="1006"/>
        <v>-471032438.62563825</v>
      </c>
      <c r="S786">
        <f t="shared" si="1007"/>
        <v>-4710.3243862563822</v>
      </c>
      <c r="T786">
        <f t="shared" si="1008"/>
        <v>-4.7103243862563824</v>
      </c>
    </row>
    <row r="787" spans="1:20" x14ac:dyDescent="0.25">
      <c r="A787" s="5">
        <v>43806</v>
      </c>
      <c r="B787">
        <v>9.1000000000000004E-3</v>
      </c>
      <c r="C787">
        <v>1.0240000000000001E-2</v>
      </c>
      <c r="D787">
        <v>9.0399999999999994E-3</v>
      </c>
      <c r="E787">
        <v>9.4900000000000002E-3</v>
      </c>
      <c r="F787">
        <v>11493418.5</v>
      </c>
      <c r="G787">
        <v>0</v>
      </c>
      <c r="L787" t="s">
        <v>8</v>
      </c>
      <c r="M787" t="s">
        <v>8</v>
      </c>
      <c r="N787" t="s">
        <v>7</v>
      </c>
      <c r="P787">
        <f t="shared" si="1004"/>
        <v>-0.24999999999999964</v>
      </c>
      <c r="Q787">
        <f t="shared" si="1005"/>
        <v>-2873354.6249999958</v>
      </c>
      <c r="R787">
        <f t="shared" si="1006"/>
        <v>-482344053.84669083</v>
      </c>
      <c r="S787">
        <f t="shared" si="1007"/>
        <v>-4823.440538466908</v>
      </c>
      <c r="T787">
        <f t="shared" si="1008"/>
        <v>-4.8234405384669081</v>
      </c>
    </row>
    <row r="788" spans="1:20" x14ac:dyDescent="0.25">
      <c r="A788" s="5">
        <v>43805</v>
      </c>
      <c r="B788">
        <v>8.6700000000000006E-3</v>
      </c>
      <c r="C788">
        <v>9.2899999999999996E-3</v>
      </c>
      <c r="D788">
        <v>8.6300000000000005E-3</v>
      </c>
      <c r="E788">
        <v>9.1000000000000004E-3</v>
      </c>
      <c r="F788">
        <v>4753962.5</v>
      </c>
      <c r="G788">
        <v>0</v>
      </c>
      <c r="L788" t="s">
        <v>8</v>
      </c>
      <c r="M788" t="s">
        <v>7</v>
      </c>
      <c r="N788" t="s">
        <v>7</v>
      </c>
      <c r="P788">
        <f t="shared" si="1004"/>
        <v>0.42424242424242592</v>
      </c>
      <c r="Q788">
        <f t="shared" si="1005"/>
        <v>2016832.5757575838</v>
      </c>
      <c r="R788">
        <f t="shared" si="1006"/>
        <v>-479470699.22169083</v>
      </c>
      <c r="S788">
        <f t="shared" si="1007"/>
        <v>-4794.7069922169085</v>
      </c>
      <c r="T788">
        <f t="shared" si="1008"/>
        <v>-4.7947069922169083</v>
      </c>
    </row>
    <row r="789" spans="1:20" x14ac:dyDescent="0.25">
      <c r="A789" s="5">
        <v>43804</v>
      </c>
      <c r="B789">
        <v>8.8800000000000007E-3</v>
      </c>
      <c r="C789">
        <v>9.0500000000000008E-3</v>
      </c>
      <c r="D789">
        <v>8.5500000000000003E-3</v>
      </c>
      <c r="E789">
        <v>8.7299999999999999E-3</v>
      </c>
      <c r="F789">
        <v>10238070.5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-0.28000000000000225</v>
      </c>
      <c r="Q789">
        <f t="shared" si="1005"/>
        <v>-2866659.740000023</v>
      </c>
      <c r="R789">
        <f t="shared" si="1006"/>
        <v>-481487531.7974484</v>
      </c>
      <c r="S789">
        <f t="shared" si="1007"/>
        <v>-4814.8753179744836</v>
      </c>
      <c r="T789">
        <f t="shared" si="1008"/>
        <v>-4.8148753179744839</v>
      </c>
    </row>
    <row r="790" spans="1:20" x14ac:dyDescent="0.25">
      <c r="A790" s="5">
        <v>43803</v>
      </c>
      <c r="B790">
        <v>9.1999999999999998E-3</v>
      </c>
      <c r="C790">
        <v>9.4900000000000002E-3</v>
      </c>
      <c r="D790">
        <v>8.77E-3</v>
      </c>
      <c r="E790">
        <v>8.8400000000000006E-3</v>
      </c>
      <c r="F790">
        <v>5979321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-0.80555555555555391</v>
      </c>
      <c r="Q790">
        <f t="shared" si="1005"/>
        <v>-4816675.2499999898</v>
      </c>
      <c r="R790">
        <f t="shared" si="1006"/>
        <v>-478620872.05744839</v>
      </c>
      <c r="S790">
        <f t="shared" si="1007"/>
        <v>-4786.2087205744838</v>
      </c>
      <c r="T790">
        <f t="shared" si="1008"/>
        <v>-4.7862087205744839</v>
      </c>
    </row>
    <row r="791" spans="1:20" x14ac:dyDescent="0.25">
      <c r="A791" s="5">
        <v>43802</v>
      </c>
      <c r="B791">
        <v>9.0299999999999998E-3</v>
      </c>
      <c r="C791">
        <v>9.3500000000000007E-3</v>
      </c>
      <c r="D791">
        <v>8.9200000000000008E-3</v>
      </c>
      <c r="E791">
        <v>9.1999999999999998E-3</v>
      </c>
      <c r="F791">
        <v>2362412.7999999998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0.30232558139534471</v>
      </c>
      <c r="Q791">
        <f t="shared" si="1005"/>
        <v>714217.82325580413</v>
      </c>
      <c r="R791">
        <f t="shared" si="1006"/>
        <v>-473804196.80744839</v>
      </c>
      <c r="S791">
        <f t="shared" si="1007"/>
        <v>-4738.0419680744835</v>
      </c>
      <c r="T791">
        <f t="shared" si="1008"/>
        <v>-4.7380419680744836</v>
      </c>
    </row>
    <row r="792" spans="1:20" x14ac:dyDescent="0.25">
      <c r="A792" s="5">
        <v>43801</v>
      </c>
      <c r="B792">
        <v>9.2200000000000008E-3</v>
      </c>
      <c r="C792">
        <v>9.2599999999999991E-3</v>
      </c>
      <c r="D792">
        <v>8.8199999999999997E-3</v>
      </c>
      <c r="E792">
        <v>8.9899999999999997E-3</v>
      </c>
      <c r="F792">
        <v>4104624.5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-0.22727272727272621</v>
      </c>
      <c r="Q792">
        <f t="shared" si="1005"/>
        <v>-932869.20454545016</v>
      </c>
      <c r="R792">
        <f t="shared" si="1006"/>
        <v>-474518414.63070416</v>
      </c>
      <c r="S792">
        <f t="shared" si="1007"/>
        <v>-4745.1841463070414</v>
      </c>
      <c r="T792">
        <f t="shared" si="1008"/>
        <v>-4.7451841463070412</v>
      </c>
    </row>
    <row r="793" spans="1:20" x14ac:dyDescent="0.25">
      <c r="A793" s="5">
        <v>43800</v>
      </c>
      <c r="B793">
        <v>9.4299999999999991E-3</v>
      </c>
      <c r="C793">
        <v>9.4400000000000005E-3</v>
      </c>
      <c r="D793">
        <v>8.8699999999999994E-3</v>
      </c>
      <c r="E793">
        <v>9.1599999999999997E-3</v>
      </c>
      <c r="F793">
        <v>4989914.8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1.754385964912206E-2</v>
      </c>
      <c r="Q793">
        <f t="shared" si="1005"/>
        <v>87542.364912276971</v>
      </c>
      <c r="R793">
        <f t="shared" si="1006"/>
        <v>-473585545.42615873</v>
      </c>
      <c r="S793">
        <f t="shared" si="1007"/>
        <v>-4735.8554542615875</v>
      </c>
      <c r="T793">
        <f t="shared" si="1008"/>
        <v>-4.7358554542615874</v>
      </c>
    </row>
    <row r="794" spans="1:20" x14ac:dyDescent="0.25">
      <c r="A794" s="5">
        <v>43799</v>
      </c>
      <c r="B794">
        <v>9.7599999999999996E-3</v>
      </c>
      <c r="C794">
        <v>9.8099999999999993E-3</v>
      </c>
      <c r="D794">
        <v>9.2599999999999991E-3</v>
      </c>
      <c r="E794">
        <v>9.4299999999999991E-3</v>
      </c>
      <c r="F794">
        <v>3931763.1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-0.38181818181818195</v>
      </c>
      <c r="Q794">
        <f t="shared" si="1005"/>
        <v>-1501218.6381818186</v>
      </c>
      <c r="R794">
        <f t="shared" si="1006"/>
        <v>-473673087.791071</v>
      </c>
      <c r="S794">
        <f t="shared" si="1007"/>
        <v>-4736.7308779107098</v>
      </c>
      <c r="T794">
        <f t="shared" si="1008"/>
        <v>-4.73673087791071</v>
      </c>
    </row>
    <row r="795" spans="1:20" x14ac:dyDescent="0.25">
      <c r="A795" s="5">
        <v>43798</v>
      </c>
      <c r="B795">
        <v>9.4999999999999998E-3</v>
      </c>
      <c r="C795">
        <v>9.9799999999999993E-3</v>
      </c>
      <c r="D795">
        <v>9.4500000000000001E-3</v>
      </c>
      <c r="E795">
        <v>9.7699999999999992E-3</v>
      </c>
      <c r="F795">
        <v>4409536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0.20754716981131915</v>
      </c>
      <c r="Q795">
        <f t="shared" si="1005"/>
        <v>915186.71698112506</v>
      </c>
      <c r="R795">
        <f t="shared" si="1006"/>
        <v>-472171869.15288919</v>
      </c>
      <c r="S795">
        <f t="shared" si="1007"/>
        <v>-4721.7186915288921</v>
      </c>
      <c r="T795">
        <f t="shared" si="1008"/>
        <v>-4.721718691528892</v>
      </c>
    </row>
    <row r="796" spans="1:20" x14ac:dyDescent="0.25">
      <c r="A796" s="5">
        <v>43797</v>
      </c>
      <c r="B796">
        <v>9.6299999999999997E-3</v>
      </c>
      <c r="C796">
        <v>9.8499999999999994E-3</v>
      </c>
      <c r="D796">
        <v>9.2899999999999996E-3</v>
      </c>
      <c r="E796">
        <v>9.5200000000000007E-3</v>
      </c>
      <c r="F796">
        <v>11449214.800000001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-0.17857142857142447</v>
      </c>
      <c r="Q796">
        <f t="shared" si="1005"/>
        <v>-2044502.6428570959</v>
      </c>
      <c r="R796">
        <f t="shared" si="1006"/>
        <v>-473087055.86987031</v>
      </c>
      <c r="S796">
        <f t="shared" si="1007"/>
        <v>-4730.8705586987035</v>
      </c>
      <c r="T796">
        <f t="shared" si="1008"/>
        <v>-4.7308705586987037</v>
      </c>
    </row>
    <row r="797" spans="1:20" x14ac:dyDescent="0.25">
      <c r="A797" s="5">
        <v>43796</v>
      </c>
      <c r="B797">
        <v>9.5899999999999996E-3</v>
      </c>
      <c r="C797">
        <v>9.8399999999999998E-3</v>
      </c>
      <c r="D797">
        <v>8.8900000000000003E-3</v>
      </c>
      <c r="E797">
        <v>9.6200000000000001E-3</v>
      </c>
      <c r="F797">
        <v>6359541.5999999996</v>
      </c>
      <c r="G797">
        <v>0</v>
      </c>
      <c r="L797" t="s">
        <v>7</v>
      </c>
      <c r="M797" t="s">
        <v>8</v>
      </c>
      <c r="N797" t="s">
        <v>7</v>
      </c>
      <c r="P797">
        <f t="shared" si="1004"/>
        <v>0.53684210526315823</v>
      </c>
      <c r="Q797">
        <f t="shared" si="1005"/>
        <v>3414069.7010526336</v>
      </c>
      <c r="R797">
        <f t="shared" si="1006"/>
        <v>-471042553.22701323</v>
      </c>
      <c r="S797">
        <f t="shared" si="1007"/>
        <v>-4710.425532270132</v>
      </c>
      <c r="T797">
        <f t="shared" si="1008"/>
        <v>-4.7104255322701318</v>
      </c>
    </row>
    <row r="798" spans="1:20" x14ac:dyDescent="0.25">
      <c r="A798" s="5">
        <v>43795</v>
      </c>
      <c r="B798">
        <v>9.6600000000000002E-3</v>
      </c>
      <c r="C798">
        <v>1.031E-2</v>
      </c>
      <c r="D798">
        <v>9.4400000000000005E-3</v>
      </c>
      <c r="E798">
        <v>9.5700000000000004E-3</v>
      </c>
      <c r="F798">
        <v>11202261.5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-0.70114942528735624</v>
      </c>
      <c r="Q798">
        <f t="shared" si="1005"/>
        <v>-7854459.2126436774</v>
      </c>
      <c r="R798">
        <f t="shared" si="1006"/>
        <v>-474456622.92806584</v>
      </c>
      <c r="S798">
        <f t="shared" si="1007"/>
        <v>-4744.5662292806583</v>
      </c>
      <c r="T798">
        <f t="shared" si="1008"/>
        <v>-4.7445662292806583</v>
      </c>
    </row>
    <row r="799" spans="1:20" x14ac:dyDescent="0.25">
      <c r="A799" s="5">
        <v>43794</v>
      </c>
      <c r="B799">
        <v>8.6499999999999997E-3</v>
      </c>
      <c r="C799">
        <v>1.03E-2</v>
      </c>
      <c r="D799">
        <v>8.0300000000000007E-3</v>
      </c>
      <c r="E799">
        <v>9.6500000000000006E-3</v>
      </c>
      <c r="F799">
        <v>8672156.9000000004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0.42731277533039674</v>
      </c>
      <c r="Q799">
        <f t="shared" si="1005"/>
        <v>3705723.4330396499</v>
      </c>
      <c r="R799">
        <f t="shared" si="1006"/>
        <v>-466602163.71542215</v>
      </c>
      <c r="S799">
        <f t="shared" si="1007"/>
        <v>-4666.0216371542219</v>
      </c>
      <c r="T799">
        <f t="shared" si="1008"/>
        <v>-4.6660216371542216</v>
      </c>
    </row>
    <row r="800" spans="1:20" x14ac:dyDescent="0.25">
      <c r="A800" s="5">
        <v>43793</v>
      </c>
      <c r="B800">
        <v>9.3799999999999994E-3</v>
      </c>
      <c r="C800">
        <v>9.4999999999999998E-3</v>
      </c>
      <c r="D800">
        <v>8.5599999999999999E-3</v>
      </c>
      <c r="E800">
        <v>8.5599999999999999E-3</v>
      </c>
      <c r="F800">
        <v>5639610.7000000002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-1</v>
      </c>
      <c r="Q800">
        <f t="shared" si="1005"/>
        <v>-5639610.7000000002</v>
      </c>
      <c r="R800">
        <f t="shared" si="1006"/>
        <v>-470307887.14846182</v>
      </c>
      <c r="S800">
        <f t="shared" si="1007"/>
        <v>-4703.0788714846185</v>
      </c>
      <c r="T800">
        <f t="shared" si="1008"/>
        <v>-4.7030788714846183</v>
      </c>
    </row>
    <row r="801" spans="1:20" x14ac:dyDescent="0.25">
      <c r="A801" s="5">
        <v>43792</v>
      </c>
      <c r="B801">
        <v>9.1900000000000003E-3</v>
      </c>
      <c r="C801">
        <v>9.6100000000000005E-3</v>
      </c>
      <c r="D801">
        <v>8.8999999999999999E-3</v>
      </c>
      <c r="E801">
        <v>9.3699999999999999E-3</v>
      </c>
      <c r="F801">
        <v>4155144.3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0.32394366197182972</v>
      </c>
      <c r="Q801">
        <f t="shared" si="1005"/>
        <v>1346032.6605633749</v>
      </c>
      <c r="R801">
        <f t="shared" si="1006"/>
        <v>-464668276.44846183</v>
      </c>
      <c r="S801">
        <f t="shared" si="1007"/>
        <v>-4646.682764484618</v>
      </c>
      <c r="T801">
        <f t="shared" si="1008"/>
        <v>-4.646682764484618</v>
      </c>
    </row>
    <row r="802" spans="1:20" x14ac:dyDescent="0.25">
      <c r="A802" s="5">
        <v>43791</v>
      </c>
      <c r="B802">
        <v>1.001E-2</v>
      </c>
      <c r="C802">
        <v>1.0240000000000001E-2</v>
      </c>
      <c r="D802">
        <v>8.4700000000000001E-3</v>
      </c>
      <c r="E802">
        <v>9.2499999999999995E-3</v>
      </c>
      <c r="F802">
        <v>7897895.7000000002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-0.11864406779661117</v>
      </c>
      <c r="Q802">
        <f t="shared" si="1005"/>
        <v>-937038.47288136382</v>
      </c>
      <c r="R802">
        <f t="shared" si="1006"/>
        <v>-466014309.10902518</v>
      </c>
      <c r="S802">
        <f t="shared" si="1007"/>
        <v>-4660.1430910902518</v>
      </c>
      <c r="T802">
        <f t="shared" si="1008"/>
        <v>-4.6601430910902515</v>
      </c>
    </row>
    <row r="803" spans="1:20" x14ac:dyDescent="0.25">
      <c r="A803" s="5">
        <v>43790</v>
      </c>
      <c r="B803">
        <v>1.098E-2</v>
      </c>
      <c r="C803">
        <v>1.099E-2</v>
      </c>
      <c r="D803">
        <v>9.6100000000000005E-3</v>
      </c>
      <c r="E803">
        <v>0.01</v>
      </c>
      <c r="F803">
        <v>5550613.2999999998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-0.43478260869565227</v>
      </c>
      <c r="Q803">
        <f t="shared" si="1005"/>
        <v>-2413310.1304347832</v>
      </c>
      <c r="R803">
        <f t="shared" si="1006"/>
        <v>-465077270.6361438</v>
      </c>
      <c r="S803">
        <f t="shared" si="1007"/>
        <v>-4650.7727063614384</v>
      </c>
      <c r="T803">
        <f t="shared" si="1008"/>
        <v>-4.6507727063614386</v>
      </c>
    </row>
    <row r="804" spans="1:20" x14ac:dyDescent="0.25">
      <c r="A804" s="5">
        <v>43789</v>
      </c>
      <c r="B804">
        <v>1.116E-2</v>
      </c>
      <c r="C804">
        <v>1.1339999999999999E-2</v>
      </c>
      <c r="D804">
        <v>1.085E-2</v>
      </c>
      <c r="E804">
        <v>1.102E-2</v>
      </c>
      <c r="F804">
        <v>4152490.9</v>
      </c>
      <c r="G804">
        <v>0</v>
      </c>
      <c r="L804" t="s">
        <v>7</v>
      </c>
      <c r="M804" t="s">
        <v>7</v>
      </c>
      <c r="N804" t="s">
        <v>8</v>
      </c>
      <c r="P804">
        <f t="shared" si="1004"/>
        <v>-0.30612244897959051</v>
      </c>
      <c r="Q804">
        <f t="shared" si="1005"/>
        <v>-1271170.6836734638</v>
      </c>
      <c r="R804">
        <f t="shared" si="1006"/>
        <v>-462663960.50570899</v>
      </c>
      <c r="S804">
        <f t="shared" si="1007"/>
        <v>-4626.6396050570902</v>
      </c>
      <c r="T804">
        <f t="shared" si="1008"/>
        <v>-4.6266396050570906</v>
      </c>
    </row>
    <row r="805" spans="1:20" x14ac:dyDescent="0.25">
      <c r="A805" s="5">
        <v>43788</v>
      </c>
      <c r="B805">
        <v>1.119E-2</v>
      </c>
      <c r="C805">
        <v>1.1209999999999999E-2</v>
      </c>
      <c r="D805">
        <v>1.072E-2</v>
      </c>
      <c r="E805">
        <v>1.12E-2</v>
      </c>
      <c r="F805">
        <v>4182294.7</v>
      </c>
      <c r="G805">
        <v>0</v>
      </c>
      <c r="L805" t="s">
        <v>7</v>
      </c>
      <c r="M805" t="s">
        <v>7</v>
      </c>
      <c r="N805" t="s">
        <v>8</v>
      </c>
      <c r="P805">
        <f t="shared" si="1004"/>
        <v>0.95918367346938938</v>
      </c>
      <c r="Q805">
        <f t="shared" si="1005"/>
        <v>4011588.7938775579</v>
      </c>
      <c r="R805">
        <f t="shared" si="1006"/>
        <v>-461392789.82203555</v>
      </c>
      <c r="S805">
        <f t="shared" si="1007"/>
        <v>-4613.9278982203559</v>
      </c>
      <c r="T805">
        <f t="shared" si="1008"/>
        <v>-4.6139278982203562</v>
      </c>
    </row>
    <row r="806" spans="1:20" x14ac:dyDescent="0.25">
      <c r="A806" s="5">
        <v>43787</v>
      </c>
      <c r="B806">
        <v>1.2030000000000001E-2</v>
      </c>
      <c r="C806">
        <v>1.2030000000000001E-2</v>
      </c>
      <c r="D806">
        <v>1.06E-2</v>
      </c>
      <c r="E806">
        <v>1.116E-2</v>
      </c>
      <c r="F806">
        <v>6679454.4000000004</v>
      </c>
      <c r="G806">
        <v>0</v>
      </c>
      <c r="L806" t="s">
        <v>7</v>
      </c>
      <c r="M806" t="s">
        <v>7</v>
      </c>
      <c r="N806" t="s">
        <v>8</v>
      </c>
      <c r="P806">
        <f t="shared" si="1004"/>
        <v>-0.21678321678321755</v>
      </c>
      <c r="Q806">
        <f t="shared" si="1005"/>
        <v>-1447993.6111888164</v>
      </c>
      <c r="R806">
        <f t="shared" si="1006"/>
        <v>-465404378.61591309</v>
      </c>
      <c r="S806">
        <f t="shared" si="1007"/>
        <v>-4654.0437861591308</v>
      </c>
      <c r="T806">
        <f t="shared" si="1008"/>
        <v>-4.6540437861591304</v>
      </c>
    </row>
    <row r="807" spans="1:20" x14ac:dyDescent="0.25">
      <c r="A807" s="5">
        <v>43786</v>
      </c>
      <c r="B807">
        <v>1.221E-2</v>
      </c>
      <c r="C807">
        <v>1.2239999999999999E-2</v>
      </c>
      <c r="D807">
        <v>1.1639999999999999E-2</v>
      </c>
      <c r="E807">
        <v>1.204E-2</v>
      </c>
      <c r="F807">
        <v>7417455</v>
      </c>
      <c r="G807">
        <v>0</v>
      </c>
      <c r="L807" t="s">
        <v>8</v>
      </c>
      <c r="M807" t="s">
        <v>7</v>
      </c>
      <c r="N807" t="s">
        <v>8</v>
      </c>
      <c r="P807">
        <f t="shared" si="1004"/>
        <v>0.3333333333333372</v>
      </c>
      <c r="Q807">
        <f t="shared" si="1005"/>
        <v>2472485.0000000289</v>
      </c>
      <c r="R807">
        <f t="shared" si="1006"/>
        <v>-463956385.00472426</v>
      </c>
      <c r="S807">
        <f t="shared" si="1007"/>
        <v>-4639.5638500472423</v>
      </c>
      <c r="T807">
        <f t="shared" si="1008"/>
        <v>-4.6395638500472423</v>
      </c>
    </row>
    <row r="808" spans="1:20" x14ac:dyDescent="0.25">
      <c r="A808" s="5">
        <v>43785</v>
      </c>
      <c r="B808">
        <v>1.1610000000000001E-2</v>
      </c>
      <c r="C808">
        <v>1.2540000000000001E-2</v>
      </c>
      <c r="D808">
        <v>1.158E-2</v>
      </c>
      <c r="E808">
        <v>1.222E-2</v>
      </c>
      <c r="F808">
        <v>8253768.2000000002</v>
      </c>
      <c r="G808">
        <v>0</v>
      </c>
      <c r="L808" t="s">
        <v>8</v>
      </c>
      <c r="M808" t="s">
        <v>7</v>
      </c>
      <c r="N808" t="s">
        <v>8</v>
      </c>
      <c r="P808">
        <f t="shared" si="1004"/>
        <v>0.33333333333333215</v>
      </c>
      <c r="Q808">
        <f t="shared" si="1005"/>
        <v>2751256.0666666571</v>
      </c>
      <c r="R808">
        <f t="shared" si="1006"/>
        <v>-466428870.00472426</v>
      </c>
      <c r="S808">
        <f t="shared" si="1007"/>
        <v>-4664.2887000472429</v>
      </c>
      <c r="T808">
        <f t="shared" si="1008"/>
        <v>-4.6642887000472433</v>
      </c>
    </row>
    <row r="809" spans="1:20" x14ac:dyDescent="0.25">
      <c r="A809" s="5">
        <v>43784</v>
      </c>
      <c r="B809">
        <v>1.1690000000000001E-2</v>
      </c>
      <c r="C809">
        <v>1.1990000000000001E-2</v>
      </c>
      <c r="D809">
        <v>1.145E-2</v>
      </c>
      <c r="E809">
        <v>1.1610000000000001E-2</v>
      </c>
      <c r="F809">
        <v>5075318</v>
      </c>
      <c r="G809">
        <v>0</v>
      </c>
      <c r="L809" t="s">
        <v>7</v>
      </c>
      <c r="M809" t="s">
        <v>7</v>
      </c>
      <c r="N809" t="s">
        <v>8</v>
      </c>
      <c r="P809">
        <f t="shared" si="1004"/>
        <v>-0.40740740740740644</v>
      </c>
      <c r="Q809">
        <f t="shared" si="1005"/>
        <v>-2067722.1481481432</v>
      </c>
      <c r="R809">
        <f t="shared" si="1006"/>
        <v>-469180126.07139093</v>
      </c>
      <c r="S809">
        <f t="shared" si="1007"/>
        <v>-4691.801260713909</v>
      </c>
      <c r="T809">
        <f t="shared" si="1008"/>
        <v>-4.691801260713909</v>
      </c>
    </row>
    <row r="810" spans="1:20" x14ac:dyDescent="0.25">
      <c r="A810" s="5">
        <v>43783</v>
      </c>
      <c r="B810">
        <v>1.205E-2</v>
      </c>
      <c r="C810">
        <v>1.2109999999999999E-2</v>
      </c>
      <c r="D810">
        <v>1.154E-2</v>
      </c>
      <c r="E810">
        <v>1.171E-2</v>
      </c>
      <c r="F810">
        <v>5783626.7000000002</v>
      </c>
      <c r="G810">
        <v>0</v>
      </c>
      <c r="L810" t="s">
        <v>7</v>
      </c>
      <c r="M810" t="s">
        <v>7</v>
      </c>
      <c r="N810" t="s">
        <v>8</v>
      </c>
      <c r="P810">
        <f t="shared" si="1004"/>
        <v>-0.40350877192982382</v>
      </c>
      <c r="Q810">
        <f t="shared" si="1005"/>
        <v>-2333744.1070175394</v>
      </c>
      <c r="R810">
        <f t="shared" si="1006"/>
        <v>-467112403.92324281</v>
      </c>
      <c r="S810">
        <f t="shared" si="1007"/>
        <v>-4671.124039232428</v>
      </c>
      <c r="T810">
        <f t="shared" si="1008"/>
        <v>-4.6711240392324278</v>
      </c>
    </row>
    <row r="811" spans="1:20" x14ac:dyDescent="0.25">
      <c r="A811" s="5">
        <v>43782</v>
      </c>
      <c r="B811">
        <v>1.217E-2</v>
      </c>
      <c r="C811">
        <v>1.218E-2</v>
      </c>
      <c r="D811">
        <v>1.192E-2</v>
      </c>
      <c r="E811">
        <v>1.201E-2</v>
      </c>
      <c r="F811">
        <v>2434768.2000000002</v>
      </c>
      <c r="G811">
        <v>0</v>
      </c>
      <c r="L811" t="s">
        <v>7</v>
      </c>
      <c r="M811" t="s">
        <v>7</v>
      </c>
      <c r="N811" t="s">
        <v>8</v>
      </c>
      <c r="P811">
        <f t="shared" si="1004"/>
        <v>-0.30769230769230871</v>
      </c>
      <c r="Q811">
        <f t="shared" si="1005"/>
        <v>-749159.44615384866</v>
      </c>
      <c r="R811">
        <f t="shared" si="1006"/>
        <v>-464778659.81622529</v>
      </c>
      <c r="S811">
        <f t="shared" si="1007"/>
        <v>-4647.7865981622526</v>
      </c>
      <c r="T811">
        <f t="shared" si="1008"/>
        <v>-4.647786598162253</v>
      </c>
    </row>
    <row r="812" spans="1:20" x14ac:dyDescent="0.25">
      <c r="A812" s="5">
        <v>43781</v>
      </c>
      <c r="B812">
        <v>1.2200000000000001E-2</v>
      </c>
      <c r="C812">
        <v>1.231E-2</v>
      </c>
      <c r="D812">
        <v>1.1950000000000001E-2</v>
      </c>
      <c r="E812">
        <v>1.21E-2</v>
      </c>
      <c r="F812">
        <v>3600680</v>
      </c>
      <c r="G812">
        <v>0</v>
      </c>
      <c r="L812" t="s">
        <v>7</v>
      </c>
      <c r="M812" t="s">
        <v>7</v>
      </c>
      <c r="N812" t="s">
        <v>8</v>
      </c>
      <c r="P812">
        <f t="shared" si="1004"/>
        <v>-0.16666666666666988</v>
      </c>
      <c r="Q812">
        <f t="shared" si="1005"/>
        <v>-600113.3333333449</v>
      </c>
      <c r="R812">
        <f t="shared" si="1006"/>
        <v>-464029500.37007147</v>
      </c>
      <c r="S812">
        <f t="shared" si="1007"/>
        <v>-4640.2950037007149</v>
      </c>
      <c r="T812">
        <f t="shared" si="1008"/>
        <v>-4.6402950037007153</v>
      </c>
    </row>
    <row r="813" spans="1:20" x14ac:dyDescent="0.25">
      <c r="A813" s="5">
        <v>43780</v>
      </c>
      <c r="B813">
        <v>1.2529999999999999E-2</v>
      </c>
      <c r="C813">
        <v>1.255E-2</v>
      </c>
      <c r="D813">
        <v>1.1820000000000001E-2</v>
      </c>
      <c r="E813">
        <v>1.217E-2</v>
      </c>
      <c r="F813">
        <v>4082488.2</v>
      </c>
      <c r="G813">
        <v>0</v>
      </c>
      <c r="L813" t="s">
        <v>7</v>
      </c>
      <c r="M813" t="s">
        <v>7</v>
      </c>
      <c r="N813" t="s">
        <v>8</v>
      </c>
      <c r="P813">
        <f t="shared" si="1004"/>
        <v>-4.1095890410959623E-2</v>
      </c>
      <c r="Q813">
        <f t="shared" si="1005"/>
        <v>-167773.48767123581</v>
      </c>
      <c r="R813">
        <f t="shared" si="1006"/>
        <v>-463429387.0367381</v>
      </c>
      <c r="S813">
        <f t="shared" si="1007"/>
        <v>-4634.2938703673808</v>
      </c>
      <c r="T813">
        <f t="shared" si="1008"/>
        <v>-4.6342938703673804</v>
      </c>
    </row>
    <row r="814" spans="1:20" x14ac:dyDescent="0.25">
      <c r="A814" s="5">
        <v>43779</v>
      </c>
      <c r="B814">
        <v>1.226E-2</v>
      </c>
      <c r="C814">
        <v>1.278E-2</v>
      </c>
      <c r="D814">
        <v>1.2189999999999999E-2</v>
      </c>
      <c r="E814">
        <v>1.256E-2</v>
      </c>
      <c r="F814">
        <v>1879315.9</v>
      </c>
      <c r="G814">
        <v>0</v>
      </c>
      <c r="L814" t="s">
        <v>7</v>
      </c>
      <c r="M814" t="s">
        <v>7</v>
      </c>
      <c r="N814" t="s">
        <v>8</v>
      </c>
      <c r="P814">
        <f t="shared" si="1004"/>
        <v>0.25423728813559454</v>
      </c>
      <c r="Q814">
        <f t="shared" si="1005"/>
        <v>477792.17796610418</v>
      </c>
      <c r="R814">
        <f t="shared" si="1006"/>
        <v>-463261613.54906684</v>
      </c>
      <c r="S814">
        <f t="shared" si="1007"/>
        <v>-4632.6161354906681</v>
      </c>
      <c r="T814">
        <f t="shared" si="1008"/>
        <v>-4.6326161354906681</v>
      </c>
    </row>
    <row r="815" spans="1:20" x14ac:dyDescent="0.25">
      <c r="A815" s="5">
        <v>43778</v>
      </c>
      <c r="B815">
        <v>1.2319999999999999E-2</v>
      </c>
      <c r="C815">
        <v>1.242E-2</v>
      </c>
      <c r="D815">
        <v>1.2120000000000001E-2</v>
      </c>
      <c r="E815">
        <v>1.227E-2</v>
      </c>
      <c r="F815">
        <v>1111832.5</v>
      </c>
      <c r="G815">
        <v>0</v>
      </c>
      <c r="L815" t="s">
        <v>7</v>
      </c>
      <c r="M815" t="s">
        <v>7</v>
      </c>
      <c r="N815" t="s">
        <v>8</v>
      </c>
      <c r="P815">
        <f t="shared" si="1004"/>
        <v>-5.7824115865893588E-15</v>
      </c>
      <c r="Q815">
        <f t="shared" si="1005"/>
        <v>-6.4290731303466132E-9</v>
      </c>
      <c r="R815">
        <f t="shared" si="1006"/>
        <v>-463739405.72703296</v>
      </c>
      <c r="S815">
        <f t="shared" si="1007"/>
        <v>-4637.3940572703295</v>
      </c>
      <c r="T815">
        <f t="shared" si="1008"/>
        <v>-4.6373940572703294</v>
      </c>
    </row>
    <row r="816" spans="1:20" x14ac:dyDescent="0.25">
      <c r="A816" s="5">
        <v>43777</v>
      </c>
      <c r="B816">
        <v>1.306E-2</v>
      </c>
      <c r="C816">
        <v>1.312E-2</v>
      </c>
      <c r="D816">
        <v>1.189E-2</v>
      </c>
      <c r="E816">
        <v>1.2319999999999999E-2</v>
      </c>
      <c r="F816">
        <v>3978736.8</v>
      </c>
      <c r="G816">
        <v>0</v>
      </c>
      <c r="L816" t="s">
        <v>7</v>
      </c>
      <c r="M816" t="s">
        <v>7</v>
      </c>
      <c r="N816" t="s">
        <v>8</v>
      </c>
      <c r="P816">
        <f t="shared" si="1004"/>
        <v>-0.30081300813008172</v>
      </c>
      <c r="Q816">
        <f t="shared" si="1005"/>
        <v>-1196855.7853658553</v>
      </c>
      <c r="R816">
        <f t="shared" si="1006"/>
        <v>-463739405.72703296</v>
      </c>
      <c r="S816">
        <f t="shared" si="1007"/>
        <v>-4637.3940572703295</v>
      </c>
      <c r="T816">
        <f t="shared" si="1008"/>
        <v>-4.6373940572703294</v>
      </c>
    </row>
    <row r="817" spans="1:20" x14ac:dyDescent="0.25">
      <c r="A817" s="5">
        <v>43776</v>
      </c>
      <c r="B817">
        <v>1.32E-2</v>
      </c>
      <c r="C817">
        <v>1.3390000000000001E-2</v>
      </c>
      <c r="D817">
        <v>1.269E-2</v>
      </c>
      <c r="E817">
        <v>1.299E-2</v>
      </c>
      <c r="F817">
        <v>2800470.7</v>
      </c>
      <c r="G817">
        <v>0</v>
      </c>
      <c r="L817" t="s">
        <v>8</v>
      </c>
      <c r="M817" t="s">
        <v>7</v>
      </c>
      <c r="N817" t="s">
        <v>8</v>
      </c>
      <c r="P817">
        <f t="shared" si="1004"/>
        <v>-0.14285714285714426</v>
      </c>
      <c r="Q817">
        <f t="shared" si="1005"/>
        <v>-400067.24285714683</v>
      </c>
      <c r="R817">
        <f t="shared" si="1006"/>
        <v>-462542549.94166708</v>
      </c>
      <c r="S817">
        <f t="shared" si="1007"/>
        <v>-4625.4254994166704</v>
      </c>
      <c r="T817">
        <f t="shared" si="1008"/>
        <v>-4.6254254994166706</v>
      </c>
    </row>
    <row r="818" spans="1:20" x14ac:dyDescent="0.25">
      <c r="A818" s="5">
        <v>43775</v>
      </c>
      <c r="B818">
        <v>1.3050000000000001E-2</v>
      </c>
      <c r="C818">
        <v>1.3270000000000001E-2</v>
      </c>
      <c r="D818">
        <v>1.281E-2</v>
      </c>
      <c r="E818">
        <v>1.321E-2</v>
      </c>
      <c r="F818">
        <v>4578431.3</v>
      </c>
      <c r="G818">
        <v>0</v>
      </c>
      <c r="L818" t="s">
        <v>8</v>
      </c>
      <c r="M818" t="s">
        <v>7</v>
      </c>
      <c r="N818" t="s">
        <v>8</v>
      </c>
      <c r="P818">
        <f t="shared" si="1004"/>
        <v>0.73913043478260443</v>
      </c>
      <c r="Q818">
        <f t="shared" si="1005"/>
        <v>3384057.9173912848</v>
      </c>
      <c r="R818">
        <f t="shared" si="1006"/>
        <v>-462142482.69880992</v>
      </c>
      <c r="S818">
        <f t="shared" si="1007"/>
        <v>-4621.4248269880991</v>
      </c>
      <c r="T818">
        <f t="shared" si="1008"/>
        <v>-4.6214248269880986</v>
      </c>
    </row>
    <row r="819" spans="1:20" x14ac:dyDescent="0.25">
      <c r="A819" s="5">
        <v>43774</v>
      </c>
      <c r="B819">
        <v>1.308E-2</v>
      </c>
      <c r="C819">
        <v>1.315E-2</v>
      </c>
      <c r="D819">
        <v>1.2749999999999999E-2</v>
      </c>
      <c r="E819">
        <v>1.3129999999999999E-2</v>
      </c>
      <c r="F819">
        <v>1897656.5</v>
      </c>
      <c r="G819">
        <v>0</v>
      </c>
      <c r="L819" t="s">
        <v>8</v>
      </c>
      <c r="M819" t="s">
        <v>7</v>
      </c>
      <c r="N819" t="s">
        <v>8</v>
      </c>
      <c r="P819">
        <f t="shared" si="1004"/>
        <v>0.89999999999999569</v>
      </c>
      <c r="Q819">
        <f t="shared" si="1005"/>
        <v>1707890.8499999917</v>
      </c>
      <c r="R819">
        <f t="shared" si="1006"/>
        <v>-465526540.61620122</v>
      </c>
      <c r="S819">
        <f t="shared" si="1007"/>
        <v>-4655.2654061620124</v>
      </c>
      <c r="T819">
        <f t="shared" si="1008"/>
        <v>-4.6552654061620125</v>
      </c>
    </row>
    <row r="820" spans="1:20" x14ac:dyDescent="0.25">
      <c r="A820" s="5">
        <v>43773</v>
      </c>
      <c r="B820">
        <v>1.2800000000000001E-2</v>
      </c>
      <c r="C820">
        <v>1.3270000000000001E-2</v>
      </c>
      <c r="D820">
        <v>1.255E-2</v>
      </c>
      <c r="E820">
        <v>1.3010000000000001E-2</v>
      </c>
      <c r="F820">
        <v>6392477.7999999998</v>
      </c>
      <c r="G820">
        <v>0</v>
      </c>
      <c r="L820" t="s">
        <v>8</v>
      </c>
      <c r="M820" t="s">
        <v>7</v>
      </c>
      <c r="N820" t="s">
        <v>8</v>
      </c>
      <c r="P820">
        <f t="shared" si="1004"/>
        <v>0.27777777777777846</v>
      </c>
      <c r="Q820">
        <f t="shared" si="1005"/>
        <v>1775688.2777777822</v>
      </c>
      <c r="R820">
        <f t="shared" si="1006"/>
        <v>-467234431.46620119</v>
      </c>
      <c r="S820">
        <f t="shared" si="1007"/>
        <v>-4672.344314662012</v>
      </c>
      <c r="T820">
        <f t="shared" si="1008"/>
        <v>-4.6723443146620118</v>
      </c>
    </row>
    <row r="821" spans="1:20" x14ac:dyDescent="0.25">
      <c r="A821" s="5">
        <v>43772</v>
      </c>
      <c r="B821">
        <v>1.282E-2</v>
      </c>
      <c r="C821">
        <v>1.3089999999999999E-2</v>
      </c>
      <c r="D821">
        <v>1.2630000000000001E-2</v>
      </c>
      <c r="E821">
        <v>1.277E-2</v>
      </c>
      <c r="F821">
        <v>2760783.8</v>
      </c>
      <c r="G821">
        <v>0</v>
      </c>
      <c r="L821" t="s">
        <v>8</v>
      </c>
      <c r="M821" t="s">
        <v>7</v>
      </c>
      <c r="N821" t="s">
        <v>8</v>
      </c>
      <c r="P821">
        <f t="shared" si="1004"/>
        <v>-0.39130434782608731</v>
      </c>
      <c r="Q821">
        <f t="shared" si="1005"/>
        <v>-1080306.704347827</v>
      </c>
      <c r="R821">
        <f t="shared" si="1006"/>
        <v>-469010119.74397898</v>
      </c>
      <c r="S821">
        <f t="shared" si="1007"/>
        <v>-4690.1011974397898</v>
      </c>
      <c r="T821">
        <f t="shared" si="1008"/>
        <v>-4.6901011974397901</v>
      </c>
    </row>
    <row r="822" spans="1:20" x14ac:dyDescent="0.25">
      <c r="A822" s="5">
        <v>43771</v>
      </c>
      <c r="B822">
        <v>1.3140000000000001E-2</v>
      </c>
      <c r="C822">
        <v>1.353E-2</v>
      </c>
      <c r="D822">
        <v>1.23E-2</v>
      </c>
      <c r="E822">
        <v>1.281E-2</v>
      </c>
      <c r="F822">
        <v>10114056.1</v>
      </c>
      <c r="G822">
        <v>0</v>
      </c>
      <c r="L822" t="s">
        <v>7</v>
      </c>
      <c r="M822" t="s">
        <v>7</v>
      </c>
      <c r="N822" t="s">
        <v>8</v>
      </c>
      <c r="P822">
        <f t="shared" si="1004"/>
        <v>-0.17073170731707324</v>
      </c>
      <c r="Q822">
        <f t="shared" si="1005"/>
        <v>-1726790.0658536591</v>
      </c>
      <c r="R822">
        <f t="shared" si="1006"/>
        <v>-467929813.03963113</v>
      </c>
      <c r="S822">
        <f t="shared" si="1007"/>
        <v>-4679.2981303963115</v>
      </c>
      <c r="T822">
        <f t="shared" si="1008"/>
        <v>-4.6792981303963117</v>
      </c>
    </row>
    <row r="823" spans="1:20" x14ac:dyDescent="0.25">
      <c r="A823" s="5">
        <v>43770</v>
      </c>
      <c r="B823">
        <v>1.321E-2</v>
      </c>
      <c r="C823">
        <v>1.328E-2</v>
      </c>
      <c r="D823">
        <v>1.281E-2</v>
      </c>
      <c r="E823">
        <v>1.3140000000000001E-2</v>
      </c>
      <c r="F823">
        <v>3234466.5</v>
      </c>
      <c r="G823">
        <v>0</v>
      </c>
      <c r="L823" t="s">
        <v>7</v>
      </c>
      <c r="M823" t="s">
        <v>8</v>
      </c>
      <c r="N823" t="s">
        <v>8</v>
      </c>
      <c r="P823">
        <f t="shared" si="1004"/>
        <v>0.4042553191489382</v>
      </c>
      <c r="Q823">
        <f t="shared" si="1005"/>
        <v>1307550.2872340491</v>
      </c>
      <c r="R823">
        <f t="shared" si="1006"/>
        <v>-466203022.97377747</v>
      </c>
      <c r="S823">
        <f t="shared" si="1007"/>
        <v>-4662.0302297377748</v>
      </c>
      <c r="T823">
        <f t="shared" si="1008"/>
        <v>-4.6620302297377751</v>
      </c>
    </row>
    <row r="824" spans="1:20" x14ac:dyDescent="0.25">
      <c r="A824" s="5">
        <v>43769</v>
      </c>
      <c r="B824">
        <v>1.372E-2</v>
      </c>
      <c r="C824">
        <v>1.376E-2</v>
      </c>
      <c r="D824">
        <v>1.261E-2</v>
      </c>
      <c r="E824">
        <v>1.312E-2</v>
      </c>
      <c r="F824">
        <v>8281305.2999999998</v>
      </c>
      <c r="G824">
        <v>0</v>
      </c>
      <c r="L824" t="s">
        <v>7</v>
      </c>
      <c r="M824" t="s">
        <v>8</v>
      </c>
      <c r="N824" t="s">
        <v>8</v>
      </c>
      <c r="P824">
        <f t="shared" si="1004"/>
        <v>-0.11304347826086948</v>
      </c>
      <c r="Q824">
        <f t="shared" si="1005"/>
        <v>-936147.55565217324</v>
      </c>
      <c r="R824">
        <f t="shared" si="1006"/>
        <v>-467510573.26101154</v>
      </c>
      <c r="S824">
        <f t="shared" si="1007"/>
        <v>-4675.1057326101154</v>
      </c>
      <c r="T824">
        <f t="shared" si="1008"/>
        <v>-4.6751057326101151</v>
      </c>
    </row>
    <row r="825" spans="1:20" x14ac:dyDescent="0.25">
      <c r="A825" s="5">
        <v>43768</v>
      </c>
      <c r="B825">
        <v>1.3350000000000001E-2</v>
      </c>
      <c r="C825">
        <v>1.43E-2</v>
      </c>
      <c r="D825">
        <v>1.2840000000000001E-2</v>
      </c>
      <c r="E825">
        <v>1.3690000000000001E-2</v>
      </c>
      <c r="F825">
        <v>7548564.5999999996</v>
      </c>
      <c r="G825">
        <v>0</v>
      </c>
      <c r="L825" t="s">
        <v>7</v>
      </c>
      <c r="M825" t="s">
        <v>8</v>
      </c>
      <c r="N825" t="s">
        <v>8</v>
      </c>
      <c r="P825">
        <f t="shared" si="1004"/>
        <v>0.16438356164383611</v>
      </c>
      <c r="Q825">
        <f t="shared" si="1005"/>
        <v>1240859.934246579</v>
      </c>
      <c r="R825">
        <f t="shared" si="1006"/>
        <v>-466574425.70535934</v>
      </c>
      <c r="S825">
        <f t="shared" si="1007"/>
        <v>-4665.7442570535932</v>
      </c>
      <c r="T825">
        <f t="shared" si="1008"/>
        <v>-4.6657442570535927</v>
      </c>
    </row>
    <row r="826" spans="1:20" x14ac:dyDescent="0.25">
      <c r="A826" s="5">
        <v>43767</v>
      </c>
      <c r="B826">
        <v>1.304E-2</v>
      </c>
      <c r="C826">
        <v>1.44E-2</v>
      </c>
      <c r="D826">
        <v>1.294E-2</v>
      </c>
      <c r="E826">
        <v>1.3299999999999999E-2</v>
      </c>
      <c r="F826">
        <v>10042377.9</v>
      </c>
      <c r="G826">
        <v>0</v>
      </c>
      <c r="L826" t="s">
        <v>8</v>
      </c>
      <c r="M826" t="s">
        <v>8</v>
      </c>
      <c r="N826" t="s">
        <v>8</v>
      </c>
      <c r="P826">
        <f t="shared" si="1004"/>
        <v>-0.50684931506849407</v>
      </c>
      <c r="Q826">
        <f t="shared" si="1005"/>
        <v>-5089972.3602739824</v>
      </c>
      <c r="R826">
        <f t="shared" si="1006"/>
        <v>-467815285.63960594</v>
      </c>
      <c r="S826">
        <f t="shared" si="1007"/>
        <v>-4678.1528563960592</v>
      </c>
      <c r="T826">
        <f t="shared" si="1008"/>
        <v>-4.6781528563960588</v>
      </c>
    </row>
    <row r="827" spans="1:20" x14ac:dyDescent="0.25">
      <c r="A827" s="5">
        <v>43766</v>
      </c>
      <c r="B827">
        <v>1.29E-2</v>
      </c>
      <c r="C827">
        <v>1.389E-2</v>
      </c>
      <c r="D827">
        <v>1.0189999999999999E-2</v>
      </c>
      <c r="E827">
        <v>1.3010000000000001E-2</v>
      </c>
      <c r="F827">
        <v>11541337.6</v>
      </c>
      <c r="G827">
        <v>0</v>
      </c>
      <c r="L827" t="s">
        <v>7</v>
      </c>
      <c r="M827" t="s">
        <v>8</v>
      </c>
      <c r="N827" t="s">
        <v>7</v>
      </c>
      <c r="P827">
        <f t="shared" si="1004"/>
        <v>0.52432432432432496</v>
      </c>
      <c r="Q827">
        <f t="shared" si="1005"/>
        <v>6051404.0389189264</v>
      </c>
      <c r="R827">
        <f t="shared" si="1006"/>
        <v>-462725313.27933198</v>
      </c>
      <c r="S827">
        <f t="shared" si="1007"/>
        <v>-4627.2531327933202</v>
      </c>
      <c r="T827">
        <f t="shared" si="1008"/>
        <v>-4.62725313279332</v>
      </c>
    </row>
    <row r="828" spans="1:20" x14ac:dyDescent="0.25">
      <c r="A828" s="5">
        <v>43765</v>
      </c>
      <c r="B828">
        <v>1.2449999999999999E-2</v>
      </c>
      <c r="C828">
        <v>1.32E-2</v>
      </c>
      <c r="D828">
        <v>1.1610000000000001E-2</v>
      </c>
      <c r="E828">
        <v>1.2999999999999999E-2</v>
      </c>
      <c r="F828">
        <v>10691820</v>
      </c>
      <c r="G828">
        <v>0</v>
      </c>
      <c r="L828" t="s">
        <v>7</v>
      </c>
      <c r="M828" t="s">
        <v>8</v>
      </c>
      <c r="N828" t="s">
        <v>7</v>
      </c>
      <c r="P828">
        <f t="shared" si="1004"/>
        <v>0.74842767295597412</v>
      </c>
      <c r="Q828">
        <f t="shared" si="1005"/>
        <v>8002053.9622641429</v>
      </c>
      <c r="R828">
        <f t="shared" si="1006"/>
        <v>-468776717.31825089</v>
      </c>
      <c r="S828">
        <f t="shared" si="1007"/>
        <v>-4687.7671731825094</v>
      </c>
      <c r="T828">
        <f t="shared" si="1008"/>
        <v>-4.6877671731825092</v>
      </c>
    </row>
    <row r="829" spans="1:20" x14ac:dyDescent="0.25">
      <c r="A829" s="5">
        <v>43764</v>
      </c>
      <c r="B829">
        <v>1.2840000000000001E-2</v>
      </c>
      <c r="C829">
        <v>1.3299999999999999E-2</v>
      </c>
      <c r="D829">
        <v>1.2149999999999999E-2</v>
      </c>
      <c r="E829">
        <v>1.2449999999999999E-2</v>
      </c>
      <c r="F829">
        <v>8506467.5999999996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-0.47826086956521752</v>
      </c>
      <c r="Q829">
        <f t="shared" si="1005"/>
        <v>-4068310.5913043488</v>
      </c>
      <c r="R829">
        <f t="shared" si="1006"/>
        <v>-476778771.28051502</v>
      </c>
      <c r="S829">
        <f t="shared" si="1007"/>
        <v>-4767.7877128051505</v>
      </c>
      <c r="T829">
        <f t="shared" si="1008"/>
        <v>-4.7677877128051502</v>
      </c>
    </row>
    <row r="830" spans="1:20" x14ac:dyDescent="0.25">
      <c r="A830" s="5">
        <v>43763</v>
      </c>
      <c r="B830">
        <v>1.2019999999999999E-2</v>
      </c>
      <c r="C830">
        <v>1.29E-2</v>
      </c>
      <c r="D830">
        <v>1.171E-2</v>
      </c>
      <c r="E830">
        <v>1.2800000000000001E-2</v>
      </c>
      <c r="F830">
        <v>9474224</v>
      </c>
      <c r="G830">
        <v>0</v>
      </c>
      <c r="L830" t="s">
        <v>8</v>
      </c>
      <c r="M830" t="s">
        <v>7</v>
      </c>
      <c r="N830" t="s">
        <v>7</v>
      </c>
      <c r="P830">
        <f t="shared" si="1004"/>
        <v>0.83193277310924474</v>
      </c>
      <c r="Q830">
        <f t="shared" si="1005"/>
        <v>7881917.445378161</v>
      </c>
      <c r="R830">
        <f t="shared" si="1006"/>
        <v>-472710460.68921065</v>
      </c>
      <c r="S830">
        <f t="shared" si="1007"/>
        <v>-4727.1046068921069</v>
      </c>
      <c r="T830">
        <f t="shared" si="1008"/>
        <v>-4.727104606892107</v>
      </c>
    </row>
    <row r="831" spans="1:20" x14ac:dyDescent="0.25">
      <c r="A831" s="5">
        <v>43762</v>
      </c>
      <c r="B831">
        <v>1.175E-2</v>
      </c>
      <c r="C831">
        <v>1.2160000000000001E-2</v>
      </c>
      <c r="D831">
        <v>1.153E-2</v>
      </c>
      <c r="E831">
        <v>1.196E-2</v>
      </c>
      <c r="F831">
        <v>3462632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0.36507936507936378</v>
      </c>
      <c r="Q831">
        <f t="shared" ref="Q831:Q894" si="1010">F831*P831</f>
        <v>1264135.4920634876</v>
      </c>
      <c r="R831">
        <f t="shared" ref="R831:R894" si="1011">R832+Q831</f>
        <v>-480592378.13458884</v>
      </c>
      <c r="S831">
        <f t="shared" ref="S831:S894" si="1012">R831/100000</f>
        <v>-4805.9237813458885</v>
      </c>
      <c r="T831">
        <f t="shared" ref="T831:T894" si="1013">S831/1000</f>
        <v>-4.8059237813458884</v>
      </c>
    </row>
    <row r="832" spans="1:20" x14ac:dyDescent="0.25">
      <c r="A832" s="5">
        <v>43761</v>
      </c>
      <c r="B832">
        <v>1.223E-2</v>
      </c>
      <c r="C832">
        <v>1.29E-2</v>
      </c>
      <c r="D832">
        <v>1.116E-2</v>
      </c>
      <c r="E832">
        <v>1.175E-2</v>
      </c>
      <c r="F832">
        <v>4324619.4000000004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-0.32183908045976994</v>
      </c>
      <c r="Q832">
        <f t="shared" si="1010"/>
        <v>-1391831.5310344822</v>
      </c>
      <c r="R832">
        <f t="shared" si="1011"/>
        <v>-481856513.6266523</v>
      </c>
      <c r="S832">
        <f t="shared" si="1012"/>
        <v>-4818.565136266523</v>
      </c>
      <c r="T832">
        <f t="shared" si="1013"/>
        <v>-4.8185651362665229</v>
      </c>
    </row>
    <row r="833" spans="1:20" x14ac:dyDescent="0.25">
      <c r="A833" s="5">
        <v>43760</v>
      </c>
      <c r="B833">
        <v>1.2800000000000001E-2</v>
      </c>
      <c r="C833">
        <v>1.29E-2</v>
      </c>
      <c r="D833">
        <v>1.223E-2</v>
      </c>
      <c r="E833">
        <v>1.223E-2</v>
      </c>
      <c r="F833">
        <v>1944277.7</v>
      </c>
      <c r="G833">
        <v>0</v>
      </c>
      <c r="L833" t="s">
        <v>8</v>
      </c>
      <c r="M833" t="s">
        <v>7</v>
      </c>
      <c r="N833" t="s">
        <v>7</v>
      </c>
      <c r="P833">
        <f t="shared" si="1009"/>
        <v>-1</v>
      </c>
      <c r="Q833">
        <f t="shared" si="1010"/>
        <v>-1944277.7</v>
      </c>
      <c r="R833">
        <f t="shared" si="1011"/>
        <v>-480464682.09561783</v>
      </c>
      <c r="S833">
        <f t="shared" si="1012"/>
        <v>-4804.6468209561781</v>
      </c>
      <c r="T833">
        <f t="shared" si="1013"/>
        <v>-4.8046468209561777</v>
      </c>
    </row>
    <row r="834" spans="1:20" x14ac:dyDescent="0.25">
      <c r="A834" s="5">
        <v>43759</v>
      </c>
      <c r="B834">
        <v>1.2290000000000001E-2</v>
      </c>
      <c r="C834">
        <v>1.298E-2</v>
      </c>
      <c r="D834">
        <v>1.218E-2</v>
      </c>
      <c r="E834">
        <v>1.2800000000000001E-2</v>
      </c>
      <c r="F834">
        <v>2689292.1</v>
      </c>
      <c r="G834">
        <v>0</v>
      </c>
      <c r="L834" t="s">
        <v>8</v>
      </c>
      <c r="M834" t="s">
        <v>7</v>
      </c>
      <c r="N834" t="s">
        <v>7</v>
      </c>
      <c r="P834">
        <f t="shared" si="1009"/>
        <v>0.55000000000000115</v>
      </c>
      <c r="Q834">
        <f t="shared" si="1010"/>
        <v>1479110.6550000031</v>
      </c>
      <c r="R834">
        <f t="shared" si="1011"/>
        <v>-478520404.39561784</v>
      </c>
      <c r="S834">
        <f t="shared" si="1012"/>
        <v>-4785.2040439561788</v>
      </c>
      <c r="T834">
        <f t="shared" si="1013"/>
        <v>-4.7852040439561785</v>
      </c>
    </row>
    <row r="835" spans="1:20" x14ac:dyDescent="0.25">
      <c r="A835" s="5">
        <v>43758</v>
      </c>
      <c r="B835">
        <v>1.226E-2</v>
      </c>
      <c r="C835">
        <v>1.24E-2</v>
      </c>
      <c r="D835">
        <v>1.192E-2</v>
      </c>
      <c r="E835">
        <v>1.235E-2</v>
      </c>
      <c r="F835">
        <v>2211533.4</v>
      </c>
      <c r="G835">
        <v>0</v>
      </c>
      <c r="L835" t="s">
        <v>7</v>
      </c>
      <c r="M835" t="s">
        <v>7</v>
      </c>
      <c r="N835" t="s">
        <v>7</v>
      </c>
      <c r="P835">
        <f t="shared" si="1009"/>
        <v>0.79166666666666774</v>
      </c>
      <c r="Q835">
        <f t="shared" si="1010"/>
        <v>1750797.2750000022</v>
      </c>
      <c r="R835">
        <f t="shared" si="1011"/>
        <v>-479999515.05061787</v>
      </c>
      <c r="S835">
        <f t="shared" si="1012"/>
        <v>-4799.995150506179</v>
      </c>
      <c r="T835">
        <f t="shared" si="1013"/>
        <v>-4.7999951505061791</v>
      </c>
    </row>
    <row r="836" spans="1:20" x14ac:dyDescent="0.25">
      <c r="A836" s="5">
        <v>43757</v>
      </c>
      <c r="B836">
        <v>1.243E-2</v>
      </c>
      <c r="C836">
        <v>1.2500000000000001E-2</v>
      </c>
      <c r="D836">
        <v>1.2120000000000001E-2</v>
      </c>
      <c r="E836">
        <v>1.23E-2</v>
      </c>
      <c r="F836">
        <v>1186173.8999999999</v>
      </c>
      <c r="G836">
        <v>0</v>
      </c>
      <c r="L836" t="s">
        <v>7</v>
      </c>
      <c r="M836" t="s">
        <v>7</v>
      </c>
      <c r="N836" t="s">
        <v>7</v>
      </c>
      <c r="P836">
        <f t="shared" si="1009"/>
        <v>-5.2631578947370826E-2</v>
      </c>
      <c r="Q836">
        <f t="shared" si="1010"/>
        <v>-62430.205263160744</v>
      </c>
      <c r="R836">
        <f t="shared" si="1011"/>
        <v>-481750312.32561785</v>
      </c>
      <c r="S836">
        <f t="shared" si="1012"/>
        <v>-4817.5031232561787</v>
      </c>
      <c r="T836">
        <f t="shared" si="1013"/>
        <v>-4.8175031232561789</v>
      </c>
    </row>
    <row r="837" spans="1:20" x14ac:dyDescent="0.25">
      <c r="A837" s="5">
        <v>43756</v>
      </c>
      <c r="B837">
        <v>1.256E-2</v>
      </c>
      <c r="C837">
        <v>1.265E-2</v>
      </c>
      <c r="D837">
        <v>1.1900000000000001E-2</v>
      </c>
      <c r="E837">
        <v>1.24E-2</v>
      </c>
      <c r="F837">
        <v>2580551.1</v>
      </c>
      <c r="G837">
        <v>0</v>
      </c>
      <c r="L837" t="s">
        <v>7</v>
      </c>
      <c r="M837" t="s">
        <v>7</v>
      </c>
      <c r="N837" t="s">
        <v>7</v>
      </c>
      <c r="P837">
        <f t="shared" si="1009"/>
        <v>0.33333333333333182</v>
      </c>
      <c r="Q837">
        <f t="shared" si="1010"/>
        <v>860183.69999999611</v>
      </c>
      <c r="R837">
        <f t="shared" si="1011"/>
        <v>-481687882.12035471</v>
      </c>
      <c r="S837">
        <f t="shared" si="1012"/>
        <v>-4816.878821203547</v>
      </c>
      <c r="T837">
        <f t="shared" si="1013"/>
        <v>-4.8168788212035469</v>
      </c>
    </row>
    <row r="838" spans="1:20" x14ac:dyDescent="0.25">
      <c r="A838" s="5">
        <v>43755</v>
      </c>
      <c r="B838">
        <v>1.2319999999999999E-2</v>
      </c>
      <c r="C838">
        <v>1.2919999999999999E-2</v>
      </c>
      <c r="D838">
        <v>1.2120000000000001E-2</v>
      </c>
      <c r="E838">
        <v>1.2670000000000001E-2</v>
      </c>
      <c r="F838">
        <v>2785073.5</v>
      </c>
      <c r="G838">
        <v>0</v>
      </c>
      <c r="L838" t="s">
        <v>8</v>
      </c>
      <c r="M838" t="s">
        <v>7</v>
      </c>
      <c r="N838" t="s">
        <v>7</v>
      </c>
      <c r="P838">
        <f t="shared" si="1009"/>
        <v>0.37500000000000272</v>
      </c>
      <c r="Q838">
        <f t="shared" si="1010"/>
        <v>1044402.5625000076</v>
      </c>
      <c r="R838">
        <f t="shared" si="1011"/>
        <v>-482548065.8203547</v>
      </c>
      <c r="S838">
        <f t="shared" si="1012"/>
        <v>-4825.4806582035471</v>
      </c>
      <c r="T838">
        <f t="shared" si="1013"/>
        <v>-4.8254806582035474</v>
      </c>
    </row>
    <row r="839" spans="1:20" x14ac:dyDescent="0.25">
      <c r="A839" s="5">
        <v>43754</v>
      </c>
      <c r="B839">
        <v>1.2959999999999999E-2</v>
      </c>
      <c r="C839">
        <v>1.3100000000000001E-2</v>
      </c>
      <c r="D839">
        <v>1.1469999999999999E-2</v>
      </c>
      <c r="E839">
        <v>1.247E-2</v>
      </c>
      <c r="F839">
        <v>6011021.9000000004</v>
      </c>
      <c r="G839">
        <v>0</v>
      </c>
      <c r="L839" t="s">
        <v>7</v>
      </c>
      <c r="M839" t="s">
        <v>7</v>
      </c>
      <c r="N839" t="s">
        <v>7</v>
      </c>
      <c r="P839">
        <f t="shared" si="1009"/>
        <v>0.22699386503067501</v>
      </c>
      <c r="Q839">
        <f t="shared" si="1010"/>
        <v>1364465.0938650316</v>
      </c>
      <c r="R839">
        <f t="shared" si="1011"/>
        <v>-483592468.3828547</v>
      </c>
      <c r="S839">
        <f t="shared" si="1012"/>
        <v>-4835.9246838285471</v>
      </c>
      <c r="T839">
        <f t="shared" si="1013"/>
        <v>-4.835924683828547</v>
      </c>
    </row>
    <row r="840" spans="1:20" x14ac:dyDescent="0.25">
      <c r="A840" s="5">
        <v>43753</v>
      </c>
      <c r="B840">
        <v>1.3259999999999999E-2</v>
      </c>
      <c r="C840">
        <v>1.3339999999999999E-2</v>
      </c>
      <c r="D840">
        <v>1.2670000000000001E-2</v>
      </c>
      <c r="E840">
        <v>1.3100000000000001E-2</v>
      </c>
      <c r="F840">
        <v>3330323.6</v>
      </c>
      <c r="G840">
        <v>0</v>
      </c>
      <c r="L840" t="s">
        <v>7</v>
      </c>
      <c r="M840" t="s">
        <v>8</v>
      </c>
      <c r="N840" t="s">
        <v>7</v>
      </c>
      <c r="P840">
        <f t="shared" si="1009"/>
        <v>0.28358208955224073</v>
      </c>
      <c r="Q840">
        <f t="shared" si="1010"/>
        <v>944420.12537314079</v>
      </c>
      <c r="R840">
        <f t="shared" si="1011"/>
        <v>-484956933.47671974</v>
      </c>
      <c r="S840">
        <f t="shared" si="1012"/>
        <v>-4849.5693347671977</v>
      </c>
      <c r="T840">
        <f t="shared" si="1013"/>
        <v>-4.8495693347671978</v>
      </c>
    </row>
    <row r="841" spans="1:20" x14ac:dyDescent="0.25">
      <c r="A841" s="5">
        <v>43752</v>
      </c>
      <c r="B841">
        <v>1.3050000000000001E-2</v>
      </c>
      <c r="C841">
        <v>1.3429999999999999E-2</v>
      </c>
      <c r="D841">
        <v>1.286E-2</v>
      </c>
      <c r="E841">
        <v>1.3180000000000001E-2</v>
      </c>
      <c r="F841">
        <v>1522909.1</v>
      </c>
      <c r="G841">
        <v>0</v>
      </c>
      <c r="L841" t="s">
        <v>7</v>
      </c>
      <c r="M841" t="s">
        <v>8</v>
      </c>
      <c r="N841" t="s">
        <v>7</v>
      </c>
      <c r="P841">
        <f t="shared" si="1009"/>
        <v>0.12280701754386392</v>
      </c>
      <c r="Q841">
        <f t="shared" si="1010"/>
        <v>187023.92456141001</v>
      </c>
      <c r="R841">
        <f t="shared" si="1011"/>
        <v>-485901353.60209286</v>
      </c>
      <c r="S841">
        <f t="shared" si="1012"/>
        <v>-4859.0135360209288</v>
      </c>
      <c r="T841">
        <f t="shared" si="1013"/>
        <v>-4.859013536020929</v>
      </c>
    </row>
    <row r="842" spans="1:20" x14ac:dyDescent="0.25">
      <c r="A842" s="5">
        <v>43751</v>
      </c>
      <c r="B842">
        <v>1.355E-2</v>
      </c>
      <c r="C842">
        <v>1.37E-2</v>
      </c>
      <c r="D842">
        <v>1.269E-2</v>
      </c>
      <c r="E842">
        <v>1.32E-2</v>
      </c>
      <c r="F842">
        <v>2465802.2000000002</v>
      </c>
      <c r="G842">
        <v>0</v>
      </c>
      <c r="L842" t="s">
        <v>7</v>
      </c>
      <c r="M842" t="s">
        <v>8</v>
      </c>
      <c r="N842" t="s">
        <v>7</v>
      </c>
      <c r="P842">
        <f t="shared" si="1009"/>
        <v>9.9009900990094935E-3</v>
      </c>
      <c r="Q842">
        <f t="shared" si="1010"/>
        <v>24413.883168315828</v>
      </c>
      <c r="R842">
        <f t="shared" si="1011"/>
        <v>-486088377.52665424</v>
      </c>
      <c r="S842">
        <f t="shared" si="1012"/>
        <v>-4860.8837752665422</v>
      </c>
      <c r="T842">
        <f t="shared" si="1013"/>
        <v>-4.8608837752665419</v>
      </c>
    </row>
    <row r="843" spans="1:20" x14ac:dyDescent="0.25">
      <c r="A843" s="5">
        <v>43750</v>
      </c>
      <c r="B843">
        <v>1.3559999999999999E-2</v>
      </c>
      <c r="C843">
        <v>1.374E-2</v>
      </c>
      <c r="D843">
        <v>1.336E-2</v>
      </c>
      <c r="E843">
        <v>1.355E-2</v>
      </c>
      <c r="F843">
        <v>823582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-4.5650617788863333E-15</v>
      </c>
      <c r="Q843">
        <f t="shared" si="1010"/>
        <v>-3.7597027099787642E-9</v>
      </c>
      <c r="R843">
        <f t="shared" si="1011"/>
        <v>-486112791.40982258</v>
      </c>
      <c r="S843">
        <f t="shared" si="1012"/>
        <v>-4861.127914098226</v>
      </c>
      <c r="T843">
        <f t="shared" si="1013"/>
        <v>-4.8611279140982262</v>
      </c>
    </row>
    <row r="844" spans="1:20" x14ac:dyDescent="0.25">
      <c r="A844" s="5">
        <v>43749</v>
      </c>
      <c r="B844">
        <v>1.3429999999999999E-2</v>
      </c>
      <c r="C844">
        <v>1.426E-2</v>
      </c>
      <c r="D844">
        <v>1.278E-2</v>
      </c>
      <c r="E844">
        <v>1.3559999999999999E-2</v>
      </c>
      <c r="F844">
        <v>12424729.4</v>
      </c>
      <c r="G844">
        <v>0</v>
      </c>
      <c r="L844" t="s">
        <v>7</v>
      </c>
      <c r="M844" t="s">
        <v>8</v>
      </c>
      <c r="N844" t="s">
        <v>7</v>
      </c>
      <c r="P844">
        <f t="shared" si="1009"/>
        <v>5.4054054054053009E-2</v>
      </c>
      <c r="Q844">
        <f t="shared" si="1010"/>
        <v>671606.99459458166</v>
      </c>
      <c r="R844">
        <f t="shared" si="1011"/>
        <v>-486112791.40982258</v>
      </c>
      <c r="S844">
        <f t="shared" si="1012"/>
        <v>-4861.127914098226</v>
      </c>
      <c r="T844">
        <f t="shared" si="1013"/>
        <v>-4.8611279140982262</v>
      </c>
    </row>
    <row r="845" spans="1:20" x14ac:dyDescent="0.25">
      <c r="A845" s="5">
        <v>43748</v>
      </c>
      <c r="B845">
        <v>1.353E-2</v>
      </c>
      <c r="C845">
        <v>1.362E-2</v>
      </c>
      <c r="D845">
        <v>1.299E-2</v>
      </c>
      <c r="E845">
        <v>1.346E-2</v>
      </c>
      <c r="F845">
        <v>3502399.4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0.49206349206349104</v>
      </c>
      <c r="Q845">
        <f t="shared" si="1010"/>
        <v>1723402.8793650756</v>
      </c>
      <c r="R845">
        <f t="shared" si="1011"/>
        <v>-486784398.40441716</v>
      </c>
      <c r="S845">
        <f t="shared" si="1012"/>
        <v>-4867.8439840441715</v>
      </c>
      <c r="T845">
        <f t="shared" si="1013"/>
        <v>-4.8678439840441712</v>
      </c>
    </row>
    <row r="846" spans="1:20" x14ac:dyDescent="0.25">
      <c r="A846" s="5">
        <v>43747</v>
      </c>
      <c r="B846">
        <v>1.379E-2</v>
      </c>
      <c r="C846">
        <v>1.4449999999999999E-2</v>
      </c>
      <c r="D846">
        <v>1.291E-2</v>
      </c>
      <c r="E846">
        <v>1.3520000000000001E-2</v>
      </c>
      <c r="F846">
        <v>11295001.699999999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-0.20779220779220611</v>
      </c>
      <c r="Q846">
        <f t="shared" si="1010"/>
        <v>-2347013.340259721</v>
      </c>
      <c r="R846">
        <f t="shared" si="1011"/>
        <v>-488507801.28378224</v>
      </c>
      <c r="S846">
        <f t="shared" si="1012"/>
        <v>-4885.0780128378228</v>
      </c>
      <c r="T846">
        <f t="shared" si="1013"/>
        <v>-4.8850780128378224</v>
      </c>
    </row>
    <row r="847" spans="1:20" x14ac:dyDescent="0.25">
      <c r="A847" s="5">
        <v>43746</v>
      </c>
      <c r="B847">
        <v>1.3599999999999999E-2</v>
      </c>
      <c r="C847">
        <v>1.391E-2</v>
      </c>
      <c r="D847">
        <v>1.329E-2</v>
      </c>
      <c r="E847">
        <v>1.375E-2</v>
      </c>
      <c r="F847">
        <v>4768536.2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0.48387096774193478</v>
      </c>
      <c r="Q847">
        <f t="shared" si="1010"/>
        <v>2307356.2258064481</v>
      </c>
      <c r="R847">
        <f t="shared" si="1011"/>
        <v>-486160787.94352251</v>
      </c>
      <c r="S847">
        <f t="shared" si="1012"/>
        <v>-4861.6078794352252</v>
      </c>
      <c r="T847">
        <f t="shared" si="1013"/>
        <v>-4.8616078794352253</v>
      </c>
    </row>
    <row r="848" spans="1:20" x14ac:dyDescent="0.25">
      <c r="A848" s="5">
        <v>43745</v>
      </c>
      <c r="B848">
        <v>1.325E-2</v>
      </c>
      <c r="C848">
        <v>1.38E-2</v>
      </c>
      <c r="D848">
        <v>1.3050000000000001E-2</v>
      </c>
      <c r="E848">
        <v>1.353E-2</v>
      </c>
      <c r="F848">
        <v>3361245.6</v>
      </c>
      <c r="G848">
        <v>0</v>
      </c>
      <c r="L848" t="s">
        <v>7</v>
      </c>
      <c r="M848" t="s">
        <v>8</v>
      </c>
      <c r="N848" t="s">
        <v>7</v>
      </c>
      <c r="P848">
        <f t="shared" si="1009"/>
        <v>0.28000000000000058</v>
      </c>
      <c r="Q848">
        <f t="shared" si="1010"/>
        <v>941148.76800000202</v>
      </c>
      <c r="R848">
        <f t="shared" si="1011"/>
        <v>-488468144.16932899</v>
      </c>
      <c r="S848">
        <f t="shared" si="1012"/>
        <v>-4884.6814416932903</v>
      </c>
      <c r="T848">
        <f t="shared" si="1013"/>
        <v>-4.8846814416932904</v>
      </c>
    </row>
    <row r="849" spans="1:20" x14ac:dyDescent="0.25">
      <c r="A849" s="5">
        <v>43744</v>
      </c>
      <c r="B849">
        <v>1.342E-2</v>
      </c>
      <c r="C849">
        <v>1.3780000000000001E-2</v>
      </c>
      <c r="D849">
        <v>1.29E-2</v>
      </c>
      <c r="E849">
        <v>1.321E-2</v>
      </c>
      <c r="F849">
        <v>6121308.9000000004</v>
      </c>
      <c r="G849">
        <v>0</v>
      </c>
      <c r="L849" t="s">
        <v>7</v>
      </c>
      <c r="M849" t="s">
        <v>8</v>
      </c>
      <c r="N849" t="s">
        <v>7</v>
      </c>
      <c r="P849">
        <f t="shared" si="1009"/>
        <v>-0.29545454545454702</v>
      </c>
      <c r="Q849">
        <f t="shared" si="1010"/>
        <v>-1808568.5386363734</v>
      </c>
      <c r="R849">
        <f t="shared" si="1011"/>
        <v>-489409292.93732899</v>
      </c>
      <c r="S849">
        <f t="shared" si="1012"/>
        <v>-4894.0929293732897</v>
      </c>
      <c r="T849">
        <f t="shared" si="1013"/>
        <v>-4.89409292937329</v>
      </c>
    </row>
    <row r="850" spans="1:20" x14ac:dyDescent="0.25">
      <c r="A850" s="5">
        <v>43743</v>
      </c>
      <c r="B850">
        <v>1.328E-2</v>
      </c>
      <c r="C850">
        <v>1.4200000000000001E-2</v>
      </c>
      <c r="D850">
        <v>1.3140000000000001E-2</v>
      </c>
      <c r="E850">
        <v>1.336E-2</v>
      </c>
      <c r="F850">
        <v>9008496.3000000007</v>
      </c>
      <c r="G850">
        <v>0</v>
      </c>
      <c r="L850" t="s">
        <v>8</v>
      </c>
      <c r="M850" t="s">
        <v>8</v>
      </c>
      <c r="N850" t="s">
        <v>7</v>
      </c>
      <c r="P850">
        <f t="shared" si="1009"/>
        <v>-0.58490566037735914</v>
      </c>
      <c r="Q850">
        <f t="shared" si="1010"/>
        <v>-5269120.4773584967</v>
      </c>
      <c r="R850">
        <f t="shared" si="1011"/>
        <v>-487600724.39869261</v>
      </c>
      <c r="S850">
        <f t="shared" si="1012"/>
        <v>-4876.0072439869264</v>
      </c>
      <c r="T850">
        <f t="shared" si="1013"/>
        <v>-4.8760072439869262</v>
      </c>
    </row>
    <row r="851" spans="1:20" x14ac:dyDescent="0.25">
      <c r="A851" s="5">
        <v>43742</v>
      </c>
      <c r="B851">
        <v>1.337E-2</v>
      </c>
      <c r="C851">
        <v>1.355E-2</v>
      </c>
      <c r="D851">
        <v>1.281E-2</v>
      </c>
      <c r="E851">
        <v>1.328E-2</v>
      </c>
      <c r="F851">
        <v>4410291.9000000004</v>
      </c>
      <c r="G851">
        <v>0</v>
      </c>
      <c r="L851" t="s">
        <v>7</v>
      </c>
      <c r="M851" t="s">
        <v>8</v>
      </c>
      <c r="N851" t="s">
        <v>7</v>
      </c>
      <c r="P851">
        <f t="shared" si="1009"/>
        <v>0.27027027027027123</v>
      </c>
      <c r="Q851">
        <f t="shared" si="1010"/>
        <v>1191970.7837837881</v>
      </c>
      <c r="R851">
        <f t="shared" si="1011"/>
        <v>-482331603.92133409</v>
      </c>
      <c r="S851">
        <f t="shared" si="1012"/>
        <v>-4823.3160392133404</v>
      </c>
      <c r="T851">
        <f t="shared" si="1013"/>
        <v>-4.8233160392133403</v>
      </c>
    </row>
    <row r="852" spans="1:20" x14ac:dyDescent="0.25">
      <c r="A852" s="5">
        <v>43741</v>
      </c>
      <c r="B852">
        <v>1.3780000000000001E-2</v>
      </c>
      <c r="C852">
        <v>1.4E-2</v>
      </c>
      <c r="D852">
        <v>1.299E-2</v>
      </c>
      <c r="E852">
        <v>1.337E-2</v>
      </c>
      <c r="F852">
        <v>8385142.4000000004</v>
      </c>
      <c r="G852">
        <v>0</v>
      </c>
      <c r="L852" t="s">
        <v>7</v>
      </c>
      <c r="M852" t="s">
        <v>8</v>
      </c>
      <c r="N852" t="s">
        <v>7</v>
      </c>
      <c r="P852">
        <f t="shared" si="1009"/>
        <v>-0.24752475247524763</v>
      </c>
      <c r="Q852">
        <f t="shared" si="1010"/>
        <v>-2075530.2970297041</v>
      </c>
      <c r="R852">
        <f t="shared" si="1011"/>
        <v>-483523574.70511788</v>
      </c>
      <c r="S852">
        <f t="shared" si="1012"/>
        <v>-4835.2357470511788</v>
      </c>
      <c r="T852">
        <f t="shared" si="1013"/>
        <v>-4.8352357470511791</v>
      </c>
    </row>
    <row r="853" spans="1:20" x14ac:dyDescent="0.25">
      <c r="A853" s="5">
        <v>43740</v>
      </c>
      <c r="B853">
        <v>1.26E-2</v>
      </c>
      <c r="C853">
        <v>1.389E-2</v>
      </c>
      <c r="D853">
        <v>1.234E-2</v>
      </c>
      <c r="E853">
        <v>1.375E-2</v>
      </c>
      <c r="F853">
        <v>5304132.3</v>
      </c>
      <c r="G853">
        <v>0</v>
      </c>
      <c r="L853" t="s">
        <v>8</v>
      </c>
      <c r="M853" t="s">
        <v>8</v>
      </c>
      <c r="N853" t="s">
        <v>7</v>
      </c>
      <c r="P853">
        <f t="shared" si="1009"/>
        <v>0.81935483870967796</v>
      </c>
      <c r="Q853">
        <f t="shared" si="1010"/>
        <v>4345966.4651612928</v>
      </c>
      <c r="R853">
        <f t="shared" si="1011"/>
        <v>-481448044.40808815</v>
      </c>
      <c r="S853">
        <f t="shared" si="1012"/>
        <v>-4814.4804440808812</v>
      </c>
      <c r="T853">
        <f t="shared" si="1013"/>
        <v>-4.814480444080881</v>
      </c>
    </row>
    <row r="854" spans="1:20" x14ac:dyDescent="0.25">
      <c r="A854" s="5">
        <v>43739</v>
      </c>
      <c r="B854">
        <v>1.282E-2</v>
      </c>
      <c r="C854">
        <v>1.3299999999999999E-2</v>
      </c>
      <c r="D854">
        <v>1.2500000000000001E-2</v>
      </c>
      <c r="E854">
        <v>1.26E-2</v>
      </c>
      <c r="F854">
        <v>1741024.7</v>
      </c>
      <c r="G854">
        <v>0</v>
      </c>
      <c r="L854" t="s">
        <v>8</v>
      </c>
      <c r="M854" t="s">
        <v>8</v>
      </c>
      <c r="N854" t="s">
        <v>7</v>
      </c>
      <c r="P854">
        <f t="shared" si="1009"/>
        <v>-0.75000000000000111</v>
      </c>
      <c r="Q854">
        <f t="shared" si="1010"/>
        <v>-1305768.525000002</v>
      </c>
      <c r="R854">
        <f t="shared" si="1011"/>
        <v>-485794010.87324941</v>
      </c>
      <c r="S854">
        <f t="shared" si="1012"/>
        <v>-4857.9401087324941</v>
      </c>
      <c r="T854">
        <f t="shared" si="1013"/>
        <v>-4.8579401087324943</v>
      </c>
    </row>
    <row r="855" spans="1:20" x14ac:dyDescent="0.25">
      <c r="A855" s="5">
        <v>43738</v>
      </c>
      <c r="B855">
        <v>1.247E-2</v>
      </c>
      <c r="C855">
        <v>1.2999999999999999E-2</v>
      </c>
      <c r="D855">
        <v>1.163E-2</v>
      </c>
      <c r="E855">
        <v>1.2919999999999999E-2</v>
      </c>
      <c r="F855">
        <v>3374105.1</v>
      </c>
      <c r="G855">
        <v>0</v>
      </c>
      <c r="L855" t="s">
        <v>7</v>
      </c>
      <c r="M855" t="s">
        <v>8</v>
      </c>
      <c r="N855" t="s">
        <v>7</v>
      </c>
      <c r="P855">
        <f t="shared" si="1009"/>
        <v>0.88321167883211649</v>
      </c>
      <c r="Q855">
        <f t="shared" si="1010"/>
        <v>2980049.0299270065</v>
      </c>
      <c r="R855">
        <f t="shared" si="1011"/>
        <v>-484488242.34824944</v>
      </c>
      <c r="S855">
        <f t="shared" si="1012"/>
        <v>-4844.8824234824942</v>
      </c>
      <c r="T855">
        <f t="shared" si="1013"/>
        <v>-4.8448824234824945</v>
      </c>
    </row>
    <row r="856" spans="1:20" x14ac:dyDescent="0.25">
      <c r="A856" s="5">
        <v>43737</v>
      </c>
      <c r="B856">
        <v>1.3089999999999999E-2</v>
      </c>
      <c r="C856">
        <v>1.3270000000000001E-2</v>
      </c>
      <c r="D856">
        <v>1.218E-2</v>
      </c>
      <c r="E856">
        <v>1.23E-2</v>
      </c>
      <c r="F856">
        <v>1978186.7</v>
      </c>
      <c r="G856">
        <v>0</v>
      </c>
      <c r="L856" t="s">
        <v>7</v>
      </c>
      <c r="M856" t="s">
        <v>8</v>
      </c>
      <c r="N856" t="s">
        <v>7</v>
      </c>
      <c r="P856">
        <f t="shared" si="1009"/>
        <v>-0.77981651376146743</v>
      </c>
      <c r="Q856">
        <f t="shared" si="1010"/>
        <v>-1542622.6559633019</v>
      </c>
      <c r="R856">
        <f t="shared" si="1011"/>
        <v>-487468291.37817645</v>
      </c>
      <c r="S856">
        <f t="shared" si="1012"/>
        <v>-4874.6829137817649</v>
      </c>
      <c r="T856">
        <f t="shared" si="1013"/>
        <v>-4.8746829137817649</v>
      </c>
    </row>
    <row r="857" spans="1:20" x14ac:dyDescent="0.25">
      <c r="A857" s="5">
        <v>43736</v>
      </c>
      <c r="B857">
        <v>1.32E-2</v>
      </c>
      <c r="C857">
        <v>1.3509999999999999E-2</v>
      </c>
      <c r="D857">
        <v>1.265E-2</v>
      </c>
      <c r="E857">
        <v>1.3129999999999999E-2</v>
      </c>
      <c r="F857">
        <v>5606754.5</v>
      </c>
      <c r="G857">
        <v>0</v>
      </c>
      <c r="L857" t="s">
        <v>7</v>
      </c>
      <c r="M857" t="s">
        <v>8</v>
      </c>
      <c r="N857" t="s">
        <v>7</v>
      </c>
      <c r="P857">
        <f t="shared" si="1009"/>
        <v>0.11627906976744121</v>
      </c>
      <c r="Q857">
        <f t="shared" si="1010"/>
        <v>651948.19767441496</v>
      </c>
      <c r="R857">
        <f t="shared" si="1011"/>
        <v>-485925668.72221315</v>
      </c>
      <c r="S857">
        <f t="shared" si="1012"/>
        <v>-4859.2566872221314</v>
      </c>
      <c r="T857">
        <f t="shared" si="1013"/>
        <v>-4.859256687222131</v>
      </c>
    </row>
    <row r="858" spans="1:20" x14ac:dyDescent="0.25">
      <c r="A858" s="5">
        <v>43735</v>
      </c>
      <c r="B858">
        <v>1.171E-2</v>
      </c>
      <c r="C858">
        <v>1.362E-2</v>
      </c>
      <c r="D858">
        <v>1.119E-2</v>
      </c>
      <c r="E858">
        <v>1.32E-2</v>
      </c>
      <c r="F858">
        <v>10728545.300000001</v>
      </c>
      <c r="G858">
        <v>0</v>
      </c>
      <c r="L858" t="s">
        <v>8</v>
      </c>
      <c r="M858" t="s">
        <v>8</v>
      </c>
      <c r="N858" t="s">
        <v>7</v>
      </c>
      <c r="P858">
        <f t="shared" si="1009"/>
        <v>0.65432098765432078</v>
      </c>
      <c r="Q858">
        <f t="shared" si="1010"/>
        <v>7019912.3567901216</v>
      </c>
      <c r="R858">
        <f t="shared" si="1011"/>
        <v>-486577616.91988754</v>
      </c>
      <c r="S858">
        <f t="shared" si="1012"/>
        <v>-4865.7761691988753</v>
      </c>
      <c r="T858">
        <f t="shared" si="1013"/>
        <v>-4.8657761691988757</v>
      </c>
    </row>
    <row r="859" spans="1:20" x14ac:dyDescent="0.25">
      <c r="A859" s="5">
        <v>43734</v>
      </c>
      <c r="B859">
        <v>1.218E-2</v>
      </c>
      <c r="C859">
        <v>1.2659999999999999E-2</v>
      </c>
      <c r="D859">
        <v>1.068E-2</v>
      </c>
      <c r="E859">
        <v>1.167E-2</v>
      </c>
      <c r="F859">
        <v>10287022.9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0</v>
      </c>
      <c r="Q859">
        <f t="shared" si="1010"/>
        <v>0</v>
      </c>
      <c r="R859">
        <f t="shared" si="1011"/>
        <v>-493597529.27667767</v>
      </c>
      <c r="S859">
        <f t="shared" si="1012"/>
        <v>-4935.9752927667769</v>
      </c>
      <c r="T859">
        <f t="shared" si="1013"/>
        <v>-4.935975292766777</v>
      </c>
    </row>
    <row r="860" spans="1:20" x14ac:dyDescent="0.25">
      <c r="A860" s="5">
        <v>43733</v>
      </c>
      <c r="B860">
        <v>1.21E-2</v>
      </c>
      <c r="C860">
        <v>1.2999999999999999E-2</v>
      </c>
      <c r="D860">
        <v>1.136E-2</v>
      </c>
      <c r="E860">
        <v>1.217E-2</v>
      </c>
      <c r="F860">
        <v>8785704.4000000004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-1.2195121951219022E-2</v>
      </c>
      <c r="Q860">
        <f t="shared" si="1010"/>
        <v>-107142.73658536155</v>
      </c>
      <c r="R860">
        <f t="shared" si="1011"/>
        <v>-493597529.27667767</v>
      </c>
      <c r="S860">
        <f t="shared" si="1012"/>
        <v>-4935.9752927667769</v>
      </c>
      <c r="T860">
        <f t="shared" si="1013"/>
        <v>-4.935975292766777</v>
      </c>
    </row>
    <row r="861" spans="1:20" x14ac:dyDescent="0.25">
      <c r="A861" s="5">
        <v>43732</v>
      </c>
      <c r="B861">
        <v>1.575E-2</v>
      </c>
      <c r="C861">
        <v>1.6959999999999999E-2</v>
      </c>
      <c r="D861">
        <v>1.1140000000000001E-2</v>
      </c>
      <c r="E861">
        <v>1.2070000000000001E-2</v>
      </c>
      <c r="F861">
        <v>25397219.699999999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-0.68041237113402042</v>
      </c>
      <c r="Q861">
        <f t="shared" si="1010"/>
        <v>-17280582.476288654</v>
      </c>
      <c r="R861">
        <f t="shared" si="1011"/>
        <v>-493490386.54009229</v>
      </c>
      <c r="S861">
        <f t="shared" si="1012"/>
        <v>-4934.9038654009228</v>
      </c>
      <c r="T861">
        <f t="shared" si="1013"/>
        <v>-4.9349038654009227</v>
      </c>
    </row>
    <row r="862" spans="1:20" x14ac:dyDescent="0.25">
      <c r="A862" s="5">
        <v>43731</v>
      </c>
      <c r="B862">
        <v>1.5140000000000001E-2</v>
      </c>
      <c r="C862">
        <v>1.6670000000000001E-2</v>
      </c>
      <c r="D862">
        <v>1.504E-2</v>
      </c>
      <c r="E862">
        <v>1.5709999999999998E-2</v>
      </c>
      <c r="F862">
        <v>11330270.9</v>
      </c>
      <c r="G862">
        <v>0</v>
      </c>
      <c r="L862" t="s">
        <v>7</v>
      </c>
      <c r="M862" t="s">
        <v>7</v>
      </c>
      <c r="N862" t="s">
        <v>7</v>
      </c>
      <c r="P862">
        <f t="shared" si="1009"/>
        <v>-0.17791411042945005</v>
      </c>
      <c r="Q862">
        <f t="shared" si="1010"/>
        <v>-2015815.0680981844</v>
      </c>
      <c r="R862">
        <f t="shared" si="1011"/>
        <v>-476209804.06380361</v>
      </c>
      <c r="S862">
        <f t="shared" si="1012"/>
        <v>-4762.0980406380359</v>
      </c>
      <c r="T862">
        <f t="shared" si="1013"/>
        <v>-4.762098040638036</v>
      </c>
    </row>
    <row r="863" spans="1:20" x14ac:dyDescent="0.25">
      <c r="A863" s="5">
        <v>43730</v>
      </c>
      <c r="B863">
        <v>1.4930000000000001E-2</v>
      </c>
      <c r="C863">
        <v>1.864E-2</v>
      </c>
      <c r="D863">
        <v>1.44E-2</v>
      </c>
      <c r="E863">
        <v>1.5129999999999999E-2</v>
      </c>
      <c r="F863">
        <v>32867775.5</v>
      </c>
      <c r="G863">
        <v>0</v>
      </c>
      <c r="L863" t="s">
        <v>8</v>
      </c>
      <c r="M863" t="s">
        <v>8</v>
      </c>
      <c r="N863" t="s">
        <v>7</v>
      </c>
      <c r="P863">
        <f t="shared" si="1009"/>
        <v>-0.6556603773584907</v>
      </c>
      <c r="Q863">
        <f t="shared" si="1010"/>
        <v>-21550098.087264154</v>
      </c>
      <c r="R863">
        <f t="shared" si="1011"/>
        <v>-474193988.99570543</v>
      </c>
      <c r="S863">
        <f t="shared" si="1012"/>
        <v>-4741.9398899570542</v>
      </c>
      <c r="T863">
        <f t="shared" si="1013"/>
        <v>-4.7419398899570542</v>
      </c>
    </row>
    <row r="864" spans="1:20" x14ac:dyDescent="0.25">
      <c r="A864" s="5">
        <v>43729</v>
      </c>
      <c r="B864">
        <v>1.521E-2</v>
      </c>
      <c r="C864">
        <v>1.5480000000000001E-2</v>
      </c>
      <c r="D864">
        <v>1.4760000000000001E-2</v>
      </c>
      <c r="E864">
        <v>1.5010000000000001E-2</v>
      </c>
      <c r="F864">
        <v>4149694</v>
      </c>
      <c r="G864">
        <v>0</v>
      </c>
      <c r="L864" t="s">
        <v>8</v>
      </c>
      <c r="M864" t="s">
        <v>7</v>
      </c>
      <c r="N864" t="s">
        <v>7</v>
      </c>
      <c r="P864">
        <f t="shared" si="1009"/>
        <v>-0.30555555555555508</v>
      </c>
      <c r="Q864">
        <f t="shared" si="1010"/>
        <v>-1267962.0555555536</v>
      </c>
      <c r="R864">
        <f t="shared" si="1011"/>
        <v>-452643890.90844125</v>
      </c>
      <c r="S864">
        <f t="shared" si="1012"/>
        <v>-4526.4389090844124</v>
      </c>
      <c r="T864">
        <f t="shared" si="1013"/>
        <v>-4.5264389090844128</v>
      </c>
    </row>
    <row r="865" spans="1:20" x14ac:dyDescent="0.25">
      <c r="A865" s="5">
        <v>43728</v>
      </c>
      <c r="B865">
        <v>1.4999999999999999E-2</v>
      </c>
      <c r="C865">
        <v>1.55E-2</v>
      </c>
      <c r="D865">
        <v>1.4749999999999999E-2</v>
      </c>
      <c r="E865">
        <v>1.511E-2</v>
      </c>
      <c r="F865">
        <v>3536089.2</v>
      </c>
      <c r="G865">
        <v>0</v>
      </c>
      <c r="L865" t="s">
        <v>8</v>
      </c>
      <c r="M865" t="s">
        <v>7</v>
      </c>
      <c r="N865" t="s">
        <v>7</v>
      </c>
      <c r="P865">
        <f t="shared" si="1009"/>
        <v>-3.9999999999998335E-2</v>
      </c>
      <c r="Q865">
        <f t="shared" si="1010"/>
        <v>-141443.56799999412</v>
      </c>
      <c r="R865">
        <f t="shared" si="1011"/>
        <v>-451375928.85288566</v>
      </c>
      <c r="S865">
        <f t="shared" si="1012"/>
        <v>-4513.7592885288568</v>
      </c>
      <c r="T865">
        <f t="shared" si="1013"/>
        <v>-4.5137592885288571</v>
      </c>
    </row>
    <row r="866" spans="1:20" x14ac:dyDescent="0.25">
      <c r="A866" s="5">
        <v>43727</v>
      </c>
      <c r="B866">
        <v>1.553E-2</v>
      </c>
      <c r="C866">
        <v>1.558E-2</v>
      </c>
      <c r="D866">
        <v>1.418E-2</v>
      </c>
      <c r="E866">
        <v>1.4999999999999999E-2</v>
      </c>
      <c r="F866">
        <v>9249124.4000000004</v>
      </c>
      <c r="G866">
        <v>0</v>
      </c>
      <c r="L866" t="s">
        <v>7</v>
      </c>
      <c r="M866" t="s">
        <v>7</v>
      </c>
      <c r="N866" t="s">
        <v>7</v>
      </c>
      <c r="P866">
        <f t="shared" si="1009"/>
        <v>0.17142857142857063</v>
      </c>
      <c r="Q866">
        <f t="shared" si="1010"/>
        <v>1585564.1828571355</v>
      </c>
      <c r="R866">
        <f t="shared" si="1011"/>
        <v>-451234485.28488564</v>
      </c>
      <c r="S866">
        <f t="shared" si="1012"/>
        <v>-4512.3448528488561</v>
      </c>
      <c r="T866">
        <f t="shared" si="1013"/>
        <v>-4.5123448528488561</v>
      </c>
    </row>
    <row r="867" spans="1:20" x14ac:dyDescent="0.25">
      <c r="A867" s="5">
        <v>43726</v>
      </c>
      <c r="B867">
        <v>1.545E-2</v>
      </c>
      <c r="C867">
        <v>1.61E-2</v>
      </c>
      <c r="D867">
        <v>1.503E-2</v>
      </c>
      <c r="E867">
        <v>1.558E-2</v>
      </c>
      <c r="F867">
        <v>14693453.6</v>
      </c>
      <c r="G867">
        <v>0</v>
      </c>
      <c r="L867" t="s">
        <v>8</v>
      </c>
      <c r="M867" t="s">
        <v>7</v>
      </c>
      <c r="N867" t="s">
        <v>7</v>
      </c>
      <c r="P867">
        <f t="shared" si="1009"/>
        <v>2.8037383177570579E-2</v>
      </c>
      <c r="Q867">
        <f t="shared" si="1010"/>
        <v>411965.98878505384</v>
      </c>
      <c r="R867">
        <f t="shared" si="1011"/>
        <v>-452820049.4677428</v>
      </c>
      <c r="S867">
        <f t="shared" si="1012"/>
        <v>-4528.2004946774277</v>
      </c>
      <c r="T867">
        <f t="shared" si="1013"/>
        <v>-4.5282004946774279</v>
      </c>
    </row>
    <row r="868" spans="1:20" x14ac:dyDescent="0.25">
      <c r="A868" s="5">
        <v>43725</v>
      </c>
      <c r="B868">
        <v>1.4970000000000001E-2</v>
      </c>
      <c r="C868">
        <v>1.5679999999999999E-2</v>
      </c>
      <c r="D868">
        <v>1.4710000000000001E-2</v>
      </c>
      <c r="E868">
        <v>1.537E-2</v>
      </c>
      <c r="F868">
        <v>7524705.4000000004</v>
      </c>
      <c r="G868">
        <v>0</v>
      </c>
      <c r="L868" t="s">
        <v>8</v>
      </c>
      <c r="M868" t="s">
        <v>7</v>
      </c>
      <c r="N868" t="s">
        <v>7</v>
      </c>
      <c r="P868">
        <f t="shared" si="1009"/>
        <v>0.36082474226804134</v>
      </c>
      <c r="Q868">
        <f t="shared" si="1010"/>
        <v>2715099.8865979393</v>
      </c>
      <c r="R868">
        <f t="shared" si="1011"/>
        <v>-453232015.45652783</v>
      </c>
      <c r="S868">
        <f t="shared" si="1012"/>
        <v>-4532.3201545652782</v>
      </c>
      <c r="T868">
        <f t="shared" si="1013"/>
        <v>-4.5323201545652783</v>
      </c>
    </row>
    <row r="869" spans="1:20" x14ac:dyDescent="0.25">
      <c r="A869" s="5">
        <v>43724</v>
      </c>
      <c r="B869">
        <v>1.5800000000000002E-2</v>
      </c>
      <c r="C869">
        <v>1.5800000000000002E-2</v>
      </c>
      <c r="D869">
        <v>1.47E-2</v>
      </c>
      <c r="E869">
        <v>1.499E-2</v>
      </c>
      <c r="F869">
        <v>5666394.4000000004</v>
      </c>
      <c r="G869">
        <v>0</v>
      </c>
      <c r="L869" t="s">
        <v>7</v>
      </c>
      <c r="M869" t="s">
        <v>7</v>
      </c>
      <c r="N869" t="s">
        <v>7</v>
      </c>
      <c r="P869">
        <f t="shared" si="1009"/>
        <v>-0.47272727272727311</v>
      </c>
      <c r="Q869">
        <f t="shared" si="1010"/>
        <v>-2678659.1709090932</v>
      </c>
      <c r="R869">
        <f t="shared" si="1011"/>
        <v>-455947115.34312576</v>
      </c>
      <c r="S869">
        <f t="shared" si="1012"/>
        <v>-4559.4711534312573</v>
      </c>
      <c r="T869">
        <f t="shared" si="1013"/>
        <v>-4.5594711534312573</v>
      </c>
    </row>
    <row r="870" spans="1:20" x14ac:dyDescent="0.25">
      <c r="A870" s="5">
        <v>43723</v>
      </c>
      <c r="B870">
        <v>1.566E-2</v>
      </c>
      <c r="C870">
        <v>1.609E-2</v>
      </c>
      <c r="D870">
        <v>1.55E-2</v>
      </c>
      <c r="E870">
        <v>1.5800000000000002E-2</v>
      </c>
      <c r="F870">
        <v>1849376</v>
      </c>
      <c r="G870">
        <v>0</v>
      </c>
      <c r="L870" t="s">
        <v>7</v>
      </c>
      <c r="M870" t="s">
        <v>7</v>
      </c>
      <c r="N870" t="s">
        <v>7</v>
      </c>
      <c r="P870">
        <f t="shared" si="1009"/>
        <v>1.6949152542378065E-2</v>
      </c>
      <c r="Q870">
        <f t="shared" si="1010"/>
        <v>31345.355932212977</v>
      </c>
      <c r="R870">
        <f t="shared" si="1011"/>
        <v>-453268456.17221665</v>
      </c>
      <c r="S870">
        <f t="shared" si="1012"/>
        <v>-4532.6845617221661</v>
      </c>
      <c r="T870">
        <f t="shared" si="1013"/>
        <v>-4.5326845617221663</v>
      </c>
    </row>
    <row r="871" spans="1:20" x14ac:dyDescent="0.25">
      <c r="A871" s="5">
        <v>43722</v>
      </c>
      <c r="B871">
        <v>1.5469999999999999E-2</v>
      </c>
      <c r="C871">
        <v>1.6809999999999999E-2</v>
      </c>
      <c r="D871">
        <v>1.5350000000000001E-2</v>
      </c>
      <c r="E871">
        <v>1.5599999999999999E-2</v>
      </c>
      <c r="F871">
        <v>4247256.5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-0.65753424657534398</v>
      </c>
      <c r="Q871">
        <f t="shared" si="1010"/>
        <v>-2792716.6027397322</v>
      </c>
      <c r="R871">
        <f t="shared" si="1011"/>
        <v>-453299801.52814889</v>
      </c>
      <c r="S871">
        <f t="shared" si="1012"/>
        <v>-4532.9980152814887</v>
      </c>
      <c r="T871">
        <f t="shared" si="1013"/>
        <v>-4.532998015281489</v>
      </c>
    </row>
    <row r="872" spans="1:20" x14ac:dyDescent="0.25">
      <c r="A872" s="5">
        <v>43721</v>
      </c>
      <c r="B872">
        <v>1.559E-2</v>
      </c>
      <c r="C872">
        <v>1.5990000000000001E-2</v>
      </c>
      <c r="D872">
        <v>1.516E-2</v>
      </c>
      <c r="E872">
        <v>1.5469999999999999E-2</v>
      </c>
      <c r="F872">
        <v>2149955.2999999998</v>
      </c>
      <c r="G872">
        <v>0</v>
      </c>
      <c r="L872" t="s">
        <v>7</v>
      </c>
      <c r="M872" t="s">
        <v>7</v>
      </c>
      <c r="N872" t="s">
        <v>7</v>
      </c>
      <c r="P872">
        <f t="shared" si="1009"/>
        <v>-0.25301204819277306</v>
      </c>
      <c r="Q872">
        <f t="shared" si="1010"/>
        <v>-543964.59397590777</v>
      </c>
      <c r="R872">
        <f t="shared" si="1011"/>
        <v>-450507084.92540914</v>
      </c>
      <c r="S872">
        <f t="shared" si="1012"/>
        <v>-4505.0708492540916</v>
      </c>
      <c r="T872">
        <f t="shared" si="1013"/>
        <v>-4.5050708492540918</v>
      </c>
    </row>
    <row r="873" spans="1:20" x14ac:dyDescent="0.25">
      <c r="A873" s="5">
        <v>43720</v>
      </c>
      <c r="B873">
        <v>1.6E-2</v>
      </c>
      <c r="C873">
        <v>1.6119999999999999E-2</v>
      </c>
      <c r="D873">
        <v>1.54E-2</v>
      </c>
      <c r="E873">
        <v>1.5720000000000001E-2</v>
      </c>
      <c r="F873">
        <v>2111943.9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-0.11111111111110683</v>
      </c>
      <c r="Q873">
        <f t="shared" si="1010"/>
        <v>-234660.43333332427</v>
      </c>
      <c r="R873">
        <f t="shared" si="1011"/>
        <v>-449963120.33143324</v>
      </c>
      <c r="S873">
        <f t="shared" si="1012"/>
        <v>-4499.6312033143322</v>
      </c>
      <c r="T873">
        <f t="shared" si="1013"/>
        <v>-4.4996312033143324</v>
      </c>
    </row>
    <row r="874" spans="1:20" x14ac:dyDescent="0.25">
      <c r="A874" s="5">
        <v>43719</v>
      </c>
      <c r="B874">
        <v>1.728E-2</v>
      </c>
      <c r="C874">
        <v>1.755E-2</v>
      </c>
      <c r="D874">
        <v>1.5630000000000002E-2</v>
      </c>
      <c r="E874">
        <v>1.5970000000000002E-2</v>
      </c>
      <c r="F874">
        <v>8296150.0999999996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-0.64583333333333293</v>
      </c>
      <c r="Q874">
        <f t="shared" si="1010"/>
        <v>-5357930.2729166634</v>
      </c>
      <c r="R874">
        <f t="shared" si="1011"/>
        <v>-449728459.8980999</v>
      </c>
      <c r="S874">
        <f t="shared" si="1012"/>
        <v>-4497.2845989809994</v>
      </c>
      <c r="T874">
        <f t="shared" si="1013"/>
        <v>-4.4972845989809995</v>
      </c>
    </row>
    <row r="875" spans="1:20" x14ac:dyDescent="0.25">
      <c r="A875" s="5">
        <v>43718</v>
      </c>
      <c r="B875">
        <v>1.6969999999999999E-2</v>
      </c>
      <c r="C875">
        <v>1.848E-2</v>
      </c>
      <c r="D875">
        <v>1.6709999999999999E-2</v>
      </c>
      <c r="E875">
        <v>1.736E-2</v>
      </c>
      <c r="F875">
        <v>3974178.6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-0.26553672316384069</v>
      </c>
      <c r="Q875">
        <f t="shared" si="1010"/>
        <v>-1055290.3627118601</v>
      </c>
      <c r="R875">
        <f t="shared" si="1011"/>
        <v>-444370529.62518322</v>
      </c>
      <c r="S875">
        <f t="shared" si="1012"/>
        <v>-4443.7052962518319</v>
      </c>
      <c r="T875">
        <f t="shared" si="1013"/>
        <v>-4.4437052962518315</v>
      </c>
    </row>
    <row r="876" spans="1:20" x14ac:dyDescent="0.25">
      <c r="A876" s="5">
        <v>43717</v>
      </c>
      <c r="B876">
        <v>1.7139999999999999E-2</v>
      </c>
      <c r="C876">
        <v>1.7309999999999999E-2</v>
      </c>
      <c r="D876">
        <v>1.617E-2</v>
      </c>
      <c r="E876">
        <v>1.6969999999999999E-2</v>
      </c>
      <c r="F876">
        <v>1961368.2</v>
      </c>
      <c r="G876">
        <v>0</v>
      </c>
      <c r="L876" t="s">
        <v>7</v>
      </c>
      <c r="M876" t="s">
        <v>7</v>
      </c>
      <c r="N876" t="s">
        <v>7</v>
      </c>
      <c r="P876">
        <f t="shared" si="1009"/>
        <v>0.40350877192982382</v>
      </c>
      <c r="Q876">
        <f t="shared" si="1010"/>
        <v>791429.2736842091</v>
      </c>
      <c r="R876">
        <f t="shared" si="1011"/>
        <v>-443315239.26247138</v>
      </c>
      <c r="S876">
        <f t="shared" si="1012"/>
        <v>-4433.1523926247137</v>
      </c>
      <c r="T876">
        <f t="shared" si="1013"/>
        <v>-4.4331523926247138</v>
      </c>
    </row>
    <row r="877" spans="1:20" x14ac:dyDescent="0.25">
      <c r="A877" s="5">
        <v>43716</v>
      </c>
      <c r="B877">
        <v>1.6750000000000001E-2</v>
      </c>
      <c r="C877">
        <v>1.7649999999999999E-2</v>
      </c>
      <c r="D877">
        <v>1.66E-2</v>
      </c>
      <c r="E877">
        <v>1.7139999999999999E-2</v>
      </c>
      <c r="F877">
        <v>2425009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2.8571428571427439E-2</v>
      </c>
      <c r="Q877">
        <f t="shared" si="1010"/>
        <v>69285.971428568679</v>
      </c>
      <c r="R877">
        <f t="shared" si="1011"/>
        <v>-444106668.53615558</v>
      </c>
      <c r="S877">
        <f t="shared" si="1012"/>
        <v>-4441.0666853615558</v>
      </c>
      <c r="T877">
        <f t="shared" si="1013"/>
        <v>-4.4410666853615561</v>
      </c>
    </row>
    <row r="878" spans="1:20" x14ac:dyDescent="0.25">
      <c r="A878" s="5">
        <v>43715</v>
      </c>
      <c r="B878">
        <v>1.6459999999999999E-2</v>
      </c>
      <c r="C878">
        <v>1.7469999999999999E-2</v>
      </c>
      <c r="D878">
        <v>1.617E-2</v>
      </c>
      <c r="E878">
        <v>1.6750000000000001E-2</v>
      </c>
      <c r="F878">
        <v>3487766.8</v>
      </c>
      <c r="G878">
        <v>0</v>
      </c>
      <c r="L878" t="s">
        <v>8</v>
      </c>
      <c r="M878" t="s">
        <v>7</v>
      </c>
      <c r="N878" t="s">
        <v>7</v>
      </c>
      <c r="P878">
        <f t="shared" si="1009"/>
        <v>-0.10769230769230605</v>
      </c>
      <c r="Q878">
        <f t="shared" si="1010"/>
        <v>-375605.65538460965</v>
      </c>
      <c r="R878">
        <f t="shared" si="1011"/>
        <v>-444175954.50758415</v>
      </c>
      <c r="S878">
        <f t="shared" si="1012"/>
        <v>-4441.7595450758417</v>
      </c>
      <c r="T878">
        <f t="shared" si="1013"/>
        <v>-4.4417595450758416</v>
      </c>
    </row>
    <row r="879" spans="1:20" x14ac:dyDescent="0.25">
      <c r="A879" s="5">
        <v>43714</v>
      </c>
      <c r="B879">
        <v>1.789E-2</v>
      </c>
      <c r="C879">
        <v>1.8010000000000002E-2</v>
      </c>
      <c r="D879">
        <v>1.6160000000000001E-2</v>
      </c>
      <c r="E879">
        <v>1.6500000000000001E-2</v>
      </c>
      <c r="F879">
        <v>6279693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-0.63243243243243263</v>
      </c>
      <c r="Q879">
        <f t="shared" si="1010"/>
        <v>-3971481.5189189203</v>
      </c>
      <c r="R879">
        <f t="shared" si="1011"/>
        <v>-443800348.85219955</v>
      </c>
      <c r="S879">
        <f t="shared" si="1012"/>
        <v>-4438.0034885219957</v>
      </c>
      <c r="T879">
        <f t="shared" si="1013"/>
        <v>-4.4380034885219954</v>
      </c>
    </row>
    <row r="880" spans="1:20" x14ac:dyDescent="0.25">
      <c r="A880" s="5">
        <v>43713</v>
      </c>
      <c r="B880">
        <v>1.7680000000000001E-2</v>
      </c>
      <c r="C880">
        <v>2.0740000000000001E-2</v>
      </c>
      <c r="D880">
        <v>1.7500000000000002E-2</v>
      </c>
      <c r="E880">
        <v>1.7749999999999998E-2</v>
      </c>
      <c r="F880">
        <v>4598575.3</v>
      </c>
      <c r="G880">
        <v>0</v>
      </c>
      <c r="L880" t="s">
        <v>7</v>
      </c>
      <c r="M880" t="s">
        <v>8</v>
      </c>
      <c r="N880" t="s">
        <v>7</v>
      </c>
      <c r="P880">
        <f t="shared" si="1009"/>
        <v>-0.84567901234568099</v>
      </c>
      <c r="Q880">
        <f t="shared" si="1010"/>
        <v>-3888918.6179012437</v>
      </c>
      <c r="R880">
        <f t="shared" si="1011"/>
        <v>-439828867.33328062</v>
      </c>
      <c r="S880">
        <f t="shared" si="1012"/>
        <v>-4398.288673332806</v>
      </c>
      <c r="T880">
        <f t="shared" si="1013"/>
        <v>-4.3982886733328064</v>
      </c>
    </row>
    <row r="881" spans="1:20" x14ac:dyDescent="0.25">
      <c r="A881" s="5">
        <v>43712</v>
      </c>
      <c r="B881">
        <v>1.89E-2</v>
      </c>
      <c r="C881">
        <v>2.085E-2</v>
      </c>
      <c r="D881">
        <v>1.7500000000000002E-2</v>
      </c>
      <c r="E881">
        <v>1.7579999999999998E-2</v>
      </c>
      <c r="F881">
        <v>12406752.800000001</v>
      </c>
      <c r="G881">
        <v>0</v>
      </c>
      <c r="L881" t="s">
        <v>8</v>
      </c>
      <c r="M881" t="s">
        <v>8</v>
      </c>
      <c r="N881" t="s">
        <v>7</v>
      </c>
      <c r="P881">
        <f t="shared" si="1009"/>
        <v>-0.9522388059701512</v>
      </c>
      <c r="Q881">
        <f t="shared" si="1010"/>
        <v>-11814191.472238831</v>
      </c>
      <c r="R881">
        <f t="shared" si="1011"/>
        <v>-435939948.71537936</v>
      </c>
      <c r="S881">
        <f t="shared" si="1012"/>
        <v>-4359.3994871537934</v>
      </c>
      <c r="T881">
        <f t="shared" si="1013"/>
        <v>-4.3593994871537936</v>
      </c>
    </row>
    <row r="882" spans="1:20" x14ac:dyDescent="0.25">
      <c r="A882" s="5">
        <v>43711</v>
      </c>
      <c r="B882">
        <v>1.7069999999999998E-2</v>
      </c>
      <c r="C882">
        <v>1.9E-2</v>
      </c>
      <c r="D882">
        <v>1.6799999999999999E-2</v>
      </c>
      <c r="E882">
        <v>1.89E-2</v>
      </c>
      <c r="F882">
        <v>6286600.4000000004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0.90909090909090962</v>
      </c>
      <c r="Q882">
        <f t="shared" si="1010"/>
        <v>5715091.2727272762</v>
      </c>
      <c r="R882">
        <f t="shared" si="1011"/>
        <v>-424125757.24314052</v>
      </c>
      <c r="S882">
        <f t="shared" si="1012"/>
        <v>-4241.2575724314056</v>
      </c>
      <c r="T882">
        <f t="shared" si="1013"/>
        <v>-4.2412575724314054</v>
      </c>
    </row>
    <row r="883" spans="1:20" x14ac:dyDescent="0.25">
      <c r="A883" s="5">
        <v>43710</v>
      </c>
      <c r="B883">
        <v>1.7430000000000001E-2</v>
      </c>
      <c r="C883">
        <v>1.7649999999999999E-2</v>
      </c>
      <c r="D883">
        <v>1.6740000000000001E-2</v>
      </c>
      <c r="E883">
        <v>1.711E-2</v>
      </c>
      <c r="F883">
        <v>3178246.8</v>
      </c>
      <c r="G883">
        <v>0</v>
      </c>
      <c r="L883" t="s">
        <v>7</v>
      </c>
      <c r="M883" t="s">
        <v>7</v>
      </c>
      <c r="N883" t="s">
        <v>7</v>
      </c>
      <c r="P883">
        <f t="shared" si="1009"/>
        <v>-0.18681318681318732</v>
      </c>
      <c r="Q883">
        <f t="shared" si="1010"/>
        <v>-593738.41318681475</v>
      </c>
      <c r="R883">
        <f t="shared" si="1011"/>
        <v>-429840848.51586777</v>
      </c>
      <c r="S883">
        <f t="shared" si="1012"/>
        <v>-4298.4084851586776</v>
      </c>
      <c r="T883">
        <f t="shared" si="1013"/>
        <v>-4.2984084851586779</v>
      </c>
    </row>
    <row r="884" spans="1:20" x14ac:dyDescent="0.25">
      <c r="A884" s="5">
        <v>43709</v>
      </c>
      <c r="B884">
        <v>1.7899999999999999E-2</v>
      </c>
      <c r="C884">
        <v>1.8350000000000002E-2</v>
      </c>
      <c r="D884">
        <v>1.7100000000000001E-2</v>
      </c>
      <c r="E884">
        <v>1.7430000000000001E-2</v>
      </c>
      <c r="F884">
        <v>2298040.1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-0.47199999999999975</v>
      </c>
      <c r="Q884">
        <f t="shared" si="1010"/>
        <v>-1084674.9271999996</v>
      </c>
      <c r="R884">
        <f t="shared" si="1011"/>
        <v>-429247110.10268098</v>
      </c>
      <c r="S884">
        <f t="shared" si="1012"/>
        <v>-4292.4711010268102</v>
      </c>
      <c r="T884">
        <f t="shared" si="1013"/>
        <v>-4.29247110102681</v>
      </c>
    </row>
    <row r="885" spans="1:20" x14ac:dyDescent="0.25">
      <c r="A885" s="5">
        <v>43708</v>
      </c>
      <c r="B885">
        <v>1.8280000000000001E-2</v>
      </c>
      <c r="C885">
        <v>1.8790000000000001E-2</v>
      </c>
      <c r="D885">
        <v>1.7409999999999998E-2</v>
      </c>
      <c r="E885">
        <v>1.8020000000000001E-2</v>
      </c>
      <c r="F885">
        <v>2559907.7999999998</v>
      </c>
      <c r="G885">
        <v>0</v>
      </c>
      <c r="L885" t="s">
        <v>8</v>
      </c>
      <c r="M885" t="s">
        <v>7</v>
      </c>
      <c r="N885" t="s">
        <v>7</v>
      </c>
      <c r="P885">
        <f t="shared" si="1009"/>
        <v>-0.11594202898550481</v>
      </c>
      <c r="Q885">
        <f t="shared" si="1010"/>
        <v>-296800.9043478198</v>
      </c>
      <c r="R885">
        <f t="shared" si="1011"/>
        <v>-428162435.17548096</v>
      </c>
      <c r="S885">
        <f t="shared" si="1012"/>
        <v>-4281.62435175481</v>
      </c>
      <c r="T885">
        <f t="shared" si="1013"/>
        <v>-4.28162435175481</v>
      </c>
    </row>
    <row r="886" spans="1:20" x14ac:dyDescent="0.25">
      <c r="A886" s="5">
        <v>43707</v>
      </c>
      <c r="B886">
        <v>1.7930000000000001E-2</v>
      </c>
      <c r="C886">
        <v>1.8599999999999998E-2</v>
      </c>
      <c r="D886">
        <v>1.7639999999999999E-2</v>
      </c>
      <c r="E886">
        <v>1.8200000000000001E-2</v>
      </c>
      <c r="F886">
        <v>1200138.2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0.16666666666667088</v>
      </c>
      <c r="Q886">
        <f t="shared" si="1010"/>
        <v>200023.03333333839</v>
      </c>
      <c r="R886">
        <f t="shared" si="1011"/>
        <v>-427865634.27113312</v>
      </c>
      <c r="S886">
        <f t="shared" si="1012"/>
        <v>-4278.6563427113315</v>
      </c>
      <c r="T886">
        <f t="shared" si="1013"/>
        <v>-4.2786563427113311</v>
      </c>
    </row>
    <row r="887" spans="1:20" x14ac:dyDescent="0.25">
      <c r="A887" s="5">
        <v>43706</v>
      </c>
      <c r="B887">
        <v>1.8350000000000002E-2</v>
      </c>
      <c r="C887">
        <v>1.8800000000000001E-2</v>
      </c>
      <c r="D887">
        <v>1.7299999999999999E-2</v>
      </c>
      <c r="E887">
        <v>1.787E-2</v>
      </c>
      <c r="F887">
        <v>4345867.7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-0.23999999999999927</v>
      </c>
      <c r="Q887">
        <f t="shared" si="1010"/>
        <v>-1043008.2479999969</v>
      </c>
      <c r="R887">
        <f t="shared" si="1011"/>
        <v>-428065657.30446649</v>
      </c>
      <c r="S887">
        <f t="shared" si="1012"/>
        <v>-4280.6565730446646</v>
      </c>
      <c r="T887">
        <f t="shared" si="1013"/>
        <v>-4.2806565730446646</v>
      </c>
    </row>
    <row r="888" spans="1:20" x14ac:dyDescent="0.25">
      <c r="A888" s="5">
        <v>43705</v>
      </c>
      <c r="B888">
        <v>2.147E-2</v>
      </c>
      <c r="C888">
        <v>2.1950000000000001E-2</v>
      </c>
      <c r="D888">
        <v>1.831E-2</v>
      </c>
      <c r="E888">
        <v>1.8360000000000001E-2</v>
      </c>
      <c r="F888">
        <v>8999184.9000000004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-0.97252747252747174</v>
      </c>
      <c r="Q888">
        <f t="shared" si="1010"/>
        <v>-8751954.5456043892</v>
      </c>
      <c r="R888">
        <f t="shared" si="1011"/>
        <v>-427022649.05646646</v>
      </c>
      <c r="S888">
        <f t="shared" si="1012"/>
        <v>-4270.2264905646643</v>
      </c>
      <c r="T888">
        <f t="shared" si="1013"/>
        <v>-4.2702264905646645</v>
      </c>
    </row>
    <row r="889" spans="1:20" x14ac:dyDescent="0.25">
      <c r="A889" s="5">
        <v>43704</v>
      </c>
      <c r="B889">
        <v>2.1829999999999999E-2</v>
      </c>
      <c r="C889">
        <v>2.2450000000000001E-2</v>
      </c>
      <c r="D889">
        <v>2.1059999999999999E-2</v>
      </c>
      <c r="E889">
        <v>2.1649999999999999E-2</v>
      </c>
      <c r="F889">
        <v>3569266.5</v>
      </c>
      <c r="G889">
        <v>0</v>
      </c>
      <c r="L889" t="s">
        <v>7</v>
      </c>
      <c r="M889" t="s">
        <v>7</v>
      </c>
      <c r="N889" t="s">
        <v>8</v>
      </c>
      <c r="P889">
        <f t="shared" si="1009"/>
        <v>-0.15107913669064857</v>
      </c>
      <c r="Q889">
        <f t="shared" si="1010"/>
        <v>-539241.70143885282</v>
      </c>
      <c r="R889">
        <f t="shared" si="1011"/>
        <v>-418270694.51086205</v>
      </c>
      <c r="S889">
        <f t="shared" si="1012"/>
        <v>-4182.7069451086209</v>
      </c>
      <c r="T889">
        <f t="shared" si="1013"/>
        <v>-4.1827069451086212</v>
      </c>
    </row>
    <row r="890" spans="1:20" x14ac:dyDescent="0.25">
      <c r="A890" s="5">
        <v>43703</v>
      </c>
      <c r="B890">
        <v>2.2669999999999999E-2</v>
      </c>
      <c r="C890">
        <v>2.3279999999999999E-2</v>
      </c>
      <c r="D890">
        <v>2.1489999999999999E-2</v>
      </c>
      <c r="E890">
        <v>2.1919999999999999E-2</v>
      </c>
      <c r="F890">
        <v>7769649.2999999998</v>
      </c>
      <c r="G890">
        <v>0</v>
      </c>
      <c r="L890" t="s">
        <v>8</v>
      </c>
      <c r="M890" t="s">
        <v>7</v>
      </c>
      <c r="N890" t="s">
        <v>8</v>
      </c>
      <c r="P890">
        <f t="shared" si="1009"/>
        <v>-0.5195530726256985</v>
      </c>
      <c r="Q890">
        <f t="shared" si="1010"/>
        <v>-4036745.1670391075</v>
      </c>
      <c r="R890">
        <f t="shared" si="1011"/>
        <v>-417731452.80942321</v>
      </c>
      <c r="S890">
        <f t="shared" si="1012"/>
        <v>-4177.3145280942317</v>
      </c>
      <c r="T890">
        <f t="shared" si="1013"/>
        <v>-4.1773145280942314</v>
      </c>
    </row>
    <row r="891" spans="1:20" x14ac:dyDescent="0.25">
      <c r="A891" s="5">
        <v>43702</v>
      </c>
      <c r="B891">
        <v>2.605E-2</v>
      </c>
      <c r="C891">
        <v>2.7E-2</v>
      </c>
      <c r="D891">
        <v>2.1649999999999999E-2</v>
      </c>
      <c r="E891">
        <v>2.2710000000000001E-2</v>
      </c>
      <c r="F891">
        <v>19856851.399999999</v>
      </c>
      <c r="G891">
        <v>0</v>
      </c>
      <c r="L891" t="s">
        <v>7</v>
      </c>
      <c r="M891" t="s">
        <v>7</v>
      </c>
      <c r="N891" t="s">
        <v>8</v>
      </c>
      <c r="P891">
        <f t="shared" si="1009"/>
        <v>-0.6037383177570087</v>
      </c>
      <c r="Q891">
        <f t="shared" si="1010"/>
        <v>-11988342.060186902</v>
      </c>
      <c r="R891">
        <f t="shared" si="1011"/>
        <v>-413694707.64238411</v>
      </c>
      <c r="S891">
        <f t="shared" si="1012"/>
        <v>-4136.9470764238413</v>
      </c>
      <c r="T891">
        <f t="shared" si="1013"/>
        <v>-4.1369470764238416</v>
      </c>
    </row>
    <row r="892" spans="1:20" x14ac:dyDescent="0.25">
      <c r="A892" s="5">
        <v>43701</v>
      </c>
      <c r="B892">
        <v>2.1309999999999999E-2</v>
      </c>
      <c r="C892">
        <v>2.9000000000000001E-2</v>
      </c>
      <c r="D892">
        <v>2.1180000000000001E-2</v>
      </c>
      <c r="E892">
        <v>2.5989999999999999E-2</v>
      </c>
      <c r="F892">
        <v>26171927</v>
      </c>
      <c r="G892">
        <v>0</v>
      </c>
      <c r="L892" t="s">
        <v>8</v>
      </c>
      <c r="M892" t="s">
        <v>8</v>
      </c>
      <c r="N892" t="s">
        <v>8</v>
      </c>
      <c r="P892">
        <f t="shared" si="1009"/>
        <v>0.23017902813299179</v>
      </c>
      <c r="Q892">
        <f t="shared" si="1010"/>
        <v>6024228.7212276077</v>
      </c>
      <c r="R892">
        <f t="shared" si="1011"/>
        <v>-401706365.58219719</v>
      </c>
      <c r="S892">
        <f t="shared" si="1012"/>
        <v>-4017.0636558219717</v>
      </c>
      <c r="T892">
        <f t="shared" si="1013"/>
        <v>-4.0170636558219721</v>
      </c>
    </row>
    <row r="893" spans="1:20" x14ac:dyDescent="0.25">
      <c r="A893" s="5">
        <v>43700</v>
      </c>
      <c r="B893">
        <v>1.9769999999999999E-2</v>
      </c>
      <c r="C893">
        <v>2.2519999999999998E-2</v>
      </c>
      <c r="D893">
        <v>1.958E-2</v>
      </c>
      <c r="E893">
        <v>2.1180000000000001E-2</v>
      </c>
      <c r="F893">
        <v>25246786.100000001</v>
      </c>
      <c r="G893">
        <v>0</v>
      </c>
      <c r="L893" t="s">
        <v>8</v>
      </c>
      <c r="M893" t="s">
        <v>8</v>
      </c>
      <c r="N893" t="s">
        <v>7</v>
      </c>
      <c r="P893">
        <f t="shared" si="1009"/>
        <v>8.8435374149661031E-2</v>
      </c>
      <c r="Q893">
        <f t="shared" si="1010"/>
        <v>2232708.9748299615</v>
      </c>
      <c r="R893">
        <f t="shared" si="1011"/>
        <v>-407730594.30342478</v>
      </c>
      <c r="S893">
        <f t="shared" si="1012"/>
        <v>-4077.3059430342478</v>
      </c>
      <c r="T893">
        <f t="shared" si="1013"/>
        <v>-4.077305943034248</v>
      </c>
    </row>
    <row r="894" spans="1:20" x14ac:dyDescent="0.25">
      <c r="A894" s="5">
        <v>43699</v>
      </c>
      <c r="B894">
        <v>1.8780000000000002E-2</v>
      </c>
      <c r="C894">
        <v>2.0490000000000001E-2</v>
      </c>
      <c r="D894">
        <v>1.823E-2</v>
      </c>
      <c r="E894">
        <v>1.993E-2</v>
      </c>
      <c r="F894">
        <v>5951138.2999999998</v>
      </c>
      <c r="G894">
        <v>0</v>
      </c>
      <c r="L894" t="s">
        <v>7</v>
      </c>
      <c r="M894" t="s">
        <v>8</v>
      </c>
      <c r="N894" t="s">
        <v>7</v>
      </c>
      <c r="P894">
        <f t="shared" si="1009"/>
        <v>0.50442477876106095</v>
      </c>
      <c r="Q894">
        <f t="shared" si="1010"/>
        <v>3001901.6203539763</v>
      </c>
      <c r="R894">
        <f t="shared" si="1011"/>
        <v>-409963303.27825475</v>
      </c>
      <c r="S894">
        <f t="shared" si="1012"/>
        <v>-4099.6330327825472</v>
      </c>
      <c r="T894">
        <f t="shared" si="1013"/>
        <v>-4.0996330327825472</v>
      </c>
    </row>
    <row r="895" spans="1:20" x14ac:dyDescent="0.25">
      <c r="A895" s="5">
        <v>43698</v>
      </c>
      <c r="B895">
        <v>1.915E-2</v>
      </c>
      <c r="C895">
        <v>1.9720000000000001E-2</v>
      </c>
      <c r="D895">
        <v>1.8419999999999999E-2</v>
      </c>
      <c r="E895">
        <v>1.8780000000000002E-2</v>
      </c>
      <c r="F895">
        <v>4804275.8</v>
      </c>
      <c r="G895">
        <v>0</v>
      </c>
      <c r="L895" t="s">
        <v>7</v>
      </c>
      <c r="M895" t="s">
        <v>8</v>
      </c>
      <c r="N895" t="s">
        <v>7</v>
      </c>
      <c r="P895">
        <f t="shared" ref="P895:P958" si="1014">IF(C895=D895,0,((E895-D895)-(C895-E895))/(C895-D895))</f>
        <v>-0.44615384615384313</v>
      </c>
      <c r="Q895">
        <f t="shared" ref="Q895:Q958" si="1015">F895*P895</f>
        <v>-2143446.1261538314</v>
      </c>
      <c r="R895">
        <f t="shared" ref="R895:R958" si="1016">R896+Q895</f>
        <v>-412965204.89860874</v>
      </c>
      <c r="S895">
        <f t="shared" ref="S895:S958" si="1017">R895/100000</f>
        <v>-4129.6520489860877</v>
      </c>
      <c r="T895">
        <f t="shared" ref="T895:T958" si="1018">S895/1000</f>
        <v>-4.1296520489860873</v>
      </c>
    </row>
    <row r="896" spans="1:20" x14ac:dyDescent="0.25">
      <c r="A896" s="5">
        <v>43697</v>
      </c>
      <c r="B896">
        <v>1.9709999999999998E-2</v>
      </c>
      <c r="C896">
        <v>2.0449999999999999E-2</v>
      </c>
      <c r="D896">
        <v>1.8800000000000001E-2</v>
      </c>
      <c r="E896">
        <v>1.9130000000000001E-2</v>
      </c>
      <c r="F896">
        <v>4310282.5</v>
      </c>
      <c r="G896">
        <v>0</v>
      </c>
      <c r="L896" t="s">
        <v>8</v>
      </c>
      <c r="M896" t="s">
        <v>8</v>
      </c>
      <c r="N896" t="s">
        <v>7</v>
      </c>
      <c r="P896">
        <f t="shared" si="1014"/>
        <v>-0.5999999999999992</v>
      </c>
      <c r="Q896">
        <f t="shared" si="1015"/>
        <v>-2586169.4999999967</v>
      </c>
      <c r="R896">
        <f t="shared" si="1016"/>
        <v>-410821758.77245492</v>
      </c>
      <c r="S896">
        <f t="shared" si="1017"/>
        <v>-4108.217587724549</v>
      </c>
      <c r="T896">
        <f t="shared" si="1018"/>
        <v>-4.1082175877245488</v>
      </c>
    </row>
    <row r="897" spans="1:20" x14ac:dyDescent="0.25">
      <c r="A897" s="5">
        <v>43696</v>
      </c>
      <c r="B897">
        <v>1.9789999999999999E-2</v>
      </c>
      <c r="C897">
        <v>0.02</v>
      </c>
      <c r="D897">
        <v>1.8620000000000001E-2</v>
      </c>
      <c r="E897">
        <v>1.9699999999999999E-2</v>
      </c>
      <c r="F897">
        <v>6826829.2000000002</v>
      </c>
      <c r="G897">
        <v>0</v>
      </c>
      <c r="L897" t="s">
        <v>8</v>
      </c>
      <c r="M897" t="s">
        <v>8</v>
      </c>
      <c r="N897" t="s">
        <v>7</v>
      </c>
      <c r="P897">
        <f t="shared" si="1014"/>
        <v>0.56521739130434523</v>
      </c>
      <c r="Q897">
        <f t="shared" si="1015"/>
        <v>3858642.5913043302</v>
      </c>
      <c r="R897">
        <f t="shared" si="1016"/>
        <v>-408235589.27245492</v>
      </c>
      <c r="S897">
        <f t="shared" si="1017"/>
        <v>-4082.355892724549</v>
      </c>
      <c r="T897">
        <f t="shared" si="1018"/>
        <v>-4.0823558927245491</v>
      </c>
    </row>
    <row r="898" spans="1:20" x14ac:dyDescent="0.25">
      <c r="A898" s="5">
        <v>43695</v>
      </c>
      <c r="B898">
        <v>1.8790000000000001E-2</v>
      </c>
      <c r="C898">
        <v>2.001E-2</v>
      </c>
      <c r="D898">
        <v>1.8620000000000001E-2</v>
      </c>
      <c r="E898">
        <v>1.984E-2</v>
      </c>
      <c r="F898">
        <v>4352840.5</v>
      </c>
      <c r="G898">
        <v>0</v>
      </c>
      <c r="L898" t="s">
        <v>7</v>
      </c>
      <c r="M898" t="s">
        <v>8</v>
      </c>
      <c r="N898" t="s">
        <v>7</v>
      </c>
      <c r="P898">
        <f t="shared" si="1014"/>
        <v>0.75539568345323715</v>
      </c>
      <c r="Q898">
        <f t="shared" si="1015"/>
        <v>3288116.9244604306</v>
      </c>
      <c r="R898">
        <f t="shared" si="1016"/>
        <v>-412094231.86375922</v>
      </c>
      <c r="S898">
        <f t="shared" si="1017"/>
        <v>-4120.9423186375925</v>
      </c>
      <c r="T898">
        <f t="shared" si="1018"/>
        <v>-4.1209423186375922</v>
      </c>
    </row>
    <row r="899" spans="1:20" x14ac:dyDescent="0.25">
      <c r="A899" s="5">
        <v>43694</v>
      </c>
      <c r="B899">
        <v>1.8339999999999999E-2</v>
      </c>
      <c r="C899">
        <v>1.9900000000000001E-2</v>
      </c>
      <c r="D899">
        <v>1.8319999999999999E-2</v>
      </c>
      <c r="E899">
        <v>1.8780000000000002E-2</v>
      </c>
      <c r="F899">
        <v>2936616.5</v>
      </c>
      <c r="G899">
        <v>0</v>
      </c>
      <c r="L899" t="s">
        <v>8</v>
      </c>
      <c r="M899" t="s">
        <v>8</v>
      </c>
      <c r="N899" t="s">
        <v>7</v>
      </c>
      <c r="P899">
        <f t="shared" si="1014"/>
        <v>-0.41772151898733972</v>
      </c>
      <c r="Q899">
        <f t="shared" si="1015"/>
        <v>-1226687.905063285</v>
      </c>
      <c r="R899">
        <f t="shared" si="1016"/>
        <v>-415382348.78821963</v>
      </c>
      <c r="S899">
        <f t="shared" si="1017"/>
        <v>-4153.8234878821959</v>
      </c>
      <c r="T899">
        <f t="shared" si="1018"/>
        <v>-4.153823487882196</v>
      </c>
    </row>
    <row r="900" spans="1:20" x14ac:dyDescent="0.25">
      <c r="A900" s="5">
        <v>43693</v>
      </c>
      <c r="B900">
        <v>1.9570000000000001E-2</v>
      </c>
      <c r="C900">
        <v>2.0500000000000001E-2</v>
      </c>
      <c r="D900">
        <v>1.84E-2</v>
      </c>
      <c r="E900">
        <v>1.8509999999999999E-2</v>
      </c>
      <c r="F900">
        <v>5049362.5999999996</v>
      </c>
      <c r="G900">
        <v>0</v>
      </c>
      <c r="L900" t="s">
        <v>7</v>
      </c>
      <c r="M900" t="s">
        <v>8</v>
      </c>
      <c r="N900" t="s">
        <v>7</v>
      </c>
      <c r="P900">
        <f t="shared" si="1014"/>
        <v>-0.89523809523809628</v>
      </c>
      <c r="Q900">
        <f t="shared" si="1015"/>
        <v>-4520381.7561904807</v>
      </c>
      <c r="R900">
        <f t="shared" si="1016"/>
        <v>-414155660.88315636</v>
      </c>
      <c r="S900">
        <f t="shared" si="1017"/>
        <v>-4141.5566088315636</v>
      </c>
      <c r="T900">
        <f t="shared" si="1018"/>
        <v>-4.1415566088315634</v>
      </c>
    </row>
    <row r="901" spans="1:20" x14ac:dyDescent="0.25">
      <c r="A901" s="5">
        <v>43692</v>
      </c>
      <c r="B901">
        <v>1.7809999999999999E-2</v>
      </c>
      <c r="C901">
        <v>2.0219999999999998E-2</v>
      </c>
      <c r="D901">
        <v>1.755E-2</v>
      </c>
      <c r="E901">
        <v>1.9560000000000001E-2</v>
      </c>
      <c r="F901">
        <v>3839581.8</v>
      </c>
      <c r="G901">
        <v>0</v>
      </c>
      <c r="L901" t="s">
        <v>8</v>
      </c>
      <c r="M901" t="s">
        <v>8</v>
      </c>
      <c r="N901" t="s">
        <v>7</v>
      </c>
      <c r="P901">
        <f t="shared" si="1014"/>
        <v>0.50561797752809157</v>
      </c>
      <c r="Q901">
        <f t="shared" si="1015"/>
        <v>1941361.5842696694</v>
      </c>
      <c r="R901">
        <f t="shared" si="1016"/>
        <v>-409635279.12696588</v>
      </c>
      <c r="S901">
        <f t="shared" si="1017"/>
        <v>-4096.3527912696591</v>
      </c>
      <c r="T901">
        <f t="shared" si="1018"/>
        <v>-4.0963527912696591</v>
      </c>
    </row>
    <row r="902" spans="1:20" x14ac:dyDescent="0.25">
      <c r="A902" s="5">
        <v>43691</v>
      </c>
      <c r="B902">
        <v>2.0809999999999999E-2</v>
      </c>
      <c r="C902">
        <v>2.095E-2</v>
      </c>
      <c r="D902">
        <v>1.7229999999999999E-2</v>
      </c>
      <c r="E902">
        <v>1.7639999999999999E-2</v>
      </c>
      <c r="F902">
        <v>6286207.9000000004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-0.77956989247311803</v>
      </c>
      <c r="Q902">
        <f t="shared" si="1015"/>
        <v>-4900538.4166666651</v>
      </c>
      <c r="R902">
        <f t="shared" si="1016"/>
        <v>-411576640.71123552</v>
      </c>
      <c r="S902">
        <f t="shared" si="1017"/>
        <v>-4115.7664071123554</v>
      </c>
      <c r="T902">
        <f t="shared" si="1018"/>
        <v>-4.1157664071123552</v>
      </c>
    </row>
    <row r="903" spans="1:20" x14ac:dyDescent="0.25">
      <c r="A903" s="5">
        <v>43690</v>
      </c>
      <c r="B903">
        <v>2.0580000000000001E-2</v>
      </c>
      <c r="C903">
        <v>2.1139999999999999E-2</v>
      </c>
      <c r="D903">
        <v>2.0039999999999999E-2</v>
      </c>
      <c r="E903">
        <v>2.06E-2</v>
      </c>
      <c r="F903">
        <v>4375519.4000000004</v>
      </c>
      <c r="G903">
        <v>0</v>
      </c>
      <c r="L903" t="s">
        <v>7</v>
      </c>
      <c r="M903" t="s">
        <v>8</v>
      </c>
      <c r="N903" t="s">
        <v>7</v>
      </c>
      <c r="P903">
        <f t="shared" si="1014"/>
        <v>1.8181818181820589E-2</v>
      </c>
      <c r="Q903">
        <f t="shared" si="1015"/>
        <v>79554.898181828714</v>
      </c>
      <c r="R903">
        <f t="shared" si="1016"/>
        <v>-406676102.29456884</v>
      </c>
      <c r="S903">
        <f t="shared" si="1017"/>
        <v>-4066.7610229456882</v>
      </c>
      <c r="T903">
        <f t="shared" si="1018"/>
        <v>-4.0667610229456885</v>
      </c>
    </row>
    <row r="904" spans="1:20" x14ac:dyDescent="0.25">
      <c r="A904" s="5">
        <v>43689</v>
      </c>
      <c r="B904">
        <v>2.0039999999999999E-2</v>
      </c>
      <c r="C904">
        <v>2.247E-2</v>
      </c>
      <c r="D904">
        <v>1.9949999999999999E-2</v>
      </c>
      <c r="E904">
        <v>2.053E-2</v>
      </c>
      <c r="F904">
        <v>11380301.1</v>
      </c>
      <c r="G904">
        <v>0</v>
      </c>
      <c r="L904" t="s">
        <v>8</v>
      </c>
      <c r="M904" t="s">
        <v>8</v>
      </c>
      <c r="N904" t="s">
        <v>7</v>
      </c>
      <c r="P904">
        <f t="shared" si="1014"/>
        <v>-0.53968253968253943</v>
      </c>
      <c r="Q904">
        <f t="shared" si="1015"/>
        <v>-6141749.799999997</v>
      </c>
      <c r="R904">
        <f t="shared" si="1016"/>
        <v>-406755657.19275069</v>
      </c>
      <c r="S904">
        <f t="shared" si="1017"/>
        <v>-4067.5565719275069</v>
      </c>
      <c r="T904">
        <f t="shared" si="1018"/>
        <v>-4.0675565719275069</v>
      </c>
    </row>
    <row r="905" spans="1:20" x14ac:dyDescent="0.25">
      <c r="A905" s="5">
        <v>43688</v>
      </c>
      <c r="B905">
        <v>1.9089999999999999E-2</v>
      </c>
      <c r="C905">
        <v>2.0459999999999999E-2</v>
      </c>
      <c r="D905">
        <v>1.8950000000000002E-2</v>
      </c>
      <c r="E905">
        <v>1.9949999999999999E-2</v>
      </c>
      <c r="F905">
        <v>6536114.7000000002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0.32450331125827697</v>
      </c>
      <c r="Q905">
        <f t="shared" si="1015"/>
        <v>2120990.8629138996</v>
      </c>
      <c r="R905">
        <f t="shared" si="1016"/>
        <v>-400613907.39275068</v>
      </c>
      <c r="S905">
        <f t="shared" si="1017"/>
        <v>-4006.1390739275066</v>
      </c>
      <c r="T905">
        <f t="shared" si="1018"/>
        <v>-4.0061390739275069</v>
      </c>
    </row>
    <row r="906" spans="1:20" x14ac:dyDescent="0.25">
      <c r="A906" s="5">
        <v>43687</v>
      </c>
      <c r="B906">
        <v>1.866E-2</v>
      </c>
      <c r="C906">
        <v>2.0129999999999999E-2</v>
      </c>
      <c r="D906">
        <v>1.866E-2</v>
      </c>
      <c r="E906">
        <v>1.924E-2</v>
      </c>
      <c r="F906">
        <v>3873145.7</v>
      </c>
      <c r="G906">
        <v>0</v>
      </c>
      <c r="L906" t="s">
        <v>8</v>
      </c>
      <c r="M906" t="s">
        <v>7</v>
      </c>
      <c r="N906" t="s">
        <v>7</v>
      </c>
      <c r="P906">
        <f t="shared" si="1014"/>
        <v>-0.21088435374149522</v>
      </c>
      <c r="Q906">
        <f t="shared" si="1015"/>
        <v>-816785.82789115119</v>
      </c>
      <c r="R906">
        <f t="shared" si="1016"/>
        <v>-402734898.25566459</v>
      </c>
      <c r="S906">
        <f t="shared" si="1017"/>
        <v>-4027.3489825566458</v>
      </c>
      <c r="T906">
        <f t="shared" si="1018"/>
        <v>-4.0273489825566458</v>
      </c>
    </row>
    <row r="907" spans="1:20" x14ac:dyDescent="0.25">
      <c r="A907" s="5">
        <v>43686</v>
      </c>
      <c r="B907">
        <v>2.0660000000000001E-2</v>
      </c>
      <c r="C907">
        <v>2.1090000000000001E-2</v>
      </c>
      <c r="D907">
        <v>1.7919999999999998E-2</v>
      </c>
      <c r="E907">
        <v>1.866E-2</v>
      </c>
      <c r="F907">
        <v>11835026.9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-0.53312302839116688</v>
      </c>
      <c r="Q907">
        <f t="shared" si="1015"/>
        <v>-6309525.3820189238</v>
      </c>
      <c r="R907">
        <f t="shared" si="1016"/>
        <v>-401918112.42777342</v>
      </c>
      <c r="S907">
        <f t="shared" si="1017"/>
        <v>-4019.1811242777339</v>
      </c>
      <c r="T907">
        <f t="shared" si="1018"/>
        <v>-4.0191811242777336</v>
      </c>
    </row>
    <row r="908" spans="1:20" x14ac:dyDescent="0.25">
      <c r="A908" s="5">
        <v>43685</v>
      </c>
      <c r="B908">
        <v>2.0369999999999999E-2</v>
      </c>
      <c r="C908">
        <v>2.1420000000000002E-2</v>
      </c>
      <c r="D908">
        <v>0.02</v>
      </c>
      <c r="E908">
        <v>2.087E-2</v>
      </c>
      <c r="F908">
        <v>13792498.199999999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0.22535211267605432</v>
      </c>
      <c r="Q908">
        <f t="shared" si="1015"/>
        <v>3108168.6084506763</v>
      </c>
      <c r="R908">
        <f t="shared" si="1016"/>
        <v>-395608587.04575449</v>
      </c>
      <c r="S908">
        <f t="shared" si="1017"/>
        <v>-3956.0858704575448</v>
      </c>
      <c r="T908">
        <f t="shared" si="1018"/>
        <v>-3.956085870457545</v>
      </c>
    </row>
    <row r="909" spans="1:20" x14ac:dyDescent="0.25">
      <c r="A909" s="5">
        <v>43684</v>
      </c>
      <c r="B909">
        <v>2.188E-2</v>
      </c>
      <c r="C909">
        <v>2.273E-2</v>
      </c>
      <c r="D909">
        <v>2.0219999999999998E-2</v>
      </c>
      <c r="E909">
        <v>2.0449999999999999E-2</v>
      </c>
      <c r="F909">
        <v>18507361</v>
      </c>
      <c r="G909">
        <v>0</v>
      </c>
      <c r="L909" t="s">
        <v>7</v>
      </c>
      <c r="M909" t="s">
        <v>7</v>
      </c>
      <c r="N909" t="s">
        <v>7</v>
      </c>
      <c r="P909">
        <f t="shared" si="1014"/>
        <v>-0.81673306772908294</v>
      </c>
      <c r="Q909">
        <f t="shared" si="1015"/>
        <v>-15115573.725099588</v>
      </c>
      <c r="R909">
        <f t="shared" si="1016"/>
        <v>-398716755.65420514</v>
      </c>
      <c r="S909">
        <f t="shared" si="1017"/>
        <v>-3987.1675565420514</v>
      </c>
      <c r="T909">
        <f t="shared" si="1018"/>
        <v>-3.9871675565420515</v>
      </c>
    </row>
    <row r="910" spans="1:20" x14ac:dyDescent="0.25">
      <c r="A910" s="5">
        <v>43683</v>
      </c>
      <c r="B910">
        <v>2.0279999999999999E-2</v>
      </c>
      <c r="C910">
        <v>2.564E-2</v>
      </c>
      <c r="D910">
        <v>2.0049999999999998E-2</v>
      </c>
      <c r="E910">
        <v>2.181E-2</v>
      </c>
      <c r="F910">
        <v>39212209.299999997</v>
      </c>
      <c r="G910">
        <v>0</v>
      </c>
      <c r="L910" t="s">
        <v>8</v>
      </c>
      <c r="M910" t="s">
        <v>8</v>
      </c>
      <c r="N910" t="s">
        <v>7</v>
      </c>
      <c r="P910">
        <f t="shared" si="1014"/>
        <v>-0.37030411449016071</v>
      </c>
      <c r="Q910">
        <f t="shared" si="1015"/>
        <v>-14520442.442039343</v>
      </c>
      <c r="R910">
        <f t="shared" si="1016"/>
        <v>-383601181.92910558</v>
      </c>
      <c r="S910">
        <f t="shared" si="1017"/>
        <v>-3836.0118192910559</v>
      </c>
      <c r="T910">
        <f t="shared" si="1018"/>
        <v>-3.8360118192910559</v>
      </c>
    </row>
    <row r="911" spans="1:20" x14ac:dyDescent="0.25">
      <c r="A911" s="5">
        <v>43682</v>
      </c>
      <c r="B911">
        <v>2.1139999999999999E-2</v>
      </c>
      <c r="C911">
        <v>2.163E-2</v>
      </c>
      <c r="D911">
        <v>0.02</v>
      </c>
      <c r="E911">
        <v>2.0279999999999999E-2</v>
      </c>
      <c r="F911">
        <v>10844591.300000001</v>
      </c>
      <c r="G911">
        <v>0</v>
      </c>
      <c r="L911" t="s">
        <v>7</v>
      </c>
      <c r="M911" t="s">
        <v>7</v>
      </c>
      <c r="N911" t="s">
        <v>7</v>
      </c>
      <c r="P911">
        <f t="shared" si="1014"/>
        <v>-0.65644171779141214</v>
      </c>
      <c r="Q911">
        <f t="shared" si="1015"/>
        <v>-7118842.1417178037</v>
      </c>
      <c r="R911">
        <f t="shared" si="1016"/>
        <v>-369080739.48706621</v>
      </c>
      <c r="S911">
        <f t="shared" si="1017"/>
        <v>-3690.8073948706619</v>
      </c>
      <c r="T911">
        <f t="shared" si="1018"/>
        <v>-3.6908073948706619</v>
      </c>
    </row>
    <row r="912" spans="1:20" x14ac:dyDescent="0.25">
      <c r="A912" s="5">
        <v>43681</v>
      </c>
      <c r="B912">
        <v>2.2159999999999999E-2</v>
      </c>
      <c r="C912">
        <v>2.2460000000000001E-2</v>
      </c>
      <c r="D912">
        <v>2.095E-2</v>
      </c>
      <c r="E912">
        <v>2.0990000000000002E-2</v>
      </c>
      <c r="F912">
        <v>7882726.7999999998</v>
      </c>
      <c r="G912">
        <v>0</v>
      </c>
      <c r="L912" t="s">
        <v>7</v>
      </c>
      <c r="M912" t="s">
        <v>7</v>
      </c>
      <c r="N912" t="s">
        <v>7</v>
      </c>
      <c r="P912">
        <f t="shared" si="1014"/>
        <v>-0.94701986754966649</v>
      </c>
      <c r="Q912">
        <f t="shared" si="1015"/>
        <v>-7465098.8900662065</v>
      </c>
      <c r="R912">
        <f t="shared" si="1016"/>
        <v>-361961897.34534842</v>
      </c>
      <c r="S912">
        <f t="shared" si="1017"/>
        <v>-3619.6189734534842</v>
      </c>
      <c r="T912">
        <f t="shared" si="1018"/>
        <v>-3.619618973453484</v>
      </c>
    </row>
    <row r="913" spans="1:20" x14ac:dyDescent="0.25">
      <c r="A913" s="5">
        <v>43680</v>
      </c>
      <c r="B913">
        <v>2.2939999999999999E-2</v>
      </c>
      <c r="C913">
        <v>2.315E-2</v>
      </c>
      <c r="D913">
        <v>2.2110000000000001E-2</v>
      </c>
      <c r="E913">
        <v>2.2159999999999999E-2</v>
      </c>
      <c r="F913">
        <v>4100104.2</v>
      </c>
      <c r="G913">
        <v>0</v>
      </c>
      <c r="L913" t="s">
        <v>7</v>
      </c>
      <c r="M913" t="s">
        <v>7</v>
      </c>
      <c r="N913" t="s">
        <v>7</v>
      </c>
      <c r="P913">
        <f t="shared" si="1014"/>
        <v>-0.90384615384615774</v>
      </c>
      <c r="Q913">
        <f t="shared" si="1015"/>
        <v>-3705863.4115384775</v>
      </c>
      <c r="R913">
        <f t="shared" si="1016"/>
        <v>-354496798.45528221</v>
      </c>
      <c r="S913">
        <f t="shared" si="1017"/>
        <v>-3544.9679845528221</v>
      </c>
      <c r="T913">
        <f t="shared" si="1018"/>
        <v>-3.5449679845528221</v>
      </c>
    </row>
    <row r="914" spans="1:20" x14ac:dyDescent="0.25">
      <c r="A914" s="5">
        <v>43679</v>
      </c>
      <c r="B914">
        <v>2.2769999999999999E-2</v>
      </c>
      <c r="C914">
        <v>2.3400000000000001E-2</v>
      </c>
      <c r="D914">
        <v>2.2100000000000002E-2</v>
      </c>
      <c r="E914">
        <v>2.307E-2</v>
      </c>
      <c r="F914">
        <v>7868231.7999999998</v>
      </c>
      <c r="G914">
        <v>0</v>
      </c>
      <c r="L914" t="s">
        <v>7</v>
      </c>
      <c r="M914" t="s">
        <v>7</v>
      </c>
      <c r="N914" t="s">
        <v>7</v>
      </c>
      <c r="P914">
        <f t="shared" si="1014"/>
        <v>0.49230769230769128</v>
      </c>
      <c r="Q914">
        <f t="shared" si="1015"/>
        <v>3873591.0399999917</v>
      </c>
      <c r="R914">
        <f t="shared" si="1016"/>
        <v>-350790935.04374373</v>
      </c>
      <c r="S914">
        <f t="shared" si="1017"/>
        <v>-3507.9093504374373</v>
      </c>
      <c r="T914">
        <f t="shared" si="1018"/>
        <v>-3.5079093504374375</v>
      </c>
    </row>
    <row r="915" spans="1:20" x14ac:dyDescent="0.25">
      <c r="A915" s="5">
        <v>43678</v>
      </c>
      <c r="B915">
        <v>2.5000000000000001E-2</v>
      </c>
      <c r="C915">
        <v>2.5000000000000001E-2</v>
      </c>
      <c r="D915">
        <v>2.2179999999999998E-2</v>
      </c>
      <c r="E915">
        <v>2.2700000000000001E-2</v>
      </c>
      <c r="F915">
        <v>5972315.5</v>
      </c>
      <c r="G915">
        <v>0</v>
      </c>
      <c r="L915" t="s">
        <v>7</v>
      </c>
      <c r="M915" t="s">
        <v>7</v>
      </c>
      <c r="N915" t="s">
        <v>7</v>
      </c>
      <c r="P915">
        <f t="shared" si="1014"/>
        <v>-0.63120567375886349</v>
      </c>
      <c r="Q915">
        <f t="shared" si="1015"/>
        <v>-3769759.4290780039</v>
      </c>
      <c r="R915">
        <f t="shared" si="1016"/>
        <v>-354664526.08374375</v>
      </c>
      <c r="S915">
        <f t="shared" si="1017"/>
        <v>-3546.6452608374375</v>
      </c>
      <c r="T915">
        <f t="shared" si="1018"/>
        <v>-3.5466452608374377</v>
      </c>
    </row>
    <row r="916" spans="1:20" x14ac:dyDescent="0.25">
      <c r="A916" s="5">
        <v>43677</v>
      </c>
      <c r="B916">
        <v>2.53E-2</v>
      </c>
      <c r="C916">
        <v>2.5829999999999999E-2</v>
      </c>
      <c r="D916">
        <v>2.4590000000000001E-2</v>
      </c>
      <c r="E916">
        <v>2.5000000000000001E-2</v>
      </c>
      <c r="F916">
        <v>3910645.4</v>
      </c>
      <c r="G916">
        <v>0</v>
      </c>
      <c r="L916" t="s">
        <v>7</v>
      </c>
      <c r="M916" t="s">
        <v>7</v>
      </c>
      <c r="N916" t="s">
        <v>7</v>
      </c>
      <c r="P916">
        <f t="shared" si="1014"/>
        <v>-0.33870967741935276</v>
      </c>
      <c r="Q916">
        <f t="shared" si="1015"/>
        <v>-1324573.4419354757</v>
      </c>
      <c r="R916">
        <f t="shared" si="1016"/>
        <v>-350894766.65466577</v>
      </c>
      <c r="S916">
        <f t="shared" si="1017"/>
        <v>-3508.9476665466577</v>
      </c>
      <c r="T916">
        <f t="shared" si="1018"/>
        <v>-3.5089476665466579</v>
      </c>
    </row>
    <row r="917" spans="1:20" x14ac:dyDescent="0.25">
      <c r="A917" s="5">
        <v>43676</v>
      </c>
      <c r="B917">
        <v>2.545E-2</v>
      </c>
      <c r="C917">
        <v>2.75E-2</v>
      </c>
      <c r="D917">
        <v>2.4840000000000001E-2</v>
      </c>
      <c r="E917">
        <v>2.528E-2</v>
      </c>
      <c r="F917">
        <v>6538260.7999999998</v>
      </c>
      <c r="G917">
        <v>0</v>
      </c>
      <c r="L917" t="s">
        <v>8</v>
      </c>
      <c r="M917" t="s">
        <v>7</v>
      </c>
      <c r="N917" t="s">
        <v>7</v>
      </c>
      <c r="P917">
        <f t="shared" si="1014"/>
        <v>-0.66917293233082742</v>
      </c>
      <c r="Q917">
        <f t="shared" si="1015"/>
        <v>-4375227.1518797018</v>
      </c>
      <c r="R917">
        <f t="shared" si="1016"/>
        <v>-349570193.21273029</v>
      </c>
      <c r="S917">
        <f t="shared" si="1017"/>
        <v>-3495.7019321273028</v>
      </c>
      <c r="T917">
        <f t="shared" si="1018"/>
        <v>-3.4957019321273028</v>
      </c>
    </row>
    <row r="918" spans="1:20" x14ac:dyDescent="0.25">
      <c r="A918" s="5">
        <v>43675</v>
      </c>
      <c r="B918">
        <v>2.5180000000000001E-2</v>
      </c>
      <c r="C918">
        <v>2.5909999999999999E-2</v>
      </c>
      <c r="D918">
        <v>2.5000000000000001E-2</v>
      </c>
      <c r="E918">
        <v>2.545E-2</v>
      </c>
      <c r="F918">
        <v>3056717.5</v>
      </c>
      <c r="G918">
        <v>0</v>
      </c>
      <c r="L918" t="s">
        <v>8</v>
      </c>
      <c r="M918" t="s">
        <v>7</v>
      </c>
      <c r="N918" t="s">
        <v>7</v>
      </c>
      <c r="P918">
        <f t="shared" si="1014"/>
        <v>-1.098901098901057E-2</v>
      </c>
      <c r="Q918">
        <f t="shared" si="1015"/>
        <v>-33590.30219780092</v>
      </c>
      <c r="R918">
        <f t="shared" si="1016"/>
        <v>-345194966.06085056</v>
      </c>
      <c r="S918">
        <f t="shared" si="1017"/>
        <v>-3451.9496606085054</v>
      </c>
      <c r="T918">
        <f t="shared" si="1018"/>
        <v>-3.4519496606085052</v>
      </c>
    </row>
    <row r="919" spans="1:20" x14ac:dyDescent="0.25">
      <c r="A919" s="5">
        <v>43674</v>
      </c>
      <c r="B919">
        <v>2.6100000000000002E-2</v>
      </c>
      <c r="C919">
        <v>2.6620000000000001E-2</v>
      </c>
      <c r="D919">
        <v>2.392E-2</v>
      </c>
      <c r="E919">
        <v>2.5090000000000001E-2</v>
      </c>
      <c r="F919">
        <v>6681517.4000000004</v>
      </c>
      <c r="G919">
        <v>0</v>
      </c>
      <c r="L919" t="s">
        <v>7</v>
      </c>
      <c r="M919" t="s">
        <v>7</v>
      </c>
      <c r="N919" t="s">
        <v>7</v>
      </c>
      <c r="P919">
        <f t="shared" si="1014"/>
        <v>-0.133333333333333</v>
      </c>
      <c r="Q919">
        <f t="shared" si="1015"/>
        <v>-890868.98666666448</v>
      </c>
      <c r="R919">
        <f t="shared" si="1016"/>
        <v>-345161375.75865275</v>
      </c>
      <c r="S919">
        <f t="shared" si="1017"/>
        <v>-3451.6137575865273</v>
      </c>
      <c r="T919">
        <f t="shared" si="1018"/>
        <v>-3.4516137575865273</v>
      </c>
    </row>
    <row r="920" spans="1:20" x14ac:dyDescent="0.25">
      <c r="A920" s="5">
        <v>43673</v>
      </c>
      <c r="B920">
        <v>2.6960000000000001E-2</v>
      </c>
      <c r="C920">
        <v>2.7650000000000001E-2</v>
      </c>
      <c r="D920">
        <v>2.5260000000000001E-2</v>
      </c>
      <c r="E920">
        <v>2.5919999999999999E-2</v>
      </c>
      <c r="F920">
        <v>8794396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-0.44769874476987659</v>
      </c>
      <c r="Q920">
        <f t="shared" si="1015"/>
        <v>-3937240.0502092238</v>
      </c>
      <c r="R920">
        <f t="shared" si="1016"/>
        <v>-344270506.77198607</v>
      </c>
      <c r="S920">
        <f t="shared" si="1017"/>
        <v>-3442.7050677198608</v>
      </c>
      <c r="T920">
        <f t="shared" si="1018"/>
        <v>-3.442705067719861</v>
      </c>
    </row>
    <row r="921" spans="1:20" x14ac:dyDescent="0.25">
      <c r="A921" s="5">
        <v>43672</v>
      </c>
      <c r="B921">
        <v>2.7990000000000001E-2</v>
      </c>
      <c r="C921">
        <v>2.9000000000000001E-2</v>
      </c>
      <c r="D921">
        <v>2.5770000000000001E-2</v>
      </c>
      <c r="E921">
        <v>2.6980000000000001E-2</v>
      </c>
      <c r="F921">
        <v>16975971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-0.25077399380805004</v>
      </c>
      <c r="Q921">
        <f t="shared" si="1015"/>
        <v>-4257132.0464396374</v>
      </c>
      <c r="R921">
        <f t="shared" si="1016"/>
        <v>-340333266.72177684</v>
      </c>
      <c r="S921">
        <f t="shared" si="1017"/>
        <v>-3403.3326672177686</v>
      </c>
      <c r="T921">
        <f t="shared" si="1018"/>
        <v>-3.4033326672177688</v>
      </c>
    </row>
    <row r="922" spans="1:20" x14ac:dyDescent="0.25">
      <c r="A922" s="5">
        <v>43671</v>
      </c>
      <c r="B922">
        <v>2.6009999999999998E-2</v>
      </c>
      <c r="C922">
        <v>2.8809999999999999E-2</v>
      </c>
      <c r="D922">
        <v>2.581E-2</v>
      </c>
      <c r="E922">
        <v>2.8000000000000001E-2</v>
      </c>
      <c r="F922">
        <v>20095215.199999999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0.46000000000000102</v>
      </c>
      <c r="Q922">
        <f t="shared" si="1015"/>
        <v>9243798.992000021</v>
      </c>
      <c r="R922">
        <f t="shared" si="1016"/>
        <v>-336076134.6753372</v>
      </c>
      <c r="S922">
        <f t="shared" si="1017"/>
        <v>-3360.761346753372</v>
      </c>
      <c r="T922">
        <f t="shared" si="1018"/>
        <v>-3.3607613467533719</v>
      </c>
    </row>
    <row r="923" spans="1:20" x14ac:dyDescent="0.25">
      <c r="A923" s="5">
        <v>43670</v>
      </c>
      <c r="B923">
        <v>2.5239999999999999E-2</v>
      </c>
      <c r="C923">
        <v>2.6339999999999999E-2</v>
      </c>
      <c r="D923">
        <v>2.4330000000000001E-2</v>
      </c>
      <c r="E923">
        <v>2.6030000000000001E-2</v>
      </c>
      <c r="F923">
        <v>7494071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0.69154228855721578</v>
      </c>
      <c r="Q923">
        <f t="shared" si="1015"/>
        <v>5182467.0099502625</v>
      </c>
      <c r="R923">
        <f t="shared" si="1016"/>
        <v>-345319933.66733724</v>
      </c>
      <c r="S923">
        <f t="shared" si="1017"/>
        <v>-3453.1993366733723</v>
      </c>
      <c r="T923">
        <f t="shared" si="1018"/>
        <v>-3.4531993366733724</v>
      </c>
    </row>
    <row r="924" spans="1:20" x14ac:dyDescent="0.25">
      <c r="A924" s="5">
        <v>43669</v>
      </c>
      <c r="B924">
        <v>2.6599999999999999E-2</v>
      </c>
      <c r="C924">
        <v>2.7E-2</v>
      </c>
      <c r="D924">
        <v>2.5219999999999999E-2</v>
      </c>
      <c r="E924">
        <v>2.546E-2</v>
      </c>
      <c r="F924">
        <v>9121281.8000000007</v>
      </c>
      <c r="G924">
        <v>0</v>
      </c>
      <c r="L924" t="s">
        <v>7</v>
      </c>
      <c r="M924" t="s">
        <v>7</v>
      </c>
      <c r="N924" t="s">
        <v>7</v>
      </c>
      <c r="P924">
        <f t="shared" si="1014"/>
        <v>-0.73033707865168473</v>
      </c>
      <c r="Q924">
        <f t="shared" si="1015"/>
        <v>-6661610.3033707812</v>
      </c>
      <c r="R924">
        <f t="shared" si="1016"/>
        <v>-350502400.67728752</v>
      </c>
      <c r="S924">
        <f t="shared" si="1017"/>
        <v>-3505.0240067728751</v>
      </c>
      <c r="T924">
        <f t="shared" si="1018"/>
        <v>-3.5050240067728748</v>
      </c>
    </row>
    <row r="925" spans="1:20" x14ac:dyDescent="0.25">
      <c r="A925" s="5">
        <v>43668</v>
      </c>
      <c r="B925">
        <v>2.7130000000000001E-2</v>
      </c>
      <c r="C925">
        <v>2.7720000000000002E-2</v>
      </c>
      <c r="D925">
        <v>2.5350000000000001E-2</v>
      </c>
      <c r="E925">
        <v>2.665E-2</v>
      </c>
      <c r="F925">
        <v>8024590.7000000002</v>
      </c>
      <c r="G925">
        <v>0</v>
      </c>
      <c r="L925" t="s">
        <v>7</v>
      </c>
      <c r="M925" t="s">
        <v>7</v>
      </c>
      <c r="N925" t="s">
        <v>7</v>
      </c>
      <c r="P925">
        <f t="shared" si="1014"/>
        <v>9.7046413502108658E-2</v>
      </c>
      <c r="Q925">
        <f t="shared" si="1015"/>
        <v>778757.74725737562</v>
      </c>
      <c r="R925">
        <f t="shared" si="1016"/>
        <v>-343840790.37391675</v>
      </c>
      <c r="S925">
        <f t="shared" si="1017"/>
        <v>-3438.4079037391675</v>
      </c>
      <c r="T925">
        <f t="shared" si="1018"/>
        <v>-3.4384079037391677</v>
      </c>
    </row>
    <row r="926" spans="1:20" x14ac:dyDescent="0.25">
      <c r="A926" s="5">
        <v>43667</v>
      </c>
      <c r="B926">
        <v>2.7459999999999998E-2</v>
      </c>
      <c r="C926">
        <v>2.768E-2</v>
      </c>
      <c r="D926">
        <v>2.623E-2</v>
      </c>
      <c r="E926">
        <v>2.7E-2</v>
      </c>
      <c r="F926">
        <v>3873222.8</v>
      </c>
      <c r="G926">
        <v>0</v>
      </c>
      <c r="L926" t="s">
        <v>8</v>
      </c>
      <c r="M926" t="s">
        <v>7</v>
      </c>
      <c r="N926" t="s">
        <v>7</v>
      </c>
      <c r="P926">
        <f t="shared" si="1014"/>
        <v>6.2068965517241247E-2</v>
      </c>
      <c r="Q926">
        <f t="shared" si="1015"/>
        <v>240406.93241379259</v>
      </c>
      <c r="R926">
        <f t="shared" si="1016"/>
        <v>-344619548.1211741</v>
      </c>
      <c r="S926">
        <f t="shared" si="1017"/>
        <v>-3446.195481211741</v>
      </c>
      <c r="T926">
        <f t="shared" si="1018"/>
        <v>-3.446195481211741</v>
      </c>
    </row>
    <row r="927" spans="1:20" x14ac:dyDescent="0.25">
      <c r="A927" s="5">
        <v>43666</v>
      </c>
      <c r="B927">
        <v>2.649E-2</v>
      </c>
      <c r="C927">
        <v>2.828E-2</v>
      </c>
      <c r="D927">
        <v>2.6179999999999998E-2</v>
      </c>
      <c r="E927">
        <v>2.7470000000000001E-2</v>
      </c>
      <c r="F927">
        <v>5365602.5</v>
      </c>
      <c r="G927">
        <v>0</v>
      </c>
      <c r="L927" t="s">
        <v>8</v>
      </c>
      <c r="M927" t="s">
        <v>7</v>
      </c>
      <c r="N927" t="s">
        <v>7</v>
      </c>
      <c r="P927">
        <f t="shared" si="1014"/>
        <v>0.2285714285714307</v>
      </c>
      <c r="Q927">
        <f t="shared" si="1015"/>
        <v>1226423.42857144</v>
      </c>
      <c r="R927">
        <f t="shared" si="1016"/>
        <v>-344859955.05358791</v>
      </c>
      <c r="S927">
        <f t="shared" si="1017"/>
        <v>-3448.5995505358792</v>
      </c>
      <c r="T927">
        <f t="shared" si="1018"/>
        <v>-3.4485995505358793</v>
      </c>
    </row>
    <row r="928" spans="1:20" x14ac:dyDescent="0.25">
      <c r="A928" s="5">
        <v>43665</v>
      </c>
      <c r="B928">
        <v>2.6960000000000001E-2</v>
      </c>
      <c r="C928">
        <v>2.717E-2</v>
      </c>
      <c r="D928">
        <v>2.5610000000000001E-2</v>
      </c>
      <c r="E928">
        <v>2.6499999999999999E-2</v>
      </c>
      <c r="F928">
        <v>4051889.7</v>
      </c>
      <c r="G928">
        <v>0</v>
      </c>
      <c r="L928" t="s">
        <v>7</v>
      </c>
      <c r="M928" t="s">
        <v>7</v>
      </c>
      <c r="N928" t="s">
        <v>7</v>
      </c>
      <c r="P928">
        <f t="shared" si="1014"/>
        <v>0.14102564102563983</v>
      </c>
      <c r="Q928">
        <f t="shared" si="1015"/>
        <v>571420.3423076875</v>
      </c>
      <c r="R928">
        <f t="shared" si="1016"/>
        <v>-346086378.48215938</v>
      </c>
      <c r="S928">
        <f t="shared" si="1017"/>
        <v>-3460.863784821594</v>
      </c>
      <c r="T928">
        <f t="shared" si="1018"/>
        <v>-3.4608637848215942</v>
      </c>
    </row>
    <row r="929" spans="1:20" x14ac:dyDescent="0.25">
      <c r="A929" s="5">
        <v>43664</v>
      </c>
      <c r="B929">
        <v>2.6190000000000001E-2</v>
      </c>
      <c r="C929">
        <v>2.8000000000000001E-2</v>
      </c>
      <c r="D929">
        <v>2.478E-2</v>
      </c>
      <c r="E929">
        <v>2.6610000000000002E-2</v>
      </c>
      <c r="F929">
        <v>7192363</v>
      </c>
      <c r="G929">
        <v>0</v>
      </c>
      <c r="L929" t="s">
        <v>8</v>
      </c>
      <c r="M929" t="s">
        <v>7</v>
      </c>
      <c r="N929" t="s">
        <v>7</v>
      </c>
      <c r="P929">
        <f t="shared" si="1014"/>
        <v>0.13664596273292012</v>
      </c>
      <c r="Q929">
        <f t="shared" si="1015"/>
        <v>982807.36645963357</v>
      </c>
      <c r="R929">
        <f t="shared" si="1016"/>
        <v>-346657798.82446706</v>
      </c>
      <c r="S929">
        <f t="shared" si="1017"/>
        <v>-3466.5779882446705</v>
      </c>
      <c r="T929">
        <f t="shared" si="1018"/>
        <v>-3.4665779882446706</v>
      </c>
    </row>
    <row r="930" spans="1:20" x14ac:dyDescent="0.25">
      <c r="A930" s="5">
        <v>43663</v>
      </c>
      <c r="B930">
        <v>2.5260000000000001E-2</v>
      </c>
      <c r="C930">
        <v>2.7119999999999998E-2</v>
      </c>
      <c r="D930">
        <v>2.4E-2</v>
      </c>
      <c r="E930">
        <v>2.6190000000000001E-2</v>
      </c>
      <c r="F930">
        <v>5911600.4000000004</v>
      </c>
      <c r="G930">
        <v>0</v>
      </c>
      <c r="L930" t="s">
        <v>7</v>
      </c>
      <c r="M930" t="s">
        <v>7</v>
      </c>
      <c r="N930" t="s">
        <v>7</v>
      </c>
      <c r="P930">
        <f t="shared" si="1014"/>
        <v>0.40384615384615546</v>
      </c>
      <c r="Q930">
        <f t="shared" si="1015"/>
        <v>2387377.0846153945</v>
      </c>
      <c r="R930">
        <f t="shared" si="1016"/>
        <v>-347640606.19092667</v>
      </c>
      <c r="S930">
        <f t="shared" si="1017"/>
        <v>-3476.4060619092666</v>
      </c>
      <c r="T930">
        <f t="shared" si="1018"/>
        <v>-3.4764060619092665</v>
      </c>
    </row>
    <row r="931" spans="1:20" x14ac:dyDescent="0.25">
      <c r="A931" s="5">
        <v>43662</v>
      </c>
      <c r="B931">
        <v>2.9090000000000001E-2</v>
      </c>
      <c r="C931">
        <v>2.9790000000000001E-2</v>
      </c>
      <c r="D931">
        <v>2.4580000000000001E-2</v>
      </c>
      <c r="E931">
        <v>2.4889999999999999E-2</v>
      </c>
      <c r="F931">
        <v>6059950.5999999996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-0.88099808061420426</v>
      </c>
      <c r="Q931">
        <f t="shared" si="1015"/>
        <v>-5338804.8472168949</v>
      </c>
      <c r="R931">
        <f t="shared" si="1016"/>
        <v>-350027983.27554208</v>
      </c>
      <c r="S931">
        <f t="shared" si="1017"/>
        <v>-3500.279832755421</v>
      </c>
      <c r="T931">
        <f t="shared" si="1018"/>
        <v>-3.500279832755421</v>
      </c>
    </row>
    <row r="932" spans="1:20" x14ac:dyDescent="0.25">
      <c r="A932" s="5">
        <v>43661</v>
      </c>
      <c r="B932">
        <v>2.912E-2</v>
      </c>
      <c r="C932">
        <v>2.9940000000000001E-2</v>
      </c>
      <c r="D932">
        <v>2.6380000000000001E-2</v>
      </c>
      <c r="E932">
        <v>2.8899999999999999E-2</v>
      </c>
      <c r="F932">
        <v>7893468.0999999996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0.41573033707865026</v>
      </c>
      <c r="Q932">
        <f t="shared" si="1015"/>
        <v>3281554.1539325728</v>
      </c>
      <c r="R932">
        <f t="shared" si="1016"/>
        <v>-344689178.42832518</v>
      </c>
      <c r="S932">
        <f t="shared" si="1017"/>
        <v>-3446.8917842832516</v>
      </c>
      <c r="T932">
        <f t="shared" si="1018"/>
        <v>-3.4468917842832516</v>
      </c>
    </row>
    <row r="933" spans="1:20" x14ac:dyDescent="0.25">
      <c r="A933" s="5">
        <v>43660</v>
      </c>
      <c r="B933">
        <v>3.5490000000000001E-2</v>
      </c>
      <c r="C933">
        <v>3.6299999999999999E-2</v>
      </c>
      <c r="D933">
        <v>2.9049999999999999E-2</v>
      </c>
      <c r="E933">
        <v>2.9409999999999999E-2</v>
      </c>
      <c r="F933">
        <v>7090315.4000000004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-0.90068965517241395</v>
      </c>
      <c r="Q933">
        <f t="shared" si="1015"/>
        <v>-6386173.7326896563</v>
      </c>
      <c r="R933">
        <f t="shared" si="1016"/>
        <v>-347970732.58225775</v>
      </c>
      <c r="S933">
        <f t="shared" si="1017"/>
        <v>-3479.7073258225773</v>
      </c>
      <c r="T933">
        <f t="shared" si="1018"/>
        <v>-3.4797073258225772</v>
      </c>
    </row>
    <row r="934" spans="1:20" x14ac:dyDescent="0.25">
      <c r="A934" s="5">
        <v>43659</v>
      </c>
      <c r="B934">
        <v>3.4930000000000003E-2</v>
      </c>
      <c r="C934">
        <v>3.6490000000000002E-2</v>
      </c>
      <c r="D934">
        <v>3.3660000000000002E-2</v>
      </c>
      <c r="E934">
        <v>3.5119999999999998E-2</v>
      </c>
      <c r="F934">
        <v>7442038.5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3.1802120141340241E-2</v>
      </c>
      <c r="Q934">
        <f t="shared" si="1015"/>
        <v>236672.60247347952</v>
      </c>
      <c r="R934">
        <f t="shared" si="1016"/>
        <v>-341584558.84956807</v>
      </c>
      <c r="S934">
        <f t="shared" si="1017"/>
        <v>-3415.8455884956807</v>
      </c>
      <c r="T934">
        <f t="shared" si="1018"/>
        <v>-3.4158455884956807</v>
      </c>
    </row>
    <row r="935" spans="1:20" x14ac:dyDescent="0.25">
      <c r="A935" s="5">
        <v>43658</v>
      </c>
      <c r="B935">
        <v>3.456E-2</v>
      </c>
      <c r="C935">
        <v>3.6200000000000003E-2</v>
      </c>
      <c r="D935">
        <v>3.2599999999999997E-2</v>
      </c>
      <c r="E935">
        <v>3.4860000000000002E-2</v>
      </c>
      <c r="F935">
        <v>5797579.5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0.25555555555555626</v>
      </c>
      <c r="Q935">
        <f t="shared" si="1015"/>
        <v>1481603.6500000041</v>
      </c>
      <c r="R935">
        <f t="shared" si="1016"/>
        <v>-341821231.45204157</v>
      </c>
      <c r="S935">
        <f t="shared" si="1017"/>
        <v>-3418.2123145204155</v>
      </c>
      <c r="T935">
        <f t="shared" si="1018"/>
        <v>-3.4182123145204155</v>
      </c>
    </row>
    <row r="936" spans="1:20" x14ac:dyDescent="0.25">
      <c r="A936" s="5">
        <v>43657</v>
      </c>
      <c r="B936">
        <v>3.5979999999999998E-2</v>
      </c>
      <c r="C936">
        <v>3.7999999999999999E-2</v>
      </c>
      <c r="D936">
        <v>3.2599999999999997E-2</v>
      </c>
      <c r="E936">
        <v>3.4569999999999997E-2</v>
      </c>
      <c r="F936">
        <v>6272917.7999999998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-0.27037037037037082</v>
      </c>
      <c r="Q936">
        <f t="shared" si="1015"/>
        <v>-1696011.1088888915</v>
      </c>
      <c r="R936">
        <f t="shared" si="1016"/>
        <v>-343302835.10204154</v>
      </c>
      <c r="S936">
        <f t="shared" si="1017"/>
        <v>-3433.0283510204154</v>
      </c>
      <c r="T936">
        <f t="shared" si="1018"/>
        <v>-3.4330283510204151</v>
      </c>
    </row>
    <row r="937" spans="1:20" x14ac:dyDescent="0.25">
      <c r="A937" s="5">
        <v>43656</v>
      </c>
      <c r="B937">
        <v>3.8089999999999999E-2</v>
      </c>
      <c r="C937">
        <v>3.8719999999999997E-2</v>
      </c>
      <c r="D937">
        <v>3.4329999999999999E-2</v>
      </c>
      <c r="E937">
        <v>3.5970000000000002E-2</v>
      </c>
      <c r="F937">
        <v>8130028.9000000004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-0.25284738041002131</v>
      </c>
      <c r="Q937">
        <f t="shared" si="1015"/>
        <v>-2055656.5100227671</v>
      </c>
      <c r="R937">
        <f t="shared" si="1016"/>
        <v>-341606823.99315268</v>
      </c>
      <c r="S937">
        <f t="shared" si="1017"/>
        <v>-3416.0682399315269</v>
      </c>
      <c r="T937">
        <f t="shared" si="1018"/>
        <v>-3.4160682399315268</v>
      </c>
    </row>
    <row r="938" spans="1:20" x14ac:dyDescent="0.25">
      <c r="A938" s="5">
        <v>43655</v>
      </c>
      <c r="B938">
        <v>3.7929999999999998E-2</v>
      </c>
      <c r="C938">
        <v>3.8620000000000002E-2</v>
      </c>
      <c r="D938">
        <v>3.6049999999999999E-2</v>
      </c>
      <c r="E938">
        <v>3.8089999999999999E-2</v>
      </c>
      <c r="F938">
        <v>12309854.199999999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0.58754863813229408</v>
      </c>
      <c r="Q938">
        <f t="shared" si="1015"/>
        <v>7232638.0708170999</v>
      </c>
      <c r="R938">
        <f t="shared" si="1016"/>
        <v>-339551167.48312992</v>
      </c>
      <c r="S938">
        <f t="shared" si="1017"/>
        <v>-3395.5116748312994</v>
      </c>
      <c r="T938">
        <f t="shared" si="1018"/>
        <v>-3.3955116748312992</v>
      </c>
    </row>
    <row r="939" spans="1:20" x14ac:dyDescent="0.25">
      <c r="A939" s="5">
        <v>43654</v>
      </c>
      <c r="B939">
        <v>3.9949999999999999E-2</v>
      </c>
      <c r="C939">
        <v>4.1799999999999997E-2</v>
      </c>
      <c r="D939">
        <v>3.7339999999999998E-2</v>
      </c>
      <c r="E939">
        <v>3.7850000000000002E-2</v>
      </c>
      <c r="F939">
        <v>12142904.1</v>
      </c>
      <c r="G939">
        <v>0</v>
      </c>
      <c r="L939" t="s">
        <v>8</v>
      </c>
      <c r="M939" t="s">
        <v>7</v>
      </c>
      <c r="N939" t="s">
        <v>7</v>
      </c>
      <c r="P939">
        <f t="shared" si="1014"/>
        <v>-0.77130044843049161</v>
      </c>
      <c r="Q939">
        <f t="shared" si="1015"/>
        <v>-9365827.3775784541</v>
      </c>
      <c r="R939">
        <f t="shared" si="1016"/>
        <v>-346783805.55394703</v>
      </c>
      <c r="S939">
        <f t="shared" si="1017"/>
        <v>-3467.8380555394701</v>
      </c>
      <c r="T939">
        <f t="shared" si="1018"/>
        <v>-3.4678380555394703</v>
      </c>
    </row>
    <row r="940" spans="1:20" x14ac:dyDescent="0.25">
      <c r="A940" s="5">
        <v>43653</v>
      </c>
      <c r="B940">
        <v>3.8519999999999999E-2</v>
      </c>
      <c r="C940">
        <v>4.0840000000000001E-2</v>
      </c>
      <c r="D940">
        <v>3.7839999999999999E-2</v>
      </c>
      <c r="E940">
        <v>4.0160000000000001E-2</v>
      </c>
      <c r="F940">
        <v>10392060</v>
      </c>
      <c r="G940">
        <v>0</v>
      </c>
      <c r="L940" t="s">
        <v>8</v>
      </c>
      <c r="M940" t="s">
        <v>7</v>
      </c>
      <c r="N940" t="s">
        <v>7</v>
      </c>
      <c r="P940">
        <f t="shared" si="1014"/>
        <v>0.54666666666666708</v>
      </c>
      <c r="Q940">
        <f t="shared" si="1015"/>
        <v>5680992.8000000045</v>
      </c>
      <c r="R940">
        <f t="shared" si="1016"/>
        <v>-337417978.17636859</v>
      </c>
      <c r="S940">
        <f t="shared" si="1017"/>
        <v>-3374.1797817636862</v>
      </c>
      <c r="T940">
        <f t="shared" si="1018"/>
        <v>-3.374179781763686</v>
      </c>
    </row>
    <row r="941" spans="1:20" x14ac:dyDescent="0.25">
      <c r="A941" s="5">
        <v>43652</v>
      </c>
      <c r="B941">
        <v>3.9059999999999997E-2</v>
      </c>
      <c r="C941">
        <v>4.0050000000000002E-2</v>
      </c>
      <c r="D941">
        <v>3.8030000000000001E-2</v>
      </c>
      <c r="E941">
        <v>3.8519999999999999E-2</v>
      </c>
      <c r="F941">
        <v>10412948.6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-0.51485148514851764</v>
      </c>
      <c r="Q941">
        <f t="shared" si="1015"/>
        <v>-5361122.0514851771</v>
      </c>
      <c r="R941">
        <f t="shared" si="1016"/>
        <v>-343098970.97636861</v>
      </c>
      <c r="S941">
        <f t="shared" si="1017"/>
        <v>-3430.9897097636863</v>
      </c>
      <c r="T941">
        <f t="shared" si="1018"/>
        <v>-3.4309897097636863</v>
      </c>
    </row>
    <row r="942" spans="1:20" x14ac:dyDescent="0.25">
      <c r="A942" s="5">
        <v>43651</v>
      </c>
      <c r="B942">
        <v>4.0710000000000003E-2</v>
      </c>
      <c r="C942">
        <v>4.147E-2</v>
      </c>
      <c r="D942">
        <v>3.8390000000000001E-2</v>
      </c>
      <c r="E942">
        <v>3.8949999999999999E-2</v>
      </c>
      <c r="F942">
        <v>9682191</v>
      </c>
      <c r="G942">
        <v>0</v>
      </c>
      <c r="L942" t="s">
        <v>7</v>
      </c>
      <c r="M942" t="s">
        <v>8</v>
      </c>
      <c r="N942" t="s">
        <v>7</v>
      </c>
      <c r="P942">
        <f t="shared" si="1014"/>
        <v>-0.63636363636363757</v>
      </c>
      <c r="Q942">
        <f t="shared" si="1015"/>
        <v>-6161394.2727272846</v>
      </c>
      <c r="R942">
        <f t="shared" si="1016"/>
        <v>-337737848.92488343</v>
      </c>
      <c r="S942">
        <f t="shared" si="1017"/>
        <v>-3377.3784892488343</v>
      </c>
      <c r="T942">
        <f t="shared" si="1018"/>
        <v>-3.3773784892488341</v>
      </c>
    </row>
    <row r="943" spans="1:20" x14ac:dyDescent="0.25">
      <c r="A943" s="5">
        <v>43650</v>
      </c>
      <c r="B943">
        <v>4.1910000000000003E-2</v>
      </c>
      <c r="C943">
        <v>4.4359999999999997E-2</v>
      </c>
      <c r="D943">
        <v>3.9989999999999998E-2</v>
      </c>
      <c r="E943">
        <v>4.0750000000000001E-2</v>
      </c>
      <c r="F943">
        <v>20730877</v>
      </c>
      <c r="G943">
        <v>0</v>
      </c>
      <c r="L943" t="s">
        <v>7</v>
      </c>
      <c r="M943" t="s">
        <v>8</v>
      </c>
      <c r="N943" t="s">
        <v>7</v>
      </c>
      <c r="P943">
        <f t="shared" si="1014"/>
        <v>-0.65217391304347649</v>
      </c>
      <c r="Q943">
        <f t="shared" si="1015"/>
        <v>-13520137.173913008</v>
      </c>
      <c r="R943">
        <f t="shared" si="1016"/>
        <v>-331576454.65215611</v>
      </c>
      <c r="S943">
        <f t="shared" si="1017"/>
        <v>-3315.764546521561</v>
      </c>
      <c r="T943">
        <f t="shared" si="1018"/>
        <v>-3.3157645465215611</v>
      </c>
    </row>
    <row r="944" spans="1:20" x14ac:dyDescent="0.25">
      <c r="A944" s="5">
        <v>43649</v>
      </c>
      <c r="B944">
        <v>3.9059999999999997E-2</v>
      </c>
      <c r="C944">
        <v>4.4200000000000003E-2</v>
      </c>
      <c r="D944">
        <v>3.8460000000000001E-2</v>
      </c>
      <c r="E944">
        <v>4.1919999999999999E-2</v>
      </c>
      <c r="F944">
        <v>22898651.899999999</v>
      </c>
      <c r="G944">
        <v>0</v>
      </c>
      <c r="L944" t="s">
        <v>8</v>
      </c>
      <c r="M944" t="s">
        <v>8</v>
      </c>
      <c r="N944" t="s">
        <v>7</v>
      </c>
      <c r="P944">
        <f t="shared" si="1014"/>
        <v>0.20557491289198487</v>
      </c>
      <c r="Q944">
        <f t="shared" si="1015"/>
        <v>4707388.3696863838</v>
      </c>
      <c r="R944">
        <f t="shared" si="1016"/>
        <v>-318056317.47824311</v>
      </c>
      <c r="S944">
        <f t="shared" si="1017"/>
        <v>-3180.5631747824309</v>
      </c>
      <c r="T944">
        <f t="shared" si="1018"/>
        <v>-3.180563174782431</v>
      </c>
    </row>
    <row r="945" spans="1:20" x14ac:dyDescent="0.25">
      <c r="A945" s="5">
        <v>43648</v>
      </c>
      <c r="B945">
        <v>3.9870000000000003E-2</v>
      </c>
      <c r="C945">
        <v>4.1500000000000002E-2</v>
      </c>
      <c r="D945">
        <v>3.7679999999999998E-2</v>
      </c>
      <c r="E945">
        <v>3.9059999999999997E-2</v>
      </c>
      <c r="F945">
        <v>19291428.300000001</v>
      </c>
      <c r="G945">
        <v>0</v>
      </c>
      <c r="L945" t="s">
        <v>8</v>
      </c>
      <c r="M945" t="s">
        <v>7</v>
      </c>
      <c r="N945" t="s">
        <v>7</v>
      </c>
      <c r="P945">
        <f t="shared" si="1014"/>
        <v>-0.27748691099476552</v>
      </c>
      <c r="Q945">
        <f t="shared" si="1015"/>
        <v>-5353118.8476440012</v>
      </c>
      <c r="R945">
        <f t="shared" si="1016"/>
        <v>-322763705.84792948</v>
      </c>
      <c r="S945">
        <f t="shared" si="1017"/>
        <v>-3227.6370584792949</v>
      </c>
      <c r="T945">
        <f t="shared" si="1018"/>
        <v>-3.2276370584792948</v>
      </c>
    </row>
    <row r="946" spans="1:20" x14ac:dyDescent="0.25">
      <c r="A946" s="5">
        <v>43647</v>
      </c>
      <c r="B946">
        <v>4.0599999999999997E-2</v>
      </c>
      <c r="C946">
        <v>4.308E-2</v>
      </c>
      <c r="D946">
        <v>3.8039999999999997E-2</v>
      </c>
      <c r="E946">
        <v>3.9879999999999999E-2</v>
      </c>
      <c r="F946">
        <v>15380735.800000001</v>
      </c>
      <c r="G946">
        <v>0</v>
      </c>
      <c r="L946" t="s">
        <v>7</v>
      </c>
      <c r="M946" t="s">
        <v>7</v>
      </c>
      <c r="N946" t="s">
        <v>7</v>
      </c>
      <c r="P946">
        <f t="shared" si="1014"/>
        <v>-0.26984126984126972</v>
      </c>
      <c r="Q946">
        <f t="shared" si="1015"/>
        <v>-4150357.2793650776</v>
      </c>
      <c r="R946">
        <f t="shared" si="1016"/>
        <v>-317410587.00028545</v>
      </c>
      <c r="S946">
        <f t="shared" si="1017"/>
        <v>-3174.1058700028543</v>
      </c>
      <c r="T946">
        <f t="shared" si="1018"/>
        <v>-3.1741058700028542</v>
      </c>
    </row>
    <row r="947" spans="1:20" x14ac:dyDescent="0.25">
      <c r="A947" s="5">
        <v>43646</v>
      </c>
      <c r="B947">
        <v>4.283E-2</v>
      </c>
      <c r="C947">
        <v>4.5220000000000003E-2</v>
      </c>
      <c r="D947">
        <v>4.0009999999999997E-2</v>
      </c>
      <c r="E947">
        <v>4.0599999999999997E-2</v>
      </c>
      <c r="F947">
        <v>18050167.100000001</v>
      </c>
      <c r="G947">
        <v>0</v>
      </c>
      <c r="L947" t="s">
        <v>8</v>
      </c>
      <c r="M947" t="s">
        <v>8</v>
      </c>
      <c r="N947" t="s">
        <v>7</v>
      </c>
      <c r="P947">
        <f t="shared" si="1014"/>
        <v>-0.7735124760076777</v>
      </c>
      <c r="Q947">
        <f t="shared" si="1015"/>
        <v>-13962029.445873324</v>
      </c>
      <c r="R947">
        <f t="shared" si="1016"/>
        <v>-313260229.72092038</v>
      </c>
      <c r="S947">
        <f t="shared" si="1017"/>
        <v>-3132.6022972092037</v>
      </c>
      <c r="T947">
        <f t="shared" si="1018"/>
        <v>-3.1326022972092038</v>
      </c>
    </row>
    <row r="948" spans="1:20" x14ac:dyDescent="0.25">
      <c r="A948" s="5">
        <v>43645</v>
      </c>
      <c r="B948">
        <v>3.934E-2</v>
      </c>
      <c r="C948">
        <v>4.3959999999999999E-2</v>
      </c>
      <c r="D948">
        <v>3.9199999999999999E-2</v>
      </c>
      <c r="E948">
        <v>4.2689999999999999E-2</v>
      </c>
      <c r="F948">
        <v>17101212.199999999</v>
      </c>
      <c r="G948">
        <v>0</v>
      </c>
      <c r="L948" t="s">
        <v>8</v>
      </c>
      <c r="M948" t="s">
        <v>7</v>
      </c>
      <c r="N948" t="s">
        <v>7</v>
      </c>
      <c r="P948">
        <f t="shared" si="1014"/>
        <v>0.46638655462184864</v>
      </c>
      <c r="Q948">
        <f t="shared" si="1015"/>
        <v>7975775.4378151242</v>
      </c>
      <c r="R948">
        <f t="shared" si="1016"/>
        <v>-299298200.27504706</v>
      </c>
      <c r="S948">
        <f t="shared" si="1017"/>
        <v>-2992.9820027504707</v>
      </c>
      <c r="T948">
        <f t="shared" si="1018"/>
        <v>-2.9929820027504705</v>
      </c>
    </row>
    <row r="949" spans="1:20" x14ac:dyDescent="0.25">
      <c r="A949" s="5">
        <v>43644</v>
      </c>
      <c r="B949">
        <v>3.8240000000000003E-2</v>
      </c>
      <c r="C949">
        <v>4.1680000000000002E-2</v>
      </c>
      <c r="D949">
        <v>3.7620000000000001E-2</v>
      </c>
      <c r="E949">
        <v>3.9370000000000002E-2</v>
      </c>
      <c r="F949">
        <v>14768720.6</v>
      </c>
      <c r="G949">
        <v>0</v>
      </c>
      <c r="L949" t="s">
        <v>8</v>
      </c>
      <c r="M949" t="s">
        <v>7</v>
      </c>
      <c r="N949" t="s">
        <v>7</v>
      </c>
      <c r="P949">
        <f t="shared" si="1014"/>
        <v>-0.13793103448275809</v>
      </c>
      <c r="Q949">
        <f t="shared" si="1015"/>
        <v>-2037064.9103448198</v>
      </c>
      <c r="R949">
        <f t="shared" si="1016"/>
        <v>-307273975.71286219</v>
      </c>
      <c r="S949">
        <f t="shared" si="1017"/>
        <v>-3072.7397571286219</v>
      </c>
      <c r="T949">
        <f t="shared" si="1018"/>
        <v>-3.0727397571286219</v>
      </c>
    </row>
    <row r="950" spans="1:20" x14ac:dyDescent="0.25">
      <c r="A950" s="5">
        <v>43643</v>
      </c>
      <c r="B950">
        <v>4.2130000000000001E-2</v>
      </c>
      <c r="C950">
        <v>4.4220000000000002E-2</v>
      </c>
      <c r="D950">
        <v>3.7190000000000001E-2</v>
      </c>
      <c r="E950">
        <v>3.85E-2</v>
      </c>
      <c r="F950">
        <v>22974341.600000001</v>
      </c>
      <c r="G950">
        <v>0</v>
      </c>
      <c r="L950" t="s">
        <v>7</v>
      </c>
      <c r="M950" t="s">
        <v>7</v>
      </c>
      <c r="N950" t="s">
        <v>7</v>
      </c>
      <c r="P950">
        <f t="shared" si="1014"/>
        <v>-0.6273115220483646</v>
      </c>
      <c r="Q950">
        <f t="shared" si="1015"/>
        <v>-14412069.19715506</v>
      </c>
      <c r="R950">
        <f t="shared" si="1016"/>
        <v>-305236910.80251735</v>
      </c>
      <c r="S950">
        <f t="shared" si="1017"/>
        <v>-3052.3691080251733</v>
      </c>
      <c r="T950">
        <f t="shared" si="1018"/>
        <v>-3.0523691080251734</v>
      </c>
    </row>
    <row r="951" spans="1:20" x14ac:dyDescent="0.25">
      <c r="A951" s="5">
        <v>43642</v>
      </c>
      <c r="B951">
        <v>4.58E-2</v>
      </c>
      <c r="C951">
        <v>4.7550000000000002E-2</v>
      </c>
      <c r="D951">
        <v>4.1000000000000002E-2</v>
      </c>
      <c r="E951">
        <v>4.1770000000000002E-2</v>
      </c>
      <c r="F951">
        <v>29105025.199999999</v>
      </c>
      <c r="G951">
        <v>0</v>
      </c>
      <c r="L951" t="s">
        <v>7</v>
      </c>
      <c r="M951" t="s">
        <v>7</v>
      </c>
      <c r="N951" t="s">
        <v>7</v>
      </c>
      <c r="P951">
        <f t="shared" si="1014"/>
        <v>-0.76488549618320612</v>
      </c>
      <c r="Q951">
        <f t="shared" si="1015"/>
        <v>-22262011.641526718</v>
      </c>
      <c r="R951">
        <f t="shared" si="1016"/>
        <v>-290824841.6053623</v>
      </c>
      <c r="S951">
        <f t="shared" si="1017"/>
        <v>-2908.2484160536228</v>
      </c>
      <c r="T951">
        <f t="shared" si="1018"/>
        <v>-2.9082484160536226</v>
      </c>
    </row>
    <row r="952" spans="1:20" x14ac:dyDescent="0.25">
      <c r="A952" s="5">
        <v>43641</v>
      </c>
      <c r="B952">
        <v>4.6960000000000002E-2</v>
      </c>
      <c r="C952">
        <v>4.8160000000000001E-2</v>
      </c>
      <c r="D952">
        <v>4.5620000000000001E-2</v>
      </c>
      <c r="E952">
        <v>4.5789999999999997E-2</v>
      </c>
      <c r="F952">
        <v>13843490.4</v>
      </c>
      <c r="G952">
        <v>0</v>
      </c>
      <c r="L952" t="s">
        <v>8</v>
      </c>
      <c r="M952" t="s">
        <v>7</v>
      </c>
      <c r="N952" t="s">
        <v>7</v>
      </c>
      <c r="P952">
        <f t="shared" si="1014"/>
        <v>-0.86614173228346736</v>
      </c>
      <c r="Q952">
        <f t="shared" si="1015"/>
        <v>-11990424.75590555</v>
      </c>
      <c r="R952">
        <f t="shared" si="1016"/>
        <v>-268562829.9638356</v>
      </c>
      <c r="S952">
        <f t="shared" si="1017"/>
        <v>-2685.6282996383561</v>
      </c>
      <c r="T952">
        <f t="shared" si="1018"/>
        <v>-2.6856282996383563</v>
      </c>
    </row>
    <row r="953" spans="1:20" x14ac:dyDescent="0.25">
      <c r="A953" s="5">
        <v>43640</v>
      </c>
      <c r="B953">
        <v>4.5560000000000003E-2</v>
      </c>
      <c r="C953">
        <v>4.8000000000000001E-2</v>
      </c>
      <c r="D953">
        <v>4.4450000000000003E-2</v>
      </c>
      <c r="E953">
        <v>4.7079999999999997E-2</v>
      </c>
      <c r="F953">
        <v>17004416</v>
      </c>
      <c r="G953">
        <v>0</v>
      </c>
      <c r="L953" t="s">
        <v>7</v>
      </c>
      <c r="M953" t="s">
        <v>7</v>
      </c>
      <c r="N953" t="s">
        <v>7</v>
      </c>
      <c r="P953">
        <f t="shared" si="1014"/>
        <v>0.48169014084506773</v>
      </c>
      <c r="Q953">
        <f t="shared" si="1015"/>
        <v>8190859.5380281229</v>
      </c>
      <c r="R953">
        <f t="shared" si="1016"/>
        <v>-256572405.20793003</v>
      </c>
      <c r="S953">
        <f t="shared" si="1017"/>
        <v>-2565.7240520793002</v>
      </c>
      <c r="T953">
        <f t="shared" si="1018"/>
        <v>-2.5657240520793003</v>
      </c>
    </row>
    <row r="954" spans="1:20" x14ac:dyDescent="0.25">
      <c r="A954" s="5">
        <v>43639</v>
      </c>
      <c r="B954">
        <v>4.6530000000000002E-2</v>
      </c>
      <c r="C954">
        <v>4.9349999999999998E-2</v>
      </c>
      <c r="D954">
        <v>4.4609999999999997E-2</v>
      </c>
      <c r="E954">
        <v>4.573E-2</v>
      </c>
      <c r="F954">
        <v>25165211.600000001</v>
      </c>
      <c r="G954">
        <v>0</v>
      </c>
      <c r="L954" t="s">
        <v>8</v>
      </c>
      <c r="M954" t="s">
        <v>7</v>
      </c>
      <c r="N954" t="s">
        <v>7</v>
      </c>
      <c r="P954">
        <f t="shared" si="1014"/>
        <v>-0.52742616033755163</v>
      </c>
      <c r="Q954">
        <f t="shared" si="1015"/>
        <v>-13272790.928270016</v>
      </c>
      <c r="R954">
        <f t="shared" si="1016"/>
        <v>-264763264.74595815</v>
      </c>
      <c r="S954">
        <f t="shared" si="1017"/>
        <v>-2647.6326474595817</v>
      </c>
      <c r="T954">
        <f t="shared" si="1018"/>
        <v>-2.6476326474595817</v>
      </c>
    </row>
    <row r="955" spans="1:20" x14ac:dyDescent="0.25">
      <c r="A955" s="5">
        <v>43638</v>
      </c>
      <c r="B955">
        <v>4.6390000000000001E-2</v>
      </c>
      <c r="C955">
        <v>4.9349999999999998E-2</v>
      </c>
      <c r="D955">
        <v>4.4310000000000002E-2</v>
      </c>
      <c r="E955">
        <v>4.65E-2</v>
      </c>
      <c r="F955">
        <v>47992827.700000003</v>
      </c>
      <c r="G955">
        <v>0</v>
      </c>
      <c r="L955" t="s">
        <v>7</v>
      </c>
      <c r="M955" t="s">
        <v>7</v>
      </c>
      <c r="N955" t="s">
        <v>7</v>
      </c>
      <c r="P955">
        <f t="shared" si="1014"/>
        <v>-0.13095238095238124</v>
      </c>
      <c r="Q955">
        <f t="shared" si="1015"/>
        <v>-6284775.0559523953</v>
      </c>
      <c r="R955">
        <f t="shared" si="1016"/>
        <v>-251490473.81768814</v>
      </c>
      <c r="S955">
        <f t="shared" si="1017"/>
        <v>-2514.9047381768814</v>
      </c>
      <c r="T955">
        <f t="shared" si="1018"/>
        <v>-2.5149047381768814</v>
      </c>
    </row>
    <row r="956" spans="1:20" x14ac:dyDescent="0.25">
      <c r="A956" s="5">
        <v>43637</v>
      </c>
      <c r="B956">
        <v>4.7780000000000003E-2</v>
      </c>
      <c r="C956">
        <v>4.9209999999999997E-2</v>
      </c>
      <c r="D956">
        <v>4.4819999999999999E-2</v>
      </c>
      <c r="E956">
        <v>4.6420000000000003E-2</v>
      </c>
      <c r="F956">
        <v>37070059.200000003</v>
      </c>
      <c r="G956">
        <v>0</v>
      </c>
      <c r="L956" t="s">
        <v>7</v>
      </c>
      <c r="M956" t="s">
        <v>7</v>
      </c>
      <c r="N956" t="s">
        <v>7</v>
      </c>
      <c r="P956">
        <f t="shared" si="1014"/>
        <v>-0.27107061503416635</v>
      </c>
      <c r="Q956">
        <f t="shared" si="1015"/>
        <v>-10048603.746696958</v>
      </c>
      <c r="R956">
        <f t="shared" si="1016"/>
        <v>-245205698.76173574</v>
      </c>
      <c r="S956">
        <f t="shared" si="1017"/>
        <v>-2452.0569876173572</v>
      </c>
      <c r="T956">
        <f t="shared" si="1018"/>
        <v>-2.452056987617357</v>
      </c>
    </row>
    <row r="957" spans="1:20" x14ac:dyDescent="0.25">
      <c r="A957" s="5">
        <v>43636</v>
      </c>
      <c r="B957">
        <v>5.4510000000000003E-2</v>
      </c>
      <c r="C957">
        <v>5.5640000000000002E-2</v>
      </c>
      <c r="D957">
        <v>4.6440000000000002E-2</v>
      </c>
      <c r="E957">
        <v>4.7820000000000001E-2</v>
      </c>
      <c r="F957">
        <v>55062039.200000003</v>
      </c>
      <c r="G957">
        <v>0</v>
      </c>
      <c r="L957" t="s">
        <v>7</v>
      </c>
      <c r="M957" t="s">
        <v>7</v>
      </c>
      <c r="N957" t="s">
        <v>7</v>
      </c>
      <c r="P957">
        <f t="shared" si="1014"/>
        <v>-0.70000000000000018</v>
      </c>
      <c r="Q957">
        <f t="shared" si="1015"/>
        <v>-38543427.440000013</v>
      </c>
      <c r="R957">
        <f t="shared" si="1016"/>
        <v>-235157095.01503879</v>
      </c>
      <c r="S957">
        <f t="shared" si="1017"/>
        <v>-2351.5709501503879</v>
      </c>
      <c r="T957">
        <f t="shared" si="1018"/>
        <v>-2.3515709501503879</v>
      </c>
    </row>
    <row r="958" spans="1:20" x14ac:dyDescent="0.25">
      <c r="A958" s="5">
        <v>43635</v>
      </c>
      <c r="B958">
        <v>5.772E-2</v>
      </c>
      <c r="C958">
        <v>5.8360000000000002E-2</v>
      </c>
      <c r="D958">
        <v>5.3780000000000001E-2</v>
      </c>
      <c r="E958">
        <v>5.45E-2</v>
      </c>
      <c r="F958">
        <v>28348728.800000001</v>
      </c>
      <c r="G958">
        <v>0</v>
      </c>
      <c r="L958" t="s">
        <v>7</v>
      </c>
      <c r="M958" t="s">
        <v>7</v>
      </c>
      <c r="N958" t="s">
        <v>7</v>
      </c>
      <c r="P958">
        <f t="shared" si="1014"/>
        <v>-0.68558951965065573</v>
      </c>
      <c r="Q958">
        <f t="shared" si="1015"/>
        <v>-19435591.360698711</v>
      </c>
      <c r="R958">
        <f t="shared" si="1016"/>
        <v>-196613667.57503876</v>
      </c>
      <c r="S958">
        <f t="shared" si="1017"/>
        <v>-1966.1366757503877</v>
      </c>
      <c r="T958">
        <f t="shared" si="1018"/>
        <v>-1.9661366757503878</v>
      </c>
    </row>
    <row r="959" spans="1:20" x14ac:dyDescent="0.25">
      <c r="A959" s="5">
        <v>43634</v>
      </c>
      <c r="B959">
        <v>6.2109999999999999E-2</v>
      </c>
      <c r="C959">
        <v>6.2109999999999999E-2</v>
      </c>
      <c r="D959">
        <v>5.5890000000000002E-2</v>
      </c>
      <c r="E959">
        <v>5.7970000000000001E-2</v>
      </c>
      <c r="F959">
        <v>23013611.5</v>
      </c>
      <c r="G959">
        <v>0</v>
      </c>
      <c r="L959" t="s">
        <v>7</v>
      </c>
      <c r="M959" t="s">
        <v>7</v>
      </c>
      <c r="N959" t="s">
        <v>7</v>
      </c>
      <c r="P959">
        <f t="shared" ref="P959:P1019" si="1019">IF(C959=D959,0,((E959-D959)-(C959-E959))/(C959-D959))</f>
        <v>-0.33118971061093255</v>
      </c>
      <c r="Q959">
        <f t="shared" ref="Q959:Q1019" si="1020">F959*P959</f>
        <v>-7621871.3327974295</v>
      </c>
      <c r="R959">
        <f t="shared" ref="R959:R1019" si="1021">R960+Q959</f>
        <v>-177178076.21434006</v>
      </c>
      <c r="S959">
        <f t="shared" ref="S959:S1019" si="1022">R959/100000</f>
        <v>-1771.7807621434006</v>
      </c>
      <c r="T959">
        <f t="shared" ref="T959:T1019" si="1023">S959/1000</f>
        <v>-1.7717807621434005</v>
      </c>
    </row>
    <row r="960" spans="1:20" x14ac:dyDescent="0.25">
      <c r="A960" s="5">
        <v>43633</v>
      </c>
      <c r="B960">
        <v>6.4649999999999999E-2</v>
      </c>
      <c r="C960">
        <v>6.4829999999999999E-2</v>
      </c>
      <c r="D960">
        <v>6.08E-2</v>
      </c>
      <c r="E960">
        <v>6.2129999999999998E-2</v>
      </c>
      <c r="F960">
        <v>23702189.800000001</v>
      </c>
      <c r="G960">
        <v>0</v>
      </c>
      <c r="L960" t="s">
        <v>7</v>
      </c>
      <c r="M960" t="s">
        <v>8</v>
      </c>
      <c r="N960" t="s">
        <v>7</v>
      </c>
      <c r="P960">
        <f t="shared" si="1019"/>
        <v>-0.3399503722084376</v>
      </c>
      <c r="Q960">
        <f t="shared" si="1020"/>
        <v>-8057568.2446650332</v>
      </c>
      <c r="R960">
        <f t="shared" si="1021"/>
        <v>-169556204.88154262</v>
      </c>
      <c r="S960">
        <f t="shared" si="1022"/>
        <v>-1695.5620488154261</v>
      </c>
      <c r="T960">
        <f t="shared" si="1023"/>
        <v>-1.6955620488154262</v>
      </c>
    </row>
    <row r="961" spans="1:20" x14ac:dyDescent="0.25">
      <c r="A961" s="5">
        <v>43632</v>
      </c>
      <c r="B961">
        <v>6.2E-2</v>
      </c>
      <c r="C961">
        <v>6.88E-2</v>
      </c>
      <c r="D961">
        <v>5.9490000000000001E-2</v>
      </c>
      <c r="E961">
        <v>6.4299999999999996E-2</v>
      </c>
      <c r="F961">
        <v>48615328.899999999</v>
      </c>
      <c r="G961">
        <v>0</v>
      </c>
      <c r="L961" t="s">
        <v>8</v>
      </c>
      <c r="M961" t="s">
        <v>8</v>
      </c>
      <c r="N961" t="s">
        <v>7</v>
      </c>
      <c r="P961">
        <f t="shared" si="1019"/>
        <v>3.3297529538130061E-2</v>
      </c>
      <c r="Q961">
        <f t="shared" si="1020"/>
        <v>1618770.350053658</v>
      </c>
      <c r="R961">
        <f t="shared" si="1021"/>
        <v>-161498636.6368776</v>
      </c>
      <c r="S961">
        <f t="shared" si="1022"/>
        <v>-1614.9863663687759</v>
      </c>
      <c r="T961">
        <f t="shared" si="1023"/>
        <v>-1.6149863663687758</v>
      </c>
    </row>
    <row r="962" spans="1:20" x14ac:dyDescent="0.25">
      <c r="A962" s="5">
        <v>43631</v>
      </c>
      <c r="B962">
        <v>6.1519999999999998E-2</v>
      </c>
      <c r="C962">
        <v>6.7360000000000003E-2</v>
      </c>
      <c r="D962">
        <v>5.7700000000000001E-2</v>
      </c>
      <c r="E962">
        <v>6.1990000000000003E-2</v>
      </c>
      <c r="F962">
        <v>33310368.100000001</v>
      </c>
      <c r="G962">
        <v>0</v>
      </c>
      <c r="L962" t="s">
        <v>8</v>
      </c>
      <c r="M962" t="s">
        <v>8</v>
      </c>
      <c r="N962" t="s">
        <v>7</v>
      </c>
      <c r="P962">
        <f t="shared" si="1019"/>
        <v>-0.11180124223602458</v>
      </c>
      <c r="Q962">
        <f t="shared" si="1020"/>
        <v>-3724140.5329192462</v>
      </c>
      <c r="R962">
        <f t="shared" si="1021"/>
        <v>-163117406.98693126</v>
      </c>
      <c r="S962">
        <f t="shared" si="1022"/>
        <v>-1631.1740698693127</v>
      </c>
      <c r="T962">
        <f t="shared" si="1023"/>
        <v>-1.6311740698693127</v>
      </c>
    </row>
    <row r="963" spans="1:20" x14ac:dyDescent="0.25">
      <c r="A963" s="5">
        <v>43630</v>
      </c>
      <c r="B963">
        <v>6.3280000000000003E-2</v>
      </c>
      <c r="C963">
        <v>6.343E-2</v>
      </c>
      <c r="D963">
        <v>5.5550000000000002E-2</v>
      </c>
      <c r="E963">
        <v>6.1690000000000002E-2</v>
      </c>
      <c r="F963">
        <v>37555034.899999999</v>
      </c>
      <c r="G963">
        <v>0</v>
      </c>
      <c r="L963" t="s">
        <v>7</v>
      </c>
      <c r="M963" t="s">
        <v>7</v>
      </c>
      <c r="N963" t="s">
        <v>7</v>
      </c>
      <c r="P963">
        <f t="shared" si="1019"/>
        <v>0.55837563451776673</v>
      </c>
      <c r="Q963">
        <f t="shared" si="1020"/>
        <v>20969816.441624373</v>
      </c>
      <c r="R963">
        <f t="shared" si="1021"/>
        <v>-159393266.45401201</v>
      </c>
      <c r="S963">
        <f t="shared" si="1022"/>
        <v>-1593.93266454012</v>
      </c>
      <c r="T963">
        <f t="shared" si="1023"/>
        <v>-1.5939326645401199</v>
      </c>
    </row>
    <row r="964" spans="1:20" x14ac:dyDescent="0.25">
      <c r="A964" s="5">
        <v>43629</v>
      </c>
      <c r="B964">
        <v>6.0819999999999999E-2</v>
      </c>
      <c r="C964">
        <v>7.8289999999999998E-2</v>
      </c>
      <c r="D964">
        <v>5.9319999999999998E-2</v>
      </c>
      <c r="E964">
        <v>6.3270000000000007E-2</v>
      </c>
      <c r="F964">
        <v>145411137.90000001</v>
      </c>
      <c r="G964">
        <v>0</v>
      </c>
      <c r="L964" t="s">
        <v>8</v>
      </c>
      <c r="M964" t="s">
        <v>8</v>
      </c>
      <c r="N964" t="s">
        <v>8</v>
      </c>
      <c r="P964">
        <f t="shared" si="1019"/>
        <v>-0.58355297838692577</v>
      </c>
      <c r="Q964">
        <f t="shared" si="1020"/>
        <v>-84855102.612176985</v>
      </c>
      <c r="R964">
        <f t="shared" si="1021"/>
        <v>-180363082.89563638</v>
      </c>
      <c r="S964">
        <f t="shared" si="1022"/>
        <v>-1803.6308289563638</v>
      </c>
      <c r="T964">
        <f t="shared" si="1023"/>
        <v>-1.8036308289563638</v>
      </c>
    </row>
    <row r="965" spans="1:20" x14ac:dyDescent="0.25">
      <c r="A965" s="5">
        <v>43628</v>
      </c>
      <c r="B965">
        <v>5.3179999999999998E-2</v>
      </c>
      <c r="C965">
        <v>6.4670000000000005E-2</v>
      </c>
      <c r="D965">
        <v>4.965E-2</v>
      </c>
      <c r="E965">
        <v>6.0819999999999999E-2</v>
      </c>
      <c r="F965">
        <v>125972871.59999999</v>
      </c>
      <c r="G965">
        <v>0</v>
      </c>
      <c r="L965" t="s">
        <v>8</v>
      </c>
      <c r="M965" t="s">
        <v>8</v>
      </c>
      <c r="N965" t="s">
        <v>8</v>
      </c>
      <c r="P965">
        <f t="shared" si="1019"/>
        <v>0.48735019973368776</v>
      </c>
      <c r="Q965">
        <f t="shared" si="1020"/>
        <v>61392904.135286197</v>
      </c>
      <c r="R965">
        <f t="shared" si="1021"/>
        <v>-95507980.28345941</v>
      </c>
      <c r="S965">
        <f t="shared" si="1022"/>
        <v>-955.07980283459415</v>
      </c>
      <c r="T965">
        <f t="shared" si="1023"/>
        <v>-0.95507980283459415</v>
      </c>
    </row>
    <row r="966" spans="1:20" x14ac:dyDescent="0.25">
      <c r="A966" s="5">
        <v>43627</v>
      </c>
      <c r="B966">
        <v>5.6559999999999999E-2</v>
      </c>
      <c r="C966">
        <v>6.2140000000000001E-2</v>
      </c>
      <c r="D966">
        <v>5.0750000000000003E-2</v>
      </c>
      <c r="E966">
        <v>5.3220000000000003E-2</v>
      </c>
      <c r="F966">
        <v>110307847.2</v>
      </c>
      <c r="G966">
        <v>0</v>
      </c>
      <c r="L966" t="s">
        <v>8</v>
      </c>
      <c r="M966" t="s">
        <v>7</v>
      </c>
      <c r="N966" t="s">
        <v>8</v>
      </c>
      <c r="P966">
        <f t="shared" si="1019"/>
        <v>-0.56628621597892881</v>
      </c>
      <c r="Q966">
        <f t="shared" si="1020"/>
        <v>-62465813.383669876</v>
      </c>
      <c r="R966">
        <f t="shared" si="1021"/>
        <v>-156900884.41874561</v>
      </c>
      <c r="S966">
        <f t="shared" si="1022"/>
        <v>-1569.0088441874561</v>
      </c>
      <c r="T966">
        <f t="shared" si="1023"/>
        <v>-1.5690088441874561</v>
      </c>
    </row>
    <row r="967" spans="1:20" x14ac:dyDescent="0.25">
      <c r="A967" s="5">
        <v>43626</v>
      </c>
      <c r="B967">
        <v>4.0399999999999998E-2</v>
      </c>
      <c r="C967">
        <v>6.6409999999999997E-2</v>
      </c>
      <c r="D967">
        <v>3.9559999999999998E-2</v>
      </c>
      <c r="E967">
        <v>5.6570000000000002E-2</v>
      </c>
      <c r="F967">
        <v>195370133.19999999</v>
      </c>
      <c r="G967">
        <v>0</v>
      </c>
      <c r="L967" t="s">
        <v>7</v>
      </c>
      <c r="M967" t="s">
        <v>8</v>
      </c>
      <c r="N967" t="s">
        <v>8</v>
      </c>
      <c r="P967">
        <f t="shared" si="1019"/>
        <v>0.26703910614525178</v>
      </c>
      <c r="Q967">
        <f t="shared" si="1020"/>
        <v>52171465.737206779</v>
      </c>
      <c r="R967">
        <f t="shared" si="1021"/>
        <v>-94435071.035075724</v>
      </c>
      <c r="S967">
        <f t="shared" si="1022"/>
        <v>-944.35071035075725</v>
      </c>
      <c r="T967">
        <f t="shared" si="1023"/>
        <v>-0.94435071035075724</v>
      </c>
    </row>
    <row r="968" spans="1:20" x14ac:dyDescent="0.25">
      <c r="A968" s="5">
        <v>43625</v>
      </c>
      <c r="B968">
        <v>4.215E-2</v>
      </c>
      <c r="C968">
        <v>4.444E-2</v>
      </c>
      <c r="D968">
        <v>0.04</v>
      </c>
      <c r="E968">
        <v>4.0669999999999998E-2</v>
      </c>
      <c r="F968">
        <v>12258427.5</v>
      </c>
      <c r="G968">
        <v>0</v>
      </c>
      <c r="L968" t="s">
        <v>7</v>
      </c>
      <c r="M968" t="s">
        <v>8</v>
      </c>
      <c r="N968" t="s">
        <v>7</v>
      </c>
      <c r="P968">
        <f t="shared" si="1019"/>
        <v>-0.6981981981981995</v>
      </c>
      <c r="Q968">
        <f t="shared" si="1020"/>
        <v>-8558811.9932432584</v>
      </c>
      <c r="R968">
        <f t="shared" si="1021"/>
        <v>-146606536.77228251</v>
      </c>
      <c r="S968">
        <f t="shared" si="1022"/>
        <v>-1466.0653677228252</v>
      </c>
      <c r="T968">
        <f t="shared" si="1023"/>
        <v>-1.4660653677228253</v>
      </c>
    </row>
    <row r="969" spans="1:20" x14ac:dyDescent="0.25">
      <c r="A969" s="5">
        <v>43624</v>
      </c>
      <c r="B969">
        <v>4.224E-2</v>
      </c>
      <c r="C969">
        <v>4.317E-2</v>
      </c>
      <c r="D969">
        <v>4.1189999999999997E-2</v>
      </c>
      <c r="E969">
        <v>4.2139999999999997E-2</v>
      </c>
      <c r="F969">
        <v>8021070.7000000002</v>
      </c>
      <c r="G969">
        <v>0</v>
      </c>
      <c r="L969" t="s">
        <v>7</v>
      </c>
      <c r="M969" t="s">
        <v>7</v>
      </c>
      <c r="N969" t="s">
        <v>7</v>
      </c>
      <c r="P969">
        <f t="shared" si="1019"/>
        <v>-4.0404040404042212E-2</v>
      </c>
      <c r="Q969">
        <f t="shared" si="1020"/>
        <v>-324083.66464647913</v>
      </c>
      <c r="R969">
        <f t="shared" si="1021"/>
        <v>-138047724.77903926</v>
      </c>
      <c r="S969">
        <f t="shared" si="1022"/>
        <v>-1380.4772477903925</v>
      </c>
      <c r="T969">
        <f t="shared" si="1023"/>
        <v>-1.3804772477903926</v>
      </c>
    </row>
    <row r="970" spans="1:20" x14ac:dyDescent="0.25">
      <c r="A970" s="5">
        <v>43623</v>
      </c>
      <c r="B970">
        <v>4.0669999999999998E-2</v>
      </c>
      <c r="C970">
        <v>4.3999999999999997E-2</v>
      </c>
      <c r="D970">
        <v>4.0219999999999999E-2</v>
      </c>
      <c r="E970">
        <v>4.2290000000000001E-2</v>
      </c>
      <c r="F970">
        <v>10802640.6</v>
      </c>
      <c r="G970">
        <v>0</v>
      </c>
      <c r="L970" t="s">
        <v>8</v>
      </c>
      <c r="M970" t="s">
        <v>7</v>
      </c>
      <c r="N970" t="s">
        <v>7</v>
      </c>
      <c r="P970">
        <f t="shared" si="1019"/>
        <v>9.5238095238096898E-2</v>
      </c>
      <c r="Q970">
        <f t="shared" si="1020"/>
        <v>1028822.9142857322</v>
      </c>
      <c r="R970">
        <f t="shared" si="1021"/>
        <v>-137723641.11439279</v>
      </c>
      <c r="S970">
        <f t="shared" si="1022"/>
        <v>-1377.2364111439279</v>
      </c>
      <c r="T970">
        <f t="shared" si="1023"/>
        <v>-1.3772364111439279</v>
      </c>
    </row>
    <row r="971" spans="1:20" x14ac:dyDescent="0.25">
      <c r="A971" s="5">
        <v>43622</v>
      </c>
      <c r="B971">
        <v>4.2360000000000002E-2</v>
      </c>
      <c r="C971">
        <v>4.3560000000000001E-2</v>
      </c>
      <c r="D971">
        <v>3.7150000000000002E-2</v>
      </c>
      <c r="E971">
        <v>4.045E-2</v>
      </c>
      <c r="F971">
        <v>28201181.100000001</v>
      </c>
      <c r="G971">
        <v>0</v>
      </c>
      <c r="L971" t="s">
        <v>7</v>
      </c>
      <c r="M971" t="s">
        <v>7</v>
      </c>
      <c r="N971" t="s">
        <v>7</v>
      </c>
      <c r="P971">
        <f t="shared" si="1019"/>
        <v>2.9641185647425235E-2</v>
      </c>
      <c r="Q971">
        <f t="shared" si="1020"/>
        <v>835916.44446175988</v>
      </c>
      <c r="R971">
        <f t="shared" si="1021"/>
        <v>-138752464.02867851</v>
      </c>
      <c r="S971">
        <f t="shared" si="1022"/>
        <v>-1387.5246402867851</v>
      </c>
      <c r="T971">
        <f t="shared" si="1023"/>
        <v>-1.3875246402867851</v>
      </c>
    </row>
    <row r="972" spans="1:20" x14ac:dyDescent="0.25">
      <c r="A972" s="5">
        <v>43621</v>
      </c>
      <c r="B972">
        <v>4.07E-2</v>
      </c>
      <c r="C972">
        <v>4.2970000000000001E-2</v>
      </c>
      <c r="D972">
        <v>4.0419999999999998E-2</v>
      </c>
      <c r="E972">
        <v>4.24E-2</v>
      </c>
      <c r="F972">
        <v>8744556.8000000007</v>
      </c>
      <c r="G972">
        <v>0</v>
      </c>
      <c r="L972" t="s">
        <v>8</v>
      </c>
      <c r="M972" t="s">
        <v>7</v>
      </c>
      <c r="N972" t="s">
        <v>7</v>
      </c>
      <c r="P972">
        <f t="shared" si="1019"/>
        <v>0.55294117647058805</v>
      </c>
      <c r="Q972">
        <f t="shared" si="1020"/>
        <v>4835225.5247058813</v>
      </c>
      <c r="R972">
        <f t="shared" si="1021"/>
        <v>-139588380.47314027</v>
      </c>
      <c r="S972">
        <f t="shared" si="1022"/>
        <v>-1395.8838047314027</v>
      </c>
      <c r="T972">
        <f t="shared" si="1023"/>
        <v>-1.3958838047314028</v>
      </c>
    </row>
    <row r="973" spans="1:20" x14ac:dyDescent="0.25">
      <c r="A973" s="5">
        <v>43620</v>
      </c>
      <c r="B973">
        <v>4.1889999999999997E-2</v>
      </c>
      <c r="C973">
        <v>4.2259999999999999E-2</v>
      </c>
      <c r="D973">
        <v>3.9100000000000003E-2</v>
      </c>
      <c r="E973">
        <v>4.0340000000000001E-2</v>
      </c>
      <c r="F973">
        <v>10715495.5</v>
      </c>
      <c r="G973">
        <v>0</v>
      </c>
      <c r="L973" t="s">
        <v>7</v>
      </c>
      <c r="M973" t="s">
        <v>7</v>
      </c>
      <c r="N973" t="s">
        <v>7</v>
      </c>
      <c r="P973">
        <f t="shared" si="1019"/>
        <v>-0.21518987341772181</v>
      </c>
      <c r="Q973">
        <f t="shared" si="1020"/>
        <v>-2305866.1202531676</v>
      </c>
      <c r="R973">
        <f t="shared" si="1021"/>
        <v>-144423605.99784616</v>
      </c>
      <c r="S973">
        <f t="shared" si="1022"/>
        <v>-1444.2360599784615</v>
      </c>
      <c r="T973">
        <f t="shared" si="1023"/>
        <v>-1.4442360599784616</v>
      </c>
    </row>
    <row r="974" spans="1:20" x14ac:dyDescent="0.25">
      <c r="A974" s="5">
        <v>43619</v>
      </c>
      <c r="B974">
        <v>4.7469999999999998E-2</v>
      </c>
      <c r="C974">
        <v>4.7489999999999997E-2</v>
      </c>
      <c r="D974">
        <v>4.172E-2</v>
      </c>
      <c r="E974">
        <v>4.2040000000000001E-2</v>
      </c>
      <c r="F974">
        <v>10118089.199999999</v>
      </c>
      <c r="G974">
        <v>0</v>
      </c>
      <c r="L974" t="s">
        <v>7</v>
      </c>
      <c r="M974" t="s">
        <v>7</v>
      </c>
      <c r="N974" t="s">
        <v>7</v>
      </c>
      <c r="P974">
        <f t="shared" si="1019"/>
        <v>-0.88908145580589215</v>
      </c>
      <c r="Q974">
        <f t="shared" si="1020"/>
        <v>-8995805.4759098738</v>
      </c>
      <c r="R974">
        <f t="shared" si="1021"/>
        <v>-142117739.87759298</v>
      </c>
      <c r="S974">
        <f t="shared" si="1022"/>
        <v>-1421.1773987759298</v>
      </c>
      <c r="T974">
        <f t="shared" si="1023"/>
        <v>-1.4211773987759297</v>
      </c>
    </row>
    <row r="975" spans="1:20" x14ac:dyDescent="0.25">
      <c r="A975" s="5">
        <v>43618</v>
      </c>
      <c r="B975">
        <v>4.564E-2</v>
      </c>
      <c r="C975">
        <v>4.8079999999999998E-2</v>
      </c>
      <c r="D975">
        <v>4.5519999999999998E-2</v>
      </c>
      <c r="E975">
        <v>4.7469999999999998E-2</v>
      </c>
      <c r="F975">
        <v>10024756.5</v>
      </c>
      <c r="G975">
        <v>0</v>
      </c>
      <c r="L975" t="s">
        <v>7</v>
      </c>
      <c r="M975" t="s">
        <v>7</v>
      </c>
      <c r="N975" t="s">
        <v>8</v>
      </c>
      <c r="P975">
        <f t="shared" si="1019"/>
        <v>0.52343750000000044</v>
      </c>
      <c r="Q975">
        <f t="shared" si="1020"/>
        <v>5247333.4804687547</v>
      </c>
      <c r="R975">
        <f t="shared" si="1021"/>
        <v>-133121934.40168312</v>
      </c>
      <c r="S975">
        <f t="shared" si="1022"/>
        <v>-1331.2193440168312</v>
      </c>
      <c r="T975">
        <f t="shared" si="1023"/>
        <v>-1.3312193440168312</v>
      </c>
    </row>
    <row r="976" spans="1:20" x14ac:dyDescent="0.25">
      <c r="A976" s="5">
        <v>43617</v>
      </c>
      <c r="B976">
        <v>4.8180000000000001E-2</v>
      </c>
      <c r="C976">
        <v>4.947E-2</v>
      </c>
      <c r="D976">
        <v>4.4549999999999999E-2</v>
      </c>
      <c r="E976">
        <v>4.5510000000000002E-2</v>
      </c>
      <c r="F976">
        <v>13493637.199999999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-0.6097560975609746</v>
      </c>
      <c r="Q976">
        <f t="shared" si="1020"/>
        <v>-8227827.5609755954</v>
      </c>
      <c r="R976">
        <f t="shared" si="1021"/>
        <v>-138369267.88215187</v>
      </c>
      <c r="S976">
        <f t="shared" si="1022"/>
        <v>-1383.6926788215187</v>
      </c>
      <c r="T976">
        <f t="shared" si="1023"/>
        <v>-1.3836926788215187</v>
      </c>
    </row>
    <row r="977" spans="1:20" x14ac:dyDescent="0.25">
      <c r="A977" s="5">
        <v>43616</v>
      </c>
      <c r="B977">
        <v>4.5769999999999998E-2</v>
      </c>
      <c r="C977">
        <v>4.8419999999999998E-2</v>
      </c>
      <c r="D977">
        <v>4.4010000000000001E-2</v>
      </c>
      <c r="E977">
        <v>4.8180000000000001E-2</v>
      </c>
      <c r="F977">
        <v>13608027.4</v>
      </c>
      <c r="G977">
        <v>0</v>
      </c>
      <c r="L977" t="s">
        <v>8</v>
      </c>
      <c r="M977" t="s">
        <v>7</v>
      </c>
      <c r="N977" t="s">
        <v>8</v>
      </c>
      <c r="P977">
        <f t="shared" si="1019"/>
        <v>0.89115646258503523</v>
      </c>
      <c r="Q977">
        <f t="shared" si="1020"/>
        <v>12126881.560544234</v>
      </c>
      <c r="R977">
        <f t="shared" si="1021"/>
        <v>-130141440.32117628</v>
      </c>
      <c r="S977">
        <f t="shared" si="1022"/>
        <v>-1301.4144032117626</v>
      </c>
      <c r="T977">
        <f t="shared" si="1023"/>
        <v>-1.3014144032117627</v>
      </c>
    </row>
    <row r="978" spans="1:20" x14ac:dyDescent="0.25">
      <c r="A978" s="5">
        <v>43615</v>
      </c>
      <c r="B978">
        <v>5.0770000000000003E-2</v>
      </c>
      <c r="C978">
        <v>5.4989999999999997E-2</v>
      </c>
      <c r="D978">
        <v>4.3799999999999999E-2</v>
      </c>
      <c r="E978">
        <v>4.5789999999999997E-2</v>
      </c>
      <c r="F978">
        <v>35600848.799999997</v>
      </c>
      <c r="G978">
        <v>0</v>
      </c>
      <c r="L978" t="s">
        <v>7</v>
      </c>
      <c r="M978" t="s">
        <v>7</v>
      </c>
      <c r="N978" t="s">
        <v>8</v>
      </c>
      <c r="P978">
        <f t="shared" si="1019"/>
        <v>-0.64432529043789111</v>
      </c>
      <c r="Q978">
        <f t="shared" si="1020"/>
        <v>-22938527.242895447</v>
      </c>
      <c r="R978">
        <f t="shared" si="1021"/>
        <v>-142268321.88172051</v>
      </c>
      <c r="S978">
        <f t="shared" si="1022"/>
        <v>-1422.6832188172052</v>
      </c>
      <c r="T978">
        <f t="shared" si="1023"/>
        <v>-1.4226832188172052</v>
      </c>
    </row>
    <row r="979" spans="1:20" x14ac:dyDescent="0.25">
      <c r="A979" s="5">
        <v>43614</v>
      </c>
      <c r="B979">
        <v>5.2560000000000003E-2</v>
      </c>
      <c r="C979">
        <v>5.3420000000000002E-2</v>
      </c>
      <c r="D979">
        <v>4.8640000000000003E-2</v>
      </c>
      <c r="E979">
        <v>5.0889999999999998E-2</v>
      </c>
      <c r="F979">
        <v>23180521.399999999</v>
      </c>
      <c r="G979">
        <v>0</v>
      </c>
      <c r="L979" t="s">
        <v>7</v>
      </c>
      <c r="M979" t="s">
        <v>7</v>
      </c>
      <c r="N979" t="s">
        <v>8</v>
      </c>
      <c r="P979">
        <f t="shared" si="1019"/>
        <v>-5.8577405857742557E-2</v>
      </c>
      <c r="Q979">
        <f t="shared" si="1020"/>
        <v>-1357854.8100418865</v>
      </c>
      <c r="R979">
        <f t="shared" si="1021"/>
        <v>-119329794.63882506</v>
      </c>
      <c r="S979">
        <f t="shared" si="1022"/>
        <v>-1193.2979463882507</v>
      </c>
      <c r="T979">
        <f t="shared" si="1023"/>
        <v>-1.1932979463882507</v>
      </c>
    </row>
    <row r="980" spans="1:20" x14ac:dyDescent="0.25">
      <c r="A980" s="5">
        <v>43613</v>
      </c>
      <c r="B980">
        <v>5.4059999999999997E-2</v>
      </c>
      <c r="C980">
        <v>5.611E-2</v>
      </c>
      <c r="D980">
        <v>5.1339999999999997E-2</v>
      </c>
      <c r="E980">
        <v>5.2560000000000003E-2</v>
      </c>
      <c r="F980">
        <v>17940244.800000001</v>
      </c>
      <c r="G980">
        <v>0</v>
      </c>
      <c r="L980" t="s">
        <v>8</v>
      </c>
      <c r="M980" t="s">
        <v>8</v>
      </c>
      <c r="N980" t="s">
        <v>8</v>
      </c>
      <c r="P980">
        <f t="shared" si="1019"/>
        <v>-0.48846960167714676</v>
      </c>
      <c r="Q980">
        <f t="shared" si="1020"/>
        <v>-8763264.2314465046</v>
      </c>
      <c r="R980">
        <f t="shared" si="1021"/>
        <v>-117971939.82878317</v>
      </c>
      <c r="S980">
        <f t="shared" si="1022"/>
        <v>-1179.7193982878316</v>
      </c>
      <c r="T980">
        <f t="shared" si="1023"/>
        <v>-1.1797193982878316</v>
      </c>
    </row>
    <row r="981" spans="1:20" x14ac:dyDescent="0.25">
      <c r="A981" s="5">
        <v>43612</v>
      </c>
      <c r="B981">
        <v>5.7000000000000002E-2</v>
      </c>
      <c r="C981">
        <v>5.799E-2</v>
      </c>
      <c r="D981">
        <v>5.1749999999999997E-2</v>
      </c>
      <c r="E981">
        <v>5.407E-2</v>
      </c>
      <c r="F981">
        <v>30711884.100000001</v>
      </c>
      <c r="G981">
        <v>0</v>
      </c>
      <c r="L981" t="s">
        <v>7</v>
      </c>
      <c r="M981" t="s">
        <v>8</v>
      </c>
      <c r="N981" t="s">
        <v>8</v>
      </c>
      <c r="P981">
        <f t="shared" si="1019"/>
        <v>-0.25641025641025589</v>
      </c>
      <c r="Q981">
        <f t="shared" si="1020"/>
        <v>-7874842.0769230612</v>
      </c>
      <c r="R981">
        <f t="shared" si="1021"/>
        <v>-109208675.59733666</v>
      </c>
      <c r="S981">
        <f t="shared" si="1022"/>
        <v>-1092.0867559733667</v>
      </c>
      <c r="T981">
        <f t="shared" si="1023"/>
        <v>-1.0920867559733667</v>
      </c>
    </row>
    <row r="982" spans="1:20" x14ac:dyDescent="0.25">
      <c r="A982" s="5">
        <v>43611</v>
      </c>
      <c r="B982">
        <v>5.0310000000000001E-2</v>
      </c>
      <c r="C982">
        <v>6.1839999999999999E-2</v>
      </c>
      <c r="D982">
        <v>4.8910000000000002E-2</v>
      </c>
      <c r="E982">
        <v>5.7160000000000002E-2</v>
      </c>
      <c r="F982">
        <v>62803139.5</v>
      </c>
      <c r="G982">
        <v>0</v>
      </c>
      <c r="L982" t="s">
        <v>8</v>
      </c>
      <c r="M982" t="s">
        <v>8</v>
      </c>
      <c r="N982" t="s">
        <v>8</v>
      </c>
      <c r="P982">
        <f t="shared" si="1019"/>
        <v>0.27610208816705373</v>
      </c>
      <c r="Q982">
        <f t="shared" si="1020"/>
        <v>17340077.959396776</v>
      </c>
      <c r="R982">
        <f t="shared" si="1021"/>
        <v>-101333833.52041361</v>
      </c>
      <c r="S982">
        <f t="shared" si="1022"/>
        <v>-1013.3383352041361</v>
      </c>
      <c r="T982">
        <f t="shared" si="1023"/>
        <v>-1.0133383352041361</v>
      </c>
    </row>
    <row r="983" spans="1:20" x14ac:dyDescent="0.25">
      <c r="A983" s="5">
        <v>43610</v>
      </c>
      <c r="B983">
        <v>4.895E-2</v>
      </c>
      <c r="C983">
        <v>5.1709999999999999E-2</v>
      </c>
      <c r="D983">
        <v>4.7940000000000003E-2</v>
      </c>
      <c r="E983">
        <v>5.04E-2</v>
      </c>
      <c r="F983">
        <v>13779823.300000001</v>
      </c>
      <c r="G983">
        <v>0</v>
      </c>
      <c r="L983" t="s">
        <v>7</v>
      </c>
      <c r="M983" t="s">
        <v>8</v>
      </c>
      <c r="N983" t="s">
        <v>8</v>
      </c>
      <c r="P983">
        <f t="shared" si="1019"/>
        <v>0.3050397877984084</v>
      </c>
      <c r="Q983">
        <f t="shared" si="1020"/>
        <v>4203394.3753315639</v>
      </c>
      <c r="R983">
        <f t="shared" si="1021"/>
        <v>-118673911.47981039</v>
      </c>
      <c r="S983">
        <f t="shared" si="1022"/>
        <v>-1186.7391147981039</v>
      </c>
      <c r="T983">
        <f t="shared" si="1023"/>
        <v>-1.1867391147981039</v>
      </c>
    </row>
    <row r="984" spans="1:20" x14ac:dyDescent="0.25">
      <c r="A984" s="5">
        <v>43609</v>
      </c>
      <c r="B984">
        <v>4.6609999999999999E-2</v>
      </c>
      <c r="C984">
        <v>5.5169999999999997E-2</v>
      </c>
      <c r="D984">
        <v>4.6429999999999999E-2</v>
      </c>
      <c r="E984">
        <v>4.8869999999999997E-2</v>
      </c>
      <c r="F984">
        <v>32276041.199999999</v>
      </c>
      <c r="G984">
        <v>0</v>
      </c>
      <c r="L984" t="s">
        <v>8</v>
      </c>
      <c r="M984" t="s">
        <v>8</v>
      </c>
      <c r="N984" t="s">
        <v>8</v>
      </c>
      <c r="P984">
        <f t="shared" si="1019"/>
        <v>-0.44164759725400493</v>
      </c>
      <c r="Q984">
        <f t="shared" si="1020"/>
        <v>-14254636.04485127</v>
      </c>
      <c r="R984">
        <f t="shared" si="1021"/>
        <v>-122877305.85514195</v>
      </c>
      <c r="S984">
        <f t="shared" si="1022"/>
        <v>-1228.7730585514196</v>
      </c>
      <c r="T984">
        <f t="shared" si="1023"/>
        <v>-1.2287730585514196</v>
      </c>
    </row>
    <row r="985" spans="1:20" x14ac:dyDescent="0.25">
      <c r="A985" s="5">
        <v>43608</v>
      </c>
      <c r="B985">
        <v>4.5620000000000001E-2</v>
      </c>
      <c r="C985">
        <v>4.7399999999999998E-2</v>
      </c>
      <c r="D985">
        <v>4.4040000000000003E-2</v>
      </c>
      <c r="E985">
        <v>4.6510000000000003E-2</v>
      </c>
      <c r="F985">
        <v>17413767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0.47023809523809745</v>
      </c>
      <c r="Q985">
        <f t="shared" si="1020"/>
        <v>8188616.6250000382</v>
      </c>
      <c r="R985">
        <f t="shared" si="1021"/>
        <v>-108622669.81029068</v>
      </c>
      <c r="S985">
        <f t="shared" si="1022"/>
        <v>-1086.2266981029068</v>
      </c>
      <c r="T985">
        <f t="shared" si="1023"/>
        <v>-1.0862266981029067</v>
      </c>
    </row>
    <row r="986" spans="1:20" x14ac:dyDescent="0.25">
      <c r="A986" s="5">
        <v>43607</v>
      </c>
      <c r="B986">
        <v>5.1119999999999999E-2</v>
      </c>
      <c r="C986">
        <v>5.2330000000000002E-2</v>
      </c>
      <c r="D986">
        <v>4.4970000000000003E-2</v>
      </c>
      <c r="E986">
        <v>4.5900000000000003E-2</v>
      </c>
      <c r="F986">
        <v>27403267.300000001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-0.747282608695652</v>
      </c>
      <c r="Q986">
        <f t="shared" si="1020"/>
        <v>-20477985.074728258</v>
      </c>
      <c r="R986">
        <f t="shared" si="1021"/>
        <v>-116811286.43529072</v>
      </c>
      <c r="S986">
        <f t="shared" si="1022"/>
        <v>-1168.1128643529073</v>
      </c>
      <c r="T986">
        <f t="shared" si="1023"/>
        <v>-1.1681128643529073</v>
      </c>
    </row>
    <row r="987" spans="1:20" x14ac:dyDescent="0.25">
      <c r="A987" s="5">
        <v>43606</v>
      </c>
      <c r="B987">
        <v>5.3710000000000001E-2</v>
      </c>
      <c r="C987">
        <v>5.9130000000000002E-2</v>
      </c>
      <c r="D987">
        <v>5.058E-2</v>
      </c>
      <c r="E987">
        <v>5.1119999999999999E-2</v>
      </c>
      <c r="F987">
        <v>52872924.899999999</v>
      </c>
      <c r="G987">
        <v>0</v>
      </c>
      <c r="L987" t="s">
        <v>8</v>
      </c>
      <c r="M987" t="s">
        <v>8</v>
      </c>
      <c r="N987" t="s">
        <v>8</v>
      </c>
      <c r="P987">
        <f t="shared" si="1019"/>
        <v>-0.87368421052631606</v>
      </c>
      <c r="Q987">
        <f t="shared" si="1020"/>
        <v>-46194239.649473697</v>
      </c>
      <c r="R987">
        <f t="shared" si="1021"/>
        <v>-96333301.360562459</v>
      </c>
      <c r="S987">
        <f t="shared" si="1022"/>
        <v>-963.33301360562461</v>
      </c>
      <c r="T987">
        <f t="shared" si="1023"/>
        <v>-0.96333301360562462</v>
      </c>
    </row>
    <row r="988" spans="1:20" x14ac:dyDescent="0.25">
      <c r="A988" s="5">
        <v>43605</v>
      </c>
      <c r="B988">
        <v>4.6739999999999997E-2</v>
      </c>
      <c r="C988">
        <v>5.7759999999999999E-2</v>
      </c>
      <c r="D988">
        <v>4.41E-2</v>
      </c>
      <c r="E988">
        <v>5.3990000000000003E-2</v>
      </c>
      <c r="F988">
        <v>58405273.200000003</v>
      </c>
      <c r="G988">
        <v>0</v>
      </c>
      <c r="L988" t="s">
        <v>8</v>
      </c>
      <c r="M988" t="s">
        <v>8</v>
      </c>
      <c r="N988" t="s">
        <v>8</v>
      </c>
      <c r="P988">
        <f t="shared" si="1019"/>
        <v>0.44802342606149398</v>
      </c>
      <c r="Q988">
        <f t="shared" si="1020"/>
        <v>26166930.599121556</v>
      </c>
      <c r="R988">
        <f t="shared" si="1021"/>
        <v>-50139061.711088762</v>
      </c>
      <c r="S988">
        <f t="shared" si="1022"/>
        <v>-501.3906171108876</v>
      </c>
      <c r="T988">
        <f t="shared" si="1023"/>
        <v>-0.50139061711088762</v>
      </c>
    </row>
    <row r="989" spans="1:20" x14ac:dyDescent="0.25">
      <c r="A989" s="5">
        <v>43604</v>
      </c>
      <c r="B989">
        <v>4.5690000000000001E-2</v>
      </c>
      <c r="C989">
        <v>5.0869999999999999E-2</v>
      </c>
      <c r="D989">
        <v>4.3439999999999999E-2</v>
      </c>
      <c r="E989">
        <v>4.6739999999999997E-2</v>
      </c>
      <c r="F989">
        <v>58695031.899999999</v>
      </c>
      <c r="G989">
        <v>0</v>
      </c>
      <c r="L989" t="s">
        <v>8</v>
      </c>
      <c r="M989" t="s">
        <v>8</v>
      </c>
      <c r="N989" t="s">
        <v>8</v>
      </c>
      <c r="P989">
        <f t="shared" si="1019"/>
        <v>-0.1117092866756399</v>
      </c>
      <c r="Q989">
        <f t="shared" si="1020"/>
        <v>-6556780.1449529286</v>
      </c>
      <c r="R989">
        <f t="shared" si="1021"/>
        <v>-76305992.310210317</v>
      </c>
      <c r="S989">
        <f t="shared" si="1022"/>
        <v>-763.0599231021032</v>
      </c>
      <c r="T989">
        <f t="shared" si="1023"/>
        <v>-0.76305992310210324</v>
      </c>
    </row>
    <row r="990" spans="1:20" x14ac:dyDescent="0.25">
      <c r="A990" s="5">
        <v>43603</v>
      </c>
      <c r="B990">
        <v>3.9350000000000003E-2</v>
      </c>
      <c r="C990">
        <v>4.9919999999999999E-2</v>
      </c>
      <c r="D990">
        <v>3.805E-2</v>
      </c>
      <c r="E990">
        <v>4.589E-2</v>
      </c>
      <c r="F990">
        <v>50349361.200000003</v>
      </c>
      <c r="G990">
        <v>0</v>
      </c>
      <c r="L990" t="s">
        <v>8</v>
      </c>
      <c r="M990" t="s">
        <v>8</v>
      </c>
      <c r="N990" t="s">
        <v>8</v>
      </c>
      <c r="P990">
        <f t="shared" si="1019"/>
        <v>0.32097725358045504</v>
      </c>
      <c r="Q990">
        <f t="shared" si="1020"/>
        <v>16160999.677506324</v>
      </c>
      <c r="R990">
        <f t="shared" si="1021"/>
        <v>-69749212.165257394</v>
      </c>
      <c r="S990">
        <f t="shared" si="1022"/>
        <v>-697.49212165257393</v>
      </c>
      <c r="T990">
        <f t="shared" si="1023"/>
        <v>-0.6974921216525739</v>
      </c>
    </row>
    <row r="991" spans="1:20" x14ac:dyDescent="0.25">
      <c r="A991" s="5">
        <v>43602</v>
      </c>
      <c r="B991">
        <v>4.172E-2</v>
      </c>
      <c r="C991">
        <v>4.2770000000000002E-2</v>
      </c>
      <c r="D991">
        <v>3.5009999999999999E-2</v>
      </c>
      <c r="E991">
        <v>3.8949999999999999E-2</v>
      </c>
      <c r="F991">
        <v>15697629.199999999</v>
      </c>
      <c r="G991">
        <v>0</v>
      </c>
      <c r="L991" t="s">
        <v>7</v>
      </c>
      <c r="M991" t="s">
        <v>7</v>
      </c>
      <c r="N991" t="s">
        <v>7</v>
      </c>
      <c r="P991">
        <f t="shared" si="1019"/>
        <v>1.546391752577256E-2</v>
      </c>
      <c r="Q991">
        <f t="shared" si="1020"/>
        <v>242746.84329895908</v>
      </c>
      <c r="R991">
        <f t="shared" si="1021"/>
        <v>-85910211.842763722</v>
      </c>
      <c r="S991">
        <f t="shared" si="1022"/>
        <v>-859.10211842763727</v>
      </c>
      <c r="T991">
        <f t="shared" si="1023"/>
        <v>-0.85910211842763728</v>
      </c>
    </row>
    <row r="992" spans="1:20" x14ac:dyDescent="0.25">
      <c r="A992" s="5">
        <v>43601</v>
      </c>
      <c r="B992">
        <v>4.4450000000000003E-2</v>
      </c>
      <c r="C992">
        <v>4.999E-2</v>
      </c>
      <c r="D992">
        <v>3.968E-2</v>
      </c>
      <c r="E992">
        <v>4.1509999999999998E-2</v>
      </c>
      <c r="F992">
        <v>18526705.800000001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-0.64500484966052407</v>
      </c>
      <c r="Q992">
        <f t="shared" si="1020"/>
        <v>-11949815.08923376</v>
      </c>
      <c r="R992">
        <f t="shared" si="1021"/>
        <v>-86152958.686062679</v>
      </c>
      <c r="S992">
        <f t="shared" si="1022"/>
        <v>-861.52958686062675</v>
      </c>
      <c r="T992">
        <f t="shared" si="1023"/>
        <v>-0.86152958686062675</v>
      </c>
    </row>
    <row r="993" spans="1:20" x14ac:dyDescent="0.25">
      <c r="A993" s="5">
        <v>43600</v>
      </c>
      <c r="B993">
        <v>3.9320000000000001E-2</v>
      </c>
      <c r="C993">
        <v>4.548E-2</v>
      </c>
      <c r="D993">
        <v>3.9030000000000002E-2</v>
      </c>
      <c r="E993">
        <v>4.4470000000000003E-2</v>
      </c>
      <c r="F993">
        <v>12787495.800000001</v>
      </c>
      <c r="G993">
        <v>0</v>
      </c>
      <c r="L993" t="s">
        <v>8</v>
      </c>
      <c r="M993" t="s">
        <v>8</v>
      </c>
      <c r="N993" t="s">
        <v>7</v>
      </c>
      <c r="P993">
        <f t="shared" si="1019"/>
        <v>0.68682170542635734</v>
      </c>
      <c r="Q993">
        <f t="shared" si="1020"/>
        <v>8782729.6734883823</v>
      </c>
      <c r="R993">
        <f t="shared" si="1021"/>
        <v>-74203143.596828923</v>
      </c>
      <c r="S993">
        <f t="shared" si="1022"/>
        <v>-742.0314359682892</v>
      </c>
      <c r="T993">
        <f t="shared" si="1023"/>
        <v>-0.74203143596828924</v>
      </c>
    </row>
    <row r="994" spans="1:20" x14ac:dyDescent="0.25">
      <c r="A994" s="5">
        <v>43599</v>
      </c>
      <c r="B994">
        <v>3.5770000000000003E-2</v>
      </c>
      <c r="C994">
        <v>4.1399999999999999E-2</v>
      </c>
      <c r="D994">
        <v>3.5499999999999997E-2</v>
      </c>
      <c r="E994">
        <v>3.9320000000000001E-2</v>
      </c>
      <c r="F994">
        <v>23995657.800000001</v>
      </c>
      <c r="G994">
        <v>0</v>
      </c>
      <c r="L994" t="s">
        <v>8</v>
      </c>
      <c r="M994" t="s">
        <v>8</v>
      </c>
      <c r="N994" t="s">
        <v>7</v>
      </c>
      <c r="P994">
        <f t="shared" si="1019"/>
        <v>0.29491525423728893</v>
      </c>
      <c r="Q994">
        <f t="shared" si="1020"/>
        <v>7076685.5206779856</v>
      </c>
      <c r="R994">
        <f t="shared" si="1021"/>
        <v>-82985873.270317301</v>
      </c>
      <c r="S994">
        <f t="shared" si="1022"/>
        <v>-829.85873270317302</v>
      </c>
      <c r="T994">
        <f t="shared" si="1023"/>
        <v>-0.82985873270317301</v>
      </c>
    </row>
    <row r="995" spans="1:20" x14ac:dyDescent="0.25">
      <c r="A995" s="5">
        <v>43598</v>
      </c>
      <c r="B995">
        <v>3.4540000000000001E-2</v>
      </c>
      <c r="C995">
        <v>3.7960000000000001E-2</v>
      </c>
      <c r="D995">
        <v>3.4200000000000001E-2</v>
      </c>
      <c r="E995">
        <v>3.5770000000000003E-2</v>
      </c>
      <c r="F995">
        <v>10585892.9</v>
      </c>
      <c r="G995">
        <v>0</v>
      </c>
      <c r="L995" t="s">
        <v>8</v>
      </c>
      <c r="M995" t="s">
        <v>7</v>
      </c>
      <c r="N995" t="s">
        <v>7</v>
      </c>
      <c r="P995">
        <f t="shared" si="1019"/>
        <v>-0.16489361702127545</v>
      </c>
      <c r="Q995">
        <f t="shared" si="1020"/>
        <v>-1745546.1696808389</v>
      </c>
      <c r="R995">
        <f t="shared" si="1021"/>
        <v>-90062558.790995285</v>
      </c>
      <c r="S995">
        <f t="shared" si="1022"/>
        <v>-900.62558790995286</v>
      </c>
      <c r="T995">
        <f t="shared" si="1023"/>
        <v>-0.90062558790995284</v>
      </c>
    </row>
    <row r="996" spans="1:20" x14ac:dyDescent="0.25">
      <c r="A996" s="5">
        <v>43597</v>
      </c>
      <c r="B996">
        <v>3.5830000000000001E-2</v>
      </c>
      <c r="C996">
        <v>3.6740000000000002E-2</v>
      </c>
      <c r="D996">
        <v>3.3660000000000002E-2</v>
      </c>
      <c r="E996">
        <v>3.4540000000000001E-2</v>
      </c>
      <c r="F996">
        <v>10720351.199999999</v>
      </c>
      <c r="G996">
        <v>0</v>
      </c>
      <c r="L996" t="s">
        <v>7</v>
      </c>
      <c r="M996" t="s">
        <v>7</v>
      </c>
      <c r="N996" t="s">
        <v>7</v>
      </c>
      <c r="P996">
        <f t="shared" si="1019"/>
        <v>-0.42857142857142921</v>
      </c>
      <c r="Q996">
        <f t="shared" si="1020"/>
        <v>-4594436.2285714354</v>
      </c>
      <c r="R996">
        <f t="shared" si="1021"/>
        <v>-88317012.621314451</v>
      </c>
      <c r="S996">
        <f t="shared" si="1022"/>
        <v>-883.1701262131445</v>
      </c>
      <c r="T996">
        <f t="shared" si="1023"/>
        <v>-0.8831701262131445</v>
      </c>
    </row>
    <row r="997" spans="1:20" x14ac:dyDescent="0.25">
      <c r="A997" s="5">
        <v>43596</v>
      </c>
      <c r="B997">
        <v>3.4279999999999998E-2</v>
      </c>
      <c r="C997">
        <v>3.7510000000000002E-2</v>
      </c>
      <c r="D997">
        <v>3.4279999999999998E-2</v>
      </c>
      <c r="E997">
        <v>3.5589999999999997E-2</v>
      </c>
      <c r="F997">
        <v>15529618.1</v>
      </c>
      <c r="G997">
        <v>0</v>
      </c>
      <c r="L997" t="s">
        <v>8</v>
      </c>
      <c r="M997" t="s">
        <v>7</v>
      </c>
      <c r="N997" t="s">
        <v>7</v>
      </c>
      <c r="P997">
        <f t="shared" si="1019"/>
        <v>-0.18885448916408845</v>
      </c>
      <c r="Q997">
        <f t="shared" si="1020"/>
        <v>-2932838.0931888819</v>
      </c>
      <c r="R997">
        <f t="shared" si="1021"/>
        <v>-83722576.392743021</v>
      </c>
      <c r="S997">
        <f t="shared" si="1022"/>
        <v>-837.22576392743019</v>
      </c>
      <c r="T997">
        <f t="shared" si="1023"/>
        <v>-0.8372257639274302</v>
      </c>
    </row>
    <row r="998" spans="1:20" x14ac:dyDescent="0.25">
      <c r="A998" s="5">
        <v>43595</v>
      </c>
      <c r="B998">
        <v>3.388E-2</v>
      </c>
      <c r="C998">
        <v>3.6179999999999997E-2</v>
      </c>
      <c r="D998">
        <v>3.338E-2</v>
      </c>
      <c r="E998">
        <v>3.4139999999999997E-2</v>
      </c>
      <c r="F998">
        <v>8255268.4000000004</v>
      </c>
      <c r="G998">
        <v>0</v>
      </c>
      <c r="L998" t="s">
        <v>8</v>
      </c>
      <c r="M998" t="s">
        <v>7</v>
      </c>
      <c r="N998" t="s">
        <v>7</v>
      </c>
      <c r="P998">
        <f t="shared" si="1019"/>
        <v>-0.45714285714285885</v>
      </c>
      <c r="Q998">
        <f t="shared" si="1020"/>
        <v>-3773836.982857157</v>
      </c>
      <c r="R998">
        <f t="shared" si="1021"/>
        <v>-80789738.299554139</v>
      </c>
      <c r="S998">
        <f t="shared" si="1022"/>
        <v>-807.89738299554142</v>
      </c>
      <c r="T998">
        <f t="shared" si="1023"/>
        <v>-0.80789738299554137</v>
      </c>
    </row>
    <row r="999" spans="1:20" x14ac:dyDescent="0.25">
      <c r="A999" s="5">
        <v>43594</v>
      </c>
      <c r="B999">
        <v>3.431E-2</v>
      </c>
      <c r="C999">
        <v>3.8539999999999998E-2</v>
      </c>
      <c r="D999">
        <v>3.2500000000000001E-2</v>
      </c>
      <c r="E999">
        <v>3.388E-2</v>
      </c>
      <c r="F999">
        <v>12541337.9</v>
      </c>
      <c r="G999">
        <v>0</v>
      </c>
      <c r="L999" t="s">
        <v>7</v>
      </c>
      <c r="M999" t="s">
        <v>7</v>
      </c>
      <c r="N999" t="s">
        <v>7</v>
      </c>
      <c r="P999">
        <f t="shared" si="1019"/>
        <v>-0.54304635761589404</v>
      </c>
      <c r="Q999">
        <f t="shared" si="1020"/>
        <v>-6810527.8662251653</v>
      </c>
      <c r="R999">
        <f t="shared" si="1021"/>
        <v>-77015901.316696987</v>
      </c>
      <c r="S999">
        <f t="shared" si="1022"/>
        <v>-770.15901316696988</v>
      </c>
      <c r="T999">
        <f t="shared" si="1023"/>
        <v>-0.77015901316696989</v>
      </c>
    </row>
    <row r="1000" spans="1:20" x14ac:dyDescent="0.25">
      <c r="A1000" s="5">
        <v>43593</v>
      </c>
      <c r="B1000">
        <v>3.5159999999999997E-2</v>
      </c>
      <c r="C1000">
        <v>3.6720000000000003E-2</v>
      </c>
      <c r="D1000">
        <v>3.338E-2</v>
      </c>
      <c r="E1000">
        <v>3.4459999999999998E-2</v>
      </c>
      <c r="F1000">
        <v>5615556.5999999996</v>
      </c>
      <c r="G1000">
        <v>0</v>
      </c>
      <c r="L1000" t="s">
        <v>7</v>
      </c>
      <c r="M1000" t="s">
        <v>7</v>
      </c>
      <c r="N1000" t="s">
        <v>7</v>
      </c>
      <c r="P1000">
        <f t="shared" si="1019"/>
        <v>-0.35329341317365465</v>
      </c>
      <c r="Q1000">
        <f t="shared" si="1020"/>
        <v>-1983939.1580838431</v>
      </c>
      <c r="R1000">
        <f t="shared" si="1021"/>
        <v>-70205373.450471818</v>
      </c>
      <c r="S1000">
        <f t="shared" si="1022"/>
        <v>-702.05373450471814</v>
      </c>
      <c r="T1000">
        <f t="shared" si="1023"/>
        <v>-0.70205373450471809</v>
      </c>
    </row>
    <row r="1001" spans="1:20" x14ac:dyDescent="0.25">
      <c r="A1001" s="5">
        <v>43592</v>
      </c>
      <c r="B1001">
        <v>3.7510000000000002E-2</v>
      </c>
      <c r="C1001">
        <v>3.8899999999999997E-2</v>
      </c>
      <c r="D1001">
        <v>3.5159999999999997E-2</v>
      </c>
      <c r="E1001">
        <v>3.5430000000000003E-2</v>
      </c>
      <c r="F1001">
        <v>6154064.0999999996</v>
      </c>
      <c r="G1001">
        <v>0</v>
      </c>
      <c r="L1001" t="s">
        <v>7</v>
      </c>
      <c r="M1001" t="s">
        <v>7</v>
      </c>
      <c r="N1001" t="s">
        <v>7</v>
      </c>
      <c r="P1001">
        <f t="shared" si="1019"/>
        <v>-0.85561497326202873</v>
      </c>
      <c r="Q1001">
        <f t="shared" si="1020"/>
        <v>-5265509.3903743103</v>
      </c>
      <c r="R1001">
        <f t="shared" si="1021"/>
        <v>-68221434.292387977</v>
      </c>
      <c r="S1001">
        <f t="shared" si="1022"/>
        <v>-682.21434292387983</v>
      </c>
      <c r="T1001">
        <f t="shared" si="1023"/>
        <v>-0.68221434292387984</v>
      </c>
    </row>
    <row r="1002" spans="1:20" x14ac:dyDescent="0.25">
      <c r="A1002" s="5">
        <v>43591</v>
      </c>
      <c r="B1002">
        <v>3.8399999999999997E-2</v>
      </c>
      <c r="C1002">
        <v>3.9300000000000002E-2</v>
      </c>
      <c r="D1002">
        <v>3.5999999999999997E-2</v>
      </c>
      <c r="E1002">
        <v>3.7650000000000003E-2</v>
      </c>
      <c r="F1002">
        <v>5708821.2999999998</v>
      </c>
      <c r="G1002">
        <v>0</v>
      </c>
      <c r="L1002" t="s">
        <v>7</v>
      </c>
      <c r="M1002" t="s">
        <v>7</v>
      </c>
      <c r="N1002" t="s">
        <v>7</v>
      </c>
      <c r="P1002">
        <f t="shared" si="1019"/>
        <v>2.1026951223961273E-15</v>
      </c>
      <c r="Q1002">
        <f t="shared" si="1020"/>
        <v>1.2003910702141118E-8</v>
      </c>
      <c r="R1002">
        <f t="shared" si="1021"/>
        <v>-62955924.902013667</v>
      </c>
      <c r="S1002">
        <f t="shared" si="1022"/>
        <v>-629.55924902013669</v>
      </c>
      <c r="T1002">
        <f t="shared" si="1023"/>
        <v>-0.62955924902013671</v>
      </c>
    </row>
    <row r="1003" spans="1:20" x14ac:dyDescent="0.25">
      <c r="A1003" s="5">
        <v>43590</v>
      </c>
      <c r="B1003">
        <v>3.9280000000000002E-2</v>
      </c>
      <c r="C1003">
        <v>3.9539999999999999E-2</v>
      </c>
      <c r="D1003">
        <v>3.7699999999999997E-2</v>
      </c>
      <c r="E1003">
        <v>3.7999999999999999E-2</v>
      </c>
      <c r="F1003">
        <v>3412400.9</v>
      </c>
      <c r="G1003">
        <v>0</v>
      </c>
      <c r="L1003" t="s">
        <v>7</v>
      </c>
      <c r="M1003" t="s">
        <v>7</v>
      </c>
      <c r="N1003" t="s">
        <v>7</v>
      </c>
      <c r="P1003">
        <f t="shared" si="1019"/>
        <v>-0.67391304347825931</v>
      </c>
      <c r="Q1003">
        <f t="shared" si="1020"/>
        <v>-2299661.4760869513</v>
      </c>
      <c r="R1003">
        <f t="shared" si="1021"/>
        <v>-62955924.902013682</v>
      </c>
      <c r="S1003">
        <f t="shared" si="1022"/>
        <v>-629.5592490201368</v>
      </c>
      <c r="T1003">
        <f t="shared" si="1023"/>
        <v>-0.62955924902013682</v>
      </c>
    </row>
    <row r="1004" spans="1:20" x14ac:dyDescent="0.25">
      <c r="A1004" s="5">
        <v>43589</v>
      </c>
      <c r="B1004">
        <v>4.199E-2</v>
      </c>
      <c r="C1004">
        <v>4.249E-2</v>
      </c>
      <c r="D1004">
        <v>3.8210000000000001E-2</v>
      </c>
      <c r="E1004">
        <v>3.9320000000000001E-2</v>
      </c>
      <c r="F1004">
        <v>5564086.4000000004</v>
      </c>
      <c r="G1004">
        <v>0</v>
      </c>
      <c r="L1004" t="s">
        <v>7</v>
      </c>
      <c r="M1004" t="s">
        <v>7</v>
      </c>
      <c r="N1004" t="s">
        <v>7</v>
      </c>
      <c r="P1004">
        <f t="shared" si="1019"/>
        <v>-0.48130841121495321</v>
      </c>
      <c r="Q1004">
        <f t="shared" si="1020"/>
        <v>-2678041.5850467286</v>
      </c>
      <c r="R1004">
        <f t="shared" si="1021"/>
        <v>-60656263.42592673</v>
      </c>
      <c r="S1004">
        <f t="shared" si="1022"/>
        <v>-606.56263425926727</v>
      </c>
      <c r="T1004">
        <f t="shared" si="1023"/>
        <v>-0.60656263425926726</v>
      </c>
    </row>
    <row r="1005" spans="1:20" x14ac:dyDescent="0.25">
      <c r="A1005" s="5">
        <v>43588</v>
      </c>
      <c r="B1005">
        <v>4.4589999999999998E-2</v>
      </c>
      <c r="C1005">
        <v>4.4650000000000002E-2</v>
      </c>
      <c r="D1005">
        <v>4.054E-2</v>
      </c>
      <c r="E1005">
        <v>4.199E-2</v>
      </c>
      <c r="F1005">
        <v>9776325.5999999996</v>
      </c>
      <c r="G1005">
        <v>0</v>
      </c>
      <c r="L1005" t="s">
        <v>7</v>
      </c>
      <c r="M1005" t="s">
        <v>7</v>
      </c>
      <c r="N1005" t="s">
        <v>7</v>
      </c>
      <c r="P1005">
        <f t="shared" si="1019"/>
        <v>-0.2944038929440394</v>
      </c>
      <c r="Q1005">
        <f t="shared" si="1020"/>
        <v>-2878188.3153284718</v>
      </c>
      <c r="R1005">
        <f t="shared" si="1021"/>
        <v>-57978221.840879999</v>
      </c>
      <c r="S1005">
        <f t="shared" si="1022"/>
        <v>-579.78221840879996</v>
      </c>
      <c r="T1005">
        <f t="shared" si="1023"/>
        <v>-0.57978221840879995</v>
      </c>
    </row>
    <row r="1006" spans="1:20" x14ac:dyDescent="0.25">
      <c r="A1006" s="5">
        <v>43587</v>
      </c>
      <c r="B1006">
        <v>4.2229999999999997E-2</v>
      </c>
      <c r="C1006">
        <v>4.4830000000000002E-2</v>
      </c>
      <c r="D1006">
        <v>4.1300000000000003E-2</v>
      </c>
      <c r="E1006">
        <v>4.4600000000000001E-2</v>
      </c>
      <c r="F1006">
        <v>4785524.3</v>
      </c>
      <c r="G1006">
        <v>0</v>
      </c>
      <c r="L1006" t="s">
        <v>7</v>
      </c>
      <c r="M1006" t="s">
        <v>7</v>
      </c>
      <c r="N1006" t="s">
        <v>7</v>
      </c>
      <c r="P1006">
        <f t="shared" si="1019"/>
        <v>0.86968838526912118</v>
      </c>
      <c r="Q1006">
        <f t="shared" si="1020"/>
        <v>4161914.9011331415</v>
      </c>
      <c r="R1006">
        <f t="shared" si="1021"/>
        <v>-55100033.525551528</v>
      </c>
      <c r="S1006">
        <f t="shared" si="1022"/>
        <v>-551.00033525551532</v>
      </c>
      <c r="T1006">
        <f t="shared" si="1023"/>
        <v>-0.55100033525551528</v>
      </c>
    </row>
    <row r="1007" spans="1:20" x14ac:dyDescent="0.25">
      <c r="A1007" s="5">
        <v>43586</v>
      </c>
      <c r="B1007">
        <v>4.2750000000000003E-2</v>
      </c>
      <c r="C1007">
        <v>4.4880000000000003E-2</v>
      </c>
      <c r="D1007">
        <v>4.0840000000000001E-2</v>
      </c>
      <c r="E1007">
        <v>4.2500000000000003E-2</v>
      </c>
      <c r="F1007">
        <v>7730694.7000000002</v>
      </c>
      <c r="G1007">
        <v>0</v>
      </c>
      <c r="L1007" t="s">
        <v>8</v>
      </c>
      <c r="M1007" t="s">
        <v>7</v>
      </c>
      <c r="N1007" t="s">
        <v>7</v>
      </c>
      <c r="P1007">
        <f t="shared" si="1019"/>
        <v>-0.17821782178217774</v>
      </c>
      <c r="Q1007">
        <f t="shared" si="1020"/>
        <v>-1377747.5702970261</v>
      </c>
      <c r="R1007">
        <f t="shared" si="1021"/>
        <v>-59261948.42668467</v>
      </c>
      <c r="S1007">
        <f t="shared" si="1022"/>
        <v>-592.61948426684671</v>
      </c>
      <c r="T1007">
        <f t="shared" si="1023"/>
        <v>-0.59261948426684674</v>
      </c>
    </row>
    <row r="1008" spans="1:20" x14ac:dyDescent="0.25">
      <c r="A1008" s="5">
        <v>43585</v>
      </c>
      <c r="B1008">
        <v>4.1599999999999998E-2</v>
      </c>
      <c r="C1008">
        <v>4.3299999999999998E-2</v>
      </c>
      <c r="D1008">
        <v>3.9350000000000003E-2</v>
      </c>
      <c r="E1008">
        <v>4.2750000000000003E-2</v>
      </c>
      <c r="F1008">
        <v>5622804.5</v>
      </c>
      <c r="G1008">
        <v>0</v>
      </c>
      <c r="L1008" t="s">
        <v>7</v>
      </c>
      <c r="M1008" t="s">
        <v>7</v>
      </c>
      <c r="N1008" t="s">
        <v>7</v>
      </c>
      <c r="P1008">
        <f t="shared" si="1019"/>
        <v>0.72151898734177433</v>
      </c>
      <c r="Q1008">
        <f t="shared" si="1020"/>
        <v>4056960.2088607717</v>
      </c>
      <c r="R1008">
        <f t="shared" si="1021"/>
        <v>-57884200.856387645</v>
      </c>
      <c r="S1008">
        <f t="shared" si="1022"/>
        <v>-578.84200856387645</v>
      </c>
      <c r="T1008">
        <f t="shared" si="1023"/>
        <v>-0.57884200856387646</v>
      </c>
    </row>
    <row r="1009" spans="1:20" x14ac:dyDescent="0.25">
      <c r="A1009" s="5">
        <v>43584</v>
      </c>
      <c r="B1009">
        <v>4.5569999999999999E-2</v>
      </c>
      <c r="C1009">
        <v>4.5990000000000003E-2</v>
      </c>
      <c r="D1009">
        <v>4.0800000000000003E-2</v>
      </c>
      <c r="E1009">
        <v>4.1570000000000003E-2</v>
      </c>
      <c r="F1009">
        <v>7531987.5999999996</v>
      </c>
      <c r="G1009">
        <v>0</v>
      </c>
      <c r="L1009" t="s">
        <v>7</v>
      </c>
      <c r="M1009" t="s">
        <v>7</v>
      </c>
      <c r="N1009" t="s">
        <v>7</v>
      </c>
      <c r="P1009">
        <f t="shared" si="1019"/>
        <v>-0.70327552986512532</v>
      </c>
      <c r="Q1009">
        <f t="shared" si="1020"/>
        <v>-5297062.570327553</v>
      </c>
      <c r="R1009">
        <f t="shared" si="1021"/>
        <v>-61941161.065248415</v>
      </c>
      <c r="S1009">
        <f t="shared" si="1022"/>
        <v>-619.41161065248411</v>
      </c>
      <c r="T1009">
        <f t="shared" si="1023"/>
        <v>-0.61941161065248407</v>
      </c>
    </row>
    <row r="1010" spans="1:20" x14ac:dyDescent="0.25">
      <c r="A1010" s="5">
        <v>43583</v>
      </c>
      <c r="B1010">
        <v>4.7800000000000002E-2</v>
      </c>
      <c r="C1010">
        <v>4.9180000000000001E-2</v>
      </c>
      <c r="D1010">
        <v>4.4720000000000003E-2</v>
      </c>
      <c r="E1010">
        <v>4.5749999999999999E-2</v>
      </c>
      <c r="F1010">
        <v>6141729.0999999996</v>
      </c>
      <c r="G1010">
        <v>0</v>
      </c>
      <c r="L1010" t="s">
        <v>7</v>
      </c>
      <c r="M1010" t="s">
        <v>7</v>
      </c>
      <c r="N1010" t="s">
        <v>7</v>
      </c>
      <c r="P1010">
        <f t="shared" si="1019"/>
        <v>-0.53811659192825267</v>
      </c>
      <c r="Q1010">
        <f t="shared" si="1020"/>
        <v>-3304966.3318385743</v>
      </c>
      <c r="R1010">
        <f t="shared" si="1021"/>
        <v>-56644098.494920865</v>
      </c>
      <c r="S1010">
        <f t="shared" si="1022"/>
        <v>-566.44098494920866</v>
      </c>
      <c r="T1010">
        <f t="shared" si="1023"/>
        <v>-0.56644098494920869</v>
      </c>
    </row>
    <row r="1011" spans="1:20" x14ac:dyDescent="0.25">
      <c r="A1011" s="5">
        <v>43582</v>
      </c>
      <c r="B1011">
        <v>4.8149999999999998E-2</v>
      </c>
      <c r="C1011">
        <v>4.9000000000000002E-2</v>
      </c>
      <c r="D1011">
        <v>4.6580000000000003E-2</v>
      </c>
      <c r="E1011">
        <v>4.7789999999999999E-2</v>
      </c>
      <c r="F1011">
        <v>4170757.1</v>
      </c>
      <c r="G1011">
        <v>0</v>
      </c>
      <c r="L1011" t="s">
        <v>7</v>
      </c>
      <c r="M1011" t="s">
        <v>7</v>
      </c>
      <c r="N1011" t="s">
        <v>7</v>
      </c>
      <c r="P1011">
        <f t="shared" si="1019"/>
        <v>-2.8673115305401786E-15</v>
      </c>
      <c r="Q1011">
        <f t="shared" si="1020"/>
        <v>-1.1958859923912317E-8</v>
      </c>
      <c r="R1011">
        <f t="shared" si="1021"/>
        <v>-53339132.163082287</v>
      </c>
      <c r="S1011">
        <f t="shared" si="1022"/>
        <v>-533.39132163082286</v>
      </c>
      <c r="T1011">
        <f t="shared" si="1023"/>
        <v>-0.53339132163082281</v>
      </c>
    </row>
    <row r="1012" spans="1:20" x14ac:dyDescent="0.25">
      <c r="A1012" s="5">
        <v>43581</v>
      </c>
      <c r="B1012">
        <v>5.1229999999999998E-2</v>
      </c>
      <c r="C1012">
        <v>5.1470000000000002E-2</v>
      </c>
      <c r="D1012">
        <v>4.5749999999999999E-2</v>
      </c>
      <c r="E1012">
        <v>4.8140000000000002E-2</v>
      </c>
      <c r="F1012">
        <v>14802298.6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-0.16433566433566363</v>
      </c>
      <c r="Q1012">
        <f t="shared" si="1020"/>
        <v>-2432545.5741258636</v>
      </c>
      <c r="R1012">
        <f t="shared" si="1021"/>
        <v>-53339132.163082272</v>
      </c>
      <c r="S1012">
        <f t="shared" si="1022"/>
        <v>-533.39132163082274</v>
      </c>
      <c r="T1012">
        <f t="shared" si="1023"/>
        <v>-0.5333913216308227</v>
      </c>
    </row>
    <row r="1013" spans="1:20" x14ac:dyDescent="0.25">
      <c r="A1013" s="5">
        <v>43580</v>
      </c>
      <c r="B1013">
        <v>5.4769999999999999E-2</v>
      </c>
      <c r="C1013">
        <v>5.9900000000000002E-2</v>
      </c>
      <c r="D1013">
        <v>5.0290000000000001E-2</v>
      </c>
      <c r="E1013">
        <v>5.1610000000000003E-2</v>
      </c>
      <c r="F1013">
        <v>31119027.399999999</v>
      </c>
      <c r="G1013">
        <v>0</v>
      </c>
      <c r="L1013" t="s">
        <v>8</v>
      </c>
      <c r="M1013" t="s">
        <v>8</v>
      </c>
      <c r="N1013" t="s">
        <v>7</v>
      </c>
      <c r="P1013">
        <f t="shared" si="1019"/>
        <v>-0.72528616024973946</v>
      </c>
      <c r="Q1013">
        <f t="shared" si="1020"/>
        <v>-22570199.893652432</v>
      </c>
      <c r="R1013">
        <f t="shared" si="1021"/>
        <v>-50906586.588956408</v>
      </c>
      <c r="S1013">
        <f t="shared" si="1022"/>
        <v>-509.06586588956407</v>
      </c>
      <c r="T1013">
        <f t="shared" si="1023"/>
        <v>-0.50906586588956404</v>
      </c>
    </row>
    <row r="1014" spans="1:20" x14ac:dyDescent="0.25">
      <c r="A1014" s="5">
        <v>43579</v>
      </c>
      <c r="B1014">
        <v>5.2400000000000002E-2</v>
      </c>
      <c r="C1014">
        <v>5.74E-2</v>
      </c>
      <c r="D1014">
        <v>4.6280000000000002E-2</v>
      </c>
      <c r="E1014">
        <v>5.4769999999999999E-2</v>
      </c>
      <c r="F1014">
        <v>26927590.5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0.52697841726618688</v>
      </c>
      <c r="Q1014">
        <f t="shared" si="1020"/>
        <v>14190259.02248201</v>
      </c>
      <c r="R1014">
        <f t="shared" si="1021"/>
        <v>-28336386.695303977</v>
      </c>
      <c r="S1014">
        <f t="shared" si="1022"/>
        <v>-283.36386695303975</v>
      </c>
      <c r="T1014">
        <f t="shared" si="1023"/>
        <v>-0.28336386695303972</v>
      </c>
    </row>
    <row r="1015" spans="1:20" x14ac:dyDescent="0.25">
      <c r="A1015" s="5">
        <v>43578</v>
      </c>
      <c r="B1015">
        <v>5.5800000000000002E-2</v>
      </c>
      <c r="C1015">
        <v>6.08E-2</v>
      </c>
      <c r="D1015">
        <v>5.2400000000000002E-2</v>
      </c>
      <c r="E1015">
        <v>5.2449999999999997E-2</v>
      </c>
      <c r="F1015">
        <v>14122805.4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-0.98809523809523936</v>
      </c>
      <c r="Q1015">
        <f t="shared" si="1020"/>
        <v>-13954676.764285732</v>
      </c>
      <c r="R1015">
        <f t="shared" si="1021"/>
        <v>-42526645.717785984</v>
      </c>
      <c r="S1015">
        <f t="shared" si="1022"/>
        <v>-425.26645717785982</v>
      </c>
      <c r="T1015">
        <f t="shared" si="1023"/>
        <v>-0.42526645717785982</v>
      </c>
    </row>
    <row r="1016" spans="1:20" x14ac:dyDescent="0.25">
      <c r="A1016" s="5">
        <v>43577</v>
      </c>
      <c r="B1016">
        <v>5.62E-2</v>
      </c>
      <c r="C1016">
        <v>6.1010000000000002E-2</v>
      </c>
      <c r="D1016">
        <v>5.339E-2</v>
      </c>
      <c r="E1016">
        <v>5.5899999999999998E-2</v>
      </c>
      <c r="F1016">
        <v>17109820.5</v>
      </c>
      <c r="G1016">
        <v>0</v>
      </c>
      <c r="L1016" t="s">
        <v>8</v>
      </c>
      <c r="M1016" t="s">
        <v>7</v>
      </c>
      <c r="N1016" t="s">
        <v>7</v>
      </c>
      <c r="P1016">
        <f t="shared" si="1019"/>
        <v>-0.34120734908136541</v>
      </c>
      <c r="Q1016">
        <f t="shared" si="1020"/>
        <v>-5837996.4960630024</v>
      </c>
      <c r="R1016">
        <f t="shared" si="1021"/>
        <v>-28571968.953500256</v>
      </c>
      <c r="S1016">
        <f t="shared" si="1022"/>
        <v>-285.71968953500254</v>
      </c>
      <c r="T1016">
        <f t="shared" si="1023"/>
        <v>-0.28571968953500254</v>
      </c>
    </row>
    <row r="1017" spans="1:20" x14ac:dyDescent="0.25">
      <c r="A1017" s="5">
        <v>43576</v>
      </c>
      <c r="B1017">
        <v>6.386E-2</v>
      </c>
      <c r="C1017">
        <v>6.386E-2</v>
      </c>
      <c r="D1017">
        <v>5.0999999999999997E-2</v>
      </c>
      <c r="E1017">
        <v>5.5820000000000002E-2</v>
      </c>
      <c r="F1017">
        <v>21355483.300000001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-0.25038880248833539</v>
      </c>
      <c r="Q1017">
        <f t="shared" si="1020"/>
        <v>-5347173.890046645</v>
      </c>
      <c r="R1017">
        <f t="shared" si="1021"/>
        <v>-22733972.457437254</v>
      </c>
      <c r="S1017">
        <f t="shared" si="1022"/>
        <v>-227.33972457437255</v>
      </c>
      <c r="T1017">
        <f t="shared" si="1023"/>
        <v>-0.22733972457437254</v>
      </c>
    </row>
    <row r="1018" spans="1:20" x14ac:dyDescent="0.25">
      <c r="A1018" s="5">
        <v>43575</v>
      </c>
      <c r="B1018">
        <v>6.3710000000000003E-2</v>
      </c>
      <c r="C1018">
        <v>6.9000000000000006E-2</v>
      </c>
      <c r="D1018">
        <v>6.0179999999999997E-2</v>
      </c>
      <c r="E1018">
        <v>6.3850000000000004E-2</v>
      </c>
      <c r="F1018">
        <v>20937675.5</v>
      </c>
      <c r="G1018">
        <v>0</v>
      </c>
      <c r="L1018" t="s">
        <v>7</v>
      </c>
      <c r="M1018" t="s">
        <v>7</v>
      </c>
      <c r="N1018" t="s">
        <v>7</v>
      </c>
      <c r="P1018">
        <f t="shared" si="1019"/>
        <v>-0.16780045351473852</v>
      </c>
      <c r="Q1018">
        <f t="shared" si="1020"/>
        <v>-3513351.4444444296</v>
      </c>
      <c r="R1018">
        <f t="shared" si="1021"/>
        <v>-17386798.56739061</v>
      </c>
      <c r="S1018">
        <f t="shared" si="1022"/>
        <v>-173.86798567390611</v>
      </c>
      <c r="T1018">
        <f t="shared" si="1023"/>
        <v>-0.1738679856739061</v>
      </c>
    </row>
    <row r="1019" spans="1:20" x14ac:dyDescent="0.25">
      <c r="A1019" s="5">
        <v>43574</v>
      </c>
      <c r="B1019">
        <v>8.5000000000000006E-2</v>
      </c>
      <c r="C1019">
        <v>0.10199999999999999</v>
      </c>
      <c r="D1019">
        <v>6.3170000000000004E-2</v>
      </c>
      <c r="E1019">
        <v>6.3719999999999999E-2</v>
      </c>
      <c r="F1019">
        <v>14277920.800000001</v>
      </c>
      <c r="G1019">
        <v>0</v>
      </c>
      <c r="P1019">
        <f t="shared" si="1019"/>
        <v>-0.97167138810198328</v>
      </c>
      <c r="Q1019">
        <f t="shared" si="1020"/>
        <v>-13873447.12294618</v>
      </c>
      <c r="R1019">
        <f t="shared" si="1021"/>
        <v>-13873447.12294618</v>
      </c>
      <c r="S1019">
        <f t="shared" si="1022"/>
        <v>-138.7344712294618</v>
      </c>
      <c r="T1019">
        <f t="shared" si="1023"/>
        <v>-0.13873447122946181</v>
      </c>
    </row>
    <row r="1020" spans="1:20" x14ac:dyDescent="0.25">
      <c r="A1020" s="5"/>
      <c r="C1020"/>
      <c r="D1020"/>
    </row>
    <row r="1021" spans="1:20" x14ac:dyDescent="0.25">
      <c r="A1021" s="5"/>
      <c r="C1021"/>
      <c r="D1021"/>
    </row>
    <row r="1022" spans="1:20" x14ac:dyDescent="0.25">
      <c r="A1022" s="5"/>
      <c r="C1022"/>
      <c r="D1022"/>
    </row>
    <row r="1023" spans="1:20" x14ac:dyDescent="0.25">
      <c r="A1023" s="5"/>
      <c r="C1023"/>
      <c r="D1023"/>
    </row>
    <row r="1024" spans="1:20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TF759" sqref="TF759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$A$758</v>
      </c>
      <c r="D111" s="1" t="str">
        <f>ADDRESS(C121-1,D121,1,1)</f>
        <v>$TF$758</v>
      </c>
      <c r="E111"/>
    </row>
    <row r="112" spans="1:5" x14ac:dyDescent="0.25">
      <c r="A112" s="7">
        <v>12164.144957890772</v>
      </c>
      <c r="C112" s="1" t="str">
        <f>ADDRESS(C121,1,1,1)</f>
        <v>$A$759</v>
      </c>
      <c r="D112" s="1" t="str">
        <f>ADDRESS(C121,D121-1,1,1)</f>
        <v>$TE$759</v>
      </c>
      <c r="E112"/>
    </row>
    <row r="113" spans="1:5" x14ac:dyDescent="0.25">
      <c r="A113" s="7">
        <v>11925.63231165762</v>
      </c>
      <c r="C113" s="1" t="str">
        <f>ADDRESS(C121+1,1,1,1)</f>
        <v>$A$760</v>
      </c>
      <c r="D113" s="1" t="str">
        <f>ADDRESS(C121-1,D121+1,1,1)</f>
        <v>$TG$758</v>
      </c>
    </row>
    <row r="114" spans="1:5" x14ac:dyDescent="0.25">
      <c r="A114" s="7">
        <v>11691.796383978059</v>
      </c>
      <c r="C114" s="1" t="str">
        <f>ADDRESS(C121,D121,1,1)</f>
        <v>$TF$759</v>
      </c>
      <c r="D114" s="1" t="str">
        <f>ADDRESS(C121+1,D121+1,1,1)</f>
        <v>$TG$760</v>
      </c>
    </row>
    <row r="115" spans="1:5" x14ac:dyDescent="0.25">
      <c r="A115" s="7">
        <v>11462.545474488292</v>
      </c>
      <c r="C115" s="1" t="str">
        <f>ADDRESS(C121+1,D121,1,1)</f>
        <v>$TF$760</v>
      </c>
    </row>
    <row r="116" spans="1:5" x14ac:dyDescent="0.25">
      <c r="A116" s="7">
        <v>11237.789680870874</v>
      </c>
      <c r="C116" s="1">
        <f>C117-1</f>
        <v>758</v>
      </c>
    </row>
    <row r="117" spans="1:5" x14ac:dyDescent="0.25">
      <c r="A117" s="7">
        <v>11017.440863598895</v>
      </c>
      <c r="C117" s="1">
        <f>C121</f>
        <v>759</v>
      </c>
      <c r="D117" s="1">
        <f>D121</f>
        <v>526</v>
      </c>
    </row>
    <row r="118" spans="1:5" x14ac:dyDescent="0.25">
      <c r="A118" s="7">
        <v>10801.412611371465</v>
      </c>
      <c r="C118" s="1">
        <f>C117+1</f>
        <v>760</v>
      </c>
      <c r="D118" s="1">
        <f>D117+1</f>
        <v>527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759</v>
      </c>
      <c r="D121" s="19">
        <v>526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R759</v>
      </c>
      <c r="D123" s="1" t="str">
        <f>"C"&amp;D121</f>
        <v>C526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3.3171908360826938E-2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5" x14ac:dyDescent="0.25">
      <c r="A561" s="7">
        <v>1.6734181143540252</v>
      </c>
      <c r="B561"/>
      <c r="C561"/>
      <c r="D561"/>
      <c r="E561"/>
    </row>
    <row r="562" spans="1:5" x14ac:dyDescent="0.25">
      <c r="A562" s="7">
        <v>1.6406059944647307</v>
      </c>
      <c r="B562"/>
      <c r="C562"/>
      <c r="D562"/>
      <c r="E562"/>
    </row>
    <row r="563" spans="1:5" x14ac:dyDescent="0.25">
      <c r="A563" s="7">
        <v>1.6084372494752261</v>
      </c>
      <c r="B563"/>
      <c r="C563"/>
      <c r="D563"/>
      <c r="E563"/>
    </row>
    <row r="564" spans="1:5" x14ac:dyDescent="0.25">
      <c r="A564" s="7">
        <v>1.5768992641913981</v>
      </c>
      <c r="B564"/>
      <c r="C564"/>
      <c r="D564"/>
      <c r="E564"/>
    </row>
    <row r="565" spans="1:5" x14ac:dyDescent="0.25">
      <c r="A565" s="7">
        <v>1.5459796707758806</v>
      </c>
      <c r="B565"/>
      <c r="C565"/>
      <c r="D565"/>
      <c r="E565"/>
    </row>
    <row r="566" spans="1:5" x14ac:dyDescent="0.25">
      <c r="A566" s="7">
        <v>1.5156663438979221</v>
      </c>
      <c r="B566"/>
      <c r="C566"/>
      <c r="D566"/>
      <c r="E566"/>
    </row>
    <row r="567" spans="1:5" x14ac:dyDescent="0.25">
      <c r="A567" s="7">
        <v>1.4859473959783549</v>
      </c>
      <c r="B567"/>
      <c r="C567"/>
      <c r="D567"/>
      <c r="E567"/>
    </row>
    <row r="568" spans="1:5" x14ac:dyDescent="0.25">
      <c r="A568" s="7">
        <v>1.4568111725277988</v>
      </c>
      <c r="B568"/>
      <c r="C568"/>
      <c r="D568"/>
      <c r="E568"/>
    </row>
    <row r="569" spans="1:5" x14ac:dyDescent="0.25">
      <c r="A569" s="7">
        <v>1.4282462475762734</v>
      </c>
      <c r="B569"/>
      <c r="C569"/>
      <c r="D569"/>
      <c r="E569"/>
    </row>
    <row r="570" spans="1:5" x14ac:dyDescent="0.25">
      <c r="A570" s="7">
        <v>1.4002414191924248</v>
      </c>
      <c r="B570"/>
      <c r="C570"/>
      <c r="D570"/>
      <c r="E570"/>
    </row>
    <row r="571" spans="1:5" x14ac:dyDescent="0.25">
      <c r="A571" s="7">
        <v>1.3727857050906125</v>
      </c>
      <c r="B571"/>
      <c r="C571"/>
      <c r="D571"/>
      <c r="E571"/>
    </row>
    <row r="572" spans="1:5" x14ac:dyDescent="0.25">
      <c r="A572" s="7">
        <v>1.3458683383241299</v>
      </c>
      <c r="B572"/>
      <c r="C572"/>
      <c r="D572"/>
      <c r="E572"/>
    </row>
    <row r="573" spans="1:5" x14ac:dyDescent="0.25">
      <c r="A573" s="7">
        <v>1.3194787630628724</v>
      </c>
      <c r="B573"/>
      <c r="C573"/>
      <c r="D573"/>
      <c r="E573"/>
    </row>
    <row r="574" spans="1:5" x14ac:dyDescent="0.25">
      <c r="A574" s="7">
        <v>1.2936066304537963</v>
      </c>
      <c r="B574"/>
      <c r="C574"/>
      <c r="D574"/>
      <c r="E574"/>
    </row>
    <row r="575" spans="1:5" x14ac:dyDescent="0.25">
      <c r="A575" s="7">
        <v>1.2682417945625455</v>
      </c>
      <c r="B575"/>
      <c r="C575"/>
      <c r="D575"/>
      <c r="E575"/>
    </row>
    <row r="576" spans="1:5" x14ac:dyDescent="0.25">
      <c r="A576" s="7">
        <v>1.2433743083946525</v>
      </c>
      <c r="B576"/>
      <c r="C576"/>
      <c r="D576"/>
      <c r="E576"/>
    </row>
    <row r="577" spans="1:6" x14ac:dyDescent="0.25">
      <c r="A577" s="7">
        <v>1.2189944199947573</v>
      </c>
      <c r="B577"/>
      <c r="C577"/>
      <c r="D577"/>
      <c r="E577"/>
    </row>
    <row r="578" spans="1:6" x14ac:dyDescent="0.25">
      <c r="A578" s="7">
        <v>1.1950925686223111</v>
      </c>
      <c r="B578"/>
      <c r="C578"/>
      <c r="D578"/>
      <c r="E578"/>
    </row>
    <row r="579" spans="1:6" x14ac:dyDescent="0.25">
      <c r="A579" s="7">
        <v>1.1716593810022657</v>
      </c>
      <c r="B579"/>
      <c r="C579"/>
      <c r="D579"/>
      <c r="E579"/>
    </row>
    <row r="580" spans="1:6" x14ac:dyDescent="0.25">
      <c r="A580" s="7">
        <v>1.14868566764928</v>
      </c>
      <c r="B580"/>
      <c r="C580"/>
      <c r="D580"/>
      <c r="E580"/>
    </row>
    <row r="581" spans="1:6" x14ac:dyDescent="0.25">
      <c r="A581" s="7">
        <v>1.1261624192640001</v>
      </c>
      <c r="B581"/>
      <c r="C581"/>
      <c r="D581"/>
      <c r="E581"/>
    </row>
    <row r="582" spans="1:6" x14ac:dyDescent="0.25">
      <c r="A582" s="7">
        <v>1.1040808032</v>
      </c>
      <c r="B582"/>
      <c r="C582"/>
      <c r="D582"/>
      <c r="E582"/>
    </row>
    <row r="583" spans="1:6" x14ac:dyDescent="0.25">
      <c r="A583" s="7">
        <v>1.08243216</v>
      </c>
      <c r="B583"/>
      <c r="C583"/>
      <c r="D583"/>
      <c r="E583"/>
    </row>
    <row r="584" spans="1:6" x14ac:dyDescent="0.25">
      <c r="A584" s="7">
        <v>1.0612079999999999</v>
      </c>
      <c r="B584"/>
      <c r="C584"/>
      <c r="D584"/>
      <c r="E584"/>
    </row>
    <row r="585" spans="1:6" x14ac:dyDescent="0.25">
      <c r="A585" s="7">
        <v>1.0404</v>
      </c>
      <c r="B585"/>
      <c r="C585"/>
      <c r="D585"/>
      <c r="E585"/>
    </row>
    <row r="586" spans="1:6" x14ac:dyDescent="0.25">
      <c r="A586" s="7">
        <v>1.02</v>
      </c>
      <c r="B586"/>
      <c r="C586"/>
      <c r="D586"/>
      <c r="E586"/>
    </row>
    <row r="587" spans="1:6" x14ac:dyDescent="0.25">
      <c r="A587" s="7">
        <v>1</v>
      </c>
      <c r="B587"/>
      <c r="C587"/>
      <c r="D587"/>
      <c r="E587" s="29" t="s">
        <v>8</v>
      </c>
    </row>
    <row r="588" spans="1:6" x14ac:dyDescent="0.25">
      <c r="A588" s="7">
        <v>0.98039215686274506</v>
      </c>
      <c r="B588"/>
      <c r="C588"/>
      <c r="D588"/>
      <c r="E588"/>
      <c r="F588" s="27" t="s">
        <v>7</v>
      </c>
    </row>
    <row r="589" spans="1:6" x14ac:dyDescent="0.25">
      <c r="A589" s="7">
        <v>0.96116878123798544</v>
      </c>
      <c r="B589"/>
      <c r="C589"/>
      <c r="D589"/>
      <c r="E589"/>
      <c r="F589" s="27" t="s">
        <v>7</v>
      </c>
    </row>
    <row r="590" spans="1:6" x14ac:dyDescent="0.25">
      <c r="A590" s="7">
        <v>0.94232233454704462</v>
      </c>
      <c r="B590"/>
      <c r="C590"/>
      <c r="D590"/>
      <c r="E590"/>
      <c r="F590" s="27" t="s">
        <v>7</v>
      </c>
    </row>
    <row r="591" spans="1:6" x14ac:dyDescent="0.25">
      <c r="A591" s="7">
        <v>0.92384542602651432</v>
      </c>
      <c r="B591"/>
      <c r="C591"/>
      <c r="D591"/>
      <c r="E591"/>
      <c r="F591" s="27" t="s">
        <v>7</v>
      </c>
    </row>
    <row r="592" spans="1:6" x14ac:dyDescent="0.25">
      <c r="A592" s="7">
        <v>0.90573080982991594</v>
      </c>
      <c r="B592"/>
      <c r="C592"/>
      <c r="D592"/>
      <c r="E592"/>
      <c r="F592" s="27" t="s">
        <v>7</v>
      </c>
    </row>
    <row r="593" spans="1:6" x14ac:dyDescent="0.25">
      <c r="A593" s="7">
        <v>0.8879713821861922</v>
      </c>
      <c r="B593"/>
      <c r="C593"/>
      <c r="D593"/>
      <c r="E593"/>
      <c r="F593" s="27" t="s">
        <v>7</v>
      </c>
    </row>
    <row r="594" spans="1:6" x14ac:dyDescent="0.25">
      <c r="A594" s="7">
        <v>0.87056017861391399</v>
      </c>
      <c r="B594"/>
      <c r="C594"/>
      <c r="D594"/>
      <c r="E594"/>
      <c r="F594" s="27" t="s">
        <v>7</v>
      </c>
    </row>
    <row r="595" spans="1:6" x14ac:dyDescent="0.25">
      <c r="A595" s="7">
        <v>0.85349037119011173</v>
      </c>
      <c r="B595"/>
      <c r="C595"/>
      <c r="D595"/>
      <c r="E595"/>
      <c r="F595" s="27" t="s">
        <v>7</v>
      </c>
    </row>
    <row r="596" spans="1:6" x14ac:dyDescent="0.25">
      <c r="A596" s="7">
        <v>0.83675526587265858</v>
      </c>
      <c r="B596"/>
      <c r="C596"/>
      <c r="D596"/>
      <c r="E596"/>
      <c r="F596" s="27" t="s">
        <v>7</v>
      </c>
    </row>
    <row r="597" spans="1:6" x14ac:dyDescent="0.25">
      <c r="A597" s="7">
        <v>0.82034829987515545</v>
      </c>
      <c r="B597"/>
      <c r="C597"/>
      <c r="D597"/>
      <c r="E597"/>
      <c r="F597" s="27" t="s">
        <v>7</v>
      </c>
    </row>
    <row r="598" spans="1:6" x14ac:dyDescent="0.25">
      <c r="A598" s="7">
        <v>0.80426303909328967</v>
      </c>
      <c r="B598"/>
      <c r="C598"/>
      <c r="D598"/>
      <c r="E598"/>
      <c r="F598" s="27" t="s">
        <v>7</v>
      </c>
    </row>
    <row r="599" spans="1:6" x14ac:dyDescent="0.25">
      <c r="A599" s="7">
        <v>0.78849317558165644</v>
      </c>
      <c r="B599"/>
      <c r="C599"/>
      <c r="D599"/>
      <c r="E599"/>
      <c r="F599" s="27" t="s">
        <v>7</v>
      </c>
    </row>
    <row r="600" spans="1:6" x14ac:dyDescent="0.25">
      <c r="A600" s="7">
        <v>0.77303252508005538</v>
      </c>
      <c r="B600"/>
      <c r="C600"/>
      <c r="D600"/>
      <c r="E600"/>
      <c r="F600" s="27" t="s">
        <v>7</v>
      </c>
    </row>
    <row r="601" spans="1:6" x14ac:dyDescent="0.25">
      <c r="A601" s="7">
        <v>0.75787502458828959</v>
      </c>
      <c r="B601"/>
      <c r="C601"/>
      <c r="D601"/>
      <c r="E601"/>
      <c r="F601" s="27" t="s">
        <v>7</v>
      </c>
    </row>
    <row r="602" spans="1:6" x14ac:dyDescent="0.25">
      <c r="A602" s="7">
        <v>0.74301472998851925</v>
      </c>
      <c r="B602"/>
      <c r="C602"/>
      <c r="D602"/>
      <c r="E602"/>
      <c r="F602" s="27" t="s">
        <v>7</v>
      </c>
    </row>
    <row r="603" spans="1:6" x14ac:dyDescent="0.25">
      <c r="A603" s="7">
        <v>0.72844581371423456</v>
      </c>
      <c r="B603"/>
      <c r="C603"/>
      <c r="D603"/>
      <c r="E603"/>
      <c r="F603" s="27" t="s">
        <v>7</v>
      </c>
    </row>
    <row r="604" spans="1:6" x14ac:dyDescent="0.25">
      <c r="A604" s="7">
        <v>0.71416256246493581</v>
      </c>
      <c r="B604"/>
      <c r="C604"/>
      <c r="D604"/>
      <c r="E604"/>
      <c r="F604" s="27" t="s">
        <v>7</v>
      </c>
    </row>
    <row r="605" spans="1:6" x14ac:dyDescent="0.25">
      <c r="A605" s="7">
        <v>0.7001593749656233</v>
      </c>
      <c r="B605"/>
      <c r="C605"/>
      <c r="D605"/>
      <c r="E605"/>
      <c r="F605" s="27" t="s">
        <v>7</v>
      </c>
    </row>
    <row r="606" spans="1:6" x14ac:dyDescent="0.25">
      <c r="A606" s="7">
        <v>0.68643075977021883</v>
      </c>
      <c r="B606"/>
      <c r="C606"/>
      <c r="D606"/>
      <c r="E606"/>
      <c r="F606" s="27" t="s">
        <v>7</v>
      </c>
    </row>
    <row r="607" spans="1:6" x14ac:dyDescent="0.25">
      <c r="A607" s="7">
        <v>0.67297133310805768</v>
      </c>
      <c r="B607"/>
      <c r="C607"/>
      <c r="D607"/>
      <c r="E607"/>
      <c r="F607" s="27" t="s">
        <v>7</v>
      </c>
    </row>
    <row r="608" spans="1:6" x14ac:dyDescent="0.25">
      <c r="A608" s="7">
        <v>0.65977581677260566</v>
      </c>
      <c r="B608"/>
      <c r="C608"/>
      <c r="D608"/>
      <c r="E608"/>
      <c r="F608" s="27" t="s">
        <v>7</v>
      </c>
    </row>
    <row r="609" spans="1:6" x14ac:dyDescent="0.25">
      <c r="A609" s="7">
        <v>0.64683903605157422</v>
      </c>
      <c r="B609"/>
      <c r="C609"/>
      <c r="D609"/>
      <c r="E609"/>
      <c r="F609" s="27" t="s">
        <v>7</v>
      </c>
    </row>
    <row r="610" spans="1:6" x14ac:dyDescent="0.25">
      <c r="A610" s="7">
        <v>0.63415591769762181</v>
      </c>
      <c r="B610"/>
      <c r="C610"/>
      <c r="D610"/>
      <c r="E610"/>
      <c r="F610" s="27" t="s">
        <v>7</v>
      </c>
    </row>
    <row r="611" spans="1:6" x14ac:dyDescent="0.25">
      <c r="A611" s="7">
        <v>0.62172148793884496</v>
      </c>
      <c r="B611"/>
      <c r="C611"/>
      <c r="D611"/>
      <c r="E611"/>
      <c r="F611" s="27" t="s">
        <v>7</v>
      </c>
    </row>
    <row r="612" spans="1:6" x14ac:dyDescent="0.25">
      <c r="A612" s="7">
        <v>0.60953087052827937</v>
      </c>
      <c r="B612"/>
      <c r="C612"/>
      <c r="D612"/>
      <c r="E612"/>
      <c r="F612" s="27" t="s">
        <v>7</v>
      </c>
    </row>
    <row r="613" spans="1:6" x14ac:dyDescent="0.25">
      <c r="A613" s="7">
        <v>0.59757928483164646</v>
      </c>
      <c r="B613"/>
      <c r="C613"/>
      <c r="D613"/>
      <c r="E613"/>
      <c r="F613" s="27" t="s">
        <v>7</v>
      </c>
    </row>
    <row r="614" spans="1:6" x14ac:dyDescent="0.25">
      <c r="A614" s="7">
        <v>0.58586204395259456</v>
      </c>
      <c r="B614"/>
      <c r="C614"/>
      <c r="D614"/>
      <c r="E614"/>
      <c r="F614" s="27" t="s">
        <v>7</v>
      </c>
    </row>
    <row r="615" spans="1:6" x14ac:dyDescent="0.25">
      <c r="A615" s="7">
        <v>0.57437455289470052</v>
      </c>
      <c r="B615"/>
      <c r="C615"/>
      <c r="D615"/>
      <c r="E615"/>
      <c r="F615" s="27" t="s">
        <v>7</v>
      </c>
    </row>
    <row r="616" spans="1:6" x14ac:dyDescent="0.25">
      <c r="A616" s="7">
        <v>0.56311230675951029</v>
      </c>
      <c r="B616"/>
      <c r="C616"/>
      <c r="D616"/>
      <c r="E616"/>
      <c r="F616" s="27" t="s">
        <v>7</v>
      </c>
    </row>
    <row r="617" spans="1:6" x14ac:dyDescent="0.25">
      <c r="A617" s="7">
        <v>0.55207088897991208</v>
      </c>
      <c r="B617"/>
      <c r="C617"/>
      <c r="D617"/>
      <c r="E617"/>
      <c r="F617" s="27" t="s">
        <v>7</v>
      </c>
    </row>
    <row r="618" spans="1:6" x14ac:dyDescent="0.25">
      <c r="A618" s="7">
        <v>0.54124596958814908</v>
      </c>
      <c r="B618"/>
      <c r="C618"/>
      <c r="D618"/>
      <c r="E618"/>
      <c r="F618" s="27" t="s">
        <v>7</v>
      </c>
    </row>
    <row r="619" spans="1:6" x14ac:dyDescent="0.25">
      <c r="A619" s="7">
        <v>0.53063330351779314</v>
      </c>
      <c r="B619"/>
      <c r="C619"/>
      <c r="D619"/>
      <c r="E619"/>
      <c r="F619" s="27" t="s">
        <v>7</v>
      </c>
    </row>
    <row r="620" spans="1:6" x14ac:dyDescent="0.25">
      <c r="A620" s="7">
        <v>0.52022872893901284</v>
      </c>
      <c r="B620"/>
      <c r="C620"/>
      <c r="D620"/>
      <c r="E620"/>
      <c r="F620" s="27" t="s">
        <v>7</v>
      </c>
    </row>
    <row r="621" spans="1:6" x14ac:dyDescent="0.25">
      <c r="A621" s="7">
        <v>0.51002816562648323</v>
      </c>
      <c r="B621"/>
      <c r="C621"/>
      <c r="D621"/>
      <c r="E621"/>
      <c r="F621" s="27" t="s">
        <v>7</v>
      </c>
    </row>
    <row r="622" spans="1:6" x14ac:dyDescent="0.25">
      <c r="A622" s="7">
        <v>0.50002761335929735</v>
      </c>
      <c r="B622"/>
      <c r="C622"/>
      <c r="D622"/>
      <c r="E622"/>
      <c r="F622" s="27" t="s">
        <v>7</v>
      </c>
    </row>
    <row r="623" spans="1:6" x14ac:dyDescent="0.25">
      <c r="A623" s="7">
        <v>0.49022315035225228</v>
      </c>
      <c r="B623"/>
      <c r="C623"/>
      <c r="D623"/>
      <c r="E623"/>
      <c r="F623" s="27" t="s">
        <v>7</v>
      </c>
    </row>
    <row r="624" spans="1:6" x14ac:dyDescent="0.25">
      <c r="A624" s="7">
        <v>0.48061093171789437</v>
      </c>
      <c r="B624"/>
      <c r="C624"/>
      <c r="D624"/>
      <c r="E624"/>
      <c r="F624" s="27" t="s">
        <v>7</v>
      </c>
    </row>
    <row r="625" spans="1:6" x14ac:dyDescent="0.25">
      <c r="A625" s="7">
        <v>0.47118718795871994</v>
      </c>
      <c r="B625"/>
      <c r="C625"/>
      <c r="D625"/>
      <c r="E625"/>
      <c r="F625" s="27" t="s">
        <v>7</v>
      </c>
    </row>
    <row r="626" spans="1:6" x14ac:dyDescent="0.25">
      <c r="A626" s="7">
        <v>0.46194822348894116</v>
      </c>
      <c r="B626"/>
      <c r="C626"/>
      <c r="D626"/>
      <c r="E626"/>
      <c r="F626" s="27" t="s">
        <v>7</v>
      </c>
    </row>
    <row r="627" spans="1:6" x14ac:dyDescent="0.25">
      <c r="A627" s="7">
        <v>0.45289041518523643</v>
      </c>
      <c r="B627"/>
      <c r="C627"/>
      <c r="D627"/>
      <c r="E627"/>
      <c r="F627" s="27" t="s">
        <v>7</v>
      </c>
    </row>
    <row r="628" spans="1:6" x14ac:dyDescent="0.25">
      <c r="A628" s="7">
        <v>0.44401021096591808</v>
      </c>
      <c r="B628"/>
      <c r="C628"/>
      <c r="D628"/>
      <c r="E628"/>
      <c r="F628" s="27" t="s">
        <v>7</v>
      </c>
    </row>
    <row r="629" spans="1:6" x14ac:dyDescent="0.25">
      <c r="A629" s="7">
        <v>0.4353041283979589</v>
      </c>
      <c r="B629"/>
      <c r="C629"/>
      <c r="D629"/>
      <c r="E629"/>
      <c r="F629" s="27" t="s">
        <v>7</v>
      </c>
    </row>
    <row r="630" spans="1:6" x14ac:dyDescent="0.25">
      <c r="A630" s="7">
        <v>0.4267687533313323</v>
      </c>
      <c r="B630"/>
      <c r="C630"/>
      <c r="D630"/>
      <c r="E630"/>
      <c r="F630" s="27" t="s">
        <v>7</v>
      </c>
    </row>
    <row r="631" spans="1:6" x14ac:dyDescent="0.25">
      <c r="A631" s="7">
        <v>0.41840073856012971</v>
      </c>
      <c r="B631"/>
      <c r="C631"/>
      <c r="D631"/>
      <c r="E631"/>
      <c r="F631" s="27" t="s">
        <v>7</v>
      </c>
    </row>
    <row r="632" spans="1:6" x14ac:dyDescent="0.25">
      <c r="A632" s="7">
        <v>0.41019680250993112</v>
      </c>
      <c r="B632"/>
      <c r="C632"/>
      <c r="D632"/>
      <c r="E632"/>
      <c r="F632" s="27" t="s">
        <v>7</v>
      </c>
    </row>
    <row r="633" spans="1:6" x14ac:dyDescent="0.25">
      <c r="A633" s="7">
        <v>0.40215372795091286</v>
      </c>
      <c r="B633"/>
      <c r="C633"/>
      <c r="D633"/>
      <c r="E633"/>
      <c r="F633" s="27" t="s">
        <v>7</v>
      </c>
    </row>
    <row r="634" spans="1:6" x14ac:dyDescent="0.25">
      <c r="A634" s="7">
        <v>0.39426836073618904</v>
      </c>
      <c r="B634"/>
      <c r="C634"/>
      <c r="D634"/>
      <c r="E634"/>
      <c r="F634" s="27" t="s">
        <v>7</v>
      </c>
    </row>
    <row r="635" spans="1:6" x14ac:dyDescent="0.25">
      <c r="A635" s="7">
        <v>0.38653760856489122</v>
      </c>
      <c r="B635"/>
      <c r="C635"/>
      <c r="D635"/>
      <c r="E635"/>
      <c r="F635" s="27" t="s">
        <v>7</v>
      </c>
    </row>
    <row r="636" spans="1:6" x14ac:dyDescent="0.25">
      <c r="A636" s="7">
        <v>0.37895843976950117</v>
      </c>
      <c r="B636"/>
      <c r="C636"/>
      <c r="D636"/>
      <c r="E636"/>
      <c r="F636" s="27" t="s">
        <v>7</v>
      </c>
    </row>
    <row r="637" spans="1:6" x14ac:dyDescent="0.25">
      <c r="A637" s="7">
        <v>0.37152788212696197</v>
      </c>
      <c r="B637"/>
      <c r="C637"/>
      <c r="D637"/>
      <c r="E637"/>
      <c r="F637" s="27" t="s">
        <v>7</v>
      </c>
    </row>
    <row r="638" spans="1:6" x14ac:dyDescent="0.25">
      <c r="A638" s="7">
        <v>0.36424302169310002</v>
      </c>
      <c r="B638"/>
      <c r="C638"/>
      <c r="D638"/>
      <c r="E638"/>
      <c r="F638" s="27" t="s">
        <v>7</v>
      </c>
    </row>
    <row r="639" spans="1:6" x14ac:dyDescent="0.25">
      <c r="A639" s="7">
        <v>0.35710100165990194</v>
      </c>
      <c r="B639"/>
      <c r="C639"/>
      <c r="D639"/>
      <c r="E639"/>
      <c r="F639" s="27" t="s">
        <v>7</v>
      </c>
    </row>
    <row r="640" spans="1:6" x14ac:dyDescent="0.25">
      <c r="A640" s="7">
        <v>0.35009902123519804</v>
      </c>
      <c r="B640"/>
      <c r="C640"/>
      <c r="D640"/>
      <c r="E640"/>
      <c r="F640" s="27" t="s">
        <v>7</v>
      </c>
    </row>
    <row r="641" spans="1:6" x14ac:dyDescent="0.25">
      <c r="A641" s="7">
        <v>0.34323433454431179</v>
      </c>
      <c r="B641"/>
      <c r="C641"/>
      <c r="D641"/>
      <c r="E641"/>
      <c r="F641" s="27" t="s">
        <v>7</v>
      </c>
    </row>
    <row r="642" spans="1:6" x14ac:dyDescent="0.25">
      <c r="A642" s="7">
        <v>0.33650424955324681</v>
      </c>
      <c r="B642"/>
      <c r="C642"/>
      <c r="D642"/>
      <c r="E642"/>
      <c r="F642" s="27" t="s">
        <v>7</v>
      </c>
    </row>
    <row r="643" spans="1:6" x14ac:dyDescent="0.25">
      <c r="A643" s="7">
        <v>0.3299061270129871</v>
      </c>
      <c r="B643"/>
      <c r="C643"/>
      <c r="D643"/>
      <c r="E643"/>
      <c r="F643" s="27" t="s">
        <v>7</v>
      </c>
    </row>
    <row r="644" spans="1:6" x14ac:dyDescent="0.25">
      <c r="A644" s="7">
        <v>0.32343737942449713</v>
      </c>
      <c r="B644"/>
      <c r="C644"/>
      <c r="D644"/>
      <c r="E644"/>
      <c r="F644" s="27" t="s">
        <v>7</v>
      </c>
    </row>
    <row r="645" spans="1:6" x14ac:dyDescent="0.25">
      <c r="A645" s="7">
        <v>0.31709547002401678</v>
      </c>
      <c r="B645"/>
      <c r="C645"/>
      <c r="D645"/>
      <c r="E645"/>
      <c r="F645" s="27" t="s">
        <v>7</v>
      </c>
    </row>
    <row r="646" spans="1:6" x14ac:dyDescent="0.25">
      <c r="A646" s="7">
        <v>0.31087791178825175</v>
      </c>
      <c r="B646"/>
      <c r="C646"/>
      <c r="D646"/>
      <c r="E646"/>
      <c r="F646" s="27" t="s">
        <v>7</v>
      </c>
    </row>
    <row r="647" spans="1:6" x14ac:dyDescent="0.25">
      <c r="A647" s="7">
        <v>0.30478226645907036</v>
      </c>
      <c r="B647"/>
      <c r="C647"/>
      <c r="D647"/>
      <c r="E647"/>
      <c r="F647" s="27" t="s">
        <v>7</v>
      </c>
    </row>
    <row r="648" spans="1:6" x14ac:dyDescent="0.25">
      <c r="A648" s="7">
        <v>0.29880614358732388</v>
      </c>
      <c r="B648"/>
      <c r="C648"/>
      <c r="D648"/>
      <c r="E648"/>
      <c r="F648" s="27" t="s">
        <v>7</v>
      </c>
    </row>
    <row r="649" spans="1:6" x14ac:dyDescent="0.25">
      <c r="A649" s="7">
        <v>0.2929471995954156</v>
      </c>
      <c r="B649"/>
      <c r="C649"/>
      <c r="D649"/>
      <c r="E649"/>
      <c r="F649" s="27" t="s">
        <v>7</v>
      </c>
    </row>
    <row r="650" spans="1:6" x14ac:dyDescent="0.25">
      <c r="A650" s="7">
        <v>0.28720313685825055</v>
      </c>
      <c r="B650"/>
      <c r="C650"/>
      <c r="D650"/>
      <c r="E650"/>
      <c r="F650" s="27" t="s">
        <v>7</v>
      </c>
    </row>
    <row r="651" spans="1:6" x14ac:dyDescent="0.25">
      <c r="A651" s="7">
        <v>0.28157170280220645</v>
      </c>
      <c r="B651"/>
      <c r="C651"/>
      <c r="D651"/>
      <c r="E651"/>
      <c r="F651" s="27" t="s">
        <v>7</v>
      </c>
    </row>
    <row r="652" spans="1:6" x14ac:dyDescent="0.25">
      <c r="A652" s="7">
        <v>0.27605068902177105</v>
      </c>
      <c r="B652"/>
      <c r="C652"/>
      <c r="D652"/>
      <c r="E652"/>
      <c r="F652" s="27" t="s">
        <v>7</v>
      </c>
    </row>
    <row r="653" spans="1:6" x14ac:dyDescent="0.25">
      <c r="A653" s="7">
        <v>0.27063793041350104</v>
      </c>
      <c r="B653"/>
      <c r="C653"/>
      <c r="D653"/>
      <c r="E653"/>
      <c r="F653" s="27" t="s">
        <v>7</v>
      </c>
    </row>
    <row r="654" spans="1:6" x14ac:dyDescent="0.25">
      <c r="A654" s="7">
        <v>0.26533130432696184</v>
      </c>
      <c r="B654"/>
      <c r="C654"/>
      <c r="D654"/>
      <c r="E654"/>
      <c r="F654" s="27" t="s">
        <v>7</v>
      </c>
    </row>
    <row r="655" spans="1:6" x14ac:dyDescent="0.25">
      <c r="A655" s="7">
        <v>0.26012872973231554</v>
      </c>
      <c r="B655"/>
      <c r="C655"/>
      <c r="D655"/>
      <c r="E655"/>
      <c r="F655" s="27" t="s">
        <v>7</v>
      </c>
    </row>
    <row r="656" spans="1:6" x14ac:dyDescent="0.25">
      <c r="A656" s="7">
        <v>0.25502816640423093</v>
      </c>
      <c r="B656"/>
      <c r="C656"/>
      <c r="D656"/>
      <c r="E656"/>
      <c r="F656" s="27" t="s">
        <v>7</v>
      </c>
    </row>
    <row r="657" spans="1:487" x14ac:dyDescent="0.25">
      <c r="A657" s="7">
        <v>0.25002761412179503</v>
      </c>
      <c r="B657"/>
      <c r="C657"/>
      <c r="D657"/>
      <c r="E657"/>
      <c r="F657" s="27" t="s">
        <v>7</v>
      </c>
    </row>
    <row r="658" spans="1:487" x14ac:dyDescent="0.25">
      <c r="A658" s="7">
        <v>0.24512511188411276</v>
      </c>
      <c r="B658"/>
      <c r="C658"/>
      <c r="D658"/>
      <c r="E658"/>
      <c r="F658" s="27" t="s">
        <v>7</v>
      </c>
    </row>
    <row r="659" spans="1:487" x14ac:dyDescent="0.25">
      <c r="A659" s="7">
        <v>0.24031873714128701</v>
      </c>
      <c r="B659"/>
      <c r="C659"/>
      <c r="D659"/>
      <c r="E659"/>
      <c r="F659" s="27" t="s">
        <v>7</v>
      </c>
    </row>
    <row r="660" spans="1:487" x14ac:dyDescent="0.25">
      <c r="A660" s="7">
        <v>0.23560660504047748</v>
      </c>
      <c r="B660"/>
      <c r="C660"/>
      <c r="D660"/>
      <c r="E660"/>
      <c r="F660" s="27" t="s">
        <v>7</v>
      </c>
    </row>
    <row r="661" spans="1:487" x14ac:dyDescent="0.25">
      <c r="A661" s="7">
        <v>0.23098686768674265</v>
      </c>
      <c r="B661"/>
      <c r="C661"/>
      <c r="D661"/>
      <c r="E661"/>
      <c r="F661" s="27" t="s">
        <v>7</v>
      </c>
    </row>
    <row r="662" spans="1:487" x14ac:dyDescent="0.25">
      <c r="A662" s="7">
        <v>0.22645771341837515</v>
      </c>
      <c r="B662"/>
      <c r="C662"/>
      <c r="D662"/>
      <c r="E662"/>
      <c r="F662" s="27" t="s">
        <v>7</v>
      </c>
    </row>
    <row r="663" spans="1:487" x14ac:dyDescent="0.25">
      <c r="A663" s="7">
        <v>0.22201736609644623</v>
      </c>
      <c r="B663"/>
      <c r="C663"/>
      <c r="D663"/>
      <c r="E663"/>
      <c r="F663" s="27" t="s">
        <v>7</v>
      </c>
    </row>
    <row r="664" spans="1:487" x14ac:dyDescent="0.25">
      <c r="A664" s="7">
        <v>0.21766408440828061</v>
      </c>
      <c r="B664"/>
      <c r="C664"/>
      <c r="D664"/>
      <c r="E664"/>
      <c r="F664" s="27" t="s">
        <v>7</v>
      </c>
    </row>
    <row r="665" spans="1:487" x14ac:dyDescent="0.25">
      <c r="A665" s="7">
        <v>0.21339616118458882</v>
      </c>
      <c r="B665"/>
      <c r="C665"/>
      <c r="D665"/>
      <c r="E665"/>
      <c r="F665" s="27" t="s">
        <v>7</v>
      </c>
    </row>
    <row r="666" spans="1:487" x14ac:dyDescent="0.25">
      <c r="A666" s="7">
        <v>0.20921192272998904</v>
      </c>
      <c r="B666"/>
      <c r="C666"/>
      <c r="D666"/>
      <c r="E666"/>
      <c r="F666" s="27" t="s">
        <v>7</v>
      </c>
    </row>
    <row r="667" spans="1:487" x14ac:dyDescent="0.25">
      <c r="A667" s="7">
        <v>0.20510972816665593</v>
      </c>
      <c r="B667"/>
      <c r="C667"/>
      <c r="D667"/>
      <c r="E667"/>
      <c r="F667" s="27" t="s">
        <v>7</v>
      </c>
    </row>
    <row r="668" spans="1:487" x14ac:dyDescent="0.25">
      <c r="A668" s="7">
        <v>0.20108796879083912</v>
      </c>
      <c r="B668"/>
      <c r="C668"/>
      <c r="D668"/>
      <c r="E668"/>
      <c r="F668" s="27" t="s">
        <v>7</v>
      </c>
    </row>
    <row r="669" spans="1:487" x14ac:dyDescent="0.25">
      <c r="A669" s="7">
        <v>0.19714506744199917</v>
      </c>
      <c r="B669"/>
      <c r="C669"/>
      <c r="D669"/>
      <c r="E669"/>
      <c r="F669" s="27" t="s">
        <v>7</v>
      </c>
      <c r="MQ669" s="27" t="s">
        <v>8</v>
      </c>
    </row>
    <row r="670" spans="1:487" x14ac:dyDescent="0.25">
      <c r="A670" s="7">
        <v>0.19327947788431293</v>
      </c>
      <c r="B670"/>
      <c r="C670"/>
      <c r="D670"/>
      <c r="E670"/>
      <c r="F670" s="27" t="s">
        <v>7</v>
      </c>
      <c r="MQ670" s="27" t="s">
        <v>8</v>
      </c>
      <c r="MR670" s="27" t="s">
        <v>7</v>
      </c>
    </row>
    <row r="671" spans="1:487" x14ac:dyDescent="0.25">
      <c r="A671" s="7">
        <v>0.18948968420030682</v>
      </c>
      <c r="B671"/>
      <c r="C671"/>
      <c r="D671"/>
      <c r="E671"/>
      <c r="F671" s="27" t="s">
        <v>7</v>
      </c>
      <c r="MQ671" s="27" t="s">
        <v>8</v>
      </c>
      <c r="MR671" s="27" t="s">
        <v>7</v>
      </c>
    </row>
    <row r="672" spans="1:487" x14ac:dyDescent="0.25">
      <c r="A672" s="7">
        <v>0.18577420019637925</v>
      </c>
      <c r="B672"/>
      <c r="C672"/>
      <c r="D672"/>
      <c r="E672"/>
      <c r="F672" s="27" t="s">
        <v>7</v>
      </c>
      <c r="MQ672" s="27" t="s">
        <v>8</v>
      </c>
      <c r="MR672" s="27" t="s">
        <v>7</v>
      </c>
      <c r="RS672" s="27" t="s">
        <v>8</v>
      </c>
    </row>
    <row r="673" spans="1:488" x14ac:dyDescent="0.25">
      <c r="A673" s="7">
        <v>0.18213156881997963</v>
      </c>
      <c r="B673"/>
      <c r="C673"/>
      <c r="D673"/>
      <c r="E673"/>
      <c r="F673" s="27" t="s">
        <v>7</v>
      </c>
      <c r="MQ673" s="27" t="s">
        <v>8</v>
      </c>
      <c r="MR673" s="27" t="s">
        <v>7</v>
      </c>
      <c r="MS673" s="27" t="s">
        <v>8</v>
      </c>
      <c r="RS673" s="27" t="s">
        <v>8</v>
      </c>
      <c r="RT673" s="27" t="s">
        <v>7</v>
      </c>
    </row>
    <row r="674" spans="1:488" x14ac:dyDescent="0.25">
      <c r="A674" s="7">
        <v>0.17856036158821534</v>
      </c>
      <c r="B674"/>
      <c r="C674"/>
      <c r="D674"/>
      <c r="E674"/>
      <c r="F674" s="27" t="s">
        <v>7</v>
      </c>
      <c r="MQ674" s="27" t="s">
        <v>8</v>
      </c>
      <c r="MR674" s="27" t="s">
        <v>7</v>
      </c>
      <c r="MS674" s="27" t="s">
        <v>8</v>
      </c>
      <c r="MT674" s="27" t="s">
        <v>7</v>
      </c>
      <c r="RS674" s="27" t="s">
        <v>8</v>
      </c>
      <c r="RT674" s="27" t="s">
        <v>7</v>
      </c>
    </row>
    <row r="675" spans="1:488" x14ac:dyDescent="0.25">
      <c r="A675" s="7">
        <v>0.17505917802766208</v>
      </c>
      <c r="B675"/>
      <c r="C675"/>
      <c r="D675"/>
      <c r="E675"/>
      <c r="F675" s="27" t="s">
        <v>7</v>
      </c>
      <c r="MQ675" s="27" t="s">
        <v>8</v>
      </c>
      <c r="MR675" s="27" t="s">
        <v>7</v>
      </c>
      <c r="MS675" s="27" t="s">
        <v>8</v>
      </c>
      <c r="MT675" s="27" t="s">
        <v>7</v>
      </c>
      <c r="RS675" s="27" t="s">
        <v>8</v>
      </c>
      <c r="RT675" s="27" t="s">
        <v>7</v>
      </c>
    </row>
    <row r="676" spans="1:488" x14ac:dyDescent="0.25">
      <c r="A676" s="7">
        <v>0.17162664512515888</v>
      </c>
      <c r="B676"/>
      <c r="C676"/>
      <c r="D676"/>
      <c r="E676"/>
      <c r="F676" s="27" t="s">
        <v>7</v>
      </c>
      <c r="MQ676" s="27" t="s">
        <v>8</v>
      </c>
      <c r="MR676" s="27" t="s">
        <v>7</v>
      </c>
      <c r="MS676" s="27" t="s">
        <v>8</v>
      </c>
      <c r="MT676" s="27" t="s">
        <v>7</v>
      </c>
      <c r="RS676" s="27" t="s">
        <v>8</v>
      </c>
      <c r="RT676" s="27" t="s">
        <v>7</v>
      </c>
    </row>
    <row r="677" spans="1:488" x14ac:dyDescent="0.25">
      <c r="A677" s="7">
        <v>0.16826141678937145</v>
      </c>
      <c r="B677"/>
      <c r="C677"/>
      <c r="D677"/>
      <c r="E677"/>
      <c r="F677" s="27" t="s">
        <v>7</v>
      </c>
      <c r="MQ677" s="27" t="s">
        <v>8</v>
      </c>
      <c r="MR677" s="27" t="s">
        <v>7</v>
      </c>
      <c r="MS677" s="27" t="s">
        <v>8</v>
      </c>
      <c r="MT677" s="27" t="s">
        <v>7</v>
      </c>
      <c r="MU677" s="27" t="s">
        <v>8</v>
      </c>
      <c r="RS677" s="27" t="s">
        <v>8</v>
      </c>
      <c r="RT677" s="27" t="s">
        <v>7</v>
      </c>
    </row>
    <row r="678" spans="1:488" x14ac:dyDescent="0.25">
      <c r="A678" s="7">
        <v>0.16496217332291319</v>
      </c>
      <c r="B678"/>
      <c r="C678"/>
      <c r="D678"/>
      <c r="E678"/>
      <c r="F678" s="27" t="s">
        <v>7</v>
      </c>
      <c r="MQ678" s="27" t="s">
        <v>8</v>
      </c>
      <c r="MR678" s="27" t="s">
        <v>7</v>
      </c>
      <c r="MS678" s="27" t="s">
        <v>8</v>
      </c>
      <c r="MT678" s="27" t="s">
        <v>7</v>
      </c>
      <c r="MU678" s="27" t="s">
        <v>8</v>
      </c>
      <c r="MV678" s="27" t="s">
        <v>7</v>
      </c>
      <c r="RS678" s="27" t="s">
        <v>8</v>
      </c>
      <c r="RT678" s="27" t="s">
        <v>7</v>
      </c>
    </row>
    <row r="679" spans="1:488" x14ac:dyDescent="0.25">
      <c r="A679" s="7">
        <v>0.16172762090481685</v>
      </c>
      <c r="B679"/>
      <c r="C679"/>
      <c r="D679"/>
      <c r="E679"/>
      <c r="F679" s="27" t="s">
        <v>7</v>
      </c>
      <c r="MQ679" s="27" t="s">
        <v>8</v>
      </c>
      <c r="MR679" s="27" t="s">
        <v>7</v>
      </c>
      <c r="MS679" s="27" t="s">
        <v>8</v>
      </c>
      <c r="MT679" s="27" t="s">
        <v>7</v>
      </c>
      <c r="MU679" s="27" t="s">
        <v>8</v>
      </c>
      <c r="MV679" s="27" t="s">
        <v>7</v>
      </c>
      <c r="MW679" s="27" t="s">
        <v>8</v>
      </c>
      <c r="RS679" s="27" t="s">
        <v>8</v>
      </c>
      <c r="RT679" s="27" t="s">
        <v>7</v>
      </c>
    </row>
    <row r="680" spans="1:488" x14ac:dyDescent="0.25">
      <c r="A680" s="7">
        <v>0.15855649108315376</v>
      </c>
      <c r="B680"/>
      <c r="C680"/>
      <c r="D680"/>
      <c r="E680"/>
      <c r="F680" s="27" t="s">
        <v>7</v>
      </c>
      <c r="MQ680" s="27" t="s">
        <v>8</v>
      </c>
      <c r="MR680" s="27" t="s">
        <v>7</v>
      </c>
      <c r="MS680" s="27" t="s">
        <v>8</v>
      </c>
      <c r="MT680" s="27" t="s">
        <v>7</v>
      </c>
      <c r="MU680" s="27" t="s">
        <v>8</v>
      </c>
      <c r="MV680" s="27" t="s">
        <v>7</v>
      </c>
      <c r="MW680" s="27" t="s">
        <v>8</v>
      </c>
      <c r="MX680" s="27" t="s">
        <v>7</v>
      </c>
      <c r="RS680" s="27" t="s">
        <v>8</v>
      </c>
      <c r="RT680" s="27" t="s">
        <v>7</v>
      </c>
    </row>
    <row r="681" spans="1:488" x14ac:dyDescent="0.25">
      <c r="A681" s="7">
        <v>0.15544754027760171</v>
      </c>
      <c r="B681"/>
      <c r="C681"/>
      <c r="D681"/>
      <c r="E681"/>
      <c r="F681" s="27" t="s">
        <v>7</v>
      </c>
      <c r="MQ681" s="27" t="s">
        <v>8</v>
      </c>
      <c r="MR681" s="27" t="s">
        <v>7</v>
      </c>
      <c r="MS681" s="27" t="s">
        <v>8</v>
      </c>
      <c r="MT681" s="27" t="s">
        <v>7</v>
      </c>
      <c r="MU681" s="27" t="s">
        <v>8</v>
      </c>
      <c r="MV681" s="27" t="s">
        <v>7</v>
      </c>
      <c r="MW681" s="27" t="s">
        <v>8</v>
      </c>
      <c r="MX681" s="27" t="s">
        <v>7</v>
      </c>
      <c r="RS681" s="27" t="s">
        <v>8</v>
      </c>
      <c r="RT681" s="27" t="s">
        <v>7</v>
      </c>
    </row>
    <row r="682" spans="1:488" x14ac:dyDescent="0.25">
      <c r="A682" s="7">
        <v>0.15239954929176638</v>
      </c>
      <c r="B682"/>
      <c r="C682"/>
      <c r="D682"/>
      <c r="E682"/>
      <c r="F682" s="27" t="s">
        <v>7</v>
      </c>
      <c r="MQ682" s="27" t="s">
        <v>8</v>
      </c>
      <c r="MR682" s="27" t="s">
        <v>7</v>
      </c>
      <c r="MS682" s="27" t="s">
        <v>8</v>
      </c>
      <c r="MT682" s="27" t="s">
        <v>7</v>
      </c>
      <c r="MU682" s="27" t="s">
        <v>8</v>
      </c>
      <c r="MV682" s="27" t="s">
        <v>7</v>
      </c>
      <c r="MW682" s="27" t="s">
        <v>8</v>
      </c>
      <c r="MX682" s="27" t="s">
        <v>7</v>
      </c>
      <c r="RS682" s="27" t="s">
        <v>8</v>
      </c>
      <c r="RT682" s="27" t="s">
        <v>7</v>
      </c>
    </row>
    <row r="683" spans="1:488" x14ac:dyDescent="0.25">
      <c r="A683" s="7">
        <v>0.14941132283506509</v>
      </c>
      <c r="B683"/>
      <c r="C683"/>
      <c r="D683"/>
      <c r="E683"/>
      <c r="F683" s="27" t="s">
        <v>7</v>
      </c>
      <c r="MQ683" s="27" t="s">
        <v>8</v>
      </c>
      <c r="MR683" s="27" t="s">
        <v>7</v>
      </c>
      <c r="MS683" s="27" t="s">
        <v>8</v>
      </c>
      <c r="MT683" s="27" t="s">
        <v>7</v>
      </c>
      <c r="MU683" s="27" t="s">
        <v>8</v>
      </c>
      <c r="MV683" s="27" t="s">
        <v>7</v>
      </c>
      <c r="MW683" s="27" t="s">
        <v>8</v>
      </c>
      <c r="MX683" s="27" t="s">
        <v>7</v>
      </c>
      <c r="NC683" s="27" t="s">
        <v>8</v>
      </c>
      <c r="RS683" s="27" t="s">
        <v>8</v>
      </c>
      <c r="RT683" s="27" t="s">
        <v>7</v>
      </c>
    </row>
    <row r="684" spans="1:488" x14ac:dyDescent="0.25">
      <c r="A684" s="7">
        <v>0.14648168905398537</v>
      </c>
      <c r="B684"/>
      <c r="C684"/>
      <c r="D684"/>
      <c r="E684"/>
      <c r="F684" s="27" t="s">
        <v>7</v>
      </c>
      <c r="MQ684" s="27" t="s">
        <v>8</v>
      </c>
      <c r="MR684" s="27" t="s">
        <v>7</v>
      </c>
      <c r="MS684" s="27" t="s">
        <v>8</v>
      </c>
      <c r="MT684" s="27" t="s">
        <v>7</v>
      </c>
      <c r="MU684" s="27" t="s">
        <v>8</v>
      </c>
      <c r="MV684" s="27" t="s">
        <v>7</v>
      </c>
      <c r="MW684" s="27" t="s">
        <v>8</v>
      </c>
      <c r="MX684" s="27" t="s">
        <v>7</v>
      </c>
      <c r="NC684" s="27" t="s">
        <v>8</v>
      </c>
      <c r="ND684" s="27" t="s">
        <v>7</v>
      </c>
      <c r="RS684" s="27" t="s">
        <v>8</v>
      </c>
      <c r="RT684" s="27" t="s">
        <v>7</v>
      </c>
    </row>
    <row r="685" spans="1:488" x14ac:dyDescent="0.25">
      <c r="A685" s="7">
        <v>0.14360949907253467</v>
      </c>
      <c r="B685"/>
      <c r="C685"/>
      <c r="D685"/>
      <c r="E685"/>
      <c r="F685" s="27" t="s">
        <v>7</v>
      </c>
      <c r="MQ685" s="27" t="s">
        <v>8</v>
      </c>
      <c r="MR685" s="27" t="s">
        <v>7</v>
      </c>
      <c r="MS685" s="27" t="s">
        <v>8</v>
      </c>
      <c r="MT685" s="27" t="s">
        <v>7</v>
      </c>
      <c r="MU685" s="27" t="s">
        <v>8</v>
      </c>
      <c r="MV685" s="27" t="s">
        <v>7</v>
      </c>
      <c r="MW685" s="27" t="s">
        <v>8</v>
      </c>
      <c r="MX685" s="27" t="s">
        <v>7</v>
      </c>
      <c r="NC685" s="27" t="s">
        <v>8</v>
      </c>
      <c r="ND685" s="27" t="s">
        <v>7</v>
      </c>
      <c r="RS685" s="27" t="s">
        <v>8</v>
      </c>
      <c r="RT685" s="27" t="s">
        <v>7</v>
      </c>
    </row>
    <row r="686" spans="1:488" x14ac:dyDescent="0.25">
      <c r="A686" s="7">
        <v>0.14079362654170066</v>
      </c>
      <c r="B686"/>
      <c r="C686"/>
      <c r="D686"/>
      <c r="E686"/>
      <c r="F686" s="27" t="s">
        <v>7</v>
      </c>
      <c r="MQ686" s="27" t="s">
        <v>8</v>
      </c>
      <c r="MR686" s="27" t="s">
        <v>7</v>
      </c>
      <c r="MS686" s="27" t="s">
        <v>8</v>
      </c>
      <c r="MT686" s="27" t="s">
        <v>7</v>
      </c>
      <c r="MU686" s="27" t="s">
        <v>8</v>
      </c>
      <c r="MV686" s="27" t="s">
        <v>7</v>
      </c>
      <c r="MW686" s="27" t="s">
        <v>8</v>
      </c>
      <c r="MX686" s="27" t="s">
        <v>7</v>
      </c>
      <c r="NC686" s="27" t="s">
        <v>8</v>
      </c>
      <c r="ND686" s="27" t="s">
        <v>7</v>
      </c>
      <c r="RS686" s="27" t="s">
        <v>8</v>
      </c>
      <c r="RT686" s="27" t="s">
        <v>7</v>
      </c>
    </row>
    <row r="687" spans="1:488" x14ac:dyDescent="0.25">
      <c r="A687" s="7">
        <v>0.13803296719774574</v>
      </c>
      <c r="B687"/>
      <c r="C687"/>
      <c r="D687"/>
      <c r="E687"/>
      <c r="F687" s="27" t="s">
        <v>7</v>
      </c>
      <c r="MQ687" s="27" t="s">
        <v>8</v>
      </c>
      <c r="MR687" s="27" t="s">
        <v>7</v>
      </c>
      <c r="MS687" s="27" t="s">
        <v>8</v>
      </c>
      <c r="MT687" s="27" t="s">
        <v>7</v>
      </c>
      <c r="MU687" s="27" t="s">
        <v>8</v>
      </c>
      <c r="MV687" s="27" t="s">
        <v>7</v>
      </c>
      <c r="MW687" s="27" t="s">
        <v>8</v>
      </c>
      <c r="MX687" s="27" t="s">
        <v>7</v>
      </c>
      <c r="NC687" s="27" t="s">
        <v>8</v>
      </c>
      <c r="ND687" s="27" t="s">
        <v>7</v>
      </c>
      <c r="NG687" s="27" t="s">
        <v>8</v>
      </c>
      <c r="RS687" s="27" t="s">
        <v>8</v>
      </c>
      <c r="RT687" s="27" t="s">
        <v>7</v>
      </c>
    </row>
    <row r="688" spans="1:488" x14ac:dyDescent="0.25">
      <c r="A688" s="7">
        <v>0.1353264384291625</v>
      </c>
      <c r="B688"/>
      <c r="C688"/>
      <c r="D688"/>
      <c r="E688"/>
      <c r="F688" s="27" t="s">
        <v>7</v>
      </c>
      <c r="MQ688" s="27" t="s">
        <v>8</v>
      </c>
      <c r="MR688" s="27" t="s">
        <v>7</v>
      </c>
      <c r="MS688" s="27" t="s">
        <v>8</v>
      </c>
      <c r="MT688" s="27" t="s">
        <v>7</v>
      </c>
      <c r="MU688" s="27" t="s">
        <v>8</v>
      </c>
      <c r="MV688" s="27" t="s">
        <v>7</v>
      </c>
      <c r="MW688" s="27" t="s">
        <v>8</v>
      </c>
      <c r="MX688" s="27" t="s">
        <v>7</v>
      </c>
      <c r="NC688" s="27" t="s">
        <v>8</v>
      </c>
      <c r="ND688" s="27" t="s">
        <v>7</v>
      </c>
      <c r="NE688" s="27" t="s">
        <v>8</v>
      </c>
      <c r="NG688" s="27" t="s">
        <v>8</v>
      </c>
      <c r="NH688" s="27" t="s">
        <v>7</v>
      </c>
      <c r="RS688" s="27" t="s">
        <v>8</v>
      </c>
      <c r="RT688" s="27" t="s">
        <v>7</v>
      </c>
    </row>
    <row r="689" spans="1:496" x14ac:dyDescent="0.25">
      <c r="A689" s="7">
        <v>0.13267297885212009</v>
      </c>
      <c r="B689"/>
      <c r="C689"/>
      <c r="D689"/>
      <c r="E689"/>
      <c r="F689" s="27" t="s">
        <v>7</v>
      </c>
      <c r="MQ689" s="27" t="s">
        <v>8</v>
      </c>
      <c r="MR689" s="27" t="s">
        <v>7</v>
      </c>
      <c r="MS689" s="27" t="s">
        <v>8</v>
      </c>
      <c r="MT689" s="27" t="s">
        <v>7</v>
      </c>
      <c r="MU689" s="27" t="s">
        <v>8</v>
      </c>
      <c r="MV689" s="27" t="s">
        <v>7</v>
      </c>
      <c r="MW689" s="27" t="s">
        <v>8</v>
      </c>
      <c r="MX689" s="27" t="s">
        <v>7</v>
      </c>
      <c r="NC689" s="27" t="s">
        <v>8</v>
      </c>
      <c r="ND689" s="27" t="s">
        <v>7</v>
      </c>
      <c r="NE689" s="27" t="s">
        <v>8</v>
      </c>
      <c r="NF689" s="27" t="s">
        <v>7</v>
      </c>
      <c r="NG689" s="27" t="s">
        <v>8</v>
      </c>
      <c r="NH689" s="27" t="s">
        <v>7</v>
      </c>
      <c r="RS689" s="27" t="s">
        <v>8</v>
      </c>
      <c r="RT689" s="27" t="s">
        <v>7</v>
      </c>
    </row>
    <row r="690" spans="1:496" x14ac:dyDescent="0.25">
      <c r="A690" s="7">
        <v>0.13007154789423539</v>
      </c>
      <c r="B690"/>
      <c r="C690"/>
      <c r="D690"/>
      <c r="E690"/>
      <c r="F690" s="27" t="s">
        <v>7</v>
      </c>
      <c r="MQ690" s="27" t="s">
        <v>8</v>
      </c>
      <c r="MR690" s="27" t="s">
        <v>7</v>
      </c>
      <c r="MS690" s="27" t="s">
        <v>8</v>
      </c>
      <c r="MT690" s="27" t="s">
        <v>7</v>
      </c>
      <c r="MU690" s="27" t="s">
        <v>8</v>
      </c>
      <c r="MV690" s="27" t="s">
        <v>7</v>
      </c>
      <c r="MW690" s="27" t="s">
        <v>8</v>
      </c>
      <c r="MX690" s="27" t="s">
        <v>7</v>
      </c>
      <c r="NC690" s="27" t="s">
        <v>8</v>
      </c>
      <c r="ND690" s="27" t="s">
        <v>7</v>
      </c>
      <c r="NE690" s="27" t="s">
        <v>8</v>
      </c>
      <c r="NF690" s="27" t="s">
        <v>7</v>
      </c>
      <c r="NG690" s="27" t="s">
        <v>8</v>
      </c>
      <c r="NH690" s="27" t="s">
        <v>7</v>
      </c>
      <c r="RS690" s="27" t="s">
        <v>8</v>
      </c>
      <c r="RT690" s="27" t="s">
        <v>7</v>
      </c>
    </row>
    <row r="691" spans="1:496" x14ac:dyDescent="0.25">
      <c r="A691" s="7">
        <v>0.12752112538650529</v>
      </c>
      <c r="B691"/>
      <c r="C691"/>
      <c r="D691"/>
      <c r="E691"/>
      <c r="F691" s="27" t="s">
        <v>7</v>
      </c>
      <c r="MQ691" s="27" t="s">
        <v>8</v>
      </c>
      <c r="MR691" s="27" t="s">
        <v>7</v>
      </c>
      <c r="MS691" s="27" t="s">
        <v>8</v>
      </c>
      <c r="MT691" s="27" t="s">
        <v>7</v>
      </c>
      <c r="MV691" s="27" t="s">
        <v>7</v>
      </c>
      <c r="MW691" s="27" t="s">
        <v>8</v>
      </c>
      <c r="MX691" s="27" t="s">
        <v>7</v>
      </c>
      <c r="NC691" s="27" t="s">
        <v>8</v>
      </c>
      <c r="ND691" s="27" t="s">
        <v>7</v>
      </c>
      <c r="NE691" s="27" t="s">
        <v>8</v>
      </c>
      <c r="NF691" s="27" t="s">
        <v>7</v>
      </c>
      <c r="NG691" s="27" t="s">
        <v>8</v>
      </c>
      <c r="NH691" s="27" t="s">
        <v>7</v>
      </c>
      <c r="RS691" s="27" t="s">
        <v>8</v>
      </c>
      <c r="RT691" s="27" t="s">
        <v>7</v>
      </c>
    </row>
    <row r="692" spans="1:496" x14ac:dyDescent="0.25">
      <c r="A692" s="7">
        <v>0.12502071116324048</v>
      </c>
      <c r="B692"/>
      <c r="C692"/>
      <c r="D692"/>
      <c r="E692"/>
      <c r="F692" s="27" t="s">
        <v>7</v>
      </c>
      <c r="MQ692" s="27" t="s">
        <v>8</v>
      </c>
      <c r="MR692" s="27" t="s">
        <v>7</v>
      </c>
      <c r="MS692" s="27" t="s">
        <v>8</v>
      </c>
      <c r="MV692" s="27" t="s">
        <v>7</v>
      </c>
      <c r="MW692" s="27" t="s">
        <v>8</v>
      </c>
      <c r="MX692" s="27" t="s">
        <v>7</v>
      </c>
      <c r="MY692" s="27" t="s">
        <v>8</v>
      </c>
      <c r="NC692" s="27" t="s">
        <v>8</v>
      </c>
      <c r="ND692" s="27" t="s">
        <v>7</v>
      </c>
      <c r="NE692" s="27" t="s">
        <v>8</v>
      </c>
      <c r="NF692" s="27" t="s">
        <v>7</v>
      </c>
      <c r="NG692" s="27" t="s">
        <v>8</v>
      </c>
      <c r="NH692" s="27" t="s">
        <v>7</v>
      </c>
      <c r="RS692" s="27" t="s">
        <v>8</v>
      </c>
      <c r="RT692" s="27" t="s">
        <v>7</v>
      </c>
    </row>
    <row r="693" spans="1:496" x14ac:dyDescent="0.25">
      <c r="A693" s="7">
        <v>0.1225693246698436</v>
      </c>
      <c r="B693"/>
      <c r="C693"/>
      <c r="D693"/>
      <c r="E693"/>
      <c r="F693" s="27" t="s">
        <v>7</v>
      </c>
      <c r="MQ693" s="27" t="s">
        <v>8</v>
      </c>
      <c r="MR693" s="27" t="s">
        <v>7</v>
      </c>
      <c r="MS693" s="27" t="s">
        <v>8</v>
      </c>
      <c r="MV693" s="27" t="s">
        <v>7</v>
      </c>
      <c r="MW693" s="27" t="s">
        <v>8</v>
      </c>
      <c r="MX693" s="27" t="s">
        <v>7</v>
      </c>
      <c r="MY693" s="27" t="s">
        <v>8</v>
      </c>
      <c r="MZ693" s="27" t="s">
        <v>7</v>
      </c>
      <c r="NC693" s="27" t="s">
        <v>8</v>
      </c>
      <c r="ND693" s="27" t="s">
        <v>7</v>
      </c>
      <c r="NE693" s="27" t="s">
        <v>8</v>
      </c>
      <c r="NF693" s="27" t="s">
        <v>7</v>
      </c>
      <c r="NG693" s="27" t="s">
        <v>8</v>
      </c>
      <c r="NH693" s="27" t="s">
        <v>7</v>
      </c>
      <c r="NI693" s="27" t="s">
        <v>8</v>
      </c>
      <c r="RS693" s="27" t="s">
        <v>8</v>
      </c>
      <c r="RT693" s="27" t="s">
        <v>7</v>
      </c>
    </row>
    <row r="694" spans="1:496" x14ac:dyDescent="0.25">
      <c r="A694" s="7">
        <v>0.12016600457827803</v>
      </c>
      <c r="B694"/>
      <c r="C694"/>
      <c r="D694"/>
      <c r="E694"/>
      <c r="F694" s="27" t="s">
        <v>7</v>
      </c>
      <c r="MQ694" s="27" t="s">
        <v>8</v>
      </c>
      <c r="MR694" s="27" t="s">
        <v>7</v>
      </c>
      <c r="MS694" s="27" t="s">
        <v>8</v>
      </c>
      <c r="MV694" s="27" t="s">
        <v>7</v>
      </c>
      <c r="MW694" s="27" t="s">
        <v>8</v>
      </c>
      <c r="MX694" s="27" t="s">
        <v>7</v>
      </c>
      <c r="MY694" s="27" t="s">
        <v>8</v>
      </c>
      <c r="MZ694" s="27" t="s">
        <v>7</v>
      </c>
      <c r="NC694" s="27" t="s">
        <v>8</v>
      </c>
      <c r="ND694" s="27" t="s">
        <v>7</v>
      </c>
      <c r="NF694" s="27" t="s">
        <v>7</v>
      </c>
      <c r="NG694" s="27" t="s">
        <v>8</v>
      </c>
      <c r="NH694" s="27" t="s">
        <v>7</v>
      </c>
      <c r="NI694" s="27" t="s">
        <v>8</v>
      </c>
      <c r="NJ694" s="27" t="s">
        <v>7</v>
      </c>
      <c r="RS694" s="27" t="s">
        <v>8</v>
      </c>
      <c r="RT694" s="27" t="s">
        <v>7</v>
      </c>
    </row>
    <row r="695" spans="1:496" x14ac:dyDescent="0.25">
      <c r="A695" s="7">
        <v>0.1178098084100765</v>
      </c>
      <c r="B695"/>
      <c r="C695"/>
      <c r="D695"/>
      <c r="E695"/>
      <c r="F695" s="27" t="s">
        <v>7</v>
      </c>
      <c r="MQ695" s="27" t="s">
        <v>8</v>
      </c>
      <c r="MR695" s="27" t="s">
        <v>7</v>
      </c>
      <c r="MS695" s="27" t="s">
        <v>8</v>
      </c>
      <c r="MV695" s="27" t="s">
        <v>7</v>
      </c>
      <c r="MX695" s="27" t="s">
        <v>7</v>
      </c>
      <c r="MY695" s="27" t="s">
        <v>8</v>
      </c>
      <c r="MZ695" s="27" t="s">
        <v>7</v>
      </c>
      <c r="NA695" s="27" t="s">
        <v>8</v>
      </c>
      <c r="NC695" s="27" t="s">
        <v>8</v>
      </c>
      <c r="NF695" s="27" t="s">
        <v>7</v>
      </c>
      <c r="NH695" s="27" t="s">
        <v>7</v>
      </c>
      <c r="NI695" s="27" t="s">
        <v>8</v>
      </c>
      <c r="NJ695" s="27" t="s">
        <v>7</v>
      </c>
      <c r="RS695" s="27" t="s">
        <v>8</v>
      </c>
      <c r="RT695" s="27" t="s">
        <v>7</v>
      </c>
      <c r="RU695" s="27" t="s">
        <v>8</v>
      </c>
      <c r="RW695" s="27" t="s">
        <v>8</v>
      </c>
    </row>
    <row r="696" spans="1:496" x14ac:dyDescent="0.25">
      <c r="A696" s="7">
        <v>0.11549981216674166</v>
      </c>
      <c r="B696"/>
      <c r="C696"/>
      <c r="D696"/>
      <c r="E696"/>
      <c r="F696" s="27" t="s">
        <v>7</v>
      </c>
      <c r="MQ696" s="27" t="s">
        <v>8</v>
      </c>
      <c r="MR696" s="27" t="s">
        <v>7</v>
      </c>
      <c r="MS696" s="27" t="s">
        <v>8</v>
      </c>
      <c r="MX696" s="27" t="s">
        <v>7</v>
      </c>
      <c r="MY696" s="27" t="s">
        <v>8</v>
      </c>
      <c r="MZ696" s="27" t="s">
        <v>7</v>
      </c>
      <c r="NA696" s="27" t="s">
        <v>8</v>
      </c>
      <c r="NB696" s="27" t="s">
        <v>7</v>
      </c>
      <c r="NC696" s="27" t="s">
        <v>8</v>
      </c>
      <c r="NH696" s="27" t="s">
        <v>7</v>
      </c>
      <c r="NI696" s="27" t="s">
        <v>8</v>
      </c>
      <c r="NJ696" s="27" t="s">
        <v>7</v>
      </c>
      <c r="RS696" s="27" t="s">
        <v>8</v>
      </c>
      <c r="RT696" s="27" t="s">
        <v>7</v>
      </c>
      <c r="RU696" s="27" t="s">
        <v>8</v>
      </c>
      <c r="RV696" s="27" t="s">
        <v>7</v>
      </c>
      <c r="RW696" s="27" t="s">
        <v>8</v>
      </c>
      <c r="RX696" s="27" t="s">
        <v>7</v>
      </c>
    </row>
    <row r="697" spans="1:496" x14ac:dyDescent="0.25">
      <c r="A697" s="7">
        <v>0.11323510996739378</v>
      </c>
      <c r="B697"/>
      <c r="C697"/>
      <c r="D697"/>
      <c r="E697"/>
      <c r="F697" s="27" t="s">
        <v>7</v>
      </c>
      <c r="MQ697" s="27" t="s">
        <v>8</v>
      </c>
      <c r="MR697" s="27" t="s">
        <v>7</v>
      </c>
      <c r="MS697" s="27" t="s">
        <v>8</v>
      </c>
      <c r="MX697" s="27" t="s">
        <v>7</v>
      </c>
      <c r="MY697" s="27" t="s">
        <v>8</v>
      </c>
      <c r="MZ697" s="27" t="s">
        <v>7</v>
      </c>
      <c r="NA697" s="27" t="s">
        <v>8</v>
      </c>
      <c r="NB697" s="27" t="s">
        <v>7</v>
      </c>
      <c r="NC697" s="27" t="s">
        <v>8</v>
      </c>
      <c r="NH697" s="27" t="s">
        <v>7</v>
      </c>
      <c r="NI697" s="27" t="s">
        <v>8</v>
      </c>
      <c r="NJ697" s="27" t="s">
        <v>7</v>
      </c>
      <c r="RS697" s="27" t="s">
        <v>8</v>
      </c>
      <c r="RT697" s="27" t="s">
        <v>7</v>
      </c>
      <c r="RU697" s="27" t="s">
        <v>8</v>
      </c>
      <c r="RV697" s="27" t="s">
        <v>7</v>
      </c>
      <c r="RW697" s="27" t="s">
        <v>8</v>
      </c>
      <c r="RX697" s="27" t="s">
        <v>7</v>
      </c>
      <c r="SA697" s="27" t="s">
        <v>8</v>
      </c>
    </row>
    <row r="698" spans="1:496" x14ac:dyDescent="0.25">
      <c r="A698" s="7">
        <v>0.11101481369352331</v>
      </c>
      <c r="B698"/>
      <c r="C698"/>
      <c r="D698"/>
      <c r="E698"/>
      <c r="F698" s="27" t="s">
        <v>7</v>
      </c>
      <c r="MQ698" s="27" t="s">
        <v>8</v>
      </c>
      <c r="MR698" s="27" t="s">
        <v>7</v>
      </c>
      <c r="MS698" s="27" t="s">
        <v>8</v>
      </c>
      <c r="MX698" s="27" t="s">
        <v>7</v>
      </c>
      <c r="MY698" s="27" t="s">
        <v>8</v>
      </c>
      <c r="MZ698" s="27" t="s">
        <v>7</v>
      </c>
      <c r="NA698" s="27" t="s">
        <v>8</v>
      </c>
      <c r="NB698" s="27" t="s">
        <v>7</v>
      </c>
      <c r="NC698" s="27" t="s">
        <v>8</v>
      </c>
      <c r="NH698" s="27" t="s">
        <v>7</v>
      </c>
      <c r="NI698" s="27" t="s">
        <v>8</v>
      </c>
      <c r="NJ698" s="27" t="s">
        <v>7</v>
      </c>
      <c r="RS698" s="27" t="s">
        <v>8</v>
      </c>
      <c r="RT698" s="27" t="s">
        <v>7</v>
      </c>
      <c r="RU698" s="27" t="s">
        <v>8</v>
      </c>
      <c r="RV698" s="27" t="s">
        <v>7</v>
      </c>
      <c r="RW698" s="27" t="s">
        <v>8</v>
      </c>
      <c r="RX698" s="27" t="s">
        <v>7</v>
      </c>
      <c r="SA698" s="27" t="s">
        <v>8</v>
      </c>
      <c r="SB698" s="27" t="s">
        <v>7</v>
      </c>
    </row>
    <row r="699" spans="1:496" x14ac:dyDescent="0.25">
      <c r="A699" s="7">
        <v>0.10883805264070913</v>
      </c>
      <c r="B699"/>
      <c r="C699"/>
      <c r="D699"/>
      <c r="E699"/>
      <c r="F699" s="27" t="s">
        <v>7</v>
      </c>
      <c r="MQ699" s="27" t="s">
        <v>8</v>
      </c>
      <c r="MR699" s="27" t="s">
        <v>7</v>
      </c>
      <c r="MS699" s="27" t="s">
        <v>8</v>
      </c>
      <c r="MX699" s="27" t="s">
        <v>7</v>
      </c>
      <c r="MY699" s="27" t="s">
        <v>8</v>
      </c>
      <c r="MZ699" s="27" t="s">
        <v>7</v>
      </c>
      <c r="NA699" s="27" t="s">
        <v>8</v>
      </c>
      <c r="NB699" s="27" t="s">
        <v>7</v>
      </c>
      <c r="NC699" s="27" t="s">
        <v>8</v>
      </c>
      <c r="NH699" s="27" t="s">
        <v>7</v>
      </c>
      <c r="NI699" s="27" t="s">
        <v>8</v>
      </c>
      <c r="NJ699" s="27" t="s">
        <v>7</v>
      </c>
      <c r="RS699" s="27" t="s">
        <v>8</v>
      </c>
      <c r="RT699" s="27" t="s">
        <v>7</v>
      </c>
      <c r="RU699" s="27" t="s">
        <v>8</v>
      </c>
      <c r="RV699" s="27" t="s">
        <v>7</v>
      </c>
      <c r="RW699" s="27" t="s">
        <v>8</v>
      </c>
      <c r="RX699" s="27" t="s">
        <v>7</v>
      </c>
      <c r="SA699" s="27" t="s">
        <v>8</v>
      </c>
      <c r="SB699" s="27" t="s">
        <v>7</v>
      </c>
    </row>
    <row r="700" spans="1:496" x14ac:dyDescent="0.25">
      <c r="A700" s="7">
        <v>0.10670397317716582</v>
      </c>
      <c r="B700"/>
      <c r="C700"/>
      <c r="D700"/>
      <c r="E700"/>
      <c r="F700" s="27" t="s">
        <v>7</v>
      </c>
      <c r="MQ700" s="27" t="s">
        <v>8</v>
      </c>
      <c r="MR700" s="27" t="s">
        <v>7</v>
      </c>
      <c r="MS700" s="27" t="s">
        <v>8</v>
      </c>
      <c r="MX700" s="27" t="s">
        <v>7</v>
      </c>
      <c r="MY700" s="27" t="s">
        <v>8</v>
      </c>
      <c r="MZ700" s="27" t="s">
        <v>7</v>
      </c>
      <c r="NA700" s="27" t="s">
        <v>8</v>
      </c>
      <c r="NB700" s="27" t="s">
        <v>7</v>
      </c>
      <c r="NC700" s="27" t="s">
        <v>8</v>
      </c>
      <c r="NH700" s="27" t="s">
        <v>7</v>
      </c>
      <c r="NI700" s="27" t="s">
        <v>8</v>
      </c>
      <c r="NJ700" s="27" t="s">
        <v>7</v>
      </c>
      <c r="RS700" s="27" t="s">
        <v>8</v>
      </c>
      <c r="RT700" s="27" t="s">
        <v>7</v>
      </c>
      <c r="RU700" s="27" t="s">
        <v>8</v>
      </c>
      <c r="RV700" s="27" t="s">
        <v>7</v>
      </c>
      <c r="RW700" s="27" t="s">
        <v>8</v>
      </c>
      <c r="RX700" s="27" t="s">
        <v>7</v>
      </c>
      <c r="RY700" s="27" t="s">
        <v>8</v>
      </c>
      <c r="SA700" s="27" t="s">
        <v>8</v>
      </c>
      <c r="SB700" s="27" t="s">
        <v>7</v>
      </c>
    </row>
    <row r="701" spans="1:496" x14ac:dyDescent="0.25">
      <c r="A701" s="7">
        <v>0.1046117384089861</v>
      </c>
      <c r="B701"/>
      <c r="C701"/>
      <c r="D701"/>
      <c r="E701"/>
      <c r="F701" s="27" t="s">
        <v>7</v>
      </c>
      <c r="MQ701" s="27" t="s">
        <v>8</v>
      </c>
      <c r="MR701" s="27" t="s">
        <v>7</v>
      </c>
      <c r="MS701" s="27" t="s">
        <v>8</v>
      </c>
      <c r="MX701" s="27" t="s">
        <v>7</v>
      </c>
      <c r="MY701" s="27" t="s">
        <v>8</v>
      </c>
      <c r="MZ701" s="27" t="s">
        <v>7</v>
      </c>
      <c r="NA701" s="27" t="s">
        <v>8</v>
      </c>
      <c r="NB701" s="27" t="s">
        <v>7</v>
      </c>
      <c r="NC701" s="27" t="s">
        <v>8</v>
      </c>
      <c r="NH701" s="27" t="s">
        <v>7</v>
      </c>
      <c r="NJ701" s="27" t="s">
        <v>7</v>
      </c>
      <c r="NK701" s="27" t="s">
        <v>8</v>
      </c>
      <c r="RS701" s="27" t="s">
        <v>8</v>
      </c>
      <c r="RT701" s="27" t="s">
        <v>7</v>
      </c>
      <c r="RU701" s="27" t="s">
        <v>8</v>
      </c>
      <c r="RV701" s="27" t="s">
        <v>7</v>
      </c>
      <c r="RW701" s="27" t="s">
        <v>8</v>
      </c>
      <c r="RX701" s="27" t="s">
        <v>7</v>
      </c>
      <c r="RY701" s="27" t="s">
        <v>8</v>
      </c>
      <c r="RZ701" s="27" t="s">
        <v>7</v>
      </c>
      <c r="SA701" s="27" t="s">
        <v>8</v>
      </c>
      <c r="SB701" s="27" t="s">
        <v>7</v>
      </c>
    </row>
    <row r="702" spans="1:496" x14ac:dyDescent="0.25">
      <c r="A702" s="7">
        <v>0.10256052785194716</v>
      </c>
      <c r="B702"/>
      <c r="C702"/>
      <c r="D702"/>
      <c r="E702"/>
      <c r="F702" s="27" t="s">
        <v>7</v>
      </c>
      <c r="MQ702" s="27" t="s">
        <v>8</v>
      </c>
      <c r="MR702" s="27" t="s">
        <v>7</v>
      </c>
      <c r="MS702" s="27" t="s">
        <v>8</v>
      </c>
      <c r="MX702" s="27" t="s">
        <v>7</v>
      </c>
      <c r="MY702" s="27" t="s">
        <v>8</v>
      </c>
      <c r="MZ702" s="27" t="s">
        <v>7</v>
      </c>
      <c r="NA702" s="27" t="s">
        <v>8</v>
      </c>
      <c r="NB702" s="27" t="s">
        <v>7</v>
      </c>
      <c r="NC702" s="27" t="s">
        <v>8</v>
      </c>
      <c r="NJ702" s="27" t="s">
        <v>7</v>
      </c>
      <c r="NK702" s="27" t="s">
        <v>8</v>
      </c>
      <c r="NL702" s="27" t="s">
        <v>7</v>
      </c>
      <c r="RS702" s="27" t="s">
        <v>8</v>
      </c>
      <c r="RT702" s="27" t="s">
        <v>7</v>
      </c>
      <c r="RU702" s="27" t="s">
        <v>8</v>
      </c>
      <c r="RV702" s="27" t="s">
        <v>7</v>
      </c>
      <c r="RW702" s="27" t="s">
        <v>8</v>
      </c>
      <c r="RX702" s="27" t="s">
        <v>7</v>
      </c>
      <c r="RY702" s="27" t="s">
        <v>8</v>
      </c>
      <c r="RZ702" s="27" t="s">
        <v>7</v>
      </c>
      <c r="SA702" s="27" t="s">
        <v>8</v>
      </c>
      <c r="SB702" s="27" t="s">
        <v>7</v>
      </c>
    </row>
    <row r="703" spans="1:496" x14ac:dyDescent="0.25">
      <c r="A703" s="7">
        <v>0.10054953710975212</v>
      </c>
      <c r="B703"/>
      <c r="C703"/>
      <c r="D703"/>
      <c r="E703"/>
      <c r="F703" s="27" t="s">
        <v>7</v>
      </c>
      <c r="MQ703" s="27" t="s">
        <v>8</v>
      </c>
      <c r="MR703" s="27" t="s">
        <v>7</v>
      </c>
      <c r="MS703" s="27" t="s">
        <v>8</v>
      </c>
      <c r="MX703" s="27" t="s">
        <v>7</v>
      </c>
      <c r="MY703" s="27" t="s">
        <v>8</v>
      </c>
      <c r="MZ703" s="27" t="s">
        <v>7</v>
      </c>
      <c r="NA703" s="27" t="s">
        <v>8</v>
      </c>
      <c r="NB703" s="27" t="s">
        <v>7</v>
      </c>
      <c r="NC703" s="27" t="s">
        <v>8</v>
      </c>
      <c r="NJ703" s="27" t="s">
        <v>7</v>
      </c>
      <c r="NK703" s="27" t="s">
        <v>8</v>
      </c>
      <c r="NL703" s="27" t="s">
        <v>7</v>
      </c>
      <c r="RS703" s="27" t="s">
        <v>8</v>
      </c>
      <c r="RT703" s="27" t="s">
        <v>7</v>
      </c>
      <c r="RU703" s="27" t="s">
        <v>8</v>
      </c>
      <c r="RV703" s="27" t="s">
        <v>7</v>
      </c>
      <c r="RW703" s="27" t="s">
        <v>8</v>
      </c>
      <c r="RX703" s="27" t="s">
        <v>7</v>
      </c>
      <c r="RY703" s="27" t="s">
        <v>8</v>
      </c>
      <c r="RZ703" s="27" t="s">
        <v>7</v>
      </c>
      <c r="SA703" s="27" t="s">
        <v>8</v>
      </c>
      <c r="SB703" s="27" t="s">
        <v>7</v>
      </c>
    </row>
    <row r="704" spans="1:496" x14ac:dyDescent="0.25">
      <c r="A704" s="7">
        <v>9.8577977558580512E-2</v>
      </c>
      <c r="B704"/>
      <c r="C704"/>
      <c r="D704"/>
      <c r="E704"/>
      <c r="F704" s="27" t="s">
        <v>7</v>
      </c>
      <c r="MQ704" s="27" t="s">
        <v>8</v>
      </c>
      <c r="MR704" s="27" t="s">
        <v>7</v>
      </c>
      <c r="MS704" s="27" t="s">
        <v>8</v>
      </c>
      <c r="MX704" s="27" t="s">
        <v>7</v>
      </c>
      <c r="MZ704" s="27" t="s">
        <v>7</v>
      </c>
      <c r="NA704" s="27" t="s">
        <v>8</v>
      </c>
      <c r="NB704" s="27" t="s">
        <v>7</v>
      </c>
      <c r="NC704" s="27" t="s">
        <v>8</v>
      </c>
      <c r="NJ704" s="27" t="s">
        <v>7</v>
      </c>
      <c r="NK704" s="27" t="s">
        <v>8</v>
      </c>
      <c r="NL704" s="27" t="s">
        <v>7</v>
      </c>
      <c r="RS704" s="27" t="s">
        <v>8</v>
      </c>
      <c r="RT704" s="27" t="s">
        <v>7</v>
      </c>
      <c r="RU704" s="27" t="s">
        <v>8</v>
      </c>
      <c r="RV704" s="27" t="s">
        <v>7</v>
      </c>
      <c r="RW704" s="27" t="s">
        <v>8</v>
      </c>
      <c r="RX704" s="27" t="s">
        <v>7</v>
      </c>
      <c r="RY704" s="27" t="s">
        <v>8</v>
      </c>
      <c r="RZ704" s="27" t="s">
        <v>7</v>
      </c>
      <c r="SA704" s="27" t="s">
        <v>8</v>
      </c>
      <c r="SB704" s="27" t="s">
        <v>7</v>
      </c>
    </row>
    <row r="705" spans="1:510" x14ac:dyDescent="0.25">
      <c r="A705" s="7">
        <v>9.6645076037824032E-2</v>
      </c>
      <c r="B705"/>
      <c r="C705"/>
      <c r="D705"/>
      <c r="E705"/>
      <c r="F705" s="27" t="s">
        <v>7</v>
      </c>
      <c r="MQ705" s="27" t="s">
        <v>8</v>
      </c>
      <c r="MR705" s="27" t="s">
        <v>7</v>
      </c>
      <c r="MZ705" s="27" t="s">
        <v>7</v>
      </c>
      <c r="NA705" s="27" t="s">
        <v>8</v>
      </c>
      <c r="NB705" s="27" t="s">
        <v>7</v>
      </c>
      <c r="NC705" s="27" t="s">
        <v>8</v>
      </c>
      <c r="NJ705" s="27" t="s">
        <v>7</v>
      </c>
      <c r="NK705" s="27" t="s">
        <v>8</v>
      </c>
      <c r="NL705" s="27" t="s">
        <v>7</v>
      </c>
      <c r="RS705" s="27" t="s">
        <v>8</v>
      </c>
      <c r="RT705" s="27" t="s">
        <v>7</v>
      </c>
      <c r="RU705" s="27" t="s">
        <v>8</v>
      </c>
      <c r="RV705" s="27" t="s">
        <v>7</v>
      </c>
      <c r="RW705" s="27" t="s">
        <v>8</v>
      </c>
      <c r="RX705" s="27" t="s">
        <v>7</v>
      </c>
      <c r="RY705" s="27" t="s">
        <v>8</v>
      </c>
      <c r="RZ705" s="27" t="s">
        <v>7</v>
      </c>
      <c r="SA705" s="27" t="s">
        <v>8</v>
      </c>
      <c r="SB705" s="27" t="s">
        <v>7</v>
      </c>
    </row>
    <row r="706" spans="1:510" x14ac:dyDescent="0.25">
      <c r="A706" s="7">
        <v>9.4750074546886304E-2</v>
      </c>
      <c r="B706"/>
      <c r="C706"/>
      <c r="D706"/>
      <c r="E706"/>
      <c r="F706" s="27" t="s">
        <v>7</v>
      </c>
      <c r="MQ706" s="27" t="s">
        <v>8</v>
      </c>
      <c r="MZ706" s="27" t="s">
        <v>7</v>
      </c>
      <c r="NA706" s="27" t="s">
        <v>8</v>
      </c>
      <c r="NB706" s="27" t="s">
        <v>7</v>
      </c>
      <c r="NC706" s="27" t="s">
        <v>8</v>
      </c>
      <c r="NJ706" s="27" t="s">
        <v>7</v>
      </c>
      <c r="NK706" s="27" t="s">
        <v>8</v>
      </c>
      <c r="NL706" s="27" t="s">
        <v>7</v>
      </c>
      <c r="NM706" s="27" t="s">
        <v>8</v>
      </c>
      <c r="RS706" s="27" t="s">
        <v>8</v>
      </c>
      <c r="RT706" s="27" t="s">
        <v>7</v>
      </c>
      <c r="RU706" s="27" t="s">
        <v>8</v>
      </c>
      <c r="RV706" s="27" t="s">
        <v>7</v>
      </c>
      <c r="RW706" s="27" t="s">
        <v>8</v>
      </c>
      <c r="RX706" s="27" t="s">
        <v>7</v>
      </c>
      <c r="RY706" s="27" t="s">
        <v>8</v>
      </c>
      <c r="RZ706" s="27" t="s">
        <v>7</v>
      </c>
      <c r="SA706" s="27" t="s">
        <v>8</v>
      </c>
      <c r="SB706" s="27" t="s">
        <v>7</v>
      </c>
    </row>
    <row r="707" spans="1:510" x14ac:dyDescent="0.25">
      <c r="A707" s="7">
        <v>9.2892229947927743E-2</v>
      </c>
      <c r="B707"/>
      <c r="C707"/>
      <c r="D707"/>
      <c r="E707"/>
      <c r="F707" s="27" t="s">
        <v>7</v>
      </c>
      <c r="MQ707" s="27" t="s">
        <v>8</v>
      </c>
      <c r="MZ707" s="27" t="s">
        <v>7</v>
      </c>
      <c r="NA707" s="27" t="s">
        <v>8</v>
      </c>
      <c r="NB707" s="27" t="s">
        <v>7</v>
      </c>
      <c r="NC707" s="27" t="s">
        <v>8</v>
      </c>
      <c r="NJ707" s="27" t="s">
        <v>7</v>
      </c>
      <c r="NK707" s="27" t="s">
        <v>8</v>
      </c>
      <c r="NL707" s="27" t="s">
        <v>7</v>
      </c>
      <c r="NM707" s="27" t="s">
        <v>8</v>
      </c>
      <c r="NN707" s="27" t="s">
        <v>7</v>
      </c>
      <c r="RS707" s="27" t="s">
        <v>8</v>
      </c>
      <c r="RT707" s="27" t="s">
        <v>7</v>
      </c>
      <c r="RU707" s="27" t="s">
        <v>8</v>
      </c>
      <c r="RV707" s="27" t="s">
        <v>7</v>
      </c>
      <c r="RW707" s="27" t="s">
        <v>8</v>
      </c>
      <c r="RX707" s="27" t="s">
        <v>7</v>
      </c>
      <c r="RY707" s="27" t="s">
        <v>8</v>
      </c>
      <c r="RZ707" s="27" t="s">
        <v>7</v>
      </c>
      <c r="SA707" s="27" t="s">
        <v>8</v>
      </c>
      <c r="SB707" s="27" t="s">
        <v>7</v>
      </c>
    </row>
    <row r="708" spans="1:510" x14ac:dyDescent="0.25">
      <c r="A708" s="7">
        <v>9.1070813674438963E-2</v>
      </c>
      <c r="B708"/>
      <c r="C708"/>
      <c r="D708"/>
      <c r="E708"/>
      <c r="F708" s="27" t="s">
        <v>7</v>
      </c>
      <c r="MQ708" s="27" t="s">
        <v>8</v>
      </c>
      <c r="MZ708" s="27" t="s">
        <v>7</v>
      </c>
      <c r="NB708" s="27" t="s">
        <v>7</v>
      </c>
      <c r="NC708" s="27" t="s">
        <v>8</v>
      </c>
      <c r="NJ708" s="27" t="s">
        <v>7</v>
      </c>
      <c r="NL708" s="27" t="s">
        <v>7</v>
      </c>
      <c r="NM708" s="27" t="s">
        <v>8</v>
      </c>
      <c r="NN708" s="27" t="s">
        <v>7</v>
      </c>
      <c r="RS708" s="27" t="s">
        <v>8</v>
      </c>
      <c r="RT708" s="27" t="s">
        <v>7</v>
      </c>
      <c r="RU708" s="27" t="s">
        <v>8</v>
      </c>
      <c r="RV708" s="27" t="s">
        <v>7</v>
      </c>
      <c r="RW708" s="27" t="s">
        <v>8</v>
      </c>
      <c r="RX708" s="27" t="s">
        <v>7</v>
      </c>
      <c r="RY708" s="27" t="s">
        <v>8</v>
      </c>
      <c r="RZ708" s="27" t="s">
        <v>7</v>
      </c>
      <c r="SA708" s="27" t="s">
        <v>8</v>
      </c>
      <c r="SB708" s="27" t="s">
        <v>7</v>
      </c>
    </row>
    <row r="709" spans="1:510" x14ac:dyDescent="0.25">
      <c r="A709" s="7">
        <v>8.9285111445528392E-2</v>
      </c>
      <c r="B709"/>
      <c r="C709"/>
      <c r="D709"/>
      <c r="E709"/>
      <c r="F709" s="27" t="s">
        <v>7</v>
      </c>
      <c r="MQ709" s="27" t="s">
        <v>8</v>
      </c>
      <c r="NB709" s="27" t="s">
        <v>7</v>
      </c>
      <c r="NC709" s="27" t="s">
        <v>8</v>
      </c>
      <c r="NL709" s="27" t="s">
        <v>7</v>
      </c>
      <c r="NM709" s="27" t="s">
        <v>8</v>
      </c>
      <c r="NN709" s="27" t="s">
        <v>7</v>
      </c>
      <c r="RS709" s="27" t="s">
        <v>8</v>
      </c>
      <c r="RT709" s="27" t="s">
        <v>7</v>
      </c>
      <c r="RU709" s="27" t="s">
        <v>8</v>
      </c>
      <c r="RV709" s="27" t="s">
        <v>7</v>
      </c>
      <c r="RW709" s="27" t="s">
        <v>8</v>
      </c>
      <c r="RX709" s="27" t="s">
        <v>7</v>
      </c>
      <c r="RZ709" s="27" t="s">
        <v>7</v>
      </c>
      <c r="SA709" s="27" t="s">
        <v>8</v>
      </c>
      <c r="SB709" s="27" t="s">
        <v>7</v>
      </c>
    </row>
    <row r="710" spans="1:510" x14ac:dyDescent="0.25">
      <c r="A710" s="7">
        <v>8.7534422985812155E-2</v>
      </c>
      <c r="B710"/>
      <c r="C710"/>
      <c r="D710"/>
      <c r="E710"/>
      <c r="F710" s="27" t="s">
        <v>7</v>
      </c>
      <c r="MQ710" s="27" t="s">
        <v>8</v>
      </c>
      <c r="NB710" s="27" t="s">
        <v>7</v>
      </c>
      <c r="NC710" s="27" t="s">
        <v>8</v>
      </c>
      <c r="NL710" s="27" t="s">
        <v>7</v>
      </c>
      <c r="NM710" s="27" t="s">
        <v>8</v>
      </c>
      <c r="NN710" s="27" t="s">
        <v>7</v>
      </c>
      <c r="OG710" s="27" t="s">
        <v>8</v>
      </c>
      <c r="RS710" s="27" t="s">
        <v>8</v>
      </c>
      <c r="RT710" s="27" t="s">
        <v>7</v>
      </c>
      <c r="RU710" s="27" t="s">
        <v>8</v>
      </c>
      <c r="RV710" s="27" t="s">
        <v>7</v>
      </c>
      <c r="RW710" s="27" t="s">
        <v>8</v>
      </c>
      <c r="RZ710" s="27" t="s">
        <v>7</v>
      </c>
      <c r="SA710" s="27" t="s">
        <v>8</v>
      </c>
      <c r="SB710" s="27" t="s">
        <v>7</v>
      </c>
    </row>
    <row r="711" spans="1:510" x14ac:dyDescent="0.25">
      <c r="A711" s="7">
        <v>8.5818061750796232E-2</v>
      </c>
      <c r="B711"/>
      <c r="C711"/>
      <c r="D711"/>
      <c r="E711"/>
      <c r="F711" s="27" t="s">
        <v>7</v>
      </c>
      <c r="MQ711" s="27" t="s">
        <v>8</v>
      </c>
      <c r="NB711" s="27" t="s">
        <v>7</v>
      </c>
      <c r="NC711" s="27" t="s">
        <v>8</v>
      </c>
      <c r="NL711" s="27" t="s">
        <v>7</v>
      </c>
      <c r="NM711" s="27" t="s">
        <v>8</v>
      </c>
      <c r="NN711" s="27" t="s">
        <v>7</v>
      </c>
      <c r="OG711" s="27" t="s">
        <v>8</v>
      </c>
      <c r="OH711" s="27" t="s">
        <v>7</v>
      </c>
      <c r="RS711" s="27" t="s">
        <v>8</v>
      </c>
      <c r="RT711" s="27" t="s">
        <v>7</v>
      </c>
      <c r="RU711" s="27" t="s">
        <v>8</v>
      </c>
      <c r="RV711" s="27" t="s">
        <v>7</v>
      </c>
      <c r="RW711" s="27" t="s">
        <v>8</v>
      </c>
      <c r="RZ711" s="27" t="s">
        <v>7</v>
      </c>
      <c r="SA711" s="27" t="s">
        <v>8</v>
      </c>
      <c r="SB711" s="27" t="s">
        <v>7</v>
      </c>
    </row>
    <row r="712" spans="1:510" x14ac:dyDescent="0.25">
      <c r="A712" s="7">
        <v>8.4135354657643366E-2</v>
      </c>
      <c r="B712"/>
      <c r="C712"/>
      <c r="D712"/>
      <c r="E712"/>
      <c r="F712" s="27" t="s">
        <v>7</v>
      </c>
      <c r="MQ712" s="27" t="s">
        <v>8</v>
      </c>
      <c r="NB712" s="27" t="s">
        <v>7</v>
      </c>
      <c r="NC712" s="27" t="s">
        <v>8</v>
      </c>
      <c r="NL712" s="27" t="s">
        <v>7</v>
      </c>
      <c r="NM712" s="27" t="s">
        <v>8</v>
      </c>
      <c r="NN712" s="27" t="s">
        <v>7</v>
      </c>
      <c r="OG712" s="27" t="s">
        <v>8</v>
      </c>
      <c r="OH712" s="27" t="s">
        <v>7</v>
      </c>
      <c r="RS712" s="27" t="s">
        <v>8</v>
      </c>
      <c r="RT712" s="27" t="s">
        <v>7</v>
      </c>
      <c r="RU712" s="27" t="s">
        <v>8</v>
      </c>
      <c r="RV712" s="27" t="s">
        <v>7</v>
      </c>
      <c r="RZ712" s="27" t="s">
        <v>7</v>
      </c>
      <c r="SA712" s="27" t="s">
        <v>8</v>
      </c>
      <c r="SB712" s="27" t="s">
        <v>7</v>
      </c>
    </row>
    <row r="713" spans="1:510" x14ac:dyDescent="0.25">
      <c r="A713" s="7">
        <v>8.248564182121898E-2</v>
      </c>
      <c r="B713"/>
      <c r="C713"/>
      <c r="D713"/>
      <c r="E713"/>
      <c r="F713" s="27" t="s">
        <v>7</v>
      </c>
      <c r="MQ713" s="27" t="s">
        <v>8</v>
      </c>
      <c r="NB713" s="27" t="s">
        <v>7</v>
      </c>
      <c r="NC713" s="27" t="s">
        <v>8</v>
      </c>
      <c r="NL713" s="27" t="s">
        <v>7</v>
      </c>
      <c r="NM713" s="27" t="s">
        <v>8</v>
      </c>
      <c r="NN713" s="27" t="s">
        <v>7</v>
      </c>
      <c r="OG713" s="27" t="s">
        <v>8</v>
      </c>
      <c r="OH713" s="27" t="s">
        <v>7</v>
      </c>
      <c r="RS713" s="27" t="s">
        <v>8</v>
      </c>
      <c r="RT713" s="27" t="s">
        <v>7</v>
      </c>
      <c r="RU713" s="27" t="s">
        <v>8</v>
      </c>
      <c r="RZ713" s="27" t="s">
        <v>7</v>
      </c>
      <c r="SB713" s="27" t="s">
        <v>7</v>
      </c>
    </row>
    <row r="714" spans="1:510" x14ac:dyDescent="0.25">
      <c r="A714" s="7">
        <v>8.0868276295312735E-2</v>
      </c>
      <c r="B714"/>
      <c r="C714"/>
      <c r="D714"/>
      <c r="E714"/>
      <c r="F714" s="27" t="s">
        <v>7</v>
      </c>
      <c r="MQ714" s="27" t="s">
        <v>8</v>
      </c>
      <c r="NB714" s="27" t="s">
        <v>7</v>
      </c>
      <c r="NC714" s="27" t="s">
        <v>8</v>
      </c>
      <c r="NL714" s="27" t="s">
        <v>7</v>
      </c>
      <c r="NM714" s="27" t="s">
        <v>8</v>
      </c>
      <c r="NN714" s="27" t="s">
        <v>7</v>
      </c>
      <c r="OG714" s="27" t="s">
        <v>8</v>
      </c>
      <c r="OH714" s="27" t="s">
        <v>7</v>
      </c>
      <c r="RQ714" s="27" t="s">
        <v>8</v>
      </c>
      <c r="RS714" s="27" t="s">
        <v>8</v>
      </c>
      <c r="RT714" s="27" t="s">
        <v>7</v>
      </c>
      <c r="SB714" s="27" t="s">
        <v>7</v>
      </c>
      <c r="SI714" s="27" t="s">
        <v>8</v>
      </c>
    </row>
    <row r="715" spans="1:510" x14ac:dyDescent="0.25">
      <c r="A715" s="7">
        <v>7.9282623818934056E-2</v>
      </c>
      <c r="B715"/>
      <c r="C715"/>
      <c r="D715"/>
      <c r="E715"/>
      <c r="F715" s="27" t="s">
        <v>7</v>
      </c>
      <c r="MQ715" s="27" t="s">
        <v>8</v>
      </c>
      <c r="NB715" s="27" t="s">
        <v>7</v>
      </c>
      <c r="NC715" s="27" t="s">
        <v>8</v>
      </c>
      <c r="NL715" s="27" t="s">
        <v>7</v>
      </c>
      <c r="NM715" s="27" t="s">
        <v>8</v>
      </c>
      <c r="NN715" s="27" t="s">
        <v>7</v>
      </c>
      <c r="NO715" s="27" t="s">
        <v>8</v>
      </c>
      <c r="OG715" s="27" t="s">
        <v>8</v>
      </c>
      <c r="OH715" s="27" t="s">
        <v>7</v>
      </c>
      <c r="RQ715" s="27" t="s">
        <v>8</v>
      </c>
      <c r="RR715" s="27" t="s">
        <v>7</v>
      </c>
      <c r="RS715" s="27" t="s">
        <v>8</v>
      </c>
      <c r="SB715" s="27" t="s">
        <v>7</v>
      </c>
      <c r="SC715" s="27" t="s">
        <v>8</v>
      </c>
      <c r="SI715" s="27" t="s">
        <v>8</v>
      </c>
      <c r="SJ715" s="27" t="s">
        <v>7</v>
      </c>
    </row>
    <row r="716" spans="1:510" x14ac:dyDescent="0.25">
      <c r="A716" s="7">
        <v>7.7728062567582412E-2</v>
      </c>
      <c r="B716"/>
      <c r="C716"/>
      <c r="D716"/>
      <c r="E716"/>
      <c r="F716" s="27" t="s">
        <v>7</v>
      </c>
      <c r="AE716" s="27" t="s">
        <v>8</v>
      </c>
      <c r="MC716" s="27" t="s">
        <v>8</v>
      </c>
      <c r="MM716" s="27" t="s">
        <v>8</v>
      </c>
      <c r="MQ716" s="27" t="s">
        <v>8</v>
      </c>
      <c r="NB716" s="27" t="s">
        <v>7</v>
      </c>
      <c r="NC716" s="27" t="s">
        <v>8</v>
      </c>
      <c r="NL716" s="27" t="s">
        <v>7</v>
      </c>
      <c r="NM716" s="27" t="s">
        <v>8</v>
      </c>
      <c r="NN716" s="27" t="s">
        <v>7</v>
      </c>
      <c r="NO716" s="27" t="s">
        <v>8</v>
      </c>
      <c r="NP716" s="27" t="s">
        <v>7</v>
      </c>
      <c r="OG716" s="27" t="s">
        <v>8</v>
      </c>
      <c r="OH716" s="27" t="s">
        <v>7</v>
      </c>
      <c r="RQ716" s="27" t="s">
        <v>8</v>
      </c>
      <c r="RR716" s="27" t="s">
        <v>7</v>
      </c>
      <c r="RS716" s="27" t="s">
        <v>8</v>
      </c>
      <c r="SB716" s="27" t="s">
        <v>7</v>
      </c>
      <c r="SC716" s="27" t="s">
        <v>8</v>
      </c>
      <c r="SD716" s="27" t="s">
        <v>7</v>
      </c>
      <c r="SI716" s="27" t="s">
        <v>8</v>
      </c>
      <c r="SJ716" s="27" t="s">
        <v>7</v>
      </c>
    </row>
    <row r="717" spans="1:510" x14ac:dyDescent="0.25">
      <c r="A717" s="7">
        <v>7.6203982909394521E-2</v>
      </c>
      <c r="B717"/>
      <c r="C717"/>
      <c r="D717"/>
      <c r="E717"/>
      <c r="F717" s="27" t="s">
        <v>7</v>
      </c>
      <c r="AE717" s="27" t="s">
        <v>8</v>
      </c>
      <c r="AF717" s="27" t="s">
        <v>7</v>
      </c>
      <c r="MC717" s="27" t="s">
        <v>8</v>
      </c>
      <c r="MD717" s="27" t="s">
        <v>7</v>
      </c>
      <c r="MM717" s="27" t="s">
        <v>8</v>
      </c>
      <c r="MN717" s="27" t="s">
        <v>7</v>
      </c>
      <c r="MQ717" s="27" t="s">
        <v>8</v>
      </c>
      <c r="NB717" s="27" t="s">
        <v>7</v>
      </c>
      <c r="NC717" s="27" t="s">
        <v>8</v>
      </c>
      <c r="NL717" s="27" t="s">
        <v>7</v>
      </c>
      <c r="NM717" s="27" t="s">
        <v>8</v>
      </c>
      <c r="NN717" s="27" t="s">
        <v>7</v>
      </c>
      <c r="NO717" s="27" t="s">
        <v>8</v>
      </c>
      <c r="NP717" s="27" t="s">
        <v>7</v>
      </c>
      <c r="OG717" s="27" t="s">
        <v>8</v>
      </c>
      <c r="OH717" s="27" t="s">
        <v>7</v>
      </c>
      <c r="RQ717" s="27" t="s">
        <v>8</v>
      </c>
      <c r="RR717" s="27" t="s">
        <v>7</v>
      </c>
      <c r="RS717" s="27" t="s">
        <v>8</v>
      </c>
      <c r="SB717" s="27" t="s">
        <v>7</v>
      </c>
      <c r="SC717" s="27" t="s">
        <v>8</v>
      </c>
      <c r="SD717" s="27" t="s">
        <v>7</v>
      </c>
      <c r="SE717" s="27" t="s">
        <v>8</v>
      </c>
      <c r="SI717" s="27" t="s">
        <v>8</v>
      </c>
      <c r="SJ717" s="27" t="s">
        <v>7</v>
      </c>
    </row>
    <row r="718" spans="1:510" x14ac:dyDescent="0.25">
      <c r="A718" s="7">
        <v>7.4709787166073058E-2</v>
      </c>
      <c r="B718"/>
      <c r="C718"/>
      <c r="D718"/>
      <c r="E718"/>
      <c r="F718" s="27" t="s">
        <v>7</v>
      </c>
      <c r="AE718" s="27" t="s">
        <v>8</v>
      </c>
      <c r="AF718" s="27" t="s">
        <v>7</v>
      </c>
      <c r="MC718" s="27" t="s">
        <v>8</v>
      </c>
      <c r="MD718" s="27" t="s">
        <v>7</v>
      </c>
      <c r="MM718" s="27" t="s">
        <v>8</v>
      </c>
      <c r="MN718" s="27" t="s">
        <v>7</v>
      </c>
      <c r="MQ718" s="27" t="s">
        <v>8</v>
      </c>
      <c r="NB718" s="27" t="s">
        <v>7</v>
      </c>
      <c r="NC718" s="27" t="s">
        <v>8</v>
      </c>
      <c r="NL718" s="27" t="s">
        <v>7</v>
      </c>
      <c r="NN718" s="27" t="s">
        <v>7</v>
      </c>
      <c r="NO718" s="27" t="s">
        <v>8</v>
      </c>
      <c r="NP718" s="27" t="s">
        <v>7</v>
      </c>
      <c r="OG718" s="27" t="s">
        <v>8</v>
      </c>
      <c r="OH718" s="27" t="s">
        <v>7</v>
      </c>
      <c r="RQ718" s="27" t="s">
        <v>8</v>
      </c>
      <c r="RR718" s="27" t="s">
        <v>7</v>
      </c>
      <c r="RS718" s="27" t="s">
        <v>8</v>
      </c>
      <c r="SB718" s="27" t="s">
        <v>7</v>
      </c>
      <c r="SC718" s="27" t="s">
        <v>8</v>
      </c>
      <c r="SD718" s="27" t="s">
        <v>7</v>
      </c>
      <c r="SE718" s="27" t="s">
        <v>8</v>
      </c>
      <c r="SF718" s="27" t="s">
        <v>7</v>
      </c>
      <c r="SI718" s="27" t="s">
        <v>8</v>
      </c>
      <c r="SJ718" s="27" t="s">
        <v>7</v>
      </c>
    </row>
    <row r="719" spans="1:510" x14ac:dyDescent="0.25">
      <c r="A719" s="7">
        <v>7.3244889378503E-2</v>
      </c>
      <c r="B719"/>
      <c r="C719"/>
      <c r="D719"/>
      <c r="E719"/>
      <c r="F719" s="27" t="s">
        <v>7</v>
      </c>
      <c r="AE719" s="27" t="s">
        <v>8</v>
      </c>
      <c r="AF719" s="27" t="s">
        <v>7</v>
      </c>
      <c r="MC719" s="27" t="s">
        <v>8</v>
      </c>
      <c r="MD719" s="27" t="s">
        <v>7</v>
      </c>
      <c r="MM719" s="27" t="s">
        <v>8</v>
      </c>
      <c r="MN719" s="27" t="s">
        <v>7</v>
      </c>
      <c r="MO719" s="27" t="s">
        <v>8</v>
      </c>
      <c r="MQ719" s="27" t="s">
        <v>8</v>
      </c>
      <c r="NB719" s="27" t="s">
        <v>7</v>
      </c>
      <c r="NC719" s="27" t="s">
        <v>8</v>
      </c>
      <c r="NN719" s="27" t="s">
        <v>7</v>
      </c>
      <c r="NO719" s="27" t="s">
        <v>8</v>
      </c>
      <c r="NP719" s="27" t="s">
        <v>7</v>
      </c>
      <c r="OG719" s="27" t="s">
        <v>8</v>
      </c>
      <c r="OH719" s="27" t="s">
        <v>7</v>
      </c>
      <c r="RQ719" s="27" t="s">
        <v>8</v>
      </c>
      <c r="RR719" s="27" t="s">
        <v>7</v>
      </c>
      <c r="RS719" s="27" t="s">
        <v>8</v>
      </c>
      <c r="SB719" s="27" t="s">
        <v>7</v>
      </c>
      <c r="SC719" s="27" t="s">
        <v>8</v>
      </c>
      <c r="SD719" s="27" t="s">
        <v>7</v>
      </c>
      <c r="SE719" s="27" t="s">
        <v>8</v>
      </c>
      <c r="SF719" s="27" t="s">
        <v>7</v>
      </c>
      <c r="SI719" s="27" t="s">
        <v>8</v>
      </c>
      <c r="SJ719" s="27" t="s">
        <v>7</v>
      </c>
      <c r="SO719" s="27" t="s">
        <v>8</v>
      </c>
    </row>
    <row r="720" spans="1:510" x14ac:dyDescent="0.25">
      <c r="A720" s="7">
        <v>7.1808715076963722E-2</v>
      </c>
      <c r="B720"/>
      <c r="C720"/>
      <c r="D720"/>
      <c r="E720"/>
      <c r="F720" s="27" t="s">
        <v>7</v>
      </c>
      <c r="AE720" s="27" t="s">
        <v>8</v>
      </c>
      <c r="AF720" s="27" t="s">
        <v>7</v>
      </c>
      <c r="MC720" s="27" t="s">
        <v>8</v>
      </c>
      <c r="MD720" s="27" t="s">
        <v>7</v>
      </c>
      <c r="MM720" s="27" t="s">
        <v>8</v>
      </c>
      <c r="MN720" s="27" t="s">
        <v>7</v>
      </c>
      <c r="MO720" s="27" t="s">
        <v>8</v>
      </c>
      <c r="MP720" s="27" t="s">
        <v>7</v>
      </c>
      <c r="MQ720" s="27" t="s">
        <v>8</v>
      </c>
      <c r="NB720" s="27" t="s">
        <v>7</v>
      </c>
      <c r="NC720" s="27" t="s">
        <v>8</v>
      </c>
      <c r="NN720" s="27" t="s">
        <v>7</v>
      </c>
      <c r="NP720" s="27" t="s">
        <v>7</v>
      </c>
      <c r="OG720" s="27" t="s">
        <v>8</v>
      </c>
      <c r="OH720" s="27" t="s">
        <v>7</v>
      </c>
      <c r="RQ720" s="27" t="s">
        <v>8</v>
      </c>
      <c r="RR720" s="27" t="s">
        <v>7</v>
      </c>
      <c r="RS720" s="27" t="s">
        <v>8</v>
      </c>
      <c r="SB720" s="27" t="s">
        <v>7</v>
      </c>
      <c r="SC720" s="27" t="s">
        <v>8</v>
      </c>
      <c r="SD720" s="27" t="s">
        <v>7</v>
      </c>
      <c r="SE720" s="27" t="s">
        <v>8</v>
      </c>
      <c r="SF720" s="27" t="s">
        <v>7</v>
      </c>
      <c r="SI720" s="27" t="s">
        <v>8</v>
      </c>
      <c r="SJ720" s="27" t="s">
        <v>7</v>
      </c>
      <c r="SO720" s="27" t="s">
        <v>8</v>
      </c>
      <c r="SP720" s="27" t="s">
        <v>7</v>
      </c>
    </row>
    <row r="721" spans="1:519" x14ac:dyDescent="0.25">
      <c r="A721" s="7">
        <v>7.0400701055846782E-2</v>
      </c>
      <c r="B721"/>
      <c r="C721"/>
      <c r="D721"/>
      <c r="E721"/>
      <c r="F721" s="27" t="s">
        <v>7</v>
      </c>
      <c r="AE721" s="27" t="s">
        <v>8</v>
      </c>
      <c r="AF721" s="27" t="s">
        <v>7</v>
      </c>
      <c r="MC721" s="27" t="s">
        <v>8</v>
      </c>
      <c r="MD721" s="27" t="s">
        <v>7</v>
      </c>
      <c r="MM721" s="27" t="s">
        <v>8</v>
      </c>
      <c r="MN721" s="27" t="s">
        <v>7</v>
      </c>
      <c r="MO721" s="27" t="s">
        <v>8</v>
      </c>
      <c r="MP721" s="27" t="s">
        <v>7</v>
      </c>
      <c r="MQ721" s="27" t="s">
        <v>8</v>
      </c>
      <c r="NB721" s="27" t="s">
        <v>7</v>
      </c>
      <c r="NC721" s="27" t="s">
        <v>8</v>
      </c>
      <c r="NP721" s="27" t="s">
        <v>7</v>
      </c>
      <c r="NW721" s="27" t="s">
        <v>8</v>
      </c>
      <c r="OG721" s="27" t="s">
        <v>8</v>
      </c>
      <c r="OH721" s="27" t="s">
        <v>7</v>
      </c>
      <c r="QC721" s="27" t="s">
        <v>8</v>
      </c>
      <c r="RQ721" s="27" t="s">
        <v>8</v>
      </c>
      <c r="RR721" s="27" t="s">
        <v>7</v>
      </c>
      <c r="RS721" s="27" t="s">
        <v>8</v>
      </c>
      <c r="SB721" s="27" t="s">
        <v>7</v>
      </c>
      <c r="SC721" s="27" t="s">
        <v>8</v>
      </c>
      <c r="SD721" s="27" t="s">
        <v>7</v>
      </c>
      <c r="SE721" s="27" t="s">
        <v>8</v>
      </c>
      <c r="SF721" s="27" t="s">
        <v>7</v>
      </c>
      <c r="SG721" s="27" t="s">
        <v>8</v>
      </c>
      <c r="SI721" s="27" t="s">
        <v>8</v>
      </c>
      <c r="SJ721" s="27" t="s">
        <v>7</v>
      </c>
      <c r="SO721" s="27" t="s">
        <v>8</v>
      </c>
      <c r="SP721" s="27" t="s">
        <v>7</v>
      </c>
    </row>
    <row r="722" spans="1:519" x14ac:dyDescent="0.25">
      <c r="A722" s="7">
        <v>6.9020295152790956E-2</v>
      </c>
      <c r="B722"/>
      <c r="C722"/>
      <c r="D722"/>
      <c r="E722"/>
      <c r="F722" s="27" t="s">
        <v>7</v>
      </c>
      <c r="AE722" s="27" t="s">
        <v>8</v>
      </c>
      <c r="AF722" s="27" t="s">
        <v>7</v>
      </c>
      <c r="MC722" s="27" t="s">
        <v>8</v>
      </c>
      <c r="MD722" s="27" t="s">
        <v>7</v>
      </c>
      <c r="MM722" s="27" t="s">
        <v>8</v>
      </c>
      <c r="MN722" s="27" t="s">
        <v>7</v>
      </c>
      <c r="MO722" s="27" t="s">
        <v>8</v>
      </c>
      <c r="MP722" s="27" t="s">
        <v>7</v>
      </c>
      <c r="MQ722" s="27" t="s">
        <v>8</v>
      </c>
      <c r="NB722" s="27" t="s">
        <v>7</v>
      </c>
      <c r="NC722" s="27" t="s">
        <v>8</v>
      </c>
      <c r="NP722" s="27" t="s">
        <v>7</v>
      </c>
      <c r="NW722" s="27" t="s">
        <v>8</v>
      </c>
      <c r="NX722" s="27" t="s">
        <v>7</v>
      </c>
      <c r="OG722" s="27" t="s">
        <v>8</v>
      </c>
      <c r="OH722" s="27" t="s">
        <v>7</v>
      </c>
      <c r="QC722" s="27" t="s">
        <v>8</v>
      </c>
      <c r="QD722" s="27" t="s">
        <v>7</v>
      </c>
      <c r="RQ722" s="27" t="s">
        <v>8</v>
      </c>
      <c r="RR722" s="27" t="s">
        <v>7</v>
      </c>
      <c r="RS722" s="27" t="s">
        <v>8</v>
      </c>
      <c r="SB722" s="27" t="s">
        <v>7</v>
      </c>
      <c r="SC722" s="27" t="s">
        <v>8</v>
      </c>
      <c r="SD722" s="27" t="s">
        <v>7</v>
      </c>
      <c r="SE722" s="27" t="s">
        <v>8</v>
      </c>
      <c r="SF722" s="27" t="s">
        <v>7</v>
      </c>
      <c r="SG722" s="27" t="s">
        <v>8</v>
      </c>
      <c r="SH722" s="27" t="s">
        <v>7</v>
      </c>
      <c r="SI722" s="27" t="s">
        <v>8</v>
      </c>
      <c r="SJ722" s="27" t="s">
        <v>7</v>
      </c>
      <c r="SM722" s="27" t="s">
        <v>8</v>
      </c>
      <c r="SO722" s="27" t="s">
        <v>8</v>
      </c>
      <c r="SP722" s="27" t="s">
        <v>7</v>
      </c>
    </row>
    <row r="723" spans="1:519" x14ac:dyDescent="0.25">
      <c r="A723" s="7">
        <v>6.7666956032147993E-2</v>
      </c>
      <c r="B723"/>
      <c r="C723"/>
      <c r="D723"/>
      <c r="E723"/>
      <c r="F723" s="27" t="s">
        <v>7</v>
      </c>
      <c r="AE723" s="27" t="s">
        <v>8</v>
      </c>
      <c r="AF723" s="27" t="s">
        <v>7</v>
      </c>
      <c r="AG723" s="27" t="s">
        <v>8</v>
      </c>
      <c r="MC723" s="27" t="s">
        <v>8</v>
      </c>
      <c r="MD723" s="27" t="s">
        <v>7</v>
      </c>
      <c r="MM723" s="27" t="s">
        <v>8</v>
      </c>
      <c r="MN723" s="27" t="s">
        <v>7</v>
      </c>
      <c r="MO723" s="27" t="s">
        <v>8</v>
      </c>
      <c r="MP723" s="27" t="s">
        <v>7</v>
      </c>
      <c r="MQ723" s="27" t="s">
        <v>8</v>
      </c>
      <c r="NB723" s="27" t="s">
        <v>7</v>
      </c>
      <c r="NC723" s="27" t="s">
        <v>8</v>
      </c>
      <c r="NP723" s="27" t="s">
        <v>7</v>
      </c>
      <c r="NW723" s="27" t="s">
        <v>8</v>
      </c>
      <c r="NX723" s="27" t="s">
        <v>7</v>
      </c>
      <c r="OG723" s="27" t="s">
        <v>8</v>
      </c>
      <c r="OH723" s="27" t="s">
        <v>7</v>
      </c>
      <c r="QC723" s="27" t="s">
        <v>8</v>
      </c>
      <c r="QD723" s="27" t="s">
        <v>7</v>
      </c>
      <c r="RQ723" s="27" t="s">
        <v>8</v>
      </c>
      <c r="RR723" s="27" t="s">
        <v>7</v>
      </c>
      <c r="RS723" s="27" t="s">
        <v>8</v>
      </c>
      <c r="SB723" s="27" t="s">
        <v>7</v>
      </c>
      <c r="SC723" s="27" t="s">
        <v>8</v>
      </c>
      <c r="SD723" s="27" t="s">
        <v>7</v>
      </c>
      <c r="SE723" s="27" t="s">
        <v>8</v>
      </c>
      <c r="SF723" s="27" t="s">
        <v>7</v>
      </c>
      <c r="SG723" s="27" t="s">
        <v>8</v>
      </c>
      <c r="SH723" s="27" t="s">
        <v>7</v>
      </c>
      <c r="SI723" s="27" t="s">
        <v>8</v>
      </c>
      <c r="SJ723" s="27" t="s">
        <v>7</v>
      </c>
      <c r="SM723" s="27" t="s">
        <v>8</v>
      </c>
      <c r="SN723" s="27" t="s">
        <v>7</v>
      </c>
      <c r="SO723" s="27" t="s">
        <v>8</v>
      </c>
      <c r="SP723" s="27" t="s">
        <v>7</v>
      </c>
    </row>
    <row r="724" spans="1:519" x14ac:dyDescent="0.25">
      <c r="A724" s="7">
        <v>6.6340152972694105E-2</v>
      </c>
      <c r="B724"/>
      <c r="C724"/>
      <c r="D724"/>
      <c r="E724"/>
      <c r="F724" s="27" t="s">
        <v>7</v>
      </c>
      <c r="AE724" s="27" t="s">
        <v>8</v>
      </c>
      <c r="AF724" s="27" t="s">
        <v>7</v>
      </c>
      <c r="AG724" s="27" t="s">
        <v>8</v>
      </c>
      <c r="AH724" s="27" t="s">
        <v>7</v>
      </c>
      <c r="MC724" s="27" t="s">
        <v>8</v>
      </c>
      <c r="MD724" s="27" t="s">
        <v>7</v>
      </c>
      <c r="MM724" s="27" t="s">
        <v>8</v>
      </c>
      <c r="MN724" s="27" t="s">
        <v>7</v>
      </c>
      <c r="MO724" s="27" t="s">
        <v>8</v>
      </c>
      <c r="MP724" s="27" t="s">
        <v>7</v>
      </c>
      <c r="MQ724" s="27" t="s">
        <v>8</v>
      </c>
      <c r="NB724" s="27" t="s">
        <v>7</v>
      </c>
      <c r="NC724" s="27" t="s">
        <v>8</v>
      </c>
      <c r="NP724" s="27" t="s">
        <v>7</v>
      </c>
      <c r="NW724" s="27" t="s">
        <v>8</v>
      </c>
      <c r="NX724" s="27" t="s">
        <v>7</v>
      </c>
      <c r="OG724" s="27" t="s">
        <v>8</v>
      </c>
      <c r="OH724" s="27" t="s">
        <v>7</v>
      </c>
      <c r="QC724" s="27" t="s">
        <v>8</v>
      </c>
      <c r="QD724" s="27" t="s">
        <v>7</v>
      </c>
      <c r="RQ724" s="27" t="s">
        <v>8</v>
      </c>
      <c r="RR724" s="27" t="s">
        <v>7</v>
      </c>
      <c r="RS724" s="27" t="s">
        <v>8</v>
      </c>
      <c r="SB724" s="27" t="s">
        <v>7</v>
      </c>
      <c r="SC724" s="27" t="s">
        <v>8</v>
      </c>
      <c r="SD724" s="27" t="s">
        <v>7</v>
      </c>
      <c r="SE724" s="27" t="s">
        <v>8</v>
      </c>
      <c r="SF724" s="27" t="s">
        <v>7</v>
      </c>
      <c r="SG724" s="27" t="s">
        <v>8</v>
      </c>
      <c r="SH724" s="27" t="s">
        <v>7</v>
      </c>
      <c r="SI724" s="27" t="s">
        <v>8</v>
      </c>
      <c r="SJ724" s="27" t="s">
        <v>7</v>
      </c>
      <c r="SM724" s="27" t="s">
        <v>8</v>
      </c>
      <c r="SN724" s="27" t="s">
        <v>7</v>
      </c>
      <c r="SO724" s="27" t="s">
        <v>8</v>
      </c>
      <c r="SP724" s="27" t="s">
        <v>7</v>
      </c>
      <c r="SS724" s="27" t="s">
        <v>8</v>
      </c>
    </row>
    <row r="725" spans="1:519" x14ac:dyDescent="0.25">
      <c r="A725" s="7">
        <v>6.5039365659504023E-2</v>
      </c>
      <c r="B725"/>
      <c r="C725"/>
      <c r="D725"/>
      <c r="E725"/>
      <c r="F725" s="27" t="s">
        <v>7</v>
      </c>
      <c r="AE725" s="27" t="s">
        <v>8</v>
      </c>
      <c r="AF725" s="27" t="s">
        <v>7</v>
      </c>
      <c r="AG725" s="27" t="s">
        <v>8</v>
      </c>
      <c r="AH725" s="27" t="s">
        <v>7</v>
      </c>
      <c r="MC725" s="27" t="s">
        <v>8</v>
      </c>
      <c r="MD725" s="27" t="s">
        <v>7</v>
      </c>
      <c r="MM725" s="27" t="s">
        <v>8</v>
      </c>
      <c r="MN725" s="27" t="s">
        <v>7</v>
      </c>
      <c r="MO725" s="27" t="s">
        <v>8</v>
      </c>
      <c r="MP725" s="27" t="s">
        <v>7</v>
      </c>
      <c r="MQ725" s="27" t="s">
        <v>8</v>
      </c>
      <c r="NB725" s="27" t="s">
        <v>7</v>
      </c>
      <c r="NC725" s="27" t="s">
        <v>8</v>
      </c>
      <c r="NP725" s="27" t="s">
        <v>7</v>
      </c>
      <c r="NW725" s="27" t="s">
        <v>8</v>
      </c>
      <c r="NX725" s="27" t="s">
        <v>7</v>
      </c>
      <c r="OG725" s="27" t="s">
        <v>8</v>
      </c>
      <c r="OH725" s="27" t="s">
        <v>7</v>
      </c>
      <c r="QC725" s="27" t="s">
        <v>8</v>
      </c>
      <c r="QD725" s="27" t="s">
        <v>7</v>
      </c>
      <c r="RQ725" s="27" t="s">
        <v>8</v>
      </c>
      <c r="RR725" s="27" t="s">
        <v>7</v>
      </c>
      <c r="RS725" s="27" t="s">
        <v>8</v>
      </c>
      <c r="SB725" s="27" t="s">
        <v>7</v>
      </c>
      <c r="SC725" s="27" t="s">
        <v>8</v>
      </c>
      <c r="SD725" s="27" t="s">
        <v>7</v>
      </c>
      <c r="SE725" s="27" t="s">
        <v>8</v>
      </c>
      <c r="SF725" s="27" t="s">
        <v>7</v>
      </c>
      <c r="SG725" s="27" t="s">
        <v>8</v>
      </c>
      <c r="SH725" s="27" t="s">
        <v>7</v>
      </c>
      <c r="SI725" s="27" t="s">
        <v>8</v>
      </c>
      <c r="SJ725" s="27" t="s">
        <v>7</v>
      </c>
      <c r="SK725" s="27" t="s">
        <v>8</v>
      </c>
      <c r="SM725" s="27" t="s">
        <v>8</v>
      </c>
      <c r="SN725" s="27" t="s">
        <v>7</v>
      </c>
      <c r="SO725" s="27" t="s">
        <v>8</v>
      </c>
      <c r="SP725" s="27" t="s">
        <v>7</v>
      </c>
      <c r="SS725" s="27" t="s">
        <v>8</v>
      </c>
      <c r="ST725" s="27" t="s">
        <v>7</v>
      </c>
    </row>
    <row r="726" spans="1:519" x14ac:dyDescent="0.25">
      <c r="A726" s="7">
        <v>6.3764083979905906E-2</v>
      </c>
      <c r="B726"/>
      <c r="C726"/>
      <c r="D726"/>
      <c r="E726"/>
      <c r="F726" s="27" t="s">
        <v>7</v>
      </c>
      <c r="AE726" s="27" t="s">
        <v>8</v>
      </c>
      <c r="AF726" s="27" t="s">
        <v>7</v>
      </c>
      <c r="AG726" s="27" t="s">
        <v>8</v>
      </c>
      <c r="AH726" s="27" t="s">
        <v>7</v>
      </c>
      <c r="MC726" s="27" t="s">
        <v>8</v>
      </c>
      <c r="MD726" s="27" t="s">
        <v>7</v>
      </c>
      <c r="MM726" s="27" t="s">
        <v>8</v>
      </c>
      <c r="MN726" s="27" t="s">
        <v>7</v>
      </c>
      <c r="MO726" s="27" t="s">
        <v>8</v>
      </c>
      <c r="MP726" s="27" t="s">
        <v>7</v>
      </c>
      <c r="MQ726" s="27" t="s">
        <v>8</v>
      </c>
      <c r="NB726" s="27" t="s">
        <v>7</v>
      </c>
      <c r="NC726" s="27" t="s">
        <v>8</v>
      </c>
      <c r="NP726" s="27" t="s">
        <v>7</v>
      </c>
      <c r="NW726" s="27" t="s">
        <v>8</v>
      </c>
      <c r="NX726" s="27" t="s">
        <v>7</v>
      </c>
      <c r="OG726" s="27" t="s">
        <v>8</v>
      </c>
      <c r="OH726" s="27" t="s">
        <v>7</v>
      </c>
      <c r="PQ726" s="27" t="s">
        <v>8</v>
      </c>
      <c r="QC726" s="27" t="s">
        <v>8</v>
      </c>
      <c r="QD726" s="27" t="s">
        <v>7</v>
      </c>
      <c r="QK726" s="27" t="s">
        <v>8</v>
      </c>
      <c r="RQ726" s="27" t="s">
        <v>8</v>
      </c>
      <c r="RR726" s="27" t="s">
        <v>7</v>
      </c>
      <c r="RS726" s="27" t="s">
        <v>8</v>
      </c>
      <c r="SB726" s="27" t="s">
        <v>7</v>
      </c>
      <c r="SD726" s="27" t="s">
        <v>7</v>
      </c>
      <c r="SE726" s="27" t="s">
        <v>8</v>
      </c>
      <c r="SF726" s="27" t="s">
        <v>7</v>
      </c>
      <c r="SG726" s="27" t="s">
        <v>8</v>
      </c>
      <c r="SH726" s="27" t="s">
        <v>7</v>
      </c>
      <c r="SI726" s="27" t="s">
        <v>8</v>
      </c>
      <c r="SJ726" s="27" t="s">
        <v>7</v>
      </c>
      <c r="SK726" s="27" t="s">
        <v>8</v>
      </c>
      <c r="SL726" s="27" t="s">
        <v>7</v>
      </c>
      <c r="SM726" s="27" t="s">
        <v>8</v>
      </c>
      <c r="SN726" s="27" t="s">
        <v>7</v>
      </c>
      <c r="SO726" s="27" t="s">
        <v>8</v>
      </c>
      <c r="SP726" s="27" t="s">
        <v>7</v>
      </c>
      <c r="SS726" s="27" t="s">
        <v>8</v>
      </c>
      <c r="ST726" s="27" t="s">
        <v>7</v>
      </c>
    </row>
    <row r="727" spans="1:519" x14ac:dyDescent="0.25">
      <c r="A727" s="7">
        <v>6.251380782343717E-2</v>
      </c>
      <c r="B727"/>
      <c r="C727"/>
      <c r="D727"/>
      <c r="E727"/>
      <c r="F727" s="27" t="s">
        <v>7</v>
      </c>
      <c r="AE727" s="27" t="s">
        <v>8</v>
      </c>
      <c r="AF727" s="27" t="s">
        <v>7</v>
      </c>
      <c r="AG727" s="27" t="s">
        <v>8</v>
      </c>
      <c r="AH727" s="27" t="s">
        <v>7</v>
      </c>
      <c r="MC727" s="27" t="s">
        <v>8</v>
      </c>
      <c r="MD727" s="27" t="s">
        <v>7</v>
      </c>
      <c r="MM727" s="27" t="s">
        <v>8</v>
      </c>
      <c r="MN727" s="27" t="s">
        <v>7</v>
      </c>
      <c r="MO727" s="27" t="s">
        <v>8</v>
      </c>
      <c r="MP727" s="27" t="s">
        <v>7</v>
      </c>
      <c r="MQ727" s="27" t="s">
        <v>8</v>
      </c>
      <c r="NB727" s="27" t="s">
        <v>7</v>
      </c>
      <c r="NP727" s="27" t="s">
        <v>7</v>
      </c>
      <c r="NW727" s="27" t="s">
        <v>8</v>
      </c>
      <c r="NX727" s="27" t="s">
        <v>7</v>
      </c>
      <c r="OG727" s="27" t="s">
        <v>8</v>
      </c>
      <c r="OH727" s="27" t="s">
        <v>7</v>
      </c>
      <c r="PQ727" s="27" t="s">
        <v>8</v>
      </c>
      <c r="PR727" s="27" t="s">
        <v>7</v>
      </c>
      <c r="PS727" s="27" t="s">
        <v>8</v>
      </c>
      <c r="PW727" s="27" t="s">
        <v>8</v>
      </c>
      <c r="QA727" s="27" t="s">
        <v>8</v>
      </c>
      <c r="QC727" s="27" t="s">
        <v>8</v>
      </c>
      <c r="QD727" s="27" t="s">
        <v>7</v>
      </c>
      <c r="QK727" s="27" t="s">
        <v>8</v>
      </c>
      <c r="QL727" s="27" t="s">
        <v>7</v>
      </c>
      <c r="RQ727" s="27" t="s">
        <v>8</v>
      </c>
      <c r="RR727" s="27" t="s">
        <v>7</v>
      </c>
      <c r="RS727" s="27" t="s">
        <v>8</v>
      </c>
      <c r="SD727" s="27" t="s">
        <v>7</v>
      </c>
      <c r="SE727" s="27" t="s">
        <v>8</v>
      </c>
      <c r="SF727" s="27" t="s">
        <v>7</v>
      </c>
      <c r="SG727" s="27" t="s">
        <v>8</v>
      </c>
      <c r="SH727" s="27" t="s">
        <v>7</v>
      </c>
      <c r="SI727" s="27" t="s">
        <v>8</v>
      </c>
      <c r="SJ727" s="27" t="s">
        <v>7</v>
      </c>
      <c r="SK727" s="27" t="s">
        <v>8</v>
      </c>
      <c r="SL727" s="27" t="s">
        <v>7</v>
      </c>
      <c r="SM727" s="27" t="s">
        <v>8</v>
      </c>
      <c r="SN727" s="27" t="s">
        <v>7</v>
      </c>
      <c r="SP727" s="27" t="s">
        <v>7</v>
      </c>
      <c r="SQ727" s="27" t="s">
        <v>8</v>
      </c>
      <c r="SS727" s="27" t="s">
        <v>8</v>
      </c>
      <c r="ST727" s="27" t="s">
        <v>7</v>
      </c>
    </row>
    <row r="728" spans="1:519" x14ac:dyDescent="0.25">
      <c r="A728" s="7">
        <v>6.1288046885722716E-2</v>
      </c>
      <c r="B728"/>
      <c r="C728"/>
      <c r="D728"/>
      <c r="E728"/>
      <c r="F728" s="27" t="s">
        <v>7</v>
      </c>
      <c r="U728" s="27" t="s">
        <v>8</v>
      </c>
      <c r="AE728" s="27" t="s">
        <v>8</v>
      </c>
      <c r="AF728" s="27" t="s">
        <v>7</v>
      </c>
      <c r="AG728" s="27" t="s">
        <v>8</v>
      </c>
      <c r="AH728" s="27" t="s">
        <v>7</v>
      </c>
      <c r="MC728" s="27" t="s">
        <v>8</v>
      </c>
      <c r="MD728" s="27" t="s">
        <v>7</v>
      </c>
      <c r="MM728" s="27" t="s">
        <v>8</v>
      </c>
      <c r="MN728" s="27" t="s">
        <v>7</v>
      </c>
      <c r="MO728" s="27" t="s">
        <v>8</v>
      </c>
      <c r="MP728" s="27" t="s">
        <v>7</v>
      </c>
      <c r="MQ728" s="27" t="s">
        <v>8</v>
      </c>
      <c r="NP728" s="27" t="s">
        <v>7</v>
      </c>
      <c r="NW728" s="27" t="s">
        <v>8</v>
      </c>
      <c r="NX728" s="27" t="s">
        <v>7</v>
      </c>
      <c r="OE728" s="27" t="s">
        <v>8</v>
      </c>
      <c r="OG728" s="27" t="s">
        <v>8</v>
      </c>
      <c r="OH728" s="27" t="s">
        <v>7</v>
      </c>
      <c r="PQ728" s="27" t="s">
        <v>8</v>
      </c>
      <c r="PR728" s="27" t="s">
        <v>7</v>
      </c>
      <c r="PS728" s="27" t="s">
        <v>8</v>
      </c>
      <c r="PT728" s="27" t="s">
        <v>7</v>
      </c>
      <c r="PU728" s="27" t="s">
        <v>8</v>
      </c>
      <c r="PW728" s="27" t="s">
        <v>8</v>
      </c>
      <c r="PX728" s="27" t="s">
        <v>7</v>
      </c>
      <c r="QA728" s="27" t="s">
        <v>8</v>
      </c>
      <c r="QB728" s="27" t="s">
        <v>7</v>
      </c>
      <c r="QC728" s="27" t="s">
        <v>8</v>
      </c>
      <c r="QD728" s="27" t="s">
        <v>7</v>
      </c>
      <c r="QK728" s="27" t="s">
        <v>8</v>
      </c>
      <c r="QL728" s="27" t="s">
        <v>7</v>
      </c>
      <c r="RQ728" s="27" t="s">
        <v>8</v>
      </c>
      <c r="RR728" s="27" t="s">
        <v>7</v>
      </c>
      <c r="RS728" s="27" t="s">
        <v>8</v>
      </c>
      <c r="SD728" s="27" t="s">
        <v>7</v>
      </c>
      <c r="SF728" s="27" t="s">
        <v>7</v>
      </c>
      <c r="SG728" s="27" t="s">
        <v>8</v>
      </c>
      <c r="SH728" s="27" t="s">
        <v>7</v>
      </c>
      <c r="SI728" s="27" t="s">
        <v>8</v>
      </c>
      <c r="SJ728" s="27" t="s">
        <v>7</v>
      </c>
      <c r="SK728" s="27" t="s">
        <v>8</v>
      </c>
      <c r="SL728" s="27" t="s">
        <v>7</v>
      </c>
      <c r="SM728" s="27" t="s">
        <v>8</v>
      </c>
      <c r="SP728" s="27" t="s">
        <v>7</v>
      </c>
      <c r="SQ728" s="27" t="s">
        <v>8</v>
      </c>
      <c r="SR728" s="27" t="s">
        <v>7</v>
      </c>
      <c r="SS728" s="27" t="s">
        <v>8</v>
      </c>
      <c r="ST728" s="27" t="s">
        <v>7</v>
      </c>
    </row>
    <row r="729" spans="1:519" x14ac:dyDescent="0.25">
      <c r="A729" s="7">
        <v>6.0086320476198739E-2</v>
      </c>
      <c r="B729"/>
      <c r="C729"/>
      <c r="D729"/>
      <c r="E729"/>
      <c r="F729" s="27" t="s">
        <v>7</v>
      </c>
      <c r="G729" s="27" t="s">
        <v>8</v>
      </c>
      <c r="U729" s="27" t="s">
        <v>8</v>
      </c>
      <c r="V729" s="27" t="s">
        <v>7</v>
      </c>
      <c r="AE729" s="27" t="s">
        <v>8</v>
      </c>
      <c r="AF729" s="27" t="s">
        <v>7</v>
      </c>
      <c r="AG729" s="27" t="s">
        <v>8</v>
      </c>
      <c r="AH729" s="27" t="s">
        <v>7</v>
      </c>
      <c r="MC729" s="27" t="s">
        <v>8</v>
      </c>
      <c r="MD729" s="27" t="s">
        <v>7</v>
      </c>
      <c r="ME729" s="27" t="s">
        <v>8</v>
      </c>
      <c r="MM729" s="27" t="s">
        <v>8</v>
      </c>
      <c r="MN729" s="27" t="s">
        <v>7</v>
      </c>
      <c r="MO729" s="27" t="s">
        <v>8</v>
      </c>
      <c r="MP729" s="27" t="s">
        <v>7</v>
      </c>
      <c r="MQ729" s="27" t="s">
        <v>8</v>
      </c>
      <c r="NP729" s="27" t="s">
        <v>7</v>
      </c>
      <c r="NW729" s="27" t="s">
        <v>8</v>
      </c>
      <c r="NX729" s="27" t="s">
        <v>7</v>
      </c>
      <c r="OE729" s="27" t="s">
        <v>8</v>
      </c>
      <c r="OF729" s="27" t="s">
        <v>7</v>
      </c>
      <c r="OG729" s="27" t="s">
        <v>8</v>
      </c>
      <c r="OH729" s="27" t="s">
        <v>7</v>
      </c>
      <c r="OI729" s="27" t="s">
        <v>8</v>
      </c>
      <c r="PA729" s="27" t="s">
        <v>8</v>
      </c>
      <c r="PQ729" s="27" t="s">
        <v>8</v>
      </c>
      <c r="PR729" s="27" t="s">
        <v>7</v>
      </c>
      <c r="PS729" s="27" t="s">
        <v>8</v>
      </c>
      <c r="PT729" s="27" t="s">
        <v>7</v>
      </c>
      <c r="PU729" s="27" t="s">
        <v>8</v>
      </c>
      <c r="PV729" s="27" t="s">
        <v>7</v>
      </c>
      <c r="PW729" s="27" t="s">
        <v>8</v>
      </c>
      <c r="PX729" s="27" t="s">
        <v>7</v>
      </c>
      <c r="QA729" s="27" t="s">
        <v>8</v>
      </c>
      <c r="QB729" s="27" t="s">
        <v>7</v>
      </c>
      <c r="QC729" s="27" t="s">
        <v>8</v>
      </c>
      <c r="QD729" s="27" t="s">
        <v>7</v>
      </c>
      <c r="QK729" s="27" t="s">
        <v>8</v>
      </c>
      <c r="QL729" s="27" t="s">
        <v>7</v>
      </c>
      <c r="RQ729" s="27" t="s">
        <v>8</v>
      </c>
      <c r="RR729" s="27" t="s">
        <v>7</v>
      </c>
      <c r="RS729" s="27" t="s">
        <v>8</v>
      </c>
      <c r="SF729" s="27" t="s">
        <v>7</v>
      </c>
      <c r="SG729" s="27" t="s">
        <v>8</v>
      </c>
      <c r="SH729" s="27" t="s">
        <v>7</v>
      </c>
      <c r="SI729" s="27" t="s">
        <v>8</v>
      </c>
      <c r="SJ729" s="27" t="s">
        <v>7</v>
      </c>
      <c r="SK729" s="27" t="s">
        <v>8</v>
      </c>
      <c r="SL729" s="27" t="s">
        <v>7</v>
      </c>
      <c r="SP729" s="27" t="s">
        <v>7</v>
      </c>
      <c r="SQ729" s="27" t="s">
        <v>8</v>
      </c>
      <c r="SR729" s="27" t="s">
        <v>7</v>
      </c>
      <c r="SS729" s="27" t="s">
        <v>8</v>
      </c>
      <c r="ST729" s="27" t="s">
        <v>7</v>
      </c>
    </row>
    <row r="730" spans="1:519" x14ac:dyDescent="0.25">
      <c r="A730" s="7">
        <v>5.8908157329606609E-2</v>
      </c>
      <c r="B730"/>
      <c r="C730"/>
      <c r="D730"/>
      <c r="E730"/>
      <c r="F730" s="27" t="s">
        <v>7</v>
      </c>
      <c r="G730" s="27" t="s">
        <v>8</v>
      </c>
      <c r="H730" s="27" t="s">
        <v>7</v>
      </c>
      <c r="I730" s="27" t="s">
        <v>8</v>
      </c>
      <c r="Q730" s="27" t="s">
        <v>8</v>
      </c>
      <c r="U730" s="27" t="s">
        <v>8</v>
      </c>
      <c r="V730" s="27" t="s">
        <v>7</v>
      </c>
      <c r="AE730" s="27" t="s">
        <v>8</v>
      </c>
      <c r="AF730" s="27" t="s">
        <v>7</v>
      </c>
      <c r="AG730" s="27" t="s">
        <v>8</v>
      </c>
      <c r="AH730" s="27" t="s">
        <v>7</v>
      </c>
      <c r="MC730" s="27" t="s">
        <v>8</v>
      </c>
      <c r="MD730" s="27" t="s">
        <v>7</v>
      </c>
      <c r="ME730" s="27" t="s">
        <v>8</v>
      </c>
      <c r="MF730" s="27" t="s">
        <v>7</v>
      </c>
      <c r="MM730" s="27" t="s">
        <v>8</v>
      </c>
      <c r="MN730" s="27" t="s">
        <v>7</v>
      </c>
      <c r="MP730" s="27" t="s">
        <v>7</v>
      </c>
      <c r="MQ730" s="27" t="s">
        <v>8</v>
      </c>
      <c r="NP730" s="27" t="s">
        <v>7</v>
      </c>
      <c r="NQ730" s="27" t="s">
        <v>8</v>
      </c>
      <c r="NU730" s="27" t="s">
        <v>8</v>
      </c>
      <c r="NW730" s="27" t="s">
        <v>8</v>
      </c>
      <c r="NX730" s="27" t="s">
        <v>7</v>
      </c>
      <c r="OE730" s="27" t="s">
        <v>8</v>
      </c>
      <c r="OF730" s="27" t="s">
        <v>7</v>
      </c>
      <c r="OG730" s="27" t="s">
        <v>8</v>
      </c>
      <c r="OH730" s="27" t="s">
        <v>7</v>
      </c>
      <c r="OI730" s="27" t="s">
        <v>8</v>
      </c>
      <c r="OJ730" s="27" t="s">
        <v>7</v>
      </c>
      <c r="PA730" s="27" t="s">
        <v>8</v>
      </c>
      <c r="PB730" s="27" t="s">
        <v>7</v>
      </c>
      <c r="PQ730" s="27" t="s">
        <v>8</v>
      </c>
      <c r="PR730" s="27" t="s">
        <v>7</v>
      </c>
      <c r="PS730" s="27" t="s">
        <v>8</v>
      </c>
      <c r="PT730" s="27" t="s">
        <v>7</v>
      </c>
      <c r="PU730" s="27" t="s">
        <v>8</v>
      </c>
      <c r="PV730" s="27" t="s">
        <v>7</v>
      </c>
      <c r="PW730" s="27" t="s">
        <v>8</v>
      </c>
      <c r="PX730" s="27" t="s">
        <v>7</v>
      </c>
      <c r="PY730" s="27" t="s">
        <v>8</v>
      </c>
      <c r="QA730" s="27" t="s">
        <v>8</v>
      </c>
      <c r="QB730" s="27" t="s">
        <v>7</v>
      </c>
      <c r="QD730" s="27" t="s">
        <v>7</v>
      </c>
      <c r="QK730" s="27" t="s">
        <v>8</v>
      </c>
      <c r="QL730" s="27" t="s">
        <v>7</v>
      </c>
      <c r="RQ730" s="27" t="s">
        <v>8</v>
      </c>
      <c r="RR730" s="27" t="s">
        <v>7</v>
      </c>
      <c r="RS730" s="27" t="s">
        <v>8</v>
      </c>
      <c r="SF730" s="27" t="s">
        <v>7</v>
      </c>
      <c r="SH730" s="27" t="s">
        <v>7</v>
      </c>
      <c r="SI730" s="27" t="s">
        <v>8</v>
      </c>
      <c r="SJ730" s="27" t="s">
        <v>7</v>
      </c>
      <c r="SK730" s="27" t="s">
        <v>8</v>
      </c>
      <c r="SP730" s="27" t="s">
        <v>7</v>
      </c>
      <c r="SR730" s="27" t="s">
        <v>7</v>
      </c>
      <c r="ST730" s="27" t="s">
        <v>7</v>
      </c>
    </row>
    <row r="731" spans="1:519" x14ac:dyDescent="0.25">
      <c r="A731" s="7">
        <v>5.7753095421182947E-2</v>
      </c>
      <c r="B731"/>
      <c r="C731"/>
      <c r="D731"/>
      <c r="E731"/>
      <c r="F731" s="27" t="s">
        <v>7</v>
      </c>
      <c r="G731" s="27" t="s">
        <v>8</v>
      </c>
      <c r="H731" s="27" t="s">
        <v>7</v>
      </c>
      <c r="I731" s="27" t="s">
        <v>8</v>
      </c>
      <c r="J731" s="27" t="s">
        <v>7</v>
      </c>
      <c r="Q731" s="27" t="s">
        <v>8</v>
      </c>
      <c r="R731" s="27" t="s">
        <v>7</v>
      </c>
      <c r="U731" s="27" t="s">
        <v>8</v>
      </c>
      <c r="V731" s="27" t="s">
        <v>7</v>
      </c>
      <c r="AE731" s="27" t="s">
        <v>8</v>
      </c>
      <c r="AF731" s="27" t="s">
        <v>7</v>
      </c>
      <c r="AG731" s="27" t="s">
        <v>8</v>
      </c>
      <c r="AH731" s="27" t="s">
        <v>7</v>
      </c>
      <c r="MC731" s="27" t="s">
        <v>8</v>
      </c>
      <c r="MD731" s="27" t="s">
        <v>7</v>
      </c>
      <c r="ME731" s="27" t="s">
        <v>8</v>
      </c>
      <c r="MF731" s="27" t="s">
        <v>7</v>
      </c>
      <c r="MM731" s="27" t="s">
        <v>8</v>
      </c>
      <c r="MP731" s="27" t="s">
        <v>7</v>
      </c>
      <c r="NP731" s="27" t="s">
        <v>7</v>
      </c>
      <c r="NQ731" s="27" t="s">
        <v>8</v>
      </c>
      <c r="NR731" s="27" t="s">
        <v>7</v>
      </c>
      <c r="NU731" s="27" t="s">
        <v>8</v>
      </c>
      <c r="NV731" s="27" t="s">
        <v>7</v>
      </c>
      <c r="NW731" s="27" t="s">
        <v>8</v>
      </c>
      <c r="NX731" s="27" t="s">
        <v>7</v>
      </c>
      <c r="OE731" s="27" t="s">
        <v>8</v>
      </c>
      <c r="OF731" s="27" t="s">
        <v>7</v>
      </c>
      <c r="OG731" s="27" t="s">
        <v>8</v>
      </c>
      <c r="OH731" s="27" t="s">
        <v>7</v>
      </c>
      <c r="OI731" s="27" t="s">
        <v>8</v>
      </c>
      <c r="OJ731" s="27" t="s">
        <v>7</v>
      </c>
      <c r="PA731" s="27" t="s">
        <v>8</v>
      </c>
      <c r="PB731" s="27" t="s">
        <v>7</v>
      </c>
      <c r="PQ731" s="27" t="s">
        <v>8</v>
      </c>
      <c r="PR731" s="27" t="s">
        <v>7</v>
      </c>
      <c r="PS731" s="27" t="s">
        <v>8</v>
      </c>
      <c r="PT731" s="27" t="s">
        <v>7</v>
      </c>
      <c r="PU731" s="27" t="s">
        <v>8</v>
      </c>
      <c r="PV731" s="27" t="s">
        <v>7</v>
      </c>
      <c r="PW731" s="27" t="s">
        <v>8</v>
      </c>
      <c r="PX731" s="27" t="s">
        <v>7</v>
      </c>
      <c r="PY731" s="27" t="s">
        <v>8</v>
      </c>
      <c r="PZ731" s="27" t="s">
        <v>7</v>
      </c>
      <c r="QA731" s="27" t="s">
        <v>8</v>
      </c>
      <c r="QD731" s="27" t="s">
        <v>7</v>
      </c>
      <c r="QE731" s="27" t="s">
        <v>8</v>
      </c>
      <c r="QK731" s="27" t="s">
        <v>8</v>
      </c>
      <c r="QL731" s="27" t="s">
        <v>7</v>
      </c>
      <c r="RA731" s="27" t="s">
        <v>8</v>
      </c>
      <c r="RK731" s="27" t="s">
        <v>8</v>
      </c>
      <c r="RQ731" s="27" t="s">
        <v>8</v>
      </c>
      <c r="RR731" s="27" t="s">
        <v>7</v>
      </c>
      <c r="RS731" s="27" t="s">
        <v>8</v>
      </c>
      <c r="SH731" s="27" t="s">
        <v>7</v>
      </c>
      <c r="SI731" s="27" t="s">
        <v>8</v>
      </c>
      <c r="SJ731" s="27" t="s">
        <v>7</v>
      </c>
      <c r="SK731" s="27" t="s">
        <v>8</v>
      </c>
      <c r="ST731" s="27" t="s">
        <v>7</v>
      </c>
    </row>
    <row r="732" spans="1:519" x14ac:dyDescent="0.25">
      <c r="A732" s="7">
        <v>5.6620681785473484E-2</v>
      </c>
      <c r="B732"/>
      <c r="C732"/>
      <c r="D732"/>
      <c r="E732"/>
      <c r="F732" s="27" t="s">
        <v>7</v>
      </c>
      <c r="G732" s="27" t="s">
        <v>8</v>
      </c>
      <c r="H732" s="27" t="s">
        <v>7</v>
      </c>
      <c r="I732" s="27" t="s">
        <v>8</v>
      </c>
      <c r="J732" s="27" t="s">
        <v>7</v>
      </c>
      <c r="Q732" s="27" t="s">
        <v>8</v>
      </c>
      <c r="R732" s="27" t="s">
        <v>7</v>
      </c>
      <c r="U732" s="27" t="s">
        <v>8</v>
      </c>
      <c r="V732" s="27" t="s">
        <v>7</v>
      </c>
      <c r="AE732" s="27" t="s">
        <v>8</v>
      </c>
      <c r="AF732" s="27" t="s">
        <v>7</v>
      </c>
      <c r="AH732" s="27" t="s">
        <v>7</v>
      </c>
      <c r="MC732" s="27" t="s">
        <v>8</v>
      </c>
      <c r="MD732" s="27" t="s">
        <v>7</v>
      </c>
      <c r="ME732" s="27" t="s">
        <v>8</v>
      </c>
      <c r="MF732" s="27" t="s">
        <v>7</v>
      </c>
      <c r="MM732" s="27" t="s">
        <v>8</v>
      </c>
      <c r="NP732" s="27" t="s">
        <v>7</v>
      </c>
      <c r="NQ732" s="27" t="s">
        <v>8</v>
      </c>
      <c r="NR732" s="27" t="s">
        <v>7</v>
      </c>
      <c r="NU732" s="27" t="s">
        <v>8</v>
      </c>
      <c r="NV732" s="27" t="s">
        <v>7</v>
      </c>
      <c r="NW732" s="27" t="s">
        <v>8</v>
      </c>
      <c r="NX732" s="27" t="s">
        <v>7</v>
      </c>
      <c r="OA732" s="27" t="s">
        <v>8</v>
      </c>
      <c r="OC732" s="27" t="s">
        <v>8</v>
      </c>
      <c r="OE732" s="27" t="s">
        <v>8</v>
      </c>
      <c r="OF732" s="27" t="s">
        <v>7</v>
      </c>
      <c r="OG732" s="27" t="s">
        <v>8</v>
      </c>
      <c r="OH732" s="27" t="s">
        <v>7</v>
      </c>
      <c r="OI732" s="27" t="s">
        <v>8</v>
      </c>
      <c r="OJ732" s="27" t="s">
        <v>7</v>
      </c>
      <c r="PA732" s="27" t="s">
        <v>8</v>
      </c>
      <c r="PB732" s="27" t="s">
        <v>7</v>
      </c>
      <c r="PQ732" s="27" t="s">
        <v>8</v>
      </c>
      <c r="PR732" s="27" t="s">
        <v>7</v>
      </c>
      <c r="PT732" s="27" t="s">
        <v>7</v>
      </c>
      <c r="PU732" s="27" t="s">
        <v>8</v>
      </c>
      <c r="PV732" s="27" t="s">
        <v>7</v>
      </c>
      <c r="PX732" s="27" t="s">
        <v>7</v>
      </c>
      <c r="PY732" s="27" t="s">
        <v>8</v>
      </c>
      <c r="PZ732" s="27" t="s">
        <v>7</v>
      </c>
      <c r="QA732" s="27" t="s">
        <v>8</v>
      </c>
      <c r="QD732" s="27" t="s">
        <v>7</v>
      </c>
      <c r="QE732" s="27" t="s">
        <v>8</v>
      </c>
      <c r="QF732" s="27" t="s">
        <v>7</v>
      </c>
      <c r="QG732" s="27" t="s">
        <v>8</v>
      </c>
      <c r="QK732" s="27" t="s">
        <v>8</v>
      </c>
      <c r="QL732" s="27" t="s">
        <v>7</v>
      </c>
      <c r="RA732" s="27" t="s">
        <v>8</v>
      </c>
      <c r="RB732" s="27" t="s">
        <v>7</v>
      </c>
      <c r="RK732" s="27" t="s">
        <v>8</v>
      </c>
      <c r="RL732" s="27" t="s">
        <v>7</v>
      </c>
      <c r="RQ732" s="27" t="s">
        <v>8</v>
      </c>
      <c r="RR732" s="27" t="s">
        <v>7</v>
      </c>
      <c r="RS732" s="27" t="s">
        <v>8</v>
      </c>
      <c r="SH732" s="27" t="s">
        <v>7</v>
      </c>
      <c r="SI732" s="27" t="s">
        <v>8</v>
      </c>
      <c r="SJ732" s="27" t="s">
        <v>7</v>
      </c>
      <c r="ST732" s="27" t="s">
        <v>7</v>
      </c>
      <c r="SU732" s="27" t="s">
        <v>8</v>
      </c>
    </row>
    <row r="733" spans="1:519" x14ac:dyDescent="0.25">
      <c r="A733" s="7">
        <v>5.5510472338699497E-2</v>
      </c>
      <c r="B733"/>
      <c r="C733"/>
      <c r="D733"/>
      <c r="E733"/>
      <c r="F733" s="27" t="s">
        <v>7</v>
      </c>
      <c r="G733" s="27" t="s">
        <v>8</v>
      </c>
      <c r="H733" s="27" t="s">
        <v>7</v>
      </c>
      <c r="I733" s="27" t="s">
        <v>8</v>
      </c>
      <c r="J733" s="27" t="s">
        <v>7</v>
      </c>
      <c r="Q733" s="27" t="s">
        <v>8</v>
      </c>
      <c r="R733" s="27" t="s">
        <v>7</v>
      </c>
      <c r="U733" s="27" t="s">
        <v>8</v>
      </c>
      <c r="V733" s="27" t="s">
        <v>7</v>
      </c>
      <c r="W733" s="27" t="s">
        <v>8</v>
      </c>
      <c r="AE733" s="27" t="s">
        <v>8</v>
      </c>
      <c r="AH733" s="27" t="s">
        <v>7</v>
      </c>
      <c r="MC733" s="27" t="s">
        <v>8</v>
      </c>
      <c r="MD733" s="27" t="s">
        <v>7</v>
      </c>
      <c r="ME733" s="27" t="s">
        <v>8</v>
      </c>
      <c r="MF733" s="27" t="s">
        <v>7</v>
      </c>
      <c r="MG733" s="27" t="s">
        <v>8</v>
      </c>
      <c r="MM733" s="27" t="s">
        <v>8</v>
      </c>
      <c r="NP733" s="27" t="s">
        <v>7</v>
      </c>
      <c r="NQ733" s="27" t="s">
        <v>8</v>
      </c>
      <c r="NR733" s="27" t="s">
        <v>7</v>
      </c>
      <c r="NU733" s="27" t="s">
        <v>8</v>
      </c>
      <c r="NV733" s="27" t="s">
        <v>7</v>
      </c>
      <c r="NW733" s="27" t="s">
        <v>8</v>
      </c>
      <c r="NX733" s="27" t="s">
        <v>7</v>
      </c>
      <c r="NY733" s="27" t="s">
        <v>8</v>
      </c>
      <c r="OA733" s="27" t="s">
        <v>8</v>
      </c>
      <c r="OB733" s="27" t="s">
        <v>7</v>
      </c>
      <c r="OC733" s="27" t="s">
        <v>8</v>
      </c>
      <c r="OD733" s="27" t="s">
        <v>7</v>
      </c>
      <c r="OE733" s="27" t="s">
        <v>8</v>
      </c>
      <c r="OF733" s="27" t="s">
        <v>7</v>
      </c>
      <c r="OG733" s="27" t="s">
        <v>8</v>
      </c>
      <c r="OH733" s="27" t="s">
        <v>7</v>
      </c>
      <c r="OI733" s="27" t="s">
        <v>8</v>
      </c>
      <c r="OJ733" s="27" t="s">
        <v>7</v>
      </c>
      <c r="OY733" s="27" t="s">
        <v>8</v>
      </c>
      <c r="PA733" s="27" t="s">
        <v>8</v>
      </c>
      <c r="PB733" s="27" t="s">
        <v>7</v>
      </c>
      <c r="PQ733" s="27" t="s">
        <v>8</v>
      </c>
      <c r="PT733" s="27" t="s">
        <v>7</v>
      </c>
      <c r="PU733" s="27" t="s">
        <v>8</v>
      </c>
      <c r="PX733" s="27" t="s">
        <v>7</v>
      </c>
      <c r="PY733" s="27" t="s">
        <v>8</v>
      </c>
      <c r="PZ733" s="27" t="s">
        <v>7</v>
      </c>
      <c r="QA733" s="27" t="s">
        <v>8</v>
      </c>
      <c r="QD733" s="27" t="s">
        <v>7</v>
      </c>
      <c r="QE733" s="27" t="s">
        <v>8</v>
      </c>
      <c r="QF733" s="27" t="s">
        <v>7</v>
      </c>
      <c r="QG733" s="27" t="s">
        <v>8</v>
      </c>
      <c r="QH733" s="27" t="s">
        <v>7</v>
      </c>
      <c r="QI733" s="27" t="s">
        <v>8</v>
      </c>
      <c r="QK733" s="27" t="s">
        <v>8</v>
      </c>
      <c r="QL733" s="27" t="s">
        <v>7</v>
      </c>
      <c r="RA733" s="27" t="s">
        <v>8</v>
      </c>
      <c r="RB733" s="27" t="s">
        <v>7</v>
      </c>
      <c r="RK733" s="27" t="s">
        <v>8</v>
      </c>
      <c r="RL733" s="27" t="s">
        <v>7</v>
      </c>
      <c r="RQ733" s="27" t="s">
        <v>8</v>
      </c>
      <c r="RR733" s="27" t="s">
        <v>7</v>
      </c>
      <c r="RS733" s="27" t="s">
        <v>8</v>
      </c>
      <c r="SH733" s="27" t="s">
        <v>7</v>
      </c>
      <c r="SI733" s="27" t="s">
        <v>8</v>
      </c>
      <c r="ST733" s="27" t="s">
        <v>7</v>
      </c>
      <c r="SU733" s="27" t="s">
        <v>8</v>
      </c>
      <c r="SV733" s="27" t="s">
        <v>7</v>
      </c>
    </row>
    <row r="734" spans="1:519" x14ac:dyDescent="0.25">
      <c r="A734" s="7">
        <v>5.4422031704607354E-2</v>
      </c>
      <c r="B734"/>
      <c r="C734"/>
      <c r="D734"/>
      <c r="E734"/>
      <c r="F734" s="27" t="s">
        <v>7</v>
      </c>
      <c r="G734" s="27" t="s">
        <v>8</v>
      </c>
      <c r="H734" s="27" t="s">
        <v>7</v>
      </c>
      <c r="I734" s="27" t="s">
        <v>8</v>
      </c>
      <c r="J734" s="27" t="s">
        <v>7</v>
      </c>
      <c r="Q734" s="27" t="s">
        <v>8</v>
      </c>
      <c r="R734" s="27" t="s">
        <v>7</v>
      </c>
      <c r="S734" s="27" t="s">
        <v>8</v>
      </c>
      <c r="U734" s="27" t="s">
        <v>8</v>
      </c>
      <c r="V734" s="27" t="s">
        <v>7</v>
      </c>
      <c r="W734" s="27" t="s">
        <v>8</v>
      </c>
      <c r="X734" s="27" t="s">
        <v>7</v>
      </c>
      <c r="AE734" s="27" t="s">
        <v>8</v>
      </c>
      <c r="AH734" s="27" t="s">
        <v>7</v>
      </c>
      <c r="MC734" s="27" t="s">
        <v>8</v>
      </c>
      <c r="MD734" s="27" t="s">
        <v>7</v>
      </c>
      <c r="ME734" s="27" t="s">
        <v>8</v>
      </c>
      <c r="MF734" s="27" t="s">
        <v>7</v>
      </c>
      <c r="MG734" s="27" t="s">
        <v>8</v>
      </c>
      <c r="MH734" s="27" t="s">
        <v>7</v>
      </c>
      <c r="MM734" s="27" t="s">
        <v>8</v>
      </c>
      <c r="NP734" s="27" t="s">
        <v>7</v>
      </c>
      <c r="NQ734" s="27" t="s">
        <v>8</v>
      </c>
      <c r="NR734" s="27" t="s">
        <v>7</v>
      </c>
      <c r="NU734" s="27" t="s">
        <v>8</v>
      </c>
      <c r="NV734" s="27" t="s">
        <v>7</v>
      </c>
      <c r="NW734" s="27" t="s">
        <v>8</v>
      </c>
      <c r="NX734" s="27" t="s">
        <v>7</v>
      </c>
      <c r="NY734" s="27" t="s">
        <v>8</v>
      </c>
      <c r="NZ734" s="27" t="s">
        <v>7</v>
      </c>
      <c r="OA734" s="27" t="s">
        <v>8</v>
      </c>
      <c r="OB734" s="27" t="s">
        <v>7</v>
      </c>
      <c r="OC734" s="27" t="s">
        <v>8</v>
      </c>
      <c r="OD734" s="27" t="s">
        <v>7</v>
      </c>
      <c r="OE734" s="27" t="s">
        <v>8</v>
      </c>
      <c r="OF734" s="27" t="s">
        <v>7</v>
      </c>
      <c r="OG734" s="27" t="s">
        <v>8</v>
      </c>
      <c r="OH734" s="27" t="s">
        <v>7</v>
      </c>
      <c r="OI734" s="27" t="s">
        <v>8</v>
      </c>
      <c r="OJ734" s="27" t="s">
        <v>7</v>
      </c>
      <c r="OK734" s="27" t="s">
        <v>8</v>
      </c>
      <c r="OY734" s="27" t="s">
        <v>8</v>
      </c>
      <c r="OZ734" s="27" t="s">
        <v>7</v>
      </c>
      <c r="PA734" s="27" t="s">
        <v>8</v>
      </c>
      <c r="PB734" s="27" t="s">
        <v>7</v>
      </c>
      <c r="PQ734" s="27" t="s">
        <v>8</v>
      </c>
      <c r="PT734" s="27" t="s">
        <v>7</v>
      </c>
      <c r="PU734" s="27" t="s">
        <v>8</v>
      </c>
      <c r="PX734" s="27" t="s">
        <v>7</v>
      </c>
      <c r="PY734" s="27" t="s">
        <v>8</v>
      </c>
      <c r="PZ734" s="27" t="s">
        <v>7</v>
      </c>
      <c r="QA734" s="27" t="s">
        <v>8</v>
      </c>
      <c r="QD734" s="27" t="s">
        <v>7</v>
      </c>
      <c r="QE734" s="27" t="s">
        <v>8</v>
      </c>
      <c r="QF734" s="27" t="s">
        <v>7</v>
      </c>
      <c r="QG734" s="27" t="s">
        <v>8</v>
      </c>
      <c r="QH734" s="27" t="s">
        <v>7</v>
      </c>
      <c r="QI734" s="27" t="s">
        <v>8</v>
      </c>
      <c r="QJ734" s="27" t="s">
        <v>7</v>
      </c>
      <c r="QK734" s="27" t="s">
        <v>8</v>
      </c>
      <c r="QL734" s="27" t="s">
        <v>7</v>
      </c>
      <c r="RA734" s="27" t="s">
        <v>8</v>
      </c>
      <c r="RB734" s="27" t="s">
        <v>7</v>
      </c>
      <c r="RC734" s="27" t="s">
        <v>8</v>
      </c>
      <c r="RK734" s="27" t="s">
        <v>8</v>
      </c>
      <c r="RL734" s="27" t="s">
        <v>7</v>
      </c>
      <c r="RQ734" s="27" t="s">
        <v>8</v>
      </c>
      <c r="RR734" s="27" t="s">
        <v>7</v>
      </c>
      <c r="RS734" s="27" t="s">
        <v>8</v>
      </c>
      <c r="SH734" s="27" t="s">
        <v>7</v>
      </c>
      <c r="SI734" s="27" t="s">
        <v>8</v>
      </c>
      <c r="ST734" s="27" t="s">
        <v>7</v>
      </c>
      <c r="SU734" s="27" t="s">
        <v>8</v>
      </c>
      <c r="SV734" s="27" t="s">
        <v>7</v>
      </c>
    </row>
    <row r="735" spans="1:519" x14ac:dyDescent="0.25">
      <c r="A735" s="7">
        <v>5.3354933043732705E-2</v>
      </c>
      <c r="B735"/>
      <c r="C735"/>
      <c r="D735"/>
      <c r="E735"/>
      <c r="F735" s="27" t="s">
        <v>7</v>
      </c>
      <c r="G735" s="27" t="s">
        <v>8</v>
      </c>
      <c r="H735" s="27" t="s">
        <v>7</v>
      </c>
      <c r="I735" s="27" t="s">
        <v>8</v>
      </c>
      <c r="J735" s="27" t="s">
        <v>7</v>
      </c>
      <c r="Q735" s="27" t="s">
        <v>8</v>
      </c>
      <c r="R735" s="27" t="s">
        <v>7</v>
      </c>
      <c r="S735" s="27" t="s">
        <v>8</v>
      </c>
      <c r="T735" s="27" t="s">
        <v>7</v>
      </c>
      <c r="U735" s="27" t="s">
        <v>8</v>
      </c>
      <c r="V735" s="27" t="s">
        <v>7</v>
      </c>
      <c r="W735" s="27" t="s">
        <v>8</v>
      </c>
      <c r="X735" s="27" t="s">
        <v>7</v>
      </c>
      <c r="AE735" s="27" t="s">
        <v>8</v>
      </c>
      <c r="AH735" s="27" t="s">
        <v>7</v>
      </c>
      <c r="MC735" s="27" t="s">
        <v>8</v>
      </c>
      <c r="MD735" s="27" t="s">
        <v>7</v>
      </c>
      <c r="ME735" s="27" t="s">
        <v>8</v>
      </c>
      <c r="MF735" s="27" t="s">
        <v>7</v>
      </c>
      <c r="MG735" s="27" t="s">
        <v>8</v>
      </c>
      <c r="MH735" s="27" t="s">
        <v>7</v>
      </c>
      <c r="MM735" s="27" t="s">
        <v>8</v>
      </c>
      <c r="NP735" s="27" t="s">
        <v>7</v>
      </c>
      <c r="NQ735" s="27" t="s">
        <v>8</v>
      </c>
      <c r="NR735" s="27" t="s">
        <v>7</v>
      </c>
      <c r="NU735" s="27" t="s">
        <v>8</v>
      </c>
      <c r="NV735" s="27" t="s">
        <v>7</v>
      </c>
      <c r="NW735" s="27" t="s">
        <v>8</v>
      </c>
      <c r="NX735" s="27" t="s">
        <v>7</v>
      </c>
      <c r="NY735" s="27" t="s">
        <v>8</v>
      </c>
      <c r="NZ735" s="27" t="s">
        <v>7</v>
      </c>
      <c r="OA735" s="27" t="s">
        <v>8</v>
      </c>
      <c r="OB735" s="27" t="s">
        <v>7</v>
      </c>
      <c r="OC735" s="27" t="s">
        <v>8</v>
      </c>
      <c r="OD735" s="27" t="s">
        <v>7</v>
      </c>
      <c r="OE735" s="27" t="s">
        <v>8</v>
      </c>
      <c r="OF735" s="27" t="s">
        <v>7</v>
      </c>
      <c r="OG735" s="27" t="s">
        <v>8</v>
      </c>
      <c r="OH735" s="27" t="s">
        <v>7</v>
      </c>
      <c r="OI735" s="27" t="s">
        <v>8</v>
      </c>
      <c r="OJ735" s="27" t="s">
        <v>7</v>
      </c>
      <c r="OK735" s="27" t="s">
        <v>8</v>
      </c>
      <c r="OL735" s="27" t="s">
        <v>7</v>
      </c>
      <c r="OY735" s="27" t="s">
        <v>8</v>
      </c>
      <c r="OZ735" s="27" t="s">
        <v>7</v>
      </c>
      <c r="PA735" s="27" t="s">
        <v>8</v>
      </c>
      <c r="PB735" s="27" t="s">
        <v>7</v>
      </c>
      <c r="PQ735" s="27" t="s">
        <v>8</v>
      </c>
      <c r="PT735" s="27" t="s">
        <v>7</v>
      </c>
      <c r="PU735" s="27" t="s">
        <v>8</v>
      </c>
      <c r="PX735" s="27" t="s">
        <v>7</v>
      </c>
      <c r="PY735" s="27" t="s">
        <v>8</v>
      </c>
      <c r="PZ735" s="27" t="s">
        <v>7</v>
      </c>
      <c r="QD735" s="27" t="s">
        <v>7</v>
      </c>
      <c r="QE735" s="27" t="s">
        <v>8</v>
      </c>
      <c r="QF735" s="27" t="s">
        <v>7</v>
      </c>
      <c r="QG735" s="27" t="s">
        <v>8</v>
      </c>
      <c r="QH735" s="27" t="s">
        <v>7</v>
      </c>
      <c r="QI735" s="27" t="s">
        <v>8</v>
      </c>
      <c r="QJ735" s="27" t="s">
        <v>7</v>
      </c>
      <c r="QK735" s="27" t="s">
        <v>8</v>
      </c>
      <c r="QL735" s="27" t="s">
        <v>7</v>
      </c>
      <c r="QY735" s="27" t="s">
        <v>8</v>
      </c>
      <c r="RA735" s="27" t="s">
        <v>8</v>
      </c>
      <c r="RB735" s="27" t="s">
        <v>7</v>
      </c>
      <c r="RC735" s="27" t="s">
        <v>8</v>
      </c>
      <c r="RD735" s="27" t="s">
        <v>7</v>
      </c>
      <c r="RI735" s="27" t="s">
        <v>8</v>
      </c>
      <c r="RK735" s="27" t="s">
        <v>8</v>
      </c>
      <c r="RL735" s="27" t="s">
        <v>7</v>
      </c>
      <c r="RM735" s="27" t="s">
        <v>8</v>
      </c>
      <c r="RQ735" s="27" t="s">
        <v>8</v>
      </c>
      <c r="RR735" s="27" t="s">
        <v>7</v>
      </c>
      <c r="RS735" s="27" t="s">
        <v>8</v>
      </c>
      <c r="SH735" s="27" t="s">
        <v>7</v>
      </c>
      <c r="SI735" s="27" t="s">
        <v>8</v>
      </c>
      <c r="ST735" s="27" t="s">
        <v>7</v>
      </c>
      <c r="SU735" s="27" t="s">
        <v>8</v>
      </c>
      <c r="SV735" s="27" t="s">
        <v>7</v>
      </c>
      <c r="SW735" s="27" t="s">
        <v>8</v>
      </c>
    </row>
    <row r="736" spans="1:519" x14ac:dyDescent="0.25">
      <c r="A736" s="7">
        <v>5.2308757886012455E-2</v>
      </c>
      <c r="B736"/>
      <c r="C736"/>
      <c r="D736"/>
      <c r="E736"/>
      <c r="F736" s="27" t="s">
        <v>7</v>
      </c>
      <c r="G736" s="27" t="s">
        <v>8</v>
      </c>
      <c r="H736" s="27" t="s">
        <v>7</v>
      </c>
      <c r="I736" s="27" t="s">
        <v>8</v>
      </c>
      <c r="J736" s="27" t="s">
        <v>7</v>
      </c>
      <c r="Q736" s="27" t="s">
        <v>8</v>
      </c>
      <c r="R736" s="27" t="s">
        <v>7</v>
      </c>
      <c r="S736" s="27" t="s">
        <v>8</v>
      </c>
      <c r="T736" s="27" t="s">
        <v>7</v>
      </c>
      <c r="U736" s="27" t="s">
        <v>8</v>
      </c>
      <c r="V736" s="27" t="s">
        <v>7</v>
      </c>
      <c r="X736" s="27" t="s">
        <v>7</v>
      </c>
      <c r="AE736" s="27" t="s">
        <v>8</v>
      </c>
      <c r="AH736" s="27" t="s">
        <v>7</v>
      </c>
      <c r="MC736" s="27" t="s">
        <v>8</v>
      </c>
      <c r="MD736" s="27" t="s">
        <v>7</v>
      </c>
      <c r="ME736" s="27" t="s">
        <v>8</v>
      </c>
      <c r="MF736" s="27" t="s">
        <v>7</v>
      </c>
      <c r="MG736" s="27" t="s">
        <v>8</v>
      </c>
      <c r="MH736" s="27" t="s">
        <v>7</v>
      </c>
      <c r="MM736" s="27" t="s">
        <v>8</v>
      </c>
      <c r="NP736" s="27" t="s">
        <v>7</v>
      </c>
      <c r="NQ736" s="27" t="s">
        <v>8</v>
      </c>
      <c r="NR736" s="27" t="s">
        <v>7</v>
      </c>
      <c r="NU736" s="27" t="s">
        <v>8</v>
      </c>
      <c r="NV736" s="27" t="s">
        <v>7</v>
      </c>
      <c r="NW736" s="27" t="s">
        <v>8</v>
      </c>
      <c r="NX736" s="27" t="s">
        <v>7</v>
      </c>
      <c r="NY736" s="27" t="s">
        <v>8</v>
      </c>
      <c r="NZ736" s="27" t="s">
        <v>7</v>
      </c>
      <c r="OA736" s="27" t="s">
        <v>8</v>
      </c>
      <c r="OB736" s="27" t="s">
        <v>7</v>
      </c>
      <c r="OC736" s="27" t="s">
        <v>8</v>
      </c>
      <c r="OD736" s="27" t="s">
        <v>7</v>
      </c>
      <c r="OE736" s="27" t="s">
        <v>8</v>
      </c>
      <c r="OF736" s="27" t="s">
        <v>7</v>
      </c>
      <c r="OG736" s="27" t="s">
        <v>8</v>
      </c>
      <c r="OH736" s="27" t="s">
        <v>7</v>
      </c>
      <c r="OI736" s="27" t="s">
        <v>8</v>
      </c>
      <c r="OJ736" s="27" t="s">
        <v>7</v>
      </c>
      <c r="OK736" s="27" t="s">
        <v>8</v>
      </c>
      <c r="OL736" s="27" t="s">
        <v>7</v>
      </c>
      <c r="OW736" s="27" t="s">
        <v>8</v>
      </c>
      <c r="OY736" s="27" t="s">
        <v>8</v>
      </c>
      <c r="OZ736" s="27" t="s">
        <v>7</v>
      </c>
      <c r="PA736" s="27" t="s">
        <v>8</v>
      </c>
      <c r="PB736" s="27" t="s">
        <v>7</v>
      </c>
      <c r="PO736" s="27" t="s">
        <v>8</v>
      </c>
      <c r="PQ736" s="27" t="s">
        <v>8</v>
      </c>
      <c r="PT736" s="27" t="s">
        <v>7</v>
      </c>
      <c r="PX736" s="27" t="s">
        <v>7</v>
      </c>
      <c r="QD736" s="27" t="s">
        <v>7</v>
      </c>
      <c r="QE736" s="27" t="s">
        <v>8</v>
      </c>
      <c r="QF736" s="27" t="s">
        <v>7</v>
      </c>
      <c r="QG736" s="27" t="s">
        <v>8</v>
      </c>
      <c r="QH736" s="27" t="s">
        <v>7</v>
      </c>
      <c r="QJ736" s="27" t="s">
        <v>7</v>
      </c>
      <c r="QK736" s="27" t="s">
        <v>8</v>
      </c>
      <c r="QL736" s="27" t="s">
        <v>7</v>
      </c>
      <c r="QY736" s="27" t="s">
        <v>8</v>
      </c>
      <c r="QZ736" s="27" t="s">
        <v>7</v>
      </c>
      <c r="RA736" s="27" t="s">
        <v>8</v>
      </c>
      <c r="RB736" s="27" t="s">
        <v>7</v>
      </c>
      <c r="RC736" s="27" t="s">
        <v>8</v>
      </c>
      <c r="RD736" s="27" t="s">
        <v>7</v>
      </c>
      <c r="RI736" s="27" t="s">
        <v>8</v>
      </c>
      <c r="RJ736" s="27" t="s">
        <v>7</v>
      </c>
      <c r="RK736" s="27" t="s">
        <v>8</v>
      </c>
      <c r="RL736" s="27" t="s">
        <v>7</v>
      </c>
      <c r="RM736" s="27" t="s">
        <v>8</v>
      </c>
      <c r="RN736" s="27" t="s">
        <v>7</v>
      </c>
      <c r="RO736" s="27" t="s">
        <v>8</v>
      </c>
      <c r="RQ736" s="27" t="s">
        <v>8</v>
      </c>
      <c r="RR736" s="27" t="s">
        <v>7</v>
      </c>
      <c r="RS736" s="27" t="s">
        <v>8</v>
      </c>
      <c r="SH736" s="27" t="s">
        <v>7</v>
      </c>
      <c r="ST736" s="27" t="s">
        <v>7</v>
      </c>
      <c r="SU736" s="27" t="s">
        <v>8</v>
      </c>
      <c r="SV736" s="27" t="s">
        <v>7</v>
      </c>
      <c r="SW736" s="27" t="s">
        <v>8</v>
      </c>
      <c r="SX736" s="27" t="s">
        <v>7</v>
      </c>
      <c r="SY736" s="27" t="s">
        <v>8</v>
      </c>
    </row>
    <row r="737" spans="1:522" x14ac:dyDescent="0.25">
      <c r="A737" s="7">
        <v>5.1283095966678877E-2</v>
      </c>
      <c r="B737"/>
      <c r="C737"/>
      <c r="D737"/>
      <c r="E737"/>
      <c r="F737" s="27" t="s">
        <v>7</v>
      </c>
      <c r="H737" s="27" t="s">
        <v>7</v>
      </c>
      <c r="I737" s="27" t="s">
        <v>8</v>
      </c>
      <c r="J737" s="27" t="s">
        <v>7</v>
      </c>
      <c r="Q737" s="27" t="s">
        <v>8</v>
      </c>
      <c r="R737" s="27" t="s">
        <v>7</v>
      </c>
      <c r="S737" s="27" t="s">
        <v>8</v>
      </c>
      <c r="T737" s="27" t="s">
        <v>7</v>
      </c>
      <c r="U737" s="27" t="s">
        <v>8</v>
      </c>
      <c r="X737" s="27" t="s">
        <v>7</v>
      </c>
      <c r="AE737" s="27" t="s">
        <v>8</v>
      </c>
      <c r="AH737" s="27" t="s">
        <v>7</v>
      </c>
      <c r="MC737" s="27" t="s">
        <v>8</v>
      </c>
      <c r="MD737" s="27" t="s">
        <v>7</v>
      </c>
      <c r="ME737" s="27" t="s">
        <v>8</v>
      </c>
      <c r="MF737" s="27" t="s">
        <v>7</v>
      </c>
      <c r="MG737" s="27" t="s">
        <v>8</v>
      </c>
      <c r="MH737" s="27" t="s">
        <v>7</v>
      </c>
      <c r="MI737" s="27" t="s">
        <v>8</v>
      </c>
      <c r="MM737" s="27" t="s">
        <v>8</v>
      </c>
      <c r="NP737" s="27" t="s">
        <v>7</v>
      </c>
      <c r="NQ737" s="27" t="s">
        <v>8</v>
      </c>
      <c r="NR737" s="27" t="s">
        <v>7</v>
      </c>
      <c r="NU737" s="27" t="s">
        <v>8</v>
      </c>
      <c r="NV737" s="27" t="s">
        <v>7</v>
      </c>
      <c r="NW737" s="27" t="s">
        <v>8</v>
      </c>
      <c r="NX737" s="27" t="s">
        <v>7</v>
      </c>
      <c r="NY737" s="27" t="s">
        <v>8</v>
      </c>
      <c r="NZ737" s="27" t="s">
        <v>7</v>
      </c>
      <c r="OA737" s="27" t="s">
        <v>8</v>
      </c>
      <c r="OB737" s="27" t="s">
        <v>7</v>
      </c>
      <c r="OC737" s="27" t="s">
        <v>8</v>
      </c>
      <c r="OD737" s="27" t="s">
        <v>7</v>
      </c>
      <c r="OE737" s="27" t="s">
        <v>8</v>
      </c>
      <c r="OF737" s="27" t="s">
        <v>7</v>
      </c>
      <c r="OG737" s="27" t="s">
        <v>8</v>
      </c>
      <c r="OH737" s="27" t="s">
        <v>7</v>
      </c>
      <c r="OI737" s="27" t="s">
        <v>8</v>
      </c>
      <c r="OJ737" s="27" t="s">
        <v>7</v>
      </c>
      <c r="OK737" s="27" t="s">
        <v>8</v>
      </c>
      <c r="OL737" s="27" t="s">
        <v>7</v>
      </c>
      <c r="OW737" s="27" t="s">
        <v>8</v>
      </c>
      <c r="OX737" s="27" t="s">
        <v>7</v>
      </c>
      <c r="OY737" s="27" t="s">
        <v>8</v>
      </c>
      <c r="OZ737" s="27" t="s">
        <v>7</v>
      </c>
      <c r="PA737" s="27" t="s">
        <v>8</v>
      </c>
      <c r="PB737" s="27" t="s">
        <v>7</v>
      </c>
      <c r="PO737" s="27" t="s">
        <v>8</v>
      </c>
      <c r="PP737" s="27" t="s">
        <v>7</v>
      </c>
      <c r="PQ737" s="27" t="s">
        <v>8</v>
      </c>
      <c r="QD737" s="27" t="s">
        <v>7</v>
      </c>
      <c r="QE737" s="27" t="s">
        <v>8</v>
      </c>
      <c r="QF737" s="27" t="s">
        <v>7</v>
      </c>
      <c r="QG737" s="27" t="s">
        <v>8</v>
      </c>
      <c r="QJ737" s="27" t="s">
        <v>7</v>
      </c>
      <c r="QK737" s="27" t="s">
        <v>8</v>
      </c>
      <c r="QL737" s="27" t="s">
        <v>7</v>
      </c>
      <c r="QY737" s="27" t="s">
        <v>8</v>
      </c>
      <c r="QZ737" s="27" t="s">
        <v>7</v>
      </c>
      <c r="RA737" s="27" t="s">
        <v>8</v>
      </c>
      <c r="RB737" s="27" t="s">
        <v>7</v>
      </c>
      <c r="RC737" s="27" t="s">
        <v>8</v>
      </c>
      <c r="RD737" s="27" t="s">
        <v>7</v>
      </c>
      <c r="RE737" s="27" t="s">
        <v>8</v>
      </c>
      <c r="RI737" s="27" t="s">
        <v>8</v>
      </c>
      <c r="RJ737" s="27" t="s">
        <v>7</v>
      </c>
      <c r="RK737" s="27" t="s">
        <v>8</v>
      </c>
      <c r="RL737" s="27" t="s">
        <v>7</v>
      </c>
      <c r="RM737" s="27" t="s">
        <v>8</v>
      </c>
      <c r="RN737" s="27" t="s">
        <v>7</v>
      </c>
      <c r="RO737" s="27" t="s">
        <v>8</v>
      </c>
      <c r="RP737" s="27" t="s">
        <v>7</v>
      </c>
      <c r="RQ737" s="27" t="s">
        <v>8</v>
      </c>
      <c r="RR737" s="27" t="s">
        <v>7</v>
      </c>
      <c r="RS737" s="27" t="s">
        <v>8</v>
      </c>
      <c r="ST737" s="27" t="s">
        <v>7</v>
      </c>
      <c r="SU737" s="27" t="s">
        <v>8</v>
      </c>
      <c r="SV737" s="27" t="s">
        <v>7</v>
      </c>
      <c r="SW737" s="27" t="s">
        <v>8</v>
      </c>
      <c r="SX737" s="27" t="s">
        <v>7</v>
      </c>
      <c r="SY737" s="27" t="s">
        <v>8</v>
      </c>
      <c r="SZ737" s="27" t="s">
        <v>7</v>
      </c>
    </row>
    <row r="738" spans="1:522" x14ac:dyDescent="0.25">
      <c r="A738" s="7">
        <v>5.0277545065371444E-2</v>
      </c>
      <c r="B738"/>
      <c r="C738"/>
      <c r="D738"/>
      <c r="E738"/>
      <c r="H738" s="27" t="s">
        <v>7</v>
      </c>
      <c r="I738" s="27" t="s">
        <v>8</v>
      </c>
      <c r="J738" s="27" t="s">
        <v>7</v>
      </c>
      <c r="Q738" s="27" t="s">
        <v>8</v>
      </c>
      <c r="R738" s="27" t="s">
        <v>7</v>
      </c>
      <c r="S738" s="27" t="s">
        <v>8</v>
      </c>
      <c r="T738" s="27" t="s">
        <v>7</v>
      </c>
      <c r="U738" s="27" t="s">
        <v>8</v>
      </c>
      <c r="X738" s="27" t="s">
        <v>7</v>
      </c>
      <c r="AE738" s="27" t="s">
        <v>8</v>
      </c>
      <c r="AH738" s="27" t="s">
        <v>7</v>
      </c>
      <c r="MC738" s="27" t="s">
        <v>8</v>
      </c>
      <c r="MD738" s="27" t="s">
        <v>7</v>
      </c>
      <c r="ME738" s="27" t="s">
        <v>8</v>
      </c>
      <c r="MF738" s="27" t="s">
        <v>7</v>
      </c>
      <c r="MH738" s="27" t="s">
        <v>7</v>
      </c>
      <c r="MI738" s="27" t="s">
        <v>8</v>
      </c>
      <c r="MJ738" s="27" t="s">
        <v>7</v>
      </c>
      <c r="MM738" s="27" t="s">
        <v>8</v>
      </c>
      <c r="NP738" s="27" t="s">
        <v>7</v>
      </c>
      <c r="NQ738" s="27" t="s">
        <v>8</v>
      </c>
      <c r="NR738" s="27" t="s">
        <v>7</v>
      </c>
      <c r="NU738" s="27" t="s">
        <v>8</v>
      </c>
      <c r="NV738" s="27" t="s">
        <v>7</v>
      </c>
      <c r="NW738" s="27" t="s">
        <v>8</v>
      </c>
      <c r="NX738" s="27" t="s">
        <v>7</v>
      </c>
      <c r="NY738" s="27" t="s">
        <v>8</v>
      </c>
      <c r="NZ738" s="27" t="s">
        <v>7</v>
      </c>
      <c r="OA738" s="27" t="s">
        <v>8</v>
      </c>
      <c r="OB738" s="27" t="s">
        <v>7</v>
      </c>
      <c r="OC738" s="27" t="s">
        <v>8</v>
      </c>
      <c r="OD738" s="27" t="s">
        <v>7</v>
      </c>
      <c r="OE738" s="27" t="s">
        <v>8</v>
      </c>
      <c r="OF738" s="27" t="s">
        <v>7</v>
      </c>
      <c r="OG738" s="27" t="s">
        <v>8</v>
      </c>
      <c r="OH738" s="27" t="s">
        <v>7</v>
      </c>
      <c r="OJ738" s="27" t="s">
        <v>7</v>
      </c>
      <c r="OK738" s="27" t="s">
        <v>8</v>
      </c>
      <c r="OL738" s="27" t="s">
        <v>7</v>
      </c>
      <c r="OW738" s="27" t="s">
        <v>8</v>
      </c>
      <c r="OX738" s="27" t="s">
        <v>7</v>
      </c>
      <c r="OY738" s="27" t="s">
        <v>8</v>
      </c>
      <c r="OZ738" s="27" t="s">
        <v>7</v>
      </c>
      <c r="PA738" s="27" t="s">
        <v>8</v>
      </c>
      <c r="PB738" s="27" t="s">
        <v>7</v>
      </c>
      <c r="PO738" s="27" t="s">
        <v>8</v>
      </c>
      <c r="PP738" s="27" t="s">
        <v>7</v>
      </c>
      <c r="PQ738" s="27" t="s">
        <v>8</v>
      </c>
      <c r="QD738" s="27" t="s">
        <v>7</v>
      </c>
      <c r="QE738" s="27" t="s">
        <v>8</v>
      </c>
      <c r="QF738" s="27" t="s">
        <v>7</v>
      </c>
      <c r="QG738" s="27" t="s">
        <v>8</v>
      </c>
      <c r="QJ738" s="27" t="s">
        <v>7</v>
      </c>
      <c r="QL738" s="27" t="s">
        <v>7</v>
      </c>
      <c r="QY738" s="27" t="s">
        <v>8</v>
      </c>
      <c r="QZ738" s="27" t="s">
        <v>7</v>
      </c>
      <c r="RA738" s="27" t="s">
        <v>8</v>
      </c>
      <c r="RB738" s="27" t="s">
        <v>7</v>
      </c>
      <c r="RC738" s="27" t="s">
        <v>8</v>
      </c>
      <c r="RD738" s="27" t="s">
        <v>7</v>
      </c>
      <c r="RE738" s="27" t="s">
        <v>8</v>
      </c>
      <c r="RF738" s="27" t="s">
        <v>7</v>
      </c>
      <c r="RG738" s="27" t="s">
        <v>8</v>
      </c>
      <c r="RI738" s="27" t="s">
        <v>8</v>
      </c>
      <c r="RJ738" s="27" t="s">
        <v>7</v>
      </c>
      <c r="RK738" s="27" t="s">
        <v>8</v>
      </c>
      <c r="RL738" s="27" t="s">
        <v>7</v>
      </c>
      <c r="RN738" s="27" t="s">
        <v>7</v>
      </c>
      <c r="RO738" s="27" t="s">
        <v>8</v>
      </c>
      <c r="RP738" s="27" t="s">
        <v>7</v>
      </c>
      <c r="RQ738" s="27" t="s">
        <v>8</v>
      </c>
      <c r="RR738" s="27" t="s">
        <v>7</v>
      </c>
      <c r="RS738" s="27" t="s">
        <v>8</v>
      </c>
      <c r="ST738" s="27" t="s">
        <v>7</v>
      </c>
      <c r="SU738" s="27" t="s">
        <v>8</v>
      </c>
      <c r="SV738" s="27" t="s">
        <v>7</v>
      </c>
      <c r="SW738" s="27" t="s">
        <v>8</v>
      </c>
      <c r="SX738" s="27" t="s">
        <v>7</v>
      </c>
      <c r="SY738" s="27" t="s">
        <v>8</v>
      </c>
      <c r="SZ738" s="27" t="s">
        <v>7</v>
      </c>
      <c r="TA738" s="27" t="s">
        <v>8</v>
      </c>
    </row>
    <row r="739" spans="1:522" x14ac:dyDescent="0.25">
      <c r="A739" s="7">
        <v>4.9291710848403378E-2</v>
      </c>
      <c r="B739"/>
      <c r="C739"/>
      <c r="D739"/>
      <c r="E739"/>
      <c r="H739" s="27" t="s">
        <v>7</v>
      </c>
      <c r="I739" s="27" t="s">
        <v>8</v>
      </c>
      <c r="J739" s="27" t="s">
        <v>7</v>
      </c>
      <c r="O739" s="27" t="s">
        <v>8</v>
      </c>
      <c r="Q739" s="27" t="s">
        <v>8</v>
      </c>
      <c r="R739" s="27" t="s">
        <v>7</v>
      </c>
      <c r="S739" s="27" t="s">
        <v>8</v>
      </c>
      <c r="T739" s="27" t="s">
        <v>7</v>
      </c>
      <c r="U739" s="27" t="s">
        <v>8</v>
      </c>
      <c r="X739" s="27" t="s">
        <v>7</v>
      </c>
      <c r="Y739" s="27" t="s">
        <v>8</v>
      </c>
      <c r="AE739" s="27" t="s">
        <v>8</v>
      </c>
      <c r="AH739" s="27" t="s">
        <v>7</v>
      </c>
      <c r="AI739" s="27" t="s">
        <v>8</v>
      </c>
      <c r="MC739" s="27" t="s">
        <v>8</v>
      </c>
      <c r="MD739" s="27" t="s">
        <v>7</v>
      </c>
      <c r="ME739" s="27" t="s">
        <v>8</v>
      </c>
      <c r="MH739" s="27" t="s">
        <v>7</v>
      </c>
      <c r="MI739" s="27" t="s">
        <v>8</v>
      </c>
      <c r="MJ739" s="27" t="s">
        <v>7</v>
      </c>
      <c r="MM739" s="27" t="s">
        <v>8</v>
      </c>
      <c r="NP739" s="27" t="s">
        <v>7</v>
      </c>
      <c r="NQ739" s="27" t="s">
        <v>8</v>
      </c>
      <c r="NR739" s="27" t="s">
        <v>7</v>
      </c>
      <c r="NU739" s="27" t="s">
        <v>8</v>
      </c>
      <c r="NV739" s="27" t="s">
        <v>7</v>
      </c>
      <c r="NW739" s="27" t="s">
        <v>8</v>
      </c>
      <c r="NX739" s="27" t="s">
        <v>7</v>
      </c>
      <c r="NY739" s="27" t="s">
        <v>8</v>
      </c>
      <c r="NZ739" s="27" t="s">
        <v>7</v>
      </c>
      <c r="OA739" s="27" t="s">
        <v>8</v>
      </c>
      <c r="OB739" s="27" t="s">
        <v>7</v>
      </c>
      <c r="OD739" s="27" t="s">
        <v>7</v>
      </c>
      <c r="OE739" s="27" t="s">
        <v>8</v>
      </c>
      <c r="OF739" s="27" t="s">
        <v>7</v>
      </c>
      <c r="OG739" s="27" t="s">
        <v>8</v>
      </c>
      <c r="OJ739" s="27" t="s">
        <v>7</v>
      </c>
      <c r="OK739" s="27" t="s">
        <v>8</v>
      </c>
      <c r="OL739" s="27" t="s">
        <v>7</v>
      </c>
      <c r="OW739" s="27" t="s">
        <v>8</v>
      </c>
      <c r="OX739" s="27" t="s">
        <v>7</v>
      </c>
      <c r="OY739" s="27" t="s">
        <v>8</v>
      </c>
      <c r="OZ739" s="27" t="s">
        <v>7</v>
      </c>
      <c r="PA739" s="27" t="s">
        <v>8</v>
      </c>
      <c r="PB739" s="27" t="s">
        <v>7</v>
      </c>
      <c r="PO739" s="27" t="s">
        <v>8</v>
      </c>
      <c r="PP739" s="27" t="s">
        <v>7</v>
      </c>
      <c r="PQ739" s="27" t="s">
        <v>8</v>
      </c>
      <c r="QD739" s="27" t="s">
        <v>7</v>
      </c>
      <c r="QE739" s="27" t="s">
        <v>8</v>
      </c>
      <c r="QF739" s="27" t="s">
        <v>7</v>
      </c>
      <c r="QG739" s="27" t="s">
        <v>8</v>
      </c>
      <c r="QL739" s="27" t="s">
        <v>7</v>
      </c>
      <c r="QM739" s="27" t="s">
        <v>8</v>
      </c>
      <c r="QW739" s="27" t="s">
        <v>8</v>
      </c>
      <c r="QY739" s="27" t="s">
        <v>8</v>
      </c>
      <c r="QZ739" s="27" t="s">
        <v>7</v>
      </c>
      <c r="RA739" s="27" t="s">
        <v>8</v>
      </c>
      <c r="RB739" s="27" t="s">
        <v>7</v>
      </c>
      <c r="RD739" s="27" t="s">
        <v>7</v>
      </c>
      <c r="RE739" s="27" t="s">
        <v>8</v>
      </c>
      <c r="RF739" s="27" t="s">
        <v>7</v>
      </c>
      <c r="RG739" s="27" t="s">
        <v>8</v>
      </c>
      <c r="RH739" s="27" t="s">
        <v>7</v>
      </c>
      <c r="RI739" s="27" t="s">
        <v>8</v>
      </c>
      <c r="RJ739" s="27" t="s">
        <v>7</v>
      </c>
      <c r="RN739" s="27" t="s">
        <v>7</v>
      </c>
      <c r="RO739" s="27" t="s">
        <v>8</v>
      </c>
      <c r="RP739" s="27" t="s">
        <v>7</v>
      </c>
      <c r="RQ739" s="27" t="s">
        <v>8</v>
      </c>
      <c r="RR739" s="27" t="s">
        <v>7</v>
      </c>
      <c r="RS739" s="27" t="s">
        <v>8</v>
      </c>
      <c r="ST739" s="27" t="s">
        <v>7</v>
      </c>
      <c r="SU739" s="27" t="s">
        <v>8</v>
      </c>
      <c r="SV739" s="27" t="s">
        <v>7</v>
      </c>
      <c r="SW739" s="27" t="s">
        <v>8</v>
      </c>
      <c r="SX739" s="27" t="s">
        <v>7</v>
      </c>
      <c r="SY739" s="27" t="s">
        <v>8</v>
      </c>
      <c r="SZ739" s="27" t="s">
        <v>7</v>
      </c>
      <c r="TA739" s="27" t="s">
        <v>8</v>
      </c>
      <c r="TB739" s="27" t="s">
        <v>7</v>
      </c>
    </row>
    <row r="740" spans="1:522" x14ac:dyDescent="0.25">
      <c r="A740" s="7">
        <v>4.8325206714120959E-2</v>
      </c>
      <c r="B740"/>
      <c r="C740"/>
      <c r="D740"/>
      <c r="E740"/>
      <c r="H740" s="27" t="s">
        <v>7</v>
      </c>
      <c r="I740" s="27" t="s">
        <v>8</v>
      </c>
      <c r="J740" s="27" t="s">
        <v>7</v>
      </c>
      <c r="O740" s="27" t="s">
        <v>8</v>
      </c>
      <c r="P740" s="27" t="s">
        <v>7</v>
      </c>
      <c r="Q740" s="27" t="s">
        <v>8</v>
      </c>
      <c r="R740" s="27" t="s">
        <v>7</v>
      </c>
      <c r="S740" s="27" t="s">
        <v>8</v>
      </c>
      <c r="T740" s="27" t="s">
        <v>7</v>
      </c>
      <c r="X740" s="27" t="s">
        <v>7</v>
      </c>
      <c r="Y740" s="27" t="s">
        <v>8</v>
      </c>
      <c r="Z740" s="27" t="s">
        <v>7</v>
      </c>
      <c r="AE740" s="27" t="s">
        <v>8</v>
      </c>
      <c r="AH740" s="27" t="s">
        <v>7</v>
      </c>
      <c r="AI740" s="27" t="s">
        <v>8</v>
      </c>
      <c r="AJ740" s="27" t="s">
        <v>7</v>
      </c>
      <c r="MC740" s="27" t="s">
        <v>8</v>
      </c>
      <c r="MD740" s="27" t="s">
        <v>7</v>
      </c>
      <c r="MH740" s="27" t="s">
        <v>7</v>
      </c>
      <c r="MI740" s="27" t="s">
        <v>8</v>
      </c>
      <c r="MJ740" s="27" t="s">
        <v>7</v>
      </c>
      <c r="MK740" s="27" t="s">
        <v>8</v>
      </c>
      <c r="MM740" s="27" t="s">
        <v>8</v>
      </c>
      <c r="NP740" s="27" t="s">
        <v>7</v>
      </c>
      <c r="NQ740" s="27" t="s">
        <v>8</v>
      </c>
      <c r="NR740" s="27" t="s">
        <v>7</v>
      </c>
      <c r="NU740" s="27" t="s">
        <v>8</v>
      </c>
      <c r="NV740" s="27" t="s">
        <v>7</v>
      </c>
      <c r="NW740" s="27" t="s">
        <v>8</v>
      </c>
      <c r="NX740" s="27" t="s">
        <v>7</v>
      </c>
      <c r="NY740" s="27" t="s">
        <v>8</v>
      </c>
      <c r="NZ740" s="27" t="s">
        <v>7</v>
      </c>
      <c r="OA740" s="27" t="s">
        <v>8</v>
      </c>
      <c r="OD740" s="27" t="s">
        <v>7</v>
      </c>
      <c r="OE740" s="27" t="s">
        <v>8</v>
      </c>
      <c r="OF740" s="27" t="s">
        <v>7</v>
      </c>
      <c r="OG740" s="27" t="s">
        <v>8</v>
      </c>
      <c r="OJ740" s="27" t="s">
        <v>7</v>
      </c>
      <c r="OK740" s="27" t="s">
        <v>8</v>
      </c>
      <c r="OL740" s="27" t="s">
        <v>7</v>
      </c>
      <c r="OW740" s="27" t="s">
        <v>8</v>
      </c>
      <c r="OX740" s="27" t="s">
        <v>7</v>
      </c>
      <c r="OY740" s="27" t="s">
        <v>8</v>
      </c>
      <c r="OZ740" s="27" t="s">
        <v>7</v>
      </c>
      <c r="PA740" s="27" t="s">
        <v>8</v>
      </c>
      <c r="PB740" s="27" t="s">
        <v>7</v>
      </c>
      <c r="PO740" s="27" t="s">
        <v>8</v>
      </c>
      <c r="PP740" s="27" t="s">
        <v>7</v>
      </c>
      <c r="PQ740" s="27" t="s">
        <v>8</v>
      </c>
      <c r="QD740" s="27" t="s">
        <v>7</v>
      </c>
      <c r="QE740" s="27" t="s">
        <v>8</v>
      </c>
      <c r="QF740" s="27" t="s">
        <v>7</v>
      </c>
      <c r="QL740" s="27" t="s">
        <v>7</v>
      </c>
      <c r="QM740" s="27" t="s">
        <v>8</v>
      </c>
      <c r="QN740" s="27" t="s">
        <v>7</v>
      </c>
      <c r="QW740" s="27" t="s">
        <v>8</v>
      </c>
      <c r="QX740" s="27" t="s">
        <v>7</v>
      </c>
      <c r="QY740" s="27" t="s">
        <v>8</v>
      </c>
      <c r="QZ740" s="27" t="s">
        <v>7</v>
      </c>
      <c r="RA740" s="27" t="s">
        <v>8</v>
      </c>
      <c r="RD740" s="27" t="s">
        <v>7</v>
      </c>
      <c r="RF740" s="27" t="s">
        <v>7</v>
      </c>
      <c r="RG740" s="27" t="s">
        <v>8</v>
      </c>
      <c r="RH740" s="27" t="s">
        <v>7</v>
      </c>
      <c r="RI740" s="27" t="s">
        <v>8</v>
      </c>
      <c r="RN740" s="27" t="s">
        <v>7</v>
      </c>
      <c r="RO740" s="27" t="s">
        <v>8</v>
      </c>
      <c r="RP740" s="27" t="s">
        <v>7</v>
      </c>
      <c r="RR740" s="27" t="s">
        <v>7</v>
      </c>
      <c r="RS740" s="27" t="s">
        <v>8</v>
      </c>
      <c r="ST740" s="27" t="s">
        <v>7</v>
      </c>
      <c r="SU740" s="27" t="s">
        <v>8</v>
      </c>
      <c r="SV740" s="27" t="s">
        <v>7</v>
      </c>
      <c r="SW740" s="27" t="s">
        <v>8</v>
      </c>
      <c r="SX740" s="27" t="s">
        <v>7</v>
      </c>
      <c r="SY740" s="27" t="s">
        <v>8</v>
      </c>
      <c r="SZ740" s="27" t="s">
        <v>7</v>
      </c>
      <c r="TA740" s="27" t="s">
        <v>8</v>
      </c>
      <c r="TB740" s="27" t="s">
        <v>7</v>
      </c>
    </row>
    <row r="741" spans="1:522" x14ac:dyDescent="0.25">
      <c r="A741" s="7">
        <v>4.7377653641295057E-2</v>
      </c>
      <c r="B741"/>
      <c r="C741"/>
      <c r="D741"/>
      <c r="E741"/>
      <c r="H741" s="27" t="s">
        <v>7</v>
      </c>
      <c r="I741" s="27" t="s">
        <v>8</v>
      </c>
      <c r="J741" s="27" t="s">
        <v>7</v>
      </c>
      <c r="O741" s="27" t="s">
        <v>8</v>
      </c>
      <c r="P741" s="27" t="s">
        <v>7</v>
      </c>
      <c r="Q741" s="27" t="s">
        <v>8</v>
      </c>
      <c r="R741" s="27" t="s">
        <v>7</v>
      </c>
      <c r="S741" s="27" t="s">
        <v>8</v>
      </c>
      <c r="X741" s="27" t="s">
        <v>7</v>
      </c>
      <c r="Y741" s="27" t="s">
        <v>8</v>
      </c>
      <c r="Z741" s="27" t="s">
        <v>7</v>
      </c>
      <c r="AE741" s="27" t="s">
        <v>8</v>
      </c>
      <c r="AH741" s="27" t="s">
        <v>7</v>
      </c>
      <c r="AI741" s="27" t="s">
        <v>8</v>
      </c>
      <c r="AJ741" s="27" t="s">
        <v>7</v>
      </c>
      <c r="AK741" s="27" t="s">
        <v>8</v>
      </c>
      <c r="MC741" s="27" t="s">
        <v>8</v>
      </c>
      <c r="MH741" s="27" t="s">
        <v>7</v>
      </c>
      <c r="MI741" s="27" t="s">
        <v>8</v>
      </c>
      <c r="MJ741" s="27" t="s">
        <v>7</v>
      </c>
      <c r="MK741" s="27" t="s">
        <v>8</v>
      </c>
      <c r="ML741" s="27" t="s">
        <v>7</v>
      </c>
      <c r="MM741" s="27" t="s">
        <v>8</v>
      </c>
      <c r="NP741" s="27" t="s">
        <v>7</v>
      </c>
      <c r="NQ741" s="27" t="s">
        <v>8</v>
      </c>
      <c r="NR741" s="27" t="s">
        <v>7</v>
      </c>
      <c r="NU741" s="27" t="s">
        <v>8</v>
      </c>
      <c r="NV741" s="27" t="s">
        <v>7</v>
      </c>
      <c r="NW741" s="27" t="s">
        <v>8</v>
      </c>
      <c r="NX741" s="27" t="s">
        <v>7</v>
      </c>
      <c r="NY741" s="27" t="s">
        <v>8</v>
      </c>
      <c r="NZ741" s="27" t="s">
        <v>7</v>
      </c>
      <c r="OD741" s="27" t="s">
        <v>7</v>
      </c>
      <c r="OE741" s="27" t="s">
        <v>8</v>
      </c>
      <c r="OF741" s="27" t="s">
        <v>7</v>
      </c>
      <c r="OG741" s="27" t="s">
        <v>8</v>
      </c>
      <c r="OJ741" s="27" t="s">
        <v>7</v>
      </c>
      <c r="OK741" s="27" t="s">
        <v>8</v>
      </c>
      <c r="OL741" s="27" t="s">
        <v>7</v>
      </c>
      <c r="OW741" s="27" t="s">
        <v>8</v>
      </c>
      <c r="OX741" s="27" t="s">
        <v>7</v>
      </c>
      <c r="OY741" s="27" t="s">
        <v>8</v>
      </c>
      <c r="OZ741" s="27" t="s">
        <v>7</v>
      </c>
      <c r="PA741" s="27" t="s">
        <v>8</v>
      </c>
      <c r="PB741" s="27" t="s">
        <v>7</v>
      </c>
      <c r="PO741" s="27" t="s">
        <v>8</v>
      </c>
      <c r="PP741" s="27" t="s">
        <v>7</v>
      </c>
      <c r="PQ741" s="27" t="s">
        <v>8</v>
      </c>
      <c r="QD741" s="27" t="s">
        <v>7</v>
      </c>
      <c r="QE741" s="27" t="s">
        <v>8</v>
      </c>
      <c r="QL741" s="27" t="s">
        <v>7</v>
      </c>
      <c r="QM741" s="27" t="s">
        <v>8</v>
      </c>
      <c r="QN741" s="27" t="s">
        <v>7</v>
      </c>
      <c r="QW741" s="27" t="s">
        <v>8</v>
      </c>
      <c r="QX741" s="27" t="s">
        <v>7</v>
      </c>
      <c r="QY741" s="27" t="s">
        <v>8</v>
      </c>
      <c r="QZ741" s="27" t="s">
        <v>7</v>
      </c>
      <c r="RA741" s="27" t="s">
        <v>8</v>
      </c>
      <c r="RF741" s="27" t="s">
        <v>7</v>
      </c>
      <c r="RG741" s="27" t="s">
        <v>8</v>
      </c>
      <c r="RH741" s="27" t="s">
        <v>7</v>
      </c>
      <c r="RI741" s="27" t="s">
        <v>8</v>
      </c>
      <c r="RN741" s="27" t="s">
        <v>7</v>
      </c>
      <c r="RR741" s="27" t="s">
        <v>7</v>
      </c>
      <c r="RS741" s="27" t="s">
        <v>8</v>
      </c>
      <c r="ST741" s="27" t="s">
        <v>7</v>
      </c>
      <c r="SV741" s="27" t="s">
        <v>7</v>
      </c>
      <c r="SW741" s="27" t="s">
        <v>8</v>
      </c>
      <c r="SX741" s="27" t="s">
        <v>7</v>
      </c>
      <c r="SZ741" s="27" t="s">
        <v>7</v>
      </c>
      <c r="TA741" s="27" t="s">
        <v>8</v>
      </c>
      <c r="TB741" s="27" t="s">
        <v>7</v>
      </c>
    </row>
    <row r="742" spans="1:522" x14ac:dyDescent="0.25">
      <c r="A742" s="7">
        <v>4.644868004048535E-2</v>
      </c>
      <c r="B742"/>
      <c r="C742"/>
      <c r="D742"/>
      <c r="E742"/>
      <c r="H742" s="27" t="s">
        <v>7</v>
      </c>
      <c r="J742" s="27" t="s">
        <v>7</v>
      </c>
      <c r="O742" s="27" t="s">
        <v>8</v>
      </c>
      <c r="P742" s="27" t="s">
        <v>7</v>
      </c>
      <c r="Q742" s="27" t="s">
        <v>8</v>
      </c>
      <c r="R742" s="27" t="s">
        <v>7</v>
      </c>
      <c r="S742" s="27" t="s">
        <v>8</v>
      </c>
      <c r="X742" s="27" t="s">
        <v>7</v>
      </c>
      <c r="Y742" s="27" t="s">
        <v>8</v>
      </c>
      <c r="Z742" s="27" t="s">
        <v>7</v>
      </c>
      <c r="AE742" s="27" t="s">
        <v>8</v>
      </c>
      <c r="AH742" s="27" t="s">
        <v>7</v>
      </c>
      <c r="AI742" s="27" t="s">
        <v>8</v>
      </c>
      <c r="AJ742" s="27" t="s">
        <v>7</v>
      </c>
      <c r="AK742" s="27" t="s">
        <v>8</v>
      </c>
      <c r="AL742" s="27" t="s">
        <v>7</v>
      </c>
      <c r="MC742" s="27" t="s">
        <v>8</v>
      </c>
      <c r="MH742" s="27" t="s">
        <v>7</v>
      </c>
      <c r="MI742" s="27" t="s">
        <v>8</v>
      </c>
      <c r="MJ742" s="27" t="s">
        <v>7</v>
      </c>
      <c r="MK742" s="27" t="s">
        <v>8</v>
      </c>
      <c r="ML742" s="27" t="s">
        <v>7</v>
      </c>
      <c r="MM742" s="27" t="s">
        <v>8</v>
      </c>
      <c r="NP742" s="27" t="s">
        <v>7</v>
      </c>
      <c r="NQ742" s="27" t="s">
        <v>8</v>
      </c>
      <c r="NR742" s="27" t="s">
        <v>7</v>
      </c>
      <c r="NU742" s="27" t="s">
        <v>8</v>
      </c>
      <c r="NV742" s="27" t="s">
        <v>7</v>
      </c>
      <c r="NW742" s="27" t="s">
        <v>8</v>
      </c>
      <c r="NX742" s="27" t="s">
        <v>7</v>
      </c>
      <c r="NY742" s="27" t="s">
        <v>8</v>
      </c>
      <c r="OD742" s="27" t="s">
        <v>7</v>
      </c>
      <c r="OF742" s="27" t="s">
        <v>7</v>
      </c>
      <c r="OG742" s="27" t="s">
        <v>8</v>
      </c>
      <c r="OJ742" s="27" t="s">
        <v>7</v>
      </c>
      <c r="OL742" s="27" t="s">
        <v>7</v>
      </c>
      <c r="OW742" s="27" t="s">
        <v>8</v>
      </c>
      <c r="OX742" s="27" t="s">
        <v>7</v>
      </c>
      <c r="OY742" s="27" t="s">
        <v>8</v>
      </c>
      <c r="OZ742" s="27" t="s">
        <v>7</v>
      </c>
      <c r="PA742" s="27" t="s">
        <v>8</v>
      </c>
      <c r="PB742" s="27" t="s">
        <v>7</v>
      </c>
      <c r="PI742" s="27" t="s">
        <v>8</v>
      </c>
      <c r="PM742" s="27" t="s">
        <v>8</v>
      </c>
      <c r="PO742" s="27" t="s">
        <v>8</v>
      </c>
      <c r="PP742" s="27" t="s">
        <v>7</v>
      </c>
      <c r="PQ742" s="27" t="s">
        <v>8</v>
      </c>
      <c r="QD742" s="27" t="s">
        <v>7</v>
      </c>
      <c r="QE742" s="27" t="s">
        <v>8</v>
      </c>
      <c r="QL742" s="27" t="s">
        <v>7</v>
      </c>
      <c r="QM742" s="27" t="s">
        <v>8</v>
      </c>
      <c r="QN742" s="27" t="s">
        <v>7</v>
      </c>
      <c r="QU742" s="27" t="s">
        <v>8</v>
      </c>
      <c r="QW742" s="27" t="s">
        <v>8</v>
      </c>
      <c r="QX742" s="27" t="s">
        <v>7</v>
      </c>
      <c r="QZ742" s="27" t="s">
        <v>7</v>
      </c>
      <c r="RA742" s="27" t="s">
        <v>8</v>
      </c>
      <c r="RF742" s="27" t="s">
        <v>7</v>
      </c>
      <c r="RG742" s="27" t="s">
        <v>8</v>
      </c>
      <c r="RH742" s="27" t="s">
        <v>7</v>
      </c>
      <c r="RR742" s="27" t="s">
        <v>7</v>
      </c>
      <c r="RS742" s="27" t="s">
        <v>8</v>
      </c>
      <c r="SV742" s="27" t="s">
        <v>7</v>
      </c>
      <c r="SW742" s="27" t="s">
        <v>8</v>
      </c>
      <c r="SZ742" s="27" t="s">
        <v>7</v>
      </c>
      <c r="TB742" s="27" t="s">
        <v>7</v>
      </c>
    </row>
    <row r="743" spans="1:522" x14ac:dyDescent="0.25">
      <c r="A743" s="7">
        <v>4.5537921608318974E-2</v>
      </c>
      <c r="B743"/>
      <c r="C743"/>
      <c r="D743"/>
      <c r="E743"/>
      <c r="J743" s="27" t="s">
        <v>7</v>
      </c>
      <c r="O743" s="27" t="s">
        <v>8</v>
      </c>
      <c r="P743" s="27" t="s">
        <v>7</v>
      </c>
      <c r="Q743" s="27" t="s">
        <v>8</v>
      </c>
      <c r="R743" s="27" t="s">
        <v>7</v>
      </c>
      <c r="S743" s="27" t="s">
        <v>8</v>
      </c>
      <c r="X743" s="27" t="s">
        <v>7</v>
      </c>
      <c r="Y743" s="27" t="s">
        <v>8</v>
      </c>
      <c r="Z743" s="27" t="s">
        <v>7</v>
      </c>
      <c r="AE743" s="27" t="s">
        <v>8</v>
      </c>
      <c r="AH743" s="27" t="s">
        <v>7</v>
      </c>
      <c r="AI743" s="27" t="s">
        <v>8</v>
      </c>
      <c r="AJ743" s="27" t="s">
        <v>7</v>
      </c>
      <c r="AK743" s="27" t="s">
        <v>8</v>
      </c>
      <c r="AL743" s="27" t="s">
        <v>7</v>
      </c>
      <c r="MC743" s="27" t="s">
        <v>8</v>
      </c>
      <c r="MH743" s="27" t="s">
        <v>7</v>
      </c>
      <c r="MI743" s="27" t="s">
        <v>8</v>
      </c>
      <c r="MJ743" s="27" t="s">
        <v>7</v>
      </c>
      <c r="MK743" s="27" t="s">
        <v>8</v>
      </c>
      <c r="ML743" s="27" t="s">
        <v>7</v>
      </c>
      <c r="MM743" s="27" t="s">
        <v>8</v>
      </c>
      <c r="NP743" s="27" t="s">
        <v>7</v>
      </c>
      <c r="NQ743" s="27" t="s">
        <v>8</v>
      </c>
      <c r="NR743" s="27" t="s">
        <v>7</v>
      </c>
      <c r="NU743" s="27" t="s">
        <v>8</v>
      </c>
      <c r="NV743" s="27" t="s">
        <v>7</v>
      </c>
      <c r="NW743" s="27" t="s">
        <v>8</v>
      </c>
      <c r="NX743" s="27" t="s">
        <v>7</v>
      </c>
      <c r="OF743" s="27" t="s">
        <v>7</v>
      </c>
      <c r="OG743" s="27" t="s">
        <v>8</v>
      </c>
      <c r="OL743" s="27" t="s">
        <v>7</v>
      </c>
      <c r="OW743" s="27" t="s">
        <v>8</v>
      </c>
      <c r="OX743" s="27" t="s">
        <v>7</v>
      </c>
      <c r="OY743" s="27" t="s">
        <v>8</v>
      </c>
      <c r="OZ743" s="27" t="s">
        <v>7</v>
      </c>
      <c r="PA743" s="27" t="s">
        <v>8</v>
      </c>
      <c r="PB743" s="27" t="s">
        <v>7</v>
      </c>
      <c r="PI743" s="27" t="s">
        <v>8</v>
      </c>
      <c r="PJ743" s="27" t="s">
        <v>7</v>
      </c>
      <c r="PM743" s="27" t="s">
        <v>8</v>
      </c>
      <c r="PN743" s="27" t="s">
        <v>7</v>
      </c>
      <c r="PO743" s="27" t="s">
        <v>8</v>
      </c>
      <c r="PP743" s="27" t="s">
        <v>7</v>
      </c>
      <c r="PQ743" s="27" t="s">
        <v>8</v>
      </c>
      <c r="QD743" s="27" t="s">
        <v>7</v>
      </c>
      <c r="QE743" s="27" t="s">
        <v>8</v>
      </c>
      <c r="QL743" s="27" t="s">
        <v>7</v>
      </c>
      <c r="QM743" s="27" t="s">
        <v>8</v>
      </c>
      <c r="QN743" s="27" t="s">
        <v>7</v>
      </c>
      <c r="QO743" s="27" t="s">
        <v>8</v>
      </c>
      <c r="QU743" s="27" t="s">
        <v>8</v>
      </c>
      <c r="QV743" s="27" t="s">
        <v>7</v>
      </c>
      <c r="QW743" s="27" t="s">
        <v>8</v>
      </c>
      <c r="QZ743" s="27" t="s">
        <v>7</v>
      </c>
      <c r="RA743" s="27" t="s">
        <v>8</v>
      </c>
      <c r="RF743" s="27" t="s">
        <v>7</v>
      </c>
      <c r="RG743" s="27" t="s">
        <v>8</v>
      </c>
      <c r="RR743" s="27" t="s">
        <v>7</v>
      </c>
      <c r="RS743" s="27" t="s">
        <v>8</v>
      </c>
      <c r="SV743" s="27" t="s">
        <v>7</v>
      </c>
      <c r="TB743" s="27" t="s">
        <v>7</v>
      </c>
    </row>
    <row r="744" spans="1:522" x14ac:dyDescent="0.25">
      <c r="A744" s="7">
        <v>4.4645021184626446E-2</v>
      </c>
      <c r="B744"/>
      <c r="C744"/>
      <c r="D744"/>
      <c r="E744"/>
      <c r="J744" s="27" t="s">
        <v>7</v>
      </c>
      <c r="K744" s="27" t="s">
        <v>8</v>
      </c>
      <c r="O744" s="27" t="s">
        <v>8</v>
      </c>
      <c r="P744" s="27" t="s">
        <v>7</v>
      </c>
      <c r="Q744" s="27" t="s">
        <v>8</v>
      </c>
      <c r="R744" s="27" t="s">
        <v>7</v>
      </c>
      <c r="X744" s="27" t="s">
        <v>7</v>
      </c>
      <c r="Z744" s="27" t="s">
        <v>7</v>
      </c>
      <c r="AE744" s="27" t="s">
        <v>8</v>
      </c>
      <c r="AH744" s="27" t="s">
        <v>7</v>
      </c>
      <c r="AJ744" s="27" t="s">
        <v>7</v>
      </c>
      <c r="AL744" s="27" t="s">
        <v>7</v>
      </c>
      <c r="AM744" s="27" t="s">
        <v>8</v>
      </c>
      <c r="MC744" s="27" t="s">
        <v>8</v>
      </c>
      <c r="MH744" s="27" t="s">
        <v>7</v>
      </c>
      <c r="MI744" s="27" t="s">
        <v>8</v>
      </c>
      <c r="MJ744" s="27" t="s">
        <v>7</v>
      </c>
      <c r="MK744" s="27" t="s">
        <v>8</v>
      </c>
      <c r="ML744" s="27" t="s">
        <v>7</v>
      </c>
      <c r="MM744" s="27" t="s">
        <v>8</v>
      </c>
      <c r="NP744" s="27" t="s">
        <v>7</v>
      </c>
      <c r="NQ744" s="27" t="s">
        <v>8</v>
      </c>
      <c r="NR744" s="27" t="s">
        <v>7</v>
      </c>
      <c r="NU744" s="27" t="s">
        <v>8</v>
      </c>
      <c r="NV744" s="27" t="s">
        <v>7</v>
      </c>
      <c r="NW744" s="27" t="s">
        <v>8</v>
      </c>
      <c r="OF744" s="27" t="s">
        <v>7</v>
      </c>
      <c r="OG744" s="27" t="s">
        <v>8</v>
      </c>
      <c r="OL744" s="27" t="s">
        <v>7</v>
      </c>
      <c r="OW744" s="27" t="s">
        <v>8</v>
      </c>
      <c r="OX744" s="27" t="s">
        <v>7</v>
      </c>
      <c r="OY744" s="27" t="s">
        <v>8</v>
      </c>
      <c r="OZ744" s="27" t="s">
        <v>7</v>
      </c>
      <c r="PB744" s="27" t="s">
        <v>7</v>
      </c>
      <c r="PI744" s="27" t="s">
        <v>8</v>
      </c>
      <c r="PJ744" s="27" t="s">
        <v>7</v>
      </c>
      <c r="PM744" s="27" t="s">
        <v>8</v>
      </c>
      <c r="PN744" s="27" t="s">
        <v>7</v>
      </c>
      <c r="PO744" s="27" t="s">
        <v>8</v>
      </c>
      <c r="PP744" s="27" t="s">
        <v>7</v>
      </c>
      <c r="QD744" s="27" t="s">
        <v>7</v>
      </c>
      <c r="QL744" s="27" t="s">
        <v>7</v>
      </c>
      <c r="QM744" s="27" t="s">
        <v>8</v>
      </c>
      <c r="QN744" s="27" t="s">
        <v>7</v>
      </c>
      <c r="QO744" s="27" t="s">
        <v>8</v>
      </c>
      <c r="QP744" s="27" t="s">
        <v>7</v>
      </c>
      <c r="QQ744" s="27" t="s">
        <v>8</v>
      </c>
      <c r="QS744" s="27" t="s">
        <v>8</v>
      </c>
      <c r="QU744" s="27" t="s">
        <v>8</v>
      </c>
      <c r="QV744" s="27" t="s">
        <v>7</v>
      </c>
      <c r="QW744" s="27" t="s">
        <v>8</v>
      </c>
      <c r="QZ744" s="27" t="s">
        <v>7</v>
      </c>
      <c r="RF744" s="27" t="s">
        <v>7</v>
      </c>
      <c r="RR744" s="27" t="s">
        <v>7</v>
      </c>
      <c r="TB744" s="27" t="s">
        <v>7</v>
      </c>
    </row>
    <row r="745" spans="1:522" x14ac:dyDescent="0.25">
      <c r="A745" s="7">
        <v>4.3769628612378868E-2</v>
      </c>
      <c r="B745"/>
      <c r="C745"/>
      <c r="D745"/>
      <c r="E745"/>
      <c r="J745" s="27" t="s">
        <v>7</v>
      </c>
      <c r="K745" s="27" t="s">
        <v>8</v>
      </c>
      <c r="L745" s="27" t="s">
        <v>7</v>
      </c>
      <c r="O745" s="27" t="s">
        <v>8</v>
      </c>
      <c r="P745" s="27" t="s">
        <v>7</v>
      </c>
      <c r="Q745" s="27" t="s">
        <v>8</v>
      </c>
      <c r="Z745" s="27" t="s">
        <v>7</v>
      </c>
      <c r="AC745" s="27" t="s">
        <v>8</v>
      </c>
      <c r="AE745" s="27" t="s">
        <v>8</v>
      </c>
      <c r="AL745" s="27" t="s">
        <v>7</v>
      </c>
      <c r="AM745" s="27" t="s">
        <v>8</v>
      </c>
      <c r="AN745" s="27" t="s">
        <v>7</v>
      </c>
      <c r="AO745" s="27" t="s">
        <v>8</v>
      </c>
      <c r="MC745" s="27" t="s">
        <v>8</v>
      </c>
      <c r="MH745" s="27" t="s">
        <v>7</v>
      </c>
      <c r="MI745" s="27" t="s">
        <v>8</v>
      </c>
      <c r="MJ745" s="27" t="s">
        <v>7</v>
      </c>
      <c r="MK745" s="27" t="s">
        <v>8</v>
      </c>
      <c r="ML745" s="27" t="s">
        <v>7</v>
      </c>
      <c r="NP745" s="27" t="s">
        <v>7</v>
      </c>
      <c r="NQ745" s="27" t="s">
        <v>8</v>
      </c>
      <c r="NR745" s="27" t="s">
        <v>7</v>
      </c>
      <c r="NS745" s="27" t="s">
        <v>8</v>
      </c>
      <c r="NU745" s="27" t="s">
        <v>8</v>
      </c>
      <c r="NV745" s="27" t="s">
        <v>7</v>
      </c>
      <c r="NW745" s="27" t="s">
        <v>8</v>
      </c>
      <c r="OF745" s="27" t="s">
        <v>7</v>
      </c>
      <c r="OG745" s="27" t="s">
        <v>8</v>
      </c>
      <c r="OL745" s="27" t="s">
        <v>7</v>
      </c>
      <c r="OW745" s="27" t="s">
        <v>8</v>
      </c>
      <c r="OX745" s="27" t="s">
        <v>7</v>
      </c>
      <c r="OY745" s="27" t="s">
        <v>8</v>
      </c>
      <c r="PB745" s="27" t="s">
        <v>7</v>
      </c>
      <c r="PI745" s="27" t="s">
        <v>8</v>
      </c>
      <c r="PJ745" s="27" t="s">
        <v>7</v>
      </c>
      <c r="PM745" s="27" t="s">
        <v>8</v>
      </c>
      <c r="PN745" s="27" t="s">
        <v>7</v>
      </c>
      <c r="PO745" s="27" t="s">
        <v>8</v>
      </c>
      <c r="QL745" s="27" t="s">
        <v>7</v>
      </c>
      <c r="QM745" s="27" t="s">
        <v>8</v>
      </c>
      <c r="QN745" s="27" t="s">
        <v>7</v>
      </c>
      <c r="QO745" s="27" t="s">
        <v>8</v>
      </c>
      <c r="QP745" s="27" t="s">
        <v>7</v>
      </c>
      <c r="QQ745" s="27" t="s">
        <v>8</v>
      </c>
      <c r="QR745" s="27" t="s">
        <v>7</v>
      </c>
      <c r="QS745" s="27" t="s">
        <v>8</v>
      </c>
      <c r="QT745" s="27" t="s">
        <v>7</v>
      </c>
      <c r="QU745" s="27" t="s">
        <v>8</v>
      </c>
      <c r="QV745" s="27" t="s">
        <v>7</v>
      </c>
      <c r="TB745" s="27" t="s">
        <v>7</v>
      </c>
    </row>
    <row r="746" spans="1:522" x14ac:dyDescent="0.25">
      <c r="A746" s="7">
        <v>4.2911400600371442E-2</v>
      </c>
      <c r="B746"/>
      <c r="C746"/>
      <c r="D746"/>
      <c r="E746"/>
      <c r="J746" s="27" t="s">
        <v>7</v>
      </c>
      <c r="K746" s="27" t="s">
        <v>8</v>
      </c>
      <c r="L746" s="27" t="s">
        <v>7</v>
      </c>
      <c r="O746" s="27" t="s">
        <v>8</v>
      </c>
      <c r="P746" s="27" t="s">
        <v>7</v>
      </c>
      <c r="Q746" s="27" t="s">
        <v>8</v>
      </c>
      <c r="Z746" s="27" t="s">
        <v>7</v>
      </c>
      <c r="AA746" s="27" t="s">
        <v>8</v>
      </c>
      <c r="AC746" s="27" t="s">
        <v>8</v>
      </c>
      <c r="AD746" s="27" t="s">
        <v>7</v>
      </c>
      <c r="AE746" s="27" t="s">
        <v>8</v>
      </c>
      <c r="AL746" s="27" t="s">
        <v>7</v>
      </c>
      <c r="AM746" s="27" t="s">
        <v>8</v>
      </c>
      <c r="AN746" s="27" t="s">
        <v>7</v>
      </c>
      <c r="AO746" s="27" t="s">
        <v>8</v>
      </c>
      <c r="AP746" s="27" t="s">
        <v>7</v>
      </c>
      <c r="MC746" s="27" t="s">
        <v>8</v>
      </c>
      <c r="MH746" s="27" t="s">
        <v>7</v>
      </c>
      <c r="MI746" s="27" t="s">
        <v>8</v>
      </c>
      <c r="MJ746" s="27" t="s">
        <v>7</v>
      </c>
      <c r="MK746" s="27" t="s">
        <v>8</v>
      </c>
      <c r="NP746" s="27" t="s">
        <v>7</v>
      </c>
      <c r="NQ746" s="27" t="s">
        <v>8</v>
      </c>
      <c r="NR746" s="27" t="s">
        <v>7</v>
      </c>
      <c r="NS746" s="27" t="s">
        <v>8</v>
      </c>
      <c r="NT746" s="27" t="s">
        <v>7</v>
      </c>
      <c r="NU746" s="27" t="s">
        <v>8</v>
      </c>
      <c r="NV746" s="27" t="s">
        <v>7</v>
      </c>
      <c r="OF746" s="27" t="s">
        <v>7</v>
      </c>
      <c r="OG746" s="27" t="s">
        <v>8</v>
      </c>
      <c r="OL746" s="27" t="s">
        <v>7</v>
      </c>
      <c r="OW746" s="27" t="s">
        <v>8</v>
      </c>
      <c r="OX746" s="27" t="s">
        <v>7</v>
      </c>
      <c r="OY746" s="27" t="s">
        <v>8</v>
      </c>
      <c r="PB746" s="27" t="s">
        <v>7</v>
      </c>
      <c r="PC746" s="27" t="s">
        <v>8</v>
      </c>
      <c r="PI746" s="27" t="s">
        <v>8</v>
      </c>
      <c r="PJ746" s="27" t="s">
        <v>7</v>
      </c>
      <c r="PK746" s="27" t="s">
        <v>8</v>
      </c>
      <c r="PM746" s="27" t="s">
        <v>8</v>
      </c>
      <c r="PN746" s="27" t="s">
        <v>7</v>
      </c>
      <c r="PO746" s="27" t="s">
        <v>8</v>
      </c>
      <c r="QL746" s="27" t="s">
        <v>7</v>
      </c>
      <c r="QM746" s="27" t="s">
        <v>8</v>
      </c>
      <c r="QN746" s="27" t="s">
        <v>7</v>
      </c>
      <c r="QO746" s="27" t="s">
        <v>8</v>
      </c>
      <c r="QP746" s="27" t="s">
        <v>7</v>
      </c>
      <c r="QQ746" s="27" t="s">
        <v>8</v>
      </c>
      <c r="QR746" s="27" t="s">
        <v>7</v>
      </c>
      <c r="QS746" s="27" t="s">
        <v>8</v>
      </c>
      <c r="QT746" s="27" t="s">
        <v>7</v>
      </c>
      <c r="QU746" s="27" t="s">
        <v>8</v>
      </c>
      <c r="TB746" s="27" t="s">
        <v>7</v>
      </c>
    </row>
    <row r="747" spans="1:522" x14ac:dyDescent="0.25">
      <c r="A747" s="7">
        <v>4.2070000588599457E-2</v>
      </c>
      <c r="B747"/>
      <c r="C747"/>
      <c r="D747"/>
      <c r="E747"/>
      <c r="J747" s="27" t="s">
        <v>7</v>
      </c>
      <c r="K747" s="27" t="s">
        <v>8</v>
      </c>
      <c r="L747" s="27" t="s">
        <v>7</v>
      </c>
      <c r="O747" s="27" t="s">
        <v>8</v>
      </c>
      <c r="P747" s="27" t="s">
        <v>7</v>
      </c>
      <c r="Q747" s="27" t="s">
        <v>8</v>
      </c>
      <c r="Z747" s="27" t="s">
        <v>7</v>
      </c>
      <c r="AA747" s="27" t="s">
        <v>8</v>
      </c>
      <c r="AB747" s="27" t="s">
        <v>7</v>
      </c>
      <c r="AC747" s="27" t="s">
        <v>8</v>
      </c>
      <c r="AD747" s="27" t="s">
        <v>7</v>
      </c>
      <c r="AE747" s="27" t="s">
        <v>8</v>
      </c>
      <c r="AL747" s="27" t="s">
        <v>7</v>
      </c>
      <c r="AM747" s="27" t="s">
        <v>8</v>
      </c>
      <c r="AN747" s="27" t="s">
        <v>7</v>
      </c>
      <c r="AO747" s="27" t="s">
        <v>8</v>
      </c>
      <c r="AP747" s="27" t="s">
        <v>7</v>
      </c>
      <c r="MC747" s="27" t="s">
        <v>8</v>
      </c>
      <c r="MH747" s="27" t="s">
        <v>7</v>
      </c>
      <c r="MJ747" s="27" t="s">
        <v>7</v>
      </c>
      <c r="MK747" s="27" t="s">
        <v>8</v>
      </c>
      <c r="NP747" s="27" t="s">
        <v>7</v>
      </c>
      <c r="NQ747" s="27" t="s">
        <v>8</v>
      </c>
      <c r="NR747" s="27" t="s">
        <v>7</v>
      </c>
      <c r="NS747" s="27" t="s">
        <v>8</v>
      </c>
      <c r="NT747" s="27" t="s">
        <v>7</v>
      </c>
      <c r="NU747" s="27" t="s">
        <v>8</v>
      </c>
      <c r="OF747" s="27" t="s">
        <v>7</v>
      </c>
      <c r="OL747" s="27" t="s">
        <v>7</v>
      </c>
      <c r="OM747" s="27" t="s">
        <v>8</v>
      </c>
      <c r="OW747" s="27" t="s">
        <v>8</v>
      </c>
      <c r="OX747" s="27" t="s">
        <v>7</v>
      </c>
      <c r="OY747" s="27" t="s">
        <v>8</v>
      </c>
      <c r="PB747" s="27" t="s">
        <v>7</v>
      </c>
      <c r="PC747" s="27" t="s">
        <v>8</v>
      </c>
      <c r="PD747" s="27" t="s">
        <v>7</v>
      </c>
      <c r="PI747" s="27" t="s">
        <v>8</v>
      </c>
      <c r="PJ747" s="27" t="s">
        <v>7</v>
      </c>
      <c r="PK747" s="27" t="s">
        <v>8</v>
      </c>
      <c r="PL747" s="27" t="s">
        <v>7</v>
      </c>
      <c r="PM747" s="27" t="s">
        <v>8</v>
      </c>
      <c r="PN747" s="27" t="s">
        <v>7</v>
      </c>
      <c r="PO747" s="27" t="s">
        <v>8</v>
      </c>
      <c r="QL747" s="27" t="s">
        <v>7</v>
      </c>
      <c r="QM747" s="27" t="s">
        <v>8</v>
      </c>
      <c r="QN747" s="27" t="s">
        <v>7</v>
      </c>
      <c r="QO747" s="27" t="s">
        <v>8</v>
      </c>
      <c r="QP747" s="27" t="s">
        <v>7</v>
      </c>
      <c r="QQ747" s="27" t="s">
        <v>8</v>
      </c>
      <c r="QR747" s="27" t="s">
        <v>7</v>
      </c>
      <c r="QS747" s="27" t="s">
        <v>8</v>
      </c>
      <c r="QT747" s="27" t="s">
        <v>7</v>
      </c>
      <c r="QU747" s="27" t="s">
        <v>8</v>
      </c>
      <c r="TB747" s="27" t="s">
        <v>7</v>
      </c>
    </row>
    <row r="748" spans="1:522" x14ac:dyDescent="0.25">
      <c r="A748" s="7">
        <v>4.1245098616273977E-2</v>
      </c>
      <c r="B748"/>
      <c r="C748"/>
      <c r="D748"/>
      <c r="E748"/>
      <c r="J748" s="27" t="s">
        <v>7</v>
      </c>
      <c r="K748" s="27" t="s">
        <v>8</v>
      </c>
      <c r="L748" s="27" t="s">
        <v>7</v>
      </c>
      <c r="O748" s="27" t="s">
        <v>8</v>
      </c>
      <c r="P748" s="27" t="s">
        <v>7</v>
      </c>
      <c r="Q748" s="27" t="s">
        <v>8</v>
      </c>
      <c r="Z748" s="27" t="s">
        <v>7</v>
      </c>
      <c r="AA748" s="27" t="s">
        <v>8</v>
      </c>
      <c r="AB748" s="27" t="s">
        <v>7</v>
      </c>
      <c r="AC748" s="27" t="s">
        <v>8</v>
      </c>
      <c r="AD748" s="27" t="s">
        <v>7</v>
      </c>
      <c r="AE748" s="27" t="s">
        <v>8</v>
      </c>
      <c r="AL748" s="27" t="s">
        <v>7</v>
      </c>
      <c r="AM748" s="27" t="s">
        <v>8</v>
      </c>
      <c r="AN748" s="27" t="s">
        <v>7</v>
      </c>
      <c r="AO748" s="27" t="s">
        <v>8</v>
      </c>
      <c r="AP748" s="27" t="s">
        <v>7</v>
      </c>
      <c r="AQ748" s="27" t="s">
        <v>8</v>
      </c>
      <c r="MC748" s="27" t="s">
        <v>8</v>
      </c>
      <c r="MJ748" s="27" t="s">
        <v>7</v>
      </c>
      <c r="MK748" s="27" t="s">
        <v>8</v>
      </c>
      <c r="NP748" s="27" t="s">
        <v>7</v>
      </c>
      <c r="NQ748" s="27" t="s">
        <v>8</v>
      </c>
      <c r="NR748" s="27" t="s">
        <v>7</v>
      </c>
      <c r="NS748" s="27" t="s">
        <v>8</v>
      </c>
      <c r="NT748" s="27" t="s">
        <v>7</v>
      </c>
      <c r="NU748" s="27" t="s">
        <v>8</v>
      </c>
      <c r="OL748" s="27" t="s">
        <v>7</v>
      </c>
      <c r="OM748" s="27" t="s">
        <v>8</v>
      </c>
      <c r="ON748" s="27" t="s">
        <v>7</v>
      </c>
      <c r="OO748" s="27" t="s">
        <v>8</v>
      </c>
      <c r="OW748" s="27" t="s">
        <v>8</v>
      </c>
      <c r="OX748" s="27" t="s">
        <v>7</v>
      </c>
      <c r="OY748" s="27" t="s">
        <v>8</v>
      </c>
      <c r="PB748" s="27" t="s">
        <v>7</v>
      </c>
      <c r="PC748" s="27" t="s">
        <v>8</v>
      </c>
      <c r="PD748" s="27" t="s">
        <v>7</v>
      </c>
      <c r="PG748" s="27" t="s">
        <v>8</v>
      </c>
      <c r="PI748" s="27" t="s">
        <v>8</v>
      </c>
      <c r="PJ748" s="27" t="s">
        <v>7</v>
      </c>
      <c r="PK748" s="27" t="s">
        <v>8</v>
      </c>
      <c r="PL748" s="27" t="s">
        <v>7</v>
      </c>
      <c r="PM748" s="27" t="s">
        <v>8</v>
      </c>
      <c r="PN748" s="27" t="s">
        <v>7</v>
      </c>
      <c r="PO748" s="27" t="s">
        <v>8</v>
      </c>
      <c r="QL748" s="27" t="s">
        <v>7</v>
      </c>
      <c r="QN748" s="27" t="s">
        <v>7</v>
      </c>
      <c r="QP748" s="27" t="s">
        <v>7</v>
      </c>
      <c r="QQ748" s="27" t="s">
        <v>8</v>
      </c>
      <c r="QR748" s="27" t="s">
        <v>7</v>
      </c>
      <c r="QS748" s="27" t="s">
        <v>8</v>
      </c>
      <c r="QT748" s="27" t="s">
        <v>7</v>
      </c>
      <c r="TB748" s="27" t="s">
        <v>7</v>
      </c>
    </row>
    <row r="749" spans="1:522" x14ac:dyDescent="0.25">
      <c r="A749" s="7">
        <v>4.043637119242547E-2</v>
      </c>
      <c r="B749"/>
      <c r="C749"/>
      <c r="D749"/>
      <c r="E749"/>
      <c r="J749" s="27" t="s">
        <v>7</v>
      </c>
      <c r="K749" s="27" t="s">
        <v>8</v>
      </c>
      <c r="L749" s="27" t="s">
        <v>7</v>
      </c>
      <c r="O749" s="27" t="s">
        <v>8</v>
      </c>
      <c r="P749" s="27" t="s">
        <v>7</v>
      </c>
      <c r="Q749" s="27" t="s">
        <v>8</v>
      </c>
      <c r="Z749" s="27" t="s">
        <v>7</v>
      </c>
      <c r="AA749" s="27" t="s">
        <v>8</v>
      </c>
      <c r="AB749" s="27" t="s">
        <v>7</v>
      </c>
      <c r="AC749" s="27" t="s">
        <v>8</v>
      </c>
      <c r="AD749" s="27" t="s">
        <v>7</v>
      </c>
      <c r="AE749" s="27" t="s">
        <v>8</v>
      </c>
      <c r="AL749" s="27" t="s">
        <v>7</v>
      </c>
      <c r="AM749" s="27" t="s">
        <v>8</v>
      </c>
      <c r="AN749" s="27" t="s">
        <v>7</v>
      </c>
      <c r="AO749" s="27" t="s">
        <v>8</v>
      </c>
      <c r="AP749" s="27" t="s">
        <v>7</v>
      </c>
      <c r="AQ749" s="27" t="s">
        <v>8</v>
      </c>
      <c r="AR749" s="27" t="s">
        <v>7</v>
      </c>
      <c r="MC749" s="27" t="s">
        <v>8</v>
      </c>
      <c r="MJ749" s="27" t="s">
        <v>7</v>
      </c>
      <c r="MK749" s="27" t="s">
        <v>8</v>
      </c>
      <c r="NP749" s="27" t="s">
        <v>7</v>
      </c>
      <c r="NQ749" s="27" t="s">
        <v>8</v>
      </c>
      <c r="NR749" s="27" t="s">
        <v>7</v>
      </c>
      <c r="NS749" s="27" t="s">
        <v>8</v>
      </c>
      <c r="NT749" s="27" t="s">
        <v>7</v>
      </c>
      <c r="NU749" s="27" t="s">
        <v>8</v>
      </c>
      <c r="OL749" s="27" t="s">
        <v>7</v>
      </c>
      <c r="OM749" s="27" t="s">
        <v>8</v>
      </c>
      <c r="ON749" s="27" t="s">
        <v>7</v>
      </c>
      <c r="OO749" s="27" t="s">
        <v>8</v>
      </c>
      <c r="OP749" s="27" t="s">
        <v>7</v>
      </c>
      <c r="OW749" s="27" t="s">
        <v>8</v>
      </c>
      <c r="OX749" s="27" t="s">
        <v>7</v>
      </c>
      <c r="OY749" s="27" t="s">
        <v>8</v>
      </c>
      <c r="PB749" s="27" t="s">
        <v>7</v>
      </c>
      <c r="PC749" s="27" t="s">
        <v>8</v>
      </c>
      <c r="PD749" s="27" t="s">
        <v>7</v>
      </c>
      <c r="PE749" s="27" t="s">
        <v>8</v>
      </c>
      <c r="PG749" s="27" t="s">
        <v>8</v>
      </c>
      <c r="PH749" s="27" t="s">
        <v>7</v>
      </c>
      <c r="PI749" s="27" t="s">
        <v>8</v>
      </c>
      <c r="PJ749" s="27" t="s">
        <v>7</v>
      </c>
      <c r="PK749" s="27" t="s">
        <v>8</v>
      </c>
      <c r="PL749" s="27" t="s">
        <v>7</v>
      </c>
      <c r="PM749" s="27" t="s">
        <v>8</v>
      </c>
      <c r="PN749" s="27" t="s">
        <v>7</v>
      </c>
      <c r="QP749" s="27" t="s">
        <v>7</v>
      </c>
      <c r="QR749" s="27" t="s">
        <v>7</v>
      </c>
      <c r="QS749" s="27" t="s">
        <v>8</v>
      </c>
      <c r="TB749" s="27" t="s">
        <v>7</v>
      </c>
    </row>
    <row r="750" spans="1:522" x14ac:dyDescent="0.25">
      <c r="A750" s="7">
        <v>3.9643501169044582E-2</v>
      </c>
      <c r="B750"/>
      <c r="C750"/>
      <c r="D750"/>
      <c r="E750"/>
      <c r="J750" s="27" t="s">
        <v>7</v>
      </c>
      <c r="L750" s="27" t="s">
        <v>7</v>
      </c>
      <c r="O750" s="27" t="s">
        <v>8</v>
      </c>
      <c r="P750" s="27" t="s">
        <v>7</v>
      </c>
      <c r="Q750" s="27" t="s">
        <v>8</v>
      </c>
      <c r="Z750" s="27" t="s">
        <v>7</v>
      </c>
      <c r="AB750" s="27" t="s">
        <v>7</v>
      </c>
      <c r="AC750" s="27" t="s">
        <v>8</v>
      </c>
      <c r="AD750" s="27" t="s">
        <v>7</v>
      </c>
      <c r="AL750" s="27" t="s">
        <v>7</v>
      </c>
      <c r="AM750" s="27" t="s">
        <v>8</v>
      </c>
      <c r="AN750" s="27" t="s">
        <v>7</v>
      </c>
      <c r="AO750" s="27" t="s">
        <v>8</v>
      </c>
      <c r="AP750" s="27" t="s">
        <v>7</v>
      </c>
      <c r="AQ750" s="27" t="s">
        <v>8</v>
      </c>
      <c r="AR750" s="27" t="s">
        <v>7</v>
      </c>
      <c r="MC750" s="27" t="s">
        <v>8</v>
      </c>
      <c r="MJ750" s="27" t="s">
        <v>7</v>
      </c>
      <c r="MK750" s="27" t="s">
        <v>8</v>
      </c>
      <c r="NP750" s="27" t="s">
        <v>7</v>
      </c>
      <c r="NQ750" s="27" t="s">
        <v>8</v>
      </c>
      <c r="NR750" s="27" t="s">
        <v>7</v>
      </c>
      <c r="NS750" s="27" t="s">
        <v>8</v>
      </c>
      <c r="NT750" s="27" t="s">
        <v>7</v>
      </c>
      <c r="NU750" s="27" t="s">
        <v>8</v>
      </c>
      <c r="OL750" s="27" t="s">
        <v>7</v>
      </c>
      <c r="OM750" s="27" t="s">
        <v>8</v>
      </c>
      <c r="ON750" s="27" t="s">
        <v>7</v>
      </c>
      <c r="OO750" s="27" t="s">
        <v>8</v>
      </c>
      <c r="OP750" s="27" t="s">
        <v>7</v>
      </c>
      <c r="OS750" s="27" t="s">
        <v>8</v>
      </c>
      <c r="OU750" s="27" t="s">
        <v>8</v>
      </c>
      <c r="OW750" s="27" t="s">
        <v>8</v>
      </c>
      <c r="OX750" s="27" t="s">
        <v>7</v>
      </c>
      <c r="PB750" s="27" t="s">
        <v>7</v>
      </c>
      <c r="PC750" s="27" t="s">
        <v>8</v>
      </c>
      <c r="PD750" s="27" t="s">
        <v>7</v>
      </c>
      <c r="PE750" s="27" t="s">
        <v>8</v>
      </c>
      <c r="PF750" s="27" t="s">
        <v>7</v>
      </c>
      <c r="PG750" s="27" t="s">
        <v>8</v>
      </c>
      <c r="PH750" s="27" t="s">
        <v>7</v>
      </c>
      <c r="PI750" s="27" t="s">
        <v>8</v>
      </c>
      <c r="PJ750" s="27" t="s">
        <v>7</v>
      </c>
      <c r="PK750" s="27" t="s">
        <v>8</v>
      </c>
      <c r="PL750" s="27" t="s">
        <v>7</v>
      </c>
      <c r="QR750" s="27" t="s">
        <v>7</v>
      </c>
      <c r="QS750" s="27" t="s">
        <v>8</v>
      </c>
      <c r="TB750" s="27" t="s">
        <v>7</v>
      </c>
    </row>
    <row r="751" spans="1:522" x14ac:dyDescent="0.25">
      <c r="A751" s="7">
        <v>3.8866177616710372E-2</v>
      </c>
      <c r="B751"/>
      <c r="C751"/>
      <c r="D751"/>
      <c r="E751"/>
      <c r="L751" s="27" t="s">
        <v>7</v>
      </c>
      <c r="O751" s="27" t="s">
        <v>8</v>
      </c>
      <c r="P751" s="27" t="s">
        <v>7</v>
      </c>
      <c r="Q751" s="27" t="s">
        <v>8</v>
      </c>
      <c r="AB751" s="27" t="s">
        <v>7</v>
      </c>
      <c r="AC751" s="27" t="s">
        <v>8</v>
      </c>
      <c r="AL751" s="27" t="s">
        <v>7</v>
      </c>
      <c r="AM751" s="27" t="s">
        <v>8</v>
      </c>
      <c r="AN751" s="27" t="s">
        <v>7</v>
      </c>
      <c r="AO751" s="27" t="s">
        <v>8</v>
      </c>
      <c r="AP751" s="27" t="s">
        <v>7</v>
      </c>
      <c r="AQ751" s="27" t="s">
        <v>8</v>
      </c>
      <c r="AR751" s="27" t="s">
        <v>7</v>
      </c>
      <c r="MC751" s="27" t="s">
        <v>8</v>
      </c>
      <c r="MJ751" s="27" t="s">
        <v>7</v>
      </c>
      <c r="NP751" s="27" t="s">
        <v>7</v>
      </c>
      <c r="NQ751" s="27" t="s">
        <v>8</v>
      </c>
      <c r="NR751" s="27" t="s">
        <v>7</v>
      </c>
      <c r="NS751" s="27" t="s">
        <v>8</v>
      </c>
      <c r="NT751" s="27" t="s">
        <v>7</v>
      </c>
      <c r="NU751" s="27" t="s">
        <v>8</v>
      </c>
      <c r="OL751" s="27" t="s">
        <v>7</v>
      </c>
      <c r="OM751" s="27" t="s">
        <v>8</v>
      </c>
      <c r="ON751" s="27" t="s">
        <v>7</v>
      </c>
      <c r="OO751" s="27" t="s">
        <v>8</v>
      </c>
      <c r="OP751" s="27" t="s">
        <v>7</v>
      </c>
      <c r="OS751" s="27" t="s">
        <v>8</v>
      </c>
      <c r="OT751" s="27" t="s">
        <v>7</v>
      </c>
      <c r="OU751" s="27" t="s">
        <v>8</v>
      </c>
      <c r="OV751" s="27" t="s">
        <v>7</v>
      </c>
      <c r="OW751" s="27" t="s">
        <v>8</v>
      </c>
      <c r="PB751" s="27" t="s">
        <v>7</v>
      </c>
      <c r="PC751" s="27" t="s">
        <v>8</v>
      </c>
      <c r="PD751" s="27" t="s">
        <v>7</v>
      </c>
      <c r="PE751" s="27" t="s">
        <v>8</v>
      </c>
      <c r="PF751" s="27" t="s">
        <v>7</v>
      </c>
      <c r="PG751" s="27" t="s">
        <v>8</v>
      </c>
      <c r="PH751" s="27" t="s">
        <v>7</v>
      </c>
      <c r="PJ751" s="27" t="s">
        <v>7</v>
      </c>
      <c r="QR751" s="27" t="s">
        <v>7</v>
      </c>
      <c r="TB751" s="27" t="s">
        <v>7</v>
      </c>
    </row>
    <row r="752" spans="1:522" x14ac:dyDescent="0.25">
      <c r="A752" s="7">
        <v>3.8104095702657229E-2</v>
      </c>
      <c r="B752"/>
      <c r="C752"/>
      <c r="D752"/>
      <c r="E752"/>
      <c r="L752" s="27" t="s">
        <v>7</v>
      </c>
      <c r="O752" s="27" t="s">
        <v>8</v>
      </c>
      <c r="P752" s="27" t="s">
        <v>7</v>
      </c>
      <c r="Q752" s="27" t="s">
        <v>8</v>
      </c>
      <c r="AB752" s="27" t="s">
        <v>7</v>
      </c>
      <c r="AC752" s="27" t="s">
        <v>8</v>
      </c>
      <c r="AL752" s="27" t="s">
        <v>7</v>
      </c>
      <c r="AM752" s="27" t="s">
        <v>8</v>
      </c>
      <c r="AN752" s="27" t="s">
        <v>7</v>
      </c>
      <c r="AP752" s="27" t="s">
        <v>7</v>
      </c>
      <c r="AR752" s="27" t="s">
        <v>7</v>
      </c>
      <c r="MC752" s="27" t="s">
        <v>8</v>
      </c>
      <c r="NP752" s="27" t="s">
        <v>7</v>
      </c>
      <c r="NQ752" s="27" t="s">
        <v>8</v>
      </c>
      <c r="NR752" s="27" t="s">
        <v>7</v>
      </c>
      <c r="NS752" s="27" t="s">
        <v>8</v>
      </c>
      <c r="NT752" s="27" t="s">
        <v>7</v>
      </c>
      <c r="NU752" s="27" t="s">
        <v>8</v>
      </c>
      <c r="OL752" s="27" t="s">
        <v>7</v>
      </c>
      <c r="OM752" s="27" t="s">
        <v>8</v>
      </c>
      <c r="ON752" s="27" t="s">
        <v>7</v>
      </c>
      <c r="OO752" s="27" t="s">
        <v>8</v>
      </c>
      <c r="OP752" s="27" t="s">
        <v>7</v>
      </c>
      <c r="OS752" s="27" t="s">
        <v>8</v>
      </c>
      <c r="OT752" s="27" t="s">
        <v>7</v>
      </c>
      <c r="OU752" s="27" t="s">
        <v>8</v>
      </c>
      <c r="OV752" s="27" t="s">
        <v>7</v>
      </c>
      <c r="OW752" s="27" t="s">
        <v>8</v>
      </c>
      <c r="PB752" s="27" t="s">
        <v>7</v>
      </c>
      <c r="PD752" s="27" t="s">
        <v>7</v>
      </c>
      <c r="PE752" s="27" t="s">
        <v>8</v>
      </c>
      <c r="PF752" s="27" t="s">
        <v>7</v>
      </c>
      <c r="PG752" s="27" t="s">
        <v>8</v>
      </c>
      <c r="TB752" s="27" t="s">
        <v>7</v>
      </c>
    </row>
    <row r="753" spans="1:526" x14ac:dyDescent="0.25">
      <c r="A753" s="7">
        <v>3.7356956571232579E-2</v>
      </c>
      <c r="B753"/>
      <c r="C753"/>
      <c r="D753"/>
      <c r="E753"/>
      <c r="L753" s="27" t="s">
        <v>7</v>
      </c>
      <c r="M753" s="27" t="s">
        <v>8</v>
      </c>
      <c r="O753" s="27" t="s">
        <v>8</v>
      </c>
      <c r="P753" s="27" t="s">
        <v>7</v>
      </c>
      <c r="Q753" s="27" t="s">
        <v>8</v>
      </c>
      <c r="AB753" s="27" t="s">
        <v>7</v>
      </c>
      <c r="AL753" s="27" t="s">
        <v>7</v>
      </c>
      <c r="AR753" s="27" t="s">
        <v>7</v>
      </c>
      <c r="LY753" s="27" t="s">
        <v>8</v>
      </c>
      <c r="MC753" s="27" t="s">
        <v>8</v>
      </c>
      <c r="NP753" s="27" t="s">
        <v>7</v>
      </c>
      <c r="NQ753" s="27" t="s">
        <v>8</v>
      </c>
      <c r="NR753" s="27" t="s">
        <v>7</v>
      </c>
      <c r="NT753" s="27" t="s">
        <v>7</v>
      </c>
      <c r="NU753" s="27" t="s">
        <v>8</v>
      </c>
      <c r="OL753" s="27" t="s">
        <v>7</v>
      </c>
      <c r="OM753" s="27" t="s">
        <v>8</v>
      </c>
      <c r="ON753" s="27" t="s">
        <v>7</v>
      </c>
      <c r="OO753" s="27" t="s">
        <v>8</v>
      </c>
      <c r="OP753" s="27" t="s">
        <v>7</v>
      </c>
      <c r="OQ753" s="27" t="s">
        <v>8</v>
      </c>
      <c r="OS753" s="27" t="s">
        <v>8</v>
      </c>
      <c r="OT753" s="27" t="s">
        <v>7</v>
      </c>
      <c r="OU753" s="27" t="s">
        <v>8</v>
      </c>
      <c r="OV753" s="27" t="s">
        <v>7</v>
      </c>
      <c r="OW753" s="27" t="s">
        <v>8</v>
      </c>
      <c r="PD753" s="27" t="s">
        <v>7</v>
      </c>
      <c r="PE753" s="27" t="s">
        <v>8</v>
      </c>
      <c r="PF753" s="27" t="s">
        <v>7</v>
      </c>
      <c r="PG753" s="27" t="s">
        <v>8</v>
      </c>
      <c r="TB753" s="27" t="s">
        <v>7</v>
      </c>
    </row>
    <row r="754" spans="1:526" x14ac:dyDescent="0.25">
      <c r="A754" s="7">
        <v>3.6624467226698605E-2</v>
      </c>
      <c r="B754"/>
      <c r="C754"/>
      <c r="D754"/>
      <c r="E754"/>
      <c r="L754" s="27" t="s">
        <v>7</v>
      </c>
      <c r="M754" s="27" t="s">
        <v>8</v>
      </c>
      <c r="N754" s="27" t="s">
        <v>7</v>
      </c>
      <c r="O754" s="27" t="s">
        <v>8</v>
      </c>
      <c r="P754" s="27" t="s">
        <v>7</v>
      </c>
      <c r="Q754" s="27" t="s">
        <v>8</v>
      </c>
      <c r="AR754" s="27" t="s">
        <v>7</v>
      </c>
      <c r="LY754" s="27" t="s">
        <v>8</v>
      </c>
      <c r="LZ754" s="27" t="s">
        <v>7</v>
      </c>
      <c r="MA754" s="27" t="s">
        <v>8</v>
      </c>
      <c r="MC754" s="27" t="s">
        <v>8</v>
      </c>
      <c r="NP754" s="27" t="s">
        <v>7</v>
      </c>
      <c r="NQ754" s="27" t="s">
        <v>8</v>
      </c>
      <c r="NT754" s="27" t="s">
        <v>7</v>
      </c>
      <c r="NU754" s="27" t="s">
        <v>8</v>
      </c>
      <c r="OL754" s="27" t="s">
        <v>7</v>
      </c>
      <c r="OM754" s="27" t="s">
        <v>8</v>
      </c>
      <c r="ON754" s="27" t="s">
        <v>7</v>
      </c>
      <c r="OO754" s="27" t="s">
        <v>8</v>
      </c>
      <c r="OP754" s="27" t="s">
        <v>7</v>
      </c>
      <c r="OQ754" s="27" t="s">
        <v>8</v>
      </c>
      <c r="OR754" s="27" t="s">
        <v>7</v>
      </c>
      <c r="OS754" s="27" t="s">
        <v>8</v>
      </c>
      <c r="OT754" s="27" t="s">
        <v>7</v>
      </c>
      <c r="OV754" s="27" t="s">
        <v>7</v>
      </c>
      <c r="OW754" s="27" t="s">
        <v>8</v>
      </c>
      <c r="PD754" s="27" t="s">
        <v>7</v>
      </c>
      <c r="PE754" s="27" t="s">
        <v>8</v>
      </c>
      <c r="PF754" s="27" t="s">
        <v>7</v>
      </c>
      <c r="TB754" s="27" t="s">
        <v>7</v>
      </c>
      <c r="TE754" s="27" t="s">
        <v>8</v>
      </c>
    </row>
    <row r="755" spans="1:526" x14ac:dyDescent="0.25">
      <c r="A755" s="7">
        <v>3.5906340418331961E-2</v>
      </c>
      <c r="B755"/>
      <c r="C755"/>
      <c r="D755"/>
      <c r="E755"/>
      <c r="L755" s="27" t="s">
        <v>7</v>
      </c>
      <c r="M755" s="27" t="s">
        <v>8</v>
      </c>
      <c r="N755" s="27" t="s">
        <v>7</v>
      </c>
      <c r="O755" s="27" t="s">
        <v>8</v>
      </c>
      <c r="P755" s="27" t="s">
        <v>7</v>
      </c>
      <c r="Q755" s="27" t="s">
        <v>8</v>
      </c>
      <c r="AR755" s="27" t="s">
        <v>7</v>
      </c>
      <c r="AS755" s="27" t="s">
        <v>8</v>
      </c>
      <c r="LY755" s="27" t="s">
        <v>8</v>
      </c>
      <c r="LZ755" s="27" t="s">
        <v>7</v>
      </c>
      <c r="MA755" s="27" t="s">
        <v>8</v>
      </c>
      <c r="MB755" s="27" t="s">
        <v>7</v>
      </c>
      <c r="MC755" s="27" t="s">
        <v>8</v>
      </c>
      <c r="NP755" s="27" t="s">
        <v>7</v>
      </c>
      <c r="NQ755" s="27" t="s">
        <v>8</v>
      </c>
      <c r="NT755" s="27" t="s">
        <v>7</v>
      </c>
      <c r="NU755" s="27" t="s">
        <v>8</v>
      </c>
      <c r="OL755" s="27" t="s">
        <v>7</v>
      </c>
      <c r="OM755" s="27" t="s">
        <v>8</v>
      </c>
      <c r="ON755" s="27" t="s">
        <v>7</v>
      </c>
      <c r="OO755" s="27" t="s">
        <v>8</v>
      </c>
      <c r="OP755" s="27" t="s">
        <v>7</v>
      </c>
      <c r="OQ755" s="27" t="s">
        <v>8</v>
      </c>
      <c r="OR755" s="27" t="s">
        <v>7</v>
      </c>
      <c r="OS755" s="27" t="s">
        <v>8</v>
      </c>
      <c r="OV755" s="27" t="s">
        <v>7</v>
      </c>
      <c r="OW755" s="27" t="s">
        <v>8</v>
      </c>
      <c r="PD755" s="18" t="s">
        <v>7</v>
      </c>
      <c r="PE755" s="27" t="s">
        <v>8</v>
      </c>
      <c r="TB755" s="27" t="s">
        <v>7</v>
      </c>
      <c r="TC755" s="27" t="s">
        <v>8</v>
      </c>
      <c r="TE755" s="27" t="s">
        <v>8</v>
      </c>
      <c r="TF755" s="27" t="s">
        <v>7</v>
      </c>
    </row>
    <row r="756" spans="1:526" x14ac:dyDescent="0.25">
      <c r="A756" s="7">
        <v>3.5202294527776436E-2</v>
      </c>
      <c r="B756"/>
      <c r="C756"/>
      <c r="D756"/>
      <c r="E756"/>
      <c r="L756" s="27" t="s">
        <v>7</v>
      </c>
      <c r="M756" s="27" t="s">
        <v>8</v>
      </c>
      <c r="N756" s="27" t="s">
        <v>7</v>
      </c>
      <c r="O756" s="27" t="s">
        <v>8</v>
      </c>
      <c r="P756" s="27" t="s">
        <v>7</v>
      </c>
      <c r="AR756" s="27" t="s">
        <v>7</v>
      </c>
      <c r="AS756" s="27" t="s">
        <v>8</v>
      </c>
      <c r="AT756" s="27" t="s">
        <v>7</v>
      </c>
      <c r="LY756" s="27" t="s">
        <v>8</v>
      </c>
      <c r="LZ756" s="27" t="s">
        <v>7</v>
      </c>
      <c r="MA756" s="27" t="s">
        <v>8</v>
      </c>
      <c r="MB756" s="27" t="s">
        <v>7</v>
      </c>
      <c r="MC756" s="27" t="s">
        <v>8</v>
      </c>
      <c r="NP756" s="27" t="s">
        <v>7</v>
      </c>
      <c r="NT756" s="27" t="s">
        <v>7</v>
      </c>
      <c r="NU756" s="27" t="s">
        <v>8</v>
      </c>
      <c r="OL756" s="27" t="s">
        <v>7</v>
      </c>
      <c r="OM756" s="27" t="s">
        <v>8</v>
      </c>
      <c r="ON756" s="27" t="s">
        <v>7</v>
      </c>
      <c r="OO756" s="27" t="s">
        <v>8</v>
      </c>
      <c r="OP756" s="27" t="s">
        <v>7</v>
      </c>
      <c r="OQ756" s="27" t="s">
        <v>8</v>
      </c>
      <c r="OR756" s="27" t="s">
        <v>7</v>
      </c>
      <c r="OS756" s="27" t="s">
        <v>8</v>
      </c>
      <c r="OV756" s="27" t="s">
        <v>7</v>
      </c>
      <c r="OW756" s="27" t="s">
        <v>8</v>
      </c>
      <c r="PD756" s="27" t="s">
        <v>7</v>
      </c>
      <c r="PE756" s="27" t="s">
        <v>8</v>
      </c>
      <c r="TB756" s="27" t="s">
        <v>7</v>
      </c>
      <c r="TC756" s="27" t="s">
        <v>8</v>
      </c>
      <c r="TD756" s="27" t="s">
        <v>7</v>
      </c>
      <c r="TE756" s="27" t="s">
        <v>8</v>
      </c>
      <c r="TF756" s="27" t="s">
        <v>7</v>
      </c>
    </row>
    <row r="757" spans="1:526" x14ac:dyDescent="0.25">
      <c r="A757" s="7">
        <v>3.451205345860435E-2</v>
      </c>
      <c r="B757"/>
      <c r="C757"/>
      <c r="D757"/>
      <c r="E757"/>
      <c r="L757" s="27" t="s">
        <v>7</v>
      </c>
      <c r="M757" s="27" t="s">
        <v>8</v>
      </c>
      <c r="N757" s="27" t="s">
        <v>7</v>
      </c>
      <c r="O757" s="27" t="s">
        <v>8</v>
      </c>
      <c r="AR757" s="27" t="s">
        <v>7</v>
      </c>
      <c r="AS757" s="27" t="s">
        <v>8</v>
      </c>
      <c r="AT757" s="27" t="s">
        <v>7</v>
      </c>
      <c r="LY757" s="27" t="s">
        <v>8</v>
      </c>
      <c r="LZ757" s="27" t="s">
        <v>7</v>
      </c>
      <c r="MA757" s="27" t="s">
        <v>8</v>
      </c>
      <c r="MB757" s="27" t="s">
        <v>7</v>
      </c>
      <c r="MC757" s="27" t="s">
        <v>8</v>
      </c>
      <c r="NT757" s="27" t="s">
        <v>7</v>
      </c>
      <c r="NU757" s="27" t="s">
        <v>8</v>
      </c>
      <c r="OL757" s="27" t="s">
        <v>7</v>
      </c>
      <c r="OM757" s="27" t="s">
        <v>8</v>
      </c>
      <c r="ON757" s="27" t="s">
        <v>7</v>
      </c>
      <c r="OO757" s="27" t="s">
        <v>8</v>
      </c>
      <c r="OP757" s="27" t="s">
        <v>7</v>
      </c>
      <c r="OR757" s="27" t="s">
        <v>7</v>
      </c>
      <c r="OV757" s="27" t="s">
        <v>7</v>
      </c>
      <c r="PD757" s="27" t="s">
        <v>7</v>
      </c>
      <c r="PE757" s="27" t="s">
        <v>8</v>
      </c>
      <c r="TB757" s="27" t="s">
        <v>7</v>
      </c>
      <c r="TC757" s="27" t="s">
        <v>8</v>
      </c>
      <c r="TD757" s="27" t="s">
        <v>7</v>
      </c>
      <c r="TE757" s="27" t="s">
        <v>8</v>
      </c>
      <c r="TF757" s="27" t="s">
        <v>7</v>
      </c>
    </row>
    <row r="758" spans="1:526" x14ac:dyDescent="0.25">
      <c r="A758" s="7">
        <v>3.3835346528043479E-2</v>
      </c>
      <c r="B758"/>
      <c r="C758"/>
      <c r="D758"/>
      <c r="E758"/>
      <c r="L758" s="27" t="s">
        <v>7</v>
      </c>
      <c r="M758" s="27" t="s">
        <v>8</v>
      </c>
      <c r="N758" s="27" t="s">
        <v>7</v>
      </c>
      <c r="AR758" s="27" t="s">
        <v>7</v>
      </c>
      <c r="AS758" s="27" t="s">
        <v>8</v>
      </c>
      <c r="AT758" s="27" t="s">
        <v>7</v>
      </c>
      <c r="LY758" s="27" t="s">
        <v>8</v>
      </c>
      <c r="LZ758" s="27" t="s">
        <v>7</v>
      </c>
      <c r="MA758" s="27" t="s">
        <v>8</v>
      </c>
      <c r="MB758" s="27" t="s">
        <v>7</v>
      </c>
      <c r="MC758" s="27" t="s">
        <v>8</v>
      </c>
      <c r="NT758" s="27" t="s">
        <v>7</v>
      </c>
      <c r="NU758" s="27" t="s">
        <v>8</v>
      </c>
      <c r="OL758" s="27" t="s">
        <v>7</v>
      </c>
      <c r="OM758" s="27" t="s">
        <v>8</v>
      </c>
      <c r="ON758" s="27" t="s">
        <v>7</v>
      </c>
      <c r="OO758" s="27" t="s">
        <v>8</v>
      </c>
      <c r="PD758" s="27" t="s">
        <v>7</v>
      </c>
      <c r="PE758" s="27" t="s">
        <v>8</v>
      </c>
      <c r="TB758" s="27" t="s">
        <v>7</v>
      </c>
      <c r="TC758" s="27" t="s">
        <v>8</v>
      </c>
      <c r="TD758" s="27" t="s">
        <v>7</v>
      </c>
      <c r="TE758" s="27" t="s">
        <v>8</v>
      </c>
      <c r="TF758" s="27" t="s">
        <v>7</v>
      </c>
    </row>
    <row r="759" spans="1:526" x14ac:dyDescent="0.25">
      <c r="A759" s="7">
        <v>3.3171908360826938E-2</v>
      </c>
      <c r="B759"/>
      <c r="C759"/>
      <c r="D759"/>
      <c r="E759"/>
      <c r="L759" s="27" t="s">
        <v>7</v>
      </c>
      <c r="M759" s="27" t="s">
        <v>8</v>
      </c>
      <c r="AR759" s="27" t="s">
        <v>7</v>
      </c>
      <c r="AT759" s="27" t="s">
        <v>7</v>
      </c>
      <c r="LY759" s="27" t="s">
        <v>8</v>
      </c>
      <c r="LZ759" s="27" t="s">
        <v>7</v>
      </c>
      <c r="MA759" s="27" t="s">
        <v>8</v>
      </c>
      <c r="MB759" s="27" t="s">
        <v>7</v>
      </c>
      <c r="MC759" s="27" t="s">
        <v>8</v>
      </c>
      <c r="NT759" s="27" t="s">
        <v>7</v>
      </c>
      <c r="NU759" s="27" t="s">
        <v>8</v>
      </c>
      <c r="OL759" s="27" t="s">
        <v>7</v>
      </c>
      <c r="OM759" s="27" t="s">
        <v>8</v>
      </c>
      <c r="ON759" s="27" t="s">
        <v>7</v>
      </c>
      <c r="PD759" s="27" t="s">
        <v>7</v>
      </c>
      <c r="TB759" s="27" t="s">
        <v>7</v>
      </c>
      <c r="TC759" s="27" t="s">
        <v>8</v>
      </c>
      <c r="TD759" s="27" t="s">
        <v>7</v>
      </c>
      <c r="TE759" s="27" t="s">
        <v>8</v>
      </c>
      <c r="TF759" s="27" t="s">
        <v>7</v>
      </c>
    </row>
    <row r="760" spans="1:526" x14ac:dyDescent="0.25">
      <c r="A760" s="7">
        <v>3.2521478785124451E-2</v>
      </c>
      <c r="B760"/>
      <c r="C760"/>
      <c r="D760"/>
      <c r="E760"/>
      <c r="L760" s="27" t="s">
        <v>7</v>
      </c>
      <c r="AT760" s="27" t="s">
        <v>7</v>
      </c>
      <c r="LY760" s="27" t="s">
        <v>8</v>
      </c>
      <c r="LZ760" s="27" t="s">
        <v>7</v>
      </c>
      <c r="MA760" s="27" t="s">
        <v>8</v>
      </c>
      <c r="MB760" s="27" t="s">
        <v>7</v>
      </c>
      <c r="MC760" s="27" t="s">
        <v>8</v>
      </c>
      <c r="NT760" s="27" t="s">
        <v>7</v>
      </c>
      <c r="NU760" s="27" t="s">
        <v>8</v>
      </c>
      <c r="OL760" s="27" t="s">
        <v>7</v>
      </c>
      <c r="OM760" s="27" t="s">
        <v>8</v>
      </c>
      <c r="TB760" s="27" t="s">
        <v>7</v>
      </c>
      <c r="TC760" s="27" t="s">
        <v>8</v>
      </c>
      <c r="TD760" s="27" t="s">
        <v>7</v>
      </c>
      <c r="TE760" s="27" t="s">
        <v>8</v>
      </c>
    </row>
    <row r="761" spans="1:526" x14ac:dyDescent="0.25">
      <c r="A761" s="7">
        <v>3.1883802730514173E-2</v>
      </c>
      <c r="B761"/>
      <c r="C761"/>
      <c r="D761"/>
      <c r="E761"/>
      <c r="AT761" s="27" t="s">
        <v>7</v>
      </c>
      <c r="LY761" s="27" t="s">
        <v>8</v>
      </c>
      <c r="LZ761" s="27" t="s">
        <v>7</v>
      </c>
      <c r="MA761" s="27" t="s">
        <v>8</v>
      </c>
      <c r="MB761" s="27" t="s">
        <v>7</v>
      </c>
      <c r="MC761" s="27" t="s">
        <v>8</v>
      </c>
      <c r="NT761" s="27" t="s">
        <v>7</v>
      </c>
      <c r="NU761" s="27" t="s">
        <v>8</v>
      </c>
      <c r="OL761" s="27" t="s">
        <v>7</v>
      </c>
      <c r="OM761" s="27" t="s">
        <v>8</v>
      </c>
      <c r="TB761" s="27" t="s">
        <v>7</v>
      </c>
      <c r="TC761" s="27" t="s">
        <v>8</v>
      </c>
      <c r="TD761" s="27" t="s">
        <v>7</v>
      </c>
      <c r="TE761" s="27" t="s">
        <v>8</v>
      </c>
    </row>
    <row r="762" spans="1:526" x14ac:dyDescent="0.25">
      <c r="A762" s="7">
        <v>3.1258630127955073E-2</v>
      </c>
      <c r="B762"/>
      <c r="C762"/>
      <c r="D762"/>
      <c r="E762"/>
      <c r="AT762" s="27" t="s">
        <v>7</v>
      </c>
      <c r="LY762" s="27" t="s">
        <v>8</v>
      </c>
      <c r="LZ762" s="27" t="s">
        <v>7</v>
      </c>
      <c r="MA762" s="27" t="s">
        <v>8</v>
      </c>
      <c r="MB762" s="27" t="s">
        <v>7</v>
      </c>
      <c r="MC762" s="27" t="s">
        <v>8</v>
      </c>
      <c r="NT762" s="27" t="s">
        <v>7</v>
      </c>
      <c r="NU762" s="27" t="s">
        <v>8</v>
      </c>
      <c r="OL762" s="27" t="s">
        <v>7</v>
      </c>
      <c r="OM762" s="27" t="s">
        <v>8</v>
      </c>
      <c r="TB762" s="27" t="s">
        <v>7</v>
      </c>
      <c r="TC762" s="27" t="s">
        <v>8</v>
      </c>
      <c r="TD762" s="27" t="s">
        <v>7</v>
      </c>
      <c r="TE762" s="27" t="s">
        <v>8</v>
      </c>
    </row>
    <row r="763" spans="1:526" x14ac:dyDescent="0.25">
      <c r="A763" s="7">
        <v>3.064571581172066E-2</v>
      </c>
      <c r="B763"/>
      <c r="C763"/>
      <c r="D763"/>
      <c r="E763"/>
      <c r="AT763" s="27" t="s">
        <v>7</v>
      </c>
      <c r="LY763" s="27" t="s">
        <v>8</v>
      </c>
      <c r="LZ763" s="27" t="s">
        <v>7</v>
      </c>
      <c r="MA763" s="27" t="s">
        <v>8</v>
      </c>
      <c r="MB763" s="27" t="s">
        <v>7</v>
      </c>
      <c r="MC763" s="27" t="s">
        <v>8</v>
      </c>
      <c r="NT763" s="27" t="s">
        <v>7</v>
      </c>
      <c r="NU763" s="27" t="s">
        <v>8</v>
      </c>
      <c r="OL763" s="27" t="s">
        <v>7</v>
      </c>
      <c r="OM763" s="27" t="s">
        <v>8</v>
      </c>
      <c r="TB763" s="27" t="s">
        <v>7</v>
      </c>
      <c r="TC763" s="27" t="s">
        <v>8</v>
      </c>
      <c r="TD763" s="27" t="s">
        <v>7</v>
      </c>
    </row>
    <row r="764" spans="1:526" x14ac:dyDescent="0.25">
      <c r="A764" s="7">
        <v>3.0044819423255549E-2</v>
      </c>
      <c r="B764"/>
      <c r="C764"/>
      <c r="D764"/>
      <c r="E764"/>
      <c r="AT764" s="27" t="s">
        <v>7</v>
      </c>
      <c r="LY764" s="27" t="s">
        <v>8</v>
      </c>
      <c r="LZ764" s="27" t="s">
        <v>7</v>
      </c>
      <c r="MA764" s="27" t="s">
        <v>8</v>
      </c>
      <c r="MB764" s="27" t="s">
        <v>7</v>
      </c>
      <c r="MC764" s="27" t="s">
        <v>8</v>
      </c>
      <c r="NT764" s="27" t="s">
        <v>7</v>
      </c>
      <c r="NU764" s="27" t="s">
        <v>8</v>
      </c>
      <c r="OL764" s="27" t="s">
        <v>7</v>
      </c>
      <c r="OM764" s="27" t="s">
        <v>8</v>
      </c>
      <c r="TB764" s="27" t="s">
        <v>7</v>
      </c>
    </row>
    <row r="765" spans="1:526" x14ac:dyDescent="0.25">
      <c r="A765" s="7">
        <v>2.9455705316917203E-2</v>
      </c>
      <c r="B765"/>
      <c r="C765"/>
      <c r="D765"/>
      <c r="E765"/>
      <c r="AT765" s="27" t="s">
        <v>7</v>
      </c>
      <c r="LQ765" s="27" t="s">
        <v>8</v>
      </c>
      <c r="LY765" s="27" t="s">
        <v>8</v>
      </c>
      <c r="LZ765" s="27" t="s">
        <v>7</v>
      </c>
      <c r="MA765" s="27" t="s">
        <v>8</v>
      </c>
      <c r="MB765" s="27" t="s">
        <v>7</v>
      </c>
      <c r="NT765" s="27" t="s">
        <v>7</v>
      </c>
      <c r="NU765" s="27" t="s">
        <v>8</v>
      </c>
      <c r="OL765" s="27" t="s">
        <v>7</v>
      </c>
      <c r="OM765" s="27" t="s">
        <v>8</v>
      </c>
    </row>
    <row r="766" spans="1:526" x14ac:dyDescent="0.25">
      <c r="A766" s="7">
        <v>2.8878142467565884E-2</v>
      </c>
      <c r="B766"/>
      <c r="C766"/>
      <c r="D766"/>
      <c r="E766"/>
      <c r="AT766" s="27" t="s">
        <v>7</v>
      </c>
      <c r="AY766" s="27" t="s">
        <v>8</v>
      </c>
      <c r="BM766" s="27" t="s">
        <v>8</v>
      </c>
      <c r="LQ766" s="27" t="s">
        <v>8</v>
      </c>
      <c r="LR766" s="27" t="s">
        <v>7</v>
      </c>
      <c r="LY766" s="27" t="s">
        <v>8</v>
      </c>
      <c r="LZ766" s="27" t="s">
        <v>7</v>
      </c>
      <c r="NT766" s="27" t="s">
        <v>7</v>
      </c>
      <c r="NU766" s="27" t="s">
        <v>8</v>
      </c>
      <c r="OL766" s="27" t="s">
        <v>7</v>
      </c>
    </row>
    <row r="767" spans="1:526" x14ac:dyDescent="0.25">
      <c r="A767" s="7">
        <v>2.8311904379966554E-2</v>
      </c>
      <c r="B767"/>
      <c r="C767"/>
      <c r="D767"/>
      <c r="E767"/>
      <c r="AT767" s="27" t="s">
        <v>7</v>
      </c>
      <c r="AY767" s="27" t="s">
        <v>8</v>
      </c>
      <c r="AZ767" s="27" t="s">
        <v>7</v>
      </c>
      <c r="BM767" s="27" t="s">
        <v>8</v>
      </c>
      <c r="BN767" s="27" t="s">
        <v>7</v>
      </c>
      <c r="LQ767" s="27" t="s">
        <v>8</v>
      </c>
      <c r="LR767" s="27" t="s">
        <v>7</v>
      </c>
      <c r="LY767" s="27" t="s">
        <v>8</v>
      </c>
      <c r="NT767" s="27" t="s">
        <v>7</v>
      </c>
      <c r="NU767" s="27" t="s">
        <v>8</v>
      </c>
    </row>
    <row r="768" spans="1:526" x14ac:dyDescent="0.25">
      <c r="A768" s="7">
        <v>2.7756768999967207E-2</v>
      </c>
      <c r="B768"/>
      <c r="C768"/>
      <c r="D768"/>
      <c r="E768"/>
      <c r="AT768" s="27" t="s">
        <v>7</v>
      </c>
      <c r="AU768" s="27" t="s">
        <v>8</v>
      </c>
      <c r="AW768" s="27" t="s">
        <v>8</v>
      </c>
      <c r="AY768" s="27" t="s">
        <v>8</v>
      </c>
      <c r="AZ768" s="27" t="s">
        <v>7</v>
      </c>
      <c r="BM768" s="27" t="s">
        <v>8</v>
      </c>
      <c r="BN768" s="27" t="s">
        <v>7</v>
      </c>
      <c r="LK768" s="27" t="s">
        <v>8</v>
      </c>
      <c r="LQ768" s="27" t="s">
        <v>8</v>
      </c>
      <c r="LR768" s="27" t="s">
        <v>7</v>
      </c>
      <c r="LY768" s="27" t="s">
        <v>8</v>
      </c>
      <c r="NT768" s="27" t="s">
        <v>7</v>
      </c>
      <c r="NU768" s="27" t="s">
        <v>8</v>
      </c>
    </row>
    <row r="769" spans="1:385" x14ac:dyDescent="0.25">
      <c r="A769" s="7">
        <v>2.7212518627418834E-2</v>
      </c>
      <c r="B769"/>
      <c r="C769"/>
      <c r="D769"/>
      <c r="E769"/>
      <c r="AT769" s="27" t="s">
        <v>7</v>
      </c>
      <c r="AU769" s="27" t="s">
        <v>8</v>
      </c>
      <c r="AV769" s="27" t="s">
        <v>7</v>
      </c>
      <c r="AW769" s="27" t="s">
        <v>8</v>
      </c>
      <c r="AX769" s="27" t="s">
        <v>7</v>
      </c>
      <c r="AY769" s="27" t="s">
        <v>8</v>
      </c>
      <c r="AZ769" s="27" t="s">
        <v>7</v>
      </c>
      <c r="BA769" s="27" t="s">
        <v>8</v>
      </c>
      <c r="BM769" s="27" t="s">
        <v>8</v>
      </c>
      <c r="BN769" s="27" t="s">
        <v>7</v>
      </c>
      <c r="LK769" s="27" t="s">
        <v>8</v>
      </c>
      <c r="LL769" s="27" t="s">
        <v>7</v>
      </c>
      <c r="LQ769" s="27" t="s">
        <v>8</v>
      </c>
      <c r="LR769" s="27" t="s">
        <v>7</v>
      </c>
      <c r="LY769" s="27" t="s">
        <v>8</v>
      </c>
      <c r="NT769" s="27" t="s">
        <v>7</v>
      </c>
      <c r="NU769" s="27" t="s">
        <v>8</v>
      </c>
    </row>
    <row r="770" spans="1:385" x14ac:dyDescent="0.25">
      <c r="A770" s="7">
        <v>2.6678939830802779E-2</v>
      </c>
      <c r="B770"/>
      <c r="C770"/>
      <c r="D770"/>
      <c r="E770"/>
      <c r="AT770" s="27" t="s">
        <v>7</v>
      </c>
      <c r="AU770" s="27" t="s">
        <v>8</v>
      </c>
      <c r="AV770" s="27" t="s">
        <v>7</v>
      </c>
      <c r="AW770" s="27" t="s">
        <v>8</v>
      </c>
      <c r="AX770" s="27" t="s">
        <v>7</v>
      </c>
      <c r="AY770" s="27" t="s">
        <v>8</v>
      </c>
      <c r="AZ770" s="27" t="s">
        <v>7</v>
      </c>
      <c r="BA770" s="27" t="s">
        <v>8</v>
      </c>
      <c r="BB770" s="27" t="s">
        <v>7</v>
      </c>
      <c r="BM770" s="27" t="s">
        <v>8</v>
      </c>
      <c r="BN770" s="27" t="s">
        <v>7</v>
      </c>
      <c r="LK770" s="27" t="s">
        <v>8</v>
      </c>
      <c r="LL770" s="27" t="s">
        <v>7</v>
      </c>
      <c r="LQ770" s="27" t="s">
        <v>8</v>
      </c>
      <c r="LR770" s="27" t="s">
        <v>7</v>
      </c>
      <c r="LY770" s="27" t="s">
        <v>8</v>
      </c>
      <c r="NT770" s="27" t="s">
        <v>7</v>
      </c>
      <c r="NU770" s="27" t="s">
        <v>8</v>
      </c>
    </row>
    <row r="771" spans="1:385" x14ac:dyDescent="0.25">
      <c r="A771" s="7">
        <v>2.615582336353214E-2</v>
      </c>
      <c r="B771"/>
      <c r="C771"/>
      <c r="D771"/>
      <c r="E771"/>
      <c r="AT771" s="27" t="s">
        <v>7</v>
      </c>
      <c r="AU771" s="27" t="s">
        <v>8</v>
      </c>
      <c r="AV771" s="27" t="s">
        <v>7</v>
      </c>
      <c r="AW771" s="27" t="s">
        <v>8</v>
      </c>
      <c r="AX771" s="27" t="s">
        <v>7</v>
      </c>
      <c r="AY771" s="27" t="s">
        <v>8</v>
      </c>
      <c r="AZ771" s="27" t="s">
        <v>7</v>
      </c>
      <c r="BA771" s="27" t="s">
        <v>8</v>
      </c>
      <c r="BB771" s="27" t="s">
        <v>7</v>
      </c>
      <c r="BM771" s="27" t="s">
        <v>8</v>
      </c>
      <c r="BN771" s="27" t="s">
        <v>7</v>
      </c>
      <c r="LK771" s="27" t="s">
        <v>8</v>
      </c>
      <c r="LL771" s="27" t="s">
        <v>7</v>
      </c>
      <c r="LQ771" s="27" t="s">
        <v>8</v>
      </c>
      <c r="LR771" s="27" t="s">
        <v>7</v>
      </c>
      <c r="LY771" s="27" t="s">
        <v>8</v>
      </c>
      <c r="NT771" s="27" t="s">
        <v>7</v>
      </c>
      <c r="NU771" s="27" t="s">
        <v>8</v>
      </c>
    </row>
    <row r="772" spans="1:385" x14ac:dyDescent="0.25">
      <c r="A772" s="7">
        <v>2.5642964081894253E-2</v>
      </c>
      <c r="B772"/>
      <c r="C772"/>
      <c r="D772"/>
      <c r="E772"/>
      <c r="AT772" s="27" t="s">
        <v>7</v>
      </c>
      <c r="AU772" s="27" t="s">
        <v>8</v>
      </c>
      <c r="AV772" s="27" t="s">
        <v>7</v>
      </c>
      <c r="AX772" s="27" t="s">
        <v>7</v>
      </c>
      <c r="AY772" s="27" t="s">
        <v>8</v>
      </c>
      <c r="AZ772" s="27" t="s">
        <v>7</v>
      </c>
      <c r="BA772" s="27" t="s">
        <v>8</v>
      </c>
      <c r="BB772" s="27" t="s">
        <v>7</v>
      </c>
      <c r="BM772" s="27" t="s">
        <v>8</v>
      </c>
      <c r="BN772" s="27" t="s">
        <v>7</v>
      </c>
      <c r="LK772" s="27" t="s">
        <v>8</v>
      </c>
      <c r="LL772" s="27" t="s">
        <v>7</v>
      </c>
      <c r="LQ772" s="27" t="s">
        <v>8</v>
      </c>
      <c r="LR772" s="27" t="s">
        <v>7</v>
      </c>
      <c r="LW772" s="27" t="s">
        <v>8</v>
      </c>
      <c r="LY772" s="27" t="s">
        <v>8</v>
      </c>
      <c r="NT772" s="27" t="s">
        <v>7</v>
      </c>
    </row>
    <row r="773" spans="1:385" x14ac:dyDescent="0.25">
      <c r="A773" s="7">
        <v>2.5140160864602207E-2</v>
      </c>
      <c r="B773"/>
      <c r="C773"/>
      <c r="D773"/>
      <c r="E773"/>
      <c r="AT773" s="27" t="s">
        <v>7</v>
      </c>
      <c r="AU773" s="27" t="s">
        <v>8</v>
      </c>
      <c r="AX773" s="27" t="s">
        <v>7</v>
      </c>
      <c r="AY773" s="27" t="s">
        <v>8</v>
      </c>
      <c r="AZ773" s="27" t="s">
        <v>7</v>
      </c>
      <c r="BA773" s="27" t="s">
        <v>8</v>
      </c>
      <c r="BB773" s="27" t="s">
        <v>7</v>
      </c>
      <c r="BC773" s="27" t="s">
        <v>8</v>
      </c>
      <c r="BM773" s="27" t="s">
        <v>8</v>
      </c>
      <c r="BN773" s="27" t="s">
        <v>7</v>
      </c>
      <c r="LC773" s="27" t="s">
        <v>8</v>
      </c>
      <c r="LI773" s="27" t="s">
        <v>8</v>
      </c>
      <c r="LK773" s="27" t="s">
        <v>8</v>
      </c>
      <c r="LL773" s="27" t="s">
        <v>7</v>
      </c>
      <c r="LQ773" s="27" t="s">
        <v>8</v>
      </c>
      <c r="LR773" s="27" t="s">
        <v>7</v>
      </c>
      <c r="LW773" s="27" t="s">
        <v>8</v>
      </c>
      <c r="LX773" s="27" t="s">
        <v>7</v>
      </c>
      <c r="LY773" s="27" t="s">
        <v>8</v>
      </c>
    </row>
    <row r="774" spans="1:385" x14ac:dyDescent="0.25">
      <c r="A774" s="7">
        <v>2.4647216533923735E-2</v>
      </c>
      <c r="B774"/>
      <c r="C774"/>
      <c r="D774"/>
      <c r="E774"/>
      <c r="AT774" s="27" t="s">
        <v>7</v>
      </c>
      <c r="AU774" s="27" t="s">
        <v>8</v>
      </c>
      <c r="AX774" s="27" t="s">
        <v>7</v>
      </c>
      <c r="AZ774" s="27" t="s">
        <v>7</v>
      </c>
      <c r="BA774" s="27" t="s">
        <v>8</v>
      </c>
      <c r="BB774" s="27" t="s">
        <v>7</v>
      </c>
      <c r="BC774" s="27" t="s">
        <v>8</v>
      </c>
      <c r="BD774" s="27" t="s">
        <v>7</v>
      </c>
      <c r="BM774" s="27" t="s">
        <v>8</v>
      </c>
      <c r="BN774" s="27" t="s">
        <v>7</v>
      </c>
      <c r="LC774" s="27" t="s">
        <v>8</v>
      </c>
      <c r="LD774" s="27" t="s">
        <v>7</v>
      </c>
      <c r="LI774" s="27" t="s">
        <v>8</v>
      </c>
      <c r="LJ774" s="27" t="s">
        <v>7</v>
      </c>
      <c r="LK774" s="27" t="s">
        <v>8</v>
      </c>
      <c r="LL774" s="27" t="s">
        <v>7</v>
      </c>
      <c r="LQ774" s="27" t="s">
        <v>8</v>
      </c>
      <c r="LR774" s="27" t="s">
        <v>7</v>
      </c>
      <c r="LW774" s="27" t="s">
        <v>8</v>
      </c>
      <c r="LX774" s="27" t="s">
        <v>7</v>
      </c>
      <c r="LY774" s="27" t="s">
        <v>8</v>
      </c>
    </row>
    <row r="775" spans="1:385" x14ac:dyDescent="0.25">
      <c r="A775" s="7">
        <v>2.4163937778356601E-2</v>
      </c>
      <c r="B775"/>
      <c r="C775"/>
      <c r="D775"/>
      <c r="E775"/>
      <c r="AT775" s="27" t="s">
        <v>7</v>
      </c>
      <c r="AZ775" s="27" t="s">
        <v>7</v>
      </c>
      <c r="BB775" s="27" t="s">
        <v>7</v>
      </c>
      <c r="BC775" s="27" t="s">
        <v>8</v>
      </c>
      <c r="BD775" s="27" t="s">
        <v>7</v>
      </c>
      <c r="BM775" s="27" t="s">
        <v>8</v>
      </c>
      <c r="BN775" s="27" t="s">
        <v>7</v>
      </c>
      <c r="LC775" s="27" t="s">
        <v>8</v>
      </c>
      <c r="LD775" s="27" t="s">
        <v>7</v>
      </c>
      <c r="LI775" s="27" t="s">
        <v>8</v>
      </c>
      <c r="LJ775" s="27" t="s">
        <v>7</v>
      </c>
      <c r="LK775" s="27" t="s">
        <v>8</v>
      </c>
      <c r="LL775" s="27" t="s">
        <v>7</v>
      </c>
      <c r="LM775" s="27" t="s">
        <v>8</v>
      </c>
      <c r="LQ775" s="27" t="s">
        <v>8</v>
      </c>
      <c r="LR775" s="27" t="s">
        <v>7</v>
      </c>
      <c r="LW775" s="27" t="s">
        <v>8</v>
      </c>
      <c r="LX775" s="27" t="s">
        <v>7</v>
      </c>
      <c r="LY775" s="27" t="s">
        <v>8</v>
      </c>
    </row>
    <row r="776" spans="1:385" x14ac:dyDescent="0.25">
      <c r="A776" s="7">
        <v>2.3690135076820197E-2</v>
      </c>
      <c r="B776"/>
      <c r="C776"/>
      <c r="D776"/>
      <c r="E776"/>
      <c r="BB776" s="27" t="s">
        <v>7</v>
      </c>
      <c r="BC776" s="27" t="s">
        <v>8</v>
      </c>
      <c r="BD776" s="27" t="s">
        <v>7</v>
      </c>
      <c r="BM776" s="27" t="s">
        <v>8</v>
      </c>
      <c r="BN776" s="27" t="s">
        <v>7</v>
      </c>
      <c r="LC776" s="27" t="s">
        <v>8</v>
      </c>
      <c r="LD776" s="27" t="s">
        <v>7</v>
      </c>
      <c r="LI776" s="27" t="s">
        <v>8</v>
      </c>
      <c r="LJ776" s="27" t="s">
        <v>7</v>
      </c>
      <c r="LK776" s="27" t="s">
        <v>8</v>
      </c>
      <c r="LL776" s="27" t="s">
        <v>7</v>
      </c>
      <c r="LM776" s="27" t="s">
        <v>8</v>
      </c>
      <c r="LN776" s="27" t="s">
        <v>7</v>
      </c>
      <c r="LQ776" s="27" t="s">
        <v>8</v>
      </c>
      <c r="LR776" s="27" t="s">
        <v>7</v>
      </c>
      <c r="LW776" s="27" t="s">
        <v>8</v>
      </c>
      <c r="LX776" s="27" t="s">
        <v>7</v>
      </c>
      <c r="LY776" s="27" t="s">
        <v>8</v>
      </c>
    </row>
    <row r="777" spans="1:385" x14ac:dyDescent="0.25">
      <c r="A777" s="7">
        <v>2.3225622624333527E-2</v>
      </c>
      <c r="B777"/>
      <c r="C777"/>
      <c r="D777"/>
      <c r="E777"/>
      <c r="BB777" s="27" t="s">
        <v>7</v>
      </c>
      <c r="BC777" s="27" t="s">
        <v>8</v>
      </c>
      <c r="BD777" s="27" t="s">
        <v>7</v>
      </c>
      <c r="BM777" s="27" t="s">
        <v>8</v>
      </c>
      <c r="BN777" s="27" t="s">
        <v>7</v>
      </c>
      <c r="BO777" s="27" t="s">
        <v>8</v>
      </c>
      <c r="LC777" s="27" t="s">
        <v>8</v>
      </c>
      <c r="LD777" s="27" t="s">
        <v>7</v>
      </c>
      <c r="LI777" s="27" t="s">
        <v>8</v>
      </c>
      <c r="LJ777" s="27" t="s">
        <v>7</v>
      </c>
      <c r="LK777" s="27" t="s">
        <v>8</v>
      </c>
      <c r="LL777" s="27" t="s">
        <v>7</v>
      </c>
      <c r="LM777" s="27" t="s">
        <v>8</v>
      </c>
      <c r="LN777" s="27" t="s">
        <v>7</v>
      </c>
      <c r="LQ777" s="27" t="s">
        <v>8</v>
      </c>
      <c r="LR777" s="27" t="s">
        <v>7</v>
      </c>
      <c r="LS777" s="27" t="s">
        <v>8</v>
      </c>
      <c r="LW777" s="27" t="s">
        <v>8</v>
      </c>
      <c r="LX777" s="27" t="s">
        <v>7</v>
      </c>
      <c r="LY777" s="27" t="s">
        <v>8</v>
      </c>
    </row>
    <row r="778" spans="1:385" x14ac:dyDescent="0.25">
      <c r="A778" s="7">
        <v>2.2770218259150519E-2</v>
      </c>
      <c r="B778"/>
      <c r="C778"/>
      <c r="D778"/>
      <c r="E778"/>
      <c r="BB778" s="27" t="s">
        <v>7</v>
      </c>
      <c r="BC778" s="27" t="s">
        <v>8</v>
      </c>
      <c r="BD778" s="27" t="s">
        <v>7</v>
      </c>
      <c r="BM778" s="27" t="s">
        <v>8</v>
      </c>
      <c r="BN778" s="27" t="s">
        <v>7</v>
      </c>
      <c r="BO778" s="27" t="s">
        <v>8</v>
      </c>
      <c r="BP778" s="27" t="s">
        <v>7</v>
      </c>
      <c r="LC778" s="27" t="s">
        <v>8</v>
      </c>
      <c r="LD778" s="27" t="s">
        <v>7</v>
      </c>
      <c r="LG778" s="27" t="s">
        <v>8</v>
      </c>
      <c r="LI778" s="27" t="s">
        <v>8</v>
      </c>
      <c r="LJ778" s="27" t="s">
        <v>7</v>
      </c>
      <c r="LK778" s="27" t="s">
        <v>8</v>
      </c>
      <c r="LL778" s="27" t="s">
        <v>7</v>
      </c>
      <c r="LM778" s="27" t="s">
        <v>8</v>
      </c>
      <c r="LN778" s="27" t="s">
        <v>7</v>
      </c>
      <c r="LQ778" s="27" t="s">
        <v>8</v>
      </c>
      <c r="LR778" s="27" t="s">
        <v>7</v>
      </c>
      <c r="LS778" s="27" t="s">
        <v>8</v>
      </c>
      <c r="LT778" s="27" t="s">
        <v>7</v>
      </c>
      <c r="LW778" s="27" t="s">
        <v>8</v>
      </c>
      <c r="LX778" s="27" t="s">
        <v>7</v>
      </c>
    </row>
    <row r="779" spans="1:385" x14ac:dyDescent="0.25">
      <c r="A779" s="7">
        <v>2.2323743391324039E-2</v>
      </c>
      <c r="B779"/>
      <c r="C779"/>
      <c r="D779"/>
      <c r="E779"/>
      <c r="BB779" s="27" t="s">
        <v>7</v>
      </c>
      <c r="BC779" s="27" t="s">
        <v>8</v>
      </c>
      <c r="BD779" s="27" t="s">
        <v>7</v>
      </c>
      <c r="BE779" s="27" t="s">
        <v>8</v>
      </c>
      <c r="BM779" s="27" t="s">
        <v>8</v>
      </c>
      <c r="BN779" s="27" t="s">
        <v>7</v>
      </c>
      <c r="BO779" s="27" t="s">
        <v>8</v>
      </c>
      <c r="BP779" s="27" t="s">
        <v>7</v>
      </c>
      <c r="LC779" s="27" t="s">
        <v>8</v>
      </c>
      <c r="LD779" s="27" t="s">
        <v>7</v>
      </c>
      <c r="LG779" s="27" t="s">
        <v>8</v>
      </c>
      <c r="LH779" s="27" t="s">
        <v>7</v>
      </c>
      <c r="LI779" s="27" t="s">
        <v>8</v>
      </c>
      <c r="LJ779" s="27" t="s">
        <v>7</v>
      </c>
      <c r="LK779" s="27" t="s">
        <v>8</v>
      </c>
      <c r="LL779" s="27" t="s">
        <v>7</v>
      </c>
      <c r="LN779" s="27" t="s">
        <v>7</v>
      </c>
      <c r="LQ779" s="27" t="s">
        <v>8</v>
      </c>
      <c r="LR779" s="27" t="s">
        <v>7</v>
      </c>
      <c r="LS779" s="27" t="s">
        <v>8</v>
      </c>
      <c r="LT779" s="27" t="s">
        <v>7</v>
      </c>
      <c r="LW779" s="27" t="s">
        <v>8</v>
      </c>
    </row>
    <row r="780" spans="1:385" x14ac:dyDescent="0.25">
      <c r="A780" s="7">
        <v>2.188602293267063E-2</v>
      </c>
      <c r="B780"/>
      <c r="C780"/>
      <c r="D780"/>
      <c r="E780"/>
      <c r="BB780" s="27" t="s">
        <v>7</v>
      </c>
      <c r="BC780" s="27" t="s">
        <v>8</v>
      </c>
      <c r="BD780" s="27" t="s">
        <v>7</v>
      </c>
      <c r="BE780" s="27" t="s">
        <v>8</v>
      </c>
      <c r="BF780" s="27" t="s">
        <v>7</v>
      </c>
      <c r="BM780" s="27" t="s">
        <v>8</v>
      </c>
      <c r="BN780" s="27" t="s">
        <v>7</v>
      </c>
      <c r="BP780" s="27" t="s">
        <v>7</v>
      </c>
      <c r="LC780" s="27" t="s">
        <v>8</v>
      </c>
      <c r="LD780" s="27" t="s">
        <v>7</v>
      </c>
      <c r="LG780" s="27" t="s">
        <v>8</v>
      </c>
      <c r="LH780" s="27" t="s">
        <v>7</v>
      </c>
      <c r="LI780" s="27" t="s">
        <v>8</v>
      </c>
      <c r="LJ780" s="27" t="s">
        <v>7</v>
      </c>
      <c r="LK780" s="27" t="s">
        <v>8</v>
      </c>
      <c r="LN780" s="27" t="s">
        <v>7</v>
      </c>
      <c r="LO780" s="27" t="s">
        <v>8</v>
      </c>
      <c r="LQ780" s="27" t="s">
        <v>8</v>
      </c>
      <c r="LR780" s="27" t="s">
        <v>7</v>
      </c>
      <c r="LS780" s="27" t="s">
        <v>8</v>
      </c>
      <c r="LT780" s="27" t="s">
        <v>7</v>
      </c>
      <c r="LW780" s="27" t="s">
        <v>8</v>
      </c>
    </row>
    <row r="781" spans="1:385" x14ac:dyDescent="0.25">
      <c r="A781" s="7">
        <v>2.1456885228108461E-2</v>
      </c>
      <c r="B781"/>
      <c r="C781"/>
      <c r="D781"/>
      <c r="E781"/>
      <c r="BB781" s="27" t="s">
        <v>7</v>
      </c>
      <c r="BC781" s="27" t="s">
        <v>8</v>
      </c>
      <c r="BD781" s="27" t="s">
        <v>7</v>
      </c>
      <c r="BE781" s="27" t="s">
        <v>8</v>
      </c>
      <c r="BF781" s="27" t="s">
        <v>7</v>
      </c>
      <c r="BM781" s="27" t="s">
        <v>8</v>
      </c>
      <c r="BP781" s="27" t="s">
        <v>7</v>
      </c>
      <c r="LC781" s="27" t="s">
        <v>8</v>
      </c>
      <c r="LD781" s="27" t="s">
        <v>7</v>
      </c>
      <c r="LG781" s="27" t="s">
        <v>8</v>
      </c>
      <c r="LH781" s="27" t="s">
        <v>7</v>
      </c>
      <c r="LI781" s="27" t="s">
        <v>8</v>
      </c>
      <c r="LJ781" s="27" t="s">
        <v>7</v>
      </c>
      <c r="LK781" s="27" t="s">
        <v>8</v>
      </c>
      <c r="LN781" s="27" t="s">
        <v>7</v>
      </c>
      <c r="LO781" s="27" t="s">
        <v>8</v>
      </c>
      <c r="LP781" s="27" t="s">
        <v>7</v>
      </c>
      <c r="LQ781" s="27" t="s">
        <v>8</v>
      </c>
      <c r="LR781" s="27" t="s">
        <v>7</v>
      </c>
      <c r="LS781" s="27" t="s">
        <v>8</v>
      </c>
      <c r="LT781" s="27" t="s">
        <v>7</v>
      </c>
      <c r="LU781" s="27" t="s">
        <v>8</v>
      </c>
      <c r="LW781" s="27" t="s">
        <v>8</v>
      </c>
    </row>
    <row r="782" spans="1:385" x14ac:dyDescent="0.25">
      <c r="A782" s="7">
        <v>2.1036161988341632E-2</v>
      </c>
      <c r="B782"/>
      <c r="C782"/>
      <c r="D782"/>
      <c r="E782"/>
      <c r="BB782" s="27" t="s">
        <v>7</v>
      </c>
      <c r="BC782" s="27" t="s">
        <v>8</v>
      </c>
      <c r="BD782" s="27" t="s">
        <v>7</v>
      </c>
      <c r="BE782" s="27" t="s">
        <v>8</v>
      </c>
      <c r="BF782" s="27" t="s">
        <v>7</v>
      </c>
      <c r="BM782" s="27" t="s">
        <v>8</v>
      </c>
      <c r="BP782" s="27" t="s">
        <v>7</v>
      </c>
      <c r="LC782" s="27" t="s">
        <v>8</v>
      </c>
      <c r="LD782" s="27" t="s">
        <v>7</v>
      </c>
      <c r="LG782" s="27" t="s">
        <v>8</v>
      </c>
      <c r="LH782" s="27" t="s">
        <v>7</v>
      </c>
      <c r="LI782" s="27" t="s">
        <v>8</v>
      </c>
      <c r="LJ782" s="27" t="s">
        <v>7</v>
      </c>
      <c r="LK782" s="27" t="s">
        <v>8</v>
      </c>
      <c r="LN782" s="27" t="s">
        <v>7</v>
      </c>
      <c r="LO782" s="27" t="s">
        <v>8</v>
      </c>
      <c r="LP782" s="27" t="s">
        <v>7</v>
      </c>
      <c r="LQ782" s="27" t="s">
        <v>8</v>
      </c>
      <c r="LR782" s="27" t="s">
        <v>7</v>
      </c>
      <c r="LS782" s="27" t="s">
        <v>8</v>
      </c>
      <c r="LT782" s="27" t="s">
        <v>7</v>
      </c>
      <c r="LU782" s="27" t="s">
        <v>8</v>
      </c>
      <c r="LV782" s="27" t="s">
        <v>7</v>
      </c>
      <c r="LW782" s="27" t="s">
        <v>8</v>
      </c>
    </row>
    <row r="783" spans="1:385" x14ac:dyDescent="0.25">
      <c r="A783" s="7">
        <v>2.0623688223864345E-2</v>
      </c>
      <c r="B783"/>
      <c r="C783"/>
      <c r="D783"/>
      <c r="E783"/>
      <c r="BB783" s="27" t="s">
        <v>7</v>
      </c>
      <c r="BC783" s="27" t="s">
        <v>8</v>
      </c>
      <c r="BD783" s="27" t="s">
        <v>7</v>
      </c>
      <c r="BE783" s="27" t="s">
        <v>8</v>
      </c>
      <c r="BF783" s="27" t="s">
        <v>7</v>
      </c>
      <c r="BM783" s="27" t="s">
        <v>8</v>
      </c>
      <c r="BP783" s="27" t="s">
        <v>7</v>
      </c>
      <c r="BS783" s="27" t="s">
        <v>8</v>
      </c>
      <c r="LC783" s="27" t="s">
        <v>8</v>
      </c>
      <c r="LD783" s="27" t="s">
        <v>7</v>
      </c>
      <c r="LG783" s="27" t="s">
        <v>8</v>
      </c>
      <c r="LH783" s="27" t="s">
        <v>7</v>
      </c>
      <c r="LI783" s="27" t="s">
        <v>8</v>
      </c>
      <c r="LJ783" s="27" t="s">
        <v>7</v>
      </c>
      <c r="LK783" s="27" t="s">
        <v>8</v>
      </c>
      <c r="LN783" s="27" t="s">
        <v>7</v>
      </c>
      <c r="LO783" s="27" t="s">
        <v>8</v>
      </c>
      <c r="LP783" s="27" t="s">
        <v>7</v>
      </c>
      <c r="LQ783" s="27" t="s">
        <v>8</v>
      </c>
      <c r="LR783" s="27" t="s">
        <v>7</v>
      </c>
      <c r="LS783" s="27" t="s">
        <v>8</v>
      </c>
      <c r="LT783" s="27" t="s">
        <v>7</v>
      </c>
      <c r="LU783" s="27" t="s">
        <v>8</v>
      </c>
      <c r="LV783" s="27" t="s">
        <v>7</v>
      </c>
      <c r="LW783" s="27" t="s">
        <v>8</v>
      </c>
    </row>
    <row r="784" spans="1:385" x14ac:dyDescent="0.25">
      <c r="A784" s="7">
        <v>2.021930218025916E-2</v>
      </c>
      <c r="B784"/>
      <c r="C784"/>
      <c r="D784"/>
      <c r="E784"/>
      <c r="BB784" s="27" t="s">
        <v>7</v>
      </c>
      <c r="BD784" s="27" t="s">
        <v>7</v>
      </c>
      <c r="BE784" s="27" t="s">
        <v>8</v>
      </c>
      <c r="BF784" s="27" t="s">
        <v>7</v>
      </c>
      <c r="BG784" s="27" t="s">
        <v>8</v>
      </c>
      <c r="BK784" s="27" t="s">
        <v>8</v>
      </c>
      <c r="BM784" s="27" t="s">
        <v>8</v>
      </c>
      <c r="BP784" s="27" t="s">
        <v>7</v>
      </c>
      <c r="BS784" s="27" t="s">
        <v>8</v>
      </c>
      <c r="BT784" s="27" t="s">
        <v>7</v>
      </c>
      <c r="LC784" s="27" t="s">
        <v>8</v>
      </c>
      <c r="LD784" s="27" t="s">
        <v>7</v>
      </c>
      <c r="LG784" s="27" t="s">
        <v>8</v>
      </c>
      <c r="LH784" s="27" t="s">
        <v>7</v>
      </c>
      <c r="LI784" s="27" t="s">
        <v>8</v>
      </c>
      <c r="LJ784" s="27" t="s">
        <v>7</v>
      </c>
      <c r="LK784" s="27" t="s">
        <v>8</v>
      </c>
      <c r="LN784" s="27" t="s">
        <v>7</v>
      </c>
      <c r="LO784" s="27" t="s">
        <v>8</v>
      </c>
      <c r="LP784" s="27" t="s">
        <v>7</v>
      </c>
      <c r="LQ784" s="27" t="s">
        <v>8</v>
      </c>
      <c r="LR784" s="27" t="s">
        <v>7</v>
      </c>
      <c r="LT784" s="27" t="s">
        <v>7</v>
      </c>
      <c r="LU784" s="27" t="s">
        <v>8</v>
      </c>
      <c r="LV784" s="27" t="s">
        <v>7</v>
      </c>
      <c r="LW784" s="27" t="s">
        <v>8</v>
      </c>
    </row>
    <row r="785" spans="1:334" x14ac:dyDescent="0.25">
      <c r="A785" s="7">
        <v>1.9822845274763884E-2</v>
      </c>
      <c r="B785"/>
      <c r="C785"/>
      <c r="D785"/>
      <c r="E785"/>
      <c r="BD785" s="27" t="s">
        <v>7</v>
      </c>
      <c r="BE785" s="27" t="s">
        <v>8</v>
      </c>
      <c r="BF785" s="27" t="s">
        <v>7</v>
      </c>
      <c r="BG785" s="27" t="s">
        <v>8</v>
      </c>
      <c r="BH785" s="27" t="s">
        <v>7</v>
      </c>
      <c r="BI785" s="27" t="s">
        <v>8</v>
      </c>
      <c r="BK785" s="27" t="s">
        <v>8</v>
      </c>
      <c r="BL785" s="27" t="s">
        <v>7</v>
      </c>
      <c r="BM785" s="27" t="s">
        <v>8</v>
      </c>
      <c r="BP785" s="27" t="s">
        <v>7</v>
      </c>
      <c r="BS785" s="27" t="s">
        <v>8</v>
      </c>
      <c r="BT785" s="27" t="s">
        <v>7</v>
      </c>
      <c r="LC785" s="27" t="s">
        <v>8</v>
      </c>
      <c r="LD785" s="27" t="s">
        <v>7</v>
      </c>
      <c r="LG785" s="27" t="s">
        <v>8</v>
      </c>
      <c r="LH785" s="27" t="s">
        <v>7</v>
      </c>
      <c r="LJ785" s="27" t="s">
        <v>7</v>
      </c>
      <c r="LK785" s="27" t="s">
        <v>8</v>
      </c>
      <c r="LN785" s="27" t="s">
        <v>7</v>
      </c>
      <c r="LO785" s="27" t="s">
        <v>8</v>
      </c>
      <c r="LP785" s="27" t="s">
        <v>7</v>
      </c>
      <c r="LQ785" s="27" t="s">
        <v>8</v>
      </c>
      <c r="LT785" s="27" t="s">
        <v>7</v>
      </c>
      <c r="LV785" s="27" t="s">
        <v>7</v>
      </c>
    </row>
    <row r="786" spans="1:334" x14ac:dyDescent="0.25">
      <c r="A786" s="7">
        <v>1.9434162034082238E-2</v>
      </c>
      <c r="B786"/>
      <c r="C786"/>
      <c r="D786"/>
      <c r="E786"/>
      <c r="BD786" s="27" t="s">
        <v>7</v>
      </c>
      <c r="BE786" s="27" t="s">
        <v>8</v>
      </c>
      <c r="BF786" s="27" t="s">
        <v>7</v>
      </c>
      <c r="BG786" s="27" t="s">
        <v>8</v>
      </c>
      <c r="BH786" s="27" t="s">
        <v>7</v>
      </c>
      <c r="BI786" s="27" t="s">
        <v>8</v>
      </c>
      <c r="BJ786" s="27" t="s">
        <v>7</v>
      </c>
      <c r="BK786" s="27" t="s">
        <v>8</v>
      </c>
      <c r="BL786" s="27" t="s">
        <v>7</v>
      </c>
      <c r="BM786" s="27" t="s">
        <v>8</v>
      </c>
      <c r="BP786" s="27" t="s">
        <v>7</v>
      </c>
      <c r="BS786" s="27" t="s">
        <v>8</v>
      </c>
      <c r="BT786" s="27" t="s">
        <v>7</v>
      </c>
      <c r="KI786" s="27" t="s">
        <v>8</v>
      </c>
      <c r="LC786" s="27" t="s">
        <v>8</v>
      </c>
      <c r="LD786" s="27" t="s">
        <v>7</v>
      </c>
      <c r="LG786" s="27" t="s">
        <v>8</v>
      </c>
      <c r="LJ786" s="27" t="s">
        <v>7</v>
      </c>
      <c r="LK786" s="27" t="s">
        <v>8</v>
      </c>
      <c r="LN786" s="27" t="s">
        <v>7</v>
      </c>
      <c r="LO786" s="27" t="s">
        <v>8</v>
      </c>
      <c r="LP786" s="27" t="s">
        <v>7</v>
      </c>
      <c r="LQ786" s="27" t="s">
        <v>8</v>
      </c>
    </row>
    <row r="787" spans="1:334" x14ac:dyDescent="0.25">
      <c r="A787" s="7">
        <v>1.9053100033413959E-2</v>
      </c>
      <c r="B787"/>
      <c r="C787"/>
      <c r="D787"/>
      <c r="E787"/>
      <c r="BD787" s="27" t="s">
        <v>7</v>
      </c>
      <c r="BE787" s="27" t="s">
        <v>8</v>
      </c>
      <c r="BF787" s="27" t="s">
        <v>7</v>
      </c>
      <c r="BG787" s="27" t="s">
        <v>8</v>
      </c>
      <c r="BH787" s="27" t="s">
        <v>7</v>
      </c>
      <c r="BI787" s="27" t="s">
        <v>8</v>
      </c>
      <c r="BJ787" s="27" t="s">
        <v>7</v>
      </c>
      <c r="BK787" s="27" t="s">
        <v>8</v>
      </c>
      <c r="BL787" s="27" t="s">
        <v>7</v>
      </c>
      <c r="BM787" s="27" t="s">
        <v>8</v>
      </c>
      <c r="BP787" s="27" t="s">
        <v>7</v>
      </c>
      <c r="BS787" s="27" t="s">
        <v>8</v>
      </c>
      <c r="BT787" s="27" t="s">
        <v>7</v>
      </c>
      <c r="KI787" s="27" t="s">
        <v>8</v>
      </c>
      <c r="KJ787" s="27" t="s">
        <v>7</v>
      </c>
      <c r="LC787" s="27" t="s">
        <v>8</v>
      </c>
      <c r="LD787" s="27" t="s">
        <v>7</v>
      </c>
      <c r="LG787" s="27" t="s">
        <v>8</v>
      </c>
      <c r="LJ787" s="27" t="s">
        <v>7</v>
      </c>
      <c r="LK787" s="27" t="s">
        <v>8</v>
      </c>
      <c r="LN787" s="27" t="s">
        <v>7</v>
      </c>
      <c r="LO787" s="27" t="s">
        <v>8</v>
      </c>
      <c r="LP787" s="27" t="s">
        <v>7</v>
      </c>
      <c r="LQ787" s="27" t="s">
        <v>8</v>
      </c>
    </row>
    <row r="788" spans="1:334" x14ac:dyDescent="0.25">
      <c r="A788" s="7">
        <v>1.867950983668035E-2</v>
      </c>
      <c r="B788"/>
      <c r="C788"/>
      <c r="D788"/>
      <c r="E788"/>
      <c r="BD788" s="27" t="s">
        <v>7</v>
      </c>
      <c r="BE788" s="27" t="s">
        <v>8</v>
      </c>
      <c r="BF788" s="27" t="s">
        <v>7</v>
      </c>
      <c r="BG788" s="27" t="s">
        <v>8</v>
      </c>
      <c r="BH788" s="27" t="s">
        <v>7</v>
      </c>
      <c r="BJ788" s="27" t="s">
        <v>7</v>
      </c>
      <c r="BL788" s="27" t="s">
        <v>7</v>
      </c>
      <c r="BM788" s="27" t="s">
        <v>8</v>
      </c>
      <c r="BP788" s="27" t="s">
        <v>7</v>
      </c>
      <c r="BQ788" s="27" t="s">
        <v>8</v>
      </c>
      <c r="BS788" s="27" t="s">
        <v>8</v>
      </c>
      <c r="BT788" s="27" t="s">
        <v>7</v>
      </c>
      <c r="KI788" s="27" t="s">
        <v>8</v>
      </c>
      <c r="KJ788" s="27" t="s">
        <v>7</v>
      </c>
      <c r="KK788" s="27" t="s">
        <v>8</v>
      </c>
      <c r="LC788" s="27" t="s">
        <v>8</v>
      </c>
      <c r="LD788" s="27" t="s">
        <v>7</v>
      </c>
      <c r="LG788" s="27" t="s">
        <v>8</v>
      </c>
      <c r="LJ788" s="27" t="s">
        <v>7</v>
      </c>
      <c r="LN788" s="27" t="s">
        <v>7</v>
      </c>
      <c r="LO788" s="27" t="s">
        <v>8</v>
      </c>
      <c r="LP788" s="27" t="s">
        <v>7</v>
      </c>
      <c r="LQ788" s="27" t="s">
        <v>8</v>
      </c>
    </row>
    <row r="789" spans="1:334" x14ac:dyDescent="0.25">
      <c r="A789" s="7">
        <v>1.8313244937921913E-2</v>
      </c>
      <c r="B789"/>
      <c r="C789"/>
      <c r="D789"/>
      <c r="E789"/>
      <c r="BD789" s="27" t="s">
        <v>7</v>
      </c>
      <c r="BE789" s="27" t="s">
        <v>8</v>
      </c>
      <c r="BF789" s="27" t="s">
        <v>7</v>
      </c>
      <c r="BG789" s="27" t="s">
        <v>8</v>
      </c>
      <c r="BL789" s="27" t="s">
        <v>7</v>
      </c>
      <c r="BP789" s="27" t="s">
        <v>7</v>
      </c>
      <c r="BQ789" s="27" t="s">
        <v>8</v>
      </c>
      <c r="BR789" s="27" t="s">
        <v>7</v>
      </c>
      <c r="BS789" s="27" t="s">
        <v>8</v>
      </c>
      <c r="BT789" s="27" t="s">
        <v>7</v>
      </c>
      <c r="BW789" s="27" t="s">
        <v>8</v>
      </c>
      <c r="CC789" s="27" t="s">
        <v>8</v>
      </c>
      <c r="KI789" s="27" t="s">
        <v>8</v>
      </c>
      <c r="KJ789" s="27" t="s">
        <v>7</v>
      </c>
      <c r="KK789" s="27" t="s">
        <v>8</v>
      </c>
      <c r="KL789" s="27" t="s">
        <v>7</v>
      </c>
      <c r="LC789" s="27" t="s">
        <v>8</v>
      </c>
      <c r="LD789" s="27" t="s">
        <v>7</v>
      </c>
      <c r="LG789" s="27" t="s">
        <v>8</v>
      </c>
      <c r="LN789" s="27" t="s">
        <v>7</v>
      </c>
      <c r="LO789" s="27" t="s">
        <v>8</v>
      </c>
      <c r="LP789" s="27" t="s">
        <v>7</v>
      </c>
      <c r="LQ789" s="27" t="s">
        <v>8</v>
      </c>
    </row>
    <row r="790" spans="1:334" x14ac:dyDescent="0.25">
      <c r="A790" s="7">
        <v>1.7954161703845013E-2</v>
      </c>
      <c r="B790"/>
      <c r="C790"/>
      <c r="D790"/>
      <c r="E790"/>
      <c r="BD790" s="27" t="s">
        <v>7</v>
      </c>
      <c r="BF790" s="27" t="s">
        <v>7</v>
      </c>
      <c r="BG790" s="27" t="s">
        <v>8</v>
      </c>
      <c r="BP790" s="27" t="s">
        <v>7</v>
      </c>
      <c r="BQ790" s="27" t="s">
        <v>8</v>
      </c>
      <c r="BR790" s="27" t="s">
        <v>7</v>
      </c>
      <c r="BS790" s="27" t="s">
        <v>8</v>
      </c>
      <c r="BT790" s="27" t="s">
        <v>7</v>
      </c>
      <c r="BW790" s="27" t="s">
        <v>8</v>
      </c>
      <c r="BX790" s="27" t="s">
        <v>7</v>
      </c>
      <c r="CC790" s="27" t="s">
        <v>8</v>
      </c>
      <c r="CD790" s="27" t="s">
        <v>7</v>
      </c>
      <c r="KI790" s="27" t="s">
        <v>8</v>
      </c>
      <c r="KJ790" s="27" t="s">
        <v>7</v>
      </c>
      <c r="KK790" s="27" t="s">
        <v>8</v>
      </c>
      <c r="KL790" s="27" t="s">
        <v>7</v>
      </c>
      <c r="LC790" s="27" t="s">
        <v>8</v>
      </c>
      <c r="LD790" s="27" t="s">
        <v>7</v>
      </c>
      <c r="LG790" s="27" t="s">
        <v>8</v>
      </c>
      <c r="LN790" s="27" t="s">
        <v>7</v>
      </c>
      <c r="LO790" s="27" t="s">
        <v>8</v>
      </c>
      <c r="LP790" s="27" t="s">
        <v>7</v>
      </c>
      <c r="LQ790" s="27" t="s">
        <v>8</v>
      </c>
    </row>
    <row r="791" spans="1:334" x14ac:dyDescent="0.25">
      <c r="A791" s="7">
        <v>1.7602119317495109E-2</v>
      </c>
      <c r="B791"/>
      <c r="C791"/>
      <c r="D791"/>
      <c r="E791"/>
      <c r="BF791" s="27" t="s">
        <v>7</v>
      </c>
      <c r="BG791" s="27" t="s">
        <v>8</v>
      </c>
      <c r="BP791" s="27" t="s">
        <v>7</v>
      </c>
      <c r="BR791" s="27" t="s">
        <v>7</v>
      </c>
      <c r="BS791" s="27" t="s">
        <v>8</v>
      </c>
      <c r="BT791" s="27" t="s">
        <v>7</v>
      </c>
      <c r="BU791" s="27" t="s">
        <v>8</v>
      </c>
      <c r="BW791" s="27" t="s">
        <v>8</v>
      </c>
      <c r="BX791" s="27" t="s">
        <v>7</v>
      </c>
      <c r="CC791" s="27" t="s">
        <v>8</v>
      </c>
      <c r="CD791" s="27" t="s">
        <v>7</v>
      </c>
      <c r="KI791" s="27" t="s">
        <v>8</v>
      </c>
      <c r="KJ791" s="27" t="s">
        <v>7</v>
      </c>
      <c r="KK791" s="27" t="s">
        <v>8</v>
      </c>
      <c r="KL791" s="27" t="s">
        <v>7</v>
      </c>
      <c r="LC791" s="27" t="s">
        <v>8</v>
      </c>
      <c r="LD791" s="27" t="s">
        <v>7</v>
      </c>
      <c r="LG791" s="27" t="s">
        <v>8</v>
      </c>
      <c r="LN791" s="27" t="s">
        <v>7</v>
      </c>
      <c r="LO791" s="27" t="s">
        <v>8</v>
      </c>
      <c r="LP791" s="27" t="s">
        <v>7</v>
      </c>
      <c r="LQ791" s="27" t="s">
        <v>8</v>
      </c>
    </row>
    <row r="792" spans="1:334" x14ac:dyDescent="0.25">
      <c r="A792" s="7">
        <v>1.7256979723034419E-2</v>
      </c>
      <c r="B792"/>
      <c r="C792"/>
      <c r="D792"/>
      <c r="E792"/>
      <c r="BF792" s="27" t="s">
        <v>7</v>
      </c>
      <c r="BR792" s="27" t="s">
        <v>7</v>
      </c>
      <c r="BS792" s="27" t="s">
        <v>8</v>
      </c>
      <c r="BT792" s="27" t="s">
        <v>7</v>
      </c>
      <c r="BU792" s="27" t="s">
        <v>8</v>
      </c>
      <c r="BV792" s="27" t="s">
        <v>7</v>
      </c>
      <c r="BW792" s="27" t="s">
        <v>8</v>
      </c>
      <c r="BX792" s="27" t="s">
        <v>7</v>
      </c>
      <c r="CC792" s="27" t="s">
        <v>8</v>
      </c>
      <c r="CD792" s="27" t="s">
        <v>7</v>
      </c>
      <c r="KI792" s="27" t="s">
        <v>8</v>
      </c>
      <c r="KJ792" s="27" t="s">
        <v>7</v>
      </c>
      <c r="KK792" s="27" t="s">
        <v>8</v>
      </c>
      <c r="KL792" s="27" t="s">
        <v>7</v>
      </c>
      <c r="LC792" s="27" t="s">
        <v>8</v>
      </c>
      <c r="LD792" s="27" t="s">
        <v>7</v>
      </c>
      <c r="LG792" s="27" t="s">
        <v>8</v>
      </c>
      <c r="LN792" s="27" t="s">
        <v>7</v>
      </c>
      <c r="LO792" s="27" t="s">
        <v>8</v>
      </c>
      <c r="LP792" s="27" t="s">
        <v>7</v>
      </c>
      <c r="LQ792" s="27" t="s">
        <v>8</v>
      </c>
    </row>
    <row r="793" spans="1:334" x14ac:dyDescent="0.25">
      <c r="A793" s="7">
        <v>1.6918607571602372E-2</v>
      </c>
      <c r="B793"/>
      <c r="C793"/>
      <c r="D793"/>
      <c r="E793"/>
      <c r="BR793" s="27" t="s">
        <v>7</v>
      </c>
      <c r="BT793" s="27" t="s">
        <v>7</v>
      </c>
      <c r="BU793" s="27" t="s">
        <v>8</v>
      </c>
      <c r="BV793" s="27" t="s">
        <v>7</v>
      </c>
      <c r="BW793" s="27" t="s">
        <v>8</v>
      </c>
      <c r="BX793" s="27" t="s">
        <v>7</v>
      </c>
      <c r="CC793" s="27" t="s">
        <v>8</v>
      </c>
      <c r="CD793" s="27" t="s">
        <v>7</v>
      </c>
      <c r="KI793" s="27" t="s">
        <v>8</v>
      </c>
      <c r="KJ793" s="27" t="s">
        <v>7</v>
      </c>
      <c r="KK793" s="27" t="s">
        <v>8</v>
      </c>
      <c r="KL793" s="27" t="s">
        <v>7</v>
      </c>
      <c r="LC793" s="27" t="s">
        <v>8</v>
      </c>
      <c r="LD793" s="27" t="s">
        <v>7</v>
      </c>
      <c r="LE793" s="27" t="s">
        <v>8</v>
      </c>
      <c r="LG793" s="27" t="s">
        <v>8</v>
      </c>
      <c r="LN793" s="27" t="s">
        <v>7</v>
      </c>
      <c r="LO793" s="27" t="s">
        <v>8</v>
      </c>
      <c r="LP793" s="27" t="s">
        <v>7</v>
      </c>
      <c r="LQ793" s="27" t="s">
        <v>8</v>
      </c>
    </row>
    <row r="794" spans="1:334" x14ac:dyDescent="0.25">
      <c r="A794" s="7">
        <v>1.6586870168237622E-2</v>
      </c>
      <c r="B794"/>
      <c r="C794"/>
      <c r="D794"/>
      <c r="E794"/>
      <c r="BT794" s="27" t="s">
        <v>7</v>
      </c>
      <c r="BU794" s="27" t="s">
        <v>8</v>
      </c>
      <c r="BV794" s="27" t="s">
        <v>7</v>
      </c>
      <c r="BW794" s="27" t="s">
        <v>8</v>
      </c>
      <c r="BX794" s="27" t="s">
        <v>7</v>
      </c>
      <c r="BY794" s="27" t="s">
        <v>8</v>
      </c>
      <c r="CC794" s="27" t="s">
        <v>8</v>
      </c>
      <c r="CD794" s="27" t="s">
        <v>7</v>
      </c>
      <c r="KI794" s="27" t="s">
        <v>8</v>
      </c>
      <c r="KJ794" s="27" t="s">
        <v>7</v>
      </c>
      <c r="KK794" s="27" t="s">
        <v>8</v>
      </c>
      <c r="KL794" s="27" t="s">
        <v>7</v>
      </c>
      <c r="LC794" s="27" t="s">
        <v>8</v>
      </c>
      <c r="LD794" s="27" t="s">
        <v>7</v>
      </c>
      <c r="LE794" s="27" t="s">
        <v>8</v>
      </c>
      <c r="LF794" s="27" t="s">
        <v>7</v>
      </c>
      <c r="LG794" s="27" t="s">
        <v>8</v>
      </c>
      <c r="LN794" s="27" t="s">
        <v>7</v>
      </c>
      <c r="LO794" s="27" t="s">
        <v>8</v>
      </c>
      <c r="LP794" s="27" t="s">
        <v>7</v>
      </c>
      <c r="LQ794" s="27" t="s">
        <v>8</v>
      </c>
    </row>
    <row r="795" spans="1:334" x14ac:dyDescent="0.25">
      <c r="A795" s="7">
        <v>1.6261637419840807E-2</v>
      </c>
      <c r="B795"/>
      <c r="C795"/>
      <c r="D795"/>
      <c r="E795"/>
      <c r="BT795" s="27" t="s">
        <v>7</v>
      </c>
      <c r="BV795" s="27" t="s">
        <v>7</v>
      </c>
      <c r="BX795" s="27" t="s">
        <v>7</v>
      </c>
      <c r="BY795" s="27" t="s">
        <v>8</v>
      </c>
      <c r="BZ795" s="27" t="s">
        <v>7</v>
      </c>
      <c r="CC795" s="27" t="s">
        <v>8</v>
      </c>
      <c r="CD795" s="27" t="s">
        <v>7</v>
      </c>
      <c r="KI795" s="27" t="s">
        <v>8</v>
      </c>
      <c r="KJ795" s="27" t="s">
        <v>7</v>
      </c>
      <c r="KK795" s="27" t="s">
        <v>8</v>
      </c>
      <c r="KL795" s="27" t="s">
        <v>7</v>
      </c>
      <c r="LC795" s="27" t="s">
        <v>8</v>
      </c>
      <c r="LD795" s="27" t="s">
        <v>7</v>
      </c>
      <c r="LE795" s="27" t="s">
        <v>8</v>
      </c>
      <c r="LF795" s="27" t="s">
        <v>7</v>
      </c>
      <c r="LG795" s="27" t="s">
        <v>8</v>
      </c>
      <c r="LN795" s="27" t="s">
        <v>7</v>
      </c>
      <c r="LO795" s="27" t="s">
        <v>8</v>
      </c>
      <c r="LP795" s="27" t="s">
        <v>7</v>
      </c>
    </row>
    <row r="796" spans="1:334" x14ac:dyDescent="0.25">
      <c r="A796" s="7">
        <v>1.5942781784157655E-2</v>
      </c>
      <c r="B796"/>
      <c r="C796"/>
      <c r="D796"/>
      <c r="E796"/>
      <c r="BX796" s="27" t="s">
        <v>7</v>
      </c>
      <c r="BY796" s="27" t="s">
        <v>8</v>
      </c>
      <c r="BZ796" s="27" t="s">
        <v>7</v>
      </c>
      <c r="CA796" s="27" t="s">
        <v>8</v>
      </c>
      <c r="CC796" s="27" t="s">
        <v>8</v>
      </c>
      <c r="CD796" s="27" t="s">
        <v>7</v>
      </c>
      <c r="KI796" s="27" t="s">
        <v>8</v>
      </c>
      <c r="KJ796" s="27" t="s">
        <v>7</v>
      </c>
      <c r="KK796" s="27" t="s">
        <v>8</v>
      </c>
      <c r="KL796" s="27" t="s">
        <v>7</v>
      </c>
      <c r="LC796" s="27" t="s">
        <v>8</v>
      </c>
      <c r="LD796" s="27" t="s">
        <v>7</v>
      </c>
      <c r="LE796" s="27" t="s">
        <v>8</v>
      </c>
      <c r="LF796" s="27" t="s">
        <v>7</v>
      </c>
      <c r="LG796" s="27" t="s">
        <v>8</v>
      </c>
      <c r="LN796" s="27" t="s">
        <v>7</v>
      </c>
      <c r="LO796" s="27" t="s">
        <v>8</v>
      </c>
    </row>
    <row r="797" spans="1:334" x14ac:dyDescent="0.25">
      <c r="A797" s="7">
        <v>1.5630178219762408E-2</v>
      </c>
      <c r="B797"/>
      <c r="C797"/>
      <c r="D797"/>
      <c r="E797"/>
      <c r="BX797" s="27" t="s">
        <v>7</v>
      </c>
      <c r="BY797" s="27" t="s">
        <v>8</v>
      </c>
      <c r="BZ797" s="27" t="s">
        <v>7</v>
      </c>
      <c r="CA797" s="27" t="s">
        <v>8</v>
      </c>
      <c r="CB797" s="27" t="s">
        <v>7</v>
      </c>
      <c r="CC797" s="27" t="s">
        <v>8</v>
      </c>
      <c r="CD797" s="27" t="s">
        <v>7</v>
      </c>
      <c r="KI797" s="27" t="s">
        <v>8</v>
      </c>
      <c r="KJ797" s="27" t="s">
        <v>7</v>
      </c>
      <c r="KK797" s="27" t="s">
        <v>8</v>
      </c>
      <c r="KL797" s="27" t="s">
        <v>7</v>
      </c>
      <c r="LC797" s="27" t="s">
        <v>8</v>
      </c>
      <c r="LD797" s="27" t="s">
        <v>7</v>
      </c>
      <c r="LE797" s="27" t="s">
        <v>8</v>
      </c>
      <c r="LF797" s="27" t="s">
        <v>7</v>
      </c>
      <c r="LG797" s="27" t="s">
        <v>8</v>
      </c>
      <c r="LN797" s="27" t="s">
        <v>7</v>
      </c>
      <c r="LO797" s="27" t="s">
        <v>8</v>
      </c>
    </row>
    <row r="798" spans="1:334" x14ac:dyDescent="0.25">
      <c r="A798" s="7">
        <v>1.5323704137021967E-2</v>
      </c>
      <c r="B798"/>
      <c r="C798"/>
      <c r="D798"/>
      <c r="E798"/>
      <c r="BX798" s="27" t="s">
        <v>7</v>
      </c>
      <c r="BZ798" s="27" t="s">
        <v>7</v>
      </c>
      <c r="CA798" s="27" t="s">
        <v>8</v>
      </c>
      <c r="CB798" s="27" t="s">
        <v>7</v>
      </c>
      <c r="CC798" s="27" t="s">
        <v>8</v>
      </c>
      <c r="CD798" s="27" t="s">
        <v>7</v>
      </c>
      <c r="KI798" s="27" t="s">
        <v>8</v>
      </c>
      <c r="KJ798" s="27" t="s">
        <v>7</v>
      </c>
      <c r="KK798" s="27" t="s">
        <v>8</v>
      </c>
      <c r="KL798" s="27" t="s">
        <v>7</v>
      </c>
      <c r="LC798" s="27" t="s">
        <v>8</v>
      </c>
      <c r="LD798" s="27" t="s">
        <v>7</v>
      </c>
      <c r="LE798" s="27" t="s">
        <v>8</v>
      </c>
      <c r="LF798" s="27" t="s">
        <v>7</v>
      </c>
      <c r="LG798" s="27" t="s">
        <v>8</v>
      </c>
      <c r="LN798" s="27" t="s">
        <v>7</v>
      </c>
    </row>
    <row r="799" spans="1:334" x14ac:dyDescent="0.25">
      <c r="A799" s="7">
        <v>1.5023239350021535E-2</v>
      </c>
      <c r="B799"/>
      <c r="C799"/>
      <c r="D799"/>
      <c r="E799"/>
      <c r="BZ799" s="27" t="s">
        <v>7</v>
      </c>
      <c r="CA799" s="27" t="s">
        <v>8</v>
      </c>
      <c r="CB799" s="27" t="s">
        <v>7</v>
      </c>
      <c r="CC799" s="27" t="s">
        <v>8</v>
      </c>
      <c r="CD799" s="27" t="s">
        <v>7</v>
      </c>
      <c r="KI799" s="27" t="s">
        <v>8</v>
      </c>
      <c r="KJ799" s="27" t="s">
        <v>7</v>
      </c>
      <c r="KK799" s="27" t="s">
        <v>8</v>
      </c>
      <c r="KL799" s="27" t="s">
        <v>7</v>
      </c>
      <c r="LC799" s="27" t="s">
        <v>8</v>
      </c>
      <c r="LD799" s="27" t="s">
        <v>7</v>
      </c>
      <c r="LE799" s="27" t="s">
        <v>8</v>
      </c>
      <c r="LF799" s="27" t="s">
        <v>7</v>
      </c>
      <c r="LG799" s="27" t="s">
        <v>8</v>
      </c>
    </row>
    <row r="800" spans="1:334" x14ac:dyDescent="0.25">
      <c r="A800" s="7">
        <v>1.4728666029432878E-2</v>
      </c>
      <c r="B800"/>
      <c r="C800"/>
      <c r="D800"/>
      <c r="E800"/>
      <c r="BZ800" s="27" t="s">
        <v>7</v>
      </c>
      <c r="CB800" s="27" t="s">
        <v>7</v>
      </c>
      <c r="CC800" s="27" t="s">
        <v>8</v>
      </c>
      <c r="CD800" s="27" t="s">
        <v>7</v>
      </c>
      <c r="KI800" s="27" t="s">
        <v>8</v>
      </c>
      <c r="KJ800" s="27" t="s">
        <v>7</v>
      </c>
      <c r="KK800" s="27" t="s">
        <v>8</v>
      </c>
      <c r="KL800" s="27" t="s">
        <v>7</v>
      </c>
      <c r="LC800" s="27" t="s">
        <v>8</v>
      </c>
      <c r="LD800" s="27" t="s">
        <v>7</v>
      </c>
      <c r="LE800" s="27" t="s">
        <v>8</v>
      </c>
      <c r="LF800" s="27" t="s">
        <v>7</v>
      </c>
      <c r="LG800" s="27" t="s">
        <v>8</v>
      </c>
    </row>
    <row r="801" spans="1:319" x14ac:dyDescent="0.25">
      <c r="A801" s="7">
        <v>1.4439868656306743E-2</v>
      </c>
      <c r="B801"/>
      <c r="C801"/>
      <c r="D801"/>
      <c r="E801"/>
      <c r="CB801" s="27" t="s">
        <v>7</v>
      </c>
      <c r="CD801" s="27" t="s">
        <v>7</v>
      </c>
      <c r="CM801" s="27" t="s">
        <v>8</v>
      </c>
      <c r="HI801" s="27" t="s">
        <v>8</v>
      </c>
      <c r="KI801" s="27" t="s">
        <v>8</v>
      </c>
      <c r="KJ801" s="27" t="s">
        <v>7</v>
      </c>
      <c r="KK801" s="27" t="s">
        <v>8</v>
      </c>
      <c r="KL801" s="27" t="s">
        <v>7</v>
      </c>
      <c r="LC801" s="27" t="s">
        <v>8</v>
      </c>
      <c r="LD801" s="27" t="s">
        <v>7</v>
      </c>
      <c r="LE801" s="27" t="s">
        <v>8</v>
      </c>
      <c r="LF801" s="27" t="s">
        <v>7</v>
      </c>
      <c r="LG801" s="27" t="s">
        <v>8</v>
      </c>
    </row>
    <row r="802" spans="1:319" x14ac:dyDescent="0.25">
      <c r="A802" s="7">
        <v>1.4156733976771318E-2</v>
      </c>
      <c r="B802"/>
      <c r="C802"/>
      <c r="D802"/>
      <c r="E802"/>
      <c r="CD802" s="27" t="s">
        <v>7</v>
      </c>
      <c r="CK802" s="27" t="s">
        <v>8</v>
      </c>
      <c r="CM802" s="27" t="s">
        <v>8</v>
      </c>
      <c r="CN802" s="27" t="s">
        <v>7</v>
      </c>
      <c r="CW802" s="27" t="s">
        <v>8</v>
      </c>
      <c r="HI802" s="27" t="s">
        <v>8</v>
      </c>
      <c r="HJ802" s="27" t="s">
        <v>7</v>
      </c>
      <c r="KI802" s="27" t="s">
        <v>8</v>
      </c>
      <c r="KJ802" s="27" t="s">
        <v>7</v>
      </c>
      <c r="KK802" s="27" t="s">
        <v>8</v>
      </c>
      <c r="KL802" s="27" t="s">
        <v>7</v>
      </c>
      <c r="LC802" s="27" t="s">
        <v>8</v>
      </c>
      <c r="LD802" s="27" t="s">
        <v>7</v>
      </c>
      <c r="LE802" s="27" t="s">
        <v>8</v>
      </c>
      <c r="LF802" s="27" t="s">
        <v>7</v>
      </c>
      <c r="LG802" s="27" t="s">
        <v>8</v>
      </c>
    </row>
    <row r="803" spans="1:319" x14ac:dyDescent="0.25">
      <c r="A803" s="7">
        <v>1.3879150957618939E-2</v>
      </c>
      <c r="B803"/>
      <c r="C803"/>
      <c r="D803"/>
      <c r="E803"/>
      <c r="CD803" s="27" t="s">
        <v>7</v>
      </c>
      <c r="CI803" s="27" t="s">
        <v>8</v>
      </c>
      <c r="CK803" s="27" t="s">
        <v>8</v>
      </c>
      <c r="CL803" s="27" t="s">
        <v>7</v>
      </c>
      <c r="CM803" s="27" t="s">
        <v>8</v>
      </c>
      <c r="CN803" s="27" t="s">
        <v>7</v>
      </c>
      <c r="CW803" s="27" t="s">
        <v>8</v>
      </c>
      <c r="CX803" s="27" t="s">
        <v>7</v>
      </c>
      <c r="HI803" s="27" t="s">
        <v>8</v>
      </c>
      <c r="HJ803" s="27" t="s">
        <v>7</v>
      </c>
      <c r="KI803" s="27" t="s">
        <v>8</v>
      </c>
      <c r="KJ803" s="27" t="s">
        <v>7</v>
      </c>
      <c r="KK803" s="27" t="s">
        <v>8</v>
      </c>
      <c r="KL803" s="27" t="s">
        <v>7</v>
      </c>
      <c r="LC803" s="27" t="s">
        <v>8</v>
      </c>
      <c r="LD803" s="27" t="s">
        <v>7</v>
      </c>
      <c r="LE803" s="27" t="s">
        <v>8</v>
      </c>
      <c r="LF803" s="27" t="s">
        <v>7</v>
      </c>
      <c r="LG803" s="27" t="s">
        <v>8</v>
      </c>
    </row>
    <row r="804" spans="1:319" x14ac:dyDescent="0.25">
      <c r="A804" s="7">
        <v>1.3607010742763666E-2</v>
      </c>
      <c r="B804"/>
      <c r="C804"/>
      <c r="D804"/>
      <c r="E804"/>
      <c r="CD804" s="27" t="s">
        <v>7</v>
      </c>
      <c r="CG804" s="27" t="s">
        <v>8</v>
      </c>
      <c r="CI804" s="27" t="s">
        <v>8</v>
      </c>
      <c r="CJ804" s="27" t="s">
        <v>7</v>
      </c>
      <c r="CK804" s="27" t="s">
        <v>8</v>
      </c>
      <c r="CL804" s="27" t="s">
        <v>7</v>
      </c>
      <c r="CM804" s="27" t="s">
        <v>8</v>
      </c>
      <c r="CN804" s="27" t="s">
        <v>7</v>
      </c>
      <c r="CO804" s="27" t="s">
        <v>8</v>
      </c>
      <c r="CW804" s="27" t="s">
        <v>8</v>
      </c>
      <c r="CX804" s="27" t="s">
        <v>7</v>
      </c>
      <c r="HI804" s="27" t="s">
        <v>8</v>
      </c>
      <c r="HJ804" s="27" t="s">
        <v>7</v>
      </c>
      <c r="HQ804" s="27" t="s">
        <v>8</v>
      </c>
      <c r="KI804" s="27" t="s">
        <v>8</v>
      </c>
      <c r="KJ804" s="27" t="s">
        <v>7</v>
      </c>
      <c r="KK804" s="27" t="s">
        <v>8</v>
      </c>
      <c r="KL804" s="27" t="s">
        <v>7</v>
      </c>
      <c r="LC804" s="27" t="s">
        <v>8</v>
      </c>
      <c r="LD804" s="27" t="s">
        <v>7</v>
      </c>
      <c r="LE804" s="27" t="s">
        <v>8</v>
      </c>
      <c r="LF804" s="27" t="s">
        <v>7</v>
      </c>
      <c r="LG804" s="27" t="s">
        <v>8</v>
      </c>
    </row>
    <row r="805" spans="1:319" x14ac:dyDescent="0.25">
      <c r="A805" s="7">
        <v>1.3340206610552614E-2</v>
      </c>
      <c r="B805"/>
      <c r="C805"/>
      <c r="D805"/>
      <c r="E805"/>
      <c r="CD805" s="27" t="s">
        <v>7</v>
      </c>
      <c r="CG805" s="27" t="s">
        <v>8</v>
      </c>
      <c r="CH805" s="27" t="s">
        <v>7</v>
      </c>
      <c r="CI805" s="27" t="s">
        <v>8</v>
      </c>
      <c r="CJ805" s="27" t="s">
        <v>7</v>
      </c>
      <c r="CK805" s="27" t="s">
        <v>8</v>
      </c>
      <c r="CL805" s="27" t="s">
        <v>7</v>
      </c>
      <c r="CM805" s="27" t="s">
        <v>8</v>
      </c>
      <c r="CN805" s="27" t="s">
        <v>7</v>
      </c>
      <c r="CO805" s="27" t="s">
        <v>8</v>
      </c>
      <c r="CP805" s="27" t="s">
        <v>7</v>
      </c>
      <c r="CW805" s="27" t="s">
        <v>8</v>
      </c>
      <c r="CX805" s="27" t="s">
        <v>7</v>
      </c>
      <c r="CY805" s="27" t="s">
        <v>8</v>
      </c>
      <c r="HI805" s="27" t="s">
        <v>8</v>
      </c>
      <c r="HJ805" s="27" t="s">
        <v>7</v>
      </c>
      <c r="HQ805" s="27" t="s">
        <v>8</v>
      </c>
      <c r="HR805" s="27" t="s">
        <v>7</v>
      </c>
      <c r="KI805" s="27" t="s">
        <v>8</v>
      </c>
      <c r="KJ805" s="27" t="s">
        <v>7</v>
      </c>
      <c r="KK805" s="27" t="s">
        <v>8</v>
      </c>
      <c r="KL805" s="27" t="s">
        <v>7</v>
      </c>
      <c r="LC805" s="27" t="s">
        <v>8</v>
      </c>
      <c r="LD805" s="27" t="s">
        <v>7</v>
      </c>
      <c r="LE805" s="27" t="s">
        <v>8</v>
      </c>
      <c r="LF805" s="27" t="s">
        <v>7</v>
      </c>
      <c r="LG805" s="27" t="s">
        <v>8</v>
      </c>
    </row>
    <row r="806" spans="1:319" x14ac:dyDescent="0.25">
      <c r="A806" s="7">
        <v>1.3078633931914328E-2</v>
      </c>
      <c r="B806"/>
      <c r="C806"/>
      <c r="D806"/>
      <c r="E806"/>
      <c r="CD806" s="27" t="s">
        <v>7</v>
      </c>
      <c r="CG806" s="27" t="s">
        <v>8</v>
      </c>
      <c r="CH806" s="27" t="s">
        <v>7</v>
      </c>
      <c r="CI806" s="27" t="s">
        <v>8</v>
      </c>
      <c r="CJ806" s="27" t="s">
        <v>7</v>
      </c>
      <c r="CK806" s="27" t="s">
        <v>8</v>
      </c>
      <c r="CL806" s="27" t="s">
        <v>7</v>
      </c>
      <c r="CN806" s="27" t="s">
        <v>7</v>
      </c>
      <c r="CO806" s="27" t="s">
        <v>8</v>
      </c>
      <c r="CP806" s="27" t="s">
        <v>7</v>
      </c>
      <c r="CU806" s="27" t="s">
        <v>8</v>
      </c>
      <c r="CW806" s="27" t="s">
        <v>8</v>
      </c>
      <c r="CX806" s="27" t="s">
        <v>7</v>
      </c>
      <c r="CY806" s="27" t="s">
        <v>8</v>
      </c>
      <c r="CZ806" s="27" t="s">
        <v>7</v>
      </c>
      <c r="HI806" s="27" t="s">
        <v>8</v>
      </c>
      <c r="HJ806" s="27" t="s">
        <v>7</v>
      </c>
      <c r="HQ806" s="27" t="s">
        <v>8</v>
      </c>
      <c r="HR806" s="27" t="s">
        <v>7</v>
      </c>
      <c r="KI806" s="27" t="s">
        <v>8</v>
      </c>
      <c r="KJ806" s="27" t="s">
        <v>7</v>
      </c>
      <c r="KK806" s="27" t="s">
        <v>8</v>
      </c>
      <c r="KL806" s="27" t="s">
        <v>7</v>
      </c>
      <c r="LC806" s="27" t="s">
        <v>8</v>
      </c>
      <c r="LD806" s="27" t="s">
        <v>7</v>
      </c>
      <c r="LE806" s="27" t="s">
        <v>8</v>
      </c>
      <c r="LF806" s="27" t="s">
        <v>7</v>
      </c>
      <c r="LG806" s="27" t="s">
        <v>8</v>
      </c>
    </row>
    <row r="807" spans="1:319" x14ac:dyDescent="0.25">
      <c r="A807" s="7">
        <v>1.2822190129327771E-2</v>
      </c>
      <c r="B807"/>
      <c r="C807"/>
      <c r="D807"/>
      <c r="E807"/>
      <c r="CD807" s="27" t="s">
        <v>7</v>
      </c>
      <c r="CE807" s="27" t="s">
        <v>8</v>
      </c>
      <c r="CG807" s="27" t="s">
        <v>8</v>
      </c>
      <c r="CH807" s="27" t="s">
        <v>7</v>
      </c>
      <c r="CI807" s="27" t="s">
        <v>8</v>
      </c>
      <c r="CJ807" s="27" t="s">
        <v>7</v>
      </c>
      <c r="CN807" s="27" t="s">
        <v>7</v>
      </c>
      <c r="CP807" s="27" t="s">
        <v>7</v>
      </c>
      <c r="CQ807" s="27" t="s">
        <v>8</v>
      </c>
      <c r="CS807" s="27" t="s">
        <v>8</v>
      </c>
      <c r="CU807" s="27" t="s">
        <v>8</v>
      </c>
      <c r="CV807" s="27" t="s">
        <v>7</v>
      </c>
      <c r="CW807" s="27" t="s">
        <v>8</v>
      </c>
      <c r="CX807" s="27" t="s">
        <v>7</v>
      </c>
      <c r="CY807" s="27" t="s">
        <v>8</v>
      </c>
      <c r="CZ807" s="27" t="s">
        <v>7</v>
      </c>
      <c r="HI807" s="27" t="s">
        <v>8</v>
      </c>
      <c r="HJ807" s="27" t="s">
        <v>7</v>
      </c>
      <c r="HQ807" s="27" t="s">
        <v>8</v>
      </c>
      <c r="HR807" s="27" t="s">
        <v>7</v>
      </c>
      <c r="KI807" s="27" t="s">
        <v>8</v>
      </c>
      <c r="KJ807" s="27" t="s">
        <v>7</v>
      </c>
      <c r="KK807" s="27" t="s">
        <v>8</v>
      </c>
      <c r="KL807" s="27" t="s">
        <v>7</v>
      </c>
      <c r="LC807" s="27" t="s">
        <v>8</v>
      </c>
      <c r="LD807" s="27" t="s">
        <v>7</v>
      </c>
      <c r="LE807" s="27" t="s">
        <v>8</v>
      </c>
      <c r="LF807" s="27" t="s">
        <v>7</v>
      </c>
    </row>
    <row r="808" spans="1:319" x14ac:dyDescent="0.25">
      <c r="A808" s="7">
        <v>1.2570774636595854E-2</v>
      </c>
      <c r="B808"/>
      <c r="C808"/>
      <c r="D808"/>
      <c r="E808"/>
      <c r="CD808" s="27" t="s">
        <v>7</v>
      </c>
      <c r="CE808" s="27" t="s">
        <v>8</v>
      </c>
      <c r="CF808" s="27" t="s">
        <v>7</v>
      </c>
      <c r="CG808" s="27" t="s">
        <v>8</v>
      </c>
      <c r="CH808" s="27" t="s">
        <v>7</v>
      </c>
      <c r="CI808" s="27" t="s">
        <v>8</v>
      </c>
      <c r="CP808" s="27" t="s">
        <v>7</v>
      </c>
      <c r="CQ808" s="27" t="s">
        <v>8</v>
      </c>
      <c r="CR808" s="27" t="s">
        <v>7</v>
      </c>
      <c r="CS808" s="27" t="s">
        <v>8</v>
      </c>
      <c r="CT808" s="27" t="s">
        <v>7</v>
      </c>
      <c r="CU808" s="27" t="s">
        <v>8</v>
      </c>
      <c r="CV808" s="27" t="s">
        <v>7</v>
      </c>
      <c r="CW808" s="27" t="s">
        <v>8</v>
      </c>
      <c r="CX808" s="27" t="s">
        <v>7</v>
      </c>
      <c r="CY808" s="27" t="s">
        <v>8</v>
      </c>
      <c r="CZ808" s="27" t="s">
        <v>7</v>
      </c>
      <c r="EK808" s="27" t="s">
        <v>8</v>
      </c>
      <c r="HI808" s="27" t="s">
        <v>8</v>
      </c>
      <c r="HJ808" s="27" t="s">
        <v>7</v>
      </c>
      <c r="HQ808" s="27" t="s">
        <v>8</v>
      </c>
      <c r="HR808" s="27" t="s">
        <v>7</v>
      </c>
      <c r="KI808" s="27" t="s">
        <v>8</v>
      </c>
      <c r="KJ808" s="27" t="s">
        <v>7</v>
      </c>
      <c r="KK808" s="27" t="s">
        <v>8</v>
      </c>
      <c r="KL808" s="27" t="s">
        <v>7</v>
      </c>
      <c r="LC808" s="27" t="s">
        <v>8</v>
      </c>
      <c r="LD808" s="27" t="s">
        <v>7</v>
      </c>
      <c r="LE808" s="27" t="s">
        <v>8</v>
      </c>
    </row>
    <row r="809" spans="1:319" x14ac:dyDescent="0.25">
      <c r="A809" s="7">
        <v>1.23242888594077E-2</v>
      </c>
      <c r="B809"/>
      <c r="C809"/>
      <c r="D809"/>
      <c r="E809"/>
      <c r="CD809" s="27" t="s">
        <v>7</v>
      </c>
      <c r="CE809" s="27" t="s">
        <v>8</v>
      </c>
      <c r="CF809" s="27" t="s">
        <v>7</v>
      </c>
      <c r="CG809" s="27" t="s">
        <v>8</v>
      </c>
      <c r="CH809" s="27" t="s">
        <v>7</v>
      </c>
      <c r="CI809" s="27" t="s">
        <v>8</v>
      </c>
      <c r="CP809" s="27" t="s">
        <v>7</v>
      </c>
      <c r="CQ809" s="27" t="s">
        <v>8</v>
      </c>
      <c r="CR809" s="27" t="s">
        <v>7</v>
      </c>
      <c r="CS809" s="27" t="s">
        <v>8</v>
      </c>
      <c r="CT809" s="27" t="s">
        <v>7</v>
      </c>
      <c r="CU809" s="27" t="s">
        <v>8</v>
      </c>
      <c r="CV809" s="27" t="s">
        <v>7</v>
      </c>
      <c r="CW809" s="27" t="s">
        <v>8</v>
      </c>
      <c r="CX809" s="27" t="s">
        <v>7</v>
      </c>
      <c r="CZ809" s="27" t="s">
        <v>7</v>
      </c>
      <c r="DA809" s="27" t="s">
        <v>8</v>
      </c>
      <c r="EK809" s="27" t="s">
        <v>8</v>
      </c>
      <c r="EL809" s="27" t="s">
        <v>7</v>
      </c>
      <c r="HI809" s="27" t="s">
        <v>8</v>
      </c>
      <c r="HJ809" s="27" t="s">
        <v>7</v>
      </c>
      <c r="HQ809" s="27" t="s">
        <v>8</v>
      </c>
      <c r="HR809" s="27" t="s">
        <v>7</v>
      </c>
      <c r="KI809" s="27" t="s">
        <v>8</v>
      </c>
      <c r="KJ809" s="27" t="s">
        <v>7</v>
      </c>
      <c r="KK809" s="27" t="s">
        <v>8</v>
      </c>
      <c r="KL809" s="27" t="s">
        <v>7</v>
      </c>
      <c r="LC809" s="27" t="s">
        <v>8</v>
      </c>
      <c r="LD809" s="27" t="s">
        <v>7</v>
      </c>
      <c r="LE809" s="27" t="s">
        <v>8</v>
      </c>
    </row>
    <row r="810" spans="1:319" x14ac:dyDescent="0.25">
      <c r="A810" s="7">
        <v>1.2082636136674216E-2</v>
      </c>
      <c r="B810"/>
      <c r="C810"/>
      <c r="D810"/>
      <c r="E810"/>
      <c r="CD810" s="27" t="s">
        <v>7</v>
      </c>
      <c r="CE810" s="27" t="s">
        <v>8</v>
      </c>
      <c r="CF810" s="27" t="s">
        <v>7</v>
      </c>
      <c r="CG810" s="27" t="s">
        <v>8</v>
      </c>
      <c r="CH810" s="27" t="s">
        <v>7</v>
      </c>
      <c r="CI810" s="27" t="s">
        <v>8</v>
      </c>
      <c r="CP810" s="27" t="s">
        <v>7</v>
      </c>
      <c r="CQ810" s="27" t="s">
        <v>8</v>
      </c>
      <c r="CR810" s="27" t="s">
        <v>7</v>
      </c>
      <c r="CT810" s="27" t="s">
        <v>7</v>
      </c>
      <c r="CU810" s="27" t="s">
        <v>8</v>
      </c>
      <c r="CV810" s="27" t="s">
        <v>7</v>
      </c>
      <c r="CW810" s="27" t="s">
        <v>8</v>
      </c>
      <c r="CZ810" s="27" t="s">
        <v>7</v>
      </c>
      <c r="DA810" s="27" t="s">
        <v>8</v>
      </c>
      <c r="DB810" s="27" t="s">
        <v>7</v>
      </c>
      <c r="EK810" s="27" t="s">
        <v>8</v>
      </c>
      <c r="EL810" s="27" t="s">
        <v>7</v>
      </c>
      <c r="HI810" s="27" t="s">
        <v>8</v>
      </c>
      <c r="HJ810" s="27" t="s">
        <v>7</v>
      </c>
      <c r="HQ810" s="27" t="s">
        <v>8</v>
      </c>
      <c r="HR810" s="27" t="s">
        <v>7</v>
      </c>
      <c r="HU810" s="27" t="s">
        <v>8</v>
      </c>
      <c r="HW810" s="27" t="s">
        <v>8</v>
      </c>
      <c r="KI810" s="27" t="s">
        <v>8</v>
      </c>
      <c r="KJ810" s="27" t="s">
        <v>7</v>
      </c>
      <c r="KK810" s="27" t="s">
        <v>8</v>
      </c>
      <c r="KL810" s="27" t="s">
        <v>7</v>
      </c>
      <c r="LC810" s="27" t="s">
        <v>8</v>
      </c>
      <c r="LD810" s="27" t="s">
        <v>7</v>
      </c>
      <c r="LE810" s="27" t="s">
        <v>8</v>
      </c>
    </row>
    <row r="811" spans="1:319" x14ac:dyDescent="0.25">
      <c r="A811" s="7">
        <v>1.184572170262178E-2</v>
      </c>
      <c r="B811"/>
      <c r="C811"/>
      <c r="D811"/>
      <c r="E811"/>
      <c r="CD811" s="27" t="s">
        <v>7</v>
      </c>
      <c r="CE811" s="27" t="s">
        <v>8</v>
      </c>
      <c r="CF811" s="27" t="s">
        <v>7</v>
      </c>
      <c r="CG811" s="27" t="s">
        <v>8</v>
      </c>
      <c r="CH811" s="27" t="s">
        <v>7</v>
      </c>
      <c r="CP811" s="27" t="s">
        <v>7</v>
      </c>
      <c r="CQ811" s="27" t="s">
        <v>8</v>
      </c>
      <c r="CT811" s="27" t="s">
        <v>7</v>
      </c>
      <c r="CU811" s="27" t="s">
        <v>8</v>
      </c>
      <c r="CV811" s="27" t="s">
        <v>7</v>
      </c>
      <c r="CW811" s="27" t="s">
        <v>8</v>
      </c>
      <c r="CZ811" s="27" t="s">
        <v>7</v>
      </c>
      <c r="DA811" s="27" t="s">
        <v>8</v>
      </c>
      <c r="DB811" s="27" t="s">
        <v>7</v>
      </c>
      <c r="EK811" s="27" t="s">
        <v>8</v>
      </c>
      <c r="EL811" s="27" t="s">
        <v>7</v>
      </c>
      <c r="HI811" s="27" t="s">
        <v>8</v>
      </c>
      <c r="HJ811" s="27" t="s">
        <v>7</v>
      </c>
      <c r="HK811" s="27" t="s">
        <v>8</v>
      </c>
      <c r="HQ811" s="27" t="s">
        <v>8</v>
      </c>
      <c r="HR811" s="27" t="s">
        <v>7</v>
      </c>
      <c r="HU811" s="27" t="s">
        <v>8</v>
      </c>
      <c r="HV811" s="27" t="s">
        <v>7</v>
      </c>
      <c r="HW811" s="27" t="s">
        <v>8</v>
      </c>
      <c r="HX811" s="27" t="s">
        <v>7</v>
      </c>
      <c r="KI811" s="27" t="s">
        <v>8</v>
      </c>
      <c r="KJ811" s="27" t="s">
        <v>7</v>
      </c>
      <c r="KK811" s="27" t="s">
        <v>8</v>
      </c>
      <c r="KL811" s="27" t="s">
        <v>7</v>
      </c>
      <c r="KM811" s="27" t="s">
        <v>8</v>
      </c>
      <c r="LC811" s="27" t="s">
        <v>8</v>
      </c>
      <c r="LD811" s="27" t="s">
        <v>7</v>
      </c>
      <c r="LE811" s="27" t="s">
        <v>8</v>
      </c>
    </row>
    <row r="812" spans="1:319" x14ac:dyDescent="0.25">
      <c r="A812" s="7">
        <v>1.1613452649629196E-2</v>
      </c>
      <c r="B812"/>
      <c r="C812"/>
      <c r="D812"/>
      <c r="E812"/>
      <c r="CD812" s="27" t="s">
        <v>7</v>
      </c>
      <c r="CE812" s="27" t="s">
        <v>8</v>
      </c>
      <c r="CF812" s="27" t="s">
        <v>7</v>
      </c>
      <c r="CG812" s="27" t="s">
        <v>8</v>
      </c>
      <c r="CP812" s="27" t="s">
        <v>7</v>
      </c>
      <c r="CT812" s="27" t="s">
        <v>7</v>
      </c>
      <c r="CU812" s="27" t="s">
        <v>8</v>
      </c>
      <c r="CV812" s="27" t="s">
        <v>7</v>
      </c>
      <c r="CW812" s="27" t="s">
        <v>8</v>
      </c>
      <c r="CZ812" s="27" t="s">
        <v>7</v>
      </c>
      <c r="DB812" s="27" t="s">
        <v>7</v>
      </c>
      <c r="EK812" s="27" t="s">
        <v>8</v>
      </c>
      <c r="EL812" s="27" t="s">
        <v>7</v>
      </c>
      <c r="HI812" s="27" t="s">
        <v>8</v>
      </c>
      <c r="HJ812" s="27" t="s">
        <v>7</v>
      </c>
      <c r="HK812" s="27" t="s">
        <v>8</v>
      </c>
      <c r="HL812" s="27" t="s">
        <v>7</v>
      </c>
      <c r="HQ812" s="27" t="s">
        <v>8</v>
      </c>
      <c r="HR812" s="27" t="s">
        <v>7</v>
      </c>
      <c r="HS812" s="27" t="s">
        <v>8</v>
      </c>
      <c r="HU812" s="27" t="s">
        <v>8</v>
      </c>
      <c r="HV812" s="27" t="s">
        <v>7</v>
      </c>
      <c r="HW812" s="27" t="s">
        <v>8</v>
      </c>
      <c r="HX812" s="27" t="s">
        <v>7</v>
      </c>
      <c r="KI812" s="27" t="s">
        <v>8</v>
      </c>
      <c r="KJ812" s="27" t="s">
        <v>7</v>
      </c>
      <c r="KK812" s="27" t="s">
        <v>8</v>
      </c>
      <c r="KL812" s="27" t="s">
        <v>7</v>
      </c>
      <c r="KM812" s="27" t="s">
        <v>8</v>
      </c>
      <c r="KN812" s="27" t="s">
        <v>7</v>
      </c>
      <c r="KY812" s="27" t="s">
        <v>8</v>
      </c>
      <c r="LC812" s="27" t="s">
        <v>8</v>
      </c>
      <c r="LD812" s="27" t="s">
        <v>7</v>
      </c>
    </row>
    <row r="813" spans="1:319" x14ac:dyDescent="0.25">
      <c r="A813" s="7">
        <v>1.138573789179333E-2</v>
      </c>
      <c r="B813"/>
      <c r="C813"/>
      <c r="D813"/>
      <c r="E813"/>
      <c r="CD813" s="27" t="s">
        <v>7</v>
      </c>
      <c r="CE813" s="27" t="s">
        <v>8</v>
      </c>
      <c r="CF813" s="27" t="s">
        <v>7</v>
      </c>
      <c r="CG813" s="27" t="s">
        <v>8</v>
      </c>
      <c r="CT813" s="27" t="s">
        <v>7</v>
      </c>
      <c r="CU813" s="27" t="s">
        <v>8</v>
      </c>
      <c r="CV813" s="27" t="s">
        <v>7</v>
      </c>
      <c r="CW813" s="27" t="s">
        <v>8</v>
      </c>
      <c r="DB813" s="27" t="s">
        <v>7</v>
      </c>
      <c r="EK813" s="27" t="s">
        <v>8</v>
      </c>
      <c r="EL813" s="27" t="s">
        <v>7</v>
      </c>
      <c r="HI813" s="27" t="s">
        <v>8</v>
      </c>
      <c r="HJ813" s="27" t="s">
        <v>7</v>
      </c>
      <c r="HK813" s="27" t="s">
        <v>8</v>
      </c>
      <c r="HL813" s="27" t="s">
        <v>7</v>
      </c>
      <c r="HQ813" s="27" t="s">
        <v>8</v>
      </c>
      <c r="HR813" s="27" t="s">
        <v>7</v>
      </c>
      <c r="HS813" s="27" t="s">
        <v>8</v>
      </c>
      <c r="HT813" s="27" t="s">
        <v>7</v>
      </c>
      <c r="HU813" s="27" t="s">
        <v>8</v>
      </c>
      <c r="HV813" s="27" t="s">
        <v>7</v>
      </c>
      <c r="HW813" s="27" t="s">
        <v>8</v>
      </c>
      <c r="HX813" s="27" t="s">
        <v>7</v>
      </c>
      <c r="IE813" s="27" t="s">
        <v>8</v>
      </c>
      <c r="KI813" s="27" t="s">
        <v>8</v>
      </c>
      <c r="KJ813" s="27" t="s">
        <v>7</v>
      </c>
      <c r="KK813" s="27" t="s">
        <v>8</v>
      </c>
      <c r="KL813" s="27" t="s">
        <v>7</v>
      </c>
      <c r="KM813" s="27" t="s">
        <v>8</v>
      </c>
      <c r="KN813" s="27" t="s">
        <v>7</v>
      </c>
      <c r="KY813" s="27" t="s">
        <v>8</v>
      </c>
      <c r="KZ813" s="27" t="s">
        <v>7</v>
      </c>
      <c r="LC813" s="27" t="s">
        <v>8</v>
      </c>
    </row>
    <row r="814" spans="1:319" x14ac:dyDescent="0.25">
      <c r="A814" s="7">
        <v>1.1162488129209149E-2</v>
      </c>
      <c r="B814"/>
      <c r="C814"/>
      <c r="D814"/>
      <c r="E814"/>
      <c r="CD814" s="27" t="s">
        <v>7</v>
      </c>
      <c r="CF814" s="27" t="s">
        <v>7</v>
      </c>
      <c r="CG814" s="27" t="s">
        <v>8</v>
      </c>
      <c r="CT814" s="27" t="s">
        <v>7</v>
      </c>
      <c r="CV814" s="27" t="s">
        <v>7</v>
      </c>
      <c r="CW814" s="27" t="s">
        <v>8</v>
      </c>
      <c r="DB814" s="27" t="s">
        <v>7</v>
      </c>
      <c r="EK814" s="27" t="s">
        <v>8</v>
      </c>
      <c r="EL814" s="27" t="s">
        <v>7</v>
      </c>
      <c r="HI814" s="27" t="s">
        <v>8</v>
      </c>
      <c r="HJ814" s="27" t="s">
        <v>7</v>
      </c>
      <c r="HK814" s="27" t="s">
        <v>8</v>
      </c>
      <c r="HL814" s="27" t="s">
        <v>7</v>
      </c>
      <c r="HO814" s="27" t="s">
        <v>8</v>
      </c>
      <c r="HQ814" s="27" t="s">
        <v>8</v>
      </c>
      <c r="HR814" s="27" t="s">
        <v>7</v>
      </c>
      <c r="HS814" s="27" t="s">
        <v>8</v>
      </c>
      <c r="HT814" s="27" t="s">
        <v>7</v>
      </c>
      <c r="HU814" s="27" t="s">
        <v>8</v>
      </c>
      <c r="HV814" s="27" t="s">
        <v>7</v>
      </c>
      <c r="HX814" s="27" t="s">
        <v>7</v>
      </c>
      <c r="IE814" s="27" t="s">
        <v>8</v>
      </c>
      <c r="IF814" s="27" t="s">
        <v>7</v>
      </c>
      <c r="KG814" s="27" t="s">
        <v>8</v>
      </c>
      <c r="KI814" s="27" t="s">
        <v>8</v>
      </c>
      <c r="KJ814" s="27" t="s">
        <v>7</v>
      </c>
      <c r="KK814" s="27" t="s">
        <v>8</v>
      </c>
      <c r="KL814" s="27" t="s">
        <v>7</v>
      </c>
      <c r="KM814" s="27" t="s">
        <v>8</v>
      </c>
      <c r="KN814" s="27" t="s">
        <v>7</v>
      </c>
      <c r="KY814" s="27" t="s">
        <v>8</v>
      </c>
      <c r="KZ814" s="27" t="s">
        <v>7</v>
      </c>
      <c r="LC814" s="27" t="s">
        <v>8</v>
      </c>
    </row>
    <row r="815" spans="1:319" x14ac:dyDescent="0.25">
      <c r="A815" s="7">
        <v>1.0943615812950145E-2</v>
      </c>
      <c r="B815"/>
      <c r="C815"/>
      <c r="D815"/>
      <c r="E815"/>
      <c r="CF815" s="27" t="s">
        <v>7</v>
      </c>
      <c r="CG815" s="27" t="s">
        <v>8</v>
      </c>
      <c r="CV815" s="27" t="s">
        <v>7</v>
      </c>
      <c r="CW815" s="27" t="s">
        <v>8</v>
      </c>
      <c r="DB815" s="27" t="s">
        <v>7</v>
      </c>
      <c r="EK815" s="27" t="s">
        <v>8</v>
      </c>
      <c r="EL815" s="27" t="s">
        <v>7</v>
      </c>
      <c r="HI815" s="27" t="s">
        <v>8</v>
      </c>
      <c r="HJ815" s="27" t="s">
        <v>7</v>
      </c>
      <c r="HK815" s="27" t="s">
        <v>8</v>
      </c>
      <c r="HL815" s="27" t="s">
        <v>7</v>
      </c>
      <c r="HO815" s="27" t="s">
        <v>8</v>
      </c>
      <c r="HP815" s="27" t="s">
        <v>7</v>
      </c>
      <c r="HQ815" s="27" t="s">
        <v>8</v>
      </c>
      <c r="HR815" s="27" t="s">
        <v>7</v>
      </c>
      <c r="HS815" s="27" t="s">
        <v>8</v>
      </c>
      <c r="HT815" s="27" t="s">
        <v>7</v>
      </c>
      <c r="HU815" s="27" t="s">
        <v>8</v>
      </c>
      <c r="HX815" s="27" t="s">
        <v>7</v>
      </c>
      <c r="HY815" s="27" t="s">
        <v>8</v>
      </c>
      <c r="IA815" s="27" t="s">
        <v>8</v>
      </c>
      <c r="IE815" s="27" t="s">
        <v>8</v>
      </c>
      <c r="IF815" s="27" t="s">
        <v>7</v>
      </c>
      <c r="KG815" s="27" t="s">
        <v>8</v>
      </c>
      <c r="KH815" s="27" t="s">
        <v>7</v>
      </c>
      <c r="KI815" s="27" t="s">
        <v>8</v>
      </c>
      <c r="KJ815" s="27" t="s">
        <v>7</v>
      </c>
      <c r="KK815" s="27" t="s">
        <v>8</v>
      </c>
      <c r="KL815" s="27" t="s">
        <v>7</v>
      </c>
      <c r="KM815" s="27" t="s">
        <v>8</v>
      </c>
      <c r="KN815" s="27" t="s">
        <v>7</v>
      </c>
      <c r="KO815" s="27" t="s">
        <v>8</v>
      </c>
      <c r="KW815" s="27" t="s">
        <v>8</v>
      </c>
      <c r="KY815" s="27" t="s">
        <v>8</v>
      </c>
      <c r="KZ815" s="27" t="s">
        <v>7</v>
      </c>
      <c r="LA815" s="27" t="s">
        <v>8</v>
      </c>
      <c r="LC815" s="27" t="s">
        <v>8</v>
      </c>
    </row>
    <row r="816" spans="1:319" x14ac:dyDescent="0.25">
      <c r="A816" s="7">
        <v>1.0729035110735436E-2</v>
      </c>
      <c r="B816"/>
      <c r="C816"/>
      <c r="D816"/>
      <c r="E816"/>
      <c r="CF816" s="27" t="s">
        <v>7</v>
      </c>
      <c r="CV816" s="27" t="s">
        <v>7</v>
      </c>
      <c r="CW816" s="27" t="s">
        <v>8</v>
      </c>
      <c r="DB816" s="27" t="s">
        <v>7</v>
      </c>
      <c r="DM816" s="27" t="s">
        <v>8</v>
      </c>
      <c r="EK816" s="27" t="s">
        <v>8</v>
      </c>
      <c r="EL816" s="27" t="s">
        <v>7</v>
      </c>
      <c r="EM816" s="27" t="s">
        <v>8</v>
      </c>
      <c r="HI816" s="27" t="s">
        <v>8</v>
      </c>
      <c r="HJ816" s="27" t="s">
        <v>7</v>
      </c>
      <c r="HL816" s="27" t="s">
        <v>7</v>
      </c>
      <c r="HO816" s="27" t="s">
        <v>8</v>
      </c>
      <c r="HP816" s="27" t="s">
        <v>7</v>
      </c>
      <c r="HQ816" s="27" t="s">
        <v>8</v>
      </c>
      <c r="HR816" s="27" t="s">
        <v>7</v>
      </c>
      <c r="HT816" s="27" t="s">
        <v>7</v>
      </c>
      <c r="HX816" s="27" t="s">
        <v>7</v>
      </c>
      <c r="HY816" s="27" t="s">
        <v>8</v>
      </c>
      <c r="HZ816" s="27" t="s">
        <v>7</v>
      </c>
      <c r="IA816" s="27" t="s">
        <v>8</v>
      </c>
      <c r="IB816" s="27" t="s">
        <v>7</v>
      </c>
      <c r="IE816" s="27" t="s">
        <v>8</v>
      </c>
      <c r="IF816" s="27" t="s">
        <v>7</v>
      </c>
      <c r="KC816" s="27" t="s">
        <v>8</v>
      </c>
      <c r="KG816" s="27" t="s">
        <v>8</v>
      </c>
      <c r="KH816" s="27" t="s">
        <v>7</v>
      </c>
      <c r="KI816" s="27" t="s">
        <v>8</v>
      </c>
      <c r="KJ816" s="27" t="s">
        <v>7</v>
      </c>
      <c r="KL816" s="27" t="s">
        <v>7</v>
      </c>
      <c r="KM816" s="27" t="s">
        <v>8</v>
      </c>
      <c r="KN816" s="27" t="s">
        <v>7</v>
      </c>
      <c r="KO816" s="27" t="s">
        <v>8</v>
      </c>
      <c r="KP816" s="27" t="s">
        <v>7</v>
      </c>
      <c r="KW816" s="27" t="s">
        <v>8</v>
      </c>
      <c r="KX816" s="27" t="s">
        <v>7</v>
      </c>
      <c r="KY816" s="27" t="s">
        <v>8</v>
      </c>
      <c r="KZ816" s="27" t="s">
        <v>7</v>
      </c>
      <c r="LA816" s="27" t="s">
        <v>8</v>
      </c>
      <c r="LB816" s="27" t="s">
        <v>7</v>
      </c>
      <c r="LC816" s="27" t="s">
        <v>8</v>
      </c>
    </row>
    <row r="817" spans="1:315" x14ac:dyDescent="0.25">
      <c r="A817" s="7">
        <v>1.0518661873270036E-2</v>
      </c>
      <c r="B817"/>
      <c r="C817"/>
      <c r="D817"/>
      <c r="E817"/>
      <c r="CV817" s="27" t="s">
        <v>7</v>
      </c>
      <c r="CW817" s="27" t="s">
        <v>8</v>
      </c>
      <c r="DB817" s="27" t="s">
        <v>7</v>
      </c>
      <c r="DM817" s="27" t="s">
        <v>8</v>
      </c>
      <c r="DN817" s="27" t="s">
        <v>7</v>
      </c>
      <c r="EK817" s="27" t="s">
        <v>8</v>
      </c>
      <c r="EL817" s="27" t="s">
        <v>7</v>
      </c>
      <c r="EM817" s="27" t="s">
        <v>8</v>
      </c>
      <c r="EN817" s="27" t="s">
        <v>7</v>
      </c>
      <c r="HI817" s="27" t="s">
        <v>8</v>
      </c>
      <c r="HL817" s="27" t="s">
        <v>7</v>
      </c>
      <c r="HO817" s="27" t="s">
        <v>8</v>
      </c>
      <c r="HP817" s="27" t="s">
        <v>7</v>
      </c>
      <c r="HQ817" s="27" t="s">
        <v>8</v>
      </c>
      <c r="HX817" s="27" t="s">
        <v>7</v>
      </c>
      <c r="HY817" s="27" t="s">
        <v>8</v>
      </c>
      <c r="HZ817" s="27" t="s">
        <v>7</v>
      </c>
      <c r="IA817" s="27" t="s">
        <v>8</v>
      </c>
      <c r="IB817" s="27" t="s">
        <v>7</v>
      </c>
      <c r="IE817" s="27" t="s">
        <v>8</v>
      </c>
      <c r="IF817" s="27" t="s">
        <v>7</v>
      </c>
      <c r="KC817" s="27" t="s">
        <v>8</v>
      </c>
      <c r="KD817" s="27" t="s">
        <v>7</v>
      </c>
      <c r="KG817" s="27" t="s">
        <v>8</v>
      </c>
      <c r="KH817" s="27" t="s">
        <v>7</v>
      </c>
      <c r="KI817" s="27" t="s">
        <v>8</v>
      </c>
      <c r="KL817" s="27" t="s">
        <v>7</v>
      </c>
      <c r="KM817" s="27" t="s">
        <v>8</v>
      </c>
      <c r="KN817" s="27" t="s">
        <v>7</v>
      </c>
      <c r="KO817" s="27" t="s">
        <v>8</v>
      </c>
      <c r="KP817" s="27" t="s">
        <v>7</v>
      </c>
      <c r="KW817" s="27" t="s">
        <v>8</v>
      </c>
      <c r="KX817" s="27" t="s">
        <v>7</v>
      </c>
      <c r="KY817" s="27" t="s">
        <v>8</v>
      </c>
      <c r="KZ817" s="27" t="s">
        <v>7</v>
      </c>
      <c r="LA817" s="27" t="s">
        <v>8</v>
      </c>
      <c r="LB817" s="27" t="s">
        <v>7</v>
      </c>
      <c r="LC817" s="27" t="s">
        <v>8</v>
      </c>
    </row>
    <row r="818" spans="1:315" x14ac:dyDescent="0.25">
      <c r="A818" s="7">
        <v>1.0312413601245135E-2</v>
      </c>
      <c r="B818"/>
      <c r="C818"/>
      <c r="D818"/>
      <c r="E818"/>
      <c r="CV818" s="27" t="s">
        <v>7</v>
      </c>
      <c r="DB818" s="27" t="s">
        <v>7</v>
      </c>
      <c r="DM818" s="27" t="s">
        <v>8</v>
      </c>
      <c r="DN818" s="27" t="s">
        <v>7</v>
      </c>
      <c r="EG818" s="27" t="s">
        <v>8</v>
      </c>
      <c r="EK818" s="27" t="s">
        <v>8</v>
      </c>
      <c r="EL818" s="27" t="s">
        <v>7</v>
      </c>
      <c r="EM818" s="27" t="s">
        <v>8</v>
      </c>
      <c r="EN818" s="27" t="s">
        <v>7</v>
      </c>
      <c r="HG818" s="27" t="s">
        <v>8</v>
      </c>
      <c r="HI818" s="27" t="s">
        <v>8</v>
      </c>
      <c r="HL818" s="27" t="s">
        <v>7</v>
      </c>
      <c r="HO818" s="27" t="s">
        <v>8</v>
      </c>
      <c r="HP818" s="27" t="s">
        <v>7</v>
      </c>
      <c r="HQ818" s="27" t="s">
        <v>8</v>
      </c>
      <c r="HX818" s="27" t="s">
        <v>7</v>
      </c>
      <c r="HY818" s="27" t="s">
        <v>8</v>
      </c>
      <c r="HZ818" s="27" t="s">
        <v>7</v>
      </c>
      <c r="IA818" s="27" t="s">
        <v>8</v>
      </c>
      <c r="IB818" s="27" t="s">
        <v>7</v>
      </c>
      <c r="IC818" s="27" t="s">
        <v>8</v>
      </c>
      <c r="IE818" s="27" t="s">
        <v>8</v>
      </c>
      <c r="IF818" s="27" t="s">
        <v>7</v>
      </c>
      <c r="KC818" s="27" t="s">
        <v>8</v>
      </c>
      <c r="KD818" s="27" t="s">
        <v>7</v>
      </c>
      <c r="KG818" s="27" t="s">
        <v>8</v>
      </c>
      <c r="KH818" s="27" t="s">
        <v>7</v>
      </c>
      <c r="KI818" s="27" t="s">
        <v>8</v>
      </c>
      <c r="KL818" s="27" t="s">
        <v>7</v>
      </c>
      <c r="KM818" s="27" t="s">
        <v>8</v>
      </c>
      <c r="KN818" s="27" t="s">
        <v>7</v>
      </c>
      <c r="KO818" s="27" t="s">
        <v>8</v>
      </c>
      <c r="KP818" s="27" t="s">
        <v>7</v>
      </c>
      <c r="KW818" s="27" t="s">
        <v>8</v>
      </c>
      <c r="KX818" s="27" t="s">
        <v>7</v>
      </c>
      <c r="KY818" s="27" t="s">
        <v>8</v>
      </c>
      <c r="KZ818" s="27" t="s">
        <v>7</v>
      </c>
      <c r="LA818" s="27" t="s">
        <v>8</v>
      </c>
      <c r="LB818" s="27" t="s">
        <v>7</v>
      </c>
      <c r="LC818" s="27" t="s">
        <v>8</v>
      </c>
    </row>
    <row r="819" spans="1:315" x14ac:dyDescent="0.25">
      <c r="A819" s="7">
        <v>1.0110209412985426E-2</v>
      </c>
      <c r="B819"/>
      <c r="C819"/>
      <c r="D819"/>
      <c r="E819"/>
      <c r="DB819" s="27" t="s">
        <v>7</v>
      </c>
      <c r="DE819" s="27" t="s">
        <v>8</v>
      </c>
      <c r="DI819" s="27" t="s">
        <v>8</v>
      </c>
      <c r="DK819" s="27" t="s">
        <v>8</v>
      </c>
      <c r="DM819" s="27" t="s">
        <v>8</v>
      </c>
      <c r="DN819" s="27" t="s">
        <v>7</v>
      </c>
      <c r="EG819" s="27" t="s">
        <v>8</v>
      </c>
      <c r="EH819" s="27" t="s">
        <v>7</v>
      </c>
      <c r="EK819" s="27" t="s">
        <v>8</v>
      </c>
      <c r="EL819" s="27" t="s">
        <v>7</v>
      </c>
      <c r="EM819" s="27" t="s">
        <v>8</v>
      </c>
      <c r="EN819" s="27" t="s">
        <v>7</v>
      </c>
      <c r="HG819" s="27" t="s">
        <v>8</v>
      </c>
      <c r="HH819" s="27" t="s">
        <v>7</v>
      </c>
      <c r="HI819" s="27" t="s">
        <v>8</v>
      </c>
      <c r="HL819" s="27" t="s">
        <v>7</v>
      </c>
      <c r="HO819" s="27" t="s">
        <v>8</v>
      </c>
      <c r="HP819" s="27" t="s">
        <v>7</v>
      </c>
      <c r="HQ819" s="27" t="s">
        <v>8</v>
      </c>
      <c r="HX819" s="27" t="s">
        <v>7</v>
      </c>
      <c r="HY819" s="27" t="s">
        <v>8</v>
      </c>
      <c r="HZ819" s="27" t="s">
        <v>7</v>
      </c>
      <c r="IA819" s="27" t="s">
        <v>8</v>
      </c>
      <c r="IB819" s="27" t="s">
        <v>7</v>
      </c>
      <c r="IC819" s="27" t="s">
        <v>8</v>
      </c>
      <c r="ID819" s="27" t="s">
        <v>7</v>
      </c>
      <c r="IE819" s="27" t="s">
        <v>8</v>
      </c>
      <c r="IF819" s="27" t="s">
        <v>7</v>
      </c>
      <c r="KC819" s="27" t="s">
        <v>8</v>
      </c>
      <c r="KD819" s="27" t="s">
        <v>7</v>
      </c>
      <c r="KG819" s="27" t="s">
        <v>8</v>
      </c>
      <c r="KH819" s="27" t="s">
        <v>7</v>
      </c>
      <c r="KI819" s="27" t="s">
        <v>8</v>
      </c>
      <c r="KL819" s="27" t="s">
        <v>7</v>
      </c>
      <c r="KM819" s="27" t="s">
        <v>8</v>
      </c>
      <c r="KN819" s="27" t="s">
        <v>7</v>
      </c>
      <c r="KO819" s="27" t="s">
        <v>8</v>
      </c>
      <c r="KP819" s="27" t="s">
        <v>7</v>
      </c>
      <c r="KW819" s="27" t="s">
        <v>8</v>
      </c>
      <c r="KX819" s="27" t="s">
        <v>7</v>
      </c>
      <c r="KY819" s="27" t="s">
        <v>8</v>
      </c>
      <c r="KZ819" s="27" t="s">
        <v>7</v>
      </c>
      <c r="LA819" s="27" t="s">
        <v>8</v>
      </c>
      <c r="LB819" s="27" t="s">
        <v>7</v>
      </c>
      <c r="LC819" s="27" t="s">
        <v>8</v>
      </c>
    </row>
    <row r="820" spans="1:315" x14ac:dyDescent="0.25">
      <c r="A820" s="7">
        <v>9.9119700127308103E-3</v>
      </c>
      <c r="B820"/>
      <c r="C820"/>
      <c r="D820"/>
      <c r="E820"/>
      <c r="DB820" s="27" t="s">
        <v>7</v>
      </c>
      <c r="DE820" s="27" t="s">
        <v>8</v>
      </c>
      <c r="DF820" s="27" t="s">
        <v>7</v>
      </c>
      <c r="DG820" s="27" t="s">
        <v>8</v>
      </c>
      <c r="DI820" s="27" t="s">
        <v>8</v>
      </c>
      <c r="DJ820" s="27" t="s">
        <v>7</v>
      </c>
      <c r="DK820" s="27" t="s">
        <v>8</v>
      </c>
      <c r="DL820" s="27" t="s">
        <v>7</v>
      </c>
      <c r="DM820" s="27" t="s">
        <v>8</v>
      </c>
      <c r="DN820" s="27" t="s">
        <v>7</v>
      </c>
      <c r="DO820" s="27" t="s">
        <v>8</v>
      </c>
      <c r="EG820" s="27" t="s">
        <v>8</v>
      </c>
      <c r="EH820" s="27" t="s">
        <v>7</v>
      </c>
      <c r="EI820" s="27" t="s">
        <v>8</v>
      </c>
      <c r="EK820" s="27" t="s">
        <v>8</v>
      </c>
      <c r="EL820" s="27" t="s">
        <v>7</v>
      </c>
      <c r="EM820" s="27" t="s">
        <v>8</v>
      </c>
      <c r="EN820" s="27" t="s">
        <v>7</v>
      </c>
      <c r="HG820" s="27" t="s">
        <v>8</v>
      </c>
      <c r="HH820" s="27" t="s">
        <v>7</v>
      </c>
      <c r="HI820" s="27" t="s">
        <v>8</v>
      </c>
      <c r="HL820" s="27" t="s">
        <v>7</v>
      </c>
      <c r="HO820" s="27" t="s">
        <v>8</v>
      </c>
      <c r="HP820" s="27" t="s">
        <v>7</v>
      </c>
      <c r="HX820" s="27" t="s">
        <v>7</v>
      </c>
      <c r="HZ820" s="27" t="s">
        <v>7</v>
      </c>
      <c r="IA820" s="27" t="s">
        <v>8</v>
      </c>
      <c r="IB820" s="27" t="s">
        <v>7</v>
      </c>
      <c r="IC820" s="27" t="s">
        <v>8</v>
      </c>
      <c r="ID820" s="27" t="s">
        <v>7</v>
      </c>
      <c r="IE820" s="27" t="s">
        <v>8</v>
      </c>
      <c r="IF820" s="27" t="s">
        <v>7</v>
      </c>
      <c r="KC820" s="27" t="s">
        <v>8</v>
      </c>
      <c r="KD820" s="27" t="s">
        <v>7</v>
      </c>
      <c r="KG820" s="27" t="s">
        <v>8</v>
      </c>
      <c r="KH820" s="27" t="s">
        <v>7</v>
      </c>
      <c r="KI820" s="27" t="s">
        <v>8</v>
      </c>
      <c r="KL820" s="27" t="s">
        <v>7</v>
      </c>
      <c r="KM820" s="27" t="s">
        <v>8</v>
      </c>
      <c r="KN820" s="27" t="s">
        <v>7</v>
      </c>
      <c r="KO820" s="27" t="s">
        <v>8</v>
      </c>
      <c r="KP820" s="27" t="s">
        <v>7</v>
      </c>
      <c r="KU820" s="27" t="s">
        <v>8</v>
      </c>
      <c r="KW820" s="27" t="s">
        <v>8</v>
      </c>
      <c r="KX820" s="27" t="s">
        <v>7</v>
      </c>
      <c r="KY820" s="27" t="s">
        <v>8</v>
      </c>
      <c r="KZ820" s="27" t="s">
        <v>7</v>
      </c>
      <c r="LA820" s="27" t="s">
        <v>8</v>
      </c>
      <c r="LB820" s="27" t="s">
        <v>7</v>
      </c>
      <c r="LC820" s="27" t="s">
        <v>8</v>
      </c>
    </row>
    <row r="821" spans="1:315" x14ac:dyDescent="0.25">
      <c r="A821" s="7">
        <v>9.717617659540009E-3</v>
      </c>
      <c r="B821"/>
      <c r="C821"/>
      <c r="D821"/>
      <c r="E821"/>
      <c r="DB821" s="27" t="s">
        <v>7</v>
      </c>
      <c r="DE821" s="27" t="s">
        <v>8</v>
      </c>
      <c r="DF821" s="27" t="s">
        <v>7</v>
      </c>
      <c r="DG821" s="27" t="s">
        <v>8</v>
      </c>
      <c r="DH821" s="27" t="s">
        <v>7</v>
      </c>
      <c r="DI821" s="27" t="s">
        <v>8</v>
      </c>
      <c r="DJ821" s="27" t="s">
        <v>7</v>
      </c>
      <c r="DK821" s="27" t="s">
        <v>8</v>
      </c>
      <c r="DL821" s="27" t="s">
        <v>7</v>
      </c>
      <c r="DM821" s="27" t="s">
        <v>8</v>
      </c>
      <c r="DN821" s="27" t="s">
        <v>7</v>
      </c>
      <c r="DO821" s="27" t="s">
        <v>8</v>
      </c>
      <c r="DP821" s="27" t="s">
        <v>7</v>
      </c>
      <c r="DQ821" s="27" t="s">
        <v>8</v>
      </c>
      <c r="EG821" s="27" t="s">
        <v>8</v>
      </c>
      <c r="EH821" s="27" t="s">
        <v>7</v>
      </c>
      <c r="EI821" s="27" t="s">
        <v>8</v>
      </c>
      <c r="EJ821" s="27" t="s">
        <v>7</v>
      </c>
      <c r="EK821" s="27" t="s">
        <v>8</v>
      </c>
      <c r="EL821" s="27" t="s">
        <v>7</v>
      </c>
      <c r="EM821" s="27" t="s">
        <v>8</v>
      </c>
      <c r="EN821" s="27" t="s">
        <v>7</v>
      </c>
      <c r="HG821" s="27" t="s">
        <v>8</v>
      </c>
      <c r="HH821" s="27" t="s">
        <v>7</v>
      </c>
      <c r="HI821" s="27" t="s">
        <v>8</v>
      </c>
      <c r="HL821" s="27" t="s">
        <v>7</v>
      </c>
      <c r="HM821" s="27" t="s">
        <v>8</v>
      </c>
      <c r="HO821" s="27" t="s">
        <v>8</v>
      </c>
      <c r="HZ821" s="27" t="s">
        <v>7</v>
      </c>
      <c r="IA821" s="27" t="s">
        <v>8</v>
      </c>
      <c r="IB821" s="27" t="s">
        <v>7</v>
      </c>
      <c r="IC821" s="27" t="s">
        <v>8</v>
      </c>
      <c r="ID821" s="27" t="s">
        <v>7</v>
      </c>
      <c r="IE821" s="27" t="s">
        <v>8</v>
      </c>
      <c r="IF821" s="27" t="s">
        <v>7</v>
      </c>
      <c r="KC821" s="27" t="s">
        <v>8</v>
      </c>
      <c r="KD821" s="27" t="s">
        <v>7</v>
      </c>
      <c r="KE821" s="27" t="s">
        <v>8</v>
      </c>
      <c r="KG821" s="27" t="s">
        <v>8</v>
      </c>
      <c r="KH821" s="27" t="s">
        <v>7</v>
      </c>
      <c r="KI821" s="27" t="s">
        <v>8</v>
      </c>
      <c r="KL821" s="27" t="s">
        <v>7</v>
      </c>
      <c r="KM821" s="27" t="s">
        <v>8</v>
      </c>
      <c r="KN821" s="27" t="s">
        <v>7</v>
      </c>
      <c r="KO821" s="27" t="s">
        <v>8</v>
      </c>
      <c r="KP821" s="27" t="s">
        <v>7</v>
      </c>
      <c r="KU821" s="27" t="s">
        <v>8</v>
      </c>
      <c r="KV821" s="27" t="s">
        <v>7</v>
      </c>
      <c r="KW821" s="27" t="s">
        <v>8</v>
      </c>
      <c r="KX821" s="27" t="s">
        <v>7</v>
      </c>
      <c r="KY821" s="27" t="s">
        <v>8</v>
      </c>
      <c r="KZ821" s="27" t="s">
        <v>7</v>
      </c>
      <c r="LA821" s="27" t="s">
        <v>8</v>
      </c>
      <c r="LB821" s="27" t="s">
        <v>7</v>
      </c>
      <c r="LC821" s="27" t="s">
        <v>8</v>
      </c>
    </row>
    <row r="822" spans="1:315" x14ac:dyDescent="0.25">
      <c r="A822" s="7">
        <v>9.5270761368039299E-3</v>
      </c>
      <c r="B822"/>
      <c r="C822"/>
      <c r="D822"/>
      <c r="E822"/>
      <c r="DB822" s="27" t="s">
        <v>7</v>
      </c>
      <c r="DC822" s="27" t="s">
        <v>8</v>
      </c>
      <c r="DE822" s="27" t="s">
        <v>8</v>
      </c>
      <c r="DF822" s="27" t="s">
        <v>7</v>
      </c>
      <c r="DG822" s="27" t="s">
        <v>8</v>
      </c>
      <c r="DH822" s="27" t="s">
        <v>7</v>
      </c>
      <c r="DI822" s="27" t="s">
        <v>8</v>
      </c>
      <c r="DJ822" s="27" t="s">
        <v>7</v>
      </c>
      <c r="DL822" s="27" t="s">
        <v>7</v>
      </c>
      <c r="DM822" s="27" t="s">
        <v>8</v>
      </c>
      <c r="DN822" s="27" t="s">
        <v>7</v>
      </c>
      <c r="DO822" s="27" t="s">
        <v>8</v>
      </c>
      <c r="DP822" s="27" t="s">
        <v>7</v>
      </c>
      <c r="DQ822" s="27" t="s">
        <v>8</v>
      </c>
      <c r="DR822" s="27" t="s">
        <v>7</v>
      </c>
      <c r="EG822" s="27" t="s">
        <v>8</v>
      </c>
      <c r="EH822" s="27" t="s">
        <v>7</v>
      </c>
      <c r="EI822" s="27" t="s">
        <v>8</v>
      </c>
      <c r="EJ822" s="27" t="s">
        <v>7</v>
      </c>
      <c r="EK822" s="27" t="s">
        <v>8</v>
      </c>
      <c r="EL822" s="27" t="s">
        <v>7</v>
      </c>
      <c r="EM822" s="27" t="s">
        <v>8</v>
      </c>
      <c r="EN822" s="27" t="s">
        <v>7</v>
      </c>
      <c r="HG822" s="27" t="s">
        <v>8</v>
      </c>
      <c r="HH822" s="27" t="s">
        <v>7</v>
      </c>
      <c r="HI822" s="27" t="s">
        <v>8</v>
      </c>
      <c r="HL822" s="27" t="s">
        <v>7</v>
      </c>
      <c r="HM822" s="27" t="s">
        <v>8</v>
      </c>
      <c r="HN822" s="27" t="s">
        <v>7</v>
      </c>
      <c r="HO822" s="27" t="s">
        <v>8</v>
      </c>
      <c r="HZ822" s="27" t="s">
        <v>7</v>
      </c>
      <c r="IA822" s="27" t="s">
        <v>8</v>
      </c>
      <c r="IB822" s="27" t="s">
        <v>7</v>
      </c>
      <c r="ID822" s="27" t="s">
        <v>7</v>
      </c>
      <c r="IF822" s="27" t="s">
        <v>7</v>
      </c>
      <c r="KC822" s="27" t="s">
        <v>8</v>
      </c>
      <c r="KD822" s="27" t="s">
        <v>7</v>
      </c>
      <c r="KE822" s="27" t="s">
        <v>8</v>
      </c>
      <c r="KF822" s="27" t="s">
        <v>7</v>
      </c>
      <c r="KG822" s="27" t="s">
        <v>8</v>
      </c>
      <c r="KH822" s="27" t="s">
        <v>7</v>
      </c>
      <c r="KI822" s="27" t="s">
        <v>8</v>
      </c>
      <c r="KL822" s="27" t="s">
        <v>7</v>
      </c>
      <c r="KM822" s="27" t="s">
        <v>8</v>
      </c>
      <c r="KN822" s="27" t="s">
        <v>7</v>
      </c>
      <c r="KO822" s="27" t="s">
        <v>8</v>
      </c>
      <c r="KP822" s="27" t="s">
        <v>7</v>
      </c>
      <c r="KU822" s="27" t="s">
        <v>8</v>
      </c>
      <c r="KV822" s="27" t="s">
        <v>7</v>
      </c>
      <c r="KW822" s="27" t="s">
        <v>8</v>
      </c>
      <c r="KX822" s="27" t="s">
        <v>7</v>
      </c>
      <c r="KY822" s="27" t="s">
        <v>8</v>
      </c>
      <c r="KZ822" s="27" t="s">
        <v>7</v>
      </c>
      <c r="LA822" s="27" t="s">
        <v>8</v>
      </c>
      <c r="LB822" s="27" t="s">
        <v>7</v>
      </c>
      <c r="LC822" s="27" t="s">
        <v>8</v>
      </c>
    </row>
    <row r="823" spans="1:315" x14ac:dyDescent="0.25">
      <c r="A823" s="7">
        <v>9.3402707223567936E-3</v>
      </c>
      <c r="B823"/>
      <c r="C823"/>
      <c r="D823"/>
      <c r="E823"/>
      <c r="DB823" s="27" t="s">
        <v>7</v>
      </c>
      <c r="DC823" s="27" t="s">
        <v>8</v>
      </c>
      <c r="DD823" s="27" t="s">
        <v>7</v>
      </c>
      <c r="DE823" s="27" t="s">
        <v>8</v>
      </c>
      <c r="DF823" s="27" t="s">
        <v>7</v>
      </c>
      <c r="DG823" s="27" t="s">
        <v>8</v>
      </c>
      <c r="DH823" s="27" t="s">
        <v>7</v>
      </c>
      <c r="DI823" s="27" t="s">
        <v>8</v>
      </c>
      <c r="DL823" s="27" t="s">
        <v>7</v>
      </c>
      <c r="DM823" s="27" t="s">
        <v>8</v>
      </c>
      <c r="DN823" s="27" t="s">
        <v>7</v>
      </c>
      <c r="DO823" s="27" t="s">
        <v>8</v>
      </c>
      <c r="DP823" s="27" t="s">
        <v>7</v>
      </c>
      <c r="DQ823" s="27" t="s">
        <v>8</v>
      </c>
      <c r="DR823" s="27" t="s">
        <v>7</v>
      </c>
      <c r="EG823" s="27" t="s">
        <v>8</v>
      </c>
      <c r="EH823" s="27" t="s">
        <v>7</v>
      </c>
      <c r="EJ823" s="27" t="s">
        <v>7</v>
      </c>
      <c r="EK823" s="27" t="s">
        <v>8</v>
      </c>
      <c r="EL823" s="27" t="s">
        <v>7</v>
      </c>
      <c r="EM823" s="27" t="s">
        <v>8</v>
      </c>
      <c r="EN823" s="27" t="s">
        <v>7</v>
      </c>
      <c r="EO823" s="27" t="s">
        <v>8</v>
      </c>
      <c r="HG823" s="27" t="s">
        <v>8</v>
      </c>
      <c r="HH823" s="27" t="s">
        <v>7</v>
      </c>
      <c r="HI823" s="27" t="s">
        <v>8</v>
      </c>
      <c r="HL823" s="27" t="s">
        <v>7</v>
      </c>
      <c r="HM823" s="27" t="s">
        <v>8</v>
      </c>
      <c r="HN823" s="27" t="s">
        <v>7</v>
      </c>
      <c r="HO823" s="27" t="s">
        <v>8</v>
      </c>
      <c r="HZ823" s="27" t="s">
        <v>7</v>
      </c>
      <c r="IF823" s="27" t="s">
        <v>7</v>
      </c>
      <c r="KC823" s="27" t="s">
        <v>8</v>
      </c>
      <c r="KD823" s="27" t="s">
        <v>7</v>
      </c>
      <c r="KE823" s="27" t="s">
        <v>8</v>
      </c>
      <c r="KF823" s="27" t="s">
        <v>7</v>
      </c>
      <c r="KG823" s="27" t="s">
        <v>8</v>
      </c>
      <c r="KH823" s="27" t="s">
        <v>7</v>
      </c>
      <c r="KI823" s="27" t="s">
        <v>8</v>
      </c>
      <c r="KL823" s="27" t="s">
        <v>7</v>
      </c>
      <c r="KM823" s="27" t="s">
        <v>8</v>
      </c>
      <c r="KN823" s="27" t="s">
        <v>7</v>
      </c>
      <c r="KO823" s="27" t="s">
        <v>8</v>
      </c>
      <c r="KP823" s="27" t="s">
        <v>7</v>
      </c>
      <c r="KU823" s="27" t="s">
        <v>8</v>
      </c>
      <c r="KV823" s="27" t="s">
        <v>7</v>
      </c>
      <c r="KX823" s="27" t="s">
        <v>7</v>
      </c>
      <c r="KY823" s="27" t="s">
        <v>8</v>
      </c>
      <c r="KZ823" s="27" t="s">
        <v>7</v>
      </c>
      <c r="LA823" s="27" t="s">
        <v>8</v>
      </c>
      <c r="LB823" s="27" t="s">
        <v>7</v>
      </c>
      <c r="LC823" s="27" t="s">
        <v>8</v>
      </c>
    </row>
    <row r="824" spans="1:315" x14ac:dyDescent="0.25">
      <c r="A824" s="7">
        <v>9.1571281591733261E-3</v>
      </c>
      <c r="B824"/>
      <c r="C824"/>
      <c r="D824"/>
      <c r="E824"/>
      <c r="DB824" s="27" t="s">
        <v>7</v>
      </c>
      <c r="DC824" s="27" t="s">
        <v>8</v>
      </c>
      <c r="DD824" s="27" t="s">
        <v>7</v>
      </c>
      <c r="DE824" s="27" t="s">
        <v>8</v>
      </c>
      <c r="DF824" s="27" t="s">
        <v>7</v>
      </c>
      <c r="DG824" s="27" t="s">
        <v>8</v>
      </c>
      <c r="DH824" s="27" t="s">
        <v>7</v>
      </c>
      <c r="DI824" s="27" t="s">
        <v>8</v>
      </c>
      <c r="DL824" s="27" t="s">
        <v>7</v>
      </c>
      <c r="DM824" s="27" t="s">
        <v>8</v>
      </c>
      <c r="DN824" s="27" t="s">
        <v>7</v>
      </c>
      <c r="DO824" s="27" t="s">
        <v>8</v>
      </c>
      <c r="DP824" s="27" t="s">
        <v>7</v>
      </c>
      <c r="DQ824" s="27" t="s">
        <v>8</v>
      </c>
      <c r="DR824" s="27" t="s">
        <v>7</v>
      </c>
      <c r="DS824" s="27" t="s">
        <v>8</v>
      </c>
      <c r="EG824" s="27" t="s">
        <v>8</v>
      </c>
      <c r="EJ824" s="27" t="s">
        <v>7</v>
      </c>
      <c r="EK824" s="27" t="s">
        <v>8</v>
      </c>
      <c r="EL824" s="27" t="s">
        <v>7</v>
      </c>
      <c r="EM824" s="27" t="s">
        <v>8</v>
      </c>
      <c r="EN824" s="27" t="s">
        <v>7</v>
      </c>
      <c r="EO824" s="27" t="s">
        <v>8</v>
      </c>
      <c r="EP824" s="27" t="s">
        <v>7</v>
      </c>
      <c r="HG824" s="27" t="s">
        <v>8</v>
      </c>
      <c r="HH824" s="27" t="s">
        <v>7</v>
      </c>
      <c r="HI824" s="27" t="s">
        <v>8</v>
      </c>
      <c r="HL824" s="27" t="s">
        <v>7</v>
      </c>
      <c r="HM824" s="27" t="s">
        <v>8</v>
      </c>
      <c r="HN824" s="27" t="s">
        <v>7</v>
      </c>
      <c r="HO824" s="27" t="s">
        <v>8</v>
      </c>
      <c r="IF824" s="27" t="s">
        <v>7</v>
      </c>
      <c r="KC824" s="27" t="s">
        <v>8</v>
      </c>
      <c r="KD824" s="27" t="s">
        <v>7</v>
      </c>
      <c r="KE824" s="27" t="s">
        <v>8</v>
      </c>
      <c r="KF824" s="27" t="s">
        <v>7</v>
      </c>
      <c r="KG824" s="27" t="s">
        <v>8</v>
      </c>
      <c r="KH824" s="27" t="s">
        <v>7</v>
      </c>
      <c r="KI824" s="27" t="s">
        <v>8</v>
      </c>
      <c r="KL824" s="27" t="s">
        <v>7</v>
      </c>
      <c r="KM824" s="27" t="s">
        <v>8</v>
      </c>
      <c r="KN824" s="27" t="s">
        <v>7</v>
      </c>
      <c r="KO824" s="27" t="s">
        <v>8</v>
      </c>
      <c r="KP824" s="27" t="s">
        <v>7</v>
      </c>
      <c r="KQ824" s="27" t="s">
        <v>8</v>
      </c>
      <c r="KS824" s="27" t="s">
        <v>8</v>
      </c>
      <c r="KU824" s="27" t="s">
        <v>8</v>
      </c>
      <c r="KX824" s="27" t="s">
        <v>7</v>
      </c>
      <c r="KY824" s="27" t="s">
        <v>8</v>
      </c>
      <c r="KZ824" s="27" t="s">
        <v>7</v>
      </c>
      <c r="LA824" s="27" t="s">
        <v>8</v>
      </c>
      <c r="LB824" s="27" t="s">
        <v>7</v>
      </c>
      <c r="LC824" s="27" t="s">
        <v>8</v>
      </c>
    </row>
    <row r="825" spans="1:315" x14ac:dyDescent="0.25">
      <c r="A825" s="7">
        <v>8.9775766266405148E-3</v>
      </c>
      <c r="B825"/>
      <c r="C825"/>
      <c r="D825"/>
      <c r="E825"/>
      <c r="DB825" s="27" t="s">
        <v>7</v>
      </c>
      <c r="DC825" s="27" t="s">
        <v>8</v>
      </c>
      <c r="DD825" s="27" t="s">
        <v>7</v>
      </c>
      <c r="DE825" s="27" t="s">
        <v>8</v>
      </c>
      <c r="DF825" s="27" t="s">
        <v>7</v>
      </c>
      <c r="DH825" s="27" t="s">
        <v>7</v>
      </c>
      <c r="DI825" s="27" t="s">
        <v>8</v>
      </c>
      <c r="DL825" s="27" t="s">
        <v>7</v>
      </c>
      <c r="DM825" s="27" t="s">
        <v>8</v>
      </c>
      <c r="DN825" s="27" t="s">
        <v>7</v>
      </c>
      <c r="DP825" s="27" t="s">
        <v>7</v>
      </c>
      <c r="DQ825" s="27" t="s">
        <v>8</v>
      </c>
      <c r="DR825" s="27" t="s">
        <v>7</v>
      </c>
      <c r="DS825" s="27" t="s">
        <v>8</v>
      </c>
      <c r="DT825" s="27" t="s">
        <v>7</v>
      </c>
      <c r="EE825" s="27" t="s">
        <v>8</v>
      </c>
      <c r="EG825" s="27" t="s">
        <v>8</v>
      </c>
      <c r="EJ825" s="27" t="s">
        <v>7</v>
      </c>
      <c r="EL825" s="27" t="s">
        <v>7</v>
      </c>
      <c r="EM825" s="27" t="s">
        <v>8</v>
      </c>
      <c r="EN825" s="27" t="s">
        <v>7</v>
      </c>
      <c r="EO825" s="27" t="s">
        <v>8</v>
      </c>
      <c r="EP825" s="27" t="s">
        <v>7</v>
      </c>
      <c r="HG825" s="27" t="s">
        <v>8</v>
      </c>
      <c r="HH825" s="27" t="s">
        <v>7</v>
      </c>
      <c r="HI825" s="27" t="s">
        <v>8</v>
      </c>
      <c r="HL825" s="27" t="s">
        <v>7</v>
      </c>
      <c r="HM825" s="27" t="s">
        <v>8</v>
      </c>
      <c r="HN825" s="27" t="s">
        <v>7</v>
      </c>
      <c r="HO825" s="27" t="s">
        <v>8</v>
      </c>
      <c r="IF825" s="27" t="s">
        <v>7</v>
      </c>
      <c r="II825" s="27" t="s">
        <v>8</v>
      </c>
      <c r="KC825" s="27" t="s">
        <v>8</v>
      </c>
      <c r="KD825" s="27" t="s">
        <v>7</v>
      </c>
      <c r="KE825" s="27" t="s">
        <v>8</v>
      </c>
      <c r="KF825" s="27" t="s">
        <v>7</v>
      </c>
      <c r="KG825" s="27" t="s">
        <v>8</v>
      </c>
      <c r="KH825" s="27" t="s">
        <v>7</v>
      </c>
      <c r="KI825" s="27" t="s">
        <v>8</v>
      </c>
      <c r="KL825" s="27" t="s">
        <v>7</v>
      </c>
      <c r="KM825" s="27" t="s">
        <v>8</v>
      </c>
      <c r="KN825" s="27" t="s">
        <v>7</v>
      </c>
      <c r="KP825" s="27" t="s">
        <v>7</v>
      </c>
      <c r="KQ825" s="27" t="s">
        <v>8</v>
      </c>
      <c r="KR825" s="27" t="s">
        <v>7</v>
      </c>
      <c r="KS825" s="27" t="s">
        <v>8</v>
      </c>
      <c r="KT825" s="27" t="s">
        <v>7</v>
      </c>
      <c r="KU825" s="27" t="s">
        <v>8</v>
      </c>
      <c r="KX825" s="27" t="s">
        <v>7</v>
      </c>
      <c r="KY825" s="27" t="s">
        <v>8</v>
      </c>
      <c r="KZ825" s="27" t="s">
        <v>7</v>
      </c>
      <c r="LA825" s="27" t="s">
        <v>8</v>
      </c>
      <c r="LB825" s="27" t="s">
        <v>7</v>
      </c>
      <c r="LC825" s="27" t="s">
        <v>8</v>
      </c>
    </row>
    <row r="826" spans="1:315" x14ac:dyDescent="0.25">
      <c r="A826" s="7">
        <v>8.8015457123926614E-3</v>
      </c>
      <c r="B826"/>
      <c r="C826"/>
      <c r="D826"/>
      <c r="E826"/>
      <c r="DB826" s="27" t="s">
        <v>7</v>
      </c>
      <c r="DC826" s="27" t="s">
        <v>8</v>
      </c>
      <c r="DD826" s="27" t="s">
        <v>7</v>
      </c>
      <c r="DE826" s="27" t="s">
        <v>8</v>
      </c>
      <c r="DH826" s="27" t="s">
        <v>7</v>
      </c>
      <c r="DI826" s="27" t="s">
        <v>8</v>
      </c>
      <c r="DL826" s="27" t="s">
        <v>7</v>
      </c>
      <c r="DM826" s="27" t="s">
        <v>8</v>
      </c>
      <c r="DP826" s="27" t="s">
        <v>7</v>
      </c>
      <c r="DQ826" s="27" t="s">
        <v>8</v>
      </c>
      <c r="DR826" s="27" t="s">
        <v>7</v>
      </c>
      <c r="DS826" s="27" t="s">
        <v>8</v>
      </c>
      <c r="DT826" s="27" t="s">
        <v>7</v>
      </c>
      <c r="EE826" s="27" t="s">
        <v>8</v>
      </c>
      <c r="EF826" s="27" t="s">
        <v>7</v>
      </c>
      <c r="EG826" s="27" t="s">
        <v>8</v>
      </c>
      <c r="EL826" s="27" t="s">
        <v>7</v>
      </c>
      <c r="EM826" s="27" t="s">
        <v>8</v>
      </c>
      <c r="EN826" s="27" t="s">
        <v>7</v>
      </c>
      <c r="EO826" s="27" t="s">
        <v>8</v>
      </c>
      <c r="EP826" s="27" t="s">
        <v>7</v>
      </c>
      <c r="HG826" s="27" t="s">
        <v>8</v>
      </c>
      <c r="HH826" s="27" t="s">
        <v>7</v>
      </c>
      <c r="HL826" s="27" t="s">
        <v>7</v>
      </c>
      <c r="HM826" s="27" t="s">
        <v>8</v>
      </c>
      <c r="HN826" s="27" t="s">
        <v>7</v>
      </c>
      <c r="HO826" s="27" t="s">
        <v>8</v>
      </c>
      <c r="IF826" s="27" t="s">
        <v>7</v>
      </c>
      <c r="II826" s="27" t="s">
        <v>8</v>
      </c>
      <c r="IJ826" s="27" t="s">
        <v>7</v>
      </c>
      <c r="KC826" s="27" t="s">
        <v>8</v>
      </c>
      <c r="KD826" s="27" t="s">
        <v>7</v>
      </c>
      <c r="KE826" s="27" t="s">
        <v>8</v>
      </c>
      <c r="KF826" s="27" t="s">
        <v>7</v>
      </c>
      <c r="KG826" s="27" t="s">
        <v>8</v>
      </c>
      <c r="KH826" s="27" t="s">
        <v>7</v>
      </c>
      <c r="KI826" s="27" t="s">
        <v>8</v>
      </c>
      <c r="KL826" s="27" t="s">
        <v>7</v>
      </c>
      <c r="KM826" s="27" t="s">
        <v>8</v>
      </c>
      <c r="KP826" s="27" t="s">
        <v>7</v>
      </c>
      <c r="KQ826" s="27" t="s">
        <v>8</v>
      </c>
      <c r="KR826" s="27" t="s">
        <v>7</v>
      </c>
      <c r="KS826" s="27" t="s">
        <v>8</v>
      </c>
      <c r="KT826" s="27" t="s">
        <v>7</v>
      </c>
      <c r="KU826" s="27" t="s">
        <v>8</v>
      </c>
      <c r="KX826" s="27" t="s">
        <v>7</v>
      </c>
      <c r="KZ826" s="27" t="s">
        <v>7</v>
      </c>
      <c r="LB826" s="27" t="s">
        <v>7</v>
      </c>
      <c r="LC826" s="27" t="s">
        <v>8</v>
      </c>
    </row>
    <row r="827" spans="1:315" x14ac:dyDescent="0.25">
      <c r="A827" s="7">
        <v>8.6289663846986879E-3</v>
      </c>
      <c r="B827"/>
      <c r="C827"/>
      <c r="D827"/>
      <c r="E827"/>
      <c r="DB827" s="27" t="s">
        <v>7</v>
      </c>
      <c r="DD827" s="27" t="s">
        <v>7</v>
      </c>
      <c r="DE827" s="27" t="s">
        <v>8</v>
      </c>
      <c r="DH827" s="27" t="s">
        <v>7</v>
      </c>
      <c r="DL827" s="27" t="s">
        <v>7</v>
      </c>
      <c r="DP827" s="27" t="s">
        <v>7</v>
      </c>
      <c r="DR827" s="27" t="s">
        <v>7</v>
      </c>
      <c r="DS827" s="27" t="s">
        <v>8</v>
      </c>
      <c r="DT827" s="27" t="s">
        <v>7</v>
      </c>
      <c r="EE827" s="27" t="s">
        <v>8</v>
      </c>
      <c r="EF827" s="27" t="s">
        <v>7</v>
      </c>
      <c r="EG827" s="27" t="s">
        <v>8</v>
      </c>
      <c r="EL827" s="27" t="s">
        <v>7</v>
      </c>
      <c r="EM827" s="27" t="s">
        <v>8</v>
      </c>
      <c r="EN827" s="27" t="s">
        <v>7</v>
      </c>
      <c r="EO827" s="27" t="s">
        <v>8</v>
      </c>
      <c r="EP827" s="27" t="s">
        <v>7</v>
      </c>
      <c r="EQ827" s="27" t="s">
        <v>8</v>
      </c>
      <c r="HG827" s="27" t="s">
        <v>8</v>
      </c>
      <c r="HL827" s="27" t="s">
        <v>7</v>
      </c>
      <c r="HM827" s="27" t="s">
        <v>8</v>
      </c>
      <c r="HN827" s="27" t="s">
        <v>7</v>
      </c>
      <c r="HO827" s="27" t="s">
        <v>8</v>
      </c>
      <c r="IF827" s="27" t="s">
        <v>7</v>
      </c>
      <c r="II827" s="27" t="s">
        <v>8</v>
      </c>
      <c r="IJ827" s="27" t="s">
        <v>7</v>
      </c>
      <c r="KC827" s="27" t="s">
        <v>8</v>
      </c>
      <c r="KD827" s="27" t="s">
        <v>7</v>
      </c>
      <c r="KE827" s="27" t="s">
        <v>8</v>
      </c>
      <c r="KF827" s="27" t="s">
        <v>7</v>
      </c>
      <c r="KG827" s="27" t="s">
        <v>8</v>
      </c>
      <c r="KH827" s="27" t="s">
        <v>7</v>
      </c>
      <c r="KI827" s="27" t="s">
        <v>8</v>
      </c>
      <c r="KL827" s="27" t="s">
        <v>7</v>
      </c>
      <c r="KM827" s="27" t="s">
        <v>8</v>
      </c>
      <c r="KP827" s="27" t="s">
        <v>7</v>
      </c>
      <c r="KQ827" s="27" t="s">
        <v>8</v>
      </c>
      <c r="KR827" s="27" t="s">
        <v>7</v>
      </c>
      <c r="KS827" s="27" t="s">
        <v>8</v>
      </c>
      <c r="KT827" s="27" t="s">
        <v>7</v>
      </c>
      <c r="KU827" s="27" t="s">
        <v>8</v>
      </c>
      <c r="LB827" s="27" t="s">
        <v>7</v>
      </c>
      <c r="LC827" s="27" t="s">
        <v>8</v>
      </c>
    </row>
    <row r="828" spans="1:315" x14ac:dyDescent="0.25">
      <c r="A828" s="7">
        <v>8.4597709653908715E-3</v>
      </c>
      <c r="B828"/>
      <c r="C828"/>
      <c r="D828"/>
      <c r="E828"/>
      <c r="DD828" s="27" t="s">
        <v>7</v>
      </c>
      <c r="DE828" s="27" t="s">
        <v>8</v>
      </c>
      <c r="DR828" s="27" t="s">
        <v>7</v>
      </c>
      <c r="DS828" s="27" t="s">
        <v>8</v>
      </c>
      <c r="DT828" s="27" t="s">
        <v>7</v>
      </c>
      <c r="EE828" s="27" t="s">
        <v>8</v>
      </c>
      <c r="EF828" s="27" t="s">
        <v>7</v>
      </c>
      <c r="EG828" s="27" t="s">
        <v>8</v>
      </c>
      <c r="EL828" s="27" t="s">
        <v>7</v>
      </c>
      <c r="EM828" s="27" t="s">
        <v>8</v>
      </c>
      <c r="EN828" s="27" t="s">
        <v>7</v>
      </c>
      <c r="EO828" s="27" t="s">
        <v>8</v>
      </c>
      <c r="EP828" s="27" t="s">
        <v>7</v>
      </c>
      <c r="EQ828" s="27" t="s">
        <v>8</v>
      </c>
      <c r="ER828" s="27" t="s">
        <v>7</v>
      </c>
      <c r="HG828" s="27" t="s">
        <v>8</v>
      </c>
      <c r="HL828" s="27" t="s">
        <v>7</v>
      </c>
      <c r="HM828" s="27" t="s">
        <v>8</v>
      </c>
      <c r="HN828" s="27" t="s">
        <v>7</v>
      </c>
      <c r="HO828" s="27" t="s">
        <v>8</v>
      </c>
      <c r="IF828" s="27" t="s">
        <v>7</v>
      </c>
      <c r="II828" s="27" t="s">
        <v>8</v>
      </c>
      <c r="IJ828" s="27" t="s">
        <v>7</v>
      </c>
      <c r="KC828" s="27" t="s">
        <v>8</v>
      </c>
      <c r="KD828" s="27" t="s">
        <v>7</v>
      </c>
      <c r="KE828" s="27" t="s">
        <v>8</v>
      </c>
      <c r="KF828" s="27" t="s">
        <v>7</v>
      </c>
      <c r="KG828" s="27" t="s">
        <v>8</v>
      </c>
      <c r="KH828" s="27" t="s">
        <v>7</v>
      </c>
      <c r="KI828" s="27" t="s">
        <v>8</v>
      </c>
      <c r="KL828" s="27" t="s">
        <v>7</v>
      </c>
      <c r="KP828" s="27" t="s">
        <v>7</v>
      </c>
      <c r="KQ828" s="27" t="s">
        <v>8</v>
      </c>
      <c r="KR828" s="27" t="s">
        <v>7</v>
      </c>
      <c r="KS828" s="27" t="s">
        <v>8</v>
      </c>
      <c r="KT828" s="27" t="s">
        <v>7</v>
      </c>
      <c r="KU828" s="27" t="s">
        <v>8</v>
      </c>
      <c r="LB828" s="27" t="s">
        <v>7</v>
      </c>
    </row>
    <row r="829" spans="1:315" x14ac:dyDescent="0.25">
      <c r="A829" s="7">
        <v>8.2938931033243839E-3</v>
      </c>
      <c r="B829"/>
      <c r="C829"/>
      <c r="D829"/>
      <c r="E829"/>
      <c r="DD829" s="27" t="s">
        <v>7</v>
      </c>
      <c r="DE829" s="27" t="s">
        <v>8</v>
      </c>
      <c r="DR829" s="27" t="s">
        <v>7</v>
      </c>
      <c r="DS829" s="27" t="s">
        <v>8</v>
      </c>
      <c r="DT829" s="27" t="s">
        <v>7</v>
      </c>
      <c r="EE829" s="27" t="s">
        <v>8</v>
      </c>
      <c r="EF829" s="27" t="s">
        <v>7</v>
      </c>
      <c r="EG829" s="27" t="s">
        <v>8</v>
      </c>
      <c r="EL829" s="27" t="s">
        <v>7</v>
      </c>
      <c r="EN829" s="27" t="s">
        <v>7</v>
      </c>
      <c r="EP829" s="27" t="s">
        <v>7</v>
      </c>
      <c r="EQ829" s="27" t="s">
        <v>8</v>
      </c>
      <c r="ER829" s="27" t="s">
        <v>7</v>
      </c>
      <c r="HG829" s="27" t="s">
        <v>8</v>
      </c>
      <c r="HL829" s="27" t="s">
        <v>7</v>
      </c>
      <c r="HM829" s="27" t="s">
        <v>8</v>
      </c>
      <c r="HN829" s="27" t="s">
        <v>7</v>
      </c>
      <c r="IF829" s="27" t="s">
        <v>7</v>
      </c>
      <c r="II829" s="27" t="s">
        <v>8</v>
      </c>
      <c r="IJ829" s="27" t="s">
        <v>7</v>
      </c>
      <c r="KC829" s="27" t="s">
        <v>8</v>
      </c>
      <c r="KD829" s="27" t="s">
        <v>7</v>
      </c>
      <c r="KE829" s="27" t="s">
        <v>8</v>
      </c>
      <c r="KF829" s="27" t="s">
        <v>7</v>
      </c>
      <c r="KG829" s="27" t="s">
        <v>8</v>
      </c>
      <c r="KH829" s="27" t="s">
        <v>7</v>
      </c>
      <c r="KI829" s="27" t="s">
        <v>8</v>
      </c>
      <c r="KP829" s="27" t="s">
        <v>7</v>
      </c>
      <c r="KQ829" s="27" t="s">
        <v>8</v>
      </c>
      <c r="KR829" s="27" t="s">
        <v>7</v>
      </c>
      <c r="KS829" s="27" t="s">
        <v>8</v>
      </c>
      <c r="KT829" s="27" t="s">
        <v>7</v>
      </c>
      <c r="KU829" s="27" t="s">
        <v>8</v>
      </c>
    </row>
    <row r="830" spans="1:315" x14ac:dyDescent="0.25">
      <c r="A830" s="7">
        <v>8.1312677483572383E-3</v>
      </c>
      <c r="B830"/>
      <c r="C830"/>
      <c r="D830"/>
      <c r="E830"/>
      <c r="DD830" s="27" t="s">
        <v>7</v>
      </c>
      <c r="DR830" s="27" t="s">
        <v>7</v>
      </c>
      <c r="DS830" s="27" t="s">
        <v>8</v>
      </c>
      <c r="DT830" s="27" t="s">
        <v>7</v>
      </c>
      <c r="EC830" s="27" t="s">
        <v>8</v>
      </c>
      <c r="EE830" s="27" t="s">
        <v>8</v>
      </c>
      <c r="EF830" s="27" t="s">
        <v>7</v>
      </c>
      <c r="EG830" s="27" t="s">
        <v>8</v>
      </c>
      <c r="EP830" s="27" t="s">
        <v>7</v>
      </c>
      <c r="EQ830" s="27" t="s">
        <v>8</v>
      </c>
      <c r="ER830" s="27" t="s">
        <v>7</v>
      </c>
      <c r="HG830" s="27" t="s">
        <v>8</v>
      </c>
      <c r="HL830" s="27" t="s">
        <v>7</v>
      </c>
      <c r="IF830" s="27" t="s">
        <v>7</v>
      </c>
      <c r="II830" s="27" t="s">
        <v>8</v>
      </c>
      <c r="IJ830" s="27" t="s">
        <v>7</v>
      </c>
      <c r="KC830" s="27" t="s">
        <v>8</v>
      </c>
      <c r="KD830" s="27" t="s">
        <v>7</v>
      </c>
      <c r="KE830" s="27" t="s">
        <v>8</v>
      </c>
      <c r="KF830" s="27" t="s">
        <v>7</v>
      </c>
      <c r="KG830" s="27" t="s">
        <v>8</v>
      </c>
      <c r="KH830" s="27" t="s">
        <v>7</v>
      </c>
      <c r="KI830" s="27" t="s">
        <v>8</v>
      </c>
      <c r="KP830" s="27" t="s">
        <v>7</v>
      </c>
      <c r="KQ830" s="27" t="s">
        <v>8</v>
      </c>
      <c r="KR830" s="27" t="s">
        <v>7</v>
      </c>
      <c r="KS830" s="27" t="s">
        <v>8</v>
      </c>
      <c r="KT830" s="27" t="s">
        <v>7</v>
      </c>
      <c r="KU830" s="27" t="s">
        <v>8</v>
      </c>
    </row>
    <row r="831" spans="1:315" x14ac:dyDescent="0.25">
      <c r="A831" s="7">
        <v>7.9718311258404305E-3</v>
      </c>
      <c r="B831"/>
      <c r="C831"/>
      <c r="D831"/>
      <c r="E831"/>
      <c r="DR831" s="27" t="s">
        <v>7</v>
      </c>
      <c r="DS831" s="27" t="s">
        <v>8</v>
      </c>
      <c r="DT831" s="27" t="s">
        <v>7</v>
      </c>
      <c r="EC831" s="27" t="s">
        <v>8</v>
      </c>
      <c r="ED831" s="27" t="s">
        <v>7</v>
      </c>
      <c r="EE831" s="27" t="s">
        <v>8</v>
      </c>
      <c r="EF831" s="27" t="s">
        <v>7</v>
      </c>
      <c r="EG831" s="27" t="s">
        <v>8</v>
      </c>
      <c r="EP831" s="27" t="s">
        <v>7</v>
      </c>
      <c r="ER831" s="27" t="s">
        <v>7</v>
      </c>
      <c r="HC831" s="27" t="s">
        <v>8</v>
      </c>
      <c r="HG831" s="27" t="s">
        <v>8</v>
      </c>
      <c r="IF831" s="27" t="s">
        <v>7</v>
      </c>
      <c r="II831" s="27" t="s">
        <v>8</v>
      </c>
      <c r="IJ831" s="27" t="s">
        <v>7</v>
      </c>
      <c r="KC831" s="27" t="s">
        <v>8</v>
      </c>
      <c r="KD831" s="27" t="s">
        <v>7</v>
      </c>
      <c r="KE831" s="27" t="s">
        <v>8</v>
      </c>
      <c r="KF831" s="27" t="s">
        <v>7</v>
      </c>
      <c r="KG831" s="27" t="s">
        <v>8</v>
      </c>
      <c r="KH831" s="27" t="s">
        <v>7</v>
      </c>
      <c r="KP831" s="27" t="s">
        <v>7</v>
      </c>
      <c r="KQ831" s="27" t="s">
        <v>8</v>
      </c>
      <c r="KR831" s="27" t="s">
        <v>7</v>
      </c>
      <c r="KS831" s="27" t="s">
        <v>8</v>
      </c>
      <c r="KT831" s="27" t="s">
        <v>7</v>
      </c>
    </row>
    <row r="832" spans="1:315" x14ac:dyDescent="0.25">
      <c r="A832" s="7">
        <v>7.8155207116082648E-3</v>
      </c>
      <c r="B832"/>
      <c r="C832"/>
      <c r="D832"/>
      <c r="E832"/>
      <c r="DR832" s="27" t="s">
        <v>7</v>
      </c>
      <c r="DS832" s="27" t="s">
        <v>8</v>
      </c>
      <c r="DT832" s="27" t="s">
        <v>7</v>
      </c>
      <c r="EC832" s="27" t="s">
        <v>8</v>
      </c>
      <c r="ED832" s="27" t="s">
        <v>7</v>
      </c>
      <c r="EE832" s="27" t="s">
        <v>8</v>
      </c>
      <c r="EF832" s="27" t="s">
        <v>7</v>
      </c>
      <c r="EG832" s="27" t="s">
        <v>8</v>
      </c>
      <c r="ER832" s="27" t="s">
        <v>7</v>
      </c>
      <c r="EW832" s="27" t="s">
        <v>8</v>
      </c>
      <c r="HC832" s="27" t="s">
        <v>8</v>
      </c>
      <c r="HD832" s="27" t="s">
        <v>7</v>
      </c>
      <c r="HG832" s="27" t="s">
        <v>8</v>
      </c>
      <c r="IF832" s="27" t="s">
        <v>7</v>
      </c>
      <c r="II832" s="27" t="s">
        <v>8</v>
      </c>
      <c r="IJ832" s="27" t="s">
        <v>7</v>
      </c>
      <c r="KC832" s="27" t="s">
        <v>8</v>
      </c>
      <c r="KD832" s="27" t="s">
        <v>7</v>
      </c>
      <c r="KE832" s="27" t="s">
        <v>8</v>
      </c>
      <c r="KF832" s="27" t="s">
        <v>7</v>
      </c>
      <c r="KG832" s="27" t="s">
        <v>8</v>
      </c>
      <c r="KP832" s="27" t="s">
        <v>7</v>
      </c>
      <c r="KQ832" s="27" t="s">
        <v>8</v>
      </c>
      <c r="KR832" s="27" t="s">
        <v>7</v>
      </c>
    </row>
    <row r="833" spans="1:302" x14ac:dyDescent="0.25">
      <c r="A833" s="7">
        <v>7.6622752074590825E-3</v>
      </c>
      <c r="B833"/>
      <c r="C833"/>
      <c r="D833"/>
      <c r="E833"/>
      <c r="DR833" s="27" t="s">
        <v>7</v>
      </c>
      <c r="DT833" s="27" t="s">
        <v>7</v>
      </c>
      <c r="DU833" s="27" t="s">
        <v>8</v>
      </c>
      <c r="EC833" s="27" t="s">
        <v>8</v>
      </c>
      <c r="ED833" s="27" t="s">
        <v>7</v>
      </c>
      <c r="EE833" s="27" t="s">
        <v>8</v>
      </c>
      <c r="EF833" s="27" t="s">
        <v>7</v>
      </c>
      <c r="EG833" s="27" t="s">
        <v>8</v>
      </c>
      <c r="ER833" s="27" t="s">
        <v>7</v>
      </c>
      <c r="EW833" s="27" t="s">
        <v>8</v>
      </c>
      <c r="EX833" s="27" t="s">
        <v>7</v>
      </c>
      <c r="HC833" s="27" t="s">
        <v>8</v>
      </c>
      <c r="HD833" s="27" t="s">
        <v>7</v>
      </c>
      <c r="HG833" s="27" t="s">
        <v>8</v>
      </c>
      <c r="IF833" s="27" t="s">
        <v>7</v>
      </c>
      <c r="IG833" s="27" t="s">
        <v>8</v>
      </c>
      <c r="II833" s="27" t="s">
        <v>8</v>
      </c>
      <c r="IJ833" s="27" t="s">
        <v>7</v>
      </c>
      <c r="IK833" s="27" t="s">
        <v>8</v>
      </c>
      <c r="KC833" s="27" t="s">
        <v>8</v>
      </c>
      <c r="KD833" s="27" t="s">
        <v>7</v>
      </c>
      <c r="KE833" s="27" t="s">
        <v>8</v>
      </c>
      <c r="KF833" s="27" t="s">
        <v>7</v>
      </c>
      <c r="KG833" s="27" t="s">
        <v>8</v>
      </c>
      <c r="KP833" s="27" t="s">
        <v>7</v>
      </c>
    </row>
    <row r="834" spans="1:302" x14ac:dyDescent="0.25">
      <c r="A834" s="7">
        <v>7.5120345171167469E-3</v>
      </c>
      <c r="B834"/>
      <c r="C834"/>
      <c r="D834"/>
      <c r="E834"/>
      <c r="DT834" s="27" t="s">
        <v>7</v>
      </c>
      <c r="DU834" s="27" t="s">
        <v>8</v>
      </c>
      <c r="DV834" s="27" t="s">
        <v>7</v>
      </c>
      <c r="EA834" s="27" t="s">
        <v>8</v>
      </c>
      <c r="EC834" s="27" t="s">
        <v>8</v>
      </c>
      <c r="ED834" s="27" t="s">
        <v>7</v>
      </c>
      <c r="EE834" s="27" t="s">
        <v>8</v>
      </c>
      <c r="EF834" s="27" t="s">
        <v>7</v>
      </c>
      <c r="EG834" s="27" t="s">
        <v>8</v>
      </c>
      <c r="ER834" s="27" t="s">
        <v>7</v>
      </c>
      <c r="EW834" s="27" t="s">
        <v>8</v>
      </c>
      <c r="EX834" s="27" t="s">
        <v>7</v>
      </c>
      <c r="HC834" s="27" t="s">
        <v>8</v>
      </c>
      <c r="HD834" s="27" t="s">
        <v>7</v>
      </c>
      <c r="HG834" s="27" t="s">
        <v>8</v>
      </c>
      <c r="IF834" s="27" t="s">
        <v>7</v>
      </c>
      <c r="IG834" s="27" t="s">
        <v>8</v>
      </c>
      <c r="IH834" s="27" t="s">
        <v>7</v>
      </c>
      <c r="II834" s="27" t="s">
        <v>8</v>
      </c>
      <c r="IJ834" s="27" t="s">
        <v>7</v>
      </c>
      <c r="IK834" s="27" t="s">
        <v>8</v>
      </c>
      <c r="IL834" s="27" t="s">
        <v>7</v>
      </c>
      <c r="IM834" s="27" t="s">
        <v>8</v>
      </c>
      <c r="KC834" s="27" t="s">
        <v>8</v>
      </c>
      <c r="KD834" s="27" t="s">
        <v>7</v>
      </c>
      <c r="KE834" s="27" t="s">
        <v>8</v>
      </c>
      <c r="KF834" s="27" t="s">
        <v>7</v>
      </c>
      <c r="KG834" s="27" t="s">
        <v>8</v>
      </c>
    </row>
    <row r="835" spans="1:302" x14ac:dyDescent="0.25">
      <c r="A835" s="7">
        <v>7.3647397226634772E-3</v>
      </c>
      <c r="B835"/>
      <c r="C835"/>
      <c r="D835"/>
      <c r="E835"/>
      <c r="DT835" s="27" t="s">
        <v>7</v>
      </c>
      <c r="DU835" s="27" t="s">
        <v>8</v>
      </c>
      <c r="DV835" s="27" t="s">
        <v>7</v>
      </c>
      <c r="DW835" s="27" t="s">
        <v>8</v>
      </c>
      <c r="EA835" s="27" t="s">
        <v>8</v>
      </c>
      <c r="EB835" s="27" t="s">
        <v>7</v>
      </c>
      <c r="EC835" s="27" t="s">
        <v>8</v>
      </c>
      <c r="ED835" s="27" t="s">
        <v>7</v>
      </c>
      <c r="EE835" s="27" t="s">
        <v>8</v>
      </c>
      <c r="EF835" s="27" t="s">
        <v>7</v>
      </c>
      <c r="ER835" s="27" t="s">
        <v>7</v>
      </c>
      <c r="EW835" s="27" t="s">
        <v>8</v>
      </c>
      <c r="EX835" s="27" t="s">
        <v>7</v>
      </c>
      <c r="HC835" s="27" t="s">
        <v>8</v>
      </c>
      <c r="HD835" s="27" t="s">
        <v>7</v>
      </c>
      <c r="HG835" s="27" t="s">
        <v>8</v>
      </c>
      <c r="IF835" s="27" t="s">
        <v>7</v>
      </c>
      <c r="IG835" s="27" t="s">
        <v>8</v>
      </c>
      <c r="IH835" s="27" t="s">
        <v>7</v>
      </c>
      <c r="II835" s="27" t="s">
        <v>8</v>
      </c>
      <c r="IJ835" s="27" t="s">
        <v>7</v>
      </c>
      <c r="IK835" s="27" t="s">
        <v>8</v>
      </c>
      <c r="IL835" s="27" t="s">
        <v>7</v>
      </c>
      <c r="IM835" s="27" t="s">
        <v>8</v>
      </c>
      <c r="IN835" s="27" t="s">
        <v>7</v>
      </c>
      <c r="KC835" s="27" t="s">
        <v>8</v>
      </c>
      <c r="KD835" s="27" t="s">
        <v>7</v>
      </c>
      <c r="KE835" s="27" t="s">
        <v>8</v>
      </c>
      <c r="KF835" s="27" t="s">
        <v>7</v>
      </c>
      <c r="KG835" s="27" t="s">
        <v>8</v>
      </c>
    </row>
    <row r="836" spans="1:302" x14ac:dyDescent="0.25">
      <c r="A836" s="7">
        <v>7.2203330614347815E-3</v>
      </c>
      <c r="B836"/>
      <c r="C836"/>
      <c r="D836"/>
      <c r="E836"/>
      <c r="DT836" s="27" t="s">
        <v>7</v>
      </c>
      <c r="DU836" s="27" t="s">
        <v>8</v>
      </c>
      <c r="DV836" s="27" t="s">
        <v>7</v>
      </c>
      <c r="DW836" s="27" t="s">
        <v>8</v>
      </c>
      <c r="DX836" s="27" t="s">
        <v>7</v>
      </c>
      <c r="EA836" s="27" t="s">
        <v>8</v>
      </c>
      <c r="EB836" s="27" t="s">
        <v>7</v>
      </c>
      <c r="EC836" s="27" t="s">
        <v>8</v>
      </c>
      <c r="ED836" s="27" t="s">
        <v>7</v>
      </c>
      <c r="EE836" s="27" t="s">
        <v>8</v>
      </c>
      <c r="ER836" s="27" t="s">
        <v>7</v>
      </c>
      <c r="EW836" s="27" t="s">
        <v>8</v>
      </c>
      <c r="EX836" s="27" t="s">
        <v>7</v>
      </c>
      <c r="GS836" s="27" t="s">
        <v>8</v>
      </c>
      <c r="HC836" s="27" t="s">
        <v>8</v>
      </c>
      <c r="HD836" s="27" t="s">
        <v>7</v>
      </c>
      <c r="HE836" s="27" t="s">
        <v>8</v>
      </c>
      <c r="HG836" s="27" t="s">
        <v>8</v>
      </c>
      <c r="IF836" s="27" t="s">
        <v>7</v>
      </c>
      <c r="IG836" s="27" t="s">
        <v>8</v>
      </c>
      <c r="IH836" s="27" t="s">
        <v>7</v>
      </c>
      <c r="II836" s="27" t="s">
        <v>8</v>
      </c>
      <c r="IJ836" s="27" t="s">
        <v>7</v>
      </c>
      <c r="IK836" s="27" t="s">
        <v>8</v>
      </c>
      <c r="IL836" s="27" t="s">
        <v>7</v>
      </c>
      <c r="IM836" s="27" t="s">
        <v>8</v>
      </c>
      <c r="IN836" s="27" t="s">
        <v>7</v>
      </c>
      <c r="KC836" s="27" t="s">
        <v>8</v>
      </c>
      <c r="KD836" s="27" t="s">
        <v>7</v>
      </c>
      <c r="KE836" s="27" t="s">
        <v>8</v>
      </c>
      <c r="KF836" s="27" t="s">
        <v>7</v>
      </c>
      <c r="KG836" s="27" t="s">
        <v>8</v>
      </c>
    </row>
    <row r="837" spans="1:302" x14ac:dyDescent="0.25">
      <c r="A837" s="7">
        <v>7.0787579033674327E-3</v>
      </c>
      <c r="B837"/>
      <c r="C837"/>
      <c r="D837"/>
      <c r="E837"/>
      <c r="DT837" s="27" t="s">
        <v>7</v>
      </c>
      <c r="DV837" s="27" t="s">
        <v>7</v>
      </c>
      <c r="DW837" s="27" t="s">
        <v>8</v>
      </c>
      <c r="DX837" s="27" t="s">
        <v>7</v>
      </c>
      <c r="EA837" s="27" t="s">
        <v>8</v>
      </c>
      <c r="EB837" s="27" t="s">
        <v>7</v>
      </c>
      <c r="EC837" s="27" t="s">
        <v>8</v>
      </c>
      <c r="ED837" s="27" t="s">
        <v>7</v>
      </c>
      <c r="ER837" s="27" t="s">
        <v>7</v>
      </c>
      <c r="EW837" s="27" t="s">
        <v>8</v>
      </c>
      <c r="EX837" s="27" t="s">
        <v>7</v>
      </c>
      <c r="GS837" s="27" t="s">
        <v>8</v>
      </c>
      <c r="GT837" s="27" t="s">
        <v>7</v>
      </c>
      <c r="HC837" s="27" t="s">
        <v>8</v>
      </c>
      <c r="HD837" s="27" t="s">
        <v>7</v>
      </c>
      <c r="HE837" s="27" t="s">
        <v>8</v>
      </c>
      <c r="HF837" s="27" t="s">
        <v>7</v>
      </c>
      <c r="HG837" s="27" t="s">
        <v>8</v>
      </c>
      <c r="IF837" s="27" t="s">
        <v>7</v>
      </c>
      <c r="IG837" s="27" t="s">
        <v>8</v>
      </c>
      <c r="IH837" s="27" t="s">
        <v>7</v>
      </c>
      <c r="II837" s="27" t="s">
        <v>8</v>
      </c>
      <c r="IJ837" s="27" t="s">
        <v>7</v>
      </c>
      <c r="IK837" s="27" t="s">
        <v>8</v>
      </c>
      <c r="IL837" s="27" t="s">
        <v>7</v>
      </c>
      <c r="IN837" s="27" t="s">
        <v>7</v>
      </c>
      <c r="IO837" s="27" t="s">
        <v>8</v>
      </c>
      <c r="KC837" s="27" t="s">
        <v>8</v>
      </c>
      <c r="KD837" s="27" t="s">
        <v>7</v>
      </c>
      <c r="KE837" s="27" t="s">
        <v>8</v>
      </c>
      <c r="KF837" s="27" t="s">
        <v>7</v>
      </c>
      <c r="KG837" s="27" t="s">
        <v>8</v>
      </c>
    </row>
    <row r="838" spans="1:302" x14ac:dyDescent="0.25">
      <c r="A838" s="7">
        <v>6.9399587287916013E-3</v>
      </c>
      <c r="B838"/>
      <c r="C838"/>
      <c r="D838"/>
      <c r="E838"/>
      <c r="DV838" s="27" t="s">
        <v>7</v>
      </c>
      <c r="DX838" s="27" t="s">
        <v>7</v>
      </c>
      <c r="DY838" s="27" t="s">
        <v>8</v>
      </c>
      <c r="EA838" s="27" t="s">
        <v>8</v>
      </c>
      <c r="EB838" s="27" t="s">
        <v>7</v>
      </c>
      <c r="EC838" s="27" t="s">
        <v>8</v>
      </c>
      <c r="ER838" s="27" t="s">
        <v>7</v>
      </c>
      <c r="ES838" s="27" t="s">
        <v>8</v>
      </c>
      <c r="EW838" s="27" t="s">
        <v>8</v>
      </c>
      <c r="EX838" s="27" t="s">
        <v>7</v>
      </c>
      <c r="GS838" s="27" t="s">
        <v>8</v>
      </c>
      <c r="GT838" s="27" t="s">
        <v>7</v>
      </c>
      <c r="HC838" s="27" t="s">
        <v>8</v>
      </c>
      <c r="HD838" s="27" t="s">
        <v>7</v>
      </c>
      <c r="HE838" s="27" t="s">
        <v>8</v>
      </c>
      <c r="HF838" s="27" t="s">
        <v>7</v>
      </c>
      <c r="HG838" s="27" t="s">
        <v>8</v>
      </c>
      <c r="IF838" s="27" t="s">
        <v>7</v>
      </c>
      <c r="IG838" s="27" t="s">
        <v>8</v>
      </c>
      <c r="IH838" s="27" t="s">
        <v>7</v>
      </c>
      <c r="II838" s="27" t="s">
        <v>8</v>
      </c>
      <c r="IJ838" s="27" t="s">
        <v>7</v>
      </c>
      <c r="IK838" s="27" t="s">
        <v>8</v>
      </c>
      <c r="IN838" s="27" t="s">
        <v>7</v>
      </c>
      <c r="IO838" s="27" t="s">
        <v>8</v>
      </c>
      <c r="IP838" s="27" t="s">
        <v>7</v>
      </c>
      <c r="JS838" s="27" t="s">
        <v>8</v>
      </c>
      <c r="KC838" s="27" t="s">
        <v>8</v>
      </c>
      <c r="KD838" s="27" t="s">
        <v>7</v>
      </c>
      <c r="KE838" s="27" t="s">
        <v>8</v>
      </c>
      <c r="KF838" s="27" t="s">
        <v>7</v>
      </c>
      <c r="KG838" s="27" t="s">
        <v>8</v>
      </c>
    </row>
    <row r="839" spans="1:302" x14ac:dyDescent="0.25">
      <c r="A839" s="7">
        <v>6.8038811066584333E-3</v>
      </c>
      <c r="B839"/>
      <c r="C839"/>
      <c r="D839"/>
      <c r="E839"/>
      <c r="DX839" s="27" t="s">
        <v>7</v>
      </c>
      <c r="DY839" s="27" t="s">
        <v>8</v>
      </c>
      <c r="DZ839" s="27" t="s">
        <v>7</v>
      </c>
      <c r="EA839" s="27" t="s">
        <v>8</v>
      </c>
      <c r="EB839" s="27" t="s">
        <v>7</v>
      </c>
      <c r="ER839" s="27" t="s">
        <v>7</v>
      </c>
      <c r="ES839" s="27" t="s">
        <v>8</v>
      </c>
      <c r="ET839" s="27" t="s">
        <v>7</v>
      </c>
      <c r="EW839" s="27" t="s">
        <v>8</v>
      </c>
      <c r="EX839" s="27" t="s">
        <v>7</v>
      </c>
      <c r="GS839" s="27" t="s">
        <v>8</v>
      </c>
      <c r="GT839" s="27" t="s">
        <v>7</v>
      </c>
      <c r="HC839" s="27" t="s">
        <v>8</v>
      </c>
      <c r="HD839" s="27" t="s">
        <v>7</v>
      </c>
      <c r="HE839" s="27" t="s">
        <v>8</v>
      </c>
      <c r="HF839" s="27" t="s">
        <v>7</v>
      </c>
      <c r="HG839" s="27" t="s">
        <v>8</v>
      </c>
      <c r="IF839" s="27" t="s">
        <v>7</v>
      </c>
      <c r="IG839" s="27" t="s">
        <v>8</v>
      </c>
      <c r="IH839" s="27" t="s">
        <v>7</v>
      </c>
      <c r="II839" s="27" t="s">
        <v>8</v>
      </c>
      <c r="IJ839" s="27" t="s">
        <v>7</v>
      </c>
      <c r="IN839" s="27" t="s">
        <v>7</v>
      </c>
      <c r="IO839" s="27" t="s">
        <v>8</v>
      </c>
      <c r="IP839" s="27" t="s">
        <v>7</v>
      </c>
      <c r="JS839" s="27" t="s">
        <v>8</v>
      </c>
      <c r="JT839" s="27" t="s">
        <v>7</v>
      </c>
      <c r="KC839" s="27" t="s">
        <v>8</v>
      </c>
      <c r="KD839" s="27" t="s">
        <v>7</v>
      </c>
      <c r="KE839" s="27" t="s">
        <v>8</v>
      </c>
      <c r="KF839" s="27" t="s">
        <v>7</v>
      </c>
      <c r="KG839" s="27" t="s">
        <v>8</v>
      </c>
    </row>
    <row r="840" spans="1:302" x14ac:dyDescent="0.25">
      <c r="A840" s="7">
        <v>6.6704716731945425E-3</v>
      </c>
      <c r="B840"/>
      <c r="C840"/>
      <c r="D840"/>
      <c r="E840"/>
      <c r="DX840" s="27" t="s">
        <v>7</v>
      </c>
      <c r="DY840" s="27" t="s">
        <v>8</v>
      </c>
      <c r="DZ840" s="27" t="s">
        <v>7</v>
      </c>
      <c r="EA840" s="27" t="s">
        <v>8</v>
      </c>
      <c r="ER840" s="27" t="s">
        <v>7</v>
      </c>
      <c r="ES840" s="27" t="s">
        <v>8</v>
      </c>
      <c r="ET840" s="27" t="s">
        <v>7</v>
      </c>
      <c r="EU840" s="27" t="s">
        <v>8</v>
      </c>
      <c r="EW840" s="27" t="s">
        <v>8</v>
      </c>
      <c r="EX840" s="27" t="s">
        <v>7</v>
      </c>
      <c r="GS840" s="27" t="s">
        <v>8</v>
      </c>
      <c r="GT840" s="27" t="s">
        <v>7</v>
      </c>
      <c r="GU840" s="27" t="s">
        <v>8</v>
      </c>
      <c r="HC840" s="27" t="s">
        <v>8</v>
      </c>
      <c r="HD840" s="27" t="s">
        <v>7</v>
      </c>
      <c r="HE840" s="27" t="s">
        <v>8</v>
      </c>
      <c r="HF840" s="27" t="s">
        <v>7</v>
      </c>
      <c r="HG840" s="27" t="s">
        <v>8</v>
      </c>
      <c r="IF840" s="27" t="s">
        <v>7</v>
      </c>
      <c r="IG840" s="27" t="s">
        <v>8</v>
      </c>
      <c r="IH840" s="27" t="s">
        <v>7</v>
      </c>
      <c r="II840" s="27" t="s">
        <v>8</v>
      </c>
      <c r="IN840" s="27" t="s">
        <v>7</v>
      </c>
      <c r="IP840" s="27" t="s">
        <v>7</v>
      </c>
      <c r="JS840" s="27" t="s">
        <v>8</v>
      </c>
      <c r="JT840" s="27" t="s">
        <v>7</v>
      </c>
      <c r="KC840" s="27" t="s">
        <v>8</v>
      </c>
      <c r="KD840" s="27" t="s">
        <v>7</v>
      </c>
      <c r="KE840" s="27" t="s">
        <v>8</v>
      </c>
      <c r="KF840" s="27" t="s">
        <v>7</v>
      </c>
      <c r="KG840" s="27" t="s">
        <v>8</v>
      </c>
    </row>
    <row r="841" spans="1:302" x14ac:dyDescent="0.25">
      <c r="A841" s="7">
        <v>6.5396781109750427E-3</v>
      </c>
      <c r="B841"/>
      <c r="C841"/>
      <c r="D841"/>
      <c r="E841"/>
      <c r="DX841" s="27" t="s">
        <v>7</v>
      </c>
      <c r="DZ841" s="27" t="s">
        <v>7</v>
      </c>
      <c r="ER841" s="27" t="s">
        <v>7</v>
      </c>
      <c r="ES841" s="27" t="s">
        <v>8</v>
      </c>
      <c r="ET841" s="27" t="s">
        <v>7</v>
      </c>
      <c r="EU841" s="27" t="s">
        <v>8</v>
      </c>
      <c r="EV841" s="27" t="s">
        <v>7</v>
      </c>
      <c r="EW841" s="27" t="s">
        <v>8</v>
      </c>
      <c r="EX841" s="27" t="s">
        <v>7</v>
      </c>
      <c r="EY841" s="27" t="s">
        <v>8</v>
      </c>
      <c r="GS841" s="27" t="s">
        <v>8</v>
      </c>
      <c r="GT841" s="27" t="s">
        <v>7</v>
      </c>
      <c r="GU841" s="27" t="s">
        <v>8</v>
      </c>
      <c r="GV841" s="27" t="s">
        <v>7</v>
      </c>
      <c r="HC841" s="27" t="s">
        <v>8</v>
      </c>
      <c r="HD841" s="27" t="s">
        <v>7</v>
      </c>
      <c r="HF841" s="27" t="s">
        <v>7</v>
      </c>
      <c r="HG841" s="27" t="s">
        <v>8</v>
      </c>
      <c r="IF841" s="27" t="s">
        <v>7</v>
      </c>
      <c r="IG841" s="27" t="s">
        <v>8</v>
      </c>
      <c r="IH841" s="27" t="s">
        <v>7</v>
      </c>
      <c r="II841" s="27" t="s">
        <v>8</v>
      </c>
      <c r="IP841" s="27" t="s">
        <v>7</v>
      </c>
      <c r="JS841" s="27" t="s">
        <v>8</v>
      </c>
      <c r="JT841" s="27" t="s">
        <v>7</v>
      </c>
      <c r="KC841" s="27" t="s">
        <v>8</v>
      </c>
      <c r="KD841" s="27" t="s">
        <v>7</v>
      </c>
      <c r="KE841" s="27" t="s">
        <v>8</v>
      </c>
      <c r="KF841" s="27" t="s">
        <v>7</v>
      </c>
    </row>
    <row r="842" spans="1:302" x14ac:dyDescent="0.25">
      <c r="A842" s="7">
        <v>6.4114491284069045E-3</v>
      </c>
      <c r="B842"/>
      <c r="C842"/>
      <c r="D842"/>
      <c r="E842"/>
      <c r="ER842" s="27" t="s">
        <v>7</v>
      </c>
      <c r="ES842" s="27" t="s">
        <v>8</v>
      </c>
      <c r="ET842" s="27" t="s">
        <v>7</v>
      </c>
      <c r="EU842" s="27" t="s">
        <v>8</v>
      </c>
      <c r="EV842" s="27" t="s">
        <v>7</v>
      </c>
      <c r="EW842" s="27" t="s">
        <v>8</v>
      </c>
      <c r="EX842" s="27" t="s">
        <v>7</v>
      </c>
      <c r="EY842" s="27" t="s">
        <v>8</v>
      </c>
      <c r="EZ842" s="27" t="s">
        <v>7</v>
      </c>
      <c r="GS842" s="27" t="s">
        <v>8</v>
      </c>
      <c r="GT842" s="27" t="s">
        <v>7</v>
      </c>
      <c r="GU842" s="27" t="s">
        <v>8</v>
      </c>
      <c r="GV842" s="27" t="s">
        <v>7</v>
      </c>
      <c r="HC842" s="27" t="s">
        <v>8</v>
      </c>
      <c r="HF842" s="27" t="s">
        <v>7</v>
      </c>
      <c r="HG842" s="27" t="s">
        <v>8</v>
      </c>
      <c r="IF842" s="27" t="s">
        <v>7</v>
      </c>
      <c r="IH842" s="27" t="s">
        <v>7</v>
      </c>
      <c r="IP842" s="27" t="s">
        <v>7</v>
      </c>
      <c r="IS842" s="27" t="s">
        <v>8</v>
      </c>
      <c r="JS842" s="27" t="s">
        <v>8</v>
      </c>
      <c r="JT842" s="27" t="s">
        <v>7</v>
      </c>
      <c r="KC842" s="27" t="s">
        <v>8</v>
      </c>
      <c r="KD842" s="27" t="s">
        <v>7</v>
      </c>
      <c r="KE842" s="27" t="s">
        <v>8</v>
      </c>
    </row>
    <row r="843" spans="1:302" x14ac:dyDescent="0.25">
      <c r="A843" s="7">
        <v>6.2857344396146115E-3</v>
      </c>
      <c r="B843"/>
      <c r="C843"/>
      <c r="D843"/>
      <c r="E843"/>
      <c r="ER843" s="27" t="s">
        <v>7</v>
      </c>
      <c r="ES843" s="27" t="s">
        <v>8</v>
      </c>
      <c r="ET843" s="27" t="s">
        <v>7</v>
      </c>
      <c r="EV843" s="27" t="s">
        <v>7</v>
      </c>
      <c r="EW843" s="27" t="s">
        <v>8</v>
      </c>
      <c r="EX843" s="27" t="s">
        <v>7</v>
      </c>
      <c r="EY843" s="27" t="s">
        <v>8</v>
      </c>
      <c r="EZ843" s="27" t="s">
        <v>7</v>
      </c>
      <c r="GS843" s="27" t="s">
        <v>8</v>
      </c>
      <c r="GT843" s="27" t="s">
        <v>7</v>
      </c>
      <c r="GU843" s="27" t="s">
        <v>8</v>
      </c>
      <c r="GV843" s="27" t="s">
        <v>7</v>
      </c>
      <c r="HC843" s="27" t="s">
        <v>8</v>
      </c>
      <c r="HF843" s="27" t="s">
        <v>7</v>
      </c>
      <c r="HG843" s="27" t="s">
        <v>8</v>
      </c>
      <c r="IP843" s="27" t="s">
        <v>7</v>
      </c>
      <c r="IS843" s="27" t="s">
        <v>8</v>
      </c>
      <c r="IT843" s="27" t="s">
        <v>7</v>
      </c>
      <c r="JS843" s="27" t="s">
        <v>8</v>
      </c>
      <c r="JT843" s="27" t="s">
        <v>7</v>
      </c>
      <c r="KC843" s="27" t="s">
        <v>8</v>
      </c>
      <c r="KD843" s="27" t="s">
        <v>7</v>
      </c>
      <c r="KE843" s="27" t="s">
        <v>8</v>
      </c>
    </row>
    <row r="844" spans="1:302" x14ac:dyDescent="0.25">
      <c r="A844" s="7">
        <v>6.1624847447202076E-3</v>
      </c>
      <c r="B844"/>
      <c r="C844"/>
      <c r="D844"/>
      <c r="E844"/>
      <c r="ER844" s="27" t="s">
        <v>7</v>
      </c>
      <c r="EV844" s="27" t="s">
        <v>7</v>
      </c>
      <c r="EX844" s="27" t="s">
        <v>7</v>
      </c>
      <c r="EY844" s="27" t="s">
        <v>8</v>
      </c>
      <c r="EZ844" s="27" t="s">
        <v>7</v>
      </c>
      <c r="GS844" s="27" t="s">
        <v>8</v>
      </c>
      <c r="GT844" s="27" t="s">
        <v>7</v>
      </c>
      <c r="GU844" s="27" t="s">
        <v>8</v>
      </c>
      <c r="GV844" s="27" t="s">
        <v>7</v>
      </c>
      <c r="GW844" s="27" t="s">
        <v>8</v>
      </c>
      <c r="HA844" s="27" t="s">
        <v>8</v>
      </c>
      <c r="HC844" s="27" t="s">
        <v>8</v>
      </c>
      <c r="HF844" s="27" t="s">
        <v>7</v>
      </c>
      <c r="IP844" s="27" t="s">
        <v>7</v>
      </c>
      <c r="IQ844" s="27" t="s">
        <v>8</v>
      </c>
      <c r="IS844" s="27" t="s">
        <v>8</v>
      </c>
      <c r="IT844" s="27" t="s">
        <v>7</v>
      </c>
      <c r="JS844" s="27" t="s">
        <v>8</v>
      </c>
      <c r="JT844" s="27" t="s">
        <v>7</v>
      </c>
      <c r="JU844" s="27" t="s">
        <v>8</v>
      </c>
      <c r="JW844" s="27" t="s">
        <v>8</v>
      </c>
      <c r="KC844" s="27" t="s">
        <v>8</v>
      </c>
      <c r="KD844" s="27" t="s">
        <v>7</v>
      </c>
      <c r="KE844" s="27" t="s">
        <v>8</v>
      </c>
    </row>
    <row r="845" spans="1:302" x14ac:dyDescent="0.25">
      <c r="A845" s="7">
        <v>6.0416517105100079E-3</v>
      </c>
      <c r="B845"/>
      <c r="C845"/>
      <c r="D845"/>
      <c r="E845"/>
      <c r="EX845" s="27" t="s">
        <v>7</v>
      </c>
      <c r="EY845" s="27" t="s">
        <v>8</v>
      </c>
      <c r="EZ845" s="27" t="s">
        <v>7</v>
      </c>
      <c r="GI845" s="27" t="s">
        <v>8</v>
      </c>
      <c r="GQ845" s="27" t="s">
        <v>8</v>
      </c>
      <c r="GS845" s="27" t="s">
        <v>8</v>
      </c>
      <c r="GT845" s="27" t="s">
        <v>7</v>
      </c>
      <c r="GU845" s="27" t="s">
        <v>8</v>
      </c>
      <c r="GV845" s="27" t="s">
        <v>7</v>
      </c>
      <c r="GW845" s="27" t="s">
        <v>8</v>
      </c>
      <c r="GX845" s="27" t="s">
        <v>7</v>
      </c>
      <c r="HA845" s="27" t="s">
        <v>8</v>
      </c>
      <c r="HB845" s="27" t="s">
        <v>7</v>
      </c>
      <c r="HC845" s="27" t="s">
        <v>8</v>
      </c>
      <c r="IP845" s="27" t="s">
        <v>7</v>
      </c>
      <c r="IQ845" s="27" t="s">
        <v>8</v>
      </c>
      <c r="IR845" s="27" t="s">
        <v>7</v>
      </c>
      <c r="IS845" s="27" t="s">
        <v>8</v>
      </c>
      <c r="IT845" s="27" t="s">
        <v>7</v>
      </c>
      <c r="JS845" s="27" t="s">
        <v>8</v>
      </c>
      <c r="JT845" s="27" t="s">
        <v>7</v>
      </c>
      <c r="JU845" s="27" t="s">
        <v>8</v>
      </c>
      <c r="JV845" s="27" t="s">
        <v>7</v>
      </c>
      <c r="JW845" s="27" t="s">
        <v>8</v>
      </c>
      <c r="JX845" s="27" t="s">
        <v>7</v>
      </c>
      <c r="KC845" s="27" t="s">
        <v>8</v>
      </c>
      <c r="KD845" s="27" t="s">
        <v>7</v>
      </c>
    </row>
    <row r="846" spans="1:302" x14ac:dyDescent="0.25">
      <c r="A846" s="7">
        <v>5.9231879514803996E-3</v>
      </c>
      <c r="B846"/>
      <c r="C846"/>
      <c r="D846"/>
      <c r="E846"/>
      <c r="EX846" s="27" t="s">
        <v>7</v>
      </c>
      <c r="EY846" s="27" t="s">
        <v>8</v>
      </c>
      <c r="EZ846" s="27" t="s">
        <v>7</v>
      </c>
      <c r="GI846" s="27" t="s">
        <v>8</v>
      </c>
      <c r="GJ846" s="27" t="s">
        <v>7</v>
      </c>
      <c r="GQ846" s="27" t="s">
        <v>8</v>
      </c>
      <c r="GR846" s="27" t="s">
        <v>7</v>
      </c>
      <c r="GS846" s="27" t="s">
        <v>8</v>
      </c>
      <c r="GT846" s="27" t="s">
        <v>7</v>
      </c>
      <c r="GV846" s="27" t="s">
        <v>7</v>
      </c>
      <c r="GW846" s="27" t="s">
        <v>8</v>
      </c>
      <c r="GX846" s="27" t="s">
        <v>7</v>
      </c>
      <c r="GY846" s="27" t="s">
        <v>8</v>
      </c>
      <c r="HA846" s="27" t="s">
        <v>8</v>
      </c>
      <c r="HB846" s="27" t="s">
        <v>7</v>
      </c>
      <c r="HC846" s="27" t="s">
        <v>8</v>
      </c>
      <c r="IP846" s="27" t="s">
        <v>7</v>
      </c>
      <c r="IQ846" s="27" t="s">
        <v>8</v>
      </c>
      <c r="IR846" s="27" t="s">
        <v>7</v>
      </c>
      <c r="IS846" s="27" t="s">
        <v>8</v>
      </c>
      <c r="IT846" s="27" t="s">
        <v>7</v>
      </c>
      <c r="IU846" s="27" t="s">
        <v>8</v>
      </c>
      <c r="JS846" s="27" t="s">
        <v>8</v>
      </c>
      <c r="JT846" s="27" t="s">
        <v>7</v>
      </c>
      <c r="JU846" s="27" t="s">
        <v>8</v>
      </c>
      <c r="JV846" s="27" t="s">
        <v>7</v>
      </c>
      <c r="JW846" s="27" t="s">
        <v>8</v>
      </c>
      <c r="JX846" s="27" t="s">
        <v>7</v>
      </c>
      <c r="KC846" s="27" t="s">
        <v>8</v>
      </c>
    </row>
    <row r="847" spans="1:302" x14ac:dyDescent="0.25">
      <c r="A847" s="7">
        <v>5.8070470112552936E-3</v>
      </c>
      <c r="B847"/>
      <c r="C847"/>
      <c r="D847"/>
      <c r="E847"/>
      <c r="EX847" s="27" t="s">
        <v>7</v>
      </c>
      <c r="EY847" s="27" t="s">
        <v>8</v>
      </c>
      <c r="EZ847" s="27" t="s">
        <v>7</v>
      </c>
      <c r="GI847" s="27" t="s">
        <v>8</v>
      </c>
      <c r="GJ847" s="27" t="s">
        <v>7</v>
      </c>
      <c r="GO847" s="27" t="s">
        <v>8</v>
      </c>
      <c r="GQ847" s="27" t="s">
        <v>8</v>
      </c>
      <c r="GR847" s="27" t="s">
        <v>7</v>
      </c>
      <c r="GS847" s="27" t="s">
        <v>8</v>
      </c>
      <c r="GV847" s="27" t="s">
        <v>7</v>
      </c>
      <c r="GW847" s="27" t="s">
        <v>8</v>
      </c>
      <c r="GX847" s="27" t="s">
        <v>7</v>
      </c>
      <c r="GY847" s="27" t="s">
        <v>8</v>
      </c>
      <c r="GZ847" s="27" t="s">
        <v>7</v>
      </c>
      <c r="HA847" s="27" t="s">
        <v>8</v>
      </c>
      <c r="HB847" s="27" t="s">
        <v>7</v>
      </c>
      <c r="HC847" s="27" t="s">
        <v>8</v>
      </c>
      <c r="IP847" s="27" t="s">
        <v>7</v>
      </c>
      <c r="IQ847" s="27" t="s">
        <v>8</v>
      </c>
      <c r="IR847" s="27" t="s">
        <v>7</v>
      </c>
      <c r="IS847" s="27" t="s">
        <v>8</v>
      </c>
      <c r="IT847" s="27" t="s">
        <v>7</v>
      </c>
      <c r="IU847" s="27" t="s">
        <v>8</v>
      </c>
      <c r="IV847" s="27" t="s">
        <v>7</v>
      </c>
      <c r="IY847" s="27" t="s">
        <v>8</v>
      </c>
      <c r="JQ847" s="27" t="s">
        <v>8</v>
      </c>
      <c r="JS847" s="27" t="s">
        <v>8</v>
      </c>
      <c r="JT847" s="27" t="s">
        <v>7</v>
      </c>
      <c r="JU847" s="27" t="s">
        <v>8</v>
      </c>
      <c r="JV847" s="27" t="s">
        <v>7</v>
      </c>
      <c r="JW847" s="27" t="s">
        <v>8</v>
      </c>
      <c r="JX847" s="27" t="s">
        <v>7</v>
      </c>
      <c r="KA847" s="27" t="s">
        <v>8</v>
      </c>
      <c r="KC847" s="27" t="s">
        <v>8</v>
      </c>
    </row>
    <row r="848" spans="1:302" x14ac:dyDescent="0.25">
      <c r="A848" s="7">
        <v>5.6931833443679353E-3</v>
      </c>
      <c r="B848"/>
      <c r="C848"/>
      <c r="D848"/>
      <c r="E848"/>
      <c r="EX848" s="27" t="s">
        <v>7</v>
      </c>
      <c r="EZ848" s="27" t="s">
        <v>7</v>
      </c>
      <c r="GI848" s="27" t="s">
        <v>8</v>
      </c>
      <c r="GJ848" s="27" t="s">
        <v>7</v>
      </c>
      <c r="GM848" s="27" t="s">
        <v>8</v>
      </c>
      <c r="GO848" s="27" t="s">
        <v>8</v>
      </c>
      <c r="GP848" s="27" t="s">
        <v>7</v>
      </c>
      <c r="GQ848" s="27" t="s">
        <v>8</v>
      </c>
      <c r="GR848" s="27" t="s">
        <v>7</v>
      </c>
      <c r="GS848" s="27" t="s">
        <v>8</v>
      </c>
      <c r="GV848" s="27" t="s">
        <v>7</v>
      </c>
      <c r="GW848" s="27" t="s">
        <v>8</v>
      </c>
      <c r="GX848" s="27" t="s">
        <v>7</v>
      </c>
      <c r="GY848" s="27" t="s">
        <v>8</v>
      </c>
      <c r="GZ848" s="27" t="s">
        <v>7</v>
      </c>
      <c r="HA848" s="27" t="s">
        <v>8</v>
      </c>
      <c r="HB848" s="27" t="s">
        <v>7</v>
      </c>
      <c r="IP848" s="27" t="s">
        <v>7</v>
      </c>
      <c r="IR848" s="27" t="s">
        <v>7</v>
      </c>
      <c r="IS848" s="27" t="s">
        <v>8</v>
      </c>
      <c r="IT848" s="27" t="s">
        <v>7</v>
      </c>
      <c r="IU848" s="27" t="s">
        <v>8</v>
      </c>
      <c r="IV848" s="27" t="s">
        <v>7</v>
      </c>
      <c r="IW848" s="27" t="s">
        <v>8</v>
      </c>
      <c r="IY848" s="27" t="s">
        <v>8</v>
      </c>
      <c r="IZ848" s="27" t="s">
        <v>7</v>
      </c>
      <c r="JA848" s="27" t="s">
        <v>8</v>
      </c>
      <c r="JC848" s="27" t="s">
        <v>8</v>
      </c>
      <c r="JK848" s="27" t="s">
        <v>8</v>
      </c>
      <c r="JQ848" s="27" t="s">
        <v>8</v>
      </c>
      <c r="JR848" s="27" t="s">
        <v>7</v>
      </c>
      <c r="JS848" s="27" t="s">
        <v>8</v>
      </c>
      <c r="JT848" s="27" t="s">
        <v>7</v>
      </c>
      <c r="JU848" s="27" t="s">
        <v>8</v>
      </c>
      <c r="JV848" s="27" t="s">
        <v>7</v>
      </c>
      <c r="JW848" s="27" t="s">
        <v>8</v>
      </c>
      <c r="JX848" s="27" t="s">
        <v>7</v>
      </c>
      <c r="KA848" s="27" t="s">
        <v>8</v>
      </c>
      <c r="KB848" s="27" t="s">
        <v>7</v>
      </c>
      <c r="KC848" s="27" t="s">
        <v>8</v>
      </c>
    </row>
    <row r="849" spans="1:289" x14ac:dyDescent="0.25">
      <c r="A849" s="7">
        <v>5.5815522983999367E-3</v>
      </c>
      <c r="B849"/>
      <c r="C849"/>
      <c r="D849"/>
      <c r="E849"/>
      <c r="EZ849" s="27" t="s">
        <v>7</v>
      </c>
      <c r="GI849" s="27" t="s">
        <v>8</v>
      </c>
      <c r="GJ849" s="27" t="s">
        <v>7</v>
      </c>
      <c r="GM849" s="27" t="s">
        <v>8</v>
      </c>
      <c r="GN849" s="27" t="s">
        <v>7</v>
      </c>
      <c r="GO849" s="27" t="s">
        <v>8</v>
      </c>
      <c r="GP849" s="27" t="s">
        <v>7</v>
      </c>
      <c r="GQ849" s="27" t="s">
        <v>8</v>
      </c>
      <c r="GR849" s="27" t="s">
        <v>7</v>
      </c>
      <c r="GS849" s="27" t="s">
        <v>8</v>
      </c>
      <c r="GV849" s="27" t="s">
        <v>7</v>
      </c>
      <c r="GW849" s="27" t="s">
        <v>8</v>
      </c>
      <c r="GX849" s="27" t="s">
        <v>7</v>
      </c>
      <c r="GY849" s="27" t="s">
        <v>8</v>
      </c>
      <c r="GZ849" s="27" t="s">
        <v>7</v>
      </c>
      <c r="HA849" s="27" t="s">
        <v>8</v>
      </c>
      <c r="IR849" s="27" t="s">
        <v>7</v>
      </c>
      <c r="IS849" s="27" t="s">
        <v>8</v>
      </c>
      <c r="IT849" s="27" t="s">
        <v>7</v>
      </c>
      <c r="IU849" s="27" t="s">
        <v>8</v>
      </c>
      <c r="IV849" s="27" t="s">
        <v>7</v>
      </c>
      <c r="IW849" s="27" t="s">
        <v>8</v>
      </c>
      <c r="IX849" s="27" t="s">
        <v>7</v>
      </c>
      <c r="IY849" s="27" t="s">
        <v>8</v>
      </c>
      <c r="IZ849" s="27" t="s">
        <v>7</v>
      </c>
      <c r="JA849" s="27" t="s">
        <v>8</v>
      </c>
      <c r="JB849" s="27" t="s">
        <v>7</v>
      </c>
      <c r="JC849" s="27" t="s">
        <v>8</v>
      </c>
      <c r="JD849" s="27" t="s">
        <v>7</v>
      </c>
      <c r="JK849" s="27" t="s">
        <v>8</v>
      </c>
      <c r="JL849" s="27" t="s">
        <v>7</v>
      </c>
      <c r="JQ849" s="27" t="s">
        <v>8</v>
      </c>
      <c r="JR849" s="27" t="s">
        <v>7</v>
      </c>
      <c r="JS849" s="27" t="s">
        <v>8</v>
      </c>
      <c r="JT849" s="27" t="s">
        <v>7</v>
      </c>
      <c r="JU849" s="27" t="s">
        <v>8</v>
      </c>
      <c r="JV849" s="27" t="s">
        <v>7</v>
      </c>
      <c r="JW849" s="27" t="s">
        <v>8</v>
      </c>
      <c r="JX849" s="27" t="s">
        <v>7</v>
      </c>
      <c r="KA849" s="27" t="s">
        <v>8</v>
      </c>
      <c r="KB849" s="27" t="s">
        <v>7</v>
      </c>
      <c r="KC849" s="27" t="s">
        <v>8</v>
      </c>
    </row>
    <row r="850" spans="1:289" x14ac:dyDescent="0.25">
      <c r="A850" s="7">
        <v>5.4721100964705257E-3</v>
      </c>
      <c r="B850"/>
      <c r="C850"/>
      <c r="D850"/>
      <c r="E850"/>
      <c r="EZ850" s="27" t="s">
        <v>7</v>
      </c>
      <c r="GI850" s="27" t="s">
        <v>8</v>
      </c>
      <c r="GJ850" s="27" t="s">
        <v>7</v>
      </c>
      <c r="GM850" s="27" t="s">
        <v>8</v>
      </c>
      <c r="GN850" s="27" t="s">
        <v>7</v>
      </c>
      <c r="GO850" s="27" t="s">
        <v>8</v>
      </c>
      <c r="GP850" s="27" t="s">
        <v>7</v>
      </c>
      <c r="GQ850" s="27" t="s">
        <v>8</v>
      </c>
      <c r="GR850" s="27" t="s">
        <v>7</v>
      </c>
      <c r="GS850" s="27" t="s">
        <v>8</v>
      </c>
      <c r="GV850" s="27" t="s">
        <v>7</v>
      </c>
      <c r="GX850" s="27" t="s">
        <v>7</v>
      </c>
      <c r="GY850" s="27" t="s">
        <v>8</v>
      </c>
      <c r="GZ850" s="27" t="s">
        <v>7</v>
      </c>
      <c r="IR850" s="27" t="s">
        <v>7</v>
      </c>
      <c r="IS850" s="27" t="s">
        <v>8</v>
      </c>
      <c r="IT850" s="27" t="s">
        <v>7</v>
      </c>
      <c r="IU850" s="27" t="s">
        <v>8</v>
      </c>
      <c r="IV850" s="27" t="s">
        <v>7</v>
      </c>
      <c r="IW850" s="27" t="s">
        <v>8</v>
      </c>
      <c r="IX850" s="27" t="s">
        <v>7</v>
      </c>
      <c r="IY850" s="27" t="s">
        <v>8</v>
      </c>
      <c r="IZ850" s="27" t="s">
        <v>7</v>
      </c>
      <c r="JA850" s="27" t="s">
        <v>8</v>
      </c>
      <c r="JB850" s="27" t="s">
        <v>7</v>
      </c>
      <c r="JC850" s="27" t="s">
        <v>8</v>
      </c>
      <c r="JD850" s="27" t="s">
        <v>7</v>
      </c>
      <c r="JE850" s="27" t="s">
        <v>8</v>
      </c>
      <c r="JG850" s="27" t="s">
        <v>8</v>
      </c>
      <c r="JK850" s="27" t="s">
        <v>8</v>
      </c>
      <c r="JL850" s="27" t="s">
        <v>7</v>
      </c>
      <c r="JQ850" s="27" t="s">
        <v>8</v>
      </c>
      <c r="JR850" s="27" t="s">
        <v>7</v>
      </c>
      <c r="JS850" s="27" t="s">
        <v>8</v>
      </c>
      <c r="JT850" s="27" t="s">
        <v>7</v>
      </c>
      <c r="JU850" s="27" t="s">
        <v>8</v>
      </c>
      <c r="JV850" s="27" t="s">
        <v>7</v>
      </c>
      <c r="JX850" s="27" t="s">
        <v>7</v>
      </c>
      <c r="KA850" s="27" t="s">
        <v>8</v>
      </c>
      <c r="KB850" s="27" t="s">
        <v>7</v>
      </c>
    </row>
    <row r="851" spans="1:289" x14ac:dyDescent="0.25">
      <c r="A851" s="7">
        <v>5.3648138200691423E-3</v>
      </c>
      <c r="B851"/>
      <c r="C851"/>
      <c r="D851"/>
      <c r="E851"/>
      <c r="EZ851" s="27" t="s">
        <v>7</v>
      </c>
      <c r="GI851" s="27" t="s">
        <v>8</v>
      </c>
      <c r="GJ851" s="27" t="s">
        <v>7</v>
      </c>
      <c r="GM851" s="27" t="s">
        <v>8</v>
      </c>
      <c r="GN851" s="27" t="s">
        <v>7</v>
      </c>
      <c r="GO851" s="27" t="s">
        <v>8</v>
      </c>
      <c r="GP851" s="27" t="s">
        <v>7</v>
      </c>
      <c r="GQ851" s="27" t="s">
        <v>8</v>
      </c>
      <c r="GR851" s="27" t="s">
        <v>7</v>
      </c>
      <c r="GS851" s="27" t="s">
        <v>8</v>
      </c>
      <c r="GX851" s="27" t="s">
        <v>7</v>
      </c>
      <c r="GY851" s="27" t="s">
        <v>8</v>
      </c>
      <c r="IR851" s="27" t="s">
        <v>7</v>
      </c>
      <c r="IS851" s="27" t="s">
        <v>8</v>
      </c>
      <c r="IT851" s="27" t="s">
        <v>7</v>
      </c>
      <c r="IU851" s="27" t="s">
        <v>8</v>
      </c>
      <c r="IV851" s="27" t="s">
        <v>7</v>
      </c>
      <c r="IW851" s="27" t="s">
        <v>8</v>
      </c>
      <c r="IX851" s="27" t="s">
        <v>7</v>
      </c>
      <c r="IY851" s="27" t="s">
        <v>8</v>
      </c>
      <c r="IZ851" s="27" t="s">
        <v>7</v>
      </c>
      <c r="JA851" s="27" t="s">
        <v>8</v>
      </c>
      <c r="JB851" s="27" t="s">
        <v>7</v>
      </c>
      <c r="JD851" s="27" t="s">
        <v>7</v>
      </c>
      <c r="JE851" s="27" t="s">
        <v>8</v>
      </c>
      <c r="JF851" s="27" t="s">
        <v>7</v>
      </c>
      <c r="JG851" s="27" t="s">
        <v>8</v>
      </c>
      <c r="JH851" s="27" t="s">
        <v>7</v>
      </c>
      <c r="JK851" s="27" t="s">
        <v>8</v>
      </c>
      <c r="JL851" s="27" t="s">
        <v>7</v>
      </c>
      <c r="JM851" s="27" t="s">
        <v>8</v>
      </c>
      <c r="JQ851" s="27" t="s">
        <v>8</v>
      </c>
      <c r="JR851" s="27" t="s">
        <v>7</v>
      </c>
      <c r="JT851" s="27" t="s">
        <v>7</v>
      </c>
      <c r="JU851" s="27" t="s">
        <v>8</v>
      </c>
      <c r="JX851" s="27" t="s">
        <v>7</v>
      </c>
      <c r="KA851" s="27" t="s">
        <v>8</v>
      </c>
    </row>
    <row r="852" spans="1:289" x14ac:dyDescent="0.25">
      <c r="A852" s="7">
        <v>5.2596213922246494E-3</v>
      </c>
      <c r="B852"/>
      <c r="C852"/>
      <c r="D852"/>
      <c r="E852"/>
      <c r="EZ852" s="27" t="s">
        <v>7</v>
      </c>
      <c r="GI852" s="27" t="s">
        <v>8</v>
      </c>
      <c r="GJ852" s="27" t="s">
        <v>7</v>
      </c>
      <c r="GM852" s="27" t="s">
        <v>8</v>
      </c>
      <c r="GN852" s="27" t="s">
        <v>7</v>
      </c>
      <c r="GO852" s="27" t="s">
        <v>8</v>
      </c>
      <c r="GP852" s="27" t="s">
        <v>7</v>
      </c>
      <c r="GQ852" s="27" t="s">
        <v>8</v>
      </c>
      <c r="GR852" s="27" t="s">
        <v>7</v>
      </c>
      <c r="GS852" s="27" t="s">
        <v>8</v>
      </c>
      <c r="GX852" s="27" t="s">
        <v>7</v>
      </c>
      <c r="GY852" s="27" t="s">
        <v>8</v>
      </c>
      <c r="IR852" s="27" t="s">
        <v>7</v>
      </c>
      <c r="IS852" s="27" t="s">
        <v>8</v>
      </c>
      <c r="IT852" s="27" t="s">
        <v>7</v>
      </c>
      <c r="IU852" s="27" t="s">
        <v>8</v>
      </c>
      <c r="IV852" s="27" t="s">
        <v>7</v>
      </c>
      <c r="IX852" s="27" t="s">
        <v>7</v>
      </c>
      <c r="IY852" s="27" t="s">
        <v>8</v>
      </c>
      <c r="IZ852" s="27" t="s">
        <v>7</v>
      </c>
      <c r="JA852" s="27" t="s">
        <v>8</v>
      </c>
      <c r="JD852" s="27" t="s">
        <v>7</v>
      </c>
      <c r="JE852" s="27" t="s">
        <v>8</v>
      </c>
      <c r="JF852" s="27" t="s">
        <v>7</v>
      </c>
      <c r="JG852" s="27" t="s">
        <v>8</v>
      </c>
      <c r="JH852" s="27" t="s">
        <v>7</v>
      </c>
      <c r="JK852" s="27" t="s">
        <v>8</v>
      </c>
      <c r="JL852" s="27" t="s">
        <v>7</v>
      </c>
      <c r="JM852" s="27" t="s">
        <v>8</v>
      </c>
      <c r="JN852" s="27" t="s">
        <v>7</v>
      </c>
      <c r="JQ852" s="27" t="s">
        <v>8</v>
      </c>
      <c r="JT852" s="27" t="s">
        <v>7</v>
      </c>
      <c r="JU852" s="27" t="s">
        <v>8</v>
      </c>
      <c r="JX852" s="27" t="s">
        <v>7</v>
      </c>
      <c r="JY852" s="27" t="s">
        <v>8</v>
      </c>
      <c r="KA852" s="27" t="s">
        <v>8</v>
      </c>
    </row>
    <row r="853" spans="1:289" x14ac:dyDescent="0.25">
      <c r="A853" s="7">
        <v>5.1564915610045588E-3</v>
      </c>
      <c r="B853"/>
      <c r="C853"/>
      <c r="D853"/>
      <c r="E853"/>
      <c r="EZ853" s="27" t="s">
        <v>7</v>
      </c>
      <c r="GI853" s="27" t="s">
        <v>8</v>
      </c>
      <c r="GJ853" s="27" t="s">
        <v>7</v>
      </c>
      <c r="GK853" s="27" t="s">
        <v>8</v>
      </c>
      <c r="GM853" s="27" t="s">
        <v>8</v>
      </c>
      <c r="GN853" s="27" t="s">
        <v>7</v>
      </c>
      <c r="GO853" s="27" t="s">
        <v>8</v>
      </c>
      <c r="GP853" s="27" t="s">
        <v>7</v>
      </c>
      <c r="GQ853" s="27" t="s">
        <v>8</v>
      </c>
      <c r="GR853" s="27" t="s">
        <v>7</v>
      </c>
      <c r="GS853" s="27" t="s">
        <v>8</v>
      </c>
      <c r="GX853" s="27" t="s">
        <v>7</v>
      </c>
      <c r="IR853" s="27" t="s">
        <v>7</v>
      </c>
      <c r="IS853" s="27" t="s">
        <v>8</v>
      </c>
      <c r="IT853" s="27" t="s">
        <v>7</v>
      </c>
      <c r="IU853" s="27" t="s">
        <v>8</v>
      </c>
      <c r="IX853" s="27" t="s">
        <v>7</v>
      </c>
      <c r="IZ853" s="27" t="s">
        <v>7</v>
      </c>
      <c r="JA853" s="27" t="s">
        <v>8</v>
      </c>
      <c r="JD853" s="27" t="s">
        <v>7</v>
      </c>
      <c r="JE853" s="27" t="s">
        <v>8</v>
      </c>
      <c r="JF853" s="27" t="s">
        <v>7</v>
      </c>
      <c r="JH853" s="27" t="s">
        <v>7</v>
      </c>
      <c r="JK853" s="27" t="s">
        <v>8</v>
      </c>
      <c r="JL853" s="27" t="s">
        <v>7</v>
      </c>
      <c r="JM853" s="27" t="s">
        <v>8</v>
      </c>
      <c r="JN853" s="27" t="s">
        <v>7</v>
      </c>
      <c r="JQ853" s="27" t="s">
        <v>8</v>
      </c>
      <c r="JT853" s="27" t="s">
        <v>7</v>
      </c>
      <c r="JX853" s="27" t="s">
        <v>7</v>
      </c>
      <c r="JY853" s="27" t="s">
        <v>8</v>
      </c>
      <c r="JZ853" s="27" t="s">
        <v>7</v>
      </c>
      <c r="KA853" s="27" t="s">
        <v>8</v>
      </c>
    </row>
    <row r="854" spans="1:289" x14ac:dyDescent="0.25">
      <c r="A854" s="7">
        <v>5.0553838833378023E-3</v>
      </c>
      <c r="B854"/>
      <c r="C854"/>
      <c r="D854"/>
      <c r="E854"/>
      <c r="EZ854" s="27" t="s">
        <v>7</v>
      </c>
      <c r="GI854" s="27" t="s">
        <v>8</v>
      </c>
      <c r="GJ854" s="27" t="s">
        <v>7</v>
      </c>
      <c r="GK854" s="27" t="s">
        <v>8</v>
      </c>
      <c r="GL854" s="27" t="s">
        <v>7</v>
      </c>
      <c r="GM854" s="27" t="s">
        <v>8</v>
      </c>
      <c r="GN854" s="27" t="s">
        <v>7</v>
      </c>
      <c r="GP854" s="27" t="s">
        <v>7</v>
      </c>
      <c r="GQ854" s="27" t="s">
        <v>8</v>
      </c>
      <c r="GR854" s="27" t="s">
        <v>7</v>
      </c>
      <c r="IR854" s="27" t="s">
        <v>7</v>
      </c>
      <c r="IS854" s="27" t="s">
        <v>8</v>
      </c>
      <c r="IT854" s="27" t="s">
        <v>7</v>
      </c>
      <c r="IU854" s="27" t="s">
        <v>8</v>
      </c>
      <c r="IZ854" s="27" t="s">
        <v>7</v>
      </c>
      <c r="JA854" s="27" t="s">
        <v>8</v>
      </c>
      <c r="JD854" s="27" t="s">
        <v>7</v>
      </c>
      <c r="JE854" s="27" t="s">
        <v>8</v>
      </c>
      <c r="JH854" s="27" t="s">
        <v>7</v>
      </c>
      <c r="JK854" s="27" t="s">
        <v>8</v>
      </c>
      <c r="JL854" s="27" t="s">
        <v>7</v>
      </c>
      <c r="JM854" s="27" t="s">
        <v>8</v>
      </c>
      <c r="JN854" s="27" t="s">
        <v>7</v>
      </c>
      <c r="JO854" s="27" t="s">
        <v>8</v>
      </c>
      <c r="JQ854" s="27" t="s">
        <v>8</v>
      </c>
      <c r="JX854" s="27" t="s">
        <v>7</v>
      </c>
      <c r="JY854" s="27" t="s">
        <v>8</v>
      </c>
      <c r="JZ854" s="27" t="s">
        <v>7</v>
      </c>
      <c r="KA854" s="27" t="s">
        <v>8</v>
      </c>
    </row>
    <row r="855" spans="1:289" x14ac:dyDescent="0.25">
      <c r="A855" s="7">
        <v>4.9562587091547079E-3</v>
      </c>
      <c r="B855"/>
      <c r="C855"/>
      <c r="D855"/>
      <c r="E855"/>
      <c r="EZ855" s="27" t="s">
        <v>7</v>
      </c>
      <c r="GI855" s="27" t="s">
        <v>8</v>
      </c>
      <c r="GJ855" s="27" t="s">
        <v>7</v>
      </c>
      <c r="GK855" s="27" t="s">
        <v>8</v>
      </c>
      <c r="GL855" s="27" t="s">
        <v>7</v>
      </c>
      <c r="GM855" s="27" t="s">
        <v>8</v>
      </c>
      <c r="GP855" s="27" t="s">
        <v>7</v>
      </c>
      <c r="GQ855" s="27" t="s">
        <v>8</v>
      </c>
      <c r="IR855" s="27" t="s">
        <v>7</v>
      </c>
      <c r="IS855" s="27" t="s">
        <v>8</v>
      </c>
      <c r="IT855" s="27" t="s">
        <v>7</v>
      </c>
      <c r="IU855" s="27" t="s">
        <v>8</v>
      </c>
      <c r="IZ855" s="27" t="s">
        <v>7</v>
      </c>
      <c r="JA855" s="27" t="s">
        <v>8</v>
      </c>
      <c r="JD855" s="27" t="s">
        <v>7</v>
      </c>
      <c r="JE855" s="27" t="s">
        <v>8</v>
      </c>
      <c r="JH855" s="27" t="s">
        <v>7</v>
      </c>
      <c r="JK855" s="27" t="s">
        <v>8</v>
      </c>
      <c r="JL855" s="27" t="s">
        <v>7</v>
      </c>
      <c r="JM855" s="27" t="s">
        <v>8</v>
      </c>
      <c r="JN855" s="27" t="s">
        <v>7</v>
      </c>
      <c r="JO855" s="27" t="s">
        <v>8</v>
      </c>
      <c r="JP855" s="27" t="s">
        <v>7</v>
      </c>
      <c r="JQ855" s="27" t="s">
        <v>8</v>
      </c>
      <c r="JX855" s="27" t="s">
        <v>7</v>
      </c>
      <c r="JY855" s="27" t="s">
        <v>8</v>
      </c>
      <c r="JZ855" s="27" t="s">
        <v>7</v>
      </c>
      <c r="KA855" s="27" t="s">
        <v>8</v>
      </c>
    </row>
    <row r="856" spans="1:289" x14ac:dyDescent="0.25">
      <c r="A856" s="7">
        <v>4.8590771658379491E-3</v>
      </c>
      <c r="B856"/>
      <c r="C856"/>
      <c r="D856"/>
      <c r="E856"/>
      <c r="EZ856" s="27" t="s">
        <v>7</v>
      </c>
      <c r="GI856" s="27" t="s">
        <v>8</v>
      </c>
      <c r="GJ856" s="27" t="s">
        <v>7</v>
      </c>
      <c r="GK856" s="27" t="s">
        <v>8</v>
      </c>
      <c r="GL856" s="27" t="s">
        <v>7</v>
      </c>
      <c r="GM856" s="27" t="s">
        <v>8</v>
      </c>
      <c r="GP856" s="27" t="s">
        <v>7</v>
      </c>
      <c r="GQ856" s="27" t="s">
        <v>8</v>
      </c>
      <c r="IR856" s="27" t="s">
        <v>7</v>
      </c>
      <c r="IT856" s="27" t="s">
        <v>7</v>
      </c>
      <c r="IZ856" s="27" t="s">
        <v>7</v>
      </c>
      <c r="JA856" s="27" t="s">
        <v>8</v>
      </c>
      <c r="JD856" s="27" t="s">
        <v>7</v>
      </c>
      <c r="JE856" s="27" t="s">
        <v>8</v>
      </c>
      <c r="JH856" s="27" t="s">
        <v>7</v>
      </c>
      <c r="JK856" s="27" t="s">
        <v>8</v>
      </c>
      <c r="JL856" s="27" t="s">
        <v>7</v>
      </c>
      <c r="JN856" s="27" t="s">
        <v>7</v>
      </c>
      <c r="JO856" s="27" t="s">
        <v>8</v>
      </c>
      <c r="JP856" s="27" t="s">
        <v>7</v>
      </c>
      <c r="JQ856" s="27" t="s">
        <v>8</v>
      </c>
      <c r="JX856" s="27" t="s">
        <v>7</v>
      </c>
      <c r="JZ856" s="27" t="s">
        <v>7</v>
      </c>
    </row>
    <row r="857" spans="1:289" x14ac:dyDescent="0.25">
      <c r="A857" s="7">
        <v>4.7638011429783815E-3</v>
      </c>
      <c r="B857"/>
      <c r="C857"/>
      <c r="D857"/>
      <c r="E857"/>
      <c r="EZ857" s="27" t="s">
        <v>7</v>
      </c>
      <c r="FS857" s="27" t="s">
        <v>8</v>
      </c>
      <c r="GI857" s="27" t="s">
        <v>8</v>
      </c>
      <c r="GJ857" s="27" t="s">
        <v>7</v>
      </c>
      <c r="GK857" s="27" t="s">
        <v>8</v>
      </c>
      <c r="GL857" s="27" t="s">
        <v>7</v>
      </c>
      <c r="GM857" s="27" t="s">
        <v>8</v>
      </c>
      <c r="GP857" s="27" t="s">
        <v>7</v>
      </c>
      <c r="IZ857" s="27" t="s">
        <v>7</v>
      </c>
      <c r="JA857" s="27" t="s">
        <v>8</v>
      </c>
      <c r="JD857" s="27" t="s">
        <v>7</v>
      </c>
      <c r="JE857" s="27" t="s">
        <v>8</v>
      </c>
      <c r="JH857" s="27" t="s">
        <v>7</v>
      </c>
      <c r="JK857" s="27" t="s">
        <v>8</v>
      </c>
      <c r="JN857" s="27" t="s">
        <v>7</v>
      </c>
      <c r="JO857" s="27" t="s">
        <v>8</v>
      </c>
      <c r="JP857" s="27" t="s">
        <v>7</v>
      </c>
      <c r="JQ857" s="27" t="s">
        <v>8</v>
      </c>
    </row>
    <row r="858" spans="1:289" x14ac:dyDescent="0.25">
      <c r="A858" s="7">
        <v>4.6703932774297859E-3</v>
      </c>
      <c r="B858"/>
      <c r="C858"/>
      <c r="D858"/>
      <c r="E858"/>
      <c r="EZ858" s="27" t="s">
        <v>7</v>
      </c>
      <c r="FS858" s="27" t="s">
        <v>8</v>
      </c>
      <c r="FT858" s="27" t="s">
        <v>7</v>
      </c>
      <c r="GI858" s="27" t="s">
        <v>8</v>
      </c>
      <c r="GJ858" s="27" t="s">
        <v>7</v>
      </c>
      <c r="GL858" s="27" t="s">
        <v>7</v>
      </c>
      <c r="GM858" s="27" t="s">
        <v>8</v>
      </c>
      <c r="IZ858" s="27" t="s">
        <v>7</v>
      </c>
      <c r="JA858" s="27" t="s">
        <v>8</v>
      </c>
      <c r="JD858" s="27" t="s">
        <v>7</v>
      </c>
      <c r="JH858" s="27" t="s">
        <v>7</v>
      </c>
      <c r="JK858" s="27" t="s">
        <v>8</v>
      </c>
      <c r="JN858" s="27" t="s">
        <v>7</v>
      </c>
      <c r="JP858" s="27" t="s">
        <v>7</v>
      </c>
      <c r="JQ858" s="27" t="s">
        <v>8</v>
      </c>
    </row>
    <row r="859" spans="1:289" x14ac:dyDescent="0.25">
      <c r="A859" s="7">
        <v>4.5788169386566527E-3</v>
      </c>
      <c r="B859"/>
      <c r="C859"/>
      <c r="D859"/>
      <c r="E859"/>
      <c r="EZ859" s="27" t="s">
        <v>7</v>
      </c>
      <c r="FS859" s="27" t="s">
        <v>8</v>
      </c>
      <c r="FT859" s="27" t="s">
        <v>7</v>
      </c>
      <c r="GI859" s="27" t="s">
        <v>8</v>
      </c>
      <c r="GL859" s="27" t="s">
        <v>7</v>
      </c>
      <c r="GM859" s="27" t="s">
        <v>8</v>
      </c>
      <c r="IZ859" s="27" t="s">
        <v>7</v>
      </c>
      <c r="JH859" s="27" t="s">
        <v>7</v>
      </c>
      <c r="JI859" s="27" t="s">
        <v>8</v>
      </c>
      <c r="JK859" s="27" t="s">
        <v>8</v>
      </c>
      <c r="JP859" s="27" t="s">
        <v>7</v>
      </c>
    </row>
    <row r="860" spans="1:289" x14ac:dyDescent="0.25">
      <c r="A860" s="7">
        <v>4.4890362143692672E-3</v>
      </c>
      <c r="B860"/>
      <c r="C860"/>
      <c r="D860"/>
      <c r="E860"/>
      <c r="EZ860" s="27" t="s">
        <v>7</v>
      </c>
      <c r="FS860" s="27" t="s">
        <v>8</v>
      </c>
      <c r="FT860" s="27" t="s">
        <v>7</v>
      </c>
      <c r="GI860" s="27" t="s">
        <v>8</v>
      </c>
      <c r="GL860" s="27" t="s">
        <v>7</v>
      </c>
      <c r="GM860" s="27" t="s">
        <v>8</v>
      </c>
      <c r="JH860" s="27" t="s">
        <v>7</v>
      </c>
      <c r="JI860" s="27" t="s">
        <v>8</v>
      </c>
      <c r="JJ860" s="27" t="s">
        <v>7</v>
      </c>
      <c r="JK860" s="27" t="s">
        <v>8</v>
      </c>
    </row>
    <row r="861" spans="1:289" x14ac:dyDescent="0.25">
      <c r="A861" s="7">
        <v>4.4010158964404578E-3</v>
      </c>
      <c r="B861"/>
      <c r="C861"/>
      <c r="D861"/>
      <c r="E861"/>
      <c r="EZ861" s="27" t="s">
        <v>7</v>
      </c>
      <c r="FS861" s="27" t="s">
        <v>8</v>
      </c>
      <c r="FT861" s="27" t="s">
        <v>7</v>
      </c>
      <c r="GI861" s="27" t="s">
        <v>8</v>
      </c>
      <c r="GL861" s="27" t="s">
        <v>7</v>
      </c>
      <c r="JH861" s="27" t="s">
        <v>7</v>
      </c>
      <c r="JI861" s="27" t="s">
        <v>8</v>
      </c>
      <c r="JJ861" s="27" t="s">
        <v>7</v>
      </c>
      <c r="JK861" s="27" t="s">
        <v>8</v>
      </c>
    </row>
    <row r="862" spans="1:289" x14ac:dyDescent="0.25">
      <c r="A862" s="7">
        <v>4.314721467098488E-3</v>
      </c>
      <c r="B862"/>
      <c r="C862"/>
      <c r="D862"/>
      <c r="E862"/>
      <c r="EZ862" s="27" t="s">
        <v>7</v>
      </c>
      <c r="FS862" s="27" t="s">
        <v>8</v>
      </c>
      <c r="FT862" s="27" t="s">
        <v>7</v>
      </c>
      <c r="GI862" s="27" t="s">
        <v>8</v>
      </c>
      <c r="JH862" s="27" t="s">
        <v>7</v>
      </c>
      <c r="JI862" s="27" t="s">
        <v>8</v>
      </c>
      <c r="JJ862" s="27" t="s">
        <v>7</v>
      </c>
      <c r="JK862" s="27" t="s">
        <v>8</v>
      </c>
    </row>
    <row r="863" spans="1:289" x14ac:dyDescent="0.25">
      <c r="A863" s="7">
        <v>4.2301190853906746E-3</v>
      </c>
      <c r="B863"/>
      <c r="C863"/>
      <c r="D863"/>
      <c r="E863"/>
      <c r="EZ863" s="27" t="s">
        <v>7</v>
      </c>
      <c r="FS863" s="27" t="s">
        <v>8</v>
      </c>
      <c r="FT863" s="27" t="s">
        <v>7</v>
      </c>
      <c r="GI863" s="27" t="s">
        <v>8</v>
      </c>
      <c r="JH863" s="27" t="s">
        <v>7</v>
      </c>
      <c r="JI863" s="27" t="s">
        <v>8</v>
      </c>
      <c r="JJ863" s="27" t="s">
        <v>7</v>
      </c>
      <c r="JK863" s="27" t="s">
        <v>8</v>
      </c>
    </row>
    <row r="864" spans="1:289" x14ac:dyDescent="0.25">
      <c r="A864" s="7">
        <v>4.1471755739124266E-3</v>
      </c>
      <c r="B864"/>
      <c r="C864"/>
      <c r="D864"/>
      <c r="E864"/>
      <c r="EZ864" s="27" t="s">
        <v>7</v>
      </c>
      <c r="FE864" s="27" t="s">
        <v>8</v>
      </c>
      <c r="FS864" s="27" t="s">
        <v>8</v>
      </c>
      <c r="FT864" s="27" t="s">
        <v>7</v>
      </c>
      <c r="FW864" s="27" t="s">
        <v>8</v>
      </c>
      <c r="GG864" s="27" t="s">
        <v>8</v>
      </c>
      <c r="GI864" s="27" t="s">
        <v>8</v>
      </c>
      <c r="JH864" s="27" t="s">
        <v>7</v>
      </c>
      <c r="JI864" s="27" t="s">
        <v>8</v>
      </c>
      <c r="JJ864" s="27" t="s">
        <v>7</v>
      </c>
      <c r="JK864" s="27" t="s">
        <v>8</v>
      </c>
    </row>
    <row r="865" spans="1:271" x14ac:dyDescent="0.25">
      <c r="A865" s="7">
        <v>4.0658584057964966E-3</v>
      </c>
      <c r="B865"/>
      <c r="C865"/>
      <c r="D865"/>
      <c r="E865"/>
      <c r="EZ865" s="27" t="s">
        <v>7</v>
      </c>
      <c r="FE865" s="27" t="s">
        <v>8</v>
      </c>
      <c r="FF865" s="27" t="s">
        <v>7</v>
      </c>
      <c r="FO865" s="27" t="s">
        <v>8</v>
      </c>
      <c r="FS865" s="27" t="s">
        <v>8</v>
      </c>
      <c r="FT865" s="27" t="s">
        <v>7</v>
      </c>
      <c r="FW865" s="27" t="s">
        <v>8</v>
      </c>
      <c r="FX865" s="27" t="s">
        <v>7</v>
      </c>
      <c r="FY865" s="27" t="s">
        <v>8</v>
      </c>
      <c r="GC865" s="27" t="s">
        <v>8</v>
      </c>
      <c r="GG865" s="27" t="s">
        <v>8</v>
      </c>
      <c r="GH865" s="27" t="s">
        <v>7</v>
      </c>
      <c r="GI865" s="27" t="s">
        <v>8</v>
      </c>
      <c r="JH865" s="27" t="s">
        <v>7</v>
      </c>
      <c r="JI865" s="27" t="s">
        <v>8</v>
      </c>
      <c r="JJ865" s="27" t="s">
        <v>7</v>
      </c>
      <c r="JK865" s="27" t="s">
        <v>8</v>
      </c>
    </row>
    <row r="866" spans="1:271" x14ac:dyDescent="0.25">
      <c r="A866" s="7">
        <v>3.9861356919573491E-3</v>
      </c>
      <c r="B866"/>
      <c r="C866"/>
      <c r="D866"/>
      <c r="E866"/>
      <c r="EZ866" s="27" t="s">
        <v>7</v>
      </c>
      <c r="FE866" s="27" t="s">
        <v>8</v>
      </c>
      <c r="FF866" s="27" t="s">
        <v>7</v>
      </c>
      <c r="FO866" s="27" t="s">
        <v>8</v>
      </c>
      <c r="FP866" s="27" t="s">
        <v>7</v>
      </c>
      <c r="FQ866" s="27" t="s">
        <v>8</v>
      </c>
      <c r="FS866" s="27" t="s">
        <v>8</v>
      </c>
      <c r="FT866" s="27" t="s">
        <v>7</v>
      </c>
      <c r="FW866" s="27" t="s">
        <v>8</v>
      </c>
      <c r="FX866" s="27" t="s">
        <v>7</v>
      </c>
      <c r="FY866" s="27" t="s">
        <v>8</v>
      </c>
      <c r="FZ866" s="27" t="s">
        <v>7</v>
      </c>
      <c r="GA866" s="27" t="s">
        <v>8</v>
      </c>
      <c r="GC866" s="27" t="s">
        <v>8</v>
      </c>
      <c r="GD866" s="27" t="s">
        <v>7</v>
      </c>
      <c r="GE866" s="27" t="s">
        <v>8</v>
      </c>
      <c r="GG866" s="27" t="s">
        <v>8</v>
      </c>
      <c r="GH866" s="27" t="s">
        <v>7</v>
      </c>
      <c r="GI866" s="27" t="s">
        <v>8</v>
      </c>
      <c r="JH866" s="27" t="s">
        <v>7</v>
      </c>
      <c r="JJ866" s="27" t="s">
        <v>7</v>
      </c>
      <c r="JK866" s="27" t="s">
        <v>8</v>
      </c>
    </row>
    <row r="867" spans="1:271" x14ac:dyDescent="0.25">
      <c r="A867" s="7">
        <v>3.9079761685856364E-3</v>
      </c>
      <c r="B867"/>
      <c r="C867"/>
      <c r="D867"/>
      <c r="E867"/>
      <c r="EZ867" s="27" t="s">
        <v>7</v>
      </c>
      <c r="FE867" s="27" t="s">
        <v>8</v>
      </c>
      <c r="FF867" s="27" t="s">
        <v>7</v>
      </c>
      <c r="FO867" s="27" t="s">
        <v>8</v>
      </c>
      <c r="FP867" s="27" t="s">
        <v>7</v>
      </c>
      <c r="FQ867" s="27" t="s">
        <v>8</v>
      </c>
      <c r="FR867" s="27" t="s">
        <v>7</v>
      </c>
      <c r="FS867" s="27" t="s">
        <v>8</v>
      </c>
      <c r="FT867" s="27" t="s">
        <v>7</v>
      </c>
      <c r="FW867" s="27" t="s">
        <v>8</v>
      </c>
      <c r="FX867" s="27" t="s">
        <v>7</v>
      </c>
      <c r="FY867" s="27" t="s">
        <v>8</v>
      </c>
      <c r="FZ867" s="27" t="s">
        <v>7</v>
      </c>
      <c r="GA867" s="27" t="s">
        <v>8</v>
      </c>
      <c r="GB867" s="27" t="s">
        <v>7</v>
      </c>
      <c r="GC867" s="27" t="s">
        <v>8</v>
      </c>
      <c r="GD867" s="27" t="s">
        <v>7</v>
      </c>
      <c r="GE867" s="27" t="s">
        <v>8</v>
      </c>
      <c r="GF867" s="27" t="s">
        <v>7</v>
      </c>
      <c r="GG867" s="27" t="s">
        <v>8</v>
      </c>
      <c r="GH867" s="27" t="s">
        <v>7</v>
      </c>
      <c r="GI867" s="27" t="s">
        <v>8</v>
      </c>
      <c r="JJ867" s="27" t="s">
        <v>7</v>
      </c>
    </row>
    <row r="868" spans="1:271" x14ac:dyDescent="0.25">
      <c r="A868" s="7">
        <v>3.8313491848878793E-3</v>
      </c>
      <c r="B868"/>
      <c r="C868"/>
      <c r="D868"/>
      <c r="E868"/>
      <c r="EZ868" s="27" t="s">
        <v>7</v>
      </c>
      <c r="FE868" s="27" t="s">
        <v>8</v>
      </c>
      <c r="FF868" s="27" t="s">
        <v>7</v>
      </c>
      <c r="FO868" s="27" t="s">
        <v>8</v>
      </c>
      <c r="FP868" s="27" t="s">
        <v>7</v>
      </c>
      <c r="FQ868" s="27" t="s">
        <v>8</v>
      </c>
      <c r="FR868" s="27" t="s">
        <v>7</v>
      </c>
      <c r="FS868" s="27" t="s">
        <v>8</v>
      </c>
      <c r="FT868" s="27" t="s">
        <v>7</v>
      </c>
      <c r="FU868" s="27" t="s">
        <v>8</v>
      </c>
      <c r="FW868" s="27" t="s">
        <v>8</v>
      </c>
      <c r="FX868" s="27" t="s">
        <v>7</v>
      </c>
      <c r="FZ868" s="27" t="s">
        <v>7</v>
      </c>
      <c r="GA868" s="27" t="s">
        <v>8</v>
      </c>
      <c r="GB868" s="27" t="s">
        <v>7</v>
      </c>
      <c r="GC868" s="27" t="s">
        <v>8</v>
      </c>
      <c r="GD868" s="27" t="s">
        <v>7</v>
      </c>
      <c r="GE868" s="27" t="s">
        <v>8</v>
      </c>
      <c r="GF868" s="27" t="s">
        <v>7</v>
      </c>
      <c r="GG868" s="27" t="s">
        <v>8</v>
      </c>
      <c r="GH868" s="27" t="s">
        <v>7</v>
      </c>
      <c r="GI868" s="27" t="s">
        <v>8</v>
      </c>
    </row>
    <row r="869" spans="1:271" x14ac:dyDescent="0.25">
      <c r="A869" s="7">
        <v>3.7562246910665485E-3</v>
      </c>
      <c r="B869"/>
      <c r="C869"/>
      <c r="D869"/>
      <c r="E869"/>
      <c r="EZ869" s="27" t="s">
        <v>7</v>
      </c>
      <c r="FE869" s="27" t="s">
        <v>8</v>
      </c>
      <c r="FF869" s="27" t="s">
        <v>7</v>
      </c>
      <c r="FO869" s="27" t="s">
        <v>8</v>
      </c>
      <c r="FP869" s="27" t="s">
        <v>7</v>
      </c>
      <c r="FQ869" s="27" t="s">
        <v>8</v>
      </c>
      <c r="FR869" s="27" t="s">
        <v>7</v>
      </c>
      <c r="FS869" s="27" t="s">
        <v>8</v>
      </c>
      <c r="FT869" s="27" t="s">
        <v>7</v>
      </c>
      <c r="FU869" s="27" t="s">
        <v>8</v>
      </c>
      <c r="FV869" s="27" t="s">
        <v>7</v>
      </c>
      <c r="FW869" s="27" t="s">
        <v>8</v>
      </c>
      <c r="FZ869" s="27" t="s">
        <v>7</v>
      </c>
      <c r="GA869" s="27" t="s">
        <v>8</v>
      </c>
      <c r="GB869" s="27" t="s">
        <v>7</v>
      </c>
      <c r="GC869" s="27" t="s">
        <v>8</v>
      </c>
      <c r="GD869" s="27" t="s">
        <v>7</v>
      </c>
      <c r="GE869" s="27" t="s">
        <v>8</v>
      </c>
      <c r="GF869" s="27" t="s">
        <v>7</v>
      </c>
      <c r="GG869" s="27" t="s">
        <v>8</v>
      </c>
      <c r="GH869" s="27" t="s">
        <v>7</v>
      </c>
      <c r="GI869" s="27" t="s">
        <v>8</v>
      </c>
    </row>
    <row r="870" spans="1:271" x14ac:dyDescent="0.25">
      <c r="A870" s="7">
        <v>3.6825732265358315E-3</v>
      </c>
      <c r="B870"/>
      <c r="C870"/>
      <c r="D870"/>
      <c r="E870"/>
      <c r="EZ870" s="27" t="s">
        <v>7</v>
      </c>
      <c r="FE870" s="27" t="s">
        <v>8</v>
      </c>
      <c r="FF870" s="27" t="s">
        <v>7</v>
      </c>
      <c r="FO870" s="27" t="s">
        <v>8</v>
      </c>
      <c r="FP870" s="27" t="s">
        <v>7</v>
      </c>
      <c r="FQ870" s="27" t="s">
        <v>8</v>
      </c>
      <c r="FR870" s="27" t="s">
        <v>7</v>
      </c>
      <c r="FS870" s="27" t="s">
        <v>8</v>
      </c>
      <c r="FT870" s="27" t="s">
        <v>7</v>
      </c>
      <c r="FU870" s="27" t="s">
        <v>8</v>
      </c>
      <c r="FV870" s="27" t="s">
        <v>7</v>
      </c>
      <c r="FW870" s="27" t="s">
        <v>8</v>
      </c>
      <c r="FZ870" s="27" t="s">
        <v>7</v>
      </c>
      <c r="GB870" s="27" t="s">
        <v>7</v>
      </c>
      <c r="GC870" s="27" t="s">
        <v>8</v>
      </c>
      <c r="GD870" s="27" t="s">
        <v>7</v>
      </c>
      <c r="GE870" s="27" t="s">
        <v>8</v>
      </c>
      <c r="GF870" s="27" t="s">
        <v>7</v>
      </c>
      <c r="GG870" s="27" t="s">
        <v>8</v>
      </c>
      <c r="GH870" s="27" t="s">
        <v>7</v>
      </c>
    </row>
    <row r="871" spans="1:271" x14ac:dyDescent="0.25">
      <c r="A871" s="7">
        <v>3.6103659083684624E-3</v>
      </c>
      <c r="B871"/>
      <c r="C871"/>
      <c r="D871"/>
      <c r="E871"/>
      <c r="EZ871" s="27" t="s">
        <v>7</v>
      </c>
      <c r="FE871" s="27" t="s">
        <v>8</v>
      </c>
      <c r="FF871" s="27" t="s">
        <v>7</v>
      </c>
      <c r="FO871" s="27" t="s">
        <v>8</v>
      </c>
      <c r="FP871" s="27" t="s">
        <v>7</v>
      </c>
      <c r="FR871" s="27" t="s">
        <v>7</v>
      </c>
      <c r="FS871" s="27" t="s">
        <v>8</v>
      </c>
      <c r="FT871" s="27" t="s">
        <v>7</v>
      </c>
      <c r="FU871" s="27" t="s">
        <v>8</v>
      </c>
      <c r="FV871" s="27" t="s">
        <v>7</v>
      </c>
      <c r="FW871" s="27" t="s">
        <v>8</v>
      </c>
      <c r="GB871" s="27" t="s">
        <v>7</v>
      </c>
      <c r="GD871" s="27" t="s">
        <v>7</v>
      </c>
      <c r="GF871" s="27" t="s">
        <v>7</v>
      </c>
      <c r="GG871" s="27" t="s">
        <v>8</v>
      </c>
    </row>
    <row r="872" spans="1:271" x14ac:dyDescent="0.25">
      <c r="A872" s="7">
        <v>3.539574419969081E-3</v>
      </c>
      <c r="B872"/>
      <c r="C872"/>
      <c r="D872"/>
      <c r="E872"/>
      <c r="EZ872" s="27" t="s">
        <v>7</v>
      </c>
      <c r="FE872" s="27" t="s">
        <v>8</v>
      </c>
      <c r="FF872" s="27" t="s">
        <v>7</v>
      </c>
      <c r="FI872" s="27" t="s">
        <v>8</v>
      </c>
      <c r="FM872" s="27" t="s">
        <v>8</v>
      </c>
      <c r="FO872" s="27" t="s">
        <v>8</v>
      </c>
      <c r="FR872" s="27" t="s">
        <v>7</v>
      </c>
      <c r="FS872" s="27" t="s">
        <v>8</v>
      </c>
      <c r="FT872" s="27" t="s">
        <v>7</v>
      </c>
      <c r="FU872" s="27" t="s">
        <v>8</v>
      </c>
      <c r="FV872" s="27" t="s">
        <v>7</v>
      </c>
      <c r="FW872" s="27" t="s">
        <v>8</v>
      </c>
      <c r="GF872" s="27" t="s">
        <v>7</v>
      </c>
      <c r="GG872" s="27" t="s">
        <v>8</v>
      </c>
    </row>
    <row r="873" spans="1:271" x14ac:dyDescent="0.25">
      <c r="A873" s="7">
        <v>3.4701709999696872E-3</v>
      </c>
      <c r="B873"/>
      <c r="C873"/>
      <c r="D873"/>
      <c r="E873"/>
      <c r="EZ873" s="27" t="s">
        <v>7</v>
      </c>
      <c r="FE873" s="27" t="s">
        <v>8</v>
      </c>
      <c r="FF873" s="27" t="s">
        <v>7</v>
      </c>
      <c r="FG873" s="27" t="s">
        <v>8</v>
      </c>
      <c r="FI873" s="27" t="s">
        <v>8</v>
      </c>
      <c r="FJ873" s="27" t="s">
        <v>7</v>
      </c>
      <c r="FK873" s="27" t="s">
        <v>8</v>
      </c>
      <c r="FM873" s="27" t="s">
        <v>8</v>
      </c>
      <c r="FN873" s="27" t="s">
        <v>7</v>
      </c>
      <c r="FO873" s="27" t="s">
        <v>8</v>
      </c>
      <c r="FR873" s="27" t="s">
        <v>7</v>
      </c>
      <c r="FS873" s="27" t="s">
        <v>8</v>
      </c>
      <c r="FT873" s="27" t="s">
        <v>7</v>
      </c>
      <c r="FU873" s="27" t="s">
        <v>8</v>
      </c>
      <c r="FV873" s="27" t="s">
        <v>7</v>
      </c>
      <c r="FW873" s="27" t="s">
        <v>8</v>
      </c>
      <c r="GF873" s="27" t="s">
        <v>7</v>
      </c>
      <c r="GG873" s="27" t="s">
        <v>8</v>
      </c>
    </row>
    <row r="874" spans="1:271" x14ac:dyDescent="0.25">
      <c r="A874" s="7">
        <v>3.4021284313428307E-3</v>
      </c>
      <c r="B874"/>
      <c r="C874"/>
      <c r="D874"/>
      <c r="E874"/>
      <c r="EZ874" s="27" t="s">
        <v>7</v>
      </c>
      <c r="FE874" s="27" t="s">
        <v>8</v>
      </c>
      <c r="FF874" s="27" t="s">
        <v>7</v>
      </c>
      <c r="FG874" s="27" t="s">
        <v>8</v>
      </c>
      <c r="FH874" s="27" t="s">
        <v>7</v>
      </c>
      <c r="FI874" s="27" t="s">
        <v>8</v>
      </c>
      <c r="FJ874" s="27" t="s">
        <v>7</v>
      </c>
      <c r="FK874" s="27" t="s">
        <v>8</v>
      </c>
      <c r="FL874" s="27" t="s">
        <v>7</v>
      </c>
      <c r="FM874" s="27" t="s">
        <v>8</v>
      </c>
      <c r="FN874" s="27" t="s">
        <v>7</v>
      </c>
      <c r="FO874" s="27" t="s">
        <v>8</v>
      </c>
      <c r="FR874" s="27" t="s">
        <v>7</v>
      </c>
      <c r="FS874" s="27" t="s">
        <v>8</v>
      </c>
      <c r="FT874" s="27" t="s">
        <v>7</v>
      </c>
      <c r="FU874" s="27" t="s">
        <v>8</v>
      </c>
      <c r="FV874" s="27" t="s">
        <v>7</v>
      </c>
      <c r="FW874" s="27" t="s">
        <v>8</v>
      </c>
      <c r="GF874" s="27" t="s">
        <v>7</v>
      </c>
    </row>
    <row r="875" spans="1:271" x14ac:dyDescent="0.25">
      <c r="A875" s="7">
        <v>3.3354200307282654E-3</v>
      </c>
      <c r="B875"/>
      <c r="C875"/>
      <c r="D875"/>
      <c r="E875"/>
      <c r="EZ875" s="27" t="s">
        <v>7</v>
      </c>
      <c r="FA875" s="27" t="s">
        <v>8</v>
      </c>
      <c r="FE875" s="27" t="s">
        <v>8</v>
      </c>
      <c r="FF875" s="27" t="s">
        <v>7</v>
      </c>
      <c r="FG875" s="27" t="s">
        <v>8</v>
      </c>
      <c r="FH875" s="27" t="s">
        <v>7</v>
      </c>
      <c r="FI875" s="27" t="s">
        <v>8</v>
      </c>
      <c r="FJ875" s="27" t="s">
        <v>7</v>
      </c>
      <c r="FK875" s="27" t="s">
        <v>8</v>
      </c>
      <c r="FL875" s="27" t="s">
        <v>7</v>
      </c>
      <c r="FM875" s="27" t="s">
        <v>8</v>
      </c>
      <c r="FN875" s="27" t="s">
        <v>7</v>
      </c>
      <c r="FO875" s="27" t="s">
        <v>8</v>
      </c>
      <c r="FR875" s="27" t="s">
        <v>7</v>
      </c>
      <c r="FT875" s="27" t="s">
        <v>7</v>
      </c>
      <c r="FV875" s="27" t="s">
        <v>7</v>
      </c>
      <c r="FW875" s="27" t="s">
        <v>8</v>
      </c>
    </row>
    <row r="876" spans="1:271" x14ac:dyDescent="0.25">
      <c r="A876" s="7">
        <v>3.2700196379688881E-3</v>
      </c>
      <c r="B876"/>
      <c r="C876"/>
      <c r="D876"/>
      <c r="E876"/>
      <c r="EZ876" s="27" t="s">
        <v>7</v>
      </c>
      <c r="FA876" s="27" t="s">
        <v>8</v>
      </c>
      <c r="FB876" s="27" t="s">
        <v>7</v>
      </c>
      <c r="FE876" s="27" t="s">
        <v>8</v>
      </c>
      <c r="FF876" s="27" t="s">
        <v>7</v>
      </c>
      <c r="FG876" s="27" t="s">
        <v>8</v>
      </c>
      <c r="FH876" s="27" t="s">
        <v>7</v>
      </c>
      <c r="FJ876" s="27" t="s">
        <v>7</v>
      </c>
      <c r="FK876" s="27" t="s">
        <v>8</v>
      </c>
      <c r="FL876" s="27" t="s">
        <v>7</v>
      </c>
      <c r="FM876" s="27" t="s">
        <v>8</v>
      </c>
      <c r="FN876" s="27" t="s">
        <v>7</v>
      </c>
      <c r="FV876" s="27" t="s">
        <v>7</v>
      </c>
    </row>
    <row r="877" spans="1:271" x14ac:dyDescent="0.25">
      <c r="A877" s="7">
        <v>3.205901605851851E-3</v>
      </c>
      <c r="B877"/>
      <c r="C877"/>
      <c r="D877"/>
      <c r="E877"/>
      <c r="EZ877" s="27" t="s">
        <v>7</v>
      </c>
      <c r="FA877" s="27" t="s">
        <v>8</v>
      </c>
      <c r="FB877" s="27" t="s">
        <v>7</v>
      </c>
      <c r="FE877" s="27" t="s">
        <v>8</v>
      </c>
      <c r="FF877" s="27" t="s">
        <v>7</v>
      </c>
      <c r="FG877" s="27" t="s">
        <v>8</v>
      </c>
      <c r="FJ877" s="27" t="s">
        <v>7</v>
      </c>
      <c r="FK877" s="27" t="s">
        <v>8</v>
      </c>
      <c r="FL877" s="27" t="s">
        <v>7</v>
      </c>
      <c r="FM877" s="27" t="s">
        <v>8</v>
      </c>
    </row>
    <row r="878" spans="1:271" x14ac:dyDescent="0.25">
      <c r="A878" s="7">
        <v>3.1430407900508344E-3</v>
      </c>
      <c r="B878"/>
      <c r="C878"/>
      <c r="D878"/>
      <c r="E878"/>
      <c r="EZ878" s="27" t="s">
        <v>7</v>
      </c>
      <c r="FA878" s="27" t="s">
        <v>8</v>
      </c>
      <c r="FB878" s="27" t="s">
        <v>7</v>
      </c>
      <c r="FE878" s="27" t="s">
        <v>8</v>
      </c>
      <c r="FF878" s="27" t="s">
        <v>7</v>
      </c>
      <c r="FG878" s="27" t="s">
        <v>8</v>
      </c>
      <c r="FJ878" s="27" t="s">
        <v>7</v>
      </c>
      <c r="FK878" s="27" t="s">
        <v>8</v>
      </c>
      <c r="FL878" s="27" t="s">
        <v>7</v>
      </c>
    </row>
    <row r="879" spans="1:271" x14ac:dyDescent="0.25">
      <c r="A879" s="7">
        <v>3.0814125392655241E-3</v>
      </c>
      <c r="B879"/>
      <c r="C879"/>
      <c r="D879"/>
      <c r="E879"/>
      <c r="EZ879" s="27" t="s">
        <v>7</v>
      </c>
      <c r="FA879" s="27" t="s">
        <v>8</v>
      </c>
      <c r="FB879" s="27" t="s">
        <v>7</v>
      </c>
      <c r="FE879" s="27" t="s">
        <v>8</v>
      </c>
      <c r="FF879" s="27" t="s">
        <v>7</v>
      </c>
      <c r="FG879" s="27" t="s">
        <v>8</v>
      </c>
      <c r="FJ879" s="27" t="s">
        <v>7</v>
      </c>
      <c r="FK879" s="27" t="s">
        <v>8</v>
      </c>
    </row>
    <row r="880" spans="1:271" x14ac:dyDescent="0.25">
      <c r="A880" s="7">
        <v>3.0209926855544354E-3</v>
      </c>
      <c r="B880"/>
      <c r="C880"/>
      <c r="D880"/>
      <c r="E880"/>
      <c r="EZ880" s="27" t="s">
        <v>7</v>
      </c>
      <c r="FA880" s="27" t="s">
        <v>8</v>
      </c>
      <c r="FB880" s="27" t="s">
        <v>7</v>
      </c>
      <c r="FC880" s="27" t="s">
        <v>8</v>
      </c>
      <c r="FE880" s="27" t="s">
        <v>8</v>
      </c>
      <c r="FF880" s="27" t="s">
        <v>7</v>
      </c>
      <c r="FG880" s="27" t="s">
        <v>8</v>
      </c>
      <c r="FJ880" s="27" t="s">
        <v>7</v>
      </c>
      <c r="FK880" s="27" t="s">
        <v>8</v>
      </c>
    </row>
    <row r="881" spans="1:166" x14ac:dyDescent="0.25">
      <c r="A881" s="7">
        <v>2.9617575348572897E-3</v>
      </c>
      <c r="B881"/>
      <c r="C881"/>
      <c r="D881"/>
      <c r="E881"/>
      <c r="EZ881" s="27" t="s">
        <v>7</v>
      </c>
      <c r="FA881" s="27" t="s">
        <v>8</v>
      </c>
      <c r="FB881" s="27" t="s">
        <v>7</v>
      </c>
      <c r="FC881" s="27" t="s">
        <v>8</v>
      </c>
      <c r="FD881" s="27" t="s">
        <v>7</v>
      </c>
      <c r="FE881" s="27" t="s">
        <v>8</v>
      </c>
      <c r="FF881" s="27" t="s">
        <v>7</v>
      </c>
      <c r="FG881" s="27" t="s">
        <v>8</v>
      </c>
      <c r="FJ881" s="27" t="s">
        <v>7</v>
      </c>
    </row>
    <row r="882" spans="1:166" x14ac:dyDescent="0.25">
      <c r="A882" s="7">
        <v>2.9036838577032251E-3</v>
      </c>
      <c r="B882"/>
      <c r="C882"/>
      <c r="D882"/>
      <c r="E882"/>
      <c r="EZ882" s="27" t="s">
        <v>7</v>
      </c>
      <c r="FA882" s="27" t="s">
        <v>8</v>
      </c>
      <c r="FB882" s="27" t="s">
        <v>7</v>
      </c>
      <c r="FC882" s="27" t="s">
        <v>8</v>
      </c>
      <c r="FD882" s="27" t="s">
        <v>7</v>
      </c>
      <c r="FE882" s="27" t="s">
        <v>8</v>
      </c>
      <c r="FF882" s="27" t="s">
        <v>7</v>
      </c>
      <c r="FG882" s="27" t="s">
        <v>8</v>
      </c>
    </row>
    <row r="883" spans="1:166" x14ac:dyDescent="0.25">
      <c r="A883" s="7">
        <v>2.8467488801012012E-3</v>
      </c>
      <c r="B883"/>
      <c r="C883"/>
      <c r="D883"/>
      <c r="E883"/>
      <c r="EZ883" s="27" t="s">
        <v>7</v>
      </c>
      <c r="FA883" s="27" t="s">
        <v>8</v>
      </c>
      <c r="FB883" s="27" t="s">
        <v>7</v>
      </c>
      <c r="FC883" s="27" t="s">
        <v>8</v>
      </c>
      <c r="FD883" s="27" t="s">
        <v>7</v>
      </c>
      <c r="FE883" s="27" t="s">
        <v>8</v>
      </c>
      <c r="FF883" s="27" t="s">
        <v>7</v>
      </c>
      <c r="FG883" s="27" t="s">
        <v>8</v>
      </c>
    </row>
    <row r="884" spans="1:166" x14ac:dyDescent="0.25">
      <c r="A884" s="7">
        <v>2.7909302746090209E-3</v>
      </c>
      <c r="B884"/>
      <c r="C884"/>
      <c r="D884"/>
      <c r="E884"/>
      <c r="EZ884" s="27" t="s">
        <v>7</v>
      </c>
      <c r="FA884" s="27" t="s">
        <v>8</v>
      </c>
      <c r="FB884" s="27" t="s">
        <v>7</v>
      </c>
      <c r="FC884" s="27" t="s">
        <v>8</v>
      </c>
      <c r="FD884" s="27" t="s">
        <v>7</v>
      </c>
      <c r="FE884" s="27" t="s">
        <v>8</v>
      </c>
      <c r="FF884" s="27" t="s">
        <v>7</v>
      </c>
    </row>
    <row r="885" spans="1:166" x14ac:dyDescent="0.25">
      <c r="A885" s="7">
        <v>2.7362061515774716E-3</v>
      </c>
      <c r="B885"/>
      <c r="C885"/>
      <c r="D885"/>
      <c r="E885"/>
      <c r="EZ885" s="27" t="s">
        <v>7</v>
      </c>
      <c r="FA885" s="27" t="s">
        <v>8</v>
      </c>
      <c r="FB885" s="27" t="s">
        <v>7</v>
      </c>
      <c r="FC885" s="27" t="s">
        <v>8</v>
      </c>
      <c r="FD885" s="27" t="s">
        <v>7</v>
      </c>
      <c r="FE885" s="27" t="s">
        <v>8</v>
      </c>
    </row>
    <row r="886" spans="1:166" x14ac:dyDescent="0.25">
      <c r="A886" s="7">
        <v>2.6825550505661486E-3</v>
      </c>
      <c r="B886"/>
      <c r="C886"/>
      <c r="D886"/>
      <c r="E886"/>
      <c r="EZ886" s="27" t="s">
        <v>7</v>
      </c>
      <c r="FA886" s="27" t="s">
        <v>8</v>
      </c>
      <c r="FB886" s="27" t="s">
        <v>7</v>
      </c>
      <c r="FC886" s="27" t="s">
        <v>8</v>
      </c>
      <c r="FD886" s="27" t="s">
        <v>7</v>
      </c>
    </row>
    <row r="887" spans="1:166" x14ac:dyDescent="0.25">
      <c r="A887" s="7">
        <v>2.6299559319275965E-3</v>
      </c>
      <c r="B887"/>
      <c r="C887"/>
      <c r="D887"/>
      <c r="E887"/>
      <c r="EZ887" s="27" t="s">
        <v>7</v>
      </c>
      <c r="FA887" s="27" t="s">
        <v>8</v>
      </c>
      <c r="FB887" s="27" t="s">
        <v>7</v>
      </c>
      <c r="FC887" s="27" t="s">
        <v>8</v>
      </c>
    </row>
    <row r="888" spans="1:166" x14ac:dyDescent="0.25">
      <c r="A888" s="7">
        <v>2.578388168556467E-3</v>
      </c>
      <c r="B888"/>
      <c r="C888"/>
      <c r="D888"/>
      <c r="E888"/>
      <c r="EZ888" s="27" t="s">
        <v>7</v>
      </c>
      <c r="FA888" s="27" t="s">
        <v>8</v>
      </c>
      <c r="FB888" s="27" t="s">
        <v>7</v>
      </c>
      <c r="FC888" s="27" t="s">
        <v>8</v>
      </c>
    </row>
    <row r="889" spans="1:166" x14ac:dyDescent="0.25">
      <c r="A889" s="7">
        <v>2.5278315378004577E-3</v>
      </c>
      <c r="B889"/>
      <c r="C889"/>
      <c r="D889"/>
      <c r="E889"/>
      <c r="EZ889" s="27" t="s">
        <v>7</v>
      </c>
      <c r="FA889" s="27" t="s">
        <v>8</v>
      </c>
      <c r="FB889" s="27" t="s">
        <v>7</v>
      </c>
      <c r="FC889" s="27" t="s">
        <v>8</v>
      </c>
    </row>
    <row r="890" spans="1:166" x14ac:dyDescent="0.25">
      <c r="A890" s="7">
        <v>2.4782662135298603E-3</v>
      </c>
      <c r="B890"/>
      <c r="C890"/>
      <c r="D890"/>
      <c r="E890"/>
      <c r="EZ890" s="27" t="s">
        <v>7</v>
      </c>
      <c r="FA890" s="27" t="s">
        <v>8</v>
      </c>
      <c r="FB890" s="27" t="s">
        <v>7</v>
      </c>
    </row>
    <row r="891" spans="1:166" x14ac:dyDescent="0.25">
      <c r="A891" s="7">
        <v>2.4296727583626083E-3</v>
      </c>
      <c r="B891"/>
      <c r="C891"/>
      <c r="D891"/>
      <c r="E891"/>
      <c r="EZ891" s="27" t="s">
        <v>7</v>
      </c>
      <c r="FA891" s="27" t="s">
        <v>8</v>
      </c>
    </row>
    <row r="892" spans="1:166" x14ac:dyDescent="0.25">
      <c r="A892" s="7">
        <v>2.3820321160417726E-3</v>
      </c>
      <c r="B892"/>
      <c r="C892"/>
      <c r="D892"/>
      <c r="E892"/>
      <c r="EZ892" s="27" t="s">
        <v>7</v>
      </c>
      <c r="FA892" s="27" t="s">
        <v>8</v>
      </c>
    </row>
    <row r="893" spans="1:166" x14ac:dyDescent="0.25">
      <c r="A893" s="7">
        <v>2.3353256039625224E-3</v>
      </c>
      <c r="B893"/>
      <c r="C893"/>
      <c r="D893"/>
      <c r="E893"/>
      <c r="EZ893" s="27" t="s">
        <v>7</v>
      </c>
      <c r="FA893" s="27" t="s">
        <v>8</v>
      </c>
    </row>
    <row r="894" spans="1:166" x14ac:dyDescent="0.25">
      <c r="A894" s="7">
        <v>2.2895349058456101E-3</v>
      </c>
      <c r="B894"/>
      <c r="C894"/>
      <c r="D894"/>
      <c r="E894"/>
      <c r="EZ894" s="27" t="s">
        <v>7</v>
      </c>
      <c r="FA894" s="27" t="s">
        <v>8</v>
      </c>
    </row>
    <row r="895" spans="1:166" x14ac:dyDescent="0.25">
      <c r="A895" s="7">
        <v>2.24464206455452E-3</v>
      </c>
      <c r="B895"/>
      <c r="C895"/>
      <c r="D895"/>
      <c r="E895"/>
      <c r="EZ895" s="27" t="s">
        <v>7</v>
      </c>
      <c r="FA895" s="27" t="s">
        <v>8</v>
      </c>
    </row>
    <row r="896" spans="1:166" x14ac:dyDescent="0.25">
      <c r="A896" s="7">
        <v>2.200629475053451E-3</v>
      </c>
      <c r="B896"/>
      <c r="C896"/>
      <c r="D896"/>
      <c r="E896"/>
      <c r="EZ896" s="27" t="s">
        <v>7</v>
      </c>
      <c r="FA896" s="27" t="s">
        <v>8</v>
      </c>
    </row>
    <row r="897" spans="1:157" x14ac:dyDescent="0.25">
      <c r="A897" s="7">
        <v>2.1574798775033832E-3</v>
      </c>
      <c r="B897"/>
      <c r="C897"/>
      <c r="D897"/>
      <c r="E897"/>
      <c r="EZ897" s="27" t="s">
        <v>7</v>
      </c>
      <c r="FA897" s="27" t="s">
        <v>8</v>
      </c>
    </row>
    <row r="898" spans="1:157" x14ac:dyDescent="0.25">
      <c r="A898" s="7">
        <v>2.115176350493513E-3</v>
      </c>
      <c r="B898"/>
      <c r="C898"/>
      <c r="D898"/>
      <c r="E898"/>
      <c r="EZ898" s="27" t="s">
        <v>7</v>
      </c>
      <c r="FA898" s="27" t="s">
        <v>8</v>
      </c>
    </row>
    <row r="899" spans="1:157" x14ac:dyDescent="0.25">
      <c r="A899" s="7">
        <v>2.0737023044054047E-3</v>
      </c>
      <c r="B899"/>
      <c r="C899"/>
      <c r="D899"/>
      <c r="E899"/>
      <c r="EZ899" s="27" t="s">
        <v>7</v>
      </c>
      <c r="FA899" s="27" t="s">
        <v>8</v>
      </c>
    </row>
    <row r="900" spans="1:157" x14ac:dyDescent="0.25">
      <c r="A900" s="7">
        <v>2.0330414749072595E-3</v>
      </c>
      <c r="B900"/>
      <c r="C900"/>
      <c r="D900"/>
      <c r="E900"/>
      <c r="EZ900" s="27" t="s">
        <v>7</v>
      </c>
      <c r="FA900" s="27" t="s">
        <v>8</v>
      </c>
    </row>
    <row r="901" spans="1:157" x14ac:dyDescent="0.25">
      <c r="A901" s="7">
        <v>1.9931779165757446E-3</v>
      </c>
      <c r="B901"/>
      <c r="C901"/>
      <c r="D901"/>
      <c r="E901"/>
      <c r="EZ901" s="27" t="s">
        <v>7</v>
      </c>
    </row>
    <row r="902" spans="1:157" x14ac:dyDescent="0.25">
      <c r="A902" s="7">
        <v>1.954095996642887E-3</v>
      </c>
      <c r="B902"/>
      <c r="C902"/>
      <c r="D902"/>
      <c r="E902"/>
    </row>
    <row r="903" spans="1:157" x14ac:dyDescent="0.25">
      <c r="A903" s="7">
        <v>1.9157803888655755E-3</v>
      </c>
      <c r="B903"/>
      <c r="C903"/>
      <c r="D903"/>
      <c r="E903"/>
    </row>
    <row r="904" spans="1:157" x14ac:dyDescent="0.25">
      <c r="A904" s="7">
        <v>1.8782160675152703E-3</v>
      </c>
      <c r="B904"/>
      <c r="C904"/>
      <c r="D904"/>
      <c r="E904"/>
    </row>
    <row r="905" spans="1:157" x14ac:dyDescent="0.25">
      <c r="A905" s="7">
        <v>1.8413883014855592E-3</v>
      </c>
      <c r="B905"/>
      <c r="C905"/>
      <c r="D905"/>
      <c r="E905"/>
    </row>
    <row r="906" spans="1:157" x14ac:dyDescent="0.25">
      <c r="A906" s="7">
        <v>1.8052826485152542E-3</v>
      </c>
      <c r="B906"/>
      <c r="C906"/>
      <c r="D906"/>
      <c r="E906"/>
    </row>
    <row r="907" spans="1:157" x14ac:dyDescent="0.25">
      <c r="A907" s="7">
        <v>1.7698849495247592E-3</v>
      </c>
      <c r="B907"/>
      <c r="C907"/>
      <c r="D907"/>
      <c r="E907"/>
    </row>
    <row r="908" spans="1:157" x14ac:dyDescent="0.25">
      <c r="A908" s="7">
        <v>1.7351813230634893E-3</v>
      </c>
      <c r="B908"/>
      <c r="C908"/>
      <c r="D908"/>
      <c r="E908"/>
    </row>
    <row r="909" spans="1:157" x14ac:dyDescent="0.25">
      <c r="A909" s="7">
        <v>1.701158159866166E-3</v>
      </c>
      <c r="B909"/>
      <c r="C909"/>
      <c r="D909"/>
      <c r="E909"/>
    </row>
    <row r="910" spans="1:157" x14ac:dyDescent="0.25">
      <c r="A910" s="7">
        <v>1.6678021175158492E-3</v>
      </c>
      <c r="B910"/>
      <c r="C910"/>
      <c r="D910"/>
      <c r="E910"/>
    </row>
    <row r="911" spans="1:157" x14ac:dyDescent="0.25">
      <c r="A911" s="7">
        <v>1.6351001152116167E-3</v>
      </c>
      <c r="B911"/>
      <c r="C911"/>
      <c r="D911"/>
      <c r="E911"/>
    </row>
    <row r="912" spans="1:157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420" operator="equal">
      <formula>$U$1</formula>
    </cfRule>
    <cfRule type="cellIs" dxfId="89" priority="1421" operator="equal">
      <formula>$S$1</formula>
    </cfRule>
  </conditionalFormatting>
  <conditionalFormatting sqref="D27">
    <cfRule type="cellIs" dxfId="88" priority="1418" operator="equal">
      <formula>$S$1</formula>
    </cfRule>
    <cfRule type="cellIs" dxfId="87" priority="1419" operator="equal">
      <formula>$U$1</formula>
    </cfRule>
  </conditionalFormatting>
  <conditionalFormatting sqref="C164">
    <cfRule type="cellIs" dxfId="86" priority="1416" operator="equal">
      <formula>$U$1</formula>
    </cfRule>
    <cfRule type="cellIs" dxfId="85" priority="1417" operator="equal">
      <formula>$S$1</formula>
    </cfRule>
  </conditionalFormatting>
  <conditionalFormatting sqref="D164">
    <cfRule type="cellIs" dxfId="84" priority="1414" operator="equal">
      <formula>$S$1</formula>
    </cfRule>
    <cfRule type="cellIs" dxfId="83" priority="1415" operator="equal">
      <formula>$U$1</formula>
    </cfRule>
  </conditionalFormatting>
  <conditionalFormatting sqref="C55">
    <cfRule type="cellIs" dxfId="82" priority="1412" operator="equal">
      <formula>$U$1</formula>
    </cfRule>
    <cfRule type="cellIs" dxfId="81" priority="1413" operator="equal">
      <formula>$S$1</formula>
    </cfRule>
  </conditionalFormatting>
  <conditionalFormatting sqref="D55">
    <cfRule type="cellIs" dxfId="80" priority="1410" operator="equal">
      <formula>$S$1</formula>
    </cfRule>
    <cfRule type="cellIs" dxfId="79" priority="1411" operator="equal">
      <formula>$U$1</formula>
    </cfRule>
  </conditionalFormatting>
  <conditionalFormatting sqref="C89">
    <cfRule type="cellIs" dxfId="78" priority="1408" operator="equal">
      <formula>$U$1</formula>
    </cfRule>
    <cfRule type="cellIs" dxfId="77" priority="1409" operator="equal">
      <formula>$S$1</formula>
    </cfRule>
  </conditionalFormatting>
  <conditionalFormatting sqref="D89">
    <cfRule type="cellIs" dxfId="76" priority="1406" operator="equal">
      <formula>$S$1</formula>
    </cfRule>
    <cfRule type="cellIs" dxfId="75" priority="1407" operator="equal">
      <formula>$U$1</formula>
    </cfRule>
  </conditionalFormatting>
  <conditionalFormatting sqref="C136">
    <cfRule type="cellIs" dxfId="74" priority="1404" operator="equal">
      <formula>$U$1</formula>
    </cfRule>
    <cfRule type="cellIs" dxfId="73" priority="1405" operator="equal">
      <formula>$S$1</formula>
    </cfRule>
  </conditionalFormatting>
  <conditionalFormatting sqref="D136">
    <cfRule type="cellIs" dxfId="72" priority="1402" operator="equal">
      <formula>$S$1</formula>
    </cfRule>
    <cfRule type="cellIs" dxfId="71" priority="1403" operator="equal">
      <formula>$U$1</formula>
    </cfRule>
  </conditionalFormatting>
  <conditionalFormatting sqref="C1">
    <cfRule type="cellIs" dxfId="70" priority="140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IS308" sqref="IS30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$A$307</v>
      </c>
      <c r="D111" s="1" t="str">
        <f>ADDRESS(C121-1,D121,1,1)</f>
        <v>$IS$307</v>
      </c>
      <c r="E111"/>
    </row>
    <row r="112" spans="1:5" x14ac:dyDescent="0.25">
      <c r="A112" s="30">
        <v>515.50191262726139</v>
      </c>
      <c r="C112" s="1" t="str">
        <f>ADDRESS(C121,1,1,1)</f>
        <v>$A$308</v>
      </c>
      <c r="D112" s="1" t="str">
        <f>ADDRESS(C121,D121-1,1,1)</f>
        <v>$IR$308</v>
      </c>
      <c r="E112"/>
    </row>
    <row r="113" spans="1:5" x14ac:dyDescent="0.25">
      <c r="A113" s="30">
        <v>490.95420250215363</v>
      </c>
      <c r="C113" s="1" t="str">
        <f>ADDRESS(C121+1,1,1,1)</f>
        <v>$A$309</v>
      </c>
      <c r="D113" s="1" t="str">
        <f>ADDRESS(C121-1,D121+1,1,1)</f>
        <v>$IT$307</v>
      </c>
    </row>
    <row r="114" spans="1:5" x14ac:dyDescent="0.25">
      <c r="A114" s="30">
        <v>467.57543095443202</v>
      </c>
      <c r="C114" s="1" t="str">
        <f>ADDRESS(C121,D121,1,1)</f>
        <v>$IS$308</v>
      </c>
      <c r="D114" s="1" t="str">
        <f>ADDRESS(C121+1,D121+1,1,1)</f>
        <v>$IT$309</v>
      </c>
    </row>
    <row r="115" spans="1:5" x14ac:dyDescent="0.25">
      <c r="A115" s="30">
        <v>445.30993424231622</v>
      </c>
      <c r="C115" s="1" t="str">
        <f>ADDRESS(C121+1,D121,1,1)</f>
        <v>$IS$309</v>
      </c>
    </row>
    <row r="116" spans="1:5" x14ac:dyDescent="0.25">
      <c r="A116" s="30">
        <v>424.10469927839637</v>
      </c>
      <c r="C116" s="1">
        <f>C117-1</f>
        <v>307</v>
      </c>
    </row>
    <row r="117" spans="1:5" x14ac:dyDescent="0.25">
      <c r="A117" s="30">
        <v>403.9092374079965</v>
      </c>
      <c r="C117" s="1">
        <f>C121</f>
        <v>308</v>
      </c>
      <c r="D117" s="1">
        <f>D121</f>
        <v>253</v>
      </c>
    </row>
    <row r="118" spans="1:5" x14ac:dyDescent="0.25">
      <c r="A118" s="30">
        <v>384.6754641980919</v>
      </c>
      <c r="C118" s="1">
        <f>C117+1</f>
        <v>309</v>
      </c>
      <c r="D118" s="1">
        <f>D117+1</f>
        <v>254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308</v>
      </c>
      <c r="D121" s="19">
        <v>253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R308</v>
      </c>
      <c r="D123" s="1" t="str">
        <f>"C"&amp;D121</f>
        <v>C253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3.6234949738447833E-2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5" x14ac:dyDescent="0.25">
      <c r="A225" s="30">
        <v>2.0789281794113688</v>
      </c>
      <c r="E225"/>
    </row>
    <row r="226" spans="1:5" x14ac:dyDescent="0.25">
      <c r="A226" s="30">
        <v>1.9799315994393987</v>
      </c>
      <c r="E226"/>
    </row>
    <row r="227" spans="1:5" x14ac:dyDescent="0.25">
      <c r="A227" s="30">
        <v>1.8856491423232367</v>
      </c>
      <c r="E227"/>
    </row>
    <row r="228" spans="1:5" x14ac:dyDescent="0.25">
      <c r="A228" s="30">
        <v>1.7958563260221301</v>
      </c>
      <c r="C228" s="7"/>
      <c r="D228"/>
      <c r="E228"/>
    </row>
    <row r="229" spans="1:5" x14ac:dyDescent="0.25">
      <c r="A229" s="30">
        <v>1.7103393581163142</v>
      </c>
      <c r="E229"/>
    </row>
    <row r="230" spans="1:5" x14ac:dyDescent="0.25">
      <c r="A230" s="30">
        <v>1.628894626777442</v>
      </c>
      <c r="E230"/>
    </row>
    <row r="231" spans="1:5" x14ac:dyDescent="0.25">
      <c r="A231" s="30">
        <v>1.5513282159785162</v>
      </c>
      <c r="C231"/>
      <c r="D231"/>
      <c r="E231"/>
    </row>
    <row r="232" spans="1:5" x14ac:dyDescent="0.25">
      <c r="A232" s="30">
        <v>1.477455443789063</v>
      </c>
      <c r="E232"/>
    </row>
    <row r="233" spans="1:5" x14ac:dyDescent="0.25">
      <c r="A233" s="30">
        <v>1.4071004226562505</v>
      </c>
      <c r="E233"/>
    </row>
    <row r="234" spans="1:5" x14ac:dyDescent="0.25">
      <c r="A234" s="30">
        <v>1.3400956406250004</v>
      </c>
      <c r="E234"/>
    </row>
    <row r="235" spans="1:5" x14ac:dyDescent="0.25">
      <c r="A235" s="30">
        <v>1.2762815625000004</v>
      </c>
      <c r="C235"/>
      <c r="E235"/>
    </row>
    <row r="236" spans="1:5" x14ac:dyDescent="0.25">
      <c r="A236" s="30">
        <v>1.2155062500000002</v>
      </c>
      <c r="E236"/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</row>
    <row r="238" spans="1:5" x14ac:dyDescent="0.25">
      <c r="A238" s="30">
        <v>1.1025</v>
      </c>
      <c r="E238"/>
    </row>
    <row r="239" spans="1:5" x14ac:dyDescent="0.25">
      <c r="A239" s="30">
        <v>1.05</v>
      </c>
      <c r="E239"/>
    </row>
    <row r="240" spans="1:5" x14ac:dyDescent="0.25">
      <c r="A240" s="30">
        <v>1</v>
      </c>
      <c r="E240" s="29" t="s">
        <v>8</v>
      </c>
    </row>
    <row r="241" spans="1:6" x14ac:dyDescent="0.25">
      <c r="A241" s="30">
        <v>0.952380952380952</v>
      </c>
      <c r="B241"/>
      <c r="C241"/>
      <c r="D241"/>
      <c r="E241"/>
      <c r="F241" s="27" t="s">
        <v>7</v>
      </c>
    </row>
    <row r="242" spans="1:6" x14ac:dyDescent="0.25">
      <c r="A242" s="30">
        <v>0.90702947845804915</v>
      </c>
      <c r="B242"/>
      <c r="C242"/>
      <c r="D242"/>
      <c r="E242"/>
      <c r="F242" s="27" t="s">
        <v>7</v>
      </c>
    </row>
    <row r="243" spans="1:6" x14ac:dyDescent="0.25">
      <c r="A243" s="30">
        <v>0.86383759853147501</v>
      </c>
      <c r="B243"/>
      <c r="C243"/>
      <c r="D243"/>
      <c r="E243"/>
      <c r="F243" s="27" t="s">
        <v>7</v>
      </c>
    </row>
    <row r="244" spans="1:6" x14ac:dyDescent="0.25">
      <c r="A244" s="30">
        <v>0.82270247479188063</v>
      </c>
      <c r="B244"/>
      <c r="C244"/>
      <c r="D244"/>
      <c r="E244"/>
      <c r="F244" s="27" t="s">
        <v>7</v>
      </c>
    </row>
    <row r="245" spans="1:6" x14ac:dyDescent="0.25">
      <c r="A245" s="30">
        <v>0.78352616646845741</v>
      </c>
      <c r="B245"/>
      <c r="C245"/>
      <c r="D245"/>
      <c r="E245"/>
      <c r="F245" s="27" t="s">
        <v>7</v>
      </c>
    </row>
    <row r="246" spans="1:6" x14ac:dyDescent="0.25">
      <c r="A246" s="30">
        <v>0.74621539663662584</v>
      </c>
      <c r="B246"/>
      <c r="C246"/>
      <c r="D246"/>
      <c r="E246"/>
      <c r="F246" s="27" t="s">
        <v>7</v>
      </c>
    </row>
    <row r="247" spans="1:6" x14ac:dyDescent="0.25">
      <c r="A247" s="30">
        <v>0.71068133013011958</v>
      </c>
      <c r="B247"/>
      <c r="C247"/>
      <c r="D247"/>
      <c r="E247"/>
      <c r="F247" s="27" t="s">
        <v>7</v>
      </c>
    </row>
    <row r="248" spans="1:6" x14ac:dyDescent="0.25">
      <c r="A248" s="30">
        <v>0.676839362028685</v>
      </c>
      <c r="B248"/>
      <c r="C248"/>
      <c r="D248"/>
      <c r="E248"/>
      <c r="F248" s="27" t="s">
        <v>7</v>
      </c>
    </row>
    <row r="249" spans="1:6" x14ac:dyDescent="0.25">
      <c r="A249" s="30">
        <v>0.64460891621779492</v>
      </c>
      <c r="B249"/>
      <c r="C249"/>
      <c r="D249"/>
      <c r="E249"/>
      <c r="F249" s="27" t="s">
        <v>7</v>
      </c>
    </row>
    <row r="250" spans="1:6" x14ac:dyDescent="0.25">
      <c r="A250" s="30">
        <v>0.61391325354075688</v>
      </c>
      <c r="B250"/>
      <c r="C250"/>
      <c r="D250"/>
      <c r="E250"/>
      <c r="F250" s="27" t="s">
        <v>7</v>
      </c>
    </row>
    <row r="251" spans="1:6" x14ac:dyDescent="0.25">
      <c r="A251" s="30">
        <v>0.58467928908643485</v>
      </c>
      <c r="B251"/>
      <c r="C251"/>
      <c r="D251"/>
      <c r="E251"/>
      <c r="F251" s="27" t="s">
        <v>7</v>
      </c>
    </row>
    <row r="252" spans="1:6" x14ac:dyDescent="0.25">
      <c r="A252" s="30">
        <v>0.55683741817755672</v>
      </c>
      <c r="B252"/>
      <c r="C252"/>
      <c r="D252"/>
      <c r="E252"/>
      <c r="F252" s="27" t="s">
        <v>7</v>
      </c>
    </row>
    <row r="253" spans="1:6" x14ac:dyDescent="0.25">
      <c r="A253" s="30">
        <v>0.53032135064529184</v>
      </c>
      <c r="B253"/>
      <c r="C253"/>
      <c r="D253"/>
      <c r="E253"/>
      <c r="F253" s="27" t="s">
        <v>7</v>
      </c>
    </row>
    <row r="254" spans="1:6" x14ac:dyDescent="0.25">
      <c r="A254" s="30">
        <v>0.50506795299551588</v>
      </c>
      <c r="B254"/>
      <c r="C254"/>
      <c r="D254"/>
      <c r="E254"/>
      <c r="F254" s="27" t="s">
        <v>7</v>
      </c>
    </row>
    <row r="255" spans="1:6" x14ac:dyDescent="0.25">
      <c r="A255" s="30">
        <v>0.48101709809096732</v>
      </c>
      <c r="E255"/>
      <c r="F255" s="27" t="s">
        <v>7</v>
      </c>
    </row>
    <row r="256" spans="1:6" x14ac:dyDescent="0.25">
      <c r="A256" s="30">
        <v>0.45811152199139726</v>
      </c>
      <c r="E256"/>
      <c r="F256" s="27" t="s">
        <v>7</v>
      </c>
    </row>
    <row r="257" spans="1:6" x14ac:dyDescent="0.25">
      <c r="A257" s="30">
        <v>0.43629668761085438</v>
      </c>
      <c r="B257"/>
      <c r="C257"/>
      <c r="D257"/>
      <c r="E257"/>
      <c r="F257" s="27" t="s">
        <v>7</v>
      </c>
    </row>
    <row r="258" spans="1:6" x14ac:dyDescent="0.25">
      <c r="A258" s="30">
        <v>0.41552065486748019</v>
      </c>
      <c r="B258"/>
      <c r="C258"/>
      <c r="D258"/>
      <c r="E258"/>
      <c r="F258" s="27" t="s">
        <v>7</v>
      </c>
    </row>
    <row r="259" spans="1:6" x14ac:dyDescent="0.25">
      <c r="A259" s="30">
        <v>0.39573395701664765</v>
      </c>
      <c r="B259"/>
      <c r="C259"/>
      <c r="D259"/>
      <c r="E259"/>
      <c r="F259" s="27" t="s">
        <v>7</v>
      </c>
    </row>
    <row r="260" spans="1:6" x14ac:dyDescent="0.25">
      <c r="A260" s="30">
        <v>0.37688948287299762</v>
      </c>
      <c r="B260"/>
      <c r="C260"/>
      <c r="D260"/>
      <c r="E260"/>
      <c r="F260" s="27" t="s">
        <v>7</v>
      </c>
    </row>
    <row r="261" spans="1:6" x14ac:dyDescent="0.25">
      <c r="A261" s="30">
        <v>0.35894236464094997</v>
      </c>
      <c r="B261"/>
      <c r="C261"/>
      <c r="D261"/>
      <c r="E261"/>
      <c r="F261" s="27" t="s">
        <v>7</v>
      </c>
    </row>
    <row r="262" spans="1:6" x14ac:dyDescent="0.25">
      <c r="A262" s="30">
        <v>0.34184987108661891</v>
      </c>
      <c r="B262"/>
      <c r="C262"/>
      <c r="D262"/>
      <c r="E262"/>
      <c r="F262" s="27" t="s">
        <v>7</v>
      </c>
    </row>
    <row r="263" spans="1:6" x14ac:dyDescent="0.25">
      <c r="A263" s="30">
        <v>0.32557130579677979</v>
      </c>
      <c r="B263"/>
      <c r="C263"/>
      <c r="D263"/>
      <c r="E263"/>
      <c r="F263" s="27" t="s">
        <v>7</v>
      </c>
    </row>
    <row r="264" spans="1:6" x14ac:dyDescent="0.25">
      <c r="A264" s="30">
        <v>0.3100679102826473</v>
      </c>
      <c r="B264"/>
      <c r="C264"/>
      <c r="D264"/>
      <c r="E264"/>
      <c r="F264" s="27" t="s">
        <v>7</v>
      </c>
    </row>
    <row r="265" spans="1:6" x14ac:dyDescent="0.25">
      <c r="A265" s="30">
        <v>0.2953027716977592</v>
      </c>
      <c r="B265"/>
      <c r="C265"/>
      <c r="D265"/>
      <c r="E265"/>
      <c r="F265" s="27" t="s">
        <v>7</v>
      </c>
    </row>
    <row r="266" spans="1:6" x14ac:dyDescent="0.25">
      <c r="A266" s="30">
        <v>0.28124073495024676</v>
      </c>
      <c r="B266"/>
      <c r="C266"/>
      <c r="D266"/>
      <c r="E266"/>
      <c r="F266" s="27" t="s">
        <v>7</v>
      </c>
    </row>
    <row r="267" spans="1:6" x14ac:dyDescent="0.25">
      <c r="A267" s="30">
        <v>0.26784831900023492</v>
      </c>
      <c r="B267"/>
      <c r="C267"/>
      <c r="D267"/>
      <c r="E267"/>
      <c r="F267" s="27" t="s">
        <v>7</v>
      </c>
    </row>
    <row r="268" spans="1:6" x14ac:dyDescent="0.25">
      <c r="A268" s="30">
        <v>0.25509363714308075</v>
      </c>
      <c r="B268"/>
      <c r="C268"/>
      <c r="D268"/>
      <c r="E268"/>
      <c r="F268" s="27" t="s">
        <v>7</v>
      </c>
    </row>
    <row r="269" spans="1:6" x14ac:dyDescent="0.25">
      <c r="A269" s="30">
        <v>0.24294632108864825</v>
      </c>
      <c r="B269"/>
      <c r="C269"/>
      <c r="D269"/>
      <c r="E269"/>
      <c r="F269" s="27" t="s">
        <v>7</v>
      </c>
    </row>
    <row r="270" spans="1:6" x14ac:dyDescent="0.25">
      <c r="A270" s="30">
        <v>0.23137744865585538</v>
      </c>
      <c r="B270"/>
      <c r="C270"/>
      <c r="D270"/>
      <c r="E270"/>
      <c r="F270" s="27" t="s">
        <v>7</v>
      </c>
    </row>
    <row r="271" spans="1:6" x14ac:dyDescent="0.25">
      <c r="A271" s="30">
        <v>0.22035947491033836</v>
      </c>
      <c r="B271"/>
      <c r="C271"/>
      <c r="D271"/>
      <c r="E271"/>
      <c r="F271" s="27" t="s">
        <v>7</v>
      </c>
    </row>
    <row r="272" spans="1:6" x14ac:dyDescent="0.25">
      <c r="A272" s="30">
        <v>0.20986616658127455</v>
      </c>
      <c r="B272"/>
      <c r="C272"/>
      <c r="D272"/>
      <c r="E272"/>
      <c r="F272" s="27" t="s">
        <v>7</v>
      </c>
    </row>
    <row r="273" spans="1:236" x14ac:dyDescent="0.25">
      <c r="A273" s="30">
        <v>0.19987253960121379</v>
      </c>
      <c r="B273"/>
      <c r="C273"/>
      <c r="D273"/>
      <c r="E273"/>
      <c r="F273" s="27" t="s">
        <v>7</v>
      </c>
    </row>
    <row r="274" spans="1:236" x14ac:dyDescent="0.25">
      <c r="A274" s="30">
        <v>0.19035479962020352</v>
      </c>
      <c r="B274"/>
      <c r="C274"/>
      <c r="D274"/>
      <c r="E274"/>
      <c r="F274" s="27" t="s">
        <v>7</v>
      </c>
      <c r="FC274" s="27" t="s">
        <v>8</v>
      </c>
    </row>
    <row r="275" spans="1:236" x14ac:dyDescent="0.25">
      <c r="A275" s="30">
        <v>0.18129028535257471</v>
      </c>
      <c r="B275"/>
      <c r="C275"/>
      <c r="D275"/>
      <c r="E275"/>
      <c r="F275" s="27" t="s">
        <v>7</v>
      </c>
      <c r="FC275" s="27" t="s">
        <v>8</v>
      </c>
      <c r="FD275" s="27" t="s">
        <v>7</v>
      </c>
      <c r="FE275" s="27" t="s">
        <v>8</v>
      </c>
      <c r="HS275" s="27" t="s">
        <v>8</v>
      </c>
    </row>
    <row r="276" spans="1:236" x14ac:dyDescent="0.25">
      <c r="A276" s="30">
        <v>0.17265741462149967</v>
      </c>
      <c r="B276"/>
      <c r="C276"/>
      <c r="D276"/>
      <c r="E276"/>
      <c r="F276" s="27" t="s">
        <v>7</v>
      </c>
      <c r="FC276" s="27" t="s">
        <v>8</v>
      </c>
      <c r="FD276" s="27" t="s">
        <v>7</v>
      </c>
      <c r="FE276" s="27" t="s">
        <v>8</v>
      </c>
      <c r="FF276" s="27" t="s">
        <v>7</v>
      </c>
      <c r="HS276" s="27" t="s">
        <v>8</v>
      </c>
      <c r="HT276" s="27" t="s">
        <v>7</v>
      </c>
    </row>
    <row r="277" spans="1:236" x14ac:dyDescent="0.25">
      <c r="A277" s="30">
        <v>0.16443563297285677</v>
      </c>
      <c r="B277"/>
      <c r="C277"/>
      <c r="D277"/>
      <c r="E277"/>
      <c r="F277" s="27" t="s">
        <v>7</v>
      </c>
      <c r="FC277" s="27" t="s">
        <v>8</v>
      </c>
      <c r="FD277" s="27" t="s">
        <v>7</v>
      </c>
      <c r="FE277" s="27" t="s">
        <v>8</v>
      </c>
      <c r="FF277" s="27" t="s">
        <v>7</v>
      </c>
      <c r="FG277" s="27" t="s">
        <v>8</v>
      </c>
      <c r="FI277" s="27" t="s">
        <v>8</v>
      </c>
      <c r="HS277" s="27" t="s">
        <v>8</v>
      </c>
      <c r="HT277" s="27" t="s">
        <v>7</v>
      </c>
    </row>
    <row r="278" spans="1:236" x14ac:dyDescent="0.25">
      <c r="A278" s="30">
        <v>0.15660536473605399</v>
      </c>
      <c r="B278"/>
      <c r="C278"/>
      <c r="D278"/>
      <c r="E278"/>
      <c r="F278" s="27" t="s">
        <v>7</v>
      </c>
      <c r="FC278" s="27" t="s">
        <v>8</v>
      </c>
      <c r="FD278" s="27" t="s">
        <v>7</v>
      </c>
      <c r="FE278" s="27" t="s">
        <v>8</v>
      </c>
      <c r="FF278" s="27" t="s">
        <v>7</v>
      </c>
      <c r="FG278" s="27" t="s">
        <v>8</v>
      </c>
      <c r="FH278" s="27" t="s">
        <v>7</v>
      </c>
      <c r="FI278" s="27" t="s">
        <v>8</v>
      </c>
      <c r="FJ278" s="27" t="s">
        <v>7</v>
      </c>
      <c r="HS278" s="27" t="s">
        <v>8</v>
      </c>
      <c r="HT278" s="27" t="s">
        <v>7</v>
      </c>
    </row>
    <row r="279" spans="1:236" x14ac:dyDescent="0.25">
      <c r="A279" s="30">
        <v>0.14914796641528946</v>
      </c>
      <c r="B279"/>
      <c r="C279"/>
      <c r="D279"/>
      <c r="E279"/>
      <c r="F279" s="27" t="s">
        <v>7</v>
      </c>
      <c r="FC279" s="27" t="s">
        <v>8</v>
      </c>
      <c r="FD279" s="27" t="s">
        <v>7</v>
      </c>
      <c r="FE279" s="27" t="s">
        <v>8</v>
      </c>
      <c r="FF279" s="27" t="s">
        <v>7</v>
      </c>
      <c r="FG279" s="27" t="s">
        <v>8</v>
      </c>
      <c r="FH279" s="27" t="s">
        <v>7</v>
      </c>
      <c r="FI279" s="27" t="s">
        <v>8</v>
      </c>
      <c r="FJ279" s="27" t="s">
        <v>7</v>
      </c>
      <c r="FO279" s="27" t="s">
        <v>8</v>
      </c>
      <c r="HS279" s="27" t="s">
        <v>8</v>
      </c>
      <c r="HT279" s="27" t="s">
        <v>7</v>
      </c>
    </row>
    <row r="280" spans="1:236" x14ac:dyDescent="0.25">
      <c r="A280" s="30">
        <v>0.14204568230027562</v>
      </c>
      <c r="B280"/>
      <c r="C280"/>
      <c r="D280"/>
      <c r="E280"/>
      <c r="F280" s="27" t="s">
        <v>7</v>
      </c>
      <c r="FC280" s="27" t="s">
        <v>8</v>
      </c>
      <c r="FD280" s="27" t="s">
        <v>7</v>
      </c>
      <c r="FE280" s="27" t="s">
        <v>8</v>
      </c>
      <c r="FF280" s="27" t="s">
        <v>7</v>
      </c>
      <c r="FG280" s="27" t="s">
        <v>8</v>
      </c>
      <c r="FH280" s="27" t="s">
        <v>7</v>
      </c>
      <c r="FI280" s="27" t="s">
        <v>8</v>
      </c>
      <c r="FJ280" s="27" t="s">
        <v>7</v>
      </c>
      <c r="FO280" s="27" t="s">
        <v>8</v>
      </c>
      <c r="FP280" s="27" t="s">
        <v>7</v>
      </c>
      <c r="HS280" s="27" t="s">
        <v>8</v>
      </c>
      <c r="HT280" s="27" t="s">
        <v>7</v>
      </c>
    </row>
    <row r="281" spans="1:236" x14ac:dyDescent="0.25">
      <c r="A281" s="30">
        <v>0.13528160219073862</v>
      </c>
      <c r="B281"/>
      <c r="C281"/>
      <c r="D281"/>
      <c r="E281"/>
      <c r="F281" s="27" t="s">
        <v>7</v>
      </c>
      <c r="FC281" s="27" t="s">
        <v>8</v>
      </c>
      <c r="FD281" s="27" t="s">
        <v>7</v>
      </c>
      <c r="FE281" s="27" t="s">
        <v>8</v>
      </c>
      <c r="FF281" s="27" t="s">
        <v>7</v>
      </c>
      <c r="FG281" s="27" t="s">
        <v>8</v>
      </c>
      <c r="FH281" s="27" t="s">
        <v>7</v>
      </c>
      <c r="FI281" s="27" t="s">
        <v>8</v>
      </c>
      <c r="FJ281" s="27" t="s">
        <v>7</v>
      </c>
      <c r="FO281" s="27" t="s">
        <v>8</v>
      </c>
      <c r="FP281" s="27" t="s">
        <v>7</v>
      </c>
      <c r="HS281" s="27" t="s">
        <v>8</v>
      </c>
      <c r="HT281" s="27" t="s">
        <v>7</v>
      </c>
    </row>
    <row r="282" spans="1:236" x14ac:dyDescent="0.25">
      <c r="A282" s="30">
        <v>0.12883962113403674</v>
      </c>
      <c r="B282"/>
      <c r="C282"/>
      <c r="D282"/>
      <c r="E282"/>
      <c r="F282" s="27" t="s">
        <v>7</v>
      </c>
      <c r="FC282" s="27" t="s">
        <v>8</v>
      </c>
      <c r="FD282" s="27" t="s">
        <v>7</v>
      </c>
      <c r="FE282" s="27" t="s">
        <v>8</v>
      </c>
      <c r="FF282" s="27" t="s">
        <v>7</v>
      </c>
      <c r="FH282" s="27" t="s">
        <v>7</v>
      </c>
      <c r="FI282" s="27" t="s">
        <v>8</v>
      </c>
      <c r="FJ282" s="27" t="s">
        <v>7</v>
      </c>
      <c r="FO282" s="27" t="s">
        <v>8</v>
      </c>
      <c r="FP282" s="27" t="s">
        <v>7</v>
      </c>
      <c r="HS282" s="27" t="s">
        <v>8</v>
      </c>
      <c r="HT282" s="27" t="s">
        <v>7</v>
      </c>
    </row>
    <row r="283" spans="1:236" x14ac:dyDescent="0.25">
      <c r="A283" s="30">
        <v>0.12270440108003494</v>
      </c>
      <c r="B283"/>
      <c r="C283"/>
      <c r="D283"/>
      <c r="E283"/>
      <c r="F283" s="27" t="s">
        <v>7</v>
      </c>
      <c r="FC283" s="27" t="s">
        <v>8</v>
      </c>
      <c r="FD283" s="27" t="s">
        <v>7</v>
      </c>
      <c r="FE283" s="27" t="s">
        <v>8</v>
      </c>
      <c r="FH283" s="27" t="s">
        <v>7</v>
      </c>
      <c r="FI283" s="27" t="s">
        <v>8</v>
      </c>
      <c r="FJ283" s="27" t="s">
        <v>7</v>
      </c>
      <c r="FK283" s="27" t="s">
        <v>8</v>
      </c>
      <c r="FO283" s="27" t="s">
        <v>8</v>
      </c>
      <c r="FP283" s="27" t="s">
        <v>7</v>
      </c>
      <c r="FQ283" s="27" t="s">
        <v>8</v>
      </c>
      <c r="HS283" s="27" t="s">
        <v>8</v>
      </c>
      <c r="HT283" s="27" t="s">
        <v>7</v>
      </c>
    </row>
    <row r="284" spans="1:236" x14ac:dyDescent="0.25">
      <c r="A284" s="30">
        <v>0.11686133436193799</v>
      </c>
      <c r="B284"/>
      <c r="C284"/>
      <c r="D284"/>
      <c r="E284"/>
      <c r="F284" s="27" t="s">
        <v>7</v>
      </c>
      <c r="FC284" s="27" t="s">
        <v>8</v>
      </c>
      <c r="FD284" s="27" t="s">
        <v>7</v>
      </c>
      <c r="FE284" s="27" t="s">
        <v>8</v>
      </c>
      <c r="FH284" s="27" t="s">
        <v>7</v>
      </c>
      <c r="FJ284" s="27" t="s">
        <v>7</v>
      </c>
      <c r="FK284" s="27" t="s">
        <v>8</v>
      </c>
      <c r="FL284" s="27" t="s">
        <v>7</v>
      </c>
      <c r="FM284" s="27" t="s">
        <v>8</v>
      </c>
      <c r="FO284" s="27" t="s">
        <v>8</v>
      </c>
      <c r="FP284" s="27" t="s">
        <v>7</v>
      </c>
      <c r="FQ284" s="27" t="s">
        <v>8</v>
      </c>
      <c r="FR284" s="27" t="s">
        <v>7</v>
      </c>
      <c r="HS284" s="27" t="s">
        <v>8</v>
      </c>
      <c r="HT284" s="27" t="s">
        <v>7</v>
      </c>
      <c r="HU284" s="27" t="s">
        <v>8</v>
      </c>
      <c r="HW284" s="27" t="s">
        <v>8</v>
      </c>
    </row>
    <row r="285" spans="1:236" x14ac:dyDescent="0.25">
      <c r="A285" s="30">
        <v>0.11129650891613138</v>
      </c>
      <c r="B285"/>
      <c r="C285"/>
      <c r="D285"/>
      <c r="E285"/>
      <c r="F285" s="27" t="s">
        <v>7</v>
      </c>
      <c r="FC285" s="27" t="s">
        <v>8</v>
      </c>
      <c r="FD285" s="27" t="s">
        <v>7</v>
      </c>
      <c r="FE285" s="27" t="s">
        <v>8</v>
      </c>
      <c r="FJ285" s="27" t="s">
        <v>7</v>
      </c>
      <c r="FK285" s="27" t="s">
        <v>8</v>
      </c>
      <c r="FL285" s="27" t="s">
        <v>7</v>
      </c>
      <c r="FM285" s="27" t="s">
        <v>8</v>
      </c>
      <c r="FN285" s="27" t="s">
        <v>7</v>
      </c>
      <c r="FO285" s="27" t="s">
        <v>8</v>
      </c>
      <c r="FP285" s="27" t="s">
        <v>7</v>
      </c>
      <c r="FQ285" s="27" t="s">
        <v>8</v>
      </c>
      <c r="FR285" s="27" t="s">
        <v>7</v>
      </c>
      <c r="HS285" s="27" t="s">
        <v>8</v>
      </c>
      <c r="HT285" s="27" t="s">
        <v>7</v>
      </c>
      <c r="HU285" s="27" t="s">
        <v>8</v>
      </c>
      <c r="HV285" s="27" t="s">
        <v>7</v>
      </c>
      <c r="HW285" s="27" t="s">
        <v>8</v>
      </c>
      <c r="HX285" s="27" t="s">
        <v>7</v>
      </c>
      <c r="IA285" s="27" t="s">
        <v>8</v>
      </c>
    </row>
    <row r="286" spans="1:236" x14ac:dyDescent="0.25">
      <c r="A286" s="30">
        <v>0.10599667515822032</v>
      </c>
      <c r="B286"/>
      <c r="C286"/>
      <c r="D286"/>
      <c r="E286"/>
      <c r="F286" s="27" t="s">
        <v>7</v>
      </c>
      <c r="FC286" s="27" t="s">
        <v>8</v>
      </c>
      <c r="FD286" s="27" t="s">
        <v>7</v>
      </c>
      <c r="FE286" s="27" t="s">
        <v>8</v>
      </c>
      <c r="FJ286" s="27" t="s">
        <v>7</v>
      </c>
      <c r="FK286" s="27" t="s">
        <v>8</v>
      </c>
      <c r="FL286" s="27" t="s">
        <v>7</v>
      </c>
      <c r="FM286" s="27" t="s">
        <v>8</v>
      </c>
      <c r="FN286" s="27" t="s">
        <v>7</v>
      </c>
      <c r="FO286" s="27" t="s">
        <v>8</v>
      </c>
      <c r="FP286" s="27" t="s">
        <v>7</v>
      </c>
      <c r="FR286" s="27" t="s">
        <v>7</v>
      </c>
      <c r="HS286" s="27" t="s">
        <v>8</v>
      </c>
      <c r="HT286" s="27" t="s">
        <v>7</v>
      </c>
      <c r="HU286" s="27" t="s">
        <v>8</v>
      </c>
      <c r="HV286" s="27" t="s">
        <v>7</v>
      </c>
      <c r="HW286" s="27" t="s">
        <v>8</v>
      </c>
      <c r="HX286" s="27" t="s">
        <v>7</v>
      </c>
      <c r="HY286" s="27" t="s">
        <v>8</v>
      </c>
      <c r="IA286" s="27" t="s">
        <v>8</v>
      </c>
      <c r="IB286" s="27" t="s">
        <v>7</v>
      </c>
    </row>
    <row r="287" spans="1:236" x14ac:dyDescent="0.25">
      <c r="A287" s="30">
        <v>0.10094921443640027</v>
      </c>
      <c r="B287"/>
      <c r="C287"/>
      <c r="D287"/>
      <c r="E287"/>
      <c r="F287" s="27" t="s">
        <v>7</v>
      </c>
      <c r="FC287" s="27" t="s">
        <v>8</v>
      </c>
      <c r="FD287" s="27" t="s">
        <v>7</v>
      </c>
      <c r="FE287" s="27" t="s">
        <v>8</v>
      </c>
      <c r="FJ287" s="27" t="s">
        <v>7</v>
      </c>
      <c r="FL287" s="27" t="s">
        <v>7</v>
      </c>
      <c r="FM287" s="27" t="s">
        <v>8</v>
      </c>
      <c r="FN287" s="27" t="s">
        <v>7</v>
      </c>
      <c r="FO287" s="27" t="s">
        <v>8</v>
      </c>
      <c r="FR287" s="27" t="s">
        <v>7</v>
      </c>
      <c r="HS287" s="27" t="s">
        <v>8</v>
      </c>
      <c r="HT287" s="27" t="s">
        <v>7</v>
      </c>
      <c r="HU287" s="27" t="s">
        <v>8</v>
      </c>
      <c r="HV287" s="27" t="s">
        <v>7</v>
      </c>
      <c r="HW287" s="27" t="s">
        <v>8</v>
      </c>
      <c r="HX287" s="27" t="s">
        <v>7</v>
      </c>
      <c r="HY287" s="27" t="s">
        <v>8</v>
      </c>
      <c r="HZ287" s="27" t="s">
        <v>7</v>
      </c>
      <c r="IA287" s="27" t="s">
        <v>8</v>
      </c>
      <c r="IB287" s="27" t="s">
        <v>7</v>
      </c>
    </row>
    <row r="288" spans="1:236" x14ac:dyDescent="0.25">
      <c r="A288" s="30">
        <v>9.6142108987047836E-2</v>
      </c>
      <c r="B288"/>
      <c r="C288"/>
      <c r="D288"/>
      <c r="E288"/>
      <c r="F288" s="27" t="s">
        <v>7</v>
      </c>
      <c r="FC288" s="27" t="s">
        <v>8</v>
      </c>
      <c r="FD288" s="27" t="s">
        <v>7</v>
      </c>
      <c r="FL288" s="27" t="s">
        <v>7</v>
      </c>
      <c r="FM288" s="27" t="s">
        <v>8</v>
      </c>
      <c r="FN288" s="27" t="s">
        <v>7</v>
      </c>
      <c r="FO288" s="27" t="s">
        <v>8</v>
      </c>
      <c r="FR288" s="27" t="s">
        <v>7</v>
      </c>
      <c r="FS288" s="27" t="s">
        <v>8</v>
      </c>
      <c r="HS288" s="27" t="s">
        <v>8</v>
      </c>
      <c r="HT288" s="27" t="s">
        <v>7</v>
      </c>
      <c r="HU288" s="27" t="s">
        <v>8</v>
      </c>
      <c r="HV288" s="27" t="s">
        <v>7</v>
      </c>
      <c r="HW288" s="27" t="s">
        <v>8</v>
      </c>
      <c r="HX288" s="27" t="s">
        <v>7</v>
      </c>
      <c r="HY288" s="27" t="s">
        <v>8</v>
      </c>
      <c r="HZ288" s="27" t="s">
        <v>7</v>
      </c>
      <c r="IA288" s="27" t="s">
        <v>8</v>
      </c>
      <c r="IB288" s="27" t="s">
        <v>7</v>
      </c>
    </row>
    <row r="289" spans="1:250" x14ac:dyDescent="0.25">
      <c r="A289" s="30">
        <v>9.1563913320997906E-2</v>
      </c>
      <c r="B289"/>
      <c r="C289"/>
      <c r="D289"/>
      <c r="E289"/>
      <c r="F289" s="27" t="s">
        <v>7</v>
      </c>
      <c r="FC289" s="27" t="s">
        <v>8</v>
      </c>
      <c r="FL289" s="27" t="s">
        <v>7</v>
      </c>
      <c r="FN289" s="27" t="s">
        <v>7</v>
      </c>
      <c r="FO289" s="27" t="s">
        <v>8</v>
      </c>
      <c r="FR289" s="27" t="s">
        <v>7</v>
      </c>
      <c r="FS289" s="27" t="s">
        <v>8</v>
      </c>
      <c r="FT289" s="27" t="s">
        <v>7</v>
      </c>
      <c r="HS289" s="27" t="s">
        <v>8</v>
      </c>
      <c r="HT289" s="27" t="s">
        <v>7</v>
      </c>
      <c r="HU289" s="27" t="s">
        <v>8</v>
      </c>
      <c r="HV289" s="27" t="s">
        <v>7</v>
      </c>
      <c r="HW289" s="27" t="s">
        <v>8</v>
      </c>
      <c r="HX289" s="27" t="s">
        <v>7</v>
      </c>
      <c r="HZ289" s="27" t="s">
        <v>7</v>
      </c>
      <c r="IA289" s="27" t="s">
        <v>8</v>
      </c>
      <c r="IB289" s="27" t="s">
        <v>7</v>
      </c>
    </row>
    <row r="290" spans="1:250" x14ac:dyDescent="0.25">
      <c r="A290" s="30">
        <v>8.7203726972378923E-2</v>
      </c>
      <c r="B290"/>
      <c r="C290"/>
      <c r="D290"/>
      <c r="E290"/>
      <c r="F290" s="27" t="s">
        <v>7</v>
      </c>
      <c r="FC290" s="27" t="s">
        <v>8</v>
      </c>
      <c r="FN290" s="27" t="s">
        <v>7</v>
      </c>
      <c r="FO290" s="27" t="s">
        <v>8</v>
      </c>
      <c r="FR290" s="27" t="s">
        <v>7</v>
      </c>
      <c r="FS290" s="27" t="s">
        <v>8</v>
      </c>
      <c r="FT290" s="27" t="s">
        <v>7</v>
      </c>
      <c r="GG290" s="27" t="s">
        <v>8</v>
      </c>
      <c r="HS290" s="27" t="s">
        <v>8</v>
      </c>
      <c r="HT290" s="27" t="s">
        <v>7</v>
      </c>
      <c r="HU290" s="27" t="s">
        <v>8</v>
      </c>
      <c r="HV290" s="27" t="s">
        <v>7</v>
      </c>
      <c r="HW290" s="27" t="s">
        <v>8</v>
      </c>
      <c r="HZ290" s="27" t="s">
        <v>7</v>
      </c>
      <c r="IA290" s="27" t="s">
        <v>8</v>
      </c>
      <c r="IB290" s="27" t="s">
        <v>7</v>
      </c>
    </row>
    <row r="291" spans="1:250" x14ac:dyDescent="0.25">
      <c r="A291" s="30">
        <v>8.3051168545122747E-2</v>
      </c>
      <c r="B291"/>
      <c r="C291"/>
      <c r="D291"/>
      <c r="E291"/>
      <c r="F291" s="27" t="s">
        <v>7</v>
      </c>
      <c r="FC291" s="27" t="s">
        <v>8</v>
      </c>
      <c r="FN291" s="27" t="s">
        <v>7</v>
      </c>
      <c r="FO291" s="27" t="s">
        <v>8</v>
      </c>
      <c r="FR291" s="27" t="s">
        <v>7</v>
      </c>
      <c r="FS291" s="27" t="s">
        <v>8</v>
      </c>
      <c r="FT291" s="27" t="s">
        <v>7</v>
      </c>
      <c r="GG291" s="27" t="s">
        <v>8</v>
      </c>
      <c r="GH291" s="27" t="s">
        <v>7</v>
      </c>
      <c r="HS291" s="27" t="s">
        <v>8</v>
      </c>
      <c r="HT291" s="27" t="s">
        <v>7</v>
      </c>
      <c r="HV291" s="27" t="s">
        <v>7</v>
      </c>
      <c r="HZ291" s="27" t="s">
        <v>7</v>
      </c>
      <c r="IB291" s="27" t="s">
        <v>7</v>
      </c>
    </row>
    <row r="292" spans="1:250" x14ac:dyDescent="0.25">
      <c r="A292" s="30">
        <v>7.9096350995354961E-2</v>
      </c>
      <c r="B292"/>
      <c r="C292"/>
      <c r="D292"/>
      <c r="E292"/>
      <c r="F292" s="27" t="s">
        <v>7</v>
      </c>
      <c r="FC292" s="27" t="s">
        <v>8</v>
      </c>
      <c r="FN292" s="27" t="s">
        <v>7</v>
      </c>
      <c r="FO292" s="27" t="s">
        <v>8</v>
      </c>
      <c r="FR292" s="27" t="s">
        <v>7</v>
      </c>
      <c r="FS292" s="27" t="s">
        <v>8</v>
      </c>
      <c r="FT292" s="27" t="s">
        <v>7</v>
      </c>
      <c r="GG292" s="27" t="s">
        <v>8</v>
      </c>
      <c r="GH292" s="27" t="s">
        <v>7</v>
      </c>
      <c r="HQ292" s="27" t="s">
        <v>8</v>
      </c>
      <c r="HS292" s="27" t="s">
        <v>8</v>
      </c>
      <c r="IB292" s="27" t="s">
        <v>7</v>
      </c>
      <c r="IC292" s="27" t="s">
        <v>8</v>
      </c>
      <c r="II292" s="27" t="s">
        <v>8</v>
      </c>
    </row>
    <row r="293" spans="1:250" x14ac:dyDescent="0.25">
      <c r="A293" s="30">
        <v>7.5329858090814217E-2</v>
      </c>
      <c r="B293"/>
      <c r="C293"/>
      <c r="D293"/>
      <c r="E293"/>
      <c r="F293" s="27" t="s">
        <v>7</v>
      </c>
      <c r="Q293" s="27" t="s">
        <v>8</v>
      </c>
      <c r="ES293" s="27" t="s">
        <v>8</v>
      </c>
      <c r="EY293" s="27" t="s">
        <v>8</v>
      </c>
      <c r="FC293" s="27" t="s">
        <v>8</v>
      </c>
      <c r="FN293" s="27" t="s">
        <v>7</v>
      </c>
      <c r="FO293" s="27" t="s">
        <v>8</v>
      </c>
      <c r="FR293" s="27" t="s">
        <v>7</v>
      </c>
      <c r="FT293" s="27" t="s">
        <v>7</v>
      </c>
      <c r="GG293" s="27" t="s">
        <v>8</v>
      </c>
      <c r="GH293" s="27" t="s">
        <v>7</v>
      </c>
      <c r="HQ293" s="27" t="s">
        <v>8</v>
      </c>
      <c r="HR293" s="27" t="s">
        <v>7</v>
      </c>
      <c r="HS293" s="27" t="s">
        <v>8</v>
      </c>
      <c r="IB293" s="27" t="s">
        <v>7</v>
      </c>
      <c r="IC293" s="27" t="s">
        <v>8</v>
      </c>
      <c r="ID293" s="27" t="s">
        <v>7</v>
      </c>
      <c r="IE293" s="27" t="s">
        <v>8</v>
      </c>
      <c r="II293" s="27" t="s">
        <v>8</v>
      </c>
      <c r="IJ293" s="27" t="s">
        <v>7</v>
      </c>
    </row>
    <row r="294" spans="1:250" x14ac:dyDescent="0.25">
      <c r="A294" s="30">
        <v>7.1742721991251604E-2</v>
      </c>
      <c r="B294"/>
      <c r="C294"/>
      <c r="D294"/>
      <c r="E294"/>
      <c r="F294" s="27" t="s">
        <v>7</v>
      </c>
      <c r="Q294" s="27" t="s">
        <v>8</v>
      </c>
      <c r="R294" s="27" t="s">
        <v>7</v>
      </c>
      <c r="ES294" s="27" t="s">
        <v>8</v>
      </c>
      <c r="ET294" s="27" t="s">
        <v>7</v>
      </c>
      <c r="EY294" s="27" t="s">
        <v>8</v>
      </c>
      <c r="EZ294" s="27" t="s">
        <v>7</v>
      </c>
      <c r="FA294" s="27" t="s">
        <v>8</v>
      </c>
      <c r="FC294" s="27" t="s">
        <v>8</v>
      </c>
      <c r="FN294" s="27" t="s">
        <v>7</v>
      </c>
      <c r="FO294" s="27" t="s">
        <v>8</v>
      </c>
      <c r="FT294" s="27" t="s">
        <v>7</v>
      </c>
      <c r="GA294" s="27" t="s">
        <v>8</v>
      </c>
      <c r="GG294" s="27" t="s">
        <v>8</v>
      </c>
      <c r="GH294" s="27" t="s">
        <v>7</v>
      </c>
      <c r="HQ294" s="27" t="s">
        <v>8</v>
      </c>
      <c r="HR294" s="27" t="s">
        <v>7</v>
      </c>
      <c r="HS294" s="27" t="s">
        <v>8</v>
      </c>
      <c r="IB294" s="27" t="s">
        <v>7</v>
      </c>
      <c r="IC294" s="27" t="s">
        <v>8</v>
      </c>
      <c r="ID294" s="27" t="s">
        <v>7</v>
      </c>
      <c r="IE294" s="27" t="s">
        <v>8</v>
      </c>
      <c r="IF294" s="27" t="s">
        <v>7</v>
      </c>
      <c r="II294" s="27" t="s">
        <v>8</v>
      </c>
      <c r="IJ294" s="27" t="s">
        <v>7</v>
      </c>
      <c r="IK294" s="27" t="s">
        <v>8</v>
      </c>
    </row>
    <row r="295" spans="1:250" x14ac:dyDescent="0.25">
      <c r="A295" s="30">
        <v>6.8326401896430078E-2</v>
      </c>
      <c r="B295"/>
      <c r="C295"/>
      <c r="D295"/>
      <c r="E295"/>
      <c r="F295" s="27" t="s">
        <v>7</v>
      </c>
      <c r="Q295" s="27" t="s">
        <v>8</v>
      </c>
      <c r="R295" s="27" t="s">
        <v>7</v>
      </c>
      <c r="S295" s="27" t="s">
        <v>8</v>
      </c>
      <c r="ES295" s="27" t="s">
        <v>8</v>
      </c>
      <c r="ET295" s="27" t="s">
        <v>7</v>
      </c>
      <c r="EY295" s="27" t="s">
        <v>8</v>
      </c>
      <c r="EZ295" s="27" t="s">
        <v>7</v>
      </c>
      <c r="FA295" s="27" t="s">
        <v>8</v>
      </c>
      <c r="FB295" s="27" t="s">
        <v>7</v>
      </c>
      <c r="FC295" s="27" t="s">
        <v>8</v>
      </c>
      <c r="FN295" s="27" t="s">
        <v>7</v>
      </c>
      <c r="FO295" s="27" t="s">
        <v>8</v>
      </c>
      <c r="FT295" s="27" t="s">
        <v>7</v>
      </c>
      <c r="GA295" s="27" t="s">
        <v>8</v>
      </c>
      <c r="GB295" s="27" t="s">
        <v>7</v>
      </c>
      <c r="GG295" s="27" t="s">
        <v>8</v>
      </c>
      <c r="GH295" s="27" t="s">
        <v>7</v>
      </c>
      <c r="HC295" s="27" t="s">
        <v>8</v>
      </c>
      <c r="HQ295" s="27" t="s">
        <v>8</v>
      </c>
      <c r="HR295" s="27" t="s">
        <v>7</v>
      </c>
      <c r="HS295" s="27" t="s">
        <v>8</v>
      </c>
      <c r="IB295" s="27" t="s">
        <v>7</v>
      </c>
      <c r="IC295" s="27" t="s">
        <v>8</v>
      </c>
      <c r="ID295" s="27" t="s">
        <v>7</v>
      </c>
      <c r="IE295" s="27" t="s">
        <v>8</v>
      </c>
      <c r="IF295" s="27" t="s">
        <v>7</v>
      </c>
      <c r="IG295" s="27" t="s">
        <v>8</v>
      </c>
      <c r="II295" s="27" t="s">
        <v>8</v>
      </c>
      <c r="IJ295" s="27" t="s">
        <v>7</v>
      </c>
      <c r="IK295" s="27" t="s">
        <v>8</v>
      </c>
      <c r="IL295" s="27" t="s">
        <v>7</v>
      </c>
    </row>
    <row r="296" spans="1:250" x14ac:dyDescent="0.25">
      <c r="A296" s="30">
        <v>6.5072763710885759E-2</v>
      </c>
      <c r="B296"/>
      <c r="C296"/>
      <c r="D296"/>
      <c r="E296"/>
      <c r="F296" s="27" t="s">
        <v>7</v>
      </c>
      <c r="O296" s="27" t="s">
        <v>8</v>
      </c>
      <c r="Q296" s="27" t="s">
        <v>8</v>
      </c>
      <c r="R296" s="27" t="s">
        <v>7</v>
      </c>
      <c r="S296" s="27" t="s">
        <v>8</v>
      </c>
      <c r="T296" s="27" t="s">
        <v>7</v>
      </c>
      <c r="ES296" s="27" t="s">
        <v>8</v>
      </c>
      <c r="ET296" s="27" t="s">
        <v>7</v>
      </c>
      <c r="EY296" s="27" t="s">
        <v>8</v>
      </c>
      <c r="EZ296" s="27" t="s">
        <v>7</v>
      </c>
      <c r="FA296" s="27" t="s">
        <v>8</v>
      </c>
      <c r="FB296" s="27" t="s">
        <v>7</v>
      </c>
      <c r="FC296" s="27" t="s">
        <v>8</v>
      </c>
      <c r="FN296" s="27" t="s">
        <v>7</v>
      </c>
      <c r="FO296" s="27" t="s">
        <v>8</v>
      </c>
      <c r="FT296" s="27" t="s">
        <v>7</v>
      </c>
      <c r="GA296" s="27" t="s">
        <v>8</v>
      </c>
      <c r="GB296" s="27" t="s">
        <v>7</v>
      </c>
      <c r="GG296" s="27" t="s">
        <v>8</v>
      </c>
      <c r="GH296" s="27" t="s">
        <v>7</v>
      </c>
      <c r="HA296" s="27" t="s">
        <v>8</v>
      </c>
      <c r="HC296" s="27" t="s">
        <v>8</v>
      </c>
      <c r="HD296" s="27" t="s">
        <v>7</v>
      </c>
      <c r="HQ296" s="27" t="s">
        <v>8</v>
      </c>
      <c r="HR296" s="27" t="s">
        <v>7</v>
      </c>
      <c r="HS296" s="27" t="s">
        <v>8</v>
      </c>
      <c r="IB296" s="27" t="s">
        <v>7</v>
      </c>
      <c r="ID296" s="27" t="s">
        <v>7</v>
      </c>
      <c r="IE296" s="27" t="s">
        <v>8</v>
      </c>
      <c r="IF296" s="27" t="s">
        <v>7</v>
      </c>
      <c r="IG296" s="27" t="s">
        <v>8</v>
      </c>
      <c r="IH296" s="27" t="s">
        <v>7</v>
      </c>
      <c r="II296" s="27" t="s">
        <v>8</v>
      </c>
      <c r="IJ296" s="27" t="s">
        <v>7</v>
      </c>
      <c r="IK296" s="27" t="s">
        <v>8</v>
      </c>
      <c r="IL296" s="27" t="s">
        <v>7</v>
      </c>
    </row>
    <row r="297" spans="1:250" x14ac:dyDescent="0.25">
      <c r="A297" s="30">
        <v>6.197406067703403E-2</v>
      </c>
      <c r="B297"/>
      <c r="C297"/>
      <c r="D297"/>
      <c r="E297"/>
      <c r="F297" s="27" t="s">
        <v>7</v>
      </c>
      <c r="O297" s="27" t="s">
        <v>8</v>
      </c>
      <c r="P297" s="27" t="s">
        <v>7</v>
      </c>
      <c r="Q297" s="27" t="s">
        <v>8</v>
      </c>
      <c r="R297" s="27" t="s">
        <v>7</v>
      </c>
      <c r="S297" s="27" t="s">
        <v>8</v>
      </c>
      <c r="T297" s="27" t="s">
        <v>7</v>
      </c>
      <c r="ES297" s="27" t="s">
        <v>8</v>
      </c>
      <c r="ET297" s="27" t="s">
        <v>7</v>
      </c>
      <c r="EY297" s="27" t="s">
        <v>8</v>
      </c>
      <c r="EZ297" s="27" t="s">
        <v>7</v>
      </c>
      <c r="FA297" s="27" t="s">
        <v>8</v>
      </c>
      <c r="FB297" s="27" t="s">
        <v>7</v>
      </c>
      <c r="FC297" s="27" t="s">
        <v>8</v>
      </c>
      <c r="FN297" s="27" t="s">
        <v>7</v>
      </c>
      <c r="FT297" s="27" t="s">
        <v>7</v>
      </c>
      <c r="GA297" s="27" t="s">
        <v>8</v>
      </c>
      <c r="GB297" s="27" t="s">
        <v>7</v>
      </c>
      <c r="GG297" s="27" t="s">
        <v>8</v>
      </c>
      <c r="GH297" s="27" t="s">
        <v>7</v>
      </c>
      <c r="GY297" s="27" t="s">
        <v>8</v>
      </c>
      <c r="HA297" s="27" t="s">
        <v>8</v>
      </c>
      <c r="HB297" s="27" t="s">
        <v>7</v>
      </c>
      <c r="HC297" s="27" t="s">
        <v>8</v>
      </c>
      <c r="HD297" s="27" t="s">
        <v>7</v>
      </c>
      <c r="HG297" s="27" t="s">
        <v>8</v>
      </c>
      <c r="HQ297" s="27" t="s">
        <v>8</v>
      </c>
      <c r="HR297" s="27" t="s">
        <v>7</v>
      </c>
      <c r="HS297" s="27" t="s">
        <v>8</v>
      </c>
      <c r="ID297" s="27" t="s">
        <v>7</v>
      </c>
      <c r="IF297" s="27" t="s">
        <v>7</v>
      </c>
      <c r="IG297" s="27" t="s">
        <v>8</v>
      </c>
      <c r="IH297" s="27" t="s">
        <v>7</v>
      </c>
      <c r="II297" s="27" t="s">
        <v>8</v>
      </c>
      <c r="IJ297" s="27" t="s">
        <v>7</v>
      </c>
      <c r="IK297" s="27" t="s">
        <v>8</v>
      </c>
      <c r="IL297" s="27" t="s">
        <v>7</v>
      </c>
    </row>
    <row r="298" spans="1:250" x14ac:dyDescent="0.25">
      <c r="A298" s="30">
        <v>5.9022914930508576E-2</v>
      </c>
      <c r="B298"/>
      <c r="C298"/>
      <c r="D298"/>
      <c r="E298"/>
      <c r="F298" s="27" t="s">
        <v>7</v>
      </c>
      <c r="G298" s="27" t="s">
        <v>8</v>
      </c>
      <c r="K298" s="27" t="s">
        <v>8</v>
      </c>
      <c r="M298" s="27" t="s">
        <v>8</v>
      </c>
      <c r="O298" s="27" t="s">
        <v>8</v>
      </c>
      <c r="P298" s="27" t="s">
        <v>7</v>
      </c>
      <c r="Q298" s="27" t="s">
        <v>8</v>
      </c>
      <c r="R298" s="27" t="s">
        <v>7</v>
      </c>
      <c r="S298" s="27" t="s">
        <v>8</v>
      </c>
      <c r="T298" s="27" t="s">
        <v>7</v>
      </c>
      <c r="ES298" s="27" t="s">
        <v>8</v>
      </c>
      <c r="ET298" s="27" t="s">
        <v>7</v>
      </c>
      <c r="EU298" s="27" t="s">
        <v>8</v>
      </c>
      <c r="EY298" s="27" t="s">
        <v>8</v>
      </c>
      <c r="EZ298" s="27" t="s">
        <v>7</v>
      </c>
      <c r="FB298" s="27" t="s">
        <v>7</v>
      </c>
      <c r="FT298" s="27" t="s">
        <v>7</v>
      </c>
      <c r="FU298" s="27" t="s">
        <v>8</v>
      </c>
      <c r="FY298" s="27" t="s">
        <v>8</v>
      </c>
      <c r="GA298" s="27" t="s">
        <v>8</v>
      </c>
      <c r="GB298" s="27" t="s">
        <v>7</v>
      </c>
      <c r="GE298" s="27" t="s">
        <v>8</v>
      </c>
      <c r="GG298" s="27" t="s">
        <v>8</v>
      </c>
      <c r="GH298" s="27" t="s">
        <v>7</v>
      </c>
      <c r="GI298" s="27" t="s">
        <v>8</v>
      </c>
      <c r="GU298" s="27" t="s">
        <v>8</v>
      </c>
      <c r="GY298" s="27" t="s">
        <v>8</v>
      </c>
      <c r="GZ298" s="27" t="s">
        <v>7</v>
      </c>
      <c r="HA298" s="27" t="s">
        <v>8</v>
      </c>
      <c r="HB298" s="27" t="s">
        <v>7</v>
      </c>
      <c r="HC298" s="27" t="s">
        <v>8</v>
      </c>
      <c r="HD298" s="27" t="s">
        <v>7</v>
      </c>
      <c r="HG298" s="27" t="s">
        <v>8</v>
      </c>
      <c r="HH298" s="27" t="s">
        <v>7</v>
      </c>
      <c r="HQ298" s="27" t="s">
        <v>8</v>
      </c>
      <c r="HR298" s="27" t="s">
        <v>7</v>
      </c>
      <c r="HS298" s="27" t="s">
        <v>8</v>
      </c>
      <c r="IF298" s="27" t="s">
        <v>7</v>
      </c>
      <c r="IH298" s="27" t="s">
        <v>7</v>
      </c>
      <c r="II298" s="27" t="s">
        <v>8</v>
      </c>
      <c r="IJ298" s="27" t="s">
        <v>7</v>
      </c>
      <c r="IK298" s="27" t="s">
        <v>8</v>
      </c>
      <c r="IL298" s="27" t="s">
        <v>7</v>
      </c>
    </row>
    <row r="299" spans="1:250" x14ac:dyDescent="0.25">
      <c r="A299" s="30">
        <v>5.6212299933817669E-2</v>
      </c>
      <c r="B299"/>
      <c r="C299"/>
      <c r="D299"/>
      <c r="E299"/>
      <c r="F299" s="27" t="s">
        <v>7</v>
      </c>
      <c r="G299" s="27" t="s">
        <v>8</v>
      </c>
      <c r="H299" s="27" t="s">
        <v>7</v>
      </c>
      <c r="K299" s="27" t="s">
        <v>8</v>
      </c>
      <c r="L299" s="27" t="s">
        <v>7</v>
      </c>
      <c r="M299" s="27" t="s">
        <v>8</v>
      </c>
      <c r="N299" s="27" t="s">
        <v>7</v>
      </c>
      <c r="O299" s="27" t="s">
        <v>8</v>
      </c>
      <c r="P299" s="27" t="s">
        <v>7</v>
      </c>
      <c r="Q299" s="27" t="s">
        <v>8</v>
      </c>
      <c r="R299" s="27" t="s">
        <v>7</v>
      </c>
      <c r="T299" s="27" t="s">
        <v>7</v>
      </c>
      <c r="ES299" s="27" t="s">
        <v>8</v>
      </c>
      <c r="ET299" s="27" t="s">
        <v>7</v>
      </c>
      <c r="EU299" s="27" t="s">
        <v>8</v>
      </c>
      <c r="EV299" s="27" t="s">
        <v>7</v>
      </c>
      <c r="EY299" s="27" t="s">
        <v>8</v>
      </c>
      <c r="FT299" s="27" t="s">
        <v>7</v>
      </c>
      <c r="FU299" s="27" t="s">
        <v>8</v>
      </c>
      <c r="FV299" s="27" t="s">
        <v>7</v>
      </c>
      <c r="FY299" s="27" t="s">
        <v>8</v>
      </c>
      <c r="FZ299" s="27" t="s">
        <v>7</v>
      </c>
      <c r="GA299" s="27" t="s">
        <v>8</v>
      </c>
      <c r="GB299" s="27" t="s">
        <v>7</v>
      </c>
      <c r="GC299" s="27" t="s">
        <v>8</v>
      </c>
      <c r="GE299" s="27" t="s">
        <v>8</v>
      </c>
      <c r="GF299" s="27" t="s">
        <v>7</v>
      </c>
      <c r="GG299" s="27" t="s">
        <v>8</v>
      </c>
      <c r="GH299" s="27" t="s">
        <v>7</v>
      </c>
      <c r="GI299" s="27" t="s">
        <v>8</v>
      </c>
      <c r="GJ299" s="27" t="s">
        <v>7</v>
      </c>
      <c r="GU299" s="27" t="s">
        <v>8</v>
      </c>
      <c r="GV299" s="27" t="s">
        <v>7</v>
      </c>
      <c r="GY299" s="27" t="s">
        <v>8</v>
      </c>
      <c r="GZ299" s="27" t="s">
        <v>7</v>
      </c>
      <c r="HA299" s="27" t="s">
        <v>8</v>
      </c>
      <c r="HB299" s="27" t="s">
        <v>7</v>
      </c>
      <c r="HC299" s="27" t="s">
        <v>8</v>
      </c>
      <c r="HD299" s="27" t="s">
        <v>7</v>
      </c>
      <c r="HE299" s="27" t="s">
        <v>8</v>
      </c>
      <c r="HG299" s="27" t="s">
        <v>8</v>
      </c>
      <c r="HH299" s="27" t="s">
        <v>7</v>
      </c>
      <c r="HM299" s="27" t="s">
        <v>8</v>
      </c>
      <c r="HO299" s="27" t="s">
        <v>8</v>
      </c>
      <c r="HQ299" s="27" t="s">
        <v>8</v>
      </c>
      <c r="HR299" s="27" t="s">
        <v>7</v>
      </c>
      <c r="HS299" s="27" t="s">
        <v>8</v>
      </c>
      <c r="IH299" s="27" t="s">
        <v>7</v>
      </c>
      <c r="II299" s="27" t="s">
        <v>8</v>
      </c>
      <c r="IJ299" s="27" t="s">
        <v>7</v>
      </c>
      <c r="IL299" s="27" t="s">
        <v>7</v>
      </c>
      <c r="IM299" s="27" t="s">
        <v>8</v>
      </c>
    </row>
    <row r="300" spans="1:250" x14ac:dyDescent="0.25">
      <c r="A300" s="30">
        <v>5.3535523746492994E-2</v>
      </c>
      <c r="B300"/>
      <c r="C300"/>
      <c r="D300"/>
      <c r="E300"/>
      <c r="F300" s="27" t="s">
        <v>7</v>
      </c>
      <c r="G300" s="27" t="s">
        <v>8</v>
      </c>
      <c r="H300" s="27" t="s">
        <v>7</v>
      </c>
      <c r="K300" s="27" t="s">
        <v>8</v>
      </c>
      <c r="L300" s="27" t="s">
        <v>7</v>
      </c>
      <c r="M300" s="27" t="s">
        <v>8</v>
      </c>
      <c r="N300" s="27" t="s">
        <v>7</v>
      </c>
      <c r="O300" s="27" t="s">
        <v>8</v>
      </c>
      <c r="P300" s="27" t="s">
        <v>7</v>
      </c>
      <c r="Q300" s="27" t="s">
        <v>8</v>
      </c>
      <c r="T300" s="27" t="s">
        <v>7</v>
      </c>
      <c r="ES300" s="27" t="s">
        <v>8</v>
      </c>
      <c r="ET300" s="27" t="s">
        <v>7</v>
      </c>
      <c r="EU300" s="27" t="s">
        <v>8</v>
      </c>
      <c r="EV300" s="27" t="s">
        <v>7</v>
      </c>
      <c r="EY300" s="27" t="s">
        <v>8</v>
      </c>
      <c r="FT300" s="27" t="s">
        <v>7</v>
      </c>
      <c r="FU300" s="27" t="s">
        <v>8</v>
      </c>
      <c r="FV300" s="27" t="s">
        <v>7</v>
      </c>
      <c r="FY300" s="27" t="s">
        <v>8</v>
      </c>
      <c r="FZ300" s="27" t="s">
        <v>7</v>
      </c>
      <c r="GA300" s="27" t="s">
        <v>8</v>
      </c>
      <c r="GB300" s="27" t="s">
        <v>7</v>
      </c>
      <c r="GC300" s="27" t="s">
        <v>8</v>
      </c>
      <c r="GD300" s="27" t="s">
        <v>7</v>
      </c>
      <c r="GE300" s="27" t="s">
        <v>8</v>
      </c>
      <c r="GF300" s="27" t="s">
        <v>7</v>
      </c>
      <c r="GG300" s="27" t="s">
        <v>8</v>
      </c>
      <c r="GH300" s="27" t="s">
        <v>7</v>
      </c>
      <c r="GI300" s="27" t="s">
        <v>8</v>
      </c>
      <c r="GJ300" s="27" t="s">
        <v>7</v>
      </c>
      <c r="GS300" s="27" t="s">
        <v>8</v>
      </c>
      <c r="GU300" s="27" t="s">
        <v>8</v>
      </c>
      <c r="GV300" s="27" t="s">
        <v>7</v>
      </c>
      <c r="GY300" s="27" t="s">
        <v>8</v>
      </c>
      <c r="GZ300" s="27" t="s">
        <v>7</v>
      </c>
      <c r="HB300" s="27" t="s">
        <v>7</v>
      </c>
      <c r="HD300" s="27" t="s">
        <v>7</v>
      </c>
      <c r="HE300" s="27" t="s">
        <v>8</v>
      </c>
      <c r="HF300" s="27" t="s">
        <v>7</v>
      </c>
      <c r="HG300" s="27" t="s">
        <v>8</v>
      </c>
      <c r="HH300" s="27" t="s">
        <v>7</v>
      </c>
      <c r="HK300" s="27" t="s">
        <v>8</v>
      </c>
      <c r="HM300" s="27" t="s">
        <v>8</v>
      </c>
      <c r="HN300" s="27" t="s">
        <v>7</v>
      </c>
      <c r="HO300" s="27" t="s">
        <v>8</v>
      </c>
      <c r="HP300" s="27" t="s">
        <v>7</v>
      </c>
      <c r="HQ300" s="27" t="s">
        <v>8</v>
      </c>
      <c r="HR300" s="27" t="s">
        <v>7</v>
      </c>
      <c r="HS300" s="27" t="s">
        <v>8</v>
      </c>
      <c r="IH300" s="27" t="s">
        <v>7</v>
      </c>
      <c r="IL300" s="27" t="s">
        <v>7</v>
      </c>
      <c r="IM300" s="27" t="s">
        <v>8</v>
      </c>
      <c r="IN300" s="27" t="s">
        <v>7</v>
      </c>
      <c r="IO300" s="27" t="s">
        <v>8</v>
      </c>
    </row>
    <row r="301" spans="1:250" x14ac:dyDescent="0.25">
      <c r="A301" s="30">
        <v>5.0986213091898068E-2</v>
      </c>
      <c r="B301"/>
      <c r="C301"/>
      <c r="D301"/>
      <c r="E301"/>
      <c r="F301" s="27" t="s">
        <v>7</v>
      </c>
      <c r="G301" s="27" t="s">
        <v>8</v>
      </c>
      <c r="H301" s="27" t="s">
        <v>7</v>
      </c>
      <c r="K301" s="27" t="s">
        <v>8</v>
      </c>
      <c r="L301" s="27" t="s">
        <v>7</v>
      </c>
      <c r="M301" s="27" t="s">
        <v>8</v>
      </c>
      <c r="N301" s="27" t="s">
        <v>7</v>
      </c>
      <c r="O301" s="27" t="s">
        <v>8</v>
      </c>
      <c r="P301" s="27" t="s">
        <v>7</v>
      </c>
      <c r="T301" s="27" t="s">
        <v>7</v>
      </c>
      <c r="ES301" s="27" t="s">
        <v>8</v>
      </c>
      <c r="ET301" s="27" t="s">
        <v>7</v>
      </c>
      <c r="EU301" s="27" t="s">
        <v>8</v>
      </c>
      <c r="EV301" s="27" t="s">
        <v>7</v>
      </c>
      <c r="EW301" s="27" t="s">
        <v>8</v>
      </c>
      <c r="EY301" s="27" t="s">
        <v>8</v>
      </c>
      <c r="FT301" s="27" t="s">
        <v>7</v>
      </c>
      <c r="FU301" s="27" t="s">
        <v>8</v>
      </c>
      <c r="FV301" s="27" t="s">
        <v>7</v>
      </c>
      <c r="FY301" s="27" t="s">
        <v>8</v>
      </c>
      <c r="FZ301" s="27" t="s">
        <v>7</v>
      </c>
      <c r="GA301" s="27" t="s">
        <v>8</v>
      </c>
      <c r="GB301" s="27" t="s">
        <v>7</v>
      </c>
      <c r="GC301" s="27" t="s">
        <v>8</v>
      </c>
      <c r="GD301" s="27" t="s">
        <v>7</v>
      </c>
      <c r="GE301" s="27" t="s">
        <v>8</v>
      </c>
      <c r="GF301" s="27" t="s">
        <v>7</v>
      </c>
      <c r="GG301" s="27" t="s">
        <v>8</v>
      </c>
      <c r="GH301" s="27" t="s">
        <v>7</v>
      </c>
      <c r="GJ301" s="27" t="s">
        <v>7</v>
      </c>
      <c r="GQ301" s="27" t="s">
        <v>8</v>
      </c>
      <c r="GS301" s="27" t="s">
        <v>8</v>
      </c>
      <c r="GT301" s="27" t="s">
        <v>7</v>
      </c>
      <c r="GU301" s="27" t="s">
        <v>8</v>
      </c>
      <c r="GV301" s="27" t="s">
        <v>7</v>
      </c>
      <c r="GY301" s="27" t="s">
        <v>8</v>
      </c>
      <c r="HD301" s="27" t="s">
        <v>7</v>
      </c>
      <c r="HE301" s="27" t="s">
        <v>8</v>
      </c>
      <c r="HF301" s="27" t="s">
        <v>7</v>
      </c>
      <c r="HG301" s="27" t="s">
        <v>8</v>
      </c>
      <c r="HH301" s="27" t="s">
        <v>7</v>
      </c>
      <c r="HK301" s="27" t="s">
        <v>8</v>
      </c>
      <c r="HL301" s="27" t="s">
        <v>7</v>
      </c>
      <c r="HM301" s="27" t="s">
        <v>8</v>
      </c>
      <c r="HN301" s="27" t="s">
        <v>7</v>
      </c>
      <c r="HO301" s="27" t="s">
        <v>8</v>
      </c>
      <c r="HP301" s="27" t="s">
        <v>7</v>
      </c>
      <c r="HQ301" s="27" t="s">
        <v>8</v>
      </c>
      <c r="HR301" s="27" t="s">
        <v>7</v>
      </c>
      <c r="HS301" s="27" t="s">
        <v>8</v>
      </c>
      <c r="IL301" s="27" t="s">
        <v>7</v>
      </c>
      <c r="IM301" s="27" t="s">
        <v>8</v>
      </c>
      <c r="IN301" s="27" t="s">
        <v>7</v>
      </c>
      <c r="IO301" s="27" t="s">
        <v>8</v>
      </c>
      <c r="IP301" s="27" t="s">
        <v>7</v>
      </c>
    </row>
    <row r="302" spans="1:250" x14ac:dyDescent="0.25">
      <c r="A302" s="30">
        <v>4.8558298182760043E-2</v>
      </c>
      <c r="B302"/>
      <c r="C302"/>
      <c r="D302"/>
      <c r="E302"/>
      <c r="F302" s="27" t="s">
        <v>7</v>
      </c>
      <c r="H302" s="27" t="s">
        <v>7</v>
      </c>
      <c r="I302" s="27" t="s">
        <v>8</v>
      </c>
      <c r="K302" s="27" t="s">
        <v>8</v>
      </c>
      <c r="L302" s="27" t="s">
        <v>7</v>
      </c>
      <c r="M302" s="27" t="s">
        <v>8</v>
      </c>
      <c r="N302" s="27" t="s">
        <v>7</v>
      </c>
      <c r="O302" s="27" t="s">
        <v>8</v>
      </c>
      <c r="T302" s="27" t="s">
        <v>7</v>
      </c>
      <c r="ES302" s="27" t="s">
        <v>8</v>
      </c>
      <c r="ET302" s="27" t="s">
        <v>7</v>
      </c>
      <c r="EV302" s="27" t="s">
        <v>7</v>
      </c>
      <c r="EW302" s="27" t="s">
        <v>8</v>
      </c>
      <c r="EX302" s="27" t="s">
        <v>7</v>
      </c>
      <c r="EY302" s="27" t="s">
        <v>8</v>
      </c>
      <c r="FT302" s="27" t="s">
        <v>7</v>
      </c>
      <c r="FU302" s="27" t="s">
        <v>8</v>
      </c>
      <c r="FV302" s="27" t="s">
        <v>7</v>
      </c>
      <c r="FY302" s="27" t="s">
        <v>8</v>
      </c>
      <c r="FZ302" s="27" t="s">
        <v>7</v>
      </c>
      <c r="GA302" s="27" t="s">
        <v>8</v>
      </c>
      <c r="GB302" s="27" t="s">
        <v>7</v>
      </c>
      <c r="GC302" s="27" t="s">
        <v>8</v>
      </c>
      <c r="GD302" s="27" t="s">
        <v>7</v>
      </c>
      <c r="GF302" s="27" t="s">
        <v>7</v>
      </c>
      <c r="GG302" s="27" t="s">
        <v>8</v>
      </c>
      <c r="GJ302" s="27" t="s">
        <v>7</v>
      </c>
      <c r="GQ302" s="27" t="s">
        <v>8</v>
      </c>
      <c r="GR302" s="27" t="s">
        <v>7</v>
      </c>
      <c r="GS302" s="27" t="s">
        <v>8</v>
      </c>
      <c r="GT302" s="27" t="s">
        <v>7</v>
      </c>
      <c r="GU302" s="27" t="s">
        <v>8</v>
      </c>
      <c r="GV302" s="27" t="s">
        <v>7</v>
      </c>
      <c r="GY302" s="27" t="s">
        <v>8</v>
      </c>
      <c r="HD302" s="27" t="s">
        <v>7</v>
      </c>
      <c r="HE302" s="27" t="s">
        <v>8</v>
      </c>
      <c r="HF302" s="27" t="s">
        <v>7</v>
      </c>
      <c r="HH302" s="27" t="s">
        <v>7</v>
      </c>
      <c r="HI302" s="27" t="s">
        <v>8</v>
      </c>
      <c r="HK302" s="27" t="s">
        <v>8</v>
      </c>
      <c r="HL302" s="27" t="s">
        <v>7</v>
      </c>
      <c r="HM302" s="27" t="s">
        <v>8</v>
      </c>
      <c r="HN302" s="27" t="s">
        <v>7</v>
      </c>
      <c r="HO302" s="27" t="s">
        <v>8</v>
      </c>
      <c r="HP302" s="27" t="s">
        <v>7</v>
      </c>
      <c r="HR302" s="27" t="s">
        <v>7</v>
      </c>
      <c r="HS302" s="27" t="s">
        <v>8</v>
      </c>
      <c r="IL302" s="27" t="s">
        <v>7</v>
      </c>
      <c r="IN302" s="27" t="s">
        <v>7</v>
      </c>
      <c r="IO302" s="27" t="s">
        <v>8</v>
      </c>
      <c r="IP302" s="27" t="s">
        <v>7</v>
      </c>
    </row>
    <row r="303" spans="1:250" x14ac:dyDescent="0.25">
      <c r="A303" s="30">
        <v>4.6245998269295263E-2</v>
      </c>
      <c r="B303"/>
      <c r="C303"/>
      <c r="D303"/>
      <c r="E303"/>
      <c r="H303" s="27" t="s">
        <v>7</v>
      </c>
      <c r="I303" s="27" t="s">
        <v>8</v>
      </c>
      <c r="J303" s="27" t="s">
        <v>7</v>
      </c>
      <c r="K303" s="27" t="s">
        <v>8</v>
      </c>
      <c r="L303" s="27" t="s">
        <v>7</v>
      </c>
      <c r="M303" s="27" t="s">
        <v>8</v>
      </c>
      <c r="N303" s="27" t="s">
        <v>7</v>
      </c>
      <c r="O303" s="27" t="s">
        <v>8</v>
      </c>
      <c r="T303" s="27" t="s">
        <v>7</v>
      </c>
      <c r="ES303" s="27" t="s">
        <v>8</v>
      </c>
      <c r="EV303" s="27" t="s">
        <v>7</v>
      </c>
      <c r="EW303" s="27" t="s">
        <v>8</v>
      </c>
      <c r="EX303" s="27" t="s">
        <v>7</v>
      </c>
      <c r="EY303" s="27" t="s">
        <v>8</v>
      </c>
      <c r="FT303" s="27" t="s">
        <v>7</v>
      </c>
      <c r="FU303" s="27" t="s">
        <v>8</v>
      </c>
      <c r="FV303" s="27" t="s">
        <v>7</v>
      </c>
      <c r="FY303" s="27" t="s">
        <v>8</v>
      </c>
      <c r="FZ303" s="27" t="s">
        <v>7</v>
      </c>
      <c r="GA303" s="27" t="s">
        <v>8</v>
      </c>
      <c r="GB303" s="27" t="s">
        <v>7</v>
      </c>
      <c r="GF303" s="27" t="s">
        <v>7</v>
      </c>
      <c r="GG303" s="27" t="s">
        <v>8</v>
      </c>
      <c r="GJ303" s="27" t="s">
        <v>7</v>
      </c>
      <c r="GQ303" s="27" t="s">
        <v>8</v>
      </c>
      <c r="GR303" s="27" t="s">
        <v>7</v>
      </c>
      <c r="GS303" s="27" t="s">
        <v>8</v>
      </c>
      <c r="GT303" s="27" t="s">
        <v>7</v>
      </c>
      <c r="GV303" s="27" t="s">
        <v>7</v>
      </c>
      <c r="GW303" s="27" t="s">
        <v>8</v>
      </c>
      <c r="GY303" s="27" t="s">
        <v>8</v>
      </c>
      <c r="HD303" s="27" t="s">
        <v>7</v>
      </c>
      <c r="HE303" s="27" t="s">
        <v>8</v>
      </c>
      <c r="HH303" s="27" t="s">
        <v>7</v>
      </c>
      <c r="HI303" s="27" t="s">
        <v>8</v>
      </c>
      <c r="HJ303" s="27" t="s">
        <v>7</v>
      </c>
      <c r="HK303" s="27" t="s">
        <v>8</v>
      </c>
      <c r="HL303" s="27" t="s">
        <v>7</v>
      </c>
      <c r="HM303" s="27" t="s">
        <v>8</v>
      </c>
      <c r="HN303" s="27" t="s">
        <v>7</v>
      </c>
      <c r="HO303" s="27" t="s">
        <v>8</v>
      </c>
      <c r="HR303" s="27" t="s">
        <v>7</v>
      </c>
      <c r="IN303" s="27" t="s">
        <v>7</v>
      </c>
      <c r="IP303" s="27" t="s">
        <v>7</v>
      </c>
    </row>
    <row r="304" spans="1:250" x14ac:dyDescent="0.25">
      <c r="A304" s="30">
        <v>4.4043807875519279E-2</v>
      </c>
      <c r="B304"/>
      <c r="C304"/>
      <c r="D304"/>
      <c r="E304"/>
      <c r="H304" s="27" t="s">
        <v>7</v>
      </c>
      <c r="I304" s="27" t="s">
        <v>8</v>
      </c>
      <c r="J304" s="27" t="s">
        <v>7</v>
      </c>
      <c r="K304" s="27" t="s">
        <v>8</v>
      </c>
      <c r="L304" s="27" t="s">
        <v>7</v>
      </c>
      <c r="N304" s="27" t="s">
        <v>7</v>
      </c>
      <c r="O304" s="27" t="s">
        <v>8</v>
      </c>
      <c r="T304" s="27" t="s">
        <v>7</v>
      </c>
      <c r="U304" s="27" t="s">
        <v>8</v>
      </c>
      <c r="W304" s="27" t="s">
        <v>8</v>
      </c>
      <c r="ES304" s="27" t="s">
        <v>8</v>
      </c>
      <c r="EV304" s="27" t="s">
        <v>7</v>
      </c>
      <c r="EW304" s="27" t="s">
        <v>8</v>
      </c>
      <c r="EX304" s="27" t="s">
        <v>7</v>
      </c>
      <c r="EY304" s="27" t="s">
        <v>8</v>
      </c>
      <c r="FT304" s="27" t="s">
        <v>7</v>
      </c>
      <c r="FU304" s="27" t="s">
        <v>8</v>
      </c>
      <c r="FV304" s="27" t="s">
        <v>7</v>
      </c>
      <c r="FW304" s="27" t="s">
        <v>8</v>
      </c>
      <c r="FY304" s="27" t="s">
        <v>8</v>
      </c>
      <c r="FZ304" s="27" t="s">
        <v>7</v>
      </c>
      <c r="GF304" s="27" t="s">
        <v>7</v>
      </c>
      <c r="GG304" s="27" t="s">
        <v>8</v>
      </c>
      <c r="GJ304" s="27" t="s">
        <v>7</v>
      </c>
      <c r="GQ304" s="27" t="s">
        <v>8</v>
      </c>
      <c r="GR304" s="27" t="s">
        <v>7</v>
      </c>
      <c r="GS304" s="27" t="s">
        <v>8</v>
      </c>
      <c r="GV304" s="27" t="s">
        <v>7</v>
      </c>
      <c r="GW304" s="27" t="s">
        <v>8</v>
      </c>
      <c r="GX304" s="27" t="s">
        <v>7</v>
      </c>
      <c r="GY304" s="27" t="s">
        <v>8</v>
      </c>
      <c r="HD304" s="27" t="s">
        <v>7</v>
      </c>
      <c r="HH304" s="27" t="s">
        <v>7</v>
      </c>
      <c r="HI304" s="27" t="s">
        <v>8</v>
      </c>
      <c r="HJ304" s="27" t="s">
        <v>7</v>
      </c>
      <c r="HK304" s="27" t="s">
        <v>8</v>
      </c>
      <c r="HL304" s="27" t="s">
        <v>7</v>
      </c>
      <c r="HN304" s="27" t="s">
        <v>7</v>
      </c>
      <c r="IP304" s="27" t="s">
        <v>7</v>
      </c>
    </row>
    <row r="305" spans="1:253" x14ac:dyDescent="0.25">
      <c r="A305" s="30">
        <v>4.1946483690970725E-2</v>
      </c>
      <c r="B305"/>
      <c r="C305"/>
      <c r="D305"/>
      <c r="E305"/>
      <c r="H305" s="27" t="s">
        <v>7</v>
      </c>
      <c r="I305" s="27" t="s">
        <v>8</v>
      </c>
      <c r="J305" s="27" t="s">
        <v>7</v>
      </c>
      <c r="K305" s="27" t="s">
        <v>8</v>
      </c>
      <c r="N305" s="27" t="s">
        <v>7</v>
      </c>
      <c r="O305" s="27" t="s">
        <v>8</v>
      </c>
      <c r="T305" s="27" t="s">
        <v>7</v>
      </c>
      <c r="U305" s="27" t="s">
        <v>8</v>
      </c>
      <c r="V305" s="27" t="s">
        <v>7</v>
      </c>
      <c r="W305" s="27" t="s">
        <v>8</v>
      </c>
      <c r="X305" s="27" t="s">
        <v>7</v>
      </c>
      <c r="ES305" s="27" t="s">
        <v>8</v>
      </c>
      <c r="EV305" s="27" t="s">
        <v>7</v>
      </c>
      <c r="EX305" s="27" t="s">
        <v>7</v>
      </c>
      <c r="EY305" s="27" t="s">
        <v>8</v>
      </c>
      <c r="FT305" s="27" t="s">
        <v>7</v>
      </c>
      <c r="FU305" s="27" t="s">
        <v>8</v>
      </c>
      <c r="FV305" s="27" t="s">
        <v>7</v>
      </c>
      <c r="FW305" s="27" t="s">
        <v>8</v>
      </c>
      <c r="FX305" s="27" t="s">
        <v>7</v>
      </c>
      <c r="FY305" s="27" t="s">
        <v>8</v>
      </c>
      <c r="GF305" s="27" t="s">
        <v>7</v>
      </c>
      <c r="GJ305" s="27" t="s">
        <v>7</v>
      </c>
      <c r="GK305" s="27" t="s">
        <v>8</v>
      </c>
      <c r="GQ305" s="27" t="s">
        <v>8</v>
      </c>
      <c r="GR305" s="27" t="s">
        <v>7</v>
      </c>
      <c r="GS305" s="27" t="s">
        <v>8</v>
      </c>
      <c r="GV305" s="27" t="s">
        <v>7</v>
      </c>
      <c r="GW305" s="27" t="s">
        <v>8</v>
      </c>
      <c r="GX305" s="27" t="s">
        <v>7</v>
      </c>
      <c r="GY305" s="27" t="s">
        <v>8</v>
      </c>
      <c r="HH305" s="27" t="s">
        <v>7</v>
      </c>
      <c r="HJ305" s="27" t="s">
        <v>7</v>
      </c>
      <c r="HK305" s="27" t="s">
        <v>8</v>
      </c>
      <c r="IP305" s="27" t="s">
        <v>7</v>
      </c>
    </row>
    <row r="306" spans="1:253" x14ac:dyDescent="0.25">
      <c r="A306" s="30">
        <v>3.9949032086638768E-2</v>
      </c>
      <c r="B306"/>
      <c r="C306"/>
      <c r="D306"/>
      <c r="E306"/>
      <c r="H306" s="27" t="s">
        <v>7</v>
      </c>
      <c r="I306" s="27" t="s">
        <v>8</v>
      </c>
      <c r="J306" s="27" t="s">
        <v>7</v>
      </c>
      <c r="K306" s="27" t="s">
        <v>8</v>
      </c>
      <c r="N306" s="27" t="s">
        <v>7</v>
      </c>
      <c r="O306" s="27" t="s">
        <v>8</v>
      </c>
      <c r="T306" s="27" t="s">
        <v>7</v>
      </c>
      <c r="U306" s="27" t="s">
        <v>8</v>
      </c>
      <c r="V306" s="27" t="s">
        <v>7</v>
      </c>
      <c r="W306" s="27" t="s">
        <v>8</v>
      </c>
      <c r="X306" s="27" t="s">
        <v>7</v>
      </c>
      <c r="ES306" s="27" t="s">
        <v>8</v>
      </c>
      <c r="EX306" s="27" t="s">
        <v>7</v>
      </c>
      <c r="FT306" s="27" t="s">
        <v>7</v>
      </c>
      <c r="FU306" s="27" t="s">
        <v>8</v>
      </c>
      <c r="FV306" s="27" t="s">
        <v>7</v>
      </c>
      <c r="FW306" s="27" t="s">
        <v>8</v>
      </c>
      <c r="FX306" s="27" t="s">
        <v>7</v>
      </c>
      <c r="FY306" s="27" t="s">
        <v>8</v>
      </c>
      <c r="GJ306" s="27" t="s">
        <v>7</v>
      </c>
      <c r="GK306" s="27" t="s">
        <v>8</v>
      </c>
      <c r="GL306" s="27" t="s">
        <v>7</v>
      </c>
      <c r="GM306" s="27" t="s">
        <v>8</v>
      </c>
      <c r="GO306" s="27" t="s">
        <v>8</v>
      </c>
      <c r="GQ306" s="27" t="s">
        <v>8</v>
      </c>
      <c r="GR306" s="27" t="s">
        <v>7</v>
      </c>
      <c r="GV306" s="27" t="s">
        <v>7</v>
      </c>
      <c r="GW306" s="27" t="s">
        <v>8</v>
      </c>
      <c r="GX306" s="27" t="s">
        <v>7</v>
      </c>
      <c r="HJ306" s="27" t="s">
        <v>7</v>
      </c>
      <c r="IP306" s="27" t="s">
        <v>7</v>
      </c>
    </row>
    <row r="307" spans="1:253" x14ac:dyDescent="0.25">
      <c r="A307" s="30">
        <v>3.8046697225370241E-2</v>
      </c>
      <c r="B307"/>
      <c r="C307"/>
      <c r="D307"/>
      <c r="E307"/>
      <c r="H307" s="27" t="s">
        <v>7</v>
      </c>
      <c r="I307" s="27" t="s">
        <v>8</v>
      </c>
      <c r="J307" s="27" t="s">
        <v>7</v>
      </c>
      <c r="K307" s="27" t="s">
        <v>8</v>
      </c>
      <c r="N307" s="27" t="s">
        <v>7</v>
      </c>
      <c r="T307" s="27" t="s">
        <v>7</v>
      </c>
      <c r="V307" s="27" t="s">
        <v>7</v>
      </c>
      <c r="X307" s="27" t="s">
        <v>7</v>
      </c>
      <c r="ES307" s="27" t="s">
        <v>8</v>
      </c>
      <c r="FT307" s="27" t="s">
        <v>7</v>
      </c>
      <c r="FU307" s="27" t="s">
        <v>8</v>
      </c>
      <c r="FV307" s="27" t="s">
        <v>7</v>
      </c>
      <c r="FX307" s="27" t="s">
        <v>7</v>
      </c>
      <c r="FY307" s="27" t="s">
        <v>8</v>
      </c>
      <c r="GJ307" s="27" t="s">
        <v>7</v>
      </c>
      <c r="GK307" s="27" t="s">
        <v>8</v>
      </c>
      <c r="GL307" s="27" t="s">
        <v>7</v>
      </c>
      <c r="GM307" s="27" t="s">
        <v>8</v>
      </c>
      <c r="GN307" s="27" t="s">
        <v>7</v>
      </c>
      <c r="GO307" s="27" t="s">
        <v>8</v>
      </c>
      <c r="GP307" s="27" t="s">
        <v>7</v>
      </c>
      <c r="GQ307" s="27" t="s">
        <v>8</v>
      </c>
      <c r="GV307" s="27" t="s">
        <v>7</v>
      </c>
      <c r="GW307" s="27" t="s">
        <v>8</v>
      </c>
      <c r="IP307" s="27" t="s">
        <v>7</v>
      </c>
    </row>
    <row r="308" spans="1:253" x14ac:dyDescent="0.25">
      <c r="A308" s="30">
        <v>3.6234949738447833E-2</v>
      </c>
      <c r="B308"/>
      <c r="C308"/>
      <c r="D308"/>
      <c r="E308"/>
      <c r="H308" s="27" t="s">
        <v>7</v>
      </c>
      <c r="I308" s="27" t="s">
        <v>8</v>
      </c>
      <c r="J308" s="27" t="s">
        <v>7</v>
      </c>
      <c r="X308" s="27" t="s">
        <v>7</v>
      </c>
      <c r="EQ308" s="27" t="s">
        <v>8</v>
      </c>
      <c r="ES308" s="27" t="s">
        <v>8</v>
      </c>
      <c r="FT308" s="27" t="s">
        <v>7</v>
      </c>
      <c r="FX308" s="27" t="s">
        <v>7</v>
      </c>
      <c r="FY308" s="27" t="s">
        <v>8</v>
      </c>
      <c r="GJ308" s="27" t="s">
        <v>7</v>
      </c>
      <c r="GK308" s="27" t="s">
        <v>8</v>
      </c>
      <c r="GL308" s="27" t="s">
        <v>7</v>
      </c>
      <c r="GM308" s="27" t="s">
        <v>8</v>
      </c>
      <c r="GN308" s="27" t="s">
        <v>7</v>
      </c>
      <c r="GO308" s="27" t="s">
        <v>8</v>
      </c>
      <c r="GP308" s="27" t="s">
        <v>7</v>
      </c>
      <c r="GQ308" s="27" t="s">
        <v>8</v>
      </c>
      <c r="GV308" s="18" t="s">
        <v>7</v>
      </c>
      <c r="GW308" s="27" t="s">
        <v>8</v>
      </c>
      <c r="IP308" s="27" t="s">
        <v>7</v>
      </c>
      <c r="IQ308" s="27" t="s">
        <v>8</v>
      </c>
      <c r="IS308" s="27" t="s">
        <v>8</v>
      </c>
    </row>
    <row r="309" spans="1:253" x14ac:dyDescent="0.25">
      <c r="A309" s="30">
        <v>3.4509475941378875E-2</v>
      </c>
      <c r="B309"/>
      <c r="C309"/>
      <c r="D309"/>
      <c r="E309"/>
      <c r="H309" s="27" t="s">
        <v>7</v>
      </c>
      <c r="I309" s="27" t="s">
        <v>8</v>
      </c>
      <c r="X309" s="27" t="s">
        <v>7</v>
      </c>
      <c r="EQ309" s="27" t="s">
        <v>8</v>
      </c>
      <c r="ER309" s="27" t="s">
        <v>7</v>
      </c>
      <c r="ES309" s="27" t="s">
        <v>8</v>
      </c>
      <c r="FX309" s="27" t="s">
        <v>7</v>
      </c>
      <c r="FY309" s="27" t="s">
        <v>8</v>
      </c>
      <c r="GJ309" s="27" t="s">
        <v>7</v>
      </c>
      <c r="GK309" s="27" t="s">
        <v>8</v>
      </c>
      <c r="GL309" s="27" t="s">
        <v>7</v>
      </c>
      <c r="GN309" s="27" t="s">
        <v>7</v>
      </c>
      <c r="GP309" s="27" t="s">
        <v>7</v>
      </c>
      <c r="GV309" s="27" t="s">
        <v>7</v>
      </c>
      <c r="GW309" s="27" t="s">
        <v>8</v>
      </c>
      <c r="IP309" s="27" t="s">
        <v>7</v>
      </c>
      <c r="IQ309" s="27" t="s">
        <v>8</v>
      </c>
      <c r="IR309" s="27" t="s">
        <v>7</v>
      </c>
      <c r="IS309" s="27" t="s">
        <v>8</v>
      </c>
    </row>
    <row r="310" spans="1:253" x14ac:dyDescent="0.25">
      <c r="A310" s="30">
        <v>3.286616756321796E-2</v>
      </c>
      <c r="B310"/>
      <c r="C310"/>
      <c r="D310"/>
      <c r="E310"/>
      <c r="H310" s="27" t="s">
        <v>7</v>
      </c>
      <c r="X310" s="27" t="s">
        <v>7</v>
      </c>
      <c r="EQ310" s="27" t="s">
        <v>8</v>
      </c>
      <c r="ER310" s="27" t="s">
        <v>7</v>
      </c>
      <c r="ES310" s="27" t="s">
        <v>8</v>
      </c>
      <c r="FX310" s="27" t="s">
        <v>7</v>
      </c>
      <c r="FY310" s="27" t="s">
        <v>8</v>
      </c>
      <c r="GJ310" s="27" t="s">
        <v>7</v>
      </c>
      <c r="GK310" s="27" t="s">
        <v>8</v>
      </c>
      <c r="GV310" s="27" t="s">
        <v>7</v>
      </c>
      <c r="IP310" s="27" t="s">
        <v>7</v>
      </c>
      <c r="IQ310" s="27" t="s">
        <v>8</v>
      </c>
      <c r="IR310" s="27" t="s">
        <v>7</v>
      </c>
      <c r="IS310" s="27" t="s">
        <v>8</v>
      </c>
    </row>
    <row r="311" spans="1:253" x14ac:dyDescent="0.25">
      <c r="A311" s="30">
        <v>3.1301111964969472E-2</v>
      </c>
      <c r="B311"/>
      <c r="C311"/>
      <c r="D311"/>
      <c r="E311"/>
      <c r="X311" s="27" t="s">
        <v>7</v>
      </c>
      <c r="EQ311" s="27" t="s">
        <v>8</v>
      </c>
      <c r="ER311" s="27" t="s">
        <v>7</v>
      </c>
      <c r="ES311" s="27" t="s">
        <v>8</v>
      </c>
      <c r="FX311" s="27" t="s">
        <v>7</v>
      </c>
      <c r="FY311" s="27" t="s">
        <v>8</v>
      </c>
      <c r="GJ311" s="27" t="s">
        <v>7</v>
      </c>
      <c r="GK311" s="27" t="s">
        <v>8</v>
      </c>
      <c r="IP311" s="27" t="s">
        <v>7</v>
      </c>
      <c r="IR311" s="27" t="s">
        <v>7</v>
      </c>
    </row>
    <row r="312" spans="1:253" x14ac:dyDescent="0.25">
      <c r="A312" s="30">
        <v>2.9810582823780438E-2</v>
      </c>
      <c r="B312"/>
      <c r="C312"/>
      <c r="D312"/>
      <c r="E312"/>
      <c r="X312" s="27" t="s">
        <v>7</v>
      </c>
      <c r="EQ312" s="27" t="s">
        <v>8</v>
      </c>
      <c r="ER312" s="27" t="s">
        <v>7</v>
      </c>
      <c r="FX312" s="27" t="s">
        <v>7</v>
      </c>
      <c r="FY312" s="27" t="s">
        <v>8</v>
      </c>
      <c r="GJ312" s="27" t="s">
        <v>7</v>
      </c>
    </row>
    <row r="313" spans="1:253" x14ac:dyDescent="0.25">
      <c r="A313" s="30">
        <v>2.8391031260743264E-2</v>
      </c>
      <c r="B313"/>
      <c r="C313"/>
      <c r="D313"/>
      <c r="E313"/>
      <c r="X313" s="27" t="s">
        <v>7</v>
      </c>
      <c r="Y313" s="27" t="s">
        <v>8</v>
      </c>
      <c r="AE313" s="27" t="s">
        <v>8</v>
      </c>
      <c r="EK313" s="27" t="s">
        <v>8</v>
      </c>
      <c r="EQ313" s="27" t="s">
        <v>8</v>
      </c>
      <c r="FX313" s="27" t="s">
        <v>7</v>
      </c>
      <c r="FY313" s="27" t="s">
        <v>8</v>
      </c>
    </row>
    <row r="314" spans="1:253" x14ac:dyDescent="0.25">
      <c r="A314" s="30">
        <v>2.7039077391184052E-2</v>
      </c>
      <c r="B314"/>
      <c r="C314"/>
      <c r="D314"/>
      <c r="E314"/>
      <c r="X314" s="27" t="s">
        <v>7</v>
      </c>
      <c r="Y314" s="27" t="s">
        <v>8</v>
      </c>
      <c r="Z314" s="27" t="s">
        <v>7</v>
      </c>
      <c r="AE314" s="27" t="s">
        <v>8</v>
      </c>
      <c r="AF314" s="27" t="s">
        <v>7</v>
      </c>
      <c r="EG314" s="27" t="s">
        <v>8</v>
      </c>
      <c r="EK314" s="27" t="s">
        <v>8</v>
      </c>
      <c r="EL314" s="27" t="s">
        <v>7</v>
      </c>
      <c r="EQ314" s="27" t="s">
        <v>8</v>
      </c>
      <c r="FX314" s="27" t="s">
        <v>7</v>
      </c>
      <c r="FY314" s="27" t="s">
        <v>8</v>
      </c>
    </row>
    <row r="315" spans="1:253" x14ac:dyDescent="0.25">
      <c r="A315" s="30">
        <v>2.5751502277318133E-2</v>
      </c>
      <c r="B315"/>
      <c r="C315"/>
      <c r="D315"/>
      <c r="E315"/>
      <c r="X315" s="27" t="s">
        <v>7</v>
      </c>
      <c r="Y315" s="27" t="s">
        <v>8</v>
      </c>
      <c r="Z315" s="27" t="s">
        <v>7</v>
      </c>
      <c r="AE315" s="27" t="s">
        <v>8</v>
      </c>
      <c r="AF315" s="27" t="s">
        <v>7</v>
      </c>
      <c r="EG315" s="27" t="s">
        <v>8</v>
      </c>
      <c r="EH315" s="27" t="s">
        <v>7</v>
      </c>
      <c r="EK315" s="27" t="s">
        <v>8</v>
      </c>
      <c r="EL315" s="27" t="s">
        <v>7</v>
      </c>
      <c r="EO315" s="27" t="s">
        <v>8</v>
      </c>
      <c r="EQ315" s="27" t="s">
        <v>8</v>
      </c>
      <c r="FX315" s="27" t="s">
        <v>7</v>
      </c>
    </row>
    <row r="316" spans="1:253" x14ac:dyDescent="0.25">
      <c r="A316" s="30">
        <v>2.4525240264112496E-2</v>
      </c>
      <c r="B316"/>
      <c r="C316"/>
      <c r="D316"/>
      <c r="E316"/>
      <c r="X316" s="27" t="s">
        <v>7</v>
      </c>
      <c r="Z316" s="27" t="s">
        <v>7</v>
      </c>
      <c r="AA316" s="27" t="s">
        <v>8</v>
      </c>
      <c r="AE316" s="27" t="s">
        <v>8</v>
      </c>
      <c r="AF316" s="27" t="s">
        <v>7</v>
      </c>
      <c r="EA316" s="27" t="s">
        <v>8</v>
      </c>
      <c r="EE316" s="27" t="s">
        <v>8</v>
      </c>
      <c r="EG316" s="27" t="s">
        <v>8</v>
      </c>
      <c r="EH316" s="27" t="s">
        <v>7</v>
      </c>
      <c r="EK316" s="27" t="s">
        <v>8</v>
      </c>
      <c r="EL316" s="27" t="s">
        <v>7</v>
      </c>
      <c r="EO316" s="27" t="s">
        <v>8</v>
      </c>
      <c r="EP316" s="27" t="s">
        <v>7</v>
      </c>
      <c r="EQ316" s="27" t="s">
        <v>8</v>
      </c>
    </row>
    <row r="317" spans="1:253" x14ac:dyDescent="0.25">
      <c r="A317" s="30">
        <v>2.3357371680107129E-2</v>
      </c>
      <c r="B317"/>
      <c r="C317"/>
      <c r="D317"/>
      <c r="E317"/>
      <c r="Z317" s="27" t="s">
        <v>7</v>
      </c>
      <c r="AA317" s="27" t="s">
        <v>8</v>
      </c>
      <c r="AB317" s="27" t="s">
        <v>7</v>
      </c>
      <c r="AE317" s="27" t="s">
        <v>8</v>
      </c>
      <c r="AF317" s="27" t="s">
        <v>7</v>
      </c>
      <c r="EA317" s="27" t="s">
        <v>8</v>
      </c>
      <c r="EB317" s="27" t="s">
        <v>7</v>
      </c>
      <c r="EE317" s="27" t="s">
        <v>8</v>
      </c>
      <c r="EF317" s="27" t="s">
        <v>7</v>
      </c>
      <c r="EG317" s="27" t="s">
        <v>8</v>
      </c>
      <c r="EH317" s="27" t="s">
        <v>7</v>
      </c>
      <c r="EK317" s="27" t="s">
        <v>8</v>
      </c>
      <c r="EL317" s="27" t="s">
        <v>7</v>
      </c>
      <c r="EM317" s="27" t="s">
        <v>8</v>
      </c>
      <c r="EO317" s="27" t="s">
        <v>8</v>
      </c>
      <c r="EP317" s="27" t="s">
        <v>7</v>
      </c>
      <c r="EQ317" s="27" t="s">
        <v>8</v>
      </c>
    </row>
    <row r="318" spans="1:253" x14ac:dyDescent="0.25">
      <c r="A318" s="30">
        <v>2.2245115885816305E-2</v>
      </c>
      <c r="B318"/>
      <c r="C318"/>
      <c r="D318"/>
      <c r="E318"/>
      <c r="Z318" s="27" t="s">
        <v>7</v>
      </c>
      <c r="AA318" s="27" t="s">
        <v>8</v>
      </c>
      <c r="AB318" s="27" t="s">
        <v>7</v>
      </c>
      <c r="AC318" s="27" t="s">
        <v>8</v>
      </c>
      <c r="AE318" s="27" t="s">
        <v>8</v>
      </c>
      <c r="AF318" s="27" t="s">
        <v>7</v>
      </c>
      <c r="EA318" s="27" t="s">
        <v>8</v>
      </c>
      <c r="EB318" s="27" t="s">
        <v>7</v>
      </c>
      <c r="EE318" s="27" t="s">
        <v>8</v>
      </c>
      <c r="EF318" s="27" t="s">
        <v>7</v>
      </c>
      <c r="EG318" s="27" t="s">
        <v>8</v>
      </c>
      <c r="EH318" s="27" t="s">
        <v>7</v>
      </c>
      <c r="EK318" s="27" t="s">
        <v>8</v>
      </c>
      <c r="EL318" s="27" t="s">
        <v>7</v>
      </c>
      <c r="EM318" s="27" t="s">
        <v>8</v>
      </c>
      <c r="EN318" s="27" t="s">
        <v>7</v>
      </c>
      <c r="EO318" s="27" t="s">
        <v>8</v>
      </c>
      <c r="EP318" s="27" t="s">
        <v>7</v>
      </c>
    </row>
    <row r="319" spans="1:253" x14ac:dyDescent="0.25">
      <c r="A319" s="30">
        <v>2.1185824653158377E-2</v>
      </c>
      <c r="B319"/>
      <c r="C319"/>
      <c r="D319"/>
      <c r="E319"/>
      <c r="Z319" s="27" t="s">
        <v>7</v>
      </c>
      <c r="AA319" s="27" t="s">
        <v>8</v>
      </c>
      <c r="AB319" s="27" t="s">
        <v>7</v>
      </c>
      <c r="AC319" s="27" t="s">
        <v>8</v>
      </c>
      <c r="AD319" s="27" t="s">
        <v>7</v>
      </c>
      <c r="AE319" s="27" t="s">
        <v>8</v>
      </c>
      <c r="AF319" s="27" t="s">
        <v>7</v>
      </c>
      <c r="EA319" s="27" t="s">
        <v>8</v>
      </c>
      <c r="EB319" s="27" t="s">
        <v>7</v>
      </c>
      <c r="EE319" s="27" t="s">
        <v>8</v>
      </c>
      <c r="EF319" s="27" t="s">
        <v>7</v>
      </c>
      <c r="EG319" s="27" t="s">
        <v>8</v>
      </c>
      <c r="EH319" s="27" t="s">
        <v>7</v>
      </c>
      <c r="EI319" s="27" t="s">
        <v>8</v>
      </c>
      <c r="EK319" s="27" t="s">
        <v>8</v>
      </c>
      <c r="EL319" s="27" t="s">
        <v>7</v>
      </c>
      <c r="EM319" s="27" t="s">
        <v>8</v>
      </c>
      <c r="EN319" s="27" t="s">
        <v>7</v>
      </c>
      <c r="EO319" s="27" t="s">
        <v>8</v>
      </c>
    </row>
    <row r="320" spans="1:253" x14ac:dyDescent="0.25">
      <c r="A320" s="30">
        <v>2.0176975860150829E-2</v>
      </c>
      <c r="B320"/>
      <c r="C320"/>
      <c r="D320"/>
      <c r="E320"/>
      <c r="Z320" s="27" t="s">
        <v>7</v>
      </c>
      <c r="AB320" s="27" t="s">
        <v>7</v>
      </c>
      <c r="AC320" s="27" t="s">
        <v>8</v>
      </c>
      <c r="AD320" s="27" t="s">
        <v>7</v>
      </c>
      <c r="AE320" s="27" t="s">
        <v>8</v>
      </c>
      <c r="AF320" s="27" t="s">
        <v>7</v>
      </c>
      <c r="AG320" s="27" t="s">
        <v>8</v>
      </c>
      <c r="EA320" s="27" t="s">
        <v>8</v>
      </c>
      <c r="EB320" s="27" t="s">
        <v>7</v>
      </c>
      <c r="EE320" s="27" t="s">
        <v>8</v>
      </c>
      <c r="EF320" s="27" t="s">
        <v>7</v>
      </c>
      <c r="EG320" s="27" t="s">
        <v>8</v>
      </c>
      <c r="EH320" s="27" t="s">
        <v>7</v>
      </c>
      <c r="EI320" s="27" t="s">
        <v>8</v>
      </c>
      <c r="EJ320" s="27" t="s">
        <v>7</v>
      </c>
      <c r="EK320" s="27" t="s">
        <v>8</v>
      </c>
      <c r="EL320" s="27" t="s">
        <v>7</v>
      </c>
      <c r="EN320" s="27" t="s">
        <v>7</v>
      </c>
    </row>
    <row r="321" spans="1:141" x14ac:dyDescent="0.25">
      <c r="A321" s="30">
        <v>1.9216167485857926E-2</v>
      </c>
      <c r="B321"/>
      <c r="C321"/>
      <c r="D321"/>
      <c r="E321"/>
      <c r="AB321" s="27" t="s">
        <v>7</v>
      </c>
      <c r="AC321" s="27" t="s">
        <v>8</v>
      </c>
      <c r="AD321" s="27" t="s">
        <v>7</v>
      </c>
      <c r="AE321" s="27" t="s">
        <v>8</v>
      </c>
      <c r="AF321" s="27" t="s">
        <v>7</v>
      </c>
      <c r="AG321" s="27" t="s">
        <v>8</v>
      </c>
      <c r="AH321" s="27" t="s">
        <v>7</v>
      </c>
      <c r="DM321" s="27" t="s">
        <v>8</v>
      </c>
      <c r="EA321" s="27" t="s">
        <v>8</v>
      </c>
      <c r="EB321" s="27" t="s">
        <v>7</v>
      </c>
      <c r="EE321" s="27" t="s">
        <v>8</v>
      </c>
      <c r="EF321" s="27" t="s">
        <v>7</v>
      </c>
      <c r="EH321" s="27" t="s">
        <v>7</v>
      </c>
      <c r="EI321" s="27" t="s">
        <v>8</v>
      </c>
      <c r="EJ321" s="27" t="s">
        <v>7</v>
      </c>
      <c r="EK321" s="27" t="s">
        <v>8</v>
      </c>
    </row>
    <row r="322" spans="1:141" x14ac:dyDescent="0.25">
      <c r="A322" s="30">
        <v>1.8301111891293256E-2</v>
      </c>
      <c r="B322"/>
      <c r="C322"/>
      <c r="D322"/>
      <c r="E322"/>
      <c r="AB322" s="27" t="s">
        <v>7</v>
      </c>
      <c r="AD322" s="27" t="s">
        <v>7</v>
      </c>
      <c r="AE322" s="27" t="s">
        <v>8</v>
      </c>
      <c r="AF322" s="27" t="s">
        <v>7</v>
      </c>
      <c r="AG322" s="27" t="s">
        <v>8</v>
      </c>
      <c r="AH322" s="27" t="s">
        <v>7</v>
      </c>
      <c r="AI322" s="27" t="s">
        <v>8</v>
      </c>
      <c r="DM322" s="27" t="s">
        <v>8</v>
      </c>
      <c r="DN322" s="27" t="s">
        <v>7</v>
      </c>
      <c r="DO322" s="27" t="s">
        <v>8</v>
      </c>
      <c r="EA322" s="27" t="s">
        <v>8</v>
      </c>
      <c r="EB322" s="27" t="s">
        <v>7</v>
      </c>
      <c r="EE322" s="27" t="s">
        <v>8</v>
      </c>
      <c r="EH322" s="27" t="s">
        <v>7</v>
      </c>
      <c r="EI322" s="27" t="s">
        <v>8</v>
      </c>
      <c r="EJ322" s="27" t="s">
        <v>7</v>
      </c>
      <c r="EK322" s="27" t="s">
        <v>8</v>
      </c>
    </row>
    <row r="323" spans="1:141" x14ac:dyDescent="0.25">
      <c r="A323" s="30">
        <v>1.7429630372660238E-2</v>
      </c>
      <c r="B323"/>
      <c r="C323"/>
      <c r="D323"/>
      <c r="E323"/>
      <c r="AD323" s="27" t="s">
        <v>7</v>
      </c>
      <c r="AF323" s="27" t="s">
        <v>7</v>
      </c>
      <c r="AH323" s="27" t="s">
        <v>7</v>
      </c>
      <c r="AI323" s="27" t="s">
        <v>8</v>
      </c>
      <c r="AJ323" s="27" t="s">
        <v>7</v>
      </c>
      <c r="DM323" s="27" t="s">
        <v>8</v>
      </c>
      <c r="DN323" s="27" t="s">
        <v>7</v>
      </c>
      <c r="DO323" s="27" t="s">
        <v>8</v>
      </c>
      <c r="DP323" s="27" t="s">
        <v>7</v>
      </c>
      <c r="EA323" s="27" t="s">
        <v>8</v>
      </c>
      <c r="EB323" s="27" t="s">
        <v>7</v>
      </c>
      <c r="EE323" s="27" t="s">
        <v>8</v>
      </c>
      <c r="EH323" s="27" t="s">
        <v>7</v>
      </c>
      <c r="EI323" s="27" t="s">
        <v>8</v>
      </c>
      <c r="EJ323" s="27" t="s">
        <v>7</v>
      </c>
      <c r="EK323" s="27" t="s">
        <v>8</v>
      </c>
    </row>
    <row r="324" spans="1:141" x14ac:dyDescent="0.25">
      <c r="A324" s="30">
        <v>1.6599647973962125E-2</v>
      </c>
      <c r="B324"/>
      <c r="C324"/>
      <c r="D324"/>
      <c r="E324"/>
      <c r="AH324" s="27" t="s">
        <v>7</v>
      </c>
      <c r="AI324" s="27" t="s">
        <v>8</v>
      </c>
      <c r="AJ324" s="27" t="s">
        <v>7</v>
      </c>
      <c r="DM324" s="27" t="s">
        <v>8</v>
      </c>
      <c r="DN324" s="27" t="s">
        <v>7</v>
      </c>
      <c r="DO324" s="27" t="s">
        <v>8</v>
      </c>
      <c r="DP324" s="27" t="s">
        <v>7</v>
      </c>
      <c r="EA324" s="27" t="s">
        <v>8</v>
      </c>
      <c r="EB324" s="27" t="s">
        <v>7</v>
      </c>
      <c r="EC324" s="27" t="s">
        <v>8</v>
      </c>
      <c r="EE324" s="27" t="s">
        <v>8</v>
      </c>
      <c r="EH324" s="27" t="s">
        <v>7</v>
      </c>
      <c r="EI324" s="27" t="s">
        <v>8</v>
      </c>
      <c r="EJ324" s="27" t="s">
        <v>7</v>
      </c>
    </row>
    <row r="325" spans="1:141" x14ac:dyDescent="0.25">
      <c r="A325" s="30">
        <v>1.580918854663059E-2</v>
      </c>
      <c r="B325"/>
      <c r="C325"/>
      <c r="D325"/>
      <c r="E325"/>
      <c r="AH325" s="27" t="s">
        <v>7</v>
      </c>
      <c r="AI325" s="27" t="s">
        <v>8</v>
      </c>
      <c r="AJ325" s="27" t="s">
        <v>7</v>
      </c>
      <c r="DM325" s="27" t="s">
        <v>8</v>
      </c>
      <c r="DN325" s="27" t="s">
        <v>7</v>
      </c>
      <c r="DO325" s="27" t="s">
        <v>8</v>
      </c>
      <c r="DP325" s="27" t="s">
        <v>7</v>
      </c>
      <c r="EA325" s="27" t="s">
        <v>8</v>
      </c>
      <c r="EB325" s="27" t="s">
        <v>7</v>
      </c>
      <c r="EC325" s="27" t="s">
        <v>8</v>
      </c>
      <c r="ED325" s="27" t="s">
        <v>7</v>
      </c>
      <c r="EE325" s="27" t="s">
        <v>8</v>
      </c>
      <c r="EH325" s="27" t="s">
        <v>7</v>
      </c>
    </row>
    <row r="326" spans="1:141" x14ac:dyDescent="0.25">
      <c r="A326" s="30">
        <v>1.5056370044410079E-2</v>
      </c>
      <c r="B326"/>
      <c r="C326"/>
      <c r="D326"/>
      <c r="E326"/>
      <c r="AH326" s="27" t="s">
        <v>7</v>
      </c>
      <c r="AI326" s="27" t="s">
        <v>8</v>
      </c>
      <c r="AJ326" s="27" t="s">
        <v>7</v>
      </c>
      <c r="DM326" s="27" t="s">
        <v>8</v>
      </c>
      <c r="DN326" s="27" t="s">
        <v>7</v>
      </c>
      <c r="DO326" s="27" t="s">
        <v>8</v>
      </c>
      <c r="DP326" s="27" t="s">
        <v>7</v>
      </c>
      <c r="EA326" s="27" t="s">
        <v>8</v>
      </c>
      <c r="EB326" s="27" t="s">
        <v>7</v>
      </c>
      <c r="EC326" s="27" t="s">
        <v>8</v>
      </c>
      <c r="ED326" s="27" t="s">
        <v>7</v>
      </c>
      <c r="EE326" s="27" t="s">
        <v>8</v>
      </c>
    </row>
    <row r="327" spans="1:141" x14ac:dyDescent="0.25">
      <c r="A327" s="30">
        <v>1.4339400042295308E-2</v>
      </c>
      <c r="B327"/>
      <c r="C327"/>
      <c r="D327"/>
      <c r="E327"/>
      <c r="AH327" s="27" t="s">
        <v>7</v>
      </c>
      <c r="AJ327" s="27" t="s">
        <v>7</v>
      </c>
      <c r="AK327" s="27" t="s">
        <v>8</v>
      </c>
      <c r="AM327" s="27" t="s">
        <v>8</v>
      </c>
      <c r="CG327" s="27" t="s">
        <v>8</v>
      </c>
      <c r="DM327" s="27" t="s">
        <v>8</v>
      </c>
      <c r="DN327" s="27" t="s">
        <v>7</v>
      </c>
      <c r="DO327" s="27" t="s">
        <v>8</v>
      </c>
      <c r="DP327" s="27" t="s">
        <v>7</v>
      </c>
      <c r="EA327" s="27" t="s">
        <v>8</v>
      </c>
      <c r="EB327" s="27" t="s">
        <v>7</v>
      </c>
      <c r="EC327" s="27" t="s">
        <v>8</v>
      </c>
      <c r="ED327" s="27" t="s">
        <v>7</v>
      </c>
      <c r="EE327" s="27" t="s">
        <v>8</v>
      </c>
    </row>
    <row r="328" spans="1:141" x14ac:dyDescent="0.25">
      <c r="A328" s="30">
        <v>1.365657146885267E-2</v>
      </c>
      <c r="B328"/>
      <c r="C328"/>
      <c r="D328"/>
      <c r="E328"/>
      <c r="AJ328" s="27" t="s">
        <v>7</v>
      </c>
      <c r="AK328" s="27" t="s">
        <v>8</v>
      </c>
      <c r="AL328" s="27" t="s">
        <v>7</v>
      </c>
      <c r="AM328" s="27" t="s">
        <v>8</v>
      </c>
      <c r="AN328" s="27" t="s">
        <v>7</v>
      </c>
      <c r="CG328" s="27" t="s">
        <v>8</v>
      </c>
      <c r="CH328" s="27" t="s">
        <v>7</v>
      </c>
      <c r="CK328" s="27" t="s">
        <v>8</v>
      </c>
      <c r="DM328" s="27" t="s">
        <v>8</v>
      </c>
      <c r="DN328" s="27" t="s">
        <v>7</v>
      </c>
      <c r="DO328" s="27" t="s">
        <v>8</v>
      </c>
      <c r="DP328" s="27" t="s">
        <v>7</v>
      </c>
      <c r="EA328" s="27" t="s">
        <v>8</v>
      </c>
      <c r="EB328" s="27" t="s">
        <v>7</v>
      </c>
      <c r="EC328" s="27" t="s">
        <v>8</v>
      </c>
      <c r="ED328" s="27" t="s">
        <v>7</v>
      </c>
      <c r="EE328" s="27" t="s">
        <v>8</v>
      </c>
    </row>
    <row r="329" spans="1:141" x14ac:dyDescent="0.25">
      <c r="A329" s="30">
        <v>1.3006258541764442E-2</v>
      </c>
      <c r="B329"/>
      <c r="C329"/>
      <c r="D329"/>
      <c r="E329"/>
      <c r="AJ329" s="27" t="s">
        <v>7</v>
      </c>
      <c r="AK329" s="27" t="s">
        <v>8</v>
      </c>
      <c r="AL329" s="27" t="s">
        <v>7</v>
      </c>
      <c r="AM329" s="27" t="s">
        <v>8</v>
      </c>
      <c r="AN329" s="27" t="s">
        <v>7</v>
      </c>
      <c r="CG329" s="27" t="s">
        <v>8</v>
      </c>
      <c r="CH329" s="27" t="s">
        <v>7</v>
      </c>
      <c r="CK329" s="27" t="s">
        <v>8</v>
      </c>
      <c r="CL329" s="27" t="s">
        <v>7</v>
      </c>
      <c r="DM329" s="27" t="s">
        <v>8</v>
      </c>
      <c r="DN329" s="27" t="s">
        <v>7</v>
      </c>
      <c r="DO329" s="27" t="s">
        <v>8</v>
      </c>
      <c r="DP329" s="27" t="s">
        <v>7</v>
      </c>
      <c r="EA329" s="27" t="s">
        <v>8</v>
      </c>
      <c r="EB329" s="27" t="s">
        <v>7</v>
      </c>
      <c r="EC329" s="27" t="s">
        <v>8</v>
      </c>
      <c r="ED329" s="27" t="s">
        <v>7</v>
      </c>
    </row>
    <row r="330" spans="1:141" x14ac:dyDescent="0.25">
      <c r="A330" s="30">
        <v>1.2386912896918512E-2</v>
      </c>
      <c r="B330"/>
      <c r="C330"/>
      <c r="D330"/>
      <c r="E330"/>
      <c r="AJ330" s="27" t="s">
        <v>7</v>
      </c>
      <c r="AK330" s="27" t="s">
        <v>8</v>
      </c>
      <c r="AL330" s="27" t="s">
        <v>7</v>
      </c>
      <c r="AM330" s="27" t="s">
        <v>8</v>
      </c>
      <c r="AN330" s="27" t="s">
        <v>7</v>
      </c>
      <c r="AY330" s="27" t="s">
        <v>8</v>
      </c>
      <c r="CG330" s="27" t="s">
        <v>8</v>
      </c>
      <c r="CH330" s="27" t="s">
        <v>7</v>
      </c>
      <c r="CK330" s="27" t="s">
        <v>8</v>
      </c>
      <c r="CL330" s="27" t="s">
        <v>7</v>
      </c>
      <c r="DM330" s="27" t="s">
        <v>8</v>
      </c>
      <c r="DN330" s="27" t="s">
        <v>7</v>
      </c>
      <c r="DO330" s="27" t="s">
        <v>8</v>
      </c>
      <c r="DP330" s="27" t="s">
        <v>7</v>
      </c>
      <c r="EA330" s="27" t="s">
        <v>8</v>
      </c>
      <c r="EB330" s="27" t="s">
        <v>7</v>
      </c>
      <c r="EC330" s="27" t="s">
        <v>8</v>
      </c>
    </row>
    <row r="331" spans="1:141" x14ac:dyDescent="0.25">
      <c r="A331" s="30">
        <v>1.179705990182715E-2</v>
      </c>
      <c r="B331"/>
      <c r="C331"/>
      <c r="D331"/>
      <c r="E331"/>
      <c r="AJ331" s="27" t="s">
        <v>7</v>
      </c>
      <c r="AK331" s="27" t="s">
        <v>8</v>
      </c>
      <c r="AL331" s="27" t="s">
        <v>7</v>
      </c>
      <c r="AM331" s="27" t="s">
        <v>8</v>
      </c>
      <c r="AN331" s="27" t="s">
        <v>7</v>
      </c>
      <c r="AY331" s="27" t="s">
        <v>8</v>
      </c>
      <c r="AZ331" s="27" t="s">
        <v>7</v>
      </c>
      <c r="CG331" s="27" t="s">
        <v>8</v>
      </c>
      <c r="CH331" s="27" t="s">
        <v>7</v>
      </c>
      <c r="CK331" s="27" t="s">
        <v>8</v>
      </c>
      <c r="CL331" s="27" t="s">
        <v>7</v>
      </c>
      <c r="DM331" s="27" t="s">
        <v>8</v>
      </c>
      <c r="DN331" s="27" t="s">
        <v>7</v>
      </c>
      <c r="DO331" s="27" t="s">
        <v>8</v>
      </c>
      <c r="DP331" s="27" t="s">
        <v>7</v>
      </c>
      <c r="DQ331" s="27" t="s">
        <v>8</v>
      </c>
      <c r="DW331" s="27" t="s">
        <v>8</v>
      </c>
      <c r="EA331" s="27" t="s">
        <v>8</v>
      </c>
      <c r="EB331" s="27" t="s">
        <v>7</v>
      </c>
    </row>
    <row r="332" spans="1:141" x14ac:dyDescent="0.25">
      <c r="A332" s="30">
        <v>1.1235295144597281E-2</v>
      </c>
      <c r="B332"/>
      <c r="C332"/>
      <c r="D332"/>
      <c r="E332"/>
      <c r="AJ332" s="27" t="s">
        <v>7</v>
      </c>
      <c r="AK332" s="27" t="s">
        <v>8</v>
      </c>
      <c r="AL332" s="27" t="s">
        <v>7</v>
      </c>
      <c r="AN332" s="27" t="s">
        <v>7</v>
      </c>
      <c r="AY332" s="27" t="s">
        <v>8</v>
      </c>
      <c r="AZ332" s="27" t="s">
        <v>7</v>
      </c>
      <c r="CG332" s="27" t="s">
        <v>8</v>
      </c>
      <c r="CH332" s="27" t="s">
        <v>7</v>
      </c>
      <c r="CK332" s="27" t="s">
        <v>8</v>
      </c>
      <c r="CL332" s="27" t="s">
        <v>7</v>
      </c>
      <c r="CM332" s="27" t="s">
        <v>8</v>
      </c>
      <c r="DK332" s="27" t="s">
        <v>8</v>
      </c>
      <c r="DM332" s="27" t="s">
        <v>8</v>
      </c>
      <c r="DN332" s="27" t="s">
        <v>7</v>
      </c>
      <c r="DO332" s="27" t="s">
        <v>8</v>
      </c>
      <c r="DP332" s="27" t="s">
        <v>7</v>
      </c>
      <c r="DQ332" s="27" t="s">
        <v>8</v>
      </c>
      <c r="DR332" s="27" t="s">
        <v>7</v>
      </c>
      <c r="DW332" s="27" t="s">
        <v>8</v>
      </c>
      <c r="DX332" s="27" t="s">
        <v>7</v>
      </c>
      <c r="EA332" s="27" t="s">
        <v>8</v>
      </c>
    </row>
    <row r="333" spans="1:141" x14ac:dyDescent="0.25">
      <c r="A333" s="30">
        <v>1.0700281090092644E-2</v>
      </c>
      <c r="B333"/>
      <c r="C333"/>
      <c r="D333"/>
      <c r="E333"/>
      <c r="AJ333" s="27" t="s">
        <v>7</v>
      </c>
      <c r="AN333" s="27" t="s">
        <v>7</v>
      </c>
      <c r="AS333" s="27" t="s">
        <v>8</v>
      </c>
      <c r="AY333" s="27" t="s">
        <v>8</v>
      </c>
      <c r="AZ333" s="27" t="s">
        <v>7</v>
      </c>
      <c r="BA333" s="27" t="s">
        <v>8</v>
      </c>
      <c r="CG333" s="27" t="s">
        <v>8</v>
      </c>
      <c r="CH333" s="27" t="s">
        <v>7</v>
      </c>
      <c r="CK333" s="27" t="s">
        <v>8</v>
      </c>
      <c r="CL333" s="27" t="s">
        <v>7</v>
      </c>
      <c r="CM333" s="27" t="s">
        <v>8</v>
      </c>
      <c r="CN333" s="27" t="s">
        <v>7</v>
      </c>
      <c r="DG333" s="27" t="s">
        <v>8</v>
      </c>
      <c r="DK333" s="27" t="s">
        <v>8</v>
      </c>
      <c r="DL333" s="27" t="s">
        <v>7</v>
      </c>
      <c r="DM333" s="27" t="s">
        <v>8</v>
      </c>
      <c r="DN333" s="27" t="s">
        <v>7</v>
      </c>
      <c r="DP333" s="27" t="s">
        <v>7</v>
      </c>
      <c r="DQ333" s="27" t="s">
        <v>8</v>
      </c>
      <c r="DR333" s="27" t="s">
        <v>7</v>
      </c>
      <c r="DS333" s="27" t="s">
        <v>8</v>
      </c>
      <c r="DU333" s="27" t="s">
        <v>8</v>
      </c>
      <c r="DW333" s="27" t="s">
        <v>8</v>
      </c>
      <c r="DX333" s="27" t="s">
        <v>7</v>
      </c>
      <c r="DY333" s="27" t="s">
        <v>8</v>
      </c>
      <c r="EA333" s="27" t="s">
        <v>8</v>
      </c>
    </row>
    <row r="334" spans="1:141" x14ac:dyDescent="0.25">
      <c r="A334" s="30">
        <v>1.0190743895326324E-2</v>
      </c>
      <c r="B334"/>
      <c r="C334"/>
      <c r="D334"/>
      <c r="E334"/>
      <c r="AN334" s="27" t="s">
        <v>7</v>
      </c>
      <c r="AO334" s="27" t="s">
        <v>8</v>
      </c>
      <c r="AQ334" s="27" t="s">
        <v>8</v>
      </c>
      <c r="AS334" s="27" t="s">
        <v>8</v>
      </c>
      <c r="AT334" s="27" t="s">
        <v>7</v>
      </c>
      <c r="AY334" s="27" t="s">
        <v>8</v>
      </c>
      <c r="AZ334" s="27" t="s">
        <v>7</v>
      </c>
      <c r="BA334" s="27" t="s">
        <v>8</v>
      </c>
      <c r="BB334" s="27" t="s">
        <v>7</v>
      </c>
      <c r="CE334" s="27" t="s">
        <v>8</v>
      </c>
      <c r="CG334" s="27" t="s">
        <v>8</v>
      </c>
      <c r="CH334" s="27" t="s">
        <v>7</v>
      </c>
      <c r="CK334" s="27" t="s">
        <v>8</v>
      </c>
      <c r="CL334" s="27" t="s">
        <v>7</v>
      </c>
      <c r="CM334" s="27" t="s">
        <v>8</v>
      </c>
      <c r="CN334" s="27" t="s">
        <v>7</v>
      </c>
      <c r="DG334" s="27" t="s">
        <v>8</v>
      </c>
      <c r="DH334" s="27" t="s">
        <v>7</v>
      </c>
      <c r="DK334" s="27" t="s">
        <v>8</v>
      </c>
      <c r="DL334" s="27" t="s">
        <v>7</v>
      </c>
      <c r="DM334" s="27" t="s">
        <v>8</v>
      </c>
      <c r="DP334" s="27" t="s">
        <v>7</v>
      </c>
      <c r="DQ334" s="27" t="s">
        <v>8</v>
      </c>
      <c r="DR334" s="27" t="s">
        <v>7</v>
      </c>
      <c r="DS334" s="27" t="s">
        <v>8</v>
      </c>
      <c r="DT334" s="27" t="s">
        <v>7</v>
      </c>
      <c r="DU334" s="27" t="s">
        <v>8</v>
      </c>
      <c r="DV334" s="27" t="s">
        <v>7</v>
      </c>
      <c r="DW334" s="27" t="s">
        <v>8</v>
      </c>
      <c r="DX334" s="27" t="s">
        <v>7</v>
      </c>
      <c r="DY334" s="27" t="s">
        <v>8</v>
      </c>
      <c r="DZ334" s="27" t="s">
        <v>7</v>
      </c>
      <c r="EA334" s="27" t="s">
        <v>8</v>
      </c>
    </row>
    <row r="335" spans="1:141" x14ac:dyDescent="0.25">
      <c r="A335" s="30">
        <v>9.7054703765012563E-3</v>
      </c>
      <c r="B335"/>
      <c r="C335"/>
      <c r="D335"/>
      <c r="E335"/>
      <c r="AN335" s="27" t="s">
        <v>7</v>
      </c>
      <c r="AO335" s="27" t="s">
        <v>8</v>
      </c>
      <c r="AP335" s="27" t="s">
        <v>7</v>
      </c>
      <c r="AQ335" s="27" t="s">
        <v>8</v>
      </c>
      <c r="AR335" s="27" t="s">
        <v>7</v>
      </c>
      <c r="AS335" s="27" t="s">
        <v>8</v>
      </c>
      <c r="AT335" s="27" t="s">
        <v>7</v>
      </c>
      <c r="AY335" s="27" t="s">
        <v>8</v>
      </c>
      <c r="AZ335" s="27" t="s">
        <v>7</v>
      </c>
      <c r="BA335" s="27" t="s">
        <v>8</v>
      </c>
      <c r="BB335" s="27" t="s">
        <v>7</v>
      </c>
      <c r="CE335" s="27" t="s">
        <v>8</v>
      </c>
      <c r="CF335" s="27" t="s">
        <v>7</v>
      </c>
      <c r="CG335" s="27" t="s">
        <v>8</v>
      </c>
      <c r="CH335" s="27" t="s">
        <v>7</v>
      </c>
      <c r="CI335" s="27" t="s">
        <v>8</v>
      </c>
      <c r="CK335" s="27" t="s">
        <v>8</v>
      </c>
      <c r="CL335" s="27" t="s">
        <v>7</v>
      </c>
      <c r="CN335" s="27" t="s">
        <v>7</v>
      </c>
      <c r="DG335" s="27" t="s">
        <v>8</v>
      </c>
      <c r="DH335" s="27" t="s">
        <v>7</v>
      </c>
      <c r="DI335" s="27" t="s">
        <v>8</v>
      </c>
      <c r="DK335" s="27" t="s">
        <v>8</v>
      </c>
      <c r="DL335" s="27" t="s">
        <v>7</v>
      </c>
      <c r="DM335" s="27" t="s">
        <v>8</v>
      </c>
      <c r="DP335" s="27" t="s">
        <v>7</v>
      </c>
      <c r="DQ335" s="27" t="s">
        <v>8</v>
      </c>
      <c r="DR335" s="27" t="s">
        <v>7</v>
      </c>
      <c r="DS335" s="27" t="s">
        <v>8</v>
      </c>
      <c r="DT335" s="27" t="s">
        <v>7</v>
      </c>
      <c r="DU335" s="27" t="s">
        <v>8</v>
      </c>
      <c r="DV335" s="27" t="s">
        <v>7</v>
      </c>
      <c r="DW335" s="27" t="s">
        <v>8</v>
      </c>
      <c r="DX335" s="27" t="s">
        <v>7</v>
      </c>
      <c r="DY335" s="27" t="s">
        <v>8</v>
      </c>
      <c r="DZ335" s="27" t="s">
        <v>7</v>
      </c>
      <c r="EA335" s="27" t="s">
        <v>8</v>
      </c>
    </row>
    <row r="336" spans="1:141" x14ac:dyDescent="0.25">
      <c r="A336" s="30">
        <v>9.2433051204773835E-3</v>
      </c>
      <c r="B336"/>
      <c r="C336"/>
      <c r="D336"/>
      <c r="E336"/>
      <c r="AN336" s="27" t="s">
        <v>7</v>
      </c>
      <c r="AO336" s="27" t="s">
        <v>8</v>
      </c>
      <c r="AP336" s="27" t="s">
        <v>7</v>
      </c>
      <c r="AQ336" s="27" t="s">
        <v>8</v>
      </c>
      <c r="AR336" s="27" t="s">
        <v>7</v>
      </c>
      <c r="AS336" s="27" t="s">
        <v>8</v>
      </c>
      <c r="AT336" s="27" t="s">
        <v>7</v>
      </c>
      <c r="AU336" s="27" t="s">
        <v>8</v>
      </c>
      <c r="AY336" s="27" t="s">
        <v>8</v>
      </c>
      <c r="AZ336" s="27" t="s">
        <v>7</v>
      </c>
      <c r="BA336" s="27" t="s">
        <v>8</v>
      </c>
      <c r="BB336" s="27" t="s">
        <v>7</v>
      </c>
      <c r="CE336" s="27" t="s">
        <v>8</v>
      </c>
      <c r="CF336" s="27" t="s">
        <v>7</v>
      </c>
      <c r="CG336" s="27" t="s">
        <v>8</v>
      </c>
      <c r="CH336" s="27" t="s">
        <v>7</v>
      </c>
      <c r="CI336" s="27" t="s">
        <v>8</v>
      </c>
      <c r="CJ336" s="27" t="s">
        <v>7</v>
      </c>
      <c r="CK336" s="27" t="s">
        <v>8</v>
      </c>
      <c r="CN336" s="27" t="s">
        <v>7</v>
      </c>
      <c r="DG336" s="27" t="s">
        <v>8</v>
      </c>
      <c r="DH336" s="27" t="s">
        <v>7</v>
      </c>
      <c r="DI336" s="27" t="s">
        <v>8</v>
      </c>
      <c r="DJ336" s="27" t="s">
        <v>7</v>
      </c>
      <c r="DK336" s="27" t="s">
        <v>8</v>
      </c>
      <c r="DL336" s="27" t="s">
        <v>7</v>
      </c>
      <c r="DM336" s="27" t="s">
        <v>8</v>
      </c>
      <c r="DP336" s="27" t="s">
        <v>7</v>
      </c>
      <c r="DQ336" s="27" t="s">
        <v>8</v>
      </c>
      <c r="DR336" s="27" t="s">
        <v>7</v>
      </c>
      <c r="DT336" s="27" t="s">
        <v>7</v>
      </c>
      <c r="DU336" s="27" t="s">
        <v>8</v>
      </c>
      <c r="DV336" s="27" t="s">
        <v>7</v>
      </c>
      <c r="DW336" s="27" t="s">
        <v>8</v>
      </c>
      <c r="DX336" s="27" t="s">
        <v>7</v>
      </c>
      <c r="DY336" s="27" t="s">
        <v>8</v>
      </c>
      <c r="DZ336" s="27" t="s">
        <v>7</v>
      </c>
      <c r="EA336" s="27" t="s">
        <v>8</v>
      </c>
    </row>
    <row r="337" spans="1:131" x14ac:dyDescent="0.25">
      <c r="A337" s="30">
        <v>8.8031477337879808E-3</v>
      </c>
      <c r="B337"/>
      <c r="C337"/>
      <c r="D337"/>
      <c r="E337"/>
      <c r="AN337" s="27" t="s">
        <v>7</v>
      </c>
      <c r="AO337" s="27" t="s">
        <v>8</v>
      </c>
      <c r="AP337" s="27" t="s">
        <v>7</v>
      </c>
      <c r="AR337" s="27" t="s">
        <v>7</v>
      </c>
      <c r="AT337" s="27" t="s">
        <v>7</v>
      </c>
      <c r="AU337" s="27" t="s">
        <v>8</v>
      </c>
      <c r="AV337" s="27" t="s">
        <v>7</v>
      </c>
      <c r="AW337" s="27" t="s">
        <v>8</v>
      </c>
      <c r="AY337" s="27" t="s">
        <v>8</v>
      </c>
      <c r="AZ337" s="27" t="s">
        <v>7</v>
      </c>
      <c r="BA337" s="27" t="s">
        <v>8</v>
      </c>
      <c r="BB337" s="27" t="s">
        <v>7</v>
      </c>
      <c r="CE337" s="27" t="s">
        <v>8</v>
      </c>
      <c r="CF337" s="27" t="s">
        <v>7</v>
      </c>
      <c r="CH337" s="27" t="s">
        <v>7</v>
      </c>
      <c r="CI337" s="27" t="s">
        <v>8</v>
      </c>
      <c r="CJ337" s="27" t="s">
        <v>7</v>
      </c>
      <c r="CK337" s="27" t="s">
        <v>8</v>
      </c>
      <c r="CN337" s="27" t="s">
        <v>7</v>
      </c>
      <c r="CS337" s="27" t="s">
        <v>8</v>
      </c>
      <c r="DG337" s="27" t="s">
        <v>8</v>
      </c>
      <c r="DH337" s="27" t="s">
        <v>7</v>
      </c>
      <c r="DI337" s="27" t="s">
        <v>8</v>
      </c>
      <c r="DJ337" s="27" t="s">
        <v>7</v>
      </c>
      <c r="DK337" s="27" t="s">
        <v>8</v>
      </c>
      <c r="DL337" s="27" t="s">
        <v>7</v>
      </c>
      <c r="DM337" s="27" t="s">
        <v>8</v>
      </c>
      <c r="DP337" s="27" t="s">
        <v>7</v>
      </c>
      <c r="DQ337" s="27" t="s">
        <v>8</v>
      </c>
      <c r="DT337" s="27" t="s">
        <v>7</v>
      </c>
      <c r="DU337" s="27" t="s">
        <v>8</v>
      </c>
      <c r="DV337" s="27" t="s">
        <v>7</v>
      </c>
      <c r="DX337" s="27" t="s">
        <v>7</v>
      </c>
      <c r="DZ337" s="27" t="s">
        <v>7</v>
      </c>
      <c r="EA337" s="27" t="s">
        <v>8</v>
      </c>
    </row>
    <row r="338" spans="1:131" x14ac:dyDescent="0.25">
      <c r="A338" s="30">
        <v>8.3839502226552166E-3</v>
      </c>
      <c r="B338"/>
      <c r="C338"/>
      <c r="D338"/>
      <c r="E338"/>
      <c r="AN338" s="27" t="s">
        <v>7</v>
      </c>
      <c r="AT338" s="27" t="s">
        <v>7</v>
      </c>
      <c r="AU338" s="27" t="s">
        <v>8</v>
      </c>
      <c r="AV338" s="27" t="s">
        <v>7</v>
      </c>
      <c r="AW338" s="27" t="s">
        <v>8</v>
      </c>
      <c r="AX338" s="27" t="s">
        <v>7</v>
      </c>
      <c r="AY338" s="27" t="s">
        <v>8</v>
      </c>
      <c r="AZ338" s="27" t="s">
        <v>7</v>
      </c>
      <c r="BB338" s="27" t="s">
        <v>7</v>
      </c>
      <c r="CE338" s="27" t="s">
        <v>8</v>
      </c>
      <c r="CH338" s="27" t="s">
        <v>7</v>
      </c>
      <c r="CJ338" s="27" t="s">
        <v>7</v>
      </c>
      <c r="CN338" s="27" t="s">
        <v>7</v>
      </c>
      <c r="CO338" s="27" t="s">
        <v>8</v>
      </c>
      <c r="CS338" s="27" t="s">
        <v>8</v>
      </c>
      <c r="CT338" s="27" t="s">
        <v>7</v>
      </c>
      <c r="DG338" s="27" t="s">
        <v>8</v>
      </c>
      <c r="DH338" s="27" t="s">
        <v>7</v>
      </c>
      <c r="DI338" s="27" t="s">
        <v>8</v>
      </c>
      <c r="DJ338" s="27" t="s">
        <v>7</v>
      </c>
      <c r="DK338" s="27" t="s">
        <v>8</v>
      </c>
      <c r="DL338" s="27" t="s">
        <v>7</v>
      </c>
      <c r="DM338" s="27" t="s">
        <v>8</v>
      </c>
      <c r="DP338" s="27" t="s">
        <v>7</v>
      </c>
      <c r="DT338" s="27" t="s">
        <v>7</v>
      </c>
      <c r="DU338" s="27" t="s">
        <v>8</v>
      </c>
      <c r="DZ338" s="27" t="s">
        <v>7</v>
      </c>
    </row>
    <row r="339" spans="1:131" x14ac:dyDescent="0.25">
      <c r="A339" s="30">
        <v>7.9847144977668698E-3</v>
      </c>
      <c r="B339"/>
      <c r="C339"/>
      <c r="D339"/>
      <c r="E339"/>
      <c r="AT339" s="27" t="s">
        <v>7</v>
      </c>
      <c r="AU339" s="27" t="s">
        <v>8</v>
      </c>
      <c r="AV339" s="27" t="s">
        <v>7</v>
      </c>
      <c r="AW339" s="27" t="s">
        <v>8</v>
      </c>
      <c r="AX339" s="27" t="s">
        <v>7</v>
      </c>
      <c r="AY339" s="27" t="s">
        <v>8</v>
      </c>
      <c r="BB339" s="27" t="s">
        <v>7</v>
      </c>
      <c r="CC339" s="27" t="s">
        <v>8</v>
      </c>
      <c r="CE339" s="27" t="s">
        <v>8</v>
      </c>
      <c r="CN339" s="27" t="s">
        <v>7</v>
      </c>
      <c r="CO339" s="27" t="s">
        <v>8</v>
      </c>
      <c r="CP339" s="27" t="s">
        <v>7</v>
      </c>
      <c r="CS339" s="27" t="s">
        <v>8</v>
      </c>
      <c r="CT339" s="27" t="s">
        <v>7</v>
      </c>
      <c r="DG339" s="27" t="s">
        <v>8</v>
      </c>
      <c r="DH339" s="27" t="s">
        <v>7</v>
      </c>
      <c r="DI339" s="27" t="s">
        <v>8</v>
      </c>
      <c r="DJ339" s="27" t="s">
        <v>7</v>
      </c>
      <c r="DK339" s="27" t="s">
        <v>8</v>
      </c>
      <c r="DL339" s="27" t="s">
        <v>7</v>
      </c>
      <c r="DT339" s="27" t="s">
        <v>7</v>
      </c>
    </row>
    <row r="340" spans="1:131" x14ac:dyDescent="0.25">
      <c r="A340" s="30">
        <v>7.6044899978732058E-3</v>
      </c>
      <c r="B340"/>
      <c r="C340"/>
      <c r="D340"/>
      <c r="E340"/>
      <c r="AT340" s="27" t="s">
        <v>7</v>
      </c>
      <c r="AV340" s="27" t="s">
        <v>7</v>
      </c>
      <c r="AW340" s="27" t="s">
        <v>8</v>
      </c>
      <c r="AX340" s="27" t="s">
        <v>7</v>
      </c>
      <c r="BB340" s="27" t="s">
        <v>7</v>
      </c>
      <c r="BC340" s="27" t="s">
        <v>8</v>
      </c>
      <c r="CC340" s="27" t="s">
        <v>8</v>
      </c>
      <c r="CD340" s="27" t="s">
        <v>7</v>
      </c>
      <c r="CE340" s="27" t="s">
        <v>8</v>
      </c>
      <c r="CN340" s="27" t="s">
        <v>7</v>
      </c>
      <c r="CO340" s="27" t="s">
        <v>8</v>
      </c>
      <c r="CP340" s="27" t="s">
        <v>7</v>
      </c>
      <c r="CQ340" s="27" t="s">
        <v>8</v>
      </c>
      <c r="CS340" s="27" t="s">
        <v>8</v>
      </c>
      <c r="CT340" s="27" t="s">
        <v>7</v>
      </c>
      <c r="DG340" s="27" t="s">
        <v>8</v>
      </c>
      <c r="DH340" s="27" t="s">
        <v>7</v>
      </c>
      <c r="DI340" s="27" t="s">
        <v>8</v>
      </c>
      <c r="DJ340" s="27" t="s">
        <v>7</v>
      </c>
      <c r="DK340" s="27" t="s">
        <v>8</v>
      </c>
    </row>
    <row r="341" spans="1:131" x14ac:dyDescent="0.25">
      <c r="A341" s="30">
        <v>7.2423714265459072E-3</v>
      </c>
      <c r="B341"/>
      <c r="C341"/>
      <c r="D341"/>
      <c r="E341"/>
      <c r="AV341" s="27" t="s">
        <v>7</v>
      </c>
      <c r="AW341" s="27" t="s">
        <v>8</v>
      </c>
      <c r="BB341" s="27" t="s">
        <v>7</v>
      </c>
      <c r="BC341" s="27" t="s">
        <v>8</v>
      </c>
      <c r="BD341" s="27" t="s">
        <v>7</v>
      </c>
      <c r="CA341" s="27" t="s">
        <v>8</v>
      </c>
      <c r="CC341" s="27" t="s">
        <v>8</v>
      </c>
      <c r="CD341" s="27" t="s">
        <v>7</v>
      </c>
      <c r="CE341" s="27" t="s">
        <v>8</v>
      </c>
      <c r="CN341" s="27" t="s">
        <v>7</v>
      </c>
      <c r="CP341" s="27" t="s">
        <v>7</v>
      </c>
      <c r="CQ341" s="27" t="s">
        <v>8</v>
      </c>
      <c r="CR341" s="27" t="s">
        <v>7</v>
      </c>
      <c r="CS341" s="27" t="s">
        <v>8</v>
      </c>
      <c r="CT341" s="27" t="s">
        <v>7</v>
      </c>
      <c r="DG341" s="27" t="s">
        <v>8</v>
      </c>
      <c r="DH341" s="27" t="s">
        <v>7</v>
      </c>
      <c r="DI341" s="27" t="s">
        <v>8</v>
      </c>
      <c r="DJ341" s="27" t="s">
        <v>7</v>
      </c>
      <c r="DK341" s="27" t="s">
        <v>8</v>
      </c>
    </row>
    <row r="342" spans="1:131" x14ac:dyDescent="0.25">
      <c r="A342" s="30">
        <v>6.8974965967103846E-3</v>
      </c>
      <c r="B342"/>
      <c r="C342"/>
      <c r="D342"/>
      <c r="E342"/>
      <c r="AV342" s="27" t="s">
        <v>7</v>
      </c>
      <c r="AW342" s="27" t="s">
        <v>8</v>
      </c>
      <c r="BB342" s="27" t="s">
        <v>7</v>
      </c>
      <c r="BC342" s="27" t="s">
        <v>8</v>
      </c>
      <c r="BD342" s="27" t="s">
        <v>7</v>
      </c>
      <c r="CA342" s="27" t="s">
        <v>8</v>
      </c>
      <c r="CB342" s="27" t="s">
        <v>7</v>
      </c>
      <c r="CC342" s="27" t="s">
        <v>8</v>
      </c>
      <c r="CD342" s="27" t="s">
        <v>7</v>
      </c>
      <c r="CE342" s="27" t="s">
        <v>8</v>
      </c>
      <c r="CP342" s="27" t="s">
        <v>7</v>
      </c>
      <c r="CQ342" s="27" t="s">
        <v>8</v>
      </c>
      <c r="CR342" s="27" t="s">
        <v>7</v>
      </c>
      <c r="CS342" s="27" t="s">
        <v>8</v>
      </c>
      <c r="CT342" s="27" t="s">
        <v>7</v>
      </c>
      <c r="DE342" s="27" t="s">
        <v>8</v>
      </c>
      <c r="DG342" s="27" t="s">
        <v>8</v>
      </c>
      <c r="DH342" s="27" t="s">
        <v>7</v>
      </c>
      <c r="DI342" s="27" t="s">
        <v>8</v>
      </c>
      <c r="DJ342" s="27" t="s">
        <v>7</v>
      </c>
      <c r="DK342" s="27" t="s">
        <v>8</v>
      </c>
    </row>
    <row r="343" spans="1:131" x14ac:dyDescent="0.25">
      <c r="A343" s="30">
        <v>6.5690443778194116E-3</v>
      </c>
      <c r="B343"/>
      <c r="C343"/>
      <c r="D343"/>
      <c r="E343"/>
      <c r="AV343" s="27" t="s">
        <v>7</v>
      </c>
      <c r="BB343" s="27" t="s">
        <v>7</v>
      </c>
      <c r="BC343" s="27" t="s">
        <v>8</v>
      </c>
      <c r="BD343" s="27" t="s">
        <v>7</v>
      </c>
      <c r="BE343" s="27" t="s">
        <v>8</v>
      </c>
      <c r="CA343" s="27" t="s">
        <v>8</v>
      </c>
      <c r="CB343" s="27" t="s">
        <v>7</v>
      </c>
      <c r="CC343" s="27" t="s">
        <v>8</v>
      </c>
      <c r="CD343" s="27" t="s">
        <v>7</v>
      </c>
      <c r="CE343" s="27" t="s">
        <v>8</v>
      </c>
      <c r="CP343" s="27" t="s">
        <v>7</v>
      </c>
      <c r="CR343" s="27" t="s">
        <v>7</v>
      </c>
      <c r="CT343" s="27" t="s">
        <v>7</v>
      </c>
      <c r="DE343" s="27" t="s">
        <v>8</v>
      </c>
      <c r="DF343" s="27" t="s">
        <v>7</v>
      </c>
      <c r="DG343" s="27" t="s">
        <v>8</v>
      </c>
      <c r="DH343" s="27" t="s">
        <v>7</v>
      </c>
      <c r="DI343" s="27" t="s">
        <v>8</v>
      </c>
      <c r="DJ343" s="27" t="s">
        <v>7</v>
      </c>
    </row>
    <row r="344" spans="1:131" x14ac:dyDescent="0.25">
      <c r="A344" s="30">
        <v>6.2562327407803897E-3</v>
      </c>
      <c r="B344"/>
      <c r="C344"/>
      <c r="D344"/>
      <c r="E344"/>
      <c r="BB344" s="27" t="s">
        <v>7</v>
      </c>
      <c r="BD344" s="27" t="s">
        <v>7</v>
      </c>
      <c r="BE344" s="27" t="s">
        <v>8</v>
      </c>
      <c r="BF344" s="27" t="s">
        <v>7</v>
      </c>
      <c r="CA344" s="27" t="s">
        <v>8</v>
      </c>
      <c r="CB344" s="27" t="s">
        <v>7</v>
      </c>
      <c r="CC344" s="27" t="s">
        <v>8</v>
      </c>
      <c r="CD344" s="27" t="s">
        <v>7</v>
      </c>
      <c r="CT344" s="27" t="s">
        <v>7</v>
      </c>
      <c r="CU344" s="27" t="s">
        <v>8</v>
      </c>
      <c r="DE344" s="27" t="s">
        <v>8</v>
      </c>
      <c r="DF344" s="27" t="s">
        <v>7</v>
      </c>
      <c r="DG344" s="27" t="s">
        <v>8</v>
      </c>
      <c r="DH344" s="27" t="s">
        <v>7</v>
      </c>
    </row>
    <row r="345" spans="1:131" x14ac:dyDescent="0.25">
      <c r="A345" s="30">
        <v>5.9583168959813212E-3</v>
      </c>
      <c r="B345"/>
      <c r="C345"/>
      <c r="D345"/>
      <c r="E345"/>
      <c r="BD345" s="27" t="s">
        <v>7</v>
      </c>
      <c r="BE345" s="27" t="s">
        <v>8</v>
      </c>
      <c r="BF345" s="27" t="s">
        <v>7</v>
      </c>
      <c r="BU345" s="27" t="s">
        <v>8</v>
      </c>
      <c r="BY345" s="27" t="s">
        <v>8</v>
      </c>
      <c r="CA345" s="27" t="s">
        <v>8</v>
      </c>
      <c r="CB345" s="27" t="s">
        <v>7</v>
      </c>
      <c r="CC345" s="27" t="s">
        <v>8</v>
      </c>
      <c r="CT345" s="27" t="s">
        <v>7</v>
      </c>
      <c r="CU345" s="27" t="s">
        <v>8</v>
      </c>
      <c r="CV345" s="27" t="s">
        <v>7</v>
      </c>
      <c r="CW345" s="27" t="s">
        <v>8</v>
      </c>
      <c r="DE345" s="27" t="s">
        <v>8</v>
      </c>
      <c r="DF345" s="27" t="s">
        <v>7</v>
      </c>
      <c r="DG345" s="27" t="s">
        <v>8</v>
      </c>
    </row>
    <row r="346" spans="1:131" x14ac:dyDescent="0.25">
      <c r="A346" s="30">
        <v>5.6745875199822084E-3</v>
      </c>
      <c r="B346"/>
      <c r="C346"/>
      <c r="D346"/>
      <c r="E346"/>
      <c r="BD346" s="27" t="s">
        <v>7</v>
      </c>
      <c r="BF346" s="27" t="s">
        <v>7</v>
      </c>
      <c r="BU346" s="27" t="s">
        <v>8</v>
      </c>
      <c r="BV346" s="27" t="s">
        <v>7</v>
      </c>
      <c r="BW346" s="27" t="s">
        <v>8</v>
      </c>
      <c r="BY346" s="27" t="s">
        <v>8</v>
      </c>
      <c r="BZ346" s="27" t="s">
        <v>7</v>
      </c>
      <c r="CA346" s="27" t="s">
        <v>8</v>
      </c>
      <c r="CB346" s="27" t="s">
        <v>7</v>
      </c>
      <c r="CC346" s="27" t="s">
        <v>8</v>
      </c>
      <c r="CT346" s="27" t="s">
        <v>7</v>
      </c>
      <c r="CU346" s="27" t="s">
        <v>8</v>
      </c>
      <c r="CV346" s="27" t="s">
        <v>7</v>
      </c>
      <c r="CW346" s="27" t="s">
        <v>8</v>
      </c>
      <c r="CX346" s="27" t="s">
        <v>7</v>
      </c>
      <c r="CY346" s="27" t="s">
        <v>8</v>
      </c>
      <c r="DC346" s="27" t="s">
        <v>8</v>
      </c>
      <c r="DE346" s="27" t="s">
        <v>8</v>
      </c>
      <c r="DF346" s="27" t="s">
        <v>7</v>
      </c>
      <c r="DG346" s="27" t="s">
        <v>8</v>
      </c>
    </row>
    <row r="347" spans="1:131" x14ac:dyDescent="0.25">
      <c r="A347" s="30">
        <v>5.4043690666497205E-3</v>
      </c>
      <c r="B347"/>
      <c r="C347"/>
      <c r="D347"/>
      <c r="E347"/>
      <c r="BF347" s="27" t="s">
        <v>7</v>
      </c>
      <c r="BU347" s="27" t="s">
        <v>8</v>
      </c>
      <c r="BV347" s="27" t="s">
        <v>7</v>
      </c>
      <c r="BW347" s="27" t="s">
        <v>8</v>
      </c>
      <c r="BX347" s="27" t="s">
        <v>7</v>
      </c>
      <c r="BY347" s="27" t="s">
        <v>8</v>
      </c>
      <c r="BZ347" s="27" t="s">
        <v>7</v>
      </c>
      <c r="CA347" s="27" t="s">
        <v>8</v>
      </c>
      <c r="CB347" s="27" t="s">
        <v>7</v>
      </c>
      <c r="CC347" s="27" t="s">
        <v>8</v>
      </c>
      <c r="CT347" s="27" t="s">
        <v>7</v>
      </c>
      <c r="CU347" s="27" t="s">
        <v>8</v>
      </c>
      <c r="CV347" s="27" t="s">
        <v>7</v>
      </c>
      <c r="CW347" s="27" t="s">
        <v>8</v>
      </c>
      <c r="CX347" s="27" t="s">
        <v>7</v>
      </c>
      <c r="CY347" s="27" t="s">
        <v>8</v>
      </c>
      <c r="CZ347" s="27" t="s">
        <v>7</v>
      </c>
      <c r="DA347" s="27" t="s">
        <v>8</v>
      </c>
      <c r="DC347" s="27" t="s">
        <v>8</v>
      </c>
      <c r="DD347" s="27" t="s">
        <v>7</v>
      </c>
      <c r="DE347" s="27" t="s">
        <v>8</v>
      </c>
      <c r="DF347" s="27" t="s">
        <v>7</v>
      </c>
      <c r="DG347" s="27" t="s">
        <v>8</v>
      </c>
    </row>
    <row r="348" spans="1:131" x14ac:dyDescent="0.25">
      <c r="A348" s="30">
        <v>5.1470181587140174E-3</v>
      </c>
      <c r="B348"/>
      <c r="C348"/>
      <c r="D348"/>
      <c r="E348"/>
      <c r="BF348" s="27" t="s">
        <v>7</v>
      </c>
      <c r="BU348" s="27" t="s">
        <v>8</v>
      </c>
      <c r="BV348" s="27" t="s">
        <v>7</v>
      </c>
      <c r="BW348" s="27" t="s">
        <v>8</v>
      </c>
      <c r="BX348" s="27" t="s">
        <v>7</v>
      </c>
      <c r="BY348" s="27" t="s">
        <v>8</v>
      </c>
      <c r="BZ348" s="27" t="s">
        <v>7</v>
      </c>
      <c r="CB348" s="27" t="s">
        <v>7</v>
      </c>
      <c r="CT348" s="27" t="s">
        <v>7</v>
      </c>
      <c r="CU348" s="27" t="s">
        <v>8</v>
      </c>
      <c r="CV348" s="27" t="s">
        <v>7</v>
      </c>
      <c r="CW348" s="27" t="s">
        <v>8</v>
      </c>
      <c r="CX348" s="27" t="s">
        <v>7</v>
      </c>
      <c r="CY348" s="27" t="s">
        <v>8</v>
      </c>
      <c r="CZ348" s="27" t="s">
        <v>7</v>
      </c>
      <c r="DA348" s="27" t="s">
        <v>8</v>
      </c>
      <c r="DB348" s="27" t="s">
        <v>7</v>
      </c>
      <c r="DC348" s="27" t="s">
        <v>8</v>
      </c>
      <c r="DD348" s="27" t="s">
        <v>7</v>
      </c>
      <c r="DE348" s="27" t="s">
        <v>8</v>
      </c>
      <c r="DF348" s="27" t="s">
        <v>7</v>
      </c>
      <c r="DG348" s="27" t="s">
        <v>8</v>
      </c>
    </row>
    <row r="349" spans="1:131" x14ac:dyDescent="0.25">
      <c r="A349" s="30">
        <v>4.9019220559181099E-3</v>
      </c>
      <c r="B349"/>
      <c r="C349"/>
      <c r="D349"/>
      <c r="E349"/>
      <c r="BF349" s="27" t="s">
        <v>7</v>
      </c>
      <c r="BU349" s="27" t="s">
        <v>8</v>
      </c>
      <c r="BV349" s="27" t="s">
        <v>7</v>
      </c>
      <c r="BW349" s="27" t="s">
        <v>8</v>
      </c>
      <c r="BX349" s="27" t="s">
        <v>7</v>
      </c>
      <c r="CT349" s="27" t="s">
        <v>7</v>
      </c>
      <c r="CV349" s="27" t="s">
        <v>7</v>
      </c>
      <c r="CX349" s="27" t="s">
        <v>7</v>
      </c>
      <c r="CY349" s="27" t="s">
        <v>8</v>
      </c>
      <c r="CZ349" s="27" t="s">
        <v>7</v>
      </c>
      <c r="DA349" s="27" t="s">
        <v>8</v>
      </c>
      <c r="DB349" s="27" t="s">
        <v>7</v>
      </c>
      <c r="DC349" s="27" t="s">
        <v>8</v>
      </c>
      <c r="DD349" s="27" t="s">
        <v>7</v>
      </c>
      <c r="DE349" s="27" t="s">
        <v>8</v>
      </c>
      <c r="DF349" s="27" t="s">
        <v>7</v>
      </c>
    </row>
    <row r="350" spans="1:131" x14ac:dyDescent="0.25">
      <c r="A350" s="30">
        <v>4.6684971961124836E-3</v>
      </c>
      <c r="B350"/>
      <c r="C350"/>
      <c r="D350"/>
      <c r="E350"/>
      <c r="BF350" s="27" t="s">
        <v>7</v>
      </c>
      <c r="BO350" s="27" t="s">
        <v>8</v>
      </c>
      <c r="BU350" s="27" t="s">
        <v>8</v>
      </c>
      <c r="BV350" s="27" t="s">
        <v>7</v>
      </c>
      <c r="BW350" s="27" t="s">
        <v>8</v>
      </c>
      <c r="CX350" s="27" t="s">
        <v>7</v>
      </c>
      <c r="CZ350" s="27" t="s">
        <v>7</v>
      </c>
      <c r="DB350" s="27" t="s">
        <v>7</v>
      </c>
      <c r="DC350" s="27" t="s">
        <v>8</v>
      </c>
      <c r="DD350" s="27" t="s">
        <v>7</v>
      </c>
    </row>
    <row r="351" spans="1:131" x14ac:dyDescent="0.25">
      <c r="A351" s="30">
        <v>4.4461878058214112E-3</v>
      </c>
      <c r="B351"/>
      <c r="C351"/>
      <c r="D351"/>
      <c r="E351"/>
      <c r="BF351" s="27" t="s">
        <v>7</v>
      </c>
      <c r="BO351" s="27" t="s">
        <v>8</v>
      </c>
      <c r="BP351" s="27" t="s">
        <v>7</v>
      </c>
      <c r="BU351" s="27" t="s">
        <v>8</v>
      </c>
      <c r="BV351" s="27" t="s">
        <v>7</v>
      </c>
      <c r="DB351" s="27" t="s">
        <v>7</v>
      </c>
      <c r="DC351" s="27" t="s">
        <v>8</v>
      </c>
    </row>
    <row r="352" spans="1:131" x14ac:dyDescent="0.25">
      <c r="A352" s="30">
        <v>4.2344645769727711E-3</v>
      </c>
      <c r="B352"/>
      <c r="C352"/>
      <c r="D352"/>
      <c r="E352"/>
      <c r="BF352" s="27" t="s">
        <v>7</v>
      </c>
      <c r="BO352" s="27" t="s">
        <v>8</v>
      </c>
      <c r="BP352" s="27" t="s">
        <v>7</v>
      </c>
      <c r="BU352" s="27" t="s">
        <v>8</v>
      </c>
      <c r="DB352" s="27" t="s">
        <v>7</v>
      </c>
      <c r="DC352" s="27" t="s">
        <v>8</v>
      </c>
    </row>
    <row r="353" spans="1:106" x14ac:dyDescent="0.25">
      <c r="A353" s="30">
        <v>4.0328234066407329E-3</v>
      </c>
      <c r="B353"/>
      <c r="C353"/>
      <c r="D353"/>
      <c r="E353"/>
      <c r="BF353" s="27" t="s">
        <v>7</v>
      </c>
      <c r="BI353" s="27" t="s">
        <v>8</v>
      </c>
      <c r="BM353" s="27" t="s">
        <v>8</v>
      </c>
      <c r="BO353" s="27" t="s">
        <v>8</v>
      </c>
      <c r="BP353" s="27" t="s">
        <v>7</v>
      </c>
      <c r="BS353" s="27" t="s">
        <v>8</v>
      </c>
      <c r="BU353" s="27" t="s">
        <v>8</v>
      </c>
      <c r="DB353" s="27" t="s">
        <v>7</v>
      </c>
    </row>
    <row r="354" spans="1:106" x14ac:dyDescent="0.25">
      <c r="A354" s="30">
        <v>3.8407841968006963E-3</v>
      </c>
      <c r="B354"/>
      <c r="C354"/>
      <c r="D354"/>
      <c r="E354"/>
      <c r="BF354" s="27" t="s">
        <v>7</v>
      </c>
      <c r="BI354" s="27" t="s">
        <v>8</v>
      </c>
      <c r="BJ354" s="27" t="s">
        <v>7</v>
      </c>
      <c r="BM354" s="27" t="s">
        <v>8</v>
      </c>
      <c r="BN354" s="27" t="s">
        <v>7</v>
      </c>
      <c r="BO354" s="27" t="s">
        <v>8</v>
      </c>
      <c r="BP354" s="27" t="s">
        <v>7</v>
      </c>
      <c r="BQ354" s="27" t="s">
        <v>8</v>
      </c>
      <c r="BS354" s="27" t="s">
        <v>8</v>
      </c>
      <c r="BT354" s="27" t="s">
        <v>7</v>
      </c>
      <c r="BU354" s="27" t="s">
        <v>8</v>
      </c>
    </row>
    <row r="355" spans="1:106" x14ac:dyDescent="0.25">
      <c r="A355" s="30">
        <v>3.6578897112387568E-3</v>
      </c>
      <c r="B355"/>
      <c r="C355"/>
      <c r="D355"/>
      <c r="E355"/>
      <c r="BF355" s="27" t="s">
        <v>7</v>
      </c>
      <c r="BI355" s="27" t="s">
        <v>8</v>
      </c>
      <c r="BJ355" s="27" t="s">
        <v>7</v>
      </c>
      <c r="BM355" s="27" t="s">
        <v>8</v>
      </c>
      <c r="BN355" s="27" t="s">
        <v>7</v>
      </c>
      <c r="BO355" s="27" t="s">
        <v>8</v>
      </c>
      <c r="BP355" s="27" t="s">
        <v>7</v>
      </c>
      <c r="BQ355" s="27" t="s">
        <v>8</v>
      </c>
      <c r="BR355" s="27" t="s">
        <v>7</v>
      </c>
      <c r="BS355" s="27" t="s">
        <v>8</v>
      </c>
      <c r="BT355" s="27" t="s">
        <v>7</v>
      </c>
      <c r="BU355" s="27" t="s">
        <v>8</v>
      </c>
    </row>
    <row r="356" spans="1:106" x14ac:dyDescent="0.25">
      <c r="A356" s="30">
        <v>3.4837044868940526E-3</v>
      </c>
      <c r="B356"/>
      <c r="C356"/>
      <c r="D356"/>
      <c r="E356"/>
      <c r="BF356" s="27" t="s">
        <v>7</v>
      </c>
      <c r="BI356" s="27" t="s">
        <v>8</v>
      </c>
      <c r="BJ356" s="27" t="s">
        <v>7</v>
      </c>
      <c r="BK356" s="27" t="s">
        <v>8</v>
      </c>
      <c r="BM356" s="27" t="s">
        <v>8</v>
      </c>
      <c r="BN356" s="27" t="s">
        <v>7</v>
      </c>
      <c r="BP356" s="27" t="s">
        <v>7</v>
      </c>
      <c r="BQ356" s="27" t="s">
        <v>8</v>
      </c>
      <c r="BR356" s="27" t="s">
        <v>7</v>
      </c>
      <c r="BS356" s="27" t="s">
        <v>8</v>
      </c>
      <c r="BT356" s="27" t="s">
        <v>7</v>
      </c>
    </row>
    <row r="357" spans="1:106" x14ac:dyDescent="0.25">
      <c r="A357" s="30">
        <v>3.3178137970419535E-3</v>
      </c>
      <c r="B357"/>
      <c r="C357"/>
      <c r="D357"/>
      <c r="E357"/>
      <c r="BF357" s="27" t="s">
        <v>7</v>
      </c>
      <c r="BG357" s="27" t="s">
        <v>8</v>
      </c>
      <c r="BI357" s="27" t="s">
        <v>8</v>
      </c>
      <c r="BJ357" s="27" t="s">
        <v>7</v>
      </c>
      <c r="BK357" s="27" t="s">
        <v>8</v>
      </c>
      <c r="BL357" s="27" t="s">
        <v>7</v>
      </c>
      <c r="BM357" s="27" t="s">
        <v>8</v>
      </c>
      <c r="BP357" s="27" t="s">
        <v>7</v>
      </c>
      <c r="BR357" s="27" t="s">
        <v>7</v>
      </c>
    </row>
    <row r="358" spans="1:106" x14ac:dyDescent="0.25">
      <c r="A358" s="30">
        <v>3.1598226638494781E-3</v>
      </c>
      <c r="B358"/>
      <c r="C358"/>
      <c r="D358"/>
      <c r="E358"/>
      <c r="BF358" s="27" t="s">
        <v>7</v>
      </c>
      <c r="BG358" s="27" t="s">
        <v>8</v>
      </c>
      <c r="BH358" s="27" t="s">
        <v>7</v>
      </c>
      <c r="BI358" s="27" t="s">
        <v>8</v>
      </c>
      <c r="BJ358" s="27" t="s">
        <v>7</v>
      </c>
      <c r="BK358" s="27" t="s">
        <v>8</v>
      </c>
      <c r="BL358" s="27" t="s">
        <v>7</v>
      </c>
      <c r="BM358" s="27" t="s">
        <v>8</v>
      </c>
    </row>
    <row r="359" spans="1:106" x14ac:dyDescent="0.25">
      <c r="A359" s="30">
        <v>3.0093549179518826E-3</v>
      </c>
      <c r="B359"/>
      <c r="C359"/>
      <c r="D359"/>
      <c r="E359"/>
      <c r="BF359" s="27" t="s">
        <v>7</v>
      </c>
      <c r="BG359" s="27" t="s">
        <v>8</v>
      </c>
      <c r="BH359" s="27" t="s">
        <v>7</v>
      </c>
      <c r="BI359" s="27" t="s">
        <v>8</v>
      </c>
      <c r="BJ359" s="27" t="s">
        <v>7</v>
      </c>
      <c r="BK359" s="27" t="s">
        <v>8</v>
      </c>
      <c r="BL359" s="27" t="s">
        <v>7</v>
      </c>
    </row>
    <row r="360" spans="1:106" x14ac:dyDescent="0.25">
      <c r="A360" s="30">
        <v>2.8660523028113155E-3</v>
      </c>
      <c r="B360"/>
      <c r="C360"/>
      <c r="D360"/>
      <c r="E360"/>
      <c r="BF360" s="27" t="s">
        <v>7</v>
      </c>
      <c r="BG360" s="27" t="s">
        <v>8</v>
      </c>
      <c r="BH360" s="27" t="s">
        <v>7</v>
      </c>
      <c r="BI360" s="27" t="s">
        <v>8</v>
      </c>
      <c r="BJ360" s="27" t="s">
        <v>7</v>
      </c>
    </row>
    <row r="361" spans="1:106" x14ac:dyDescent="0.25">
      <c r="A361" s="30">
        <v>2.7295736217250611E-3</v>
      </c>
      <c r="B361"/>
      <c r="C361"/>
      <c r="D361"/>
      <c r="E361"/>
      <c r="BF361" s="27" t="s">
        <v>7</v>
      </c>
      <c r="BG361" s="27" t="s">
        <v>8</v>
      </c>
      <c r="BH361" s="27" t="s">
        <v>7</v>
      </c>
      <c r="BI361" s="27" t="s">
        <v>8</v>
      </c>
    </row>
    <row r="362" spans="1:106" x14ac:dyDescent="0.25">
      <c r="A362" s="30">
        <v>2.5995939254524381E-3</v>
      </c>
      <c r="B362"/>
      <c r="C362"/>
      <c r="D362"/>
      <c r="E362"/>
      <c r="BF362" s="27" t="s">
        <v>7</v>
      </c>
      <c r="BG362" s="27" t="s">
        <v>8</v>
      </c>
      <c r="BH362" s="27" t="s">
        <v>7</v>
      </c>
      <c r="BI362" s="27" t="s">
        <v>8</v>
      </c>
    </row>
    <row r="363" spans="1:106" x14ac:dyDescent="0.25">
      <c r="A363" s="30">
        <v>2.4758037385261304E-3</v>
      </c>
      <c r="B363"/>
      <c r="C363"/>
      <c r="D363"/>
      <c r="E363"/>
      <c r="BF363" s="27" t="s">
        <v>7</v>
      </c>
      <c r="BG363" s="27" t="s">
        <v>8</v>
      </c>
      <c r="BH363" s="27" t="s">
        <v>7</v>
      </c>
    </row>
    <row r="364" spans="1:106" x14ac:dyDescent="0.25">
      <c r="A364" s="30">
        <v>2.3579083224058374E-3</v>
      </c>
      <c r="B364"/>
      <c r="C364"/>
      <c r="D364"/>
      <c r="E364"/>
      <c r="BF364" s="27" t="s">
        <v>7</v>
      </c>
      <c r="BG364" s="27" t="s">
        <v>8</v>
      </c>
    </row>
    <row r="365" spans="1:106" x14ac:dyDescent="0.25">
      <c r="A365" s="30">
        <v>2.245626973719844E-3</v>
      </c>
      <c r="B365"/>
      <c r="C365"/>
      <c r="D365"/>
      <c r="E365"/>
      <c r="BF365" s="27" t="s">
        <v>7</v>
      </c>
      <c r="BG365" s="27" t="s">
        <v>8</v>
      </c>
    </row>
    <row r="366" spans="1:106" x14ac:dyDescent="0.25">
      <c r="A366" s="30">
        <v>2.1386923559236601E-3</v>
      </c>
      <c r="B366"/>
      <c r="C366"/>
      <c r="D366"/>
      <c r="E366"/>
      <c r="BF366" s="27" t="s">
        <v>7</v>
      </c>
      <c r="BG366" s="27" t="s">
        <v>8</v>
      </c>
    </row>
    <row r="367" spans="1:106" x14ac:dyDescent="0.25">
      <c r="A367" s="30">
        <v>2.0368498627844375E-3</v>
      </c>
      <c r="B367"/>
      <c r="C367"/>
      <c r="D367"/>
      <c r="E367"/>
      <c r="BF367" s="27" t="s">
        <v>7</v>
      </c>
    </row>
    <row r="368" spans="1:106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435" operator="equal">
      <formula>$U$1</formula>
    </cfRule>
    <cfRule type="cellIs" dxfId="67" priority="1436" operator="equal">
      <formula>$S$1</formula>
    </cfRule>
  </conditionalFormatting>
  <conditionalFormatting sqref="D136">
    <cfRule type="cellIs" dxfId="66" priority="1433" operator="equal">
      <formula>$S$1</formula>
    </cfRule>
    <cfRule type="cellIs" dxfId="65" priority="1434" operator="equal">
      <formula>$U$1</formula>
    </cfRule>
  </conditionalFormatting>
  <conditionalFormatting sqref="C162">
    <cfRule type="cellIs" dxfId="64" priority="1431" operator="equal">
      <formula>$U$1</formula>
    </cfRule>
    <cfRule type="cellIs" dxfId="63" priority="1432" operator="equal">
      <formula>$S$1</formula>
    </cfRule>
  </conditionalFormatting>
  <conditionalFormatting sqref="D162">
    <cfRule type="cellIs" dxfId="62" priority="1429" operator="equal">
      <formula>$S$1</formula>
    </cfRule>
    <cfRule type="cellIs" dxfId="61" priority="1430" operator="equal">
      <formula>$U$1</formula>
    </cfRule>
  </conditionalFormatting>
  <conditionalFormatting sqref="C187">
    <cfRule type="cellIs" dxfId="60" priority="1427" operator="equal">
      <formula>$U$1</formula>
    </cfRule>
    <cfRule type="cellIs" dxfId="59" priority="1428" operator="equal">
      <formula>$S$1</formula>
    </cfRule>
  </conditionalFormatting>
  <conditionalFormatting sqref="D187">
    <cfRule type="cellIs" dxfId="58" priority="1425" operator="equal">
      <formula>$S$1</formula>
    </cfRule>
    <cfRule type="cellIs" dxfId="57" priority="1426" operator="equal">
      <formula>$U$1</formula>
    </cfRule>
  </conditionalFormatting>
  <conditionalFormatting sqref="C212">
    <cfRule type="cellIs" dxfId="56" priority="1423" operator="equal">
      <formula>$U$1</formula>
    </cfRule>
    <cfRule type="cellIs" dxfId="55" priority="1424" operator="equal">
      <formula>$S$1</formula>
    </cfRule>
  </conditionalFormatting>
  <conditionalFormatting sqref="D212">
    <cfRule type="cellIs" dxfId="54" priority="1421" operator="equal">
      <formula>$S$1</formula>
    </cfRule>
    <cfRule type="cellIs" dxfId="53" priority="1422" operator="equal">
      <formula>$U$1</formula>
    </cfRule>
  </conditionalFormatting>
  <conditionalFormatting sqref="C237">
    <cfRule type="cellIs" dxfId="52" priority="1419" operator="equal">
      <formula>$U$1</formula>
    </cfRule>
    <cfRule type="cellIs" dxfId="51" priority="1420" operator="equal">
      <formula>$S$1</formula>
    </cfRule>
  </conditionalFormatting>
  <conditionalFormatting sqref="D237">
    <cfRule type="cellIs" dxfId="50" priority="1417" operator="equal">
      <formula>$S$1</formula>
    </cfRule>
    <cfRule type="cellIs" dxfId="49" priority="1418" operator="equal">
      <formula>$U$1</formula>
    </cfRule>
  </conditionalFormatting>
  <conditionalFormatting sqref="C106">
    <cfRule type="cellIs" dxfId="48" priority="1415" operator="equal">
      <formula>$U$1</formula>
    </cfRule>
    <cfRule type="cellIs" dxfId="47" priority="1416" operator="equal">
      <formula>$S$1</formula>
    </cfRule>
  </conditionalFormatting>
  <conditionalFormatting sqref="D106">
    <cfRule type="cellIs" dxfId="46" priority="1413" operator="equal">
      <formula>$S$1</formula>
    </cfRule>
    <cfRule type="cellIs" dxfId="45" priority="1414" operator="equal">
      <formula>$U$1</formula>
    </cfRule>
  </conditionalFormatting>
  <conditionalFormatting sqref="C81">
    <cfRule type="cellIs" dxfId="44" priority="1411" operator="equal">
      <formula>$U$1</formula>
    </cfRule>
    <cfRule type="cellIs" dxfId="43" priority="1412" operator="equal">
      <formula>$S$1</formula>
    </cfRule>
  </conditionalFormatting>
  <conditionalFormatting sqref="D81">
    <cfRule type="cellIs" dxfId="42" priority="1409" operator="equal">
      <formula>$S$1</formula>
    </cfRule>
    <cfRule type="cellIs" dxfId="41" priority="1410" operator="equal">
      <formula>$U$1</formula>
    </cfRule>
  </conditionalFormatting>
  <conditionalFormatting sqref="C56">
    <cfRule type="cellIs" dxfId="40" priority="1407" operator="equal">
      <formula>$U$1</formula>
    </cfRule>
    <cfRule type="cellIs" dxfId="39" priority="1408" operator="equal">
      <formula>$S$1</formula>
    </cfRule>
  </conditionalFormatting>
  <conditionalFormatting sqref="D56">
    <cfRule type="cellIs" dxfId="38" priority="1405" operator="equal">
      <formula>$S$1</formula>
    </cfRule>
    <cfRule type="cellIs" dxfId="37" priority="1406" operator="equal">
      <formula>$U$1</formula>
    </cfRule>
  </conditionalFormatting>
  <conditionalFormatting sqref="C31">
    <cfRule type="cellIs" dxfId="36" priority="1403" operator="equal">
      <formula>$U$1</formula>
    </cfRule>
    <cfRule type="cellIs" dxfId="35" priority="1404" operator="equal">
      <formula>$S$1</formula>
    </cfRule>
  </conditionalFormatting>
  <conditionalFormatting sqref="D31">
    <cfRule type="cellIs" dxfId="34" priority="1401" operator="equal">
      <formula>$S$1</formula>
    </cfRule>
    <cfRule type="cellIs" dxfId="33" priority="140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CL157" sqref="CL15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$A$156</v>
      </c>
      <c r="D111" s="1" t="str">
        <f>ADDRESS(C121-1,D121,1,1)</f>
        <v>$CL$156</v>
      </c>
      <c r="E111"/>
    </row>
    <row r="112" spans="1:5" x14ac:dyDescent="0.25">
      <c r="A112" s="30">
        <v>2.3579476910000019</v>
      </c>
      <c r="C112" s="1" t="str">
        <f>ADDRESS(C121,1,1,1)</f>
        <v>$A$157</v>
      </c>
      <c r="D112" s="1" t="str">
        <f>ADDRESS(C121,D121-1,1,1)</f>
        <v>$CK$157</v>
      </c>
      <c r="E112"/>
    </row>
    <row r="113" spans="1:6" x14ac:dyDescent="0.25">
      <c r="A113" s="30">
        <v>2.1435888100000016</v>
      </c>
      <c r="C113" s="1" t="str">
        <f>ADDRESS(C121+1,1,1,1)</f>
        <v>$A$158</v>
      </c>
      <c r="D113" s="1" t="str">
        <f>ADDRESS(C121-1,D121+1,1,1)</f>
        <v>$CM$156</v>
      </c>
    </row>
    <row r="114" spans="1:6" x14ac:dyDescent="0.25">
      <c r="A114" s="30">
        <v>1.9487171000000014</v>
      </c>
      <c r="C114" s="1" t="str">
        <f>ADDRESS(C121,D121,1,1)</f>
        <v>$CL$157</v>
      </c>
      <c r="D114" s="1" t="str">
        <f>ADDRESS(C121+1,D121+1,1,1)</f>
        <v>$CM$158</v>
      </c>
    </row>
    <row r="115" spans="1:6" x14ac:dyDescent="0.25">
      <c r="A115" s="30">
        <v>1.7715610000000011</v>
      </c>
      <c r="C115" s="1" t="str">
        <f>ADDRESS(C121+1,D121,1,1)</f>
        <v>$CL$158</v>
      </c>
    </row>
    <row r="116" spans="1:6" x14ac:dyDescent="0.25">
      <c r="A116" s="30">
        <v>1.6105100000000008</v>
      </c>
      <c r="C116" s="1">
        <f>C117-1</f>
        <v>156</v>
      </c>
    </row>
    <row r="117" spans="1:6" x14ac:dyDescent="0.25">
      <c r="A117" s="30">
        <v>1.4641000000000006</v>
      </c>
      <c r="C117" s="1">
        <f>C121</f>
        <v>157</v>
      </c>
      <c r="D117" s="1">
        <f>D121</f>
        <v>90</v>
      </c>
    </row>
    <row r="118" spans="1:6" x14ac:dyDescent="0.25">
      <c r="A118" s="30">
        <v>1.3310000000000004</v>
      </c>
      <c r="C118" s="1">
        <f>C117+1</f>
        <v>158</v>
      </c>
      <c r="D118" s="1">
        <f>D117+1</f>
        <v>91</v>
      </c>
    </row>
    <row r="119" spans="1:6" x14ac:dyDescent="0.25">
      <c r="A119" s="30">
        <v>1.2100000000000002</v>
      </c>
    </row>
    <row r="120" spans="1:6" x14ac:dyDescent="0.25">
      <c r="A120" s="30">
        <v>1.1000000000000001</v>
      </c>
      <c r="C120" s="1" t="s">
        <v>9</v>
      </c>
    </row>
    <row r="121" spans="1:6" x14ac:dyDescent="0.25">
      <c r="A121" s="30">
        <v>1</v>
      </c>
      <c r="C121" s="18">
        <v>157</v>
      </c>
      <c r="D121" s="19">
        <v>90</v>
      </c>
      <c r="E121" s="18" t="s">
        <v>8</v>
      </c>
    </row>
    <row r="122" spans="1:6" x14ac:dyDescent="0.25">
      <c r="A122" s="30">
        <v>0.90909090909090895</v>
      </c>
      <c r="C122" s="1" t="str">
        <f>INDEX(1:1048576,C117,D117)</f>
        <v>O</v>
      </c>
      <c r="F122" s="27" t="s">
        <v>7</v>
      </c>
    </row>
    <row r="123" spans="1:6" x14ac:dyDescent="0.25">
      <c r="A123" s="30">
        <v>0.82644628099173523</v>
      </c>
      <c r="C123" s="1" t="str">
        <f>"R"&amp;C121</f>
        <v>R157</v>
      </c>
      <c r="D123" s="1" t="str">
        <f>"C"&amp;D121</f>
        <v>C90</v>
      </c>
      <c r="F123" s="27" t="s">
        <v>7</v>
      </c>
    </row>
    <row r="124" spans="1:6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</row>
    <row r="125" spans="1:6" x14ac:dyDescent="0.25">
      <c r="A125" s="30">
        <v>0.68301345536507019</v>
      </c>
      <c r="F125" s="27" t="s">
        <v>7</v>
      </c>
    </row>
    <row r="126" spans="1:6" x14ac:dyDescent="0.25">
      <c r="A126" s="30">
        <v>0.6209213230591546</v>
      </c>
      <c r="C126" s="1" t="s">
        <v>10</v>
      </c>
      <c r="F126" s="27" t="s">
        <v>7</v>
      </c>
    </row>
    <row r="127" spans="1:6" x14ac:dyDescent="0.25">
      <c r="A127" s="30">
        <v>0.56447393005377677</v>
      </c>
      <c r="C127" s="30">
        <v>3.2349184307606541E-2</v>
      </c>
      <c r="D127"/>
      <c r="F127" s="27" t="s">
        <v>7</v>
      </c>
    </row>
    <row r="128" spans="1:6" x14ac:dyDescent="0.25">
      <c r="A128" s="30">
        <v>0.51315811823070612</v>
      </c>
      <c r="F128" s="27" t="s">
        <v>7</v>
      </c>
    </row>
    <row r="129" spans="1:87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</row>
    <row r="130" spans="1:87" x14ac:dyDescent="0.25">
      <c r="A130" s="30">
        <v>0.42409761837248428</v>
      </c>
      <c r="C130" s="6"/>
      <c r="D130" s="6"/>
      <c r="E130"/>
      <c r="F130" s="27" t="s">
        <v>7</v>
      </c>
    </row>
    <row r="131" spans="1:87" x14ac:dyDescent="0.25">
      <c r="A131" s="30">
        <v>0.38554328942953109</v>
      </c>
      <c r="E131"/>
      <c r="F131" s="27" t="s">
        <v>7</v>
      </c>
    </row>
    <row r="132" spans="1:87" x14ac:dyDescent="0.25">
      <c r="A132" s="30">
        <v>0.35049389948139187</v>
      </c>
      <c r="C132" s="1" t="s">
        <v>13</v>
      </c>
      <c r="E132"/>
      <c r="F132" s="27" t="s">
        <v>7</v>
      </c>
    </row>
    <row r="133" spans="1:87" x14ac:dyDescent="0.25">
      <c r="A133" s="30">
        <v>0.31863081771035617</v>
      </c>
      <c r="C133" s="1" t="str">
        <f>C122</f>
        <v>O</v>
      </c>
      <c r="E133"/>
      <c r="F133" s="27" t="s">
        <v>7</v>
      </c>
    </row>
    <row r="134" spans="1:87" x14ac:dyDescent="0.25">
      <c r="A134" s="30">
        <v>0.28966437973668741</v>
      </c>
      <c r="C134"/>
      <c r="D134"/>
      <c r="E134"/>
      <c r="F134" s="27" t="s">
        <v>7</v>
      </c>
    </row>
    <row r="135" spans="1:87" x14ac:dyDescent="0.25">
      <c r="A135" s="30">
        <v>0.2633312543060794</v>
      </c>
      <c r="C135" s="1" t="s">
        <v>14</v>
      </c>
      <c r="E135"/>
      <c r="F135" s="27" t="s">
        <v>7</v>
      </c>
    </row>
    <row r="136" spans="1:87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F136" s="27" t="s">
        <v>7</v>
      </c>
    </row>
    <row r="137" spans="1:87" x14ac:dyDescent="0.25">
      <c r="A137" s="30">
        <v>0.2176291357901482</v>
      </c>
      <c r="E137"/>
      <c r="F137" s="27" t="s">
        <v>7</v>
      </c>
    </row>
    <row r="138" spans="1:87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F138" s="27" t="s">
        <v>7</v>
      </c>
      <c r="BE138" s="27" t="s">
        <v>8</v>
      </c>
    </row>
    <row r="139" spans="1:87" x14ac:dyDescent="0.25">
      <c r="A139" s="30">
        <v>0.17985878990921333</v>
      </c>
      <c r="E139"/>
      <c r="F139" s="27" t="s">
        <v>7</v>
      </c>
      <c r="BE139" s="27" t="s">
        <v>8</v>
      </c>
      <c r="BF139" s="27" t="s">
        <v>7</v>
      </c>
      <c r="BG139" s="27" t="s">
        <v>8</v>
      </c>
      <c r="CC139" s="27" t="s">
        <v>8</v>
      </c>
    </row>
    <row r="140" spans="1:87" x14ac:dyDescent="0.25">
      <c r="A140" s="30">
        <v>0.16350799082655756</v>
      </c>
      <c r="C140" s="1">
        <v>0</v>
      </c>
      <c r="E140"/>
      <c r="F140" s="27" t="s">
        <v>7</v>
      </c>
      <c r="BE140" s="27" t="s">
        <v>8</v>
      </c>
      <c r="BF140" s="27" t="s">
        <v>7</v>
      </c>
      <c r="BG140" s="27" t="s">
        <v>8</v>
      </c>
      <c r="BH140" s="27" t="s">
        <v>7</v>
      </c>
      <c r="BI140" s="27" t="s">
        <v>8</v>
      </c>
      <c r="CC140" s="27" t="s">
        <v>8</v>
      </c>
      <c r="CD140" s="27" t="s">
        <v>7</v>
      </c>
    </row>
    <row r="141" spans="1:87" x14ac:dyDescent="0.25">
      <c r="A141" s="30">
        <v>0.14864362802414322</v>
      </c>
      <c r="C141" s="1">
        <v>1</v>
      </c>
      <c r="E141"/>
      <c r="F141" s="27" t="s">
        <v>7</v>
      </c>
      <c r="BE141" s="27" t="s">
        <v>8</v>
      </c>
      <c r="BF141" s="27" t="s">
        <v>7</v>
      </c>
      <c r="BG141" s="27" t="s">
        <v>8</v>
      </c>
      <c r="BH141" s="27" t="s">
        <v>7</v>
      </c>
      <c r="BI141" s="27" t="s">
        <v>8</v>
      </c>
      <c r="BJ141" s="27" t="s">
        <v>7</v>
      </c>
      <c r="BK141" s="27" t="s">
        <v>8</v>
      </c>
      <c r="CC141" s="27" t="s">
        <v>8</v>
      </c>
      <c r="CD141" s="27" t="s">
        <v>7</v>
      </c>
    </row>
    <row r="142" spans="1:87" x14ac:dyDescent="0.25">
      <c r="A142" s="30">
        <v>0.13513057093103928</v>
      </c>
      <c r="C142" s="1">
        <v>2</v>
      </c>
      <c r="E142"/>
      <c r="F142" s="27" t="s">
        <v>7</v>
      </c>
      <c r="BE142" s="27" t="s">
        <v>8</v>
      </c>
      <c r="BF142" s="27" t="s">
        <v>7</v>
      </c>
      <c r="BG142" s="27" t="s">
        <v>8</v>
      </c>
      <c r="BH142" s="27" t="s">
        <v>7</v>
      </c>
      <c r="BI142" s="27" t="s">
        <v>8</v>
      </c>
      <c r="BJ142" s="27" t="s">
        <v>7</v>
      </c>
      <c r="BK142" s="27" t="s">
        <v>8</v>
      </c>
      <c r="BL142" s="27" t="s">
        <v>7</v>
      </c>
      <c r="CC142" s="27" t="s">
        <v>8</v>
      </c>
      <c r="CD142" s="27" t="s">
        <v>7</v>
      </c>
    </row>
    <row r="143" spans="1:87" x14ac:dyDescent="0.25">
      <c r="A143" s="30">
        <v>0.12284597357367205</v>
      </c>
      <c r="C143" s="1">
        <v>3</v>
      </c>
      <c r="E143"/>
      <c r="F143" s="27" t="s">
        <v>7</v>
      </c>
      <c r="BE143" s="27" t="s">
        <v>8</v>
      </c>
      <c r="BF143" s="27" t="s">
        <v>7</v>
      </c>
      <c r="BG143" s="27" t="s">
        <v>8</v>
      </c>
      <c r="BH143" s="27" t="s">
        <v>7</v>
      </c>
      <c r="BJ143" s="27" t="s">
        <v>7</v>
      </c>
      <c r="BK143" s="27" t="s">
        <v>8</v>
      </c>
      <c r="BL143" s="27" t="s">
        <v>7</v>
      </c>
      <c r="CC143" s="27" t="s">
        <v>8</v>
      </c>
      <c r="CD143" s="27" t="s">
        <v>7</v>
      </c>
    </row>
    <row r="144" spans="1:87" x14ac:dyDescent="0.25">
      <c r="A144" s="30">
        <v>0.11167815779424731</v>
      </c>
      <c r="C144" s="1">
        <v>4</v>
      </c>
      <c r="E144"/>
      <c r="F144" s="27" t="s">
        <v>7</v>
      </c>
      <c r="BE144" s="27" t="s">
        <v>8</v>
      </c>
      <c r="BF144" s="27" t="s">
        <v>7</v>
      </c>
      <c r="BG144" s="27" t="s">
        <v>8</v>
      </c>
      <c r="BJ144" s="27" t="s">
        <v>7</v>
      </c>
      <c r="BK144" s="27" t="s">
        <v>8</v>
      </c>
      <c r="BL144" s="27" t="s">
        <v>7</v>
      </c>
      <c r="CC144" s="27" t="s">
        <v>8</v>
      </c>
      <c r="CD144" s="27" t="s">
        <v>7</v>
      </c>
      <c r="CE144" s="27" t="s">
        <v>8</v>
      </c>
      <c r="CG144" s="27" t="s">
        <v>8</v>
      </c>
      <c r="CI144" s="27" t="s">
        <v>8</v>
      </c>
    </row>
    <row r="145" spans="1:90" x14ac:dyDescent="0.25">
      <c r="A145" s="30">
        <v>0.10152559799477026</v>
      </c>
      <c r="B145"/>
      <c r="C145"/>
      <c r="D145"/>
      <c r="E145"/>
      <c r="F145" s="27" t="s">
        <v>7</v>
      </c>
      <c r="BE145" s="27" t="s">
        <v>8</v>
      </c>
      <c r="BF145" s="27" t="s">
        <v>7</v>
      </c>
      <c r="BJ145" s="27" t="s">
        <v>7</v>
      </c>
      <c r="BK145" s="27" t="s">
        <v>8</v>
      </c>
      <c r="BL145" s="27" t="s">
        <v>7</v>
      </c>
      <c r="CC145" s="27" t="s">
        <v>8</v>
      </c>
      <c r="CD145" s="27" t="s">
        <v>7</v>
      </c>
      <c r="CE145" s="27" t="s">
        <v>8</v>
      </c>
      <c r="CF145" s="27" t="s">
        <v>7</v>
      </c>
      <c r="CG145" s="27" t="s">
        <v>8</v>
      </c>
      <c r="CH145" s="27" t="s">
        <v>7</v>
      </c>
      <c r="CI145" s="27" t="s">
        <v>8</v>
      </c>
      <c r="CJ145" s="27" t="s">
        <v>7</v>
      </c>
    </row>
    <row r="146" spans="1:90" x14ac:dyDescent="0.25">
      <c r="A146" s="30">
        <v>9.2295998177063854E-2</v>
      </c>
      <c r="B146"/>
      <c r="C146"/>
      <c r="D146"/>
      <c r="E146"/>
      <c r="F146" s="27" t="s">
        <v>7</v>
      </c>
      <c r="BE146" s="27" t="s">
        <v>8</v>
      </c>
      <c r="BJ146" s="27" t="s">
        <v>7</v>
      </c>
      <c r="BK146" s="27" t="s">
        <v>8</v>
      </c>
      <c r="BL146" s="27" t="s">
        <v>7</v>
      </c>
      <c r="CC146" s="27" t="s">
        <v>8</v>
      </c>
      <c r="CD146" s="27" t="s">
        <v>7</v>
      </c>
      <c r="CE146" s="27" t="s">
        <v>8</v>
      </c>
      <c r="CF146" s="27" t="s">
        <v>7</v>
      </c>
      <c r="CG146" s="27" t="s">
        <v>8</v>
      </c>
      <c r="CH146" s="27" t="s">
        <v>7</v>
      </c>
      <c r="CI146" s="27" t="s">
        <v>8</v>
      </c>
      <c r="CJ146" s="27" t="s">
        <v>7</v>
      </c>
    </row>
    <row r="147" spans="1:90" x14ac:dyDescent="0.25">
      <c r="A147" s="30">
        <v>8.3905452888239848E-2</v>
      </c>
      <c r="B147"/>
      <c r="C147"/>
      <c r="D147"/>
      <c r="E147"/>
      <c r="F147" s="27" t="s">
        <v>7</v>
      </c>
      <c r="BE147" s="27" t="s">
        <v>8</v>
      </c>
      <c r="BJ147" s="27" t="s">
        <v>7</v>
      </c>
      <c r="BK147" s="27" t="s">
        <v>8</v>
      </c>
      <c r="BL147" s="27" t="s">
        <v>7</v>
      </c>
      <c r="BS147" s="27" t="s">
        <v>8</v>
      </c>
      <c r="CC147" s="27" t="s">
        <v>8</v>
      </c>
      <c r="CD147" s="27" t="s">
        <v>7</v>
      </c>
      <c r="CF147" s="27" t="s">
        <v>7</v>
      </c>
      <c r="CH147" s="27" t="s">
        <v>7</v>
      </c>
      <c r="CJ147" s="27" t="s">
        <v>7</v>
      </c>
    </row>
    <row r="148" spans="1:90" x14ac:dyDescent="0.25">
      <c r="A148" s="30">
        <v>7.6277684443854396E-2</v>
      </c>
      <c r="B148"/>
      <c r="C148"/>
      <c r="D148"/>
      <c r="E148"/>
      <c r="F148" s="27" t="s">
        <v>7</v>
      </c>
      <c r="K148" s="27" t="s">
        <v>8</v>
      </c>
      <c r="BC148" s="27" t="s">
        <v>8</v>
      </c>
      <c r="BE148" s="27" t="s">
        <v>8</v>
      </c>
      <c r="BJ148" s="27" t="s">
        <v>7</v>
      </c>
      <c r="BK148" s="27" t="s">
        <v>8</v>
      </c>
      <c r="BL148" s="27" t="s">
        <v>7</v>
      </c>
      <c r="BS148" s="27" t="s">
        <v>8</v>
      </c>
      <c r="BT148" s="27" t="s">
        <v>7</v>
      </c>
      <c r="CA148" s="27" t="s">
        <v>8</v>
      </c>
      <c r="CC148" s="27" t="s">
        <v>8</v>
      </c>
      <c r="CJ148" s="27" t="s">
        <v>7</v>
      </c>
      <c r="CK148" s="27" t="s">
        <v>8</v>
      </c>
    </row>
    <row r="149" spans="1:90" x14ac:dyDescent="0.25">
      <c r="A149" s="30">
        <v>6.9343349494413078E-2</v>
      </c>
      <c r="B149"/>
      <c r="C149"/>
      <c r="D149"/>
      <c r="E149"/>
      <c r="F149" s="27" t="s">
        <v>7</v>
      </c>
      <c r="K149" s="27" t="s">
        <v>8</v>
      </c>
      <c r="L149" s="27" t="s">
        <v>7</v>
      </c>
      <c r="BC149" s="27" t="s">
        <v>8</v>
      </c>
      <c r="BD149" s="27" t="s">
        <v>7</v>
      </c>
      <c r="BE149" s="27" t="s">
        <v>8</v>
      </c>
      <c r="BJ149" s="27" t="s">
        <v>7</v>
      </c>
      <c r="BK149" s="27" t="s">
        <v>8</v>
      </c>
      <c r="BL149" s="27" t="s">
        <v>7</v>
      </c>
      <c r="BQ149" s="27" t="s">
        <v>8</v>
      </c>
      <c r="BS149" s="27" t="s">
        <v>8</v>
      </c>
      <c r="BT149" s="27" t="s">
        <v>7</v>
      </c>
      <c r="BW149" s="27" t="s">
        <v>8</v>
      </c>
      <c r="CA149" s="27" t="s">
        <v>8</v>
      </c>
      <c r="CB149" s="27" t="s">
        <v>7</v>
      </c>
      <c r="CC149" s="27" t="s">
        <v>8</v>
      </c>
      <c r="CJ149" s="27" t="s">
        <v>7</v>
      </c>
      <c r="CK149" s="27" t="s">
        <v>8</v>
      </c>
      <c r="CL149" s="27" t="s">
        <v>7</v>
      </c>
    </row>
    <row r="150" spans="1:90" x14ac:dyDescent="0.25">
      <c r="A150" s="30">
        <v>6.3039408631284613E-2</v>
      </c>
      <c r="B150"/>
      <c r="C150"/>
      <c r="D150"/>
      <c r="E150"/>
      <c r="F150" s="27" t="s">
        <v>7</v>
      </c>
      <c r="K150" s="27" t="s">
        <v>8</v>
      </c>
      <c r="L150" s="27" t="s">
        <v>7</v>
      </c>
      <c r="BC150" s="27" t="s">
        <v>8</v>
      </c>
      <c r="BD150" s="27" t="s">
        <v>7</v>
      </c>
      <c r="BE150" s="27" t="s">
        <v>8</v>
      </c>
      <c r="BJ150" s="27" t="s">
        <v>7</v>
      </c>
      <c r="BL150" s="27" t="s">
        <v>7</v>
      </c>
      <c r="BQ150" s="27" t="s">
        <v>8</v>
      </c>
      <c r="BR150" s="27" t="s">
        <v>7</v>
      </c>
      <c r="BS150" s="27" t="s">
        <v>8</v>
      </c>
      <c r="BT150" s="27" t="s">
        <v>7</v>
      </c>
      <c r="BW150" s="27" t="s">
        <v>8</v>
      </c>
      <c r="BX150" s="27" t="s">
        <v>7</v>
      </c>
      <c r="BY150" s="27" t="s">
        <v>8</v>
      </c>
      <c r="CA150" s="27" t="s">
        <v>8</v>
      </c>
      <c r="CB150" s="27" t="s">
        <v>7</v>
      </c>
      <c r="CC150" s="27" t="s">
        <v>8</v>
      </c>
      <c r="CJ150" s="27" t="s">
        <v>7</v>
      </c>
      <c r="CK150" s="27" t="s">
        <v>8</v>
      </c>
      <c r="CL150" s="27" t="s">
        <v>7</v>
      </c>
    </row>
    <row r="151" spans="1:90" x14ac:dyDescent="0.25">
      <c r="A151" s="30">
        <v>5.7308553301167818E-2</v>
      </c>
      <c r="B151"/>
      <c r="C151"/>
      <c r="D151"/>
      <c r="E151"/>
      <c r="F151" s="27" t="s">
        <v>7</v>
      </c>
      <c r="I151" s="27" t="s">
        <v>8</v>
      </c>
      <c r="K151" s="27" t="s">
        <v>8</v>
      </c>
      <c r="L151" s="27" t="s">
        <v>7</v>
      </c>
      <c r="BC151" s="27" t="s">
        <v>8</v>
      </c>
      <c r="BD151" s="27" t="s">
        <v>7</v>
      </c>
      <c r="BE151" s="27" t="s">
        <v>8</v>
      </c>
      <c r="BL151" s="27" t="s">
        <v>7</v>
      </c>
      <c r="BM151" s="27" t="s">
        <v>8</v>
      </c>
      <c r="BO151" s="27" t="s">
        <v>8</v>
      </c>
      <c r="BQ151" s="27" t="s">
        <v>8</v>
      </c>
      <c r="BR151" s="27" t="s">
        <v>7</v>
      </c>
      <c r="BS151" s="27" t="s">
        <v>8</v>
      </c>
      <c r="BT151" s="27" t="s">
        <v>7</v>
      </c>
      <c r="BU151" s="27" t="s">
        <v>8</v>
      </c>
      <c r="BW151" s="27" t="s">
        <v>8</v>
      </c>
      <c r="BX151" s="27" t="s">
        <v>7</v>
      </c>
      <c r="BY151" s="27" t="s">
        <v>8</v>
      </c>
      <c r="BZ151" s="27" t="s">
        <v>7</v>
      </c>
      <c r="CA151" s="27" t="s">
        <v>8</v>
      </c>
      <c r="CB151" s="27" t="s">
        <v>7</v>
      </c>
      <c r="CC151" s="27" t="s">
        <v>8</v>
      </c>
      <c r="CJ151" s="27" t="s">
        <v>7</v>
      </c>
      <c r="CK151" s="27" t="s">
        <v>8</v>
      </c>
      <c r="CL151" s="27" t="s">
        <v>7</v>
      </c>
    </row>
    <row r="152" spans="1:90" x14ac:dyDescent="0.25">
      <c r="A152" s="30">
        <v>5.2098684819243464E-2</v>
      </c>
      <c r="B152"/>
      <c r="C152"/>
      <c r="D152"/>
      <c r="E152"/>
      <c r="F152" s="27" t="s">
        <v>7</v>
      </c>
      <c r="I152" s="27" t="s">
        <v>8</v>
      </c>
      <c r="J152" s="27" t="s">
        <v>7</v>
      </c>
      <c r="K152" s="27" t="s">
        <v>8</v>
      </c>
      <c r="L152" s="27" t="s">
        <v>7</v>
      </c>
      <c r="BC152" s="27" t="s">
        <v>8</v>
      </c>
      <c r="BD152" s="27" t="s">
        <v>7</v>
      </c>
      <c r="BE152" s="27" t="s">
        <v>8</v>
      </c>
      <c r="BL152" s="27" t="s">
        <v>7</v>
      </c>
      <c r="BM152" s="27" t="s">
        <v>8</v>
      </c>
      <c r="BN152" s="27" t="s">
        <v>7</v>
      </c>
      <c r="BO152" s="27" t="s">
        <v>8</v>
      </c>
      <c r="BP152" s="27" t="s">
        <v>7</v>
      </c>
      <c r="BQ152" s="27" t="s">
        <v>8</v>
      </c>
      <c r="BR152" s="27" t="s">
        <v>7</v>
      </c>
      <c r="BS152" s="27" t="s">
        <v>8</v>
      </c>
      <c r="BT152" s="27" t="s">
        <v>7</v>
      </c>
      <c r="BU152" s="27" t="s">
        <v>8</v>
      </c>
      <c r="BV152" s="27" t="s">
        <v>7</v>
      </c>
      <c r="BW152" s="27" t="s">
        <v>8</v>
      </c>
      <c r="BX152" s="27" t="s">
        <v>7</v>
      </c>
      <c r="BY152" s="27" t="s">
        <v>8</v>
      </c>
      <c r="BZ152" s="27" t="s">
        <v>7</v>
      </c>
      <c r="CA152" s="27" t="s">
        <v>8</v>
      </c>
      <c r="CB152" s="27" t="s">
        <v>7</v>
      </c>
      <c r="CC152" s="27" t="s">
        <v>8</v>
      </c>
      <c r="CJ152" s="27" t="s">
        <v>7</v>
      </c>
      <c r="CL152" s="27" t="s">
        <v>7</v>
      </c>
    </row>
    <row r="153" spans="1:90" x14ac:dyDescent="0.25">
      <c r="A153" s="30">
        <v>4.7362440744766775E-2</v>
      </c>
      <c r="B153"/>
      <c r="C153"/>
      <c r="D153"/>
      <c r="E153"/>
      <c r="F153" s="27" t="s">
        <v>7</v>
      </c>
      <c r="G153" s="27" t="s">
        <v>8</v>
      </c>
      <c r="I153" s="27" t="s">
        <v>8</v>
      </c>
      <c r="J153" s="27" t="s">
        <v>7</v>
      </c>
      <c r="K153" s="27" t="s">
        <v>8</v>
      </c>
      <c r="L153" s="27" t="s">
        <v>7</v>
      </c>
      <c r="BC153" s="27" t="s">
        <v>8</v>
      </c>
      <c r="BD153" s="27" t="s">
        <v>7</v>
      </c>
      <c r="BE153" s="27" t="s">
        <v>8</v>
      </c>
      <c r="BL153" s="27" t="s">
        <v>7</v>
      </c>
      <c r="BM153" s="27" t="s">
        <v>8</v>
      </c>
      <c r="BN153" s="27" t="s">
        <v>7</v>
      </c>
      <c r="BO153" s="27" t="s">
        <v>8</v>
      </c>
      <c r="BP153" s="27" t="s">
        <v>7</v>
      </c>
      <c r="BQ153" s="27" t="s">
        <v>8</v>
      </c>
      <c r="BR153" s="27" t="s">
        <v>7</v>
      </c>
      <c r="BS153" s="27" t="s">
        <v>8</v>
      </c>
      <c r="BT153" s="27" t="s">
        <v>7</v>
      </c>
      <c r="BU153" s="27" t="s">
        <v>8</v>
      </c>
      <c r="BV153" s="27" t="s">
        <v>7</v>
      </c>
      <c r="BW153" s="27" t="s">
        <v>8</v>
      </c>
      <c r="BX153" s="27" t="s">
        <v>7</v>
      </c>
      <c r="BZ153" s="27" t="s">
        <v>7</v>
      </c>
      <c r="CA153" s="27" t="s">
        <v>8</v>
      </c>
      <c r="CB153" s="27" t="s">
        <v>7</v>
      </c>
      <c r="CL153" s="27" t="s">
        <v>7</v>
      </c>
    </row>
    <row r="154" spans="1:90" x14ac:dyDescent="0.25">
      <c r="A154" s="30">
        <v>4.3056764313424332E-2</v>
      </c>
      <c r="B154"/>
      <c r="C154"/>
      <c r="D154"/>
      <c r="E154"/>
      <c r="F154" s="27" t="s">
        <v>7</v>
      </c>
      <c r="G154" s="27" t="s">
        <v>8</v>
      </c>
      <c r="H154" s="27" t="s">
        <v>7</v>
      </c>
      <c r="I154" s="27" t="s">
        <v>8</v>
      </c>
      <c r="J154" s="27" t="s">
        <v>7</v>
      </c>
      <c r="K154" s="27" t="s">
        <v>8</v>
      </c>
      <c r="L154" s="27" t="s">
        <v>7</v>
      </c>
      <c r="BC154" s="27" t="s">
        <v>8</v>
      </c>
      <c r="BD154" s="27" t="s">
        <v>7</v>
      </c>
      <c r="BE154" s="27" t="s">
        <v>8</v>
      </c>
      <c r="BL154" s="27" t="s">
        <v>7</v>
      </c>
      <c r="BM154" s="27" t="s">
        <v>8</v>
      </c>
      <c r="BN154" s="27" t="s">
        <v>7</v>
      </c>
      <c r="BO154" s="27" t="s">
        <v>8</v>
      </c>
      <c r="BP154" s="27" t="s">
        <v>7</v>
      </c>
      <c r="BR154" s="27" t="s">
        <v>7</v>
      </c>
      <c r="BT154" s="27" t="s">
        <v>7</v>
      </c>
      <c r="BU154" s="27" t="s">
        <v>8</v>
      </c>
      <c r="BV154" s="27" t="s">
        <v>7</v>
      </c>
      <c r="BW154" s="27" t="s">
        <v>8</v>
      </c>
      <c r="BZ154" s="27" t="s">
        <v>7</v>
      </c>
      <c r="CA154" s="27" t="s">
        <v>8</v>
      </c>
      <c r="CL154" s="27" t="s">
        <v>7</v>
      </c>
    </row>
    <row r="155" spans="1:90" x14ac:dyDescent="0.25">
      <c r="A155" s="30">
        <v>3.9142513012203929E-2</v>
      </c>
      <c r="B155"/>
      <c r="C155"/>
      <c r="D155"/>
      <c r="E155"/>
      <c r="F155" s="27" t="s">
        <v>7</v>
      </c>
      <c r="G155" s="27" t="s">
        <v>8</v>
      </c>
      <c r="H155" s="27" t="s">
        <v>7</v>
      </c>
      <c r="I155" s="27" t="s">
        <v>8</v>
      </c>
      <c r="J155" s="27" t="s">
        <v>7</v>
      </c>
      <c r="L155" s="27" t="s">
        <v>7</v>
      </c>
      <c r="BC155" s="27" t="s">
        <v>8</v>
      </c>
      <c r="BD155" s="27" t="s">
        <v>7</v>
      </c>
      <c r="BL155" s="27" t="s">
        <v>7</v>
      </c>
      <c r="BM155" s="27" t="s">
        <v>8</v>
      </c>
      <c r="BN155" s="27" t="s">
        <v>7</v>
      </c>
      <c r="BO155" s="27" t="s">
        <v>8</v>
      </c>
      <c r="BT155" s="27" t="s">
        <v>7</v>
      </c>
      <c r="BU155" s="27" t="s">
        <v>8</v>
      </c>
      <c r="BV155" s="27" t="s">
        <v>7</v>
      </c>
      <c r="BW155" s="27" t="s">
        <v>8</v>
      </c>
      <c r="BZ155" s="27" t="s">
        <v>7</v>
      </c>
      <c r="CL155" s="27" t="s">
        <v>7</v>
      </c>
    </row>
    <row r="156" spans="1:90" x14ac:dyDescent="0.25">
      <c r="A156" s="30">
        <v>3.55841027383672E-2</v>
      </c>
      <c r="B156"/>
      <c r="C156"/>
      <c r="D156"/>
      <c r="E156"/>
      <c r="F156" s="27" t="s">
        <v>7</v>
      </c>
      <c r="H156" s="27" t="s">
        <v>7</v>
      </c>
      <c r="L156" s="27" t="s">
        <v>7</v>
      </c>
      <c r="BC156" s="27" t="s">
        <v>8</v>
      </c>
      <c r="BL156" s="27" t="s">
        <v>7</v>
      </c>
      <c r="BN156" s="27" t="s">
        <v>7</v>
      </c>
      <c r="BO156" s="27" t="s">
        <v>8</v>
      </c>
      <c r="BT156" s="27" t="s">
        <v>7</v>
      </c>
      <c r="BU156" s="27" t="s">
        <v>8</v>
      </c>
      <c r="BV156" s="18" t="s">
        <v>7</v>
      </c>
      <c r="CL156" s="27" t="s">
        <v>7</v>
      </c>
    </row>
    <row r="157" spans="1:90" x14ac:dyDescent="0.25">
      <c r="A157" s="30">
        <v>3.2349184307606541E-2</v>
      </c>
      <c r="B157"/>
      <c r="C157"/>
      <c r="D157"/>
      <c r="E157"/>
      <c r="L157" s="27" t="s">
        <v>7</v>
      </c>
      <c r="BC157" s="27" t="s">
        <v>8</v>
      </c>
      <c r="BN157" s="27" t="s">
        <v>7</v>
      </c>
      <c r="BO157" s="27" t="s">
        <v>8</v>
      </c>
      <c r="BT157" s="27" t="s">
        <v>7</v>
      </c>
      <c r="BU157" s="27" t="s">
        <v>8</v>
      </c>
      <c r="CL157" s="27" t="s">
        <v>7</v>
      </c>
    </row>
    <row r="158" spans="1:90" x14ac:dyDescent="0.25">
      <c r="A158" s="30">
        <v>2.9408349370551395E-2</v>
      </c>
      <c r="B158"/>
      <c r="C158"/>
      <c r="D158"/>
      <c r="E158"/>
      <c r="L158" s="27" t="s">
        <v>7</v>
      </c>
      <c r="BA158" s="27" t="s">
        <v>8</v>
      </c>
      <c r="BC158" s="27" t="s">
        <v>8</v>
      </c>
      <c r="BN158" s="27" t="s">
        <v>7</v>
      </c>
      <c r="BO158" s="27" t="s">
        <v>8</v>
      </c>
      <c r="BT158" s="27" t="s">
        <v>7</v>
      </c>
    </row>
    <row r="159" spans="1:90" x14ac:dyDescent="0.25">
      <c r="A159" s="30">
        <v>2.6734863064137627E-2</v>
      </c>
      <c r="B159"/>
      <c r="C159"/>
      <c r="D159"/>
      <c r="E159"/>
      <c r="L159" s="27" t="s">
        <v>7</v>
      </c>
      <c r="M159" s="27" t="s">
        <v>8</v>
      </c>
      <c r="AY159" s="27" t="s">
        <v>8</v>
      </c>
      <c r="BA159" s="27" t="s">
        <v>8</v>
      </c>
      <c r="BB159" s="27" t="s">
        <v>7</v>
      </c>
      <c r="BC159" s="27" t="s">
        <v>8</v>
      </c>
      <c r="BN159" s="27" t="s">
        <v>7</v>
      </c>
    </row>
    <row r="160" spans="1:90" x14ac:dyDescent="0.25">
      <c r="A160" s="30">
        <v>2.4304420967397839E-2</v>
      </c>
      <c r="B160"/>
      <c r="C160"/>
      <c r="D160"/>
      <c r="E160"/>
      <c r="L160" s="27" t="s">
        <v>7</v>
      </c>
      <c r="M160" s="27" t="s">
        <v>8</v>
      </c>
      <c r="N160" s="27" t="s">
        <v>7</v>
      </c>
      <c r="AW160" s="27" t="s">
        <v>8</v>
      </c>
      <c r="AY160" s="27" t="s">
        <v>8</v>
      </c>
      <c r="AZ160" s="27" t="s">
        <v>7</v>
      </c>
      <c r="BA160" s="27" t="s">
        <v>8</v>
      </c>
      <c r="BB160" s="27" t="s">
        <v>7</v>
      </c>
      <c r="BC160" s="27" t="s">
        <v>8</v>
      </c>
    </row>
    <row r="161" spans="1:55" x14ac:dyDescent="0.25">
      <c r="A161" s="30">
        <v>2.2094928152179852E-2</v>
      </c>
      <c r="B161"/>
      <c r="C161"/>
      <c r="D161"/>
      <c r="E161"/>
      <c r="L161" s="27" t="s">
        <v>7</v>
      </c>
      <c r="M161" s="27" t="s">
        <v>8</v>
      </c>
      <c r="N161" s="27" t="s">
        <v>7</v>
      </c>
      <c r="AW161" s="27" t="s">
        <v>8</v>
      </c>
      <c r="AX161" s="27" t="s">
        <v>7</v>
      </c>
      <c r="AY161" s="27" t="s">
        <v>8</v>
      </c>
      <c r="AZ161" s="27" t="s">
        <v>7</v>
      </c>
      <c r="BA161" s="27" t="s">
        <v>8</v>
      </c>
      <c r="BB161" s="27" t="s">
        <v>7</v>
      </c>
      <c r="BC161" s="27" t="s">
        <v>8</v>
      </c>
    </row>
    <row r="162" spans="1:55" x14ac:dyDescent="0.25">
      <c r="A162" s="30">
        <v>2.0086298320163499E-2</v>
      </c>
      <c r="B162"/>
      <c r="C162"/>
      <c r="D162"/>
      <c r="E162"/>
      <c r="L162" s="27" t="s">
        <v>7</v>
      </c>
      <c r="M162" s="27" t="s">
        <v>8</v>
      </c>
      <c r="N162" s="27" t="s">
        <v>7</v>
      </c>
      <c r="AW162" s="27" t="s">
        <v>8</v>
      </c>
      <c r="AX162" s="27" t="s">
        <v>7</v>
      </c>
      <c r="AY162" s="27" t="s">
        <v>8</v>
      </c>
      <c r="AZ162" s="27" t="s">
        <v>7</v>
      </c>
      <c r="BA162" s="27" t="s">
        <v>8</v>
      </c>
      <c r="BB162" s="27" t="s">
        <v>7</v>
      </c>
    </row>
    <row r="163" spans="1:55" x14ac:dyDescent="0.25">
      <c r="A163" s="30">
        <v>1.8260271200148632E-2</v>
      </c>
      <c r="B163"/>
      <c r="C163"/>
      <c r="D163"/>
      <c r="E163"/>
      <c r="L163" s="27" t="s">
        <v>7</v>
      </c>
      <c r="N163" s="27" t="s">
        <v>7</v>
      </c>
      <c r="AO163" s="27" t="s">
        <v>8</v>
      </c>
      <c r="AQ163" s="27" t="s">
        <v>8</v>
      </c>
      <c r="AW163" s="27" t="s">
        <v>8</v>
      </c>
      <c r="AX163" s="27" t="s">
        <v>7</v>
      </c>
      <c r="AY163" s="27" t="s">
        <v>8</v>
      </c>
      <c r="AZ163" s="27" t="s">
        <v>7</v>
      </c>
      <c r="BA163" s="27" t="s">
        <v>8</v>
      </c>
    </row>
    <row r="164" spans="1:55" x14ac:dyDescent="0.25">
      <c r="A164" s="30">
        <v>1.6600246545589663E-2</v>
      </c>
      <c r="B164"/>
      <c r="C164"/>
      <c r="D164"/>
      <c r="E164"/>
      <c r="N164" s="27" t="s">
        <v>7</v>
      </c>
      <c r="AO164" s="27" t="s">
        <v>8</v>
      </c>
      <c r="AP164" s="27" t="s">
        <v>7</v>
      </c>
      <c r="AQ164" s="27" t="s">
        <v>8</v>
      </c>
      <c r="AR164" s="27" t="s">
        <v>7</v>
      </c>
      <c r="AW164" s="27" t="s">
        <v>8</v>
      </c>
      <c r="AX164" s="27" t="s">
        <v>7</v>
      </c>
      <c r="AY164" s="27" t="s">
        <v>8</v>
      </c>
      <c r="AZ164" s="27" t="s">
        <v>7</v>
      </c>
    </row>
    <row r="165" spans="1:55" x14ac:dyDescent="0.25">
      <c r="A165" s="30">
        <v>1.5091133223263328E-2</v>
      </c>
      <c r="B165"/>
      <c r="C165"/>
      <c r="D165"/>
      <c r="E165"/>
      <c r="N165" s="27" t="s">
        <v>7</v>
      </c>
      <c r="AO165" s="27" t="s">
        <v>8</v>
      </c>
      <c r="AP165" s="27" t="s">
        <v>7</v>
      </c>
      <c r="AQ165" s="27" t="s">
        <v>8</v>
      </c>
      <c r="AR165" s="27" t="s">
        <v>7</v>
      </c>
      <c r="AW165" s="27" t="s">
        <v>8</v>
      </c>
      <c r="AX165" s="27" t="s">
        <v>7</v>
      </c>
      <c r="AY165" s="27" t="s">
        <v>8</v>
      </c>
    </row>
    <row r="166" spans="1:55" x14ac:dyDescent="0.25">
      <c r="A166" s="30">
        <v>1.3719212021148477E-2</v>
      </c>
      <c r="B166"/>
      <c r="C166"/>
      <c r="D166"/>
      <c r="E166"/>
      <c r="N166" s="27" t="s">
        <v>7</v>
      </c>
      <c r="O166" s="27" t="s">
        <v>8</v>
      </c>
      <c r="AA166" s="27" t="s">
        <v>8</v>
      </c>
      <c r="AO166" s="27" t="s">
        <v>8</v>
      </c>
      <c r="AP166" s="27" t="s">
        <v>7</v>
      </c>
      <c r="AQ166" s="27" t="s">
        <v>8</v>
      </c>
      <c r="AR166" s="27" t="s">
        <v>7</v>
      </c>
      <c r="AW166" s="27" t="s">
        <v>8</v>
      </c>
      <c r="AX166" s="27" t="s">
        <v>7</v>
      </c>
      <c r="AY166" s="27" t="s">
        <v>8</v>
      </c>
    </row>
    <row r="167" spans="1:55" x14ac:dyDescent="0.25">
      <c r="A167" s="30">
        <v>1.2472010928316795E-2</v>
      </c>
      <c r="B167"/>
      <c r="C167"/>
      <c r="D167"/>
      <c r="E167"/>
      <c r="N167" s="27" t="s">
        <v>7</v>
      </c>
      <c r="O167" s="27" t="s">
        <v>8</v>
      </c>
      <c r="P167" s="27" t="s">
        <v>7</v>
      </c>
      <c r="Q167" s="27" t="s">
        <v>8</v>
      </c>
      <c r="AA167" s="27" t="s">
        <v>8</v>
      </c>
      <c r="AB167" s="27" t="s">
        <v>7</v>
      </c>
      <c r="AC167" s="27" t="s">
        <v>8</v>
      </c>
      <c r="AO167" s="27" t="s">
        <v>8</v>
      </c>
      <c r="AP167" s="27" t="s">
        <v>7</v>
      </c>
      <c r="AQ167" s="27" t="s">
        <v>8</v>
      </c>
      <c r="AR167" s="27" t="s">
        <v>7</v>
      </c>
      <c r="AW167" s="27" t="s">
        <v>8</v>
      </c>
      <c r="AX167" s="27" t="s">
        <v>7</v>
      </c>
    </row>
    <row r="168" spans="1:55" x14ac:dyDescent="0.25">
      <c r="A168" s="30">
        <v>1.1338191753015267E-2</v>
      </c>
      <c r="B168"/>
      <c r="C168"/>
      <c r="D168"/>
      <c r="E168"/>
      <c r="N168" s="27" t="s">
        <v>7</v>
      </c>
      <c r="O168" s="27" t="s">
        <v>8</v>
      </c>
      <c r="P168" s="27" t="s">
        <v>7</v>
      </c>
      <c r="Q168" s="27" t="s">
        <v>8</v>
      </c>
      <c r="R168" s="27" t="s">
        <v>7</v>
      </c>
      <c r="AA168" s="27" t="s">
        <v>8</v>
      </c>
      <c r="AB168" s="27" t="s">
        <v>7</v>
      </c>
      <c r="AC168" s="27" t="s">
        <v>8</v>
      </c>
      <c r="AD168" s="27" t="s">
        <v>7</v>
      </c>
      <c r="AM168" s="27" t="s">
        <v>8</v>
      </c>
      <c r="AO168" s="27" t="s">
        <v>8</v>
      </c>
      <c r="AP168" s="27" t="s">
        <v>7</v>
      </c>
      <c r="AR168" s="27" t="s">
        <v>7</v>
      </c>
      <c r="AS168" s="27" t="s">
        <v>8</v>
      </c>
      <c r="AU168" s="27" t="s">
        <v>8</v>
      </c>
      <c r="AW168" s="27" t="s">
        <v>8</v>
      </c>
    </row>
    <row r="169" spans="1:55" x14ac:dyDescent="0.25">
      <c r="A169" s="30">
        <v>1.0307447048195697E-2</v>
      </c>
      <c r="B169"/>
      <c r="C169"/>
      <c r="D169"/>
      <c r="E169"/>
      <c r="N169" s="27" t="s">
        <v>7</v>
      </c>
      <c r="P169" s="27" t="s">
        <v>7</v>
      </c>
      <c r="Q169" s="27" t="s">
        <v>8</v>
      </c>
      <c r="R169" s="27" t="s">
        <v>7</v>
      </c>
      <c r="AA169" s="27" t="s">
        <v>8</v>
      </c>
      <c r="AB169" s="27" t="s">
        <v>7</v>
      </c>
      <c r="AC169" s="27" t="s">
        <v>8</v>
      </c>
      <c r="AD169" s="27" t="s">
        <v>7</v>
      </c>
      <c r="AI169" s="27" t="s">
        <v>8</v>
      </c>
      <c r="AM169" s="27" t="s">
        <v>8</v>
      </c>
      <c r="AN169" s="27" t="s">
        <v>7</v>
      </c>
      <c r="AO169" s="27" t="s">
        <v>8</v>
      </c>
      <c r="AR169" s="27" t="s">
        <v>7</v>
      </c>
      <c r="AS169" s="27" t="s">
        <v>8</v>
      </c>
      <c r="AT169" s="27" t="s">
        <v>7</v>
      </c>
      <c r="AU169" s="27" t="s">
        <v>8</v>
      </c>
      <c r="AV169" s="27" t="s">
        <v>7</v>
      </c>
      <c r="AW169" s="27" t="s">
        <v>8</v>
      </c>
    </row>
    <row r="170" spans="1:55" x14ac:dyDescent="0.25">
      <c r="A170" s="30">
        <v>9.3704064074506318E-3</v>
      </c>
      <c r="B170"/>
      <c r="C170"/>
      <c r="D170"/>
      <c r="E170"/>
      <c r="P170" s="27" t="s">
        <v>7</v>
      </c>
      <c r="Q170" s="27" t="s">
        <v>8</v>
      </c>
      <c r="R170" s="27" t="s">
        <v>7</v>
      </c>
      <c r="AA170" s="27" t="s">
        <v>8</v>
      </c>
      <c r="AB170" s="27" t="s">
        <v>7</v>
      </c>
      <c r="AC170" s="27" t="s">
        <v>8</v>
      </c>
      <c r="AD170" s="27" t="s">
        <v>7</v>
      </c>
      <c r="AI170" s="27" t="s">
        <v>8</v>
      </c>
      <c r="AJ170" s="27" t="s">
        <v>7</v>
      </c>
      <c r="AK170" s="27" t="s">
        <v>8</v>
      </c>
      <c r="AM170" s="27" t="s">
        <v>8</v>
      </c>
      <c r="AN170" s="27" t="s">
        <v>7</v>
      </c>
      <c r="AO170" s="27" t="s">
        <v>8</v>
      </c>
      <c r="AR170" s="27" t="s">
        <v>7</v>
      </c>
      <c r="AS170" s="27" t="s">
        <v>8</v>
      </c>
      <c r="AT170" s="27" t="s">
        <v>7</v>
      </c>
      <c r="AU170" s="27" t="s">
        <v>8</v>
      </c>
      <c r="AV170" s="27" t="s">
        <v>7</v>
      </c>
      <c r="AW170" s="27" t="s">
        <v>8</v>
      </c>
    </row>
    <row r="171" spans="1:55" x14ac:dyDescent="0.25">
      <c r="A171" s="30">
        <v>8.5185512795005747E-3</v>
      </c>
      <c r="P171" s="27" t="s">
        <v>7</v>
      </c>
      <c r="Q171" s="27" t="s">
        <v>8</v>
      </c>
      <c r="R171" s="27" t="s">
        <v>7</v>
      </c>
      <c r="AA171" s="27" t="s">
        <v>8</v>
      </c>
      <c r="AB171" s="27" t="s">
        <v>7</v>
      </c>
      <c r="AD171" s="27" t="s">
        <v>7</v>
      </c>
      <c r="AE171" s="27" t="s">
        <v>8</v>
      </c>
      <c r="AI171" s="27" t="s">
        <v>8</v>
      </c>
      <c r="AJ171" s="27" t="s">
        <v>7</v>
      </c>
      <c r="AK171" s="27" t="s">
        <v>8</v>
      </c>
      <c r="AL171" s="27" t="s">
        <v>7</v>
      </c>
      <c r="AM171" s="27" t="s">
        <v>8</v>
      </c>
      <c r="AN171" s="27" t="s">
        <v>7</v>
      </c>
      <c r="AR171" s="27" t="s">
        <v>7</v>
      </c>
      <c r="AT171" s="27" t="s">
        <v>7</v>
      </c>
      <c r="AU171" s="27" t="s">
        <v>8</v>
      </c>
      <c r="AV171" s="27" t="s">
        <v>7</v>
      </c>
    </row>
    <row r="172" spans="1:55" x14ac:dyDescent="0.25">
      <c r="A172" s="30">
        <v>7.744137526818704E-3</v>
      </c>
      <c r="P172" s="27" t="s">
        <v>7</v>
      </c>
      <c r="Q172" s="27" t="s">
        <v>8</v>
      </c>
      <c r="R172" s="27" t="s">
        <v>7</v>
      </c>
      <c r="AA172" s="27" t="s">
        <v>8</v>
      </c>
      <c r="AD172" s="27" t="s">
        <v>7</v>
      </c>
      <c r="AE172" s="27" t="s">
        <v>8</v>
      </c>
      <c r="AF172" s="27" t="s">
        <v>7</v>
      </c>
      <c r="AI172" s="27" t="s">
        <v>8</v>
      </c>
      <c r="AJ172" s="27" t="s">
        <v>7</v>
      </c>
      <c r="AK172" s="27" t="s">
        <v>8</v>
      </c>
      <c r="AL172" s="27" t="s">
        <v>7</v>
      </c>
      <c r="AM172" s="27" t="s">
        <v>8</v>
      </c>
      <c r="AT172" s="27" t="s">
        <v>7</v>
      </c>
    </row>
    <row r="173" spans="1:55" x14ac:dyDescent="0.25">
      <c r="A173" s="30">
        <v>7.0401250243806394E-3</v>
      </c>
      <c r="P173" s="27" t="s">
        <v>7</v>
      </c>
      <c r="R173" s="27" t="s">
        <v>7</v>
      </c>
      <c r="Y173" s="27" t="s">
        <v>8</v>
      </c>
      <c r="AA173" s="27" t="s">
        <v>8</v>
      </c>
      <c r="AD173" s="27" t="s">
        <v>7</v>
      </c>
      <c r="AE173" s="27" t="s">
        <v>8</v>
      </c>
      <c r="AF173" s="27" t="s">
        <v>7</v>
      </c>
      <c r="AI173" s="27" t="s">
        <v>8</v>
      </c>
      <c r="AJ173" s="27" t="s">
        <v>7</v>
      </c>
      <c r="AK173" s="27" t="s">
        <v>8</v>
      </c>
      <c r="AL173" s="27" t="s">
        <v>7</v>
      </c>
    </row>
    <row r="174" spans="1:55" x14ac:dyDescent="0.25">
      <c r="A174" s="30">
        <v>6.4001136585278536E-3</v>
      </c>
      <c r="R174" s="27" t="s">
        <v>7</v>
      </c>
      <c r="Y174" s="27" t="s">
        <v>8</v>
      </c>
      <c r="Z174" s="27" t="s">
        <v>7</v>
      </c>
      <c r="AA174" s="27" t="s">
        <v>8</v>
      </c>
      <c r="AD174" s="27" t="s">
        <v>7</v>
      </c>
      <c r="AF174" s="27" t="s">
        <v>7</v>
      </c>
      <c r="AG174" s="27" t="s">
        <v>8</v>
      </c>
      <c r="AI174" s="27" t="s">
        <v>8</v>
      </c>
      <c r="AJ174" s="27" t="s">
        <v>7</v>
      </c>
    </row>
    <row r="175" spans="1:55" x14ac:dyDescent="0.25">
      <c r="A175" s="30">
        <v>5.8182851441162305E-3</v>
      </c>
      <c r="R175" s="27" t="s">
        <v>7</v>
      </c>
      <c r="Y175" s="27" t="s">
        <v>8</v>
      </c>
      <c r="Z175" s="27" t="s">
        <v>7</v>
      </c>
      <c r="AA175" s="27" t="s">
        <v>8</v>
      </c>
      <c r="AF175" s="27" t="s">
        <v>7</v>
      </c>
      <c r="AG175" s="27" t="s">
        <v>8</v>
      </c>
      <c r="AH175" s="27" t="s">
        <v>7</v>
      </c>
      <c r="AI175" s="27" t="s">
        <v>8</v>
      </c>
    </row>
    <row r="176" spans="1:55" x14ac:dyDescent="0.25">
      <c r="A176" s="30">
        <v>5.2893501310147546E-3</v>
      </c>
      <c r="R176" s="27" t="s">
        <v>7</v>
      </c>
      <c r="Y176" s="27" t="s">
        <v>8</v>
      </c>
      <c r="Z176" s="27" t="s">
        <v>7</v>
      </c>
      <c r="AF176" s="27" t="s">
        <v>7</v>
      </c>
      <c r="AG176" s="27" t="s">
        <v>8</v>
      </c>
      <c r="AH176" s="27" t="s">
        <v>7</v>
      </c>
      <c r="AI176" s="27" t="s">
        <v>8</v>
      </c>
    </row>
    <row r="177" spans="1:34" x14ac:dyDescent="0.25">
      <c r="A177" s="30">
        <v>4.8085001191043222E-3</v>
      </c>
      <c r="R177" s="27" t="s">
        <v>7</v>
      </c>
      <c r="Y177" s="27" t="s">
        <v>8</v>
      </c>
      <c r="AF177" s="27" t="s">
        <v>7</v>
      </c>
      <c r="AG177" s="27" t="s">
        <v>8</v>
      </c>
      <c r="AH177" s="27" t="s">
        <v>7</v>
      </c>
    </row>
    <row r="178" spans="1:34" x14ac:dyDescent="0.25">
      <c r="A178" s="30">
        <v>4.3713637446402926E-3</v>
      </c>
      <c r="R178" s="27" t="s">
        <v>7</v>
      </c>
      <c r="W178" s="27" t="s">
        <v>8</v>
      </c>
      <c r="Y178" s="27" t="s">
        <v>8</v>
      </c>
      <c r="AF178" s="27" t="s">
        <v>7</v>
      </c>
      <c r="AG178" s="27" t="s">
        <v>8</v>
      </c>
    </row>
    <row r="179" spans="1:34" x14ac:dyDescent="0.25">
      <c r="A179" s="30">
        <v>3.9739670405820838E-3</v>
      </c>
      <c r="R179" s="27" t="s">
        <v>7</v>
      </c>
      <c r="U179" s="27" t="s">
        <v>8</v>
      </c>
      <c r="W179" s="27" t="s">
        <v>8</v>
      </c>
      <c r="X179" s="27" t="s">
        <v>7</v>
      </c>
      <c r="Y179" s="27" t="s">
        <v>8</v>
      </c>
      <c r="AF179" s="27" t="s">
        <v>7</v>
      </c>
    </row>
    <row r="180" spans="1:34" x14ac:dyDescent="0.25">
      <c r="A180" s="30">
        <v>3.6126973096200759E-3</v>
      </c>
      <c r="R180" s="27" t="s">
        <v>7</v>
      </c>
      <c r="U180" s="27" t="s">
        <v>8</v>
      </c>
      <c r="V180" s="27" t="s">
        <v>7</v>
      </c>
      <c r="W180" s="27" t="s">
        <v>8</v>
      </c>
      <c r="X180" s="27" t="s">
        <v>7</v>
      </c>
      <c r="Y180" s="27" t="s">
        <v>8</v>
      </c>
    </row>
    <row r="181" spans="1:34" x14ac:dyDescent="0.25">
      <c r="A181" s="30">
        <v>3.2842702814727962E-3</v>
      </c>
      <c r="R181" s="27" t="s">
        <v>7</v>
      </c>
      <c r="S181" s="27" t="s">
        <v>8</v>
      </c>
      <c r="U181" s="27" t="s">
        <v>8</v>
      </c>
      <c r="V181" s="27" t="s">
        <v>7</v>
      </c>
      <c r="W181" s="27" t="s">
        <v>8</v>
      </c>
      <c r="X181" s="27" t="s">
        <v>7</v>
      </c>
    </row>
    <row r="182" spans="1:34" x14ac:dyDescent="0.25">
      <c r="A182" s="30">
        <v>2.9857002558843601E-3</v>
      </c>
      <c r="R182" s="27" t="s">
        <v>7</v>
      </c>
      <c r="S182" s="27" t="s">
        <v>8</v>
      </c>
      <c r="T182" s="27" t="s">
        <v>7</v>
      </c>
      <c r="U182" s="27" t="s">
        <v>8</v>
      </c>
      <c r="V182" s="27" t="s">
        <v>7</v>
      </c>
    </row>
    <row r="183" spans="1:34" x14ac:dyDescent="0.25">
      <c r="A183" s="30">
        <v>2.7142729598948726E-3</v>
      </c>
      <c r="R183" s="27" t="s">
        <v>7</v>
      </c>
      <c r="S183" s="27" t="s">
        <v>8</v>
      </c>
      <c r="T183" s="27" t="s">
        <v>7</v>
      </c>
      <c r="U183" s="27" t="s">
        <v>8</v>
      </c>
    </row>
    <row r="184" spans="1:34" x14ac:dyDescent="0.25">
      <c r="A184" s="30">
        <v>2.4675208726317021E-3</v>
      </c>
      <c r="R184" s="27" t="s">
        <v>7</v>
      </c>
      <c r="S184" s="27" t="s">
        <v>8</v>
      </c>
      <c r="T184" s="27" t="s">
        <v>7</v>
      </c>
    </row>
    <row r="185" spans="1:34" x14ac:dyDescent="0.25">
      <c r="A185" s="30">
        <v>2.2432007933015472E-3</v>
      </c>
      <c r="R185" s="27" t="s">
        <v>7</v>
      </c>
      <c r="S185" s="27" t="s">
        <v>8</v>
      </c>
    </row>
    <row r="186" spans="1:34" x14ac:dyDescent="0.25">
      <c r="A186" s="30">
        <v>2.0392734484559519E-3</v>
      </c>
      <c r="R186" s="27" t="s">
        <v>7</v>
      </c>
    </row>
    <row r="187" spans="1:34" x14ac:dyDescent="0.25">
      <c r="A187" s="30">
        <v>1.8538849531417744E-3</v>
      </c>
    </row>
    <row r="188" spans="1:34" x14ac:dyDescent="0.25">
      <c r="A188" s="30">
        <v>1.6853499574016129E-3</v>
      </c>
    </row>
    <row r="189" spans="1:34" x14ac:dyDescent="0.25">
      <c r="A189" s="30">
        <v>1.5321363249105571E-3</v>
      </c>
    </row>
    <row r="190" spans="1:34" x14ac:dyDescent="0.25">
      <c r="A190" s="30">
        <v>1.3928512044641427E-3</v>
      </c>
    </row>
    <row r="191" spans="1:34" x14ac:dyDescent="0.25">
      <c r="A191" s="30">
        <v>1.2662283676946752E-3</v>
      </c>
    </row>
    <row r="192" spans="1:34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419" operator="equal">
      <formula>$U$1</formula>
    </cfRule>
    <cfRule type="cellIs" dxfId="30" priority="1420" operator="equal">
      <formula>$S$1</formula>
    </cfRule>
  </conditionalFormatting>
  <conditionalFormatting sqref="D136">
    <cfRule type="cellIs" dxfId="29" priority="1417" operator="equal">
      <formula>$S$1</formula>
    </cfRule>
    <cfRule type="cellIs" dxfId="28" priority="1418" operator="equal">
      <formula>$U$1</formula>
    </cfRule>
  </conditionalFormatting>
  <conditionalFormatting sqref="C102">
    <cfRule type="cellIs" dxfId="27" priority="1415" operator="equal">
      <formula>$U$1</formula>
    </cfRule>
    <cfRule type="cellIs" dxfId="26" priority="1416" operator="equal">
      <formula>$S$1</formula>
    </cfRule>
  </conditionalFormatting>
  <conditionalFormatting sqref="D102">
    <cfRule type="cellIs" dxfId="25" priority="1413" operator="equal">
      <formula>$S$1</formula>
    </cfRule>
    <cfRule type="cellIs" dxfId="24" priority="1414" operator="equal">
      <formula>$U$1</formula>
    </cfRule>
  </conditionalFormatting>
  <conditionalFormatting sqref="C77">
    <cfRule type="cellIs" dxfId="23" priority="1411" operator="equal">
      <formula>$U$1</formula>
    </cfRule>
    <cfRule type="cellIs" dxfId="22" priority="1412" operator="equal">
      <formula>$S$1</formula>
    </cfRule>
  </conditionalFormatting>
  <conditionalFormatting sqref="D77">
    <cfRule type="cellIs" dxfId="21" priority="1409" operator="equal">
      <formula>$S$1</formula>
    </cfRule>
    <cfRule type="cellIs" dxfId="20" priority="1410" operator="equal">
      <formula>$U$1</formula>
    </cfRule>
  </conditionalFormatting>
  <conditionalFormatting sqref="C52">
    <cfRule type="cellIs" dxfId="19" priority="1407" operator="equal">
      <formula>$U$1</formula>
    </cfRule>
    <cfRule type="cellIs" dxfId="18" priority="1408" operator="equal">
      <formula>$S$1</formula>
    </cfRule>
  </conditionalFormatting>
  <conditionalFormatting sqref="D52">
    <cfRule type="cellIs" dxfId="17" priority="1405" operator="equal">
      <formula>$S$1</formula>
    </cfRule>
    <cfRule type="cellIs" dxfId="16" priority="1406" operator="equal">
      <formula>$U$1</formula>
    </cfRule>
  </conditionalFormatting>
  <conditionalFormatting sqref="C26">
    <cfRule type="cellIs" dxfId="15" priority="1403" operator="equal">
      <formula>$U$1</formula>
    </cfRule>
    <cfRule type="cellIs" dxfId="14" priority="1404" operator="equal">
      <formula>$S$1</formula>
    </cfRule>
  </conditionalFormatting>
  <conditionalFormatting sqref="D26">
    <cfRule type="cellIs" dxfId="13" priority="1401" operator="equal">
      <formula>$S$1</formula>
    </cfRule>
    <cfRule type="cellIs" dxfId="12" priority="140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2022-01-28T01:19:06Z</dcterms:modified>
</cp:coreProperties>
</file>