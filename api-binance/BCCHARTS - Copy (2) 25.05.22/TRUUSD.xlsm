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B0802DB-77D0-4F15-9D60-1EB36AAAD09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2" i="1" l="1"/>
  <c r="D2" i="1"/>
  <c r="C118" i="5"/>
  <c r="C116" i="4"/>
  <c r="C122" i="4"/>
  <c r="C133" i="4" s="1"/>
  <c r="C136" i="4" s="1"/>
  <c r="R765" i="1"/>
  <c r="S766" i="1"/>
  <c r="T766" i="1" s="1"/>
  <c r="D136" i="5"/>
  <c r="C136" i="5"/>
  <c r="C116" i="3"/>
  <c r="C122" i="3"/>
  <c r="C133" i="3" s="1"/>
  <c r="C136" i="3" s="1"/>
  <c r="C138" i="5" l="1"/>
  <c r="D136" i="4"/>
  <c r="C138" i="4" s="1"/>
  <c r="R764" i="1"/>
  <c r="S765" i="1"/>
  <c r="T765" i="1" s="1"/>
  <c r="D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S740" i="1" l="1"/>
  <c r="T740" i="1" s="1"/>
  <c r="R739" i="1"/>
  <c r="R738" i="1" l="1"/>
  <c r="S739" i="1"/>
  <c r="T739" i="1" s="1"/>
  <c r="S738" i="1" l="1"/>
  <c r="T738" i="1" s="1"/>
  <c r="R737" i="1"/>
  <c r="R736" i="1" l="1"/>
  <c r="S737" i="1"/>
  <c r="T737" i="1" s="1"/>
  <c r="S736" i="1" l="1"/>
  <c r="T736" i="1" s="1"/>
  <c r="R735" i="1"/>
  <c r="R734" i="1" l="1"/>
  <c r="S735" i="1"/>
  <c r="T735" i="1" s="1"/>
  <c r="S734" i="1" l="1"/>
  <c r="T734" i="1" s="1"/>
  <c r="R733" i="1"/>
  <c r="R732" i="1" l="1"/>
  <c r="S733" i="1"/>
  <c r="T733" i="1" s="1"/>
  <c r="S732" i="1" l="1"/>
  <c r="T732" i="1" s="1"/>
  <c r="R731" i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S722" i="1" l="1"/>
  <c r="T722" i="1" s="1"/>
  <c r="R721" i="1"/>
  <c r="R720" i="1" l="1"/>
  <c r="S721" i="1"/>
  <c r="T721" i="1" s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S601" i="1" l="1"/>
  <c r="T601" i="1" s="1"/>
  <c r="R600" i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S559" i="1" l="1"/>
  <c r="T559" i="1" s="1"/>
  <c r="R558" i="1"/>
  <c r="R557" i="1" l="1"/>
  <c r="S558" i="1"/>
  <c r="T558" i="1" s="1"/>
  <c r="S557" i="1" l="1"/>
  <c r="T557" i="1" s="1"/>
  <c r="R556" i="1"/>
  <c r="R555" i="1" l="1"/>
  <c r="S556" i="1"/>
  <c r="T556" i="1" s="1"/>
  <c r="S555" i="1" l="1"/>
  <c r="T555" i="1" s="1"/>
  <c r="R554" i="1"/>
  <c r="R553" i="1" l="1"/>
  <c r="S554" i="1"/>
  <c r="T554" i="1" s="1"/>
  <c r="S553" i="1" l="1"/>
  <c r="T553" i="1" s="1"/>
  <c r="R552" i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S536" i="1" l="1"/>
  <c r="T536" i="1" s="1"/>
  <c r="R535" i="1"/>
  <c r="R534" i="1" l="1"/>
  <c r="S535" i="1"/>
  <c r="T535" i="1" s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S479" i="1" l="1"/>
  <c r="T479" i="1" s="1"/>
  <c r="R478" i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S454" i="1" l="1"/>
  <c r="T454" i="1" s="1"/>
  <c r="R453" i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S414" i="1" l="1"/>
  <c r="T414" i="1" s="1"/>
  <c r="R413" i="1"/>
  <c r="S413" i="1" l="1"/>
  <c r="T413" i="1" s="1"/>
  <c r="R412" i="1"/>
  <c r="S412" i="1" l="1"/>
  <c r="T412" i="1" s="1"/>
  <c r="R411" i="1"/>
  <c r="S411" i="1" l="1"/>
  <c r="T411" i="1" s="1"/>
  <c r="R410" i="1"/>
  <c r="R409" i="1" l="1"/>
  <c r="S410" i="1"/>
  <c r="T410" i="1" s="1"/>
  <c r="S409" i="1" l="1"/>
  <c r="T409" i="1" s="1"/>
  <c r="R408" i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S400" i="1" l="1"/>
  <c r="T400" i="1" s="1"/>
  <c r="R399" i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S321" i="1" l="1"/>
  <c r="T321" i="1" s="1"/>
  <c r="R320" i="1"/>
  <c r="R319" i="1" l="1"/>
  <c r="S320" i="1"/>
  <c r="T320" i="1" s="1"/>
  <c r="S319" i="1" l="1"/>
  <c r="T319" i="1" s="1"/>
  <c r="R318" i="1"/>
  <c r="R317" i="1" l="1"/>
  <c r="S318" i="1"/>
  <c r="T318" i="1" s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S297" i="1" l="1"/>
  <c r="T297" i="1" s="1"/>
  <c r="R296" i="1"/>
  <c r="R295" i="1" l="1"/>
  <c r="S296" i="1"/>
  <c r="T296" i="1" s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S286" i="1" l="1"/>
  <c r="T286" i="1" s="1"/>
  <c r="R285" i="1"/>
  <c r="R284" i="1" l="1"/>
  <c r="S285" i="1"/>
  <c r="T285" i="1" s="1"/>
  <c r="S284" i="1" l="1"/>
  <c r="T284" i="1" s="1"/>
  <c r="R283" i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R258" i="1" l="1"/>
  <c r="S259" i="1"/>
  <c r="T259" i="1" s="1"/>
  <c r="S258" i="1" l="1"/>
  <c r="T258" i="1" s="1"/>
  <c r="R257" i="1"/>
  <c r="R256" i="1" l="1"/>
  <c r="S257" i="1"/>
  <c r="T257" i="1" s="1"/>
  <c r="S256" i="1" l="1"/>
  <c r="T256" i="1" s="1"/>
  <c r="R255" i="1"/>
  <c r="R254" i="1" l="1"/>
  <c r="S255" i="1"/>
  <c r="T255" i="1" s="1"/>
  <c r="S254" i="1" l="1"/>
  <c r="T254" i="1" s="1"/>
  <c r="R253" i="1"/>
  <c r="R252" i="1" l="1"/>
  <c r="S253" i="1"/>
  <c r="T253" i="1" s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S248" i="1" l="1"/>
  <c r="T248" i="1" s="1"/>
  <c r="R247" i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S211" i="1" l="1"/>
  <c r="T211" i="1" s="1"/>
  <c r="R210" i="1"/>
  <c r="R209" i="1" l="1"/>
  <c r="S210" i="1"/>
  <c r="T210" i="1" s="1"/>
  <c r="S209" i="1" l="1"/>
  <c r="T209" i="1" s="1"/>
  <c r="R208" i="1"/>
  <c r="R207" i="1" l="1"/>
  <c r="S208" i="1"/>
  <c r="T208" i="1" s="1"/>
  <c r="S207" i="1" l="1"/>
  <c r="T207" i="1" s="1"/>
  <c r="R206" i="1"/>
  <c r="R205" i="1" l="1"/>
  <c r="S206" i="1"/>
  <c r="T206" i="1" s="1"/>
  <c r="S205" i="1" l="1"/>
  <c r="T205" i="1" s="1"/>
  <c r="R204" i="1"/>
  <c r="R203" i="1" l="1"/>
  <c r="S204" i="1"/>
  <c r="T204" i="1" s="1"/>
  <c r="S203" i="1" l="1"/>
  <c r="T203" i="1" s="1"/>
  <c r="R202" i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<sst xmlns="http://schemas.openxmlformats.org/spreadsheetml/2006/main" count="4648" uniqueCount="34">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</sst>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0.1963</c:v>
                </c:pt>
                <c:pt idx="1">
                  <c:v>0.20169999999999999</c:v>
                </c:pt>
                <c:pt idx="2">
                  <c:v>0.17749999999999999</c:v>
                </c:pt>
                <c:pt idx="3">
                  <c:v>0.1724</c:v>
                </c:pt>
                <c:pt idx="4">
                  <c:v>0.19</c:v>
                </c:pt>
                <c:pt idx="5">
                  <c:v>0.1744</c:v>
                </c:pt>
                <c:pt idx="6">
                  <c:v>0.19689999999999999</c:v>
                </c:pt>
                <c:pt idx="7">
                  <c:v>0.24399999999999999</c:v>
                </c:pt>
                <c:pt idx="8">
                  <c:v>0.254</c:v>
                </c:pt>
                <c:pt idx="9">
                  <c:v>0.27010000000000001</c:v>
                </c:pt>
                <c:pt idx="10">
                  <c:v>0.29649999999999999</c:v>
                </c:pt>
                <c:pt idx="11">
                  <c:v>0.26939999999999997</c:v>
                </c:pt>
                <c:pt idx="12">
                  <c:v>0.2676</c:v>
                </c:pt>
                <c:pt idx="13">
                  <c:v>0.27</c:v>
                </c:pt>
                <c:pt idx="14">
                  <c:v>0.25919999999999999</c:v>
                </c:pt>
                <c:pt idx="15">
                  <c:v>0.27410000000000001</c:v>
                </c:pt>
                <c:pt idx="16">
                  <c:v>0.26069999999999999</c:v>
                </c:pt>
                <c:pt idx="17">
                  <c:v>0.24859999999999999</c:v>
                </c:pt>
                <c:pt idx="18">
                  <c:v>0.2626</c:v>
                </c:pt>
                <c:pt idx="19">
                  <c:v>0.26029999999999998</c:v>
                </c:pt>
                <c:pt idx="20">
                  <c:v>0.25750000000000001</c:v>
                </c:pt>
                <c:pt idx="21">
                  <c:v>0.28260000000000002</c:v>
                </c:pt>
                <c:pt idx="22">
                  <c:v>0.28000000000000003</c:v>
                </c:pt>
                <c:pt idx="23">
                  <c:v>0.31369999999999998</c:v>
                </c:pt>
                <c:pt idx="24">
                  <c:v>0.31359999999999999</c:v>
                </c:pt>
                <c:pt idx="25">
                  <c:v>0.3226</c:v>
                </c:pt>
                <c:pt idx="26">
                  <c:v>0.32569999999999999</c:v>
                </c:pt>
                <c:pt idx="27">
                  <c:v>0.31469999999999998</c:v>
                </c:pt>
                <c:pt idx="28">
                  <c:v>0.32169999999999999</c:v>
                </c:pt>
                <c:pt idx="29">
                  <c:v>0.32450000000000001</c:v>
                </c:pt>
                <c:pt idx="30">
                  <c:v>0.31759999999999999</c:v>
                </c:pt>
                <c:pt idx="31">
                  <c:v>0.34660000000000002</c:v>
                </c:pt>
                <c:pt idx="32">
                  <c:v>0.35210000000000002</c:v>
                </c:pt>
                <c:pt idx="33">
                  <c:v>0.37140000000000001</c:v>
                </c:pt>
                <c:pt idx="34">
                  <c:v>0.31290000000000001</c:v>
                </c:pt>
                <c:pt idx="35">
                  <c:v>0.33179999999999998</c:v>
                </c:pt>
                <c:pt idx="36">
                  <c:v>0.31419999999999998</c:v>
                </c:pt>
                <c:pt idx="37">
                  <c:v>0.3256</c:v>
                </c:pt>
                <c:pt idx="38">
                  <c:v>0.33450000000000002</c:v>
                </c:pt>
                <c:pt idx="39">
                  <c:v>0.3679</c:v>
                </c:pt>
                <c:pt idx="40">
                  <c:v>0.43890000000000001</c:v>
                </c:pt>
                <c:pt idx="41">
                  <c:v>0.26550000000000001</c:v>
                </c:pt>
                <c:pt idx="42">
                  <c:v>0.27029999999999998</c:v>
                </c:pt>
                <c:pt idx="43">
                  <c:v>0.27139999999999997</c:v>
                </c:pt>
                <c:pt idx="44">
                  <c:v>0.27089999999999997</c:v>
                </c:pt>
                <c:pt idx="45">
                  <c:v>0.25659999999999999</c:v>
                </c:pt>
                <c:pt idx="46">
                  <c:v>0.29959999999999998</c:v>
                </c:pt>
                <c:pt idx="47">
                  <c:v>0.27939999999999998</c:v>
                </c:pt>
                <c:pt idx="48">
                  <c:v>0.27579999999999999</c:v>
                </c:pt>
                <c:pt idx="49">
                  <c:v>0.29320000000000002</c:v>
                </c:pt>
                <c:pt idx="50">
                  <c:v>0.32540000000000002</c:v>
                </c:pt>
                <c:pt idx="51">
                  <c:v>0.31979999999999997</c:v>
                </c:pt>
                <c:pt idx="52">
                  <c:v>0.31280000000000002</c:v>
                </c:pt>
                <c:pt idx="53">
                  <c:v>0.31469999999999998</c:v>
                </c:pt>
                <c:pt idx="54">
                  <c:v>0.3468</c:v>
                </c:pt>
                <c:pt idx="55">
                  <c:v>0.4199</c:v>
                </c:pt>
                <c:pt idx="56">
                  <c:v>0.4425</c:v>
                </c:pt>
                <c:pt idx="57">
                  <c:v>0.443</c:v>
                </c:pt>
                <c:pt idx="58">
                  <c:v>0.44429999999999997</c:v>
                </c:pt>
                <c:pt idx="59">
                  <c:v>0.43930000000000002</c:v>
                </c:pt>
                <c:pt idx="60">
                  <c:v>0.44469999999999998</c:v>
                </c:pt>
                <c:pt idx="61">
                  <c:v>0.44429999999999997</c:v>
                </c:pt>
                <c:pt idx="62">
                  <c:v>0.42059999999999997</c:v>
                </c:pt>
                <c:pt idx="63">
                  <c:v>0.47389999999999999</c:v>
                </c:pt>
                <c:pt idx="64">
                  <c:v>0.44700000000000001</c:v>
                </c:pt>
                <c:pt idx="65">
                  <c:v>0.4632</c:v>
                </c:pt>
                <c:pt idx="66">
                  <c:v>0.46039999999999998</c:v>
                </c:pt>
                <c:pt idx="67">
                  <c:v>0.50180000000000002</c:v>
                </c:pt>
                <c:pt idx="68">
                  <c:v>0.46550000000000002</c:v>
                </c:pt>
                <c:pt idx="69">
                  <c:v>0.46920000000000001</c:v>
                </c:pt>
                <c:pt idx="70">
                  <c:v>0.42859999999999998</c:v>
                </c:pt>
                <c:pt idx="71">
                  <c:v>0.4632</c:v>
                </c:pt>
                <c:pt idx="72">
                  <c:v>0.47649999999999998</c:v>
                </c:pt>
                <c:pt idx="73">
                  <c:v>0.52529999999999999</c:v>
                </c:pt>
                <c:pt idx="74">
                  <c:v>0.55230000000000001</c:v>
                </c:pt>
                <c:pt idx="75">
                  <c:v>0.58160000000000001</c:v>
                </c:pt>
                <c:pt idx="76">
                  <c:v>0.60540000000000005</c:v>
                </c:pt>
                <c:pt idx="77">
                  <c:v>0.61240000000000006</c:v>
                </c:pt>
                <c:pt idx="78">
                  <c:v>0.60499999999999998</c:v>
                </c:pt>
                <c:pt idx="79">
                  <c:v>0.63790000000000002</c:v>
                </c:pt>
                <c:pt idx="80">
                  <c:v>0.60809999999999997</c:v>
                </c:pt>
                <c:pt idx="81">
                  <c:v>0.60860000000000003</c:v>
                </c:pt>
                <c:pt idx="82">
                  <c:v>0.60719999999999996</c:v>
                </c:pt>
                <c:pt idx="83">
                  <c:v>0.59379999999999999</c:v>
                </c:pt>
                <c:pt idx="84">
                  <c:v>0.63900000000000001</c:v>
                </c:pt>
                <c:pt idx="85">
                  <c:v>0.61080000000000001</c:v>
                </c:pt>
                <c:pt idx="86">
                  <c:v>0.64059999999999995</c:v>
                </c:pt>
                <c:pt idx="87">
                  <c:v>0.64580000000000004</c:v>
                </c:pt>
                <c:pt idx="88">
                  <c:v>0.59440000000000004</c:v>
                </c:pt>
                <c:pt idx="89">
                  <c:v>0.60109999999999997</c:v>
                </c:pt>
                <c:pt idx="90">
                  <c:v>0.60650000000000004</c:v>
                </c:pt>
                <c:pt idx="91">
                  <c:v>0.62360000000000004</c:v>
                </c:pt>
                <c:pt idx="92">
                  <c:v>0.68100000000000005</c:v>
                </c:pt>
                <c:pt idx="93">
                  <c:v>0.58199999999999996</c:v>
                </c:pt>
                <c:pt idx="94">
                  <c:v>0.57250000000000001</c:v>
                </c:pt>
                <c:pt idx="95">
                  <c:v>0.50229999999999997</c:v>
                </c:pt>
                <c:pt idx="96">
                  <c:v>0.52090000000000003</c:v>
                </c:pt>
                <c:pt idx="97">
                  <c:v>0.55320000000000003</c:v>
                </c:pt>
                <c:pt idx="98">
                  <c:v>0.57079999999999997</c:v>
                </c:pt>
                <c:pt idx="99">
                  <c:v>0.60470000000000002</c:v>
                </c:pt>
                <c:pt idx="100">
                  <c:v>0.61460000000000004</c:v>
                </c:pt>
                <c:pt idx="101">
                  <c:v>0.56130000000000002</c:v>
                </c:pt>
                <c:pt idx="102">
                  <c:v>0.57689999999999997</c:v>
                </c:pt>
                <c:pt idx="103">
                  <c:v>0.49399999999999999</c:v>
                </c:pt>
                <c:pt idx="104">
                  <c:v>0.49159999999999998</c:v>
                </c:pt>
                <c:pt idx="105">
                  <c:v>0.46500000000000002</c:v>
                </c:pt>
                <c:pt idx="106">
                  <c:v>0.43149999999999999</c:v>
                </c:pt>
                <c:pt idx="107">
                  <c:v>0.42759999999999998</c:v>
                </c:pt>
                <c:pt idx="108">
                  <c:v>0.42770000000000002</c:v>
                </c:pt>
                <c:pt idx="109">
                  <c:v>0.43759999999999999</c:v>
                </c:pt>
                <c:pt idx="110">
                  <c:v>0.46779999999999999</c:v>
                </c:pt>
                <c:pt idx="111">
                  <c:v>0.46050000000000002</c:v>
                </c:pt>
                <c:pt idx="112">
                  <c:v>0.47039999999999998</c:v>
                </c:pt>
                <c:pt idx="113">
                  <c:v>0.48470000000000002</c:v>
                </c:pt>
                <c:pt idx="114">
                  <c:v>0.49099999999999999</c:v>
                </c:pt>
                <c:pt idx="115">
                  <c:v>0.46260000000000001</c:v>
                </c:pt>
                <c:pt idx="116">
                  <c:v>0.4874</c:v>
                </c:pt>
                <c:pt idx="117">
                  <c:v>0.48570000000000002</c:v>
                </c:pt>
                <c:pt idx="118">
                  <c:v>0.48299999999999998</c:v>
                </c:pt>
                <c:pt idx="119">
                  <c:v>0.43980000000000002</c:v>
                </c:pt>
                <c:pt idx="120">
                  <c:v>0.41410000000000002</c:v>
                </c:pt>
                <c:pt idx="121">
                  <c:v>0.40410000000000001</c:v>
                </c:pt>
                <c:pt idx="122">
                  <c:v>0.42030000000000001</c:v>
                </c:pt>
                <c:pt idx="123">
                  <c:v>0.43569999999999998</c:v>
                </c:pt>
                <c:pt idx="124">
                  <c:v>0.44879999999999998</c:v>
                </c:pt>
                <c:pt idx="125">
                  <c:v>0.45600000000000002</c:v>
                </c:pt>
                <c:pt idx="126">
                  <c:v>0.5071</c:v>
                </c:pt>
                <c:pt idx="127">
                  <c:v>0.48909999999999998</c:v>
                </c:pt>
                <c:pt idx="128">
                  <c:v>0.4496</c:v>
                </c:pt>
                <c:pt idx="129">
                  <c:v>0.48039999999999999</c:v>
                </c:pt>
                <c:pt idx="130">
                  <c:v>0.54459999999999997</c:v>
                </c:pt>
                <c:pt idx="131">
                  <c:v>0.55910000000000004</c:v>
                </c:pt>
                <c:pt idx="132">
                  <c:v>0.56120000000000003</c:v>
                </c:pt>
                <c:pt idx="133">
                  <c:v>0.64370000000000005</c:v>
                </c:pt>
                <c:pt idx="134">
                  <c:v>0.58389999999999997</c:v>
                </c:pt>
                <c:pt idx="135">
                  <c:v>0.58050000000000002</c:v>
                </c:pt>
                <c:pt idx="136">
                  <c:v>0.43880000000000002</c:v>
                </c:pt>
                <c:pt idx="137">
                  <c:v>0.50260000000000005</c:v>
                </c:pt>
                <c:pt idx="138">
                  <c:v>0.42120000000000002</c:v>
                </c:pt>
                <c:pt idx="139">
                  <c:v>0.42330000000000001</c:v>
                </c:pt>
                <c:pt idx="140">
                  <c:v>0.47049999999999997</c:v>
                </c:pt>
                <c:pt idx="141">
                  <c:v>0.48139999999999999</c:v>
                </c:pt>
                <c:pt idx="142">
                  <c:v>0.48039999999999999</c:v>
                </c:pt>
                <c:pt idx="143">
                  <c:v>0.63629999999999998</c:v>
                </c:pt>
                <c:pt idx="144">
                  <c:v>0.61319999999999997</c:v>
                </c:pt>
                <c:pt idx="145">
                  <c:v>0.58299999999999996</c:v>
                </c:pt>
                <c:pt idx="146">
                  <c:v>0.57250000000000001</c:v>
                </c:pt>
                <c:pt idx="147">
                  <c:v>0.56659999999999999</c:v>
                </c:pt>
                <c:pt idx="148">
                  <c:v>0.62560000000000004</c:v>
                </c:pt>
                <c:pt idx="149">
                  <c:v>0.5333</c:v>
                </c:pt>
                <c:pt idx="150">
                  <c:v>0.53879999999999995</c:v>
                </c:pt>
                <c:pt idx="151">
                  <c:v>0.5968</c:v>
                </c:pt>
                <c:pt idx="152">
                  <c:v>0.54169999999999996</c:v>
                </c:pt>
                <c:pt idx="153">
                  <c:v>0.57420000000000004</c:v>
                </c:pt>
                <c:pt idx="154">
                  <c:v>0.52739999999999998</c:v>
                </c:pt>
                <c:pt idx="155">
                  <c:v>0.58630000000000004</c:v>
                </c:pt>
                <c:pt idx="156">
                  <c:v>0.56659999999999999</c:v>
                </c:pt>
                <c:pt idx="157">
                  <c:v>0.63460000000000005</c:v>
                </c:pt>
                <c:pt idx="158">
                  <c:v>0.65039999999999998</c:v>
                </c:pt>
                <c:pt idx="159">
                  <c:v>0.64839999999999998</c:v>
                </c:pt>
                <c:pt idx="160">
                  <c:v>0.67520000000000002</c:v>
                </c:pt>
                <c:pt idx="161">
                  <c:v>0.66120000000000001</c:v>
                </c:pt>
                <c:pt idx="162">
                  <c:v>0.67930000000000001</c:v>
                </c:pt>
                <c:pt idx="163">
                  <c:v>0.69</c:v>
                </c:pt>
                <c:pt idx="164">
                  <c:v>0.65110000000000001</c:v>
                </c:pt>
                <c:pt idx="165">
                  <c:v>0.65149999999999997</c:v>
                </c:pt>
                <c:pt idx="166">
                  <c:v>0.68910000000000005</c:v>
                </c:pt>
                <c:pt idx="167">
                  <c:v>0.72</c:v>
                </c:pt>
                <c:pt idx="168">
                  <c:v>0.71889999999999998</c:v>
                </c:pt>
                <c:pt idx="169">
                  <c:v>0.72499999999999998</c:v>
                </c:pt>
                <c:pt idx="170">
                  <c:v>0.51729999999999998</c:v>
                </c:pt>
                <c:pt idx="171">
                  <c:v>0.47739999999999999</c:v>
                </c:pt>
                <c:pt idx="172">
                  <c:v>0.45219999999999999</c:v>
                </c:pt>
                <c:pt idx="173">
                  <c:v>0.47749999999999998</c:v>
                </c:pt>
                <c:pt idx="174">
                  <c:v>0.502</c:v>
                </c:pt>
                <c:pt idx="175">
                  <c:v>0.62160000000000004</c:v>
                </c:pt>
                <c:pt idx="176">
                  <c:v>0.18049999999999999</c:v>
                </c:pt>
                <c:pt idx="177">
                  <c:v>0.14899999999999999</c:v>
                </c:pt>
                <c:pt idx="178">
                  <c:v>0.1527</c:v>
                </c:pt>
                <c:pt idx="179">
                  <c:v>0.1545</c:v>
                </c:pt>
                <c:pt idx="180">
                  <c:v>0.16320000000000001</c:v>
                </c:pt>
                <c:pt idx="181">
                  <c:v>0.155</c:v>
                </c:pt>
                <c:pt idx="182">
                  <c:v>0.1439</c:v>
                </c:pt>
                <c:pt idx="183">
                  <c:v>0.13589999999999999</c:v>
                </c:pt>
                <c:pt idx="184">
                  <c:v>0.14000000000000001</c:v>
                </c:pt>
                <c:pt idx="185">
                  <c:v>0.13619999999999999</c:v>
                </c:pt>
                <c:pt idx="186">
                  <c:v>0.14249999999999999</c:v>
                </c:pt>
                <c:pt idx="187">
                  <c:v>0.1404</c:v>
                </c:pt>
                <c:pt idx="188">
                  <c:v>0.1366</c:v>
                </c:pt>
                <c:pt idx="189">
                  <c:v>0.12659999999999999</c:v>
                </c:pt>
                <c:pt idx="190">
                  <c:v>0.12509999999999999</c:v>
                </c:pt>
                <c:pt idx="191">
                  <c:v>0.1168</c:v>
                </c:pt>
                <c:pt idx="192">
                  <c:v>0.12470000000000001</c:v>
                </c:pt>
                <c:pt idx="193">
                  <c:v>0.1343</c:v>
                </c:pt>
                <c:pt idx="194">
                  <c:v>0.13739999999999999</c:v>
                </c:pt>
                <c:pt idx="195">
                  <c:v>0.13869999999999999</c:v>
                </c:pt>
                <c:pt idx="196">
                  <c:v>0.14419999999999999</c:v>
                </c:pt>
                <c:pt idx="197">
                  <c:v>0.15140000000000001</c:v>
                </c:pt>
                <c:pt idx="198">
                  <c:v>0.13980000000000001</c:v>
                </c:pt>
                <c:pt idx="199">
                  <c:v>0.14230000000000001</c:v>
                </c:pt>
                <c:pt idx="200">
                  <c:v>0.15079999999999999</c:v>
                </c:pt>
                <c:pt idx="201">
                  <c:v>0.14280000000000001</c:v>
                </c:pt>
                <c:pt idx="202">
                  <c:v>0.14779999999999999</c:v>
                </c:pt>
                <c:pt idx="203">
                  <c:v>0.1454</c:v>
                </c:pt>
                <c:pt idx="204">
                  <c:v>0.16009999999999999</c:v>
                </c:pt>
                <c:pt idx="205">
                  <c:v>0.15459999999999999</c:v>
                </c:pt>
                <c:pt idx="206">
                  <c:v>0.14449999999999999</c:v>
                </c:pt>
                <c:pt idx="207">
                  <c:v>0.15759999999999999</c:v>
                </c:pt>
                <c:pt idx="208">
                  <c:v>0.15290000000000001</c:v>
                </c:pt>
                <c:pt idx="209">
                  <c:v>0.15359999999999999</c:v>
                </c:pt>
                <c:pt idx="210">
                  <c:v>0.16070000000000001</c:v>
                </c:pt>
                <c:pt idx="211">
                  <c:v>0.17730000000000001</c:v>
                </c:pt>
                <c:pt idx="212">
                  <c:v>0.155</c:v>
                </c:pt>
                <c:pt idx="213">
                  <c:v>0.14449999999999999</c:v>
                </c:pt>
                <c:pt idx="214">
                  <c:v>0.1416</c:v>
                </c:pt>
                <c:pt idx="215">
                  <c:v>0.13350000000000001</c:v>
                </c:pt>
                <c:pt idx="216">
                  <c:v>0.14080000000000001</c:v>
                </c:pt>
                <c:pt idx="217">
                  <c:v>0.16209999999999999</c:v>
                </c:pt>
                <c:pt idx="218">
                  <c:v>0.16439999999999999</c:v>
                </c:pt>
                <c:pt idx="219">
                  <c:v>0.1593</c:v>
                </c:pt>
                <c:pt idx="220">
                  <c:v>0.1797</c:v>
                </c:pt>
                <c:pt idx="221">
                  <c:v>0.23949999999999999</c:v>
                </c:pt>
                <c:pt idx="222">
                  <c:v>0.23419999999999999</c:v>
                </c:pt>
                <c:pt idx="223">
                  <c:v>0.2359</c:v>
                </c:pt>
                <c:pt idx="224">
                  <c:v>0.2676</c:v>
                </c:pt>
                <c:pt idx="225">
                  <c:v>0.26450000000000001</c:v>
                </c:pt>
                <c:pt idx="226">
                  <c:v>0.28249999999999997</c:v>
                </c:pt>
                <c:pt idx="227">
                  <c:v>0.28420000000000001</c:v>
                </c:pt>
                <c:pt idx="228">
                  <c:v>0.28599999999999998</c:v>
                </c:pt>
                <c:pt idx="229">
                  <c:v>0.28339999999999999</c:v>
                </c:pt>
                <c:pt idx="230">
                  <c:v>0.2737</c:v>
                </c:pt>
                <c:pt idx="231">
                  <c:v>0.26910000000000001</c:v>
                </c:pt>
                <c:pt idx="232">
                  <c:v>0.31109999999999999</c:v>
                </c:pt>
                <c:pt idx="233">
                  <c:v>0.27939999999999998</c:v>
                </c:pt>
                <c:pt idx="234">
                  <c:v>0.28839999999999999</c:v>
                </c:pt>
                <c:pt idx="235">
                  <c:v>0.32300000000000001</c:v>
                </c:pt>
                <c:pt idx="236">
                  <c:v>0.32240000000000002</c:v>
                </c:pt>
                <c:pt idx="237">
                  <c:v>0.3367</c:v>
                </c:pt>
                <c:pt idx="238">
                  <c:v>0.35959999999999998</c:v>
                </c:pt>
                <c:pt idx="239">
                  <c:v>0.35339999999999999</c:v>
                </c:pt>
                <c:pt idx="240">
                  <c:v>0.32779999999999998</c:v>
                </c:pt>
                <c:pt idx="241">
                  <c:v>0.3417</c:v>
                </c:pt>
                <c:pt idx="242">
                  <c:v>0.31469999999999998</c:v>
                </c:pt>
                <c:pt idx="243">
                  <c:v>0.28310000000000002</c:v>
                </c:pt>
                <c:pt idx="244">
                  <c:v>0.3115</c:v>
                </c:pt>
                <c:pt idx="245">
                  <c:v>0.33119999999999999</c:v>
                </c:pt>
                <c:pt idx="246">
                  <c:v>0.35820000000000002</c:v>
                </c:pt>
                <c:pt idx="247">
                  <c:v>0.35560000000000003</c:v>
                </c:pt>
                <c:pt idx="248">
                  <c:v>0.38469999999999999</c:v>
                </c:pt>
                <c:pt idx="249">
                  <c:v>0.38</c:v>
                </c:pt>
                <c:pt idx="250">
                  <c:v>0.40539999999999998</c:v>
                </c:pt>
                <c:pt idx="251">
                  <c:v>0.31519999999999998</c:v>
                </c:pt>
                <c:pt idx="252">
                  <c:v>0.31130000000000002</c:v>
                </c:pt>
                <c:pt idx="253">
                  <c:v>0.3468</c:v>
                </c:pt>
                <c:pt idx="254">
                  <c:v>0.31950000000000001</c:v>
                </c:pt>
                <c:pt idx="255">
                  <c:v>0.32190000000000002</c:v>
                </c:pt>
                <c:pt idx="256">
                  <c:v>0.3473</c:v>
                </c:pt>
                <c:pt idx="257">
                  <c:v>0.3367</c:v>
                </c:pt>
                <c:pt idx="258">
                  <c:v>0.37509999999999999</c:v>
                </c:pt>
                <c:pt idx="259">
                  <c:v>0.36359999999999998</c:v>
                </c:pt>
                <c:pt idx="260">
                  <c:v>0.39410000000000001</c:v>
                </c:pt>
                <c:pt idx="261">
                  <c:v>0.44779999999999998</c:v>
                </c:pt>
                <c:pt idx="262">
                  <c:v>0.39979999999999999</c:v>
                </c:pt>
                <c:pt idx="263">
                  <c:v>0.44669999999999999</c:v>
                </c:pt>
                <c:pt idx="264">
                  <c:v>0.45100000000000001</c:v>
                </c:pt>
                <c:pt idx="265">
                  <c:v>0.41699999999999998</c:v>
                </c:pt>
                <c:pt idx="266">
                  <c:v>0.42299999999999999</c:v>
                </c:pt>
                <c:pt idx="267">
                  <c:v>0.46389999999999998</c:v>
                </c:pt>
                <c:pt idx="268">
                  <c:v>0.42199999999999999</c:v>
                </c:pt>
                <c:pt idx="269">
                  <c:v>0.48299999999999998</c:v>
                </c:pt>
                <c:pt idx="270">
                  <c:v>0.42580000000000001</c:v>
                </c:pt>
                <c:pt idx="271">
                  <c:v>0.38719999999999999</c:v>
                </c:pt>
                <c:pt idx="272">
                  <c:v>0.3886</c:v>
                </c:pt>
                <c:pt idx="273">
                  <c:v>0.36070000000000002</c:v>
                </c:pt>
                <c:pt idx="274">
                  <c:v>0.3478</c:v>
                </c:pt>
                <c:pt idx="275">
                  <c:v>0.35959999999999998</c:v>
                </c:pt>
                <c:pt idx="276">
                  <c:v>0.32779999999999998</c:v>
                </c:pt>
                <c:pt idx="277">
                  <c:v>0.29420000000000002</c:v>
                </c:pt>
                <c:pt idx="278">
                  <c:v>0.29330000000000001</c:v>
                </c:pt>
                <c:pt idx="279">
                  <c:v>0.31590000000000001</c:v>
                </c:pt>
                <c:pt idx="280">
                  <c:v>0.32</c:v>
                </c:pt>
                <c:pt idx="281">
                  <c:v>0.33129999999999998</c:v>
                </c:pt>
                <c:pt idx="282">
                  <c:v>0.34110000000000001</c:v>
                </c:pt>
                <c:pt idx="283">
                  <c:v>0.36099999999999999</c:v>
                </c:pt>
                <c:pt idx="284">
                  <c:v>0.36530000000000001</c:v>
                </c:pt>
                <c:pt idx="285">
                  <c:v>0.42770000000000002</c:v>
                </c:pt>
                <c:pt idx="286">
                  <c:v>0.4264</c:v>
                </c:pt>
                <c:pt idx="287">
                  <c:v>0.45829999999999999</c:v>
                </c:pt>
                <c:pt idx="288">
                  <c:v>0.45290000000000002</c:v>
                </c:pt>
                <c:pt idx="289">
                  <c:v>0.47060000000000002</c:v>
                </c:pt>
                <c:pt idx="290">
                  <c:v>0.46429999999999999</c:v>
                </c:pt>
                <c:pt idx="291">
                  <c:v>0.47610000000000002</c:v>
                </c:pt>
                <c:pt idx="292">
                  <c:v>0.4703</c:v>
                </c:pt>
                <c:pt idx="293">
                  <c:v>0.49490000000000001</c:v>
                </c:pt>
                <c:pt idx="294">
                  <c:v>0.46920000000000001</c:v>
                </c:pt>
                <c:pt idx="295">
                  <c:v>0.44209999999999999</c:v>
                </c:pt>
                <c:pt idx="296">
                  <c:v>0.47020000000000001</c:v>
                </c:pt>
                <c:pt idx="297">
                  <c:v>0.4924</c:v>
                </c:pt>
                <c:pt idx="298">
                  <c:v>0.4854</c:v>
                </c:pt>
                <c:pt idx="299">
                  <c:v>0.45069999999999999</c:v>
                </c:pt>
                <c:pt idx="300">
                  <c:v>0.46500000000000002</c:v>
                </c:pt>
                <c:pt idx="301">
                  <c:v>0.47110000000000002</c:v>
                </c:pt>
                <c:pt idx="302">
                  <c:v>0.50819999999999999</c:v>
                </c:pt>
                <c:pt idx="303">
                  <c:v>0.50970000000000004</c:v>
                </c:pt>
                <c:pt idx="304">
                  <c:v>0.45700000000000002</c:v>
                </c:pt>
                <c:pt idx="305">
                  <c:v>0.42159999999999997</c:v>
                </c:pt>
                <c:pt idx="306">
                  <c:v>0.41539999999999999</c:v>
                </c:pt>
                <c:pt idx="307">
                  <c:v>0.41739999999999999</c:v>
                </c:pt>
                <c:pt idx="308">
                  <c:v>0.36230000000000001</c:v>
                </c:pt>
                <c:pt idx="309">
                  <c:v>0.38090000000000002</c:v>
                </c:pt>
                <c:pt idx="310">
                  <c:v>0.3901</c:v>
                </c:pt>
                <c:pt idx="311">
                  <c:v>0.39179999999999998</c:v>
                </c:pt>
                <c:pt idx="312">
                  <c:v>0.41560000000000002</c:v>
                </c:pt>
                <c:pt idx="313">
                  <c:v>0.44259999999999999</c:v>
                </c:pt>
                <c:pt idx="314">
                  <c:v>0.45679999999999998</c:v>
                </c:pt>
                <c:pt idx="315">
                  <c:v>0.43180000000000002</c:v>
                </c:pt>
                <c:pt idx="316">
                  <c:v>0.45019999999999999</c:v>
                </c:pt>
                <c:pt idx="317">
                  <c:v>0.46129999999999999</c:v>
                </c:pt>
                <c:pt idx="318">
                  <c:v>0.39240000000000003</c:v>
                </c:pt>
                <c:pt idx="319">
                  <c:v>0.42520000000000002</c:v>
                </c:pt>
                <c:pt idx="320">
                  <c:v>0.4405</c:v>
                </c:pt>
                <c:pt idx="321">
                  <c:v>0.3947</c:v>
                </c:pt>
                <c:pt idx="322">
                  <c:v>0.35620000000000002</c:v>
                </c:pt>
                <c:pt idx="323">
                  <c:v>0.35410000000000003</c:v>
                </c:pt>
                <c:pt idx="324">
                  <c:v>0.3876</c:v>
                </c:pt>
                <c:pt idx="325">
                  <c:v>0.38440000000000002</c:v>
                </c:pt>
                <c:pt idx="326">
                  <c:v>0.37130000000000002</c:v>
                </c:pt>
                <c:pt idx="327">
                  <c:v>0.34</c:v>
                </c:pt>
                <c:pt idx="328">
                  <c:v>0.33779999999999999</c:v>
                </c:pt>
                <c:pt idx="329">
                  <c:v>0.31940000000000002</c:v>
                </c:pt>
                <c:pt idx="330">
                  <c:v>0.3241</c:v>
                </c:pt>
                <c:pt idx="331">
                  <c:v>0.32090000000000002</c:v>
                </c:pt>
                <c:pt idx="332">
                  <c:v>0.34489999999999998</c:v>
                </c:pt>
                <c:pt idx="333">
                  <c:v>0.27310000000000001</c:v>
                </c:pt>
                <c:pt idx="334">
                  <c:v>0.28760000000000002</c:v>
                </c:pt>
                <c:pt idx="335">
                  <c:v>0.28749999999999998</c:v>
                </c:pt>
                <c:pt idx="336">
                  <c:v>0.29170000000000001</c:v>
                </c:pt>
                <c:pt idx="337">
                  <c:v>0.3236</c:v>
                </c:pt>
                <c:pt idx="338">
                  <c:v>0.32140000000000002</c:v>
                </c:pt>
                <c:pt idx="339">
                  <c:v>0.38</c:v>
                </c:pt>
                <c:pt idx="340">
                  <c:v>0.42020000000000002</c:v>
                </c:pt>
                <c:pt idx="341">
                  <c:v>0.39560000000000001</c:v>
                </c:pt>
                <c:pt idx="342">
                  <c:v>0.4556</c:v>
                </c:pt>
                <c:pt idx="343">
                  <c:v>0.51670000000000005</c:v>
                </c:pt>
                <c:pt idx="344">
                  <c:v>0.46329999999999999</c:v>
                </c:pt>
                <c:pt idx="345">
                  <c:v>0.44800000000000001</c:v>
                </c:pt>
                <c:pt idx="346">
                  <c:v>0.4622</c:v>
                </c:pt>
                <c:pt idx="347">
                  <c:v>0.49580000000000002</c:v>
                </c:pt>
                <c:pt idx="348">
                  <c:v>0.55649999999999999</c:v>
                </c:pt>
                <c:pt idx="349">
                  <c:v>0.52629999999999999</c:v>
                </c:pt>
                <c:pt idx="350">
                  <c:v>0.44059999999999999</c:v>
                </c:pt>
                <c:pt idx="351">
                  <c:v>0.39410000000000001</c:v>
                </c:pt>
                <c:pt idx="352">
                  <c:v>0.39</c:v>
                </c:pt>
                <c:pt idx="353">
                  <c:v>0.38529999999999998</c:v>
                </c:pt>
                <c:pt idx="354">
                  <c:v>0.31280000000000002</c:v>
                </c:pt>
                <c:pt idx="355">
                  <c:v>0.31540000000000001</c:v>
                </c:pt>
                <c:pt idx="356">
                  <c:v>0.30159999999999998</c:v>
                </c:pt>
                <c:pt idx="357">
                  <c:v>0.26900000000000002</c:v>
                </c:pt>
                <c:pt idx="358">
                  <c:v>0.28910000000000002</c:v>
                </c:pt>
                <c:pt idx="359">
                  <c:v>0.26190000000000002</c:v>
                </c:pt>
                <c:pt idx="360">
                  <c:v>0.23319999999999999</c:v>
                </c:pt>
                <c:pt idx="361">
                  <c:v>0.24929999999999999</c:v>
                </c:pt>
                <c:pt idx="362">
                  <c:v>0.22919999999999999</c:v>
                </c:pt>
                <c:pt idx="363">
                  <c:v>0.2316</c:v>
                </c:pt>
                <c:pt idx="364">
                  <c:v>0.2271</c:v>
                </c:pt>
                <c:pt idx="365">
                  <c:v>0.216</c:v>
                </c:pt>
                <c:pt idx="366">
                  <c:v>0.2361</c:v>
                </c:pt>
                <c:pt idx="367">
                  <c:v>0.23810000000000001</c:v>
                </c:pt>
                <c:pt idx="368">
                  <c:v>0.25140000000000001</c:v>
                </c:pt>
                <c:pt idx="369">
                  <c:v>0.2263</c:v>
                </c:pt>
                <c:pt idx="370">
                  <c:v>0.23730000000000001</c:v>
                </c:pt>
                <c:pt idx="371">
                  <c:v>0.23150000000000001</c:v>
                </c:pt>
                <c:pt idx="372">
                  <c:v>0.27100000000000002</c:v>
                </c:pt>
                <c:pt idx="373">
                  <c:v>0.27510000000000001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9-4939-A1EF-B505F0E940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-15.853882276917677</c:v>
                </c:pt>
                <c:pt idx="1">
                  <c:v>-15.843665145129059</c:v>
                </c:pt>
                <c:pt idx="2">
                  <c:v>-15.874735923437727</c:v>
                </c:pt>
                <c:pt idx="3">
                  <c:v>-15.901106088331344</c:v>
                </c:pt>
                <c:pt idx="4">
                  <c:v>-15.908585434158116</c:v>
                </c:pt>
                <c:pt idx="5">
                  <c:v>-15.955698800374332</c:v>
                </c:pt>
                <c:pt idx="6">
                  <c:v>-15.920719607923933</c:v>
                </c:pt>
                <c:pt idx="7">
                  <c:v>-15.823112469049159</c:v>
                </c:pt>
                <c:pt idx="8">
                  <c:v>-15.798339753424157</c:v>
                </c:pt>
                <c:pt idx="9">
                  <c:v>-15.749798272096358</c:v>
                </c:pt>
                <c:pt idx="10">
                  <c:v>-15.637699887104963</c:v>
                </c:pt>
                <c:pt idx="11">
                  <c:v>-15.734902316762756</c:v>
                </c:pt>
                <c:pt idx="12">
                  <c:v>-15.726032245538269</c:v>
                </c:pt>
                <c:pt idx="13">
                  <c:v>-15.666482188017605</c:v>
                </c:pt>
                <c:pt idx="14">
                  <c:v>-15.675179795320979</c:v>
                </c:pt>
                <c:pt idx="15">
                  <c:v>-15.554928637892406</c:v>
                </c:pt>
                <c:pt idx="16">
                  <c:v>-15.592218694256044</c:v>
                </c:pt>
                <c:pt idx="17">
                  <c:v>-15.619907753885673</c:v>
                </c:pt>
                <c:pt idx="18">
                  <c:v>-15.605218990249311</c:v>
                </c:pt>
                <c:pt idx="19">
                  <c:v>-15.598300932045717</c:v>
                </c:pt>
                <c:pt idx="20">
                  <c:v>-15.549706613637758</c:v>
                </c:pt>
                <c:pt idx="21">
                  <c:v>-15.474659324629714</c:v>
                </c:pt>
                <c:pt idx="22">
                  <c:v>-15.476059538369553</c:v>
                </c:pt>
                <c:pt idx="23">
                  <c:v>-15.346767845145983</c:v>
                </c:pt>
                <c:pt idx="24">
                  <c:v>-15.308346030966877</c:v>
                </c:pt>
                <c:pt idx="25">
                  <c:v>-15.28108976631667</c:v>
                </c:pt>
                <c:pt idx="26">
                  <c:v>-15.243801648316673</c:v>
                </c:pt>
                <c:pt idx="27">
                  <c:v>-15.251146938560574</c:v>
                </c:pt>
                <c:pt idx="28">
                  <c:v>-15.21364111583806</c:v>
                </c:pt>
                <c:pt idx="29">
                  <c:v>-15.248688374595122</c:v>
                </c:pt>
                <c:pt idx="30">
                  <c:v>-15.055433695279534</c:v>
                </c:pt>
                <c:pt idx="31">
                  <c:v>-14.96828426679852</c:v>
                </c:pt>
                <c:pt idx="32">
                  <c:v>-14.787117391595658</c:v>
                </c:pt>
                <c:pt idx="33">
                  <c:v>-14.714271480487964</c:v>
                </c:pt>
                <c:pt idx="34">
                  <c:v>-14.629099925272955</c:v>
                </c:pt>
                <c:pt idx="35">
                  <c:v>-14.510494714363864</c:v>
                </c:pt>
                <c:pt idx="36">
                  <c:v>-14.582544177221006</c:v>
                </c:pt>
                <c:pt idx="37">
                  <c:v>-14.499460637828296</c:v>
                </c:pt>
                <c:pt idx="38">
                  <c:v>-14.402273787767506</c:v>
                </c:pt>
                <c:pt idx="39">
                  <c:v>-14.27046567510375</c:v>
                </c:pt>
                <c:pt idx="40">
                  <c:v>-12.520101680054408</c:v>
                </c:pt>
                <c:pt idx="41">
                  <c:v>-13.124717897829552</c:v>
                </c:pt>
                <c:pt idx="42">
                  <c:v>-13.109670530728101</c:v>
                </c:pt>
                <c:pt idx="43">
                  <c:v>-13.086872230360003</c:v>
                </c:pt>
                <c:pt idx="44">
                  <c:v>-13.115497949842075</c:v>
                </c:pt>
                <c:pt idx="45">
                  <c:v>-13.187540698082813</c:v>
                </c:pt>
                <c:pt idx="46">
                  <c:v>-13.092041720829595</c:v>
                </c:pt>
                <c:pt idx="47">
                  <c:v>-13.113877893883027</c:v>
                </c:pt>
                <c:pt idx="48">
                  <c:v>-13.115467719251448</c:v>
                </c:pt>
                <c:pt idx="49">
                  <c:v>-13.03592961016054</c:v>
                </c:pt>
                <c:pt idx="50">
                  <c:v>-12.987835476391695</c:v>
                </c:pt>
                <c:pt idx="51">
                  <c:v>-13.047922273078626</c:v>
                </c:pt>
                <c:pt idx="52">
                  <c:v>-12.979885857372411</c:v>
                </c:pt>
                <c:pt idx="53">
                  <c:v>-13.115623982002951</c:v>
                </c:pt>
                <c:pt idx="54">
                  <c:v>-13.060288045190726</c:v>
                </c:pt>
                <c:pt idx="55">
                  <c:v>-13.090536689450415</c:v>
                </c:pt>
                <c:pt idx="56">
                  <c:v>-12.994514504043439</c:v>
                </c:pt>
                <c:pt idx="57">
                  <c:v>-13.024866634850891</c:v>
                </c:pt>
                <c:pt idx="58">
                  <c:v>-13.002413692069434</c:v>
                </c:pt>
                <c:pt idx="59">
                  <c:v>-12.981704964100338</c:v>
                </c:pt>
                <c:pt idx="60">
                  <c:v>-12.956293652380879</c:v>
                </c:pt>
                <c:pt idx="61">
                  <c:v>-13.000940148263233</c:v>
                </c:pt>
                <c:pt idx="62">
                  <c:v>-12.994683029620786</c:v>
                </c:pt>
                <c:pt idx="63">
                  <c:v>-12.928521475811836</c:v>
                </c:pt>
                <c:pt idx="64">
                  <c:v>-13.016025247342085</c:v>
                </c:pt>
                <c:pt idx="65">
                  <c:v>-13.005049014008753</c:v>
                </c:pt>
                <c:pt idx="66">
                  <c:v>-12.97258265619266</c:v>
                </c:pt>
                <c:pt idx="67">
                  <c:v>-12.929567177897008</c:v>
                </c:pt>
                <c:pt idx="68">
                  <c:v>-12.95853071114443</c:v>
                </c:pt>
                <c:pt idx="69">
                  <c:v>-12.989674573510023</c:v>
                </c:pt>
                <c:pt idx="70">
                  <c:v>-13.060085604961635</c:v>
                </c:pt>
                <c:pt idx="71">
                  <c:v>-13.005475836092071</c:v>
                </c:pt>
                <c:pt idx="72">
                  <c:v>-13.010365988265985</c:v>
                </c:pt>
                <c:pt idx="73">
                  <c:v>-12.953333896485161</c:v>
                </c:pt>
                <c:pt idx="74">
                  <c:v>-12.841458566485162</c:v>
                </c:pt>
                <c:pt idx="75">
                  <c:v>-12.765794749345574</c:v>
                </c:pt>
                <c:pt idx="76">
                  <c:v>-12.647466668305572</c:v>
                </c:pt>
                <c:pt idx="77">
                  <c:v>-12.646997460075484</c:v>
                </c:pt>
                <c:pt idx="78">
                  <c:v>-12.64532273082315</c:v>
                </c:pt>
                <c:pt idx="79">
                  <c:v>-12.479308476738181</c:v>
                </c:pt>
                <c:pt idx="80">
                  <c:v>-12.498013813478924</c:v>
                </c:pt>
                <c:pt idx="81">
                  <c:v>-12.444778697440736</c:v>
                </c:pt>
                <c:pt idx="82">
                  <c:v>-12.434646519828798</c:v>
                </c:pt>
                <c:pt idx="83">
                  <c:v>-12.447205516971653</c:v>
                </c:pt>
                <c:pt idx="84">
                  <c:v>-12.379489383911544</c:v>
                </c:pt>
                <c:pt idx="85">
                  <c:v>-12.556522772711544</c:v>
                </c:pt>
                <c:pt idx="86">
                  <c:v>-12.483083329692676</c:v>
                </c:pt>
                <c:pt idx="87">
                  <c:v>-12.376546433135299</c:v>
                </c:pt>
                <c:pt idx="88">
                  <c:v>-12.480595546089845</c:v>
                </c:pt>
                <c:pt idx="89">
                  <c:v>-12.440970573257227</c:v>
                </c:pt>
                <c:pt idx="90">
                  <c:v>-12.441370401459119</c:v>
                </c:pt>
                <c:pt idx="91">
                  <c:v>-12.390830681014677</c:v>
                </c:pt>
                <c:pt idx="92">
                  <c:v>-12.19854714229046</c:v>
                </c:pt>
                <c:pt idx="93">
                  <c:v>-12.543774367401571</c:v>
                </c:pt>
                <c:pt idx="94">
                  <c:v>-12.577409876311524</c:v>
                </c:pt>
                <c:pt idx="95">
                  <c:v>-12.69827684667246</c:v>
                </c:pt>
                <c:pt idx="96">
                  <c:v>-12.677720825028622</c:v>
                </c:pt>
                <c:pt idx="97">
                  <c:v>-12.610424131392259</c:v>
                </c:pt>
                <c:pt idx="98">
                  <c:v>-12.53293367247394</c:v>
                </c:pt>
                <c:pt idx="99">
                  <c:v>-12.35706196458403</c:v>
                </c:pt>
                <c:pt idx="100">
                  <c:v>-12.387332114065513</c:v>
                </c:pt>
                <c:pt idx="101">
                  <c:v>-12.530022053733411</c:v>
                </c:pt>
                <c:pt idx="102">
                  <c:v>-12.134425261069318</c:v>
                </c:pt>
                <c:pt idx="103">
                  <c:v>-12.121924891069318</c:v>
                </c:pt>
                <c:pt idx="104">
                  <c:v>-12.004934322064578</c:v>
                </c:pt>
                <c:pt idx="105">
                  <c:v>-11.672585177390731</c:v>
                </c:pt>
                <c:pt idx="106">
                  <c:v>-11.744502062204736</c:v>
                </c:pt>
                <c:pt idx="107">
                  <c:v>-11.772576394948098</c:v>
                </c:pt>
                <c:pt idx="108">
                  <c:v>-11.835617388687229</c:v>
                </c:pt>
                <c:pt idx="109">
                  <c:v>-11.781488606117396</c:v>
                </c:pt>
                <c:pt idx="110">
                  <c:v>-11.712537191332585</c:v>
                </c:pt>
                <c:pt idx="111">
                  <c:v>-11.716946472711898</c:v>
                </c:pt>
                <c:pt idx="112">
                  <c:v>-11.646511453178823</c:v>
                </c:pt>
                <c:pt idx="113">
                  <c:v>-11.50736895279328</c:v>
                </c:pt>
                <c:pt idx="114">
                  <c:v>-11.346867210407765</c:v>
                </c:pt>
                <c:pt idx="115">
                  <c:v>-11.372439016746226</c:v>
                </c:pt>
                <c:pt idx="116">
                  <c:v>-11.337310832219668</c:v>
                </c:pt>
                <c:pt idx="117">
                  <c:v>-11.33892814605252</c:v>
                </c:pt>
                <c:pt idx="118">
                  <c:v>-11.309555844920444</c:v>
                </c:pt>
                <c:pt idx="119">
                  <c:v>-11.424984578158218</c:v>
                </c:pt>
                <c:pt idx="120">
                  <c:v>-11.484129955403729</c:v>
                </c:pt>
                <c:pt idx="121">
                  <c:v>-11.465659641267603</c:v>
                </c:pt>
                <c:pt idx="122">
                  <c:v>-11.36850291827397</c:v>
                </c:pt>
                <c:pt idx="123">
                  <c:v>-11.287754569775181</c:v>
                </c:pt>
                <c:pt idx="124">
                  <c:v>-11.304344942516144</c:v>
                </c:pt>
                <c:pt idx="125">
                  <c:v>-11.262336390022705</c:v>
                </c:pt>
                <c:pt idx="126">
                  <c:v>-11.214765556269736</c:v>
                </c:pt>
                <c:pt idx="127">
                  <c:v>-11.22614607569052</c:v>
                </c:pt>
                <c:pt idx="128">
                  <c:v>-11.241569949916242</c:v>
                </c:pt>
                <c:pt idx="129">
                  <c:v>-11.128939683661823</c:v>
                </c:pt>
                <c:pt idx="130">
                  <c:v>-11.056176964105036</c:v>
                </c:pt>
                <c:pt idx="131">
                  <c:v>-11.028785202676465</c:v>
                </c:pt>
                <c:pt idx="132">
                  <c:v>-10.939697809764134</c:v>
                </c:pt>
                <c:pt idx="133">
                  <c:v>-10.795076542909046</c:v>
                </c:pt>
                <c:pt idx="134">
                  <c:v>-10.97149561904858</c:v>
                </c:pt>
                <c:pt idx="135">
                  <c:v>-10.794396056482892</c:v>
                </c:pt>
                <c:pt idx="136">
                  <c:v>-11.253564630462824</c:v>
                </c:pt>
                <c:pt idx="137">
                  <c:v>-10.996637849925596</c:v>
                </c:pt>
                <c:pt idx="138">
                  <c:v>-11.268337686670277</c:v>
                </c:pt>
                <c:pt idx="139">
                  <c:v>-11.208446784852095</c:v>
                </c:pt>
                <c:pt idx="140">
                  <c:v>-11.092478483630622</c:v>
                </c:pt>
                <c:pt idx="141">
                  <c:v>-10.964906463059192</c:v>
                </c:pt>
                <c:pt idx="142">
                  <c:v>-11.056132448547814</c:v>
                </c:pt>
                <c:pt idx="143">
                  <c:v>-10.676849201330722</c:v>
                </c:pt>
                <c:pt idx="144">
                  <c:v>-10.78898111388437</c:v>
                </c:pt>
                <c:pt idx="145">
                  <c:v>-10.847019398642992</c:v>
                </c:pt>
                <c:pt idx="146">
                  <c:v>-10.800335651408949</c:v>
                </c:pt>
                <c:pt idx="147">
                  <c:v>-10.852189520702799</c:v>
                </c:pt>
                <c:pt idx="148">
                  <c:v>-10.532155077400802</c:v>
                </c:pt>
                <c:pt idx="149">
                  <c:v>-10.727214683242011</c:v>
                </c:pt>
                <c:pt idx="150">
                  <c:v>-10.653980455236146</c:v>
                </c:pt>
                <c:pt idx="151">
                  <c:v>-10.355751234029798</c:v>
                </c:pt>
                <c:pt idx="152">
                  <c:v>-10.466394855318198</c:v>
                </c:pt>
                <c:pt idx="153">
                  <c:v>-10.350327589123507</c:v>
                </c:pt>
                <c:pt idx="154">
                  <c:v>-10.518066186528426</c:v>
                </c:pt>
                <c:pt idx="155">
                  <c:v>-10.295861828310258</c:v>
                </c:pt>
                <c:pt idx="156">
                  <c:v>-10.411718501013825</c:v>
                </c:pt>
                <c:pt idx="157">
                  <c:v>-10.152109348836207</c:v>
                </c:pt>
                <c:pt idx="158">
                  <c:v>-10.065463800669542</c:v>
                </c:pt>
                <c:pt idx="159">
                  <c:v>-10.070330932789105</c:v>
                </c:pt>
                <c:pt idx="160">
                  <c:v>-9.8617448738994646</c:v>
                </c:pt>
                <c:pt idx="161">
                  <c:v>-9.802063692844742</c:v>
                </c:pt>
                <c:pt idx="162">
                  <c:v>-9.7853291649668712</c:v>
                </c:pt>
                <c:pt idx="163">
                  <c:v>-9.434098463792548</c:v>
                </c:pt>
                <c:pt idx="164">
                  <c:v>-9.5207858643570482</c:v>
                </c:pt>
                <c:pt idx="165">
                  <c:v>-8.9802013242954768</c:v>
                </c:pt>
                <c:pt idx="166">
                  <c:v>-9.0352365824791061</c:v>
                </c:pt>
                <c:pt idx="167">
                  <c:v>-9.0644721660645935</c:v>
                </c:pt>
                <c:pt idx="168">
                  <c:v>-8.8408728638159211</c:v>
                </c:pt>
                <c:pt idx="169">
                  <c:v>-6.437096985072813</c:v>
                </c:pt>
                <c:pt idx="170">
                  <c:v>-6.6613134191052845</c:v>
                </c:pt>
                <c:pt idx="171">
                  <c:v>-6.9444475856652836</c:v>
                </c:pt>
                <c:pt idx="172">
                  <c:v>-5.8092621189777569</c:v>
                </c:pt>
                <c:pt idx="173">
                  <c:v>-5.0920574093682154</c:v>
                </c:pt>
                <c:pt idx="174">
                  <c:v>-4.3060767306257377</c:v>
                </c:pt>
                <c:pt idx="175">
                  <c:v>-2.4481219315310017</c:v>
                </c:pt>
                <c:pt idx="176">
                  <c:v>-3.4021816684964463</c:v>
                </c:pt>
                <c:pt idx="177">
                  <c:v>-3.5750302814586083</c:v>
                </c:pt>
                <c:pt idx="178">
                  <c:v>-3.5554451553396893</c:v>
                </c:pt>
                <c:pt idx="179">
                  <c:v>-3.5119583959849727</c:v>
                </c:pt>
                <c:pt idx="180">
                  <c:v>-3.3803926768651378</c:v>
                </c:pt>
                <c:pt idx="181">
                  <c:v>-3.1533610331240065</c:v>
                </c:pt>
                <c:pt idx="182">
                  <c:v>-3.3742408099506398</c:v>
                </c:pt>
                <c:pt idx="183">
                  <c:v>-3.4401804452778393</c:v>
                </c:pt>
                <c:pt idx="184">
                  <c:v>-3.4100093499222841</c:v>
                </c:pt>
                <c:pt idx="185">
                  <c:v>-3.4680963478995568</c:v>
                </c:pt>
                <c:pt idx="186">
                  <c:v>-3.3362848207676414</c:v>
                </c:pt>
                <c:pt idx="187">
                  <c:v>-3.3572195921431973</c:v>
                </c:pt>
                <c:pt idx="188">
                  <c:v>-3.3303146409411455</c:v>
                </c:pt>
                <c:pt idx="189">
                  <c:v>-3.3733740623724335</c:v>
                </c:pt>
                <c:pt idx="190">
                  <c:v>-3.3900393949867191</c:v>
                </c:pt>
                <c:pt idx="191">
                  <c:v>-3.4298181700736756</c:v>
                </c:pt>
                <c:pt idx="192">
                  <c:v>-3.404882405930342</c:v>
                </c:pt>
                <c:pt idx="193">
                  <c:v>-3.3503217498414535</c:v>
                </c:pt>
                <c:pt idx="194">
                  <c:v>-3.3124971633305837</c:v>
                </c:pt>
                <c:pt idx="195">
                  <c:v>-3.2844527634305836</c:v>
                </c:pt>
                <c:pt idx="196">
                  <c:v>-3.1983498158343489</c:v>
                </c:pt>
                <c:pt idx="197">
                  <c:v>-3.1168433123824717</c:v>
                </c:pt>
                <c:pt idx="198">
                  <c:v>-3.1536052506044929</c:v>
                </c:pt>
                <c:pt idx="199">
                  <c:v>-3.1195853906688997</c:v>
                </c:pt>
                <c:pt idx="200">
                  <c:v>-3.0962545907951498</c:v>
                </c:pt>
                <c:pt idx="201">
                  <c:v>-3.1505061831633738</c:v>
                </c:pt>
                <c:pt idx="202">
                  <c:v>-3.1286823366810732</c:v>
                </c:pt>
                <c:pt idx="203">
                  <c:v>-3.1786245507432951</c:v>
                </c:pt>
                <c:pt idx="204">
                  <c:v>-3.072395231178032</c:v>
                </c:pt>
                <c:pt idx="205">
                  <c:v>-3.0243753975145031</c:v>
                </c:pt>
                <c:pt idx="206">
                  <c:v>-3.1078565710399264</c:v>
                </c:pt>
                <c:pt idx="207">
                  <c:v>-3.0778998502077424</c:v>
                </c:pt>
                <c:pt idx="208">
                  <c:v>-3.1294454132027916</c:v>
                </c:pt>
                <c:pt idx="209">
                  <c:v>-3.1134914721071398</c:v>
                </c:pt>
                <c:pt idx="210">
                  <c:v>-3.0879349421227644</c:v>
                </c:pt>
                <c:pt idx="211">
                  <c:v>-2.9515941509480039</c:v>
                </c:pt>
                <c:pt idx="212">
                  <c:v>-3.1202984822265614</c:v>
                </c:pt>
                <c:pt idx="213">
                  <c:v>-3.1283554116861354</c:v>
                </c:pt>
                <c:pt idx="214">
                  <c:v>-3.1117476296609858</c:v>
                </c:pt>
                <c:pt idx="215">
                  <c:v>-3.1117476296609858</c:v>
                </c:pt>
                <c:pt idx="216">
                  <c:v>-3.0961007195406647</c:v>
                </c:pt>
                <c:pt idx="217">
                  <c:v>-3.033236344381244</c:v>
                </c:pt>
                <c:pt idx="218">
                  <c:v>-3.0279027326826524</c:v>
                </c:pt>
                <c:pt idx="219">
                  <c:v>-3.0301365953426522</c:v>
                </c:pt>
                <c:pt idx="220">
                  <c:v>-3.0177902533656611</c:v>
                </c:pt>
                <c:pt idx="221">
                  <c:v>-2.9059797885823544</c:v>
                </c:pt>
                <c:pt idx="222">
                  <c:v>-2.9141861118929926</c:v>
                </c:pt>
                <c:pt idx="223">
                  <c:v>-2.8987896009222061</c:v>
                </c:pt>
                <c:pt idx="224">
                  <c:v>-2.84224571852514</c:v>
                </c:pt>
                <c:pt idx="225">
                  <c:v>-2.8571139086617254</c:v>
                </c:pt>
                <c:pt idx="226">
                  <c:v>-2.8000318616617257</c:v>
                </c:pt>
                <c:pt idx="227">
                  <c:v>-2.8071893793604517</c:v>
                </c:pt>
                <c:pt idx="228">
                  <c:v>-2.7245272346890901</c:v>
                </c:pt>
                <c:pt idx="229">
                  <c:v>-2.7227115182348522</c:v>
                </c:pt>
                <c:pt idx="230">
                  <c:v>-2.3681821673875323</c:v>
                </c:pt>
                <c:pt idx="231">
                  <c:v>-1.5497167071000206</c:v>
                </c:pt>
                <c:pt idx="232">
                  <c:v>-1.4252945210492689</c:v>
                </c:pt>
                <c:pt idx="233">
                  <c:v>-1.4496583628635877</c:v>
                </c:pt>
                <c:pt idx="234">
                  <c:v>-1.4764030920588818</c:v>
                </c:pt>
                <c:pt idx="235">
                  <c:v>-1.4121071717072895</c:v>
                </c:pt>
                <c:pt idx="236">
                  <c:v>-1.3885049117692365</c:v>
                </c:pt>
                <c:pt idx="237">
                  <c:v>-1.3429913546751449</c:v>
                </c:pt>
                <c:pt idx="238">
                  <c:v>-1.281596975121724</c:v>
                </c:pt>
                <c:pt idx="239">
                  <c:v>-1.2863815300755699</c:v>
                </c:pt>
                <c:pt idx="240">
                  <c:v>-1.2773379381477732</c:v>
                </c:pt>
                <c:pt idx="241">
                  <c:v>-1.2417436254425955</c:v>
                </c:pt>
                <c:pt idx="242">
                  <c:v>-1.2413002627963063</c:v>
                </c:pt>
                <c:pt idx="243">
                  <c:v>-1.2724453666632913</c:v>
                </c:pt>
                <c:pt idx="244">
                  <c:v>-1.2200690315644231</c:v>
                </c:pt>
                <c:pt idx="245">
                  <c:v>-1.1960990576622414</c:v>
                </c:pt>
                <c:pt idx="246">
                  <c:v>-1.1579094516790833</c:v>
                </c:pt>
                <c:pt idx="247">
                  <c:v>-1.0975354982015326</c:v>
                </c:pt>
                <c:pt idx="248">
                  <c:v>-1.0472512227692625</c:v>
                </c:pt>
                <c:pt idx="249">
                  <c:v>-1.0064449479821658</c:v>
                </c:pt>
                <c:pt idx="250">
                  <c:v>-0.58773333475139655</c:v>
                </c:pt>
                <c:pt idx="251">
                  <c:v>-1.0428778989796244</c:v>
                </c:pt>
                <c:pt idx="252">
                  <c:v>-0.96087444373037934</c:v>
                </c:pt>
                <c:pt idx="253">
                  <c:v>-0.66591074190848731</c:v>
                </c:pt>
                <c:pt idx="254">
                  <c:v>-0.65178964751781132</c:v>
                </c:pt>
                <c:pt idx="255">
                  <c:v>-0.61182876213975756</c:v>
                </c:pt>
                <c:pt idx="256">
                  <c:v>-0.60336468888375772</c:v>
                </c:pt>
                <c:pt idx="257">
                  <c:v>-0.46975798354504167</c:v>
                </c:pt>
                <c:pt idx="258">
                  <c:v>-0.40948723624102479</c:v>
                </c:pt>
                <c:pt idx="259">
                  <c:v>-0.41282570141460967</c:v>
                </c:pt>
                <c:pt idx="260">
                  <c:v>-0.36774897079626651</c:v>
                </c:pt>
                <c:pt idx="261">
                  <c:v>-0.30158657823926516</c:v>
                </c:pt>
                <c:pt idx="262">
                  <c:v>-0.39866591824782421</c:v>
                </c:pt>
                <c:pt idx="263">
                  <c:v>-0.34617114506899777</c:v>
                </c:pt>
                <c:pt idx="264">
                  <c:v>-0.24250078010413273</c:v>
                </c:pt>
                <c:pt idx="265">
                  <c:v>-0.30732130424347709</c:v>
                </c:pt>
                <c:pt idx="266">
                  <c:v>-0.31412175896038719</c:v>
                </c:pt>
                <c:pt idx="267">
                  <c:v>-0.24352149792590433</c:v>
                </c:pt>
                <c:pt idx="268">
                  <c:v>-0.31380388061734066</c:v>
                </c:pt>
                <c:pt idx="269">
                  <c:v>1.1824663404398411E-2</c:v>
                </c:pt>
                <c:pt idx="270">
                  <c:v>-0.22093898516461569</c:v>
                </c:pt>
                <c:pt idx="271">
                  <c:v>-0.26101477867453754</c:v>
                </c:pt>
                <c:pt idx="272">
                  <c:v>-0.22755403673795224</c:v>
                </c:pt>
                <c:pt idx="273">
                  <c:v>-0.2566744411225112</c:v>
                </c:pt>
                <c:pt idx="274">
                  <c:v>-0.25637085352033162</c:v>
                </c:pt>
                <c:pt idx="275">
                  <c:v>-0.24404631228763016</c:v>
                </c:pt>
                <c:pt idx="276">
                  <c:v>-0.28033192381700855</c:v>
                </c:pt>
                <c:pt idx="277">
                  <c:v>-0.34600710116075833</c:v>
                </c:pt>
                <c:pt idx="278">
                  <c:v>-0.30905076160171213</c:v>
                </c:pt>
                <c:pt idx="279">
                  <c:v>-0.29467607202211349</c:v>
                </c:pt>
                <c:pt idx="280">
                  <c:v>-0.32127008943387819</c:v>
                </c:pt>
                <c:pt idx="281">
                  <c:v>-0.26621913084315463</c:v>
                </c:pt>
                <c:pt idx="282">
                  <c:v>-0.23692969673270678</c:v>
                </c:pt>
                <c:pt idx="283">
                  <c:v>-0.26996219241678643</c:v>
                </c:pt>
                <c:pt idx="284">
                  <c:v>-0.30220437935437344</c:v>
                </c:pt>
                <c:pt idx="285">
                  <c:v>-0.24658583759374925</c:v>
                </c:pt>
                <c:pt idx="286">
                  <c:v>-0.20442119875738576</c:v>
                </c:pt>
                <c:pt idx="287">
                  <c:v>-0.16851031688557103</c:v>
                </c:pt>
                <c:pt idx="288">
                  <c:v>-0.19080180904749264</c:v>
                </c:pt>
                <c:pt idx="289">
                  <c:v>-0.21443957312050863</c:v>
                </c:pt>
                <c:pt idx="290">
                  <c:v>-0.23958063136911206</c:v>
                </c:pt>
                <c:pt idx="291">
                  <c:v>-0.25083786856220663</c:v>
                </c:pt>
                <c:pt idx="292">
                  <c:v>-0.24321092540309064</c:v>
                </c:pt>
                <c:pt idx="293">
                  <c:v>-0.20600329373290882</c:v>
                </c:pt>
                <c:pt idx="294">
                  <c:v>-0.26112195597643217</c:v>
                </c:pt>
                <c:pt idx="295">
                  <c:v>-0.29397426270604599</c:v>
                </c:pt>
                <c:pt idx="296">
                  <c:v>-0.30742530478132679</c:v>
                </c:pt>
                <c:pt idx="297">
                  <c:v>-0.2862776363756665</c:v>
                </c:pt>
                <c:pt idx="298">
                  <c:v>-0.30141984268804745</c:v>
                </c:pt>
                <c:pt idx="299">
                  <c:v>-0.31186115708698769</c:v>
                </c:pt>
                <c:pt idx="300">
                  <c:v>-0.22312504932547822</c:v>
                </c:pt>
                <c:pt idx="301">
                  <c:v>-0.18916130077274673</c:v>
                </c:pt>
                <c:pt idx="302">
                  <c:v>-0.12805420490754604</c:v>
                </c:pt>
                <c:pt idx="303">
                  <c:v>-0.15164322427133445</c:v>
                </c:pt>
                <c:pt idx="304">
                  <c:v>-0.26664042241948271</c:v>
                </c:pt>
                <c:pt idx="305">
                  <c:v>-0.38985456794459705</c:v>
                </c:pt>
                <c:pt idx="306">
                  <c:v>-0.3924773608783716</c:v>
                </c:pt>
                <c:pt idx="307">
                  <c:v>-0.43712860313801283</c:v>
                </c:pt>
                <c:pt idx="308">
                  <c:v>-0.5703740969019272</c:v>
                </c:pt>
                <c:pt idx="309">
                  <c:v>-0.55569222027310639</c:v>
                </c:pt>
                <c:pt idx="310">
                  <c:v>-0.4210301573518942</c:v>
                </c:pt>
                <c:pt idx="311">
                  <c:v>-0.45180842570861063</c:v>
                </c:pt>
                <c:pt idx="312">
                  <c:v>-0.41919290064834563</c:v>
                </c:pt>
                <c:pt idx="313">
                  <c:v>-0.39736243791858072</c:v>
                </c:pt>
                <c:pt idx="314">
                  <c:v>-0.34777969908586298</c:v>
                </c:pt>
                <c:pt idx="315">
                  <c:v>-0.37165591705375289</c:v>
                </c:pt>
                <c:pt idx="316">
                  <c:v>-0.35180441102033999</c:v>
                </c:pt>
                <c:pt idx="317">
                  <c:v>-0.3827182700049554</c:v>
                </c:pt>
                <c:pt idx="318">
                  <c:v>-0.48975561963869035</c:v>
                </c:pt>
                <c:pt idx="319">
                  <c:v>-0.44394399477250129</c:v>
                </c:pt>
                <c:pt idx="320">
                  <c:v>-0.45364816953014325</c:v>
                </c:pt>
                <c:pt idx="321">
                  <c:v>-0.49196681159014327</c:v>
                </c:pt>
                <c:pt idx="322">
                  <c:v>-0.52226124134500773</c:v>
                </c:pt>
                <c:pt idx="323">
                  <c:v>-0.53762103109704851</c:v>
                </c:pt>
                <c:pt idx="324">
                  <c:v>-0.4922849462115525</c:v>
                </c:pt>
                <c:pt idx="325">
                  <c:v>-0.51086640373405245</c:v>
                </c:pt>
                <c:pt idx="326">
                  <c:v>-0.57559442929915894</c:v>
                </c:pt>
                <c:pt idx="327">
                  <c:v>-0.61153712377883218</c:v>
                </c:pt>
                <c:pt idx="328">
                  <c:v>-0.64116767198740376</c:v>
                </c:pt>
                <c:pt idx="329">
                  <c:v>-0.67040409347605012</c:v>
                </c:pt>
                <c:pt idx="330">
                  <c:v>-0.63620784333076708</c:v>
                </c:pt>
                <c:pt idx="331">
                  <c:v>-0.60353144548076709</c:v>
                </c:pt>
                <c:pt idx="332">
                  <c:v>-0.55514581662419349</c:v>
                </c:pt>
                <c:pt idx="333">
                  <c:v>-0.59954907543182767</c:v>
                </c:pt>
                <c:pt idx="334">
                  <c:v>-0.58828922557444363</c:v>
                </c:pt>
                <c:pt idx="335">
                  <c:v>-0.54931201246258965</c:v>
                </c:pt>
                <c:pt idx="336">
                  <c:v>-0.53556182339376357</c:v>
                </c:pt>
                <c:pt idx="337">
                  <c:v>-0.46830996863578994</c:v>
                </c:pt>
                <c:pt idx="338">
                  <c:v>-0.43100080494623472</c:v>
                </c:pt>
                <c:pt idx="339">
                  <c:v>-0.3570363894689621</c:v>
                </c:pt>
                <c:pt idx="340">
                  <c:v>-0.34120947657689243</c:v>
                </c:pt>
                <c:pt idx="341">
                  <c:v>-0.35740670053939244</c:v>
                </c:pt>
                <c:pt idx="342">
                  <c:v>-0.25751345460941777</c:v>
                </c:pt>
                <c:pt idx="343">
                  <c:v>-0.16000966212789167</c:v>
                </c:pt>
                <c:pt idx="344">
                  <c:v>-0.20339493160098304</c:v>
                </c:pt>
                <c:pt idx="345">
                  <c:v>-0.27619236725975083</c:v>
                </c:pt>
                <c:pt idx="346">
                  <c:v>-0.24080684799869051</c:v>
                </c:pt>
                <c:pt idx="347">
                  <c:v>-0.28829623113229047</c:v>
                </c:pt>
                <c:pt idx="348">
                  <c:v>-0.25977503803248397</c:v>
                </c:pt>
                <c:pt idx="349">
                  <c:v>-0.19621972110906066</c:v>
                </c:pt>
                <c:pt idx="350">
                  <c:v>-0.33246117913971046</c:v>
                </c:pt>
                <c:pt idx="351">
                  <c:v>-0.37264395881817924</c:v>
                </c:pt>
                <c:pt idx="352">
                  <c:v>-0.30119859056770898</c:v>
                </c:pt>
                <c:pt idx="353">
                  <c:v>-0.24414772060108728</c:v>
                </c:pt>
                <c:pt idx="354">
                  <c:v>-0.31115523906197307</c:v>
                </c:pt>
                <c:pt idx="355">
                  <c:v>-0.17136351151500603</c:v>
                </c:pt>
                <c:pt idx="356">
                  <c:v>-0.22622744122283217</c:v>
                </c:pt>
                <c:pt idx="357">
                  <c:v>-0.25562012945919571</c:v>
                </c:pt>
                <c:pt idx="358">
                  <c:v>-0.24381036489170807</c:v>
                </c:pt>
                <c:pt idx="359">
                  <c:v>-0.31991821520496661</c:v>
                </c:pt>
                <c:pt idx="360">
                  <c:v>-0.36102357761526077</c:v>
                </c:pt>
                <c:pt idx="361">
                  <c:v>-0.35310249189052578</c:v>
                </c:pt>
                <c:pt idx="362">
                  <c:v>-0.36155944251837063</c:v>
                </c:pt>
                <c:pt idx="363">
                  <c:v>-0.36518290004849102</c:v>
                </c:pt>
                <c:pt idx="364">
                  <c:v>-0.37127171777482854</c:v>
                </c:pt>
                <c:pt idx="365">
                  <c:v>-0.36777465279042737</c:v>
                </c:pt>
                <c:pt idx="366">
                  <c:v>-0.35231714739569053</c:v>
                </c:pt>
                <c:pt idx="367">
                  <c:v>-0.36666235154629301</c:v>
                </c:pt>
                <c:pt idx="368">
                  <c:v>-0.30468978440683347</c:v>
                </c:pt>
                <c:pt idx="369">
                  <c:v>-0.37764782454187013</c:v>
                </c:pt>
                <c:pt idx="370">
                  <c:v>-0.35196148645340863</c:v>
                </c:pt>
                <c:pt idx="371">
                  <c:v>-0.39786500391349838</c:v>
                </c:pt>
                <c:pt idx="372">
                  <c:v>-0.33398773097800916</c:v>
                </c:pt>
                <c:pt idx="373">
                  <c:v>-0.40157393846156064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9-4939-A1EF-B505F0E94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964992"/>
        <c:axId val="385965408"/>
      </c:lineChart>
      <c:dateAx>
        <c:axId val="385964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65408"/>
        <c:crosses val="autoZero"/>
        <c:auto val="1"/>
        <c:lblOffset val="100"/>
        <c:baseTimeUnit val="days"/>
      </c:dateAx>
      <c:valAx>
        <c:axId val="38596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6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7A9F78-6A43-425C-ADFA-E63E0DDF2621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F8DCE9-AA51-4FB5-967D-E3B76609351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1.06</v>
      </c>
      <c r="D2" s="4">
        <f>MIN(D3:D1912)</f>
        <v>0.1134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0.20180000000000001</v>
      </c>
      <c r="C5">
        <v>0.20849999999999999</v>
      </c>
      <c r="D5">
        <v>0.19620000000000001</v>
      </c>
      <c r="E5">
        <v>0.1963</v>
      </c>
      <c r="F5">
        <v>1038601</v>
      </c>
      <c r="G5">
        <v>0.1963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-0.98373983739837578</v>
      </c>
      <c r="Q5">
        <f t="shared" ref="Q5" si="1">F5*P5</f>
        <v>-1021713.1788617905</v>
      </c>
      <c r="R5">
        <f t="shared" ref="R5" si="2">R6+Q5</f>
        <v>-1585388227.6917677</v>
      </c>
      <c r="S5">
        <f t="shared" ref="S5" si="3">R5/100000</f>
        <v>-15853.882276917677</v>
      </c>
      <c r="T5">
        <f t="shared" ref="T5" si="4">S5/1000</f>
        <v>-15.853882276917677</v>
      </c>
    </row>
    <row r="6" spans="1:20" x14ac:dyDescent="0.25">
      <c r="A6" s="5">
        <v>44587</v>
      </c>
      <c r="B6">
        <v>0.17780000000000001</v>
      </c>
      <c r="C6">
        <v>0.222</v>
      </c>
      <c r="D6">
        <v>0.17469999999999999</v>
      </c>
      <c r="E6">
        <v>0.20169999999999999</v>
      </c>
      <c r="F6">
        <v>21935042</v>
      </c>
      <c r="G6">
        <v>0.20169999999999999</v>
      </c>
      <c r="L6" t="s">
        <v>8</v>
      </c>
      <c r="M6" t="s">
        <v>8</v>
      </c>
      <c r="N6" t="s">
        <v>8</v>
      </c>
      <c r="P6">
        <f t="shared" ref="P6" si="5">IF(C6=D6,0,((E6-D6)-(C6-E6))/(C6-D6))</f>
        <v>0.14164904862579245</v>
      </c>
      <c r="Q6">
        <f t="shared" ref="Q6" si="6">F6*P6</f>
        <v>3107077.8308667997</v>
      </c>
      <c r="R6">
        <f t="shared" ref="R6" si="7">R7+Q6</f>
        <v>-1584366514.5129058</v>
      </c>
      <c r="S6">
        <f t="shared" ref="S6" si="8">R6/100000</f>
        <v>-15843.665145129058</v>
      </c>
      <c r="T6">
        <f t="shared" ref="T6" si="9">S6/1000</f>
        <v>-15.843665145129059</v>
      </c>
    </row>
    <row r="7" spans="1:20" x14ac:dyDescent="0.25">
      <c r="A7" s="5">
        <v>44586</v>
      </c>
      <c r="B7">
        <v>0.1719</v>
      </c>
      <c r="C7">
        <v>0.1835</v>
      </c>
      <c r="D7">
        <v>0.16470000000000001</v>
      </c>
      <c r="E7">
        <v>0.17749999999999999</v>
      </c>
      <c r="F7">
        <v>7290575</v>
      </c>
      <c r="G7">
        <v>0.17749999999999999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0.36170212765957332</v>
      </c>
      <c r="Q7">
        <f t="shared" ref="Q7" si="11">F7*P7</f>
        <v>2637016.4893616936</v>
      </c>
      <c r="R7">
        <f t="shared" ref="R7" si="12">R8+Q7</f>
        <v>-1587473592.3437726</v>
      </c>
      <c r="S7">
        <f t="shared" ref="S7" si="13">R7/100000</f>
        <v>-15874.735923437727</v>
      </c>
      <c r="T7">
        <f t="shared" ref="T7" si="14">S7/1000</f>
        <v>-15.874735923437727</v>
      </c>
    </row>
    <row r="8" spans="1:20" x14ac:dyDescent="0.25">
      <c r="A8" s="5">
        <v>44585</v>
      </c>
      <c r="B8">
        <v>0.18959999999999999</v>
      </c>
      <c r="C8">
        <v>0.19009999999999999</v>
      </c>
      <c r="D8">
        <v>0.152</v>
      </c>
      <c r="E8">
        <v>0.1724</v>
      </c>
      <c r="F8">
        <v>10554188</v>
      </c>
      <c r="G8">
        <v>0.1724</v>
      </c>
      <c r="L8" t="s">
        <v>7</v>
      </c>
      <c r="M8" t="s">
        <v>7</v>
      </c>
      <c r="N8" t="s">
        <v>7</v>
      </c>
      <c r="P8">
        <f t="shared" ref="P8" si="15">IF(C8=D8,0,((E8-D8)-(C8-E8))/(C8-D8))</f>
        <v>7.0866141732283686E-2</v>
      </c>
      <c r="Q8">
        <f t="shared" ref="Q8" si="16">F8*P8</f>
        <v>747934.58267716772</v>
      </c>
      <c r="R8">
        <f t="shared" ref="R8" si="17">R9+Q8</f>
        <v>-1590110608.8331344</v>
      </c>
      <c r="S8">
        <f t="shared" ref="S8" si="18">R8/100000</f>
        <v>-15901.106088331344</v>
      </c>
      <c r="T8">
        <f t="shared" ref="T8" si="19">S8/1000</f>
        <v>-15.901106088331344</v>
      </c>
    </row>
    <row r="9" spans="1:20" x14ac:dyDescent="0.25">
      <c r="A9" s="5">
        <v>44584</v>
      </c>
      <c r="B9">
        <v>0.17430000000000001</v>
      </c>
      <c r="C9">
        <v>0.19139999999999999</v>
      </c>
      <c r="D9">
        <v>0.1729</v>
      </c>
      <c r="E9">
        <v>0.19</v>
      </c>
      <c r="F9">
        <v>5551575</v>
      </c>
      <c r="G9">
        <v>0.19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0.84864864864865019</v>
      </c>
      <c r="Q9">
        <f t="shared" ref="Q9" si="21">F9*P9</f>
        <v>4711336.6216216302</v>
      </c>
      <c r="R9">
        <f t="shared" ref="R9" si="22">R10+Q9</f>
        <v>-1590858543.4158115</v>
      </c>
      <c r="S9">
        <f t="shared" ref="S9" si="23">R9/100000</f>
        <v>-15908.585434158116</v>
      </c>
      <c r="T9">
        <f t="shared" ref="T9" si="24">S9/1000</f>
        <v>-15.908585434158116</v>
      </c>
    </row>
    <row r="10" spans="1:20" x14ac:dyDescent="0.25">
      <c r="A10" s="5">
        <v>44583</v>
      </c>
      <c r="B10">
        <v>0.19700000000000001</v>
      </c>
      <c r="C10">
        <v>0.20599999999999999</v>
      </c>
      <c r="D10">
        <v>0.156</v>
      </c>
      <c r="E10">
        <v>0.1744</v>
      </c>
      <c r="F10">
        <v>13249694.109999999</v>
      </c>
      <c r="G10">
        <v>0.1744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-0.26399999999999985</v>
      </c>
      <c r="Q10">
        <f t="shared" ref="Q10" si="26">F10*P10</f>
        <v>-3497919.2450399976</v>
      </c>
      <c r="R10">
        <f t="shared" ref="R10" si="27">R11+Q10</f>
        <v>-1595569880.0374331</v>
      </c>
      <c r="S10">
        <f t="shared" ref="S10" si="28">R10/100000</f>
        <v>-15955.698800374332</v>
      </c>
      <c r="T10">
        <f t="shared" ref="T10" si="29">S10/1000</f>
        <v>-15.955698800374332</v>
      </c>
    </row>
    <row r="11" spans="1:20" x14ac:dyDescent="0.25">
      <c r="A11" s="5">
        <v>44582</v>
      </c>
      <c r="B11">
        <v>0.2437</v>
      </c>
      <c r="C11">
        <v>0.247</v>
      </c>
      <c r="D11">
        <v>0.19189999999999999</v>
      </c>
      <c r="E11">
        <v>0.19689999999999999</v>
      </c>
      <c r="F11">
        <v>11924952</v>
      </c>
      <c r="G11">
        <v>0.19689999999999999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-0.81851179673321217</v>
      </c>
      <c r="Q11">
        <f t="shared" ref="Q11" si="31">F11*P11</f>
        <v>-9760713.8874773122</v>
      </c>
      <c r="R11">
        <f t="shared" ref="R11" si="32">R12+Q11</f>
        <v>-1592071960.7923932</v>
      </c>
      <c r="S11">
        <f t="shared" ref="S11" si="33">R11/100000</f>
        <v>-15920.719607923933</v>
      </c>
      <c r="T11">
        <f t="shared" ref="T11" si="34">S11/1000</f>
        <v>-15.920719607923933</v>
      </c>
    </row>
    <row r="12" spans="1:20" x14ac:dyDescent="0.25">
      <c r="A12" s="5">
        <v>44581</v>
      </c>
      <c r="B12">
        <v>0.2535</v>
      </c>
      <c r="C12">
        <v>0.26569999999999999</v>
      </c>
      <c r="D12">
        <v>0.24329999999999999</v>
      </c>
      <c r="E12">
        <v>0.24399999999999999</v>
      </c>
      <c r="F12">
        <v>2642423</v>
      </c>
      <c r="G12">
        <v>0.24399999999999999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-0.93749999999999944</v>
      </c>
      <c r="Q12">
        <f t="shared" ref="Q12" si="36">F12*P12</f>
        <v>-2477271.5624999986</v>
      </c>
      <c r="R12">
        <f t="shared" ref="R12" si="37">R13+Q12</f>
        <v>-1582311246.9049158</v>
      </c>
      <c r="S12">
        <f t="shared" ref="S12" si="38">R12/100000</f>
        <v>-15823.112469049158</v>
      </c>
      <c r="T12">
        <f t="shared" ref="T12" si="39">S12/1000</f>
        <v>-15.823112469049159</v>
      </c>
    </row>
    <row r="13" spans="1:20" x14ac:dyDescent="0.25">
      <c r="A13" s="5">
        <v>44580</v>
      </c>
      <c r="B13">
        <v>0.27029999999999998</v>
      </c>
      <c r="C13">
        <v>0.27729999999999999</v>
      </c>
      <c r="D13">
        <v>0.25319999999999998</v>
      </c>
      <c r="E13">
        <v>0.254</v>
      </c>
      <c r="F13">
        <v>5199332</v>
      </c>
      <c r="G13">
        <v>0.254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-0.93360995850622219</v>
      </c>
      <c r="Q13">
        <f t="shared" ref="Q13" si="41">F13*P13</f>
        <v>-4854148.1327800732</v>
      </c>
      <c r="R13">
        <f t="shared" ref="R13" si="42">R14+Q13</f>
        <v>-1579833975.3424158</v>
      </c>
      <c r="S13">
        <f t="shared" ref="S13" si="43">R13/100000</f>
        <v>-15798.339753424158</v>
      </c>
      <c r="T13">
        <f t="shared" ref="T13" si="44">S13/1000</f>
        <v>-15.798339753424157</v>
      </c>
    </row>
    <row r="14" spans="1:20" x14ac:dyDescent="0.25">
      <c r="A14" s="5">
        <v>44579</v>
      </c>
      <c r="B14">
        <v>0.29670000000000002</v>
      </c>
      <c r="C14">
        <v>0.32</v>
      </c>
      <c r="D14">
        <v>0.26190000000000002</v>
      </c>
      <c r="E14">
        <v>0.27010000000000001</v>
      </c>
      <c r="F14">
        <v>15618504</v>
      </c>
      <c r="G14">
        <v>0.27010000000000001</v>
      </c>
      <c r="L14" t="s">
        <v>8</v>
      </c>
      <c r="M14" t="s">
        <v>7</v>
      </c>
      <c r="N14" t="s">
        <v>8</v>
      </c>
      <c r="P14">
        <f t="shared" ref="P14" si="45">IF(C14=D14,0,((E14-D14)-(C14-E14))/(C14-D14))</f>
        <v>-0.71772805507745308</v>
      </c>
      <c r="Q14">
        <f t="shared" ref="Q14" si="46">F14*P14</f>
        <v>-11209838.499139421</v>
      </c>
      <c r="R14">
        <f t="shared" ref="R14" si="47">R15+Q14</f>
        <v>-1574979827.2096357</v>
      </c>
      <c r="S14">
        <f t="shared" ref="S14" si="48">R14/100000</f>
        <v>-15749.798272096357</v>
      </c>
      <c r="T14">
        <f t="shared" ref="T14" si="49">S14/1000</f>
        <v>-15.749798272096358</v>
      </c>
    </row>
    <row r="15" spans="1:20" x14ac:dyDescent="0.25">
      <c r="A15" s="5">
        <v>44578</v>
      </c>
      <c r="B15">
        <v>0.26939999999999997</v>
      </c>
      <c r="C15">
        <v>0.31680000000000003</v>
      </c>
      <c r="D15">
        <v>0.26419999999999999</v>
      </c>
      <c r="E15">
        <v>0.29649999999999999</v>
      </c>
      <c r="F15">
        <v>42607065</v>
      </c>
      <c r="G15">
        <v>0.29649999999999999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0.22813688212927655</v>
      </c>
      <c r="Q15">
        <f t="shared" ref="Q15" si="51">F15*P15</f>
        <v>9720242.9657794237</v>
      </c>
      <c r="R15">
        <f t="shared" ref="R15" si="52">R16+Q15</f>
        <v>-1563769988.7104964</v>
      </c>
      <c r="S15">
        <f t="shared" ref="S15" si="53">R15/100000</f>
        <v>-15637.699887104964</v>
      </c>
      <c r="T15">
        <f t="shared" ref="T15" si="54">S15/1000</f>
        <v>-15.637699887104963</v>
      </c>
    </row>
    <row r="16" spans="1:20" x14ac:dyDescent="0.25">
      <c r="A16" s="5">
        <v>44577</v>
      </c>
      <c r="B16">
        <v>0.2676</v>
      </c>
      <c r="C16">
        <v>0.28100000000000003</v>
      </c>
      <c r="D16">
        <v>0.26140000000000002</v>
      </c>
      <c r="E16">
        <v>0.26939999999999997</v>
      </c>
      <c r="F16">
        <v>4829261</v>
      </c>
      <c r="G16">
        <v>0.26939999999999997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-0.1836734693877603</v>
      </c>
      <c r="Q16">
        <f t="shared" ref="Q16" si="56">F16*P16</f>
        <v>-887007.12244900467</v>
      </c>
      <c r="R16">
        <f t="shared" ref="R16" si="57">R17+Q16</f>
        <v>-1573490231.6762757</v>
      </c>
      <c r="S16">
        <f t="shared" ref="S16" si="58">R16/100000</f>
        <v>-15734.902316762757</v>
      </c>
      <c r="T16">
        <f t="shared" ref="T16" si="59">S16/1000</f>
        <v>-15.734902316762756</v>
      </c>
    </row>
    <row r="17" spans="1:20" x14ac:dyDescent="0.25">
      <c r="A17" s="5">
        <v>44576</v>
      </c>
      <c r="B17">
        <v>0.26989999999999997</v>
      </c>
      <c r="C17">
        <v>0.2873</v>
      </c>
      <c r="D17">
        <v>0.2631</v>
      </c>
      <c r="E17">
        <v>0.2676</v>
      </c>
      <c r="F17">
        <v>9480996</v>
      </c>
      <c r="G17">
        <v>0.2676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-0.62809917355371869</v>
      </c>
      <c r="Q17">
        <f t="shared" ref="Q17" si="61">F17*P17</f>
        <v>-5955005.7520661131</v>
      </c>
      <c r="R17">
        <f t="shared" ref="R17" si="62">R18+Q17</f>
        <v>-1572603224.5538268</v>
      </c>
      <c r="S17">
        <f t="shared" ref="S17" si="63">R17/100000</f>
        <v>-15726.032245538268</v>
      </c>
      <c r="T17">
        <f t="shared" ref="T17" si="64">S17/1000</f>
        <v>-15.726032245538269</v>
      </c>
    </row>
    <row r="18" spans="1:20" x14ac:dyDescent="0.25">
      <c r="A18" s="5">
        <v>44575</v>
      </c>
      <c r="B18">
        <v>0.2591</v>
      </c>
      <c r="C18">
        <v>0.28170000000000001</v>
      </c>
      <c r="D18">
        <v>0.255</v>
      </c>
      <c r="E18">
        <v>0.27</v>
      </c>
      <c r="F18">
        <v>7037155</v>
      </c>
      <c r="G18">
        <v>0.27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0.12359550561797847</v>
      </c>
      <c r="Q18">
        <f t="shared" ref="Q18" si="66">F18*P18</f>
        <v>869760.73033708532</v>
      </c>
      <c r="R18">
        <f t="shared" ref="R18" si="67">R19+Q18</f>
        <v>-1566648218.8017607</v>
      </c>
      <c r="S18">
        <f t="shared" ref="S18" si="68">R18/100000</f>
        <v>-15666.482188017606</v>
      </c>
      <c r="T18">
        <f t="shared" ref="T18" si="69">S18/1000</f>
        <v>-15.666482188017605</v>
      </c>
    </row>
    <row r="19" spans="1:20" x14ac:dyDescent="0.25">
      <c r="A19" s="5">
        <v>44574</v>
      </c>
      <c r="B19">
        <v>0.27410000000000001</v>
      </c>
      <c r="C19">
        <v>0.27650000000000002</v>
      </c>
      <c r="D19">
        <v>0.25900000000000001</v>
      </c>
      <c r="E19">
        <v>0.25919999999999999</v>
      </c>
      <c r="F19">
        <v>12306405</v>
      </c>
      <c r="G19">
        <v>0.25919999999999999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-0.97714285714285964</v>
      </c>
      <c r="Q19">
        <f t="shared" ref="Q19" si="71">F19*P19</f>
        <v>-12025115.742857173</v>
      </c>
      <c r="R19">
        <f t="shared" ref="R19" si="72">R20+Q19</f>
        <v>-1567517979.5320978</v>
      </c>
      <c r="S19">
        <f t="shared" ref="S19" si="73">R19/100000</f>
        <v>-15675.179795320979</v>
      </c>
      <c r="T19">
        <f t="shared" ref="T19" si="74">S19/1000</f>
        <v>-15.675179795320979</v>
      </c>
    </row>
    <row r="20" spans="1:20" x14ac:dyDescent="0.25">
      <c r="A20" s="5">
        <v>44573</v>
      </c>
      <c r="B20">
        <v>0.26069999999999999</v>
      </c>
      <c r="C20">
        <v>0.28129999999999999</v>
      </c>
      <c r="D20">
        <v>0.25929999999999997</v>
      </c>
      <c r="E20">
        <v>0.27410000000000001</v>
      </c>
      <c r="F20">
        <v>10794490</v>
      </c>
      <c r="G20">
        <v>0.27410000000000001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0.34545454545454746</v>
      </c>
      <c r="Q20">
        <f t="shared" ref="Q20" si="76">F20*P20</f>
        <v>3729005.6363636581</v>
      </c>
      <c r="R20">
        <f t="shared" ref="R20" si="77">R21+Q20</f>
        <v>-1555492863.7892406</v>
      </c>
      <c r="S20">
        <f t="shared" ref="S20" si="78">R20/100000</f>
        <v>-15554.928637892406</v>
      </c>
      <c r="T20">
        <f t="shared" ref="T20" si="79">S20/1000</f>
        <v>-15.554928637892406</v>
      </c>
    </row>
    <row r="21" spans="1:20" x14ac:dyDescent="0.25">
      <c r="A21" s="5">
        <v>44572</v>
      </c>
      <c r="B21">
        <v>0.24859999999999999</v>
      </c>
      <c r="C21">
        <v>0.26779999999999998</v>
      </c>
      <c r="D21">
        <v>0.2462</v>
      </c>
      <c r="E21">
        <v>0.26069999999999999</v>
      </c>
      <c r="F21">
        <v>8082212</v>
      </c>
      <c r="G21">
        <v>0.26069999999999999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0.34259259259259245</v>
      </c>
      <c r="Q21">
        <f t="shared" ref="Q21" si="81">F21*P21</f>
        <v>2768905.9629629618</v>
      </c>
      <c r="R21">
        <f t="shared" ref="R21" si="82">R22+Q21</f>
        <v>-1559221869.4256043</v>
      </c>
      <c r="S21">
        <f t="shared" ref="S21" si="83">R21/100000</f>
        <v>-15592.218694256044</v>
      </c>
      <c r="T21">
        <f t="shared" ref="T21" si="84">S21/1000</f>
        <v>-15.592218694256044</v>
      </c>
    </row>
    <row r="22" spans="1:20" x14ac:dyDescent="0.25">
      <c r="A22" s="5">
        <v>44571</v>
      </c>
      <c r="B22">
        <v>0.26219999999999999</v>
      </c>
      <c r="C22">
        <v>0.27250000000000002</v>
      </c>
      <c r="D22">
        <v>0.23069999999999999</v>
      </c>
      <c r="E22">
        <v>0.24859999999999999</v>
      </c>
      <c r="F22">
        <v>10233172</v>
      </c>
      <c r="G22">
        <v>0.24859999999999999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-0.14354066985646002</v>
      </c>
      <c r="Q22">
        <f t="shared" ref="Q22" si="86">F22*P22</f>
        <v>-1468876.3636363707</v>
      </c>
      <c r="R22">
        <f t="shared" ref="R22" si="87">R23+Q22</f>
        <v>-1561990775.3885672</v>
      </c>
      <c r="S22">
        <f t="shared" ref="S22" si="88">R22/100000</f>
        <v>-15619.907753885673</v>
      </c>
      <c r="T22">
        <f t="shared" ref="T22" si="89">S22/1000</f>
        <v>-15.619907753885673</v>
      </c>
    </row>
    <row r="23" spans="1:20" x14ac:dyDescent="0.25">
      <c r="A23" s="5">
        <v>44570</v>
      </c>
      <c r="B23">
        <v>0.26029999999999998</v>
      </c>
      <c r="C23">
        <v>0.27160000000000001</v>
      </c>
      <c r="D23">
        <v>0.25490000000000002</v>
      </c>
      <c r="E23">
        <v>0.2626</v>
      </c>
      <c r="F23">
        <v>8887044</v>
      </c>
      <c r="G23">
        <v>0.2626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-7.7844311377246941E-2</v>
      </c>
      <c r="Q23">
        <f t="shared" ref="Q23" si="91">F23*P23</f>
        <v>-691805.82035929419</v>
      </c>
      <c r="R23">
        <f t="shared" ref="R23" si="92">R24+Q23</f>
        <v>-1560521899.024931</v>
      </c>
      <c r="S23">
        <f t="shared" ref="S23" si="93">R23/100000</f>
        <v>-15605.21899024931</v>
      </c>
      <c r="T23">
        <f t="shared" ref="T23" si="94">S23/1000</f>
        <v>-15.605218990249311</v>
      </c>
    </row>
    <row r="24" spans="1:20" x14ac:dyDescent="0.25">
      <c r="A24" s="5">
        <v>44569</v>
      </c>
      <c r="B24">
        <v>0.25769999999999998</v>
      </c>
      <c r="C24">
        <v>0.28439999999999999</v>
      </c>
      <c r="D24">
        <v>0.2442</v>
      </c>
      <c r="E24">
        <v>0.26029999999999998</v>
      </c>
      <c r="F24">
        <v>24418645</v>
      </c>
      <c r="G24">
        <v>0.26029999999999998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-0.19900497512437904</v>
      </c>
      <c r="Q24">
        <f t="shared" ref="Q24" si="96">F24*P24</f>
        <v>-4859431.8407960422</v>
      </c>
      <c r="R24">
        <f t="shared" ref="R24" si="97">R25+Q24</f>
        <v>-1559830093.2045717</v>
      </c>
      <c r="S24">
        <f t="shared" ref="S24" si="98">R24/100000</f>
        <v>-15598.300932045717</v>
      </c>
      <c r="T24">
        <f t="shared" ref="T24" si="99">S24/1000</f>
        <v>-15.598300932045717</v>
      </c>
    </row>
    <row r="25" spans="1:20" x14ac:dyDescent="0.25">
      <c r="A25" s="5">
        <v>44568</v>
      </c>
      <c r="B25">
        <v>0.28239999999999998</v>
      </c>
      <c r="C25">
        <v>0.28289999999999998</v>
      </c>
      <c r="D25">
        <v>0.24560000000000001</v>
      </c>
      <c r="E25">
        <v>0.25750000000000001</v>
      </c>
      <c r="F25">
        <v>20735288</v>
      </c>
      <c r="G25">
        <v>0.25750000000000001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-0.36193029490616607</v>
      </c>
      <c r="Q25">
        <f t="shared" ref="Q25" si="101">F25*P25</f>
        <v>-7504728.9008042868</v>
      </c>
      <c r="R25">
        <f t="shared" ref="R25" si="102">R26+Q25</f>
        <v>-1554970661.3637757</v>
      </c>
      <c r="S25">
        <f t="shared" ref="S25" si="103">R25/100000</f>
        <v>-15549.706613637758</v>
      </c>
      <c r="T25">
        <f t="shared" ref="T25" si="104">S25/1000</f>
        <v>-15.549706613637758</v>
      </c>
    </row>
    <row r="26" spans="1:20" x14ac:dyDescent="0.25">
      <c r="A26" s="5">
        <v>44567</v>
      </c>
      <c r="B26">
        <v>0.28000000000000003</v>
      </c>
      <c r="C26">
        <v>0.29480000000000001</v>
      </c>
      <c r="D26">
        <v>0.2702</v>
      </c>
      <c r="E26">
        <v>0.28260000000000002</v>
      </c>
      <c r="F26">
        <v>17222629</v>
      </c>
      <c r="G26">
        <v>0.28260000000000002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8.1300813008143655E-3</v>
      </c>
      <c r="Q26">
        <f t="shared" ref="Q26" si="106">F26*P26</f>
        <v>140021.37398376322</v>
      </c>
      <c r="R26">
        <f t="shared" ref="R26" si="107">R27+Q26</f>
        <v>-1547465932.4629714</v>
      </c>
      <c r="S26">
        <f t="shared" ref="S26" si="108">R26/100000</f>
        <v>-15474.659324629714</v>
      </c>
      <c r="T26">
        <f t="shared" ref="T26" si="109">S26/1000</f>
        <v>-15.474659324629714</v>
      </c>
    </row>
    <row r="27" spans="1:20" x14ac:dyDescent="0.25">
      <c r="A27" s="5">
        <v>44566</v>
      </c>
      <c r="B27">
        <v>0.31390000000000001</v>
      </c>
      <c r="C27">
        <v>0.3327</v>
      </c>
      <c r="D27">
        <v>0.27500000000000002</v>
      </c>
      <c r="E27">
        <v>0.28000000000000003</v>
      </c>
      <c r="F27">
        <v>15639687</v>
      </c>
      <c r="G27">
        <v>0.28000000000000003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-0.8266897746967069</v>
      </c>
      <c r="Q27">
        <f t="shared" ref="Q27" si="111">F27*P27</f>
        <v>-12929169.322357016</v>
      </c>
      <c r="R27">
        <f t="shared" ref="R27" si="112">R28+Q27</f>
        <v>-1547605953.8369553</v>
      </c>
      <c r="S27">
        <f t="shared" ref="S27" si="113">R27/100000</f>
        <v>-15476.059538369553</v>
      </c>
      <c r="T27">
        <f t="shared" ref="T27" si="114">S27/1000</f>
        <v>-15.476059538369553</v>
      </c>
    </row>
    <row r="28" spans="1:20" x14ac:dyDescent="0.25">
      <c r="A28" s="5">
        <v>44565</v>
      </c>
      <c r="B28">
        <v>0.31380000000000002</v>
      </c>
      <c r="C28">
        <v>0.33200000000000002</v>
      </c>
      <c r="D28">
        <v>0.30520000000000003</v>
      </c>
      <c r="E28">
        <v>0.31369999999999998</v>
      </c>
      <c r="F28">
        <v>10507190</v>
      </c>
      <c r="G28">
        <v>0.31369999999999998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-0.36567164179104811</v>
      </c>
      <c r="Q28">
        <f t="shared" ref="Q28" si="116">F28*P28</f>
        <v>-3842181.4179104827</v>
      </c>
      <c r="R28">
        <f t="shared" ref="R28" si="117">R29+Q28</f>
        <v>-1534676784.5145984</v>
      </c>
      <c r="S28">
        <f t="shared" ref="S28" si="118">R28/100000</f>
        <v>-15346.767845145983</v>
      </c>
      <c r="T28">
        <f t="shared" ref="T28" si="119">S28/1000</f>
        <v>-15.346767845145983</v>
      </c>
    </row>
    <row r="29" spans="1:20" x14ac:dyDescent="0.25">
      <c r="A29" s="5">
        <v>44564</v>
      </c>
      <c r="B29">
        <v>0.32290000000000002</v>
      </c>
      <c r="C29">
        <v>0.33019999999999999</v>
      </c>
      <c r="D29">
        <v>0.30590000000000001</v>
      </c>
      <c r="E29">
        <v>0.31359999999999999</v>
      </c>
      <c r="F29">
        <v>7441879</v>
      </c>
      <c r="G29">
        <v>0.31359999999999999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-0.36625514403292275</v>
      </c>
      <c r="Q29">
        <f t="shared" ref="Q29" si="121">F29*P29</f>
        <v>-2725626.465020583</v>
      </c>
      <c r="R29">
        <f t="shared" ref="R29" si="122">R30+Q29</f>
        <v>-1530834603.0966878</v>
      </c>
      <c r="S29">
        <f t="shared" ref="S29" si="123">R29/100000</f>
        <v>-15308.346030966877</v>
      </c>
      <c r="T29">
        <f t="shared" ref="T29" si="124">S29/1000</f>
        <v>-15.308346030966877</v>
      </c>
    </row>
    <row r="30" spans="1:20" x14ac:dyDescent="0.25">
      <c r="A30" s="5">
        <v>44563</v>
      </c>
      <c r="B30">
        <v>0.32579999999999998</v>
      </c>
      <c r="C30">
        <v>0.33500000000000002</v>
      </c>
      <c r="D30">
        <v>0.32</v>
      </c>
      <c r="E30">
        <v>0.3226</v>
      </c>
      <c r="F30">
        <v>5707365</v>
      </c>
      <c r="G30">
        <v>0.3226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-0.65333333333333476</v>
      </c>
      <c r="Q30">
        <f t="shared" ref="Q30" si="126">F30*P30</f>
        <v>-3728811.8000000082</v>
      </c>
      <c r="R30">
        <f t="shared" ref="R30" si="127">R31+Q30</f>
        <v>-1528108976.6316671</v>
      </c>
      <c r="S30">
        <f t="shared" ref="S30" si="128">R30/100000</f>
        <v>-15281.089766316671</v>
      </c>
      <c r="T30">
        <f t="shared" ref="T30" si="129">S30/1000</f>
        <v>-15.28108976631667</v>
      </c>
    </row>
    <row r="31" spans="1:20" x14ac:dyDescent="0.25">
      <c r="A31" s="5">
        <v>44562</v>
      </c>
      <c r="B31">
        <v>0.31459999999999999</v>
      </c>
      <c r="C31">
        <v>0.3347</v>
      </c>
      <c r="D31">
        <v>0.31419999999999998</v>
      </c>
      <c r="E31">
        <v>0.32569999999999999</v>
      </c>
      <c r="F31">
        <v>6023138</v>
      </c>
      <c r="G31">
        <v>0.32569999999999999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0.12195121951219512</v>
      </c>
      <c r="Q31">
        <f t="shared" ref="Q31" si="131">F31*P31</f>
        <v>734529.02439024393</v>
      </c>
      <c r="R31">
        <f t="shared" ref="R31" si="132">R32+Q31</f>
        <v>-1524380164.8316672</v>
      </c>
      <c r="S31">
        <f t="shared" ref="S31" si="133">R31/100000</f>
        <v>-15243.801648316672</v>
      </c>
      <c r="T31">
        <f t="shared" ref="T31" si="134">S31/1000</f>
        <v>-15.243801648316673</v>
      </c>
    </row>
    <row r="32" spans="1:20" x14ac:dyDescent="0.25">
      <c r="A32" s="5">
        <v>44561</v>
      </c>
      <c r="B32">
        <v>0.32100000000000001</v>
      </c>
      <c r="C32">
        <v>0.32840000000000003</v>
      </c>
      <c r="D32">
        <v>0.30930000000000002</v>
      </c>
      <c r="E32">
        <v>0.31469999999999998</v>
      </c>
      <c r="F32">
        <v>8630858</v>
      </c>
      <c r="G32">
        <v>0.31469999999999998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-0.43455497382199387</v>
      </c>
      <c r="Q32">
        <f t="shared" ref="Q32" si="136">F32*P32</f>
        <v>-3750582.2722513466</v>
      </c>
      <c r="R32">
        <f t="shared" ref="R32" si="137">R33+Q32</f>
        <v>-1525114693.8560574</v>
      </c>
      <c r="S32">
        <f t="shared" ref="S32" si="138">R32/100000</f>
        <v>-15251.146938560574</v>
      </c>
      <c r="T32">
        <f t="shared" ref="T32" si="139">S32/1000</f>
        <v>-15.251146938560574</v>
      </c>
    </row>
    <row r="33" spans="1:20" x14ac:dyDescent="0.25">
      <c r="A33" s="5">
        <v>44560</v>
      </c>
      <c r="B33">
        <v>0.32500000000000001</v>
      </c>
      <c r="C33">
        <v>0.32690000000000002</v>
      </c>
      <c r="D33">
        <v>0.30919999999999997</v>
      </c>
      <c r="E33">
        <v>0.32169999999999999</v>
      </c>
      <c r="F33">
        <v>8497760</v>
      </c>
      <c r="G33">
        <v>0.32169999999999999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0.41242937853107081</v>
      </c>
      <c r="Q33">
        <f t="shared" ref="Q33" si="141">F33*P33</f>
        <v>3504725.8757061921</v>
      </c>
      <c r="R33">
        <f t="shared" ref="R33" si="142">R34+Q33</f>
        <v>-1521364111.583806</v>
      </c>
      <c r="S33">
        <f t="shared" ref="S33" si="143">R33/100000</f>
        <v>-15213.64111583806</v>
      </c>
      <c r="T33">
        <f t="shared" ref="T33" si="144">S33/1000</f>
        <v>-15.21364111583806</v>
      </c>
    </row>
    <row r="34" spans="1:20" x14ac:dyDescent="0.25">
      <c r="A34" s="5">
        <v>44559</v>
      </c>
      <c r="B34">
        <v>0.31740000000000002</v>
      </c>
      <c r="C34">
        <v>0.36899999999999999</v>
      </c>
      <c r="D34">
        <v>0.31640000000000001</v>
      </c>
      <c r="E34">
        <v>0.32450000000000001</v>
      </c>
      <c r="F34">
        <v>27926363</v>
      </c>
      <c r="G34">
        <v>0.32450000000000001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-0.69201520912547532</v>
      </c>
      <c r="Q34">
        <f t="shared" ref="Q34" si="146">F34*P34</f>
        <v>-19325467.931558937</v>
      </c>
      <c r="R34">
        <f t="shared" ref="R34" si="147">R35+Q34</f>
        <v>-1524868837.4595122</v>
      </c>
      <c r="S34">
        <f t="shared" ref="S34" si="148">R34/100000</f>
        <v>-15248.688374595122</v>
      </c>
      <c r="T34">
        <f t="shared" ref="T34" si="149">S34/1000</f>
        <v>-15.248688374595122</v>
      </c>
    </row>
    <row r="35" spans="1:20" x14ac:dyDescent="0.25">
      <c r="A35" s="5">
        <v>44558</v>
      </c>
      <c r="B35">
        <v>0.34670000000000001</v>
      </c>
      <c r="C35">
        <v>0.34670000000000001</v>
      </c>
      <c r="D35">
        <v>0.31509999999999999</v>
      </c>
      <c r="E35">
        <v>0.31759999999999999</v>
      </c>
      <c r="F35">
        <v>10353090</v>
      </c>
      <c r="G35">
        <v>0.31759999999999999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-0.84177215189873411</v>
      </c>
      <c r="Q35">
        <f t="shared" ref="Q35" si="151">F35*P35</f>
        <v>-8714942.8481012657</v>
      </c>
      <c r="R35">
        <f t="shared" ref="R35" si="152">R36+Q35</f>
        <v>-1505543369.5279534</v>
      </c>
      <c r="S35">
        <f t="shared" ref="S35" si="153">R35/100000</f>
        <v>-15055.433695279535</v>
      </c>
      <c r="T35">
        <f t="shared" ref="T35" si="154">S35/1000</f>
        <v>-15.055433695279534</v>
      </c>
    </row>
    <row r="36" spans="1:20" x14ac:dyDescent="0.25">
      <c r="A36" s="5">
        <v>44557</v>
      </c>
      <c r="B36">
        <v>0.35210000000000002</v>
      </c>
      <c r="C36">
        <v>0.38719999999999999</v>
      </c>
      <c r="D36">
        <v>0.3453</v>
      </c>
      <c r="E36">
        <v>0.34660000000000002</v>
      </c>
      <c r="F36">
        <v>19315247</v>
      </c>
      <c r="G36">
        <v>0.34660000000000002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-0.93794749403341171</v>
      </c>
      <c r="Q36">
        <f t="shared" ref="Q36" si="156">F36*P36</f>
        <v>-18116687.520286374</v>
      </c>
      <c r="R36">
        <f t="shared" ref="R36" si="157">R37+Q36</f>
        <v>-1496828426.679852</v>
      </c>
      <c r="S36">
        <f t="shared" ref="S36" si="158">R36/100000</f>
        <v>-14968.284266798521</v>
      </c>
      <c r="T36">
        <f t="shared" ref="T36" si="159">S36/1000</f>
        <v>-14.96828426679852</v>
      </c>
    </row>
    <row r="37" spans="1:20" x14ac:dyDescent="0.25">
      <c r="A37" s="5">
        <v>44556</v>
      </c>
      <c r="B37">
        <v>0.3715</v>
      </c>
      <c r="C37">
        <v>0.37269999999999998</v>
      </c>
      <c r="D37">
        <v>0.3402</v>
      </c>
      <c r="E37">
        <v>0.35210000000000002</v>
      </c>
      <c r="F37">
        <v>27212553</v>
      </c>
      <c r="G37">
        <v>0.35210000000000002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-0.26769230769230573</v>
      </c>
      <c r="Q37">
        <f t="shared" ref="Q37" si="161">F37*P37</f>
        <v>-7284591.1107691778</v>
      </c>
      <c r="R37">
        <f t="shared" ref="R37" si="162">R38+Q37</f>
        <v>-1478711739.1595657</v>
      </c>
      <c r="S37">
        <f t="shared" ref="S37" si="163">R37/100000</f>
        <v>-14787.117391595657</v>
      </c>
      <c r="T37">
        <f t="shared" ref="T37" si="164">S37/1000</f>
        <v>-14.787117391595658</v>
      </c>
    </row>
    <row r="38" spans="1:20" x14ac:dyDescent="0.25">
      <c r="A38" s="5">
        <v>44555</v>
      </c>
      <c r="B38">
        <v>0.3135</v>
      </c>
      <c r="C38">
        <v>0.44</v>
      </c>
      <c r="D38">
        <v>0.31209999999999999</v>
      </c>
      <c r="E38">
        <v>0.37140000000000001</v>
      </c>
      <c r="F38">
        <v>117133784</v>
      </c>
      <c r="G38">
        <v>0.37140000000000001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-7.271305707584029E-2</v>
      </c>
      <c r="Q38">
        <f t="shared" ref="Q38" si="166">F38*P38</f>
        <v>-8517155.5215011481</v>
      </c>
      <c r="R38">
        <f t="shared" ref="R38" si="167">R39+Q38</f>
        <v>-1471427148.0487964</v>
      </c>
      <c r="S38">
        <f t="shared" ref="S38" si="168">R38/100000</f>
        <v>-14714.271480487963</v>
      </c>
      <c r="T38">
        <f t="shared" ref="T38" si="169">S38/1000</f>
        <v>-14.714271480487964</v>
      </c>
    </row>
    <row r="39" spans="1:20" x14ac:dyDescent="0.25">
      <c r="A39" s="5">
        <v>44554</v>
      </c>
      <c r="B39">
        <v>0.33200000000000002</v>
      </c>
      <c r="C39">
        <v>0.33529999999999999</v>
      </c>
      <c r="D39">
        <v>0.31219999999999998</v>
      </c>
      <c r="E39">
        <v>0.31290000000000001</v>
      </c>
      <c r="F39">
        <v>12625716</v>
      </c>
      <c r="G39">
        <v>0.31290000000000001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-0.93939393939393645</v>
      </c>
      <c r="Q39">
        <f t="shared" ref="Q39" si="171">F39*P39</f>
        <v>-11860521.090909055</v>
      </c>
      <c r="R39">
        <f t="shared" ref="R39" si="172">R40+Q39</f>
        <v>-1462909992.5272954</v>
      </c>
      <c r="S39">
        <f t="shared" ref="S39" si="173">R39/100000</f>
        <v>-14629.099925272954</v>
      </c>
      <c r="T39">
        <f t="shared" ref="T39" si="174">S39/1000</f>
        <v>-14.629099925272955</v>
      </c>
    </row>
    <row r="40" spans="1:20" x14ac:dyDescent="0.25">
      <c r="A40" s="5">
        <v>44553</v>
      </c>
      <c r="B40">
        <v>0.3135</v>
      </c>
      <c r="C40">
        <v>0.33989999999999998</v>
      </c>
      <c r="D40">
        <v>0.30209999999999998</v>
      </c>
      <c r="E40">
        <v>0.33179999999999998</v>
      </c>
      <c r="F40">
        <v>12608656</v>
      </c>
      <c r="G40">
        <v>0.33179999999999998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0.57142857142857162</v>
      </c>
      <c r="Q40">
        <f t="shared" ref="Q40" si="176">F40*P40</f>
        <v>7204946.2857142882</v>
      </c>
      <c r="R40">
        <f t="shared" ref="R40" si="177">R41+Q40</f>
        <v>-1451049471.4363863</v>
      </c>
      <c r="S40">
        <f t="shared" ref="S40" si="178">R40/100000</f>
        <v>-14510.494714363864</v>
      </c>
      <c r="T40">
        <f t="shared" ref="T40" si="179">S40/1000</f>
        <v>-14.510494714363864</v>
      </c>
    </row>
    <row r="41" spans="1:20" x14ac:dyDescent="0.25">
      <c r="A41" s="5">
        <v>44552</v>
      </c>
      <c r="B41">
        <v>0.3256</v>
      </c>
      <c r="C41">
        <v>0.33710000000000001</v>
      </c>
      <c r="D41">
        <v>0.31240000000000001</v>
      </c>
      <c r="E41">
        <v>0.31419999999999998</v>
      </c>
      <c r="F41">
        <v>9725893</v>
      </c>
      <c r="G41">
        <v>0.31419999999999998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-0.85425101214575161</v>
      </c>
      <c r="Q41">
        <f t="shared" ref="Q41" si="181">F41*P41</f>
        <v>-8308353.9392712805</v>
      </c>
      <c r="R41">
        <f t="shared" ref="R41" si="182">R42+Q41</f>
        <v>-1458254417.7221007</v>
      </c>
      <c r="S41">
        <f t="shared" ref="S41" si="183">R41/100000</f>
        <v>-14582.544177221007</v>
      </c>
      <c r="T41">
        <f t="shared" ref="T41" si="184">S41/1000</f>
        <v>-14.582544177221006</v>
      </c>
    </row>
    <row r="42" spans="1:20" x14ac:dyDescent="0.25">
      <c r="A42" s="5">
        <v>44551</v>
      </c>
      <c r="B42">
        <v>0.33500000000000002</v>
      </c>
      <c r="C42">
        <v>0.35320000000000001</v>
      </c>
      <c r="D42">
        <v>0.32029999999999997</v>
      </c>
      <c r="E42">
        <v>0.3256</v>
      </c>
      <c r="F42">
        <v>14338329</v>
      </c>
      <c r="G42">
        <v>0.3256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-0.67781155015197447</v>
      </c>
      <c r="Q42">
        <f t="shared" ref="Q42" si="186">F42*P42</f>
        <v>-9718685.0060790107</v>
      </c>
      <c r="R42">
        <f t="shared" ref="R42" si="187">R43+Q42</f>
        <v>-1449946063.7828295</v>
      </c>
      <c r="S42">
        <f t="shared" ref="S42" si="188">R42/100000</f>
        <v>-14499.460637828295</v>
      </c>
      <c r="T42">
        <f t="shared" ref="T42" si="189">S42/1000</f>
        <v>-14.499460637828296</v>
      </c>
    </row>
    <row r="43" spans="1:20" x14ac:dyDescent="0.25">
      <c r="A43" s="5">
        <v>44550</v>
      </c>
      <c r="B43">
        <v>0.3679</v>
      </c>
      <c r="C43">
        <v>0.36909999999999998</v>
      </c>
      <c r="D43">
        <v>0.32329999999999998</v>
      </c>
      <c r="E43">
        <v>0.33450000000000002</v>
      </c>
      <c r="F43">
        <v>25798340</v>
      </c>
      <c r="G43">
        <v>0.33450000000000002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-0.51091703056768378</v>
      </c>
      <c r="Q43">
        <f t="shared" ref="Q43" si="191">F43*P43</f>
        <v>-13180811.266375499</v>
      </c>
      <c r="R43">
        <f t="shared" ref="R43" si="192">R44+Q43</f>
        <v>-1440227378.7767506</v>
      </c>
      <c r="S43">
        <f t="shared" ref="S43" si="193">R43/100000</f>
        <v>-14402.273787767506</v>
      </c>
      <c r="T43">
        <f t="shared" ref="T43" si="194">S43/1000</f>
        <v>-14.402273787767506</v>
      </c>
    </row>
    <row r="44" spans="1:20" x14ac:dyDescent="0.25">
      <c r="A44" s="5">
        <v>44549</v>
      </c>
      <c r="B44">
        <v>0.43890000000000001</v>
      </c>
      <c r="C44">
        <v>0.48399999999999999</v>
      </c>
      <c r="D44">
        <v>0.3624</v>
      </c>
      <c r="E44">
        <v>0.3679</v>
      </c>
      <c r="F44">
        <v>192445083</v>
      </c>
      <c r="G44">
        <v>0.3679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-0.9095394736842104</v>
      </c>
      <c r="Q44">
        <f t="shared" ref="Q44" si="196">F44*P44</f>
        <v>-175036399.50493419</v>
      </c>
      <c r="R44">
        <f t="shared" ref="R44" si="197">R45+Q44</f>
        <v>-1427046567.510375</v>
      </c>
      <c r="S44">
        <f t="shared" ref="S44" si="198">R44/100000</f>
        <v>-14270.465675103751</v>
      </c>
      <c r="T44">
        <f t="shared" ref="T44" si="199">S44/1000</f>
        <v>-14.27046567510375</v>
      </c>
    </row>
    <row r="45" spans="1:20" x14ac:dyDescent="0.25">
      <c r="A45" s="5">
        <v>44548</v>
      </c>
      <c r="B45">
        <v>0.26579999999999998</v>
      </c>
      <c r="C45">
        <v>0.55549999999999999</v>
      </c>
      <c r="D45">
        <v>0.26019999999999999</v>
      </c>
      <c r="E45">
        <v>0.43890000000000001</v>
      </c>
      <c r="F45">
        <v>287509129</v>
      </c>
      <c r="G45">
        <v>0.43890000000000001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0.21029461564510682</v>
      </c>
      <c r="Q45">
        <f t="shared" ref="Q45" si="201">F45*P45</f>
        <v>60461621.777514435</v>
      </c>
      <c r="R45">
        <f t="shared" ref="R45" si="202">R46+Q45</f>
        <v>-1252010168.0054407</v>
      </c>
      <c r="S45">
        <f t="shared" ref="S45" si="203">R45/100000</f>
        <v>-12520.101680054408</v>
      </c>
      <c r="T45">
        <f t="shared" ref="T45" si="204">S45/1000</f>
        <v>-12.520101680054408</v>
      </c>
    </row>
    <row r="46" spans="1:20" x14ac:dyDescent="0.25">
      <c r="A46" s="5">
        <v>44547</v>
      </c>
      <c r="B46">
        <v>0.27060000000000001</v>
      </c>
      <c r="C46">
        <v>0.2888</v>
      </c>
      <c r="D46">
        <v>0.25430000000000003</v>
      </c>
      <c r="E46">
        <v>0.26550000000000001</v>
      </c>
      <c r="F46">
        <v>4290365</v>
      </c>
      <c r="G46">
        <v>0.26550000000000001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-0.35072463768115969</v>
      </c>
      <c r="Q46">
        <f t="shared" ref="Q46" si="206">F46*P46</f>
        <v>-1504736.7101449287</v>
      </c>
      <c r="R46">
        <f t="shared" ref="R46" si="207">R47+Q46</f>
        <v>-1312471789.7829552</v>
      </c>
      <c r="S46">
        <f t="shared" ref="S46" si="208">R46/100000</f>
        <v>-13124.717897829552</v>
      </c>
      <c r="T46">
        <f t="shared" ref="T46" si="209">S46/1000</f>
        <v>-13.124717897829552</v>
      </c>
    </row>
    <row r="47" spans="1:20" x14ac:dyDescent="0.25">
      <c r="A47" s="5">
        <v>44546</v>
      </c>
      <c r="B47">
        <v>0.2722</v>
      </c>
      <c r="C47">
        <v>0.28449999999999998</v>
      </c>
      <c r="D47">
        <v>0.26819999999999999</v>
      </c>
      <c r="E47">
        <v>0.27029999999999998</v>
      </c>
      <c r="F47">
        <v>3071176</v>
      </c>
      <c r="G47">
        <v>0.27029999999999998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-0.7423312883435591</v>
      </c>
      <c r="Q47">
        <f t="shared" ref="Q47" si="211">F47*P47</f>
        <v>-2279830.0368098184</v>
      </c>
      <c r="R47">
        <f t="shared" ref="R47" si="212">R48+Q47</f>
        <v>-1310967053.0728102</v>
      </c>
      <c r="S47">
        <f t="shared" ref="S47" si="213">R47/100000</f>
        <v>-13109.670530728101</v>
      </c>
      <c r="T47">
        <f t="shared" ref="T47" si="214">S47/1000</f>
        <v>-13.109670530728101</v>
      </c>
    </row>
    <row r="48" spans="1:20" x14ac:dyDescent="0.25">
      <c r="A48" s="5">
        <v>44545</v>
      </c>
      <c r="B48">
        <v>0.27089999999999997</v>
      </c>
      <c r="C48">
        <v>0.27989999999999998</v>
      </c>
      <c r="D48">
        <v>0.25480000000000003</v>
      </c>
      <c r="E48">
        <v>0.27139999999999997</v>
      </c>
      <c r="F48">
        <v>8870439</v>
      </c>
      <c r="G48">
        <v>0.27139999999999997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0.32270916334661176</v>
      </c>
      <c r="Q48">
        <f t="shared" ref="Q48" si="216">F48*P48</f>
        <v>2862571.9482071553</v>
      </c>
      <c r="R48">
        <f t="shared" ref="R48" si="217">R49+Q48</f>
        <v>-1308687223.0360003</v>
      </c>
      <c r="S48">
        <f t="shared" ref="S48" si="218">R48/100000</f>
        <v>-13086.872230360003</v>
      </c>
      <c r="T48">
        <f t="shared" ref="T48" si="219">S48/1000</f>
        <v>-13.086872230360003</v>
      </c>
    </row>
    <row r="49" spans="1:20" x14ac:dyDescent="0.25">
      <c r="A49" s="5">
        <v>44544</v>
      </c>
      <c r="B49">
        <v>0.25629999999999997</v>
      </c>
      <c r="C49">
        <v>0.27160000000000001</v>
      </c>
      <c r="D49">
        <v>0.25</v>
      </c>
      <c r="E49">
        <v>0.27089999999999997</v>
      </c>
      <c r="F49">
        <v>7703581</v>
      </c>
      <c r="G49">
        <v>0.27089999999999997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0.93518518518518212</v>
      </c>
      <c r="Q49">
        <f t="shared" ref="Q49" si="221">F49*P49</f>
        <v>7204274.8240740504</v>
      </c>
      <c r="R49">
        <f t="shared" ref="R49" si="222">R50+Q49</f>
        <v>-1311549794.9842074</v>
      </c>
      <c r="S49">
        <f t="shared" ref="S49" si="223">R49/100000</f>
        <v>-13115.497949842074</v>
      </c>
      <c r="T49">
        <f t="shared" ref="T49" si="224">S49/1000</f>
        <v>-13.115497949842075</v>
      </c>
    </row>
    <row r="50" spans="1:20" x14ac:dyDescent="0.25">
      <c r="A50" s="5">
        <v>44543</v>
      </c>
      <c r="B50">
        <v>0.30009999999999998</v>
      </c>
      <c r="C50">
        <v>0.3004</v>
      </c>
      <c r="D50">
        <v>0.25380000000000003</v>
      </c>
      <c r="E50">
        <v>0.25659999999999999</v>
      </c>
      <c r="F50">
        <v>10854274</v>
      </c>
      <c r="G50">
        <v>0.25659999999999999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-0.87982832618025875</v>
      </c>
      <c r="Q50">
        <f t="shared" ref="Q50" si="226">F50*P50</f>
        <v>-9549897.725321902</v>
      </c>
      <c r="R50">
        <f t="shared" ref="R50" si="227">R51+Q50</f>
        <v>-1318754069.8082814</v>
      </c>
      <c r="S50">
        <f t="shared" ref="S50" si="228">R50/100000</f>
        <v>-13187.540698082814</v>
      </c>
      <c r="T50">
        <f t="shared" ref="T50" si="229">S50/1000</f>
        <v>-13.187540698082813</v>
      </c>
    </row>
    <row r="51" spans="1:20" x14ac:dyDescent="0.25">
      <c r="A51" s="5">
        <v>44542</v>
      </c>
      <c r="B51">
        <v>0.28939999999999999</v>
      </c>
      <c r="C51">
        <v>0.30280000000000001</v>
      </c>
      <c r="D51">
        <v>0.27660000000000001</v>
      </c>
      <c r="E51">
        <v>0.29959999999999998</v>
      </c>
      <c r="F51">
        <v>2889433</v>
      </c>
      <c r="G51">
        <v>0.29959999999999998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0.75572519083969192</v>
      </c>
      <c r="Q51">
        <f t="shared" ref="Q51" si="231">F51*P51</f>
        <v>2183617.3053435036</v>
      </c>
      <c r="R51">
        <f t="shared" ref="R51" si="232">R52+Q51</f>
        <v>-1309204172.0829594</v>
      </c>
      <c r="S51">
        <f t="shared" ref="S51" si="233">R51/100000</f>
        <v>-13092.041720829595</v>
      </c>
      <c r="T51">
        <f t="shared" ref="T51" si="234">S51/1000</f>
        <v>-13.092041720829595</v>
      </c>
    </row>
    <row r="52" spans="1:20" x14ac:dyDescent="0.25">
      <c r="A52" s="5">
        <v>44541</v>
      </c>
      <c r="B52">
        <v>0.27579999999999999</v>
      </c>
      <c r="C52">
        <v>0.28010000000000002</v>
      </c>
      <c r="D52">
        <v>0.27060000000000001</v>
      </c>
      <c r="E52">
        <v>0.27939999999999998</v>
      </c>
      <c r="F52">
        <v>186461</v>
      </c>
      <c r="G52">
        <v>0.27939999999999998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0.85263157894736141</v>
      </c>
      <c r="Q52">
        <f t="shared" ref="Q52" si="236">F52*P52</f>
        <v>158982.53684210396</v>
      </c>
      <c r="R52">
        <f t="shared" ref="R52" si="237">R53+Q52</f>
        <v>-1311387789.3883028</v>
      </c>
      <c r="S52">
        <f t="shared" ref="S52" si="238">R52/100000</f>
        <v>-13113.877893883027</v>
      </c>
      <c r="T52">
        <f t="shared" ref="T52" si="239">S52/1000</f>
        <v>-13.113877893883027</v>
      </c>
    </row>
    <row r="53" spans="1:20" x14ac:dyDescent="0.25">
      <c r="A53" s="5">
        <v>44540</v>
      </c>
      <c r="B53">
        <v>0.29320000000000002</v>
      </c>
      <c r="C53">
        <v>0.30359999999999998</v>
      </c>
      <c r="D53">
        <v>0.27279999999999999</v>
      </c>
      <c r="E53">
        <v>0.27579999999999999</v>
      </c>
      <c r="F53">
        <v>9878120</v>
      </c>
      <c r="G53">
        <v>0.27579999999999999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-0.80519480519480502</v>
      </c>
      <c r="Q53">
        <f t="shared" ref="Q53" si="241">F53*P53</f>
        <v>-7953810.9090909073</v>
      </c>
      <c r="R53">
        <f t="shared" ref="R53" si="242">R54+Q53</f>
        <v>-1311546771.9251449</v>
      </c>
      <c r="S53">
        <f t="shared" ref="S53" si="243">R53/100000</f>
        <v>-13115.467719251448</v>
      </c>
      <c r="T53">
        <f t="shared" ref="T53" si="244">S53/1000</f>
        <v>-13.115467719251448</v>
      </c>
    </row>
    <row r="54" spans="1:20" x14ac:dyDescent="0.25">
      <c r="A54" s="5">
        <v>44539</v>
      </c>
      <c r="B54">
        <v>0.32540000000000002</v>
      </c>
      <c r="C54">
        <v>0.33100000000000002</v>
      </c>
      <c r="D54">
        <v>0.29120000000000001</v>
      </c>
      <c r="E54">
        <v>0.29320000000000002</v>
      </c>
      <c r="F54">
        <v>5346778</v>
      </c>
      <c r="G54">
        <v>0.29320000000000002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-0.89949748743718583</v>
      </c>
      <c r="Q54">
        <f t="shared" ref="Q54" si="246">F54*P54</f>
        <v>-4809413.3768844213</v>
      </c>
      <c r="R54">
        <f t="shared" ref="R54" si="247">R55+Q54</f>
        <v>-1303592961.0160539</v>
      </c>
      <c r="S54">
        <f t="shared" ref="S54" si="248">R54/100000</f>
        <v>-13035.92961016054</v>
      </c>
      <c r="T54">
        <f t="shared" ref="T54" si="249">S54/1000</f>
        <v>-13.03592961016054</v>
      </c>
    </row>
    <row r="55" spans="1:20" x14ac:dyDescent="0.25">
      <c r="A55" s="5">
        <v>44538</v>
      </c>
      <c r="B55">
        <v>0.3196</v>
      </c>
      <c r="C55">
        <v>0.33500000000000002</v>
      </c>
      <c r="D55">
        <v>0.30209999999999998</v>
      </c>
      <c r="E55">
        <v>0.32540000000000002</v>
      </c>
      <c r="F55">
        <v>14429603</v>
      </c>
      <c r="G55">
        <v>0.32540000000000002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0.41641337386018323</v>
      </c>
      <c r="Q55">
        <f t="shared" ref="Q55" si="251">F55*P55</f>
        <v>6008679.6686930219</v>
      </c>
      <c r="R55">
        <f t="shared" ref="R55" si="252">R56+Q55</f>
        <v>-1298783547.6391695</v>
      </c>
      <c r="S55">
        <f t="shared" ref="S55" si="253">R55/100000</f>
        <v>-12987.835476391694</v>
      </c>
      <c r="T55">
        <f t="shared" ref="T55" si="254">S55/1000</f>
        <v>-12.987835476391695</v>
      </c>
    </row>
    <row r="56" spans="1:20" x14ac:dyDescent="0.25">
      <c r="A56" s="5">
        <v>44537</v>
      </c>
      <c r="B56">
        <v>0.31209999999999999</v>
      </c>
      <c r="C56">
        <v>0.34539999999999998</v>
      </c>
      <c r="D56">
        <v>0.31</v>
      </c>
      <c r="E56">
        <v>0.31979999999999997</v>
      </c>
      <c r="F56">
        <v>15243602</v>
      </c>
      <c r="G56">
        <v>0.31979999999999997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-0.44632768361582037</v>
      </c>
      <c r="Q56">
        <f t="shared" ref="Q56" si="256">F56*P56</f>
        <v>-6803641.5706214868</v>
      </c>
      <c r="R56">
        <f t="shared" ref="R56" si="257">R57+Q56</f>
        <v>-1304792227.3078625</v>
      </c>
      <c r="S56">
        <f t="shared" ref="S56" si="258">R56/100000</f>
        <v>-13047.922273078626</v>
      </c>
      <c r="T56">
        <f t="shared" ref="T56" si="259">S56/1000</f>
        <v>-13.047922273078626</v>
      </c>
    </row>
    <row r="57" spans="1:20" x14ac:dyDescent="0.25">
      <c r="A57" s="5">
        <v>44536</v>
      </c>
      <c r="B57">
        <v>0.3155</v>
      </c>
      <c r="C57">
        <v>0.31609999999999999</v>
      </c>
      <c r="D57">
        <v>0.27550000000000002</v>
      </c>
      <c r="E57">
        <v>0.31280000000000002</v>
      </c>
      <c r="F57">
        <v>16208729</v>
      </c>
      <c r="G57">
        <v>0.31280000000000002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0.83743842364532162</v>
      </c>
      <c r="Q57">
        <f t="shared" ref="Q57" si="261">F57*P57</f>
        <v>13573812.46305421</v>
      </c>
      <c r="R57">
        <f t="shared" ref="R57" si="262">R58+Q57</f>
        <v>-1297988585.737241</v>
      </c>
      <c r="S57">
        <f t="shared" ref="S57" si="263">R57/100000</f>
        <v>-12979.88585737241</v>
      </c>
      <c r="T57">
        <f t="shared" ref="T57" si="264">S57/1000</f>
        <v>-12.979885857372411</v>
      </c>
    </row>
    <row r="58" spans="1:20" x14ac:dyDescent="0.25">
      <c r="A58" s="5">
        <v>44535</v>
      </c>
      <c r="B58">
        <v>0.3468</v>
      </c>
      <c r="C58">
        <v>0.3493</v>
      </c>
      <c r="D58">
        <v>0.30349999999999999</v>
      </c>
      <c r="E58">
        <v>0.31469999999999998</v>
      </c>
      <c r="F58">
        <v>10830709</v>
      </c>
      <c r="G58">
        <v>0.31469999999999998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-0.51091703056768623</v>
      </c>
      <c r="Q58">
        <f t="shared" ref="Q58" si="266">F58*P58</f>
        <v>-5533593.6812227145</v>
      </c>
      <c r="R58">
        <f t="shared" ref="R58" si="267">R59+Q58</f>
        <v>-1311562398.2002952</v>
      </c>
      <c r="S58">
        <f t="shared" ref="S58" si="268">R58/100000</f>
        <v>-13115.623982002951</v>
      </c>
      <c r="T58">
        <f t="shared" ref="T58" si="269">S58/1000</f>
        <v>-13.115623982002951</v>
      </c>
    </row>
    <row r="59" spans="1:20" x14ac:dyDescent="0.25">
      <c r="A59" s="5">
        <v>44534</v>
      </c>
      <c r="B59">
        <v>0.41920000000000002</v>
      </c>
      <c r="C59">
        <v>0.42</v>
      </c>
      <c r="D59">
        <v>0.2404</v>
      </c>
      <c r="E59">
        <v>0.3468</v>
      </c>
      <c r="F59">
        <v>16363423.220000001</v>
      </c>
      <c r="G59">
        <v>0.3468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0.18485523385300673</v>
      </c>
      <c r="Q59">
        <f t="shared" ref="Q59" si="271">F59*P59</f>
        <v>3024864.4259688207</v>
      </c>
      <c r="R59">
        <f t="shared" ref="R59" si="272">R60+Q59</f>
        <v>-1306028804.5190725</v>
      </c>
      <c r="S59">
        <f t="shared" ref="S59" si="273">R59/100000</f>
        <v>-13060.288045190726</v>
      </c>
      <c r="T59">
        <f t="shared" ref="T59" si="274">S59/1000</f>
        <v>-13.060288045190726</v>
      </c>
    </row>
    <row r="60" spans="1:20" x14ac:dyDescent="0.25">
      <c r="A60" s="5">
        <v>44533</v>
      </c>
      <c r="B60">
        <v>0.44309999999999999</v>
      </c>
      <c r="C60">
        <v>0.47760000000000002</v>
      </c>
      <c r="D60">
        <v>0.4088</v>
      </c>
      <c r="E60">
        <v>0.4199</v>
      </c>
      <c r="F60">
        <v>14176666</v>
      </c>
      <c r="G60">
        <v>0.4199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-0.67732558139534904</v>
      </c>
      <c r="Q60">
        <f t="shared" ref="Q60" si="276">F60*P60</f>
        <v>-9602218.5406976771</v>
      </c>
      <c r="R60">
        <f t="shared" ref="R60" si="277">R61+Q60</f>
        <v>-1309053668.9450414</v>
      </c>
      <c r="S60">
        <f t="shared" ref="S60" si="278">R60/100000</f>
        <v>-13090.536689450415</v>
      </c>
      <c r="T60">
        <f t="shared" ref="T60" si="279">S60/1000</f>
        <v>-13.090536689450415</v>
      </c>
    </row>
    <row r="61" spans="1:20" x14ac:dyDescent="0.25">
      <c r="A61" s="5">
        <v>44532</v>
      </c>
      <c r="B61">
        <v>0.443</v>
      </c>
      <c r="C61">
        <v>0.45240000000000002</v>
      </c>
      <c r="D61">
        <v>0.42020000000000002</v>
      </c>
      <c r="E61">
        <v>0.4425</v>
      </c>
      <c r="F61">
        <v>7881763</v>
      </c>
      <c r="G61">
        <v>0.4425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0.38509316770186225</v>
      </c>
      <c r="Q61">
        <f t="shared" ref="Q61" si="281">F61*P61</f>
        <v>3035213.0807453329</v>
      </c>
      <c r="R61">
        <f t="shared" ref="R61" si="282">R62+Q61</f>
        <v>-1299451450.4043438</v>
      </c>
      <c r="S61">
        <f t="shared" ref="S61" si="283">R61/100000</f>
        <v>-12994.514504043438</v>
      </c>
      <c r="T61">
        <f t="shared" ref="T61" si="284">S61/1000</f>
        <v>-12.994514504043439</v>
      </c>
    </row>
    <row r="62" spans="1:20" x14ac:dyDescent="0.25">
      <c r="A62" s="5">
        <v>44531</v>
      </c>
      <c r="B62">
        <v>0.44419999999999998</v>
      </c>
      <c r="C62">
        <v>0.46429999999999999</v>
      </c>
      <c r="D62">
        <v>0.43409999999999999</v>
      </c>
      <c r="E62">
        <v>0.443</v>
      </c>
      <c r="F62">
        <v>5468378</v>
      </c>
      <c r="G62">
        <v>0.443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-0.41059602649006505</v>
      </c>
      <c r="Q62">
        <f t="shared" ref="Q62" si="286">F62*P62</f>
        <v>-2245294.2781456891</v>
      </c>
      <c r="R62">
        <f t="shared" ref="R62" si="287">R63+Q62</f>
        <v>-1302486663.4850891</v>
      </c>
      <c r="S62">
        <f t="shared" ref="S62" si="288">R62/100000</f>
        <v>-13024.86663485089</v>
      </c>
      <c r="T62">
        <f t="shared" ref="T62" si="289">S62/1000</f>
        <v>-13.024866634850891</v>
      </c>
    </row>
    <row r="63" spans="1:20" x14ac:dyDescent="0.25">
      <c r="A63" s="5">
        <v>44530</v>
      </c>
      <c r="B63">
        <v>0.44</v>
      </c>
      <c r="C63">
        <v>0.47299999999999998</v>
      </c>
      <c r="D63">
        <v>0.42770000000000002</v>
      </c>
      <c r="E63">
        <v>0.44429999999999997</v>
      </c>
      <c r="F63">
        <v>7752937</v>
      </c>
      <c r="G63">
        <v>0.44429999999999997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-0.26710816777042096</v>
      </c>
      <c r="Q63">
        <f t="shared" ref="Q63" si="291">F63*P63</f>
        <v>-2070872.7969095041</v>
      </c>
      <c r="R63">
        <f t="shared" ref="R63" si="292">R64+Q63</f>
        <v>-1300241369.2069433</v>
      </c>
      <c r="S63">
        <f t="shared" ref="S63" si="293">R63/100000</f>
        <v>-13002.413692069433</v>
      </c>
      <c r="T63">
        <f t="shared" ref="T63" si="294">S63/1000</f>
        <v>-13.002413692069434</v>
      </c>
    </row>
    <row r="64" spans="1:20" x14ac:dyDescent="0.25">
      <c r="A64" s="5">
        <v>44529</v>
      </c>
      <c r="B64">
        <v>0.44490000000000002</v>
      </c>
      <c r="C64">
        <v>0.45789999999999997</v>
      </c>
      <c r="D64">
        <v>0.43580000000000002</v>
      </c>
      <c r="E64">
        <v>0.43930000000000002</v>
      </c>
      <c r="F64">
        <v>3719139</v>
      </c>
      <c r="G64">
        <v>0.43930000000000002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-0.68325791855203521</v>
      </c>
      <c r="Q64">
        <f t="shared" ref="Q64" si="296">F64*P64</f>
        <v>-2541131.1719456976</v>
      </c>
      <c r="R64">
        <f t="shared" ref="R64" si="297">R65+Q64</f>
        <v>-1298170496.4100337</v>
      </c>
      <c r="S64">
        <f t="shared" ref="S64" si="298">R64/100000</f>
        <v>-12981.704964100338</v>
      </c>
      <c r="T64">
        <f t="shared" ref="T64" si="299">S64/1000</f>
        <v>-12.981704964100338</v>
      </c>
    </row>
    <row r="65" spans="1:20" x14ac:dyDescent="0.25">
      <c r="A65" s="5">
        <v>44528</v>
      </c>
      <c r="B65">
        <v>0.44419999999999998</v>
      </c>
      <c r="C65">
        <v>0.44519999999999998</v>
      </c>
      <c r="D65">
        <v>0.41120000000000001</v>
      </c>
      <c r="E65">
        <v>0.44469999999999998</v>
      </c>
      <c r="F65">
        <v>4599942</v>
      </c>
      <c r="G65">
        <v>0.44469999999999998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0.97058823529411764</v>
      </c>
      <c r="Q65">
        <f t="shared" ref="Q65" si="301">F65*P65</f>
        <v>4464649.5882352944</v>
      </c>
      <c r="R65">
        <f t="shared" ref="R65" si="302">R66+Q65</f>
        <v>-1295629365.2380879</v>
      </c>
      <c r="S65">
        <f t="shared" ref="S65" si="303">R65/100000</f>
        <v>-12956.293652380878</v>
      </c>
      <c r="T65">
        <f t="shared" ref="T65" si="304">S65/1000</f>
        <v>-12.956293652380879</v>
      </c>
    </row>
    <row r="66" spans="1:20" x14ac:dyDescent="0.25">
      <c r="A66" s="5">
        <v>44527</v>
      </c>
      <c r="B66">
        <v>0.42070000000000002</v>
      </c>
      <c r="C66">
        <v>0.47210000000000002</v>
      </c>
      <c r="D66">
        <v>0.41980000000000001</v>
      </c>
      <c r="E66">
        <v>0.44429999999999997</v>
      </c>
      <c r="F66">
        <v>9916585</v>
      </c>
      <c r="G66">
        <v>0.44429999999999997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-6.309751434034569E-2</v>
      </c>
      <c r="Q66">
        <f t="shared" ref="Q66" si="306">F66*P66</f>
        <v>-625711.86424475699</v>
      </c>
      <c r="R66">
        <f t="shared" ref="R66" si="307">R67+Q66</f>
        <v>-1300094014.8263233</v>
      </c>
      <c r="S66">
        <f t="shared" ref="S66" si="308">R66/100000</f>
        <v>-13000.940148263233</v>
      </c>
      <c r="T66">
        <f t="shared" ref="T66" si="309">S66/1000</f>
        <v>-13.000940148263233</v>
      </c>
    </row>
    <row r="67" spans="1:20" x14ac:dyDescent="0.25">
      <c r="A67" s="5">
        <v>44526</v>
      </c>
      <c r="B67">
        <v>0.47389999999999999</v>
      </c>
      <c r="C67">
        <v>0.48659999999999998</v>
      </c>
      <c r="D67">
        <v>0.40389999999999998</v>
      </c>
      <c r="E67">
        <v>0.42059999999999997</v>
      </c>
      <c r="F67">
        <v>11098500</v>
      </c>
      <c r="G67">
        <v>0.42059999999999997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-0.59613059250302314</v>
      </c>
      <c r="Q67">
        <f t="shared" ref="Q67" si="311">F67*P67</f>
        <v>-6616155.3808948025</v>
      </c>
      <c r="R67">
        <f t="shared" ref="R67" si="312">R68+Q67</f>
        <v>-1299468302.9620786</v>
      </c>
      <c r="S67">
        <f t="shared" ref="S67" si="313">R67/100000</f>
        <v>-12994.683029620786</v>
      </c>
      <c r="T67">
        <f t="shared" ref="T67" si="314">S67/1000</f>
        <v>-12.994683029620786</v>
      </c>
    </row>
    <row r="68" spans="1:20" x14ac:dyDescent="0.25">
      <c r="A68" s="5">
        <v>44525</v>
      </c>
      <c r="B68">
        <v>0.44400000000000001</v>
      </c>
      <c r="C68">
        <v>0.47499999999999998</v>
      </c>
      <c r="D68">
        <v>0.41880000000000001</v>
      </c>
      <c r="E68">
        <v>0.47389999999999999</v>
      </c>
      <c r="F68">
        <v>9106874</v>
      </c>
      <c r="G68">
        <v>0.47389999999999999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0.96085409252669074</v>
      </c>
      <c r="Q68">
        <f t="shared" ref="Q68" si="316">F68*P68</f>
        <v>8750377.1530249137</v>
      </c>
      <c r="R68">
        <f t="shared" ref="R68" si="317">R69+Q68</f>
        <v>-1292852147.5811837</v>
      </c>
      <c r="S68">
        <f t="shared" ref="S68" si="318">R68/100000</f>
        <v>-12928.521475811836</v>
      </c>
      <c r="T68">
        <f t="shared" ref="T68" si="319">S68/1000</f>
        <v>-12.928521475811836</v>
      </c>
    </row>
    <row r="69" spans="1:20" x14ac:dyDescent="0.25">
      <c r="A69" s="5">
        <v>44524</v>
      </c>
      <c r="B69">
        <v>0.46350000000000002</v>
      </c>
      <c r="C69">
        <v>0.4657</v>
      </c>
      <c r="D69">
        <v>0.44230000000000003</v>
      </c>
      <c r="E69">
        <v>0.44700000000000001</v>
      </c>
      <c r="F69">
        <v>1834599</v>
      </c>
      <c r="G69">
        <v>0.44700000000000001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-0.59829059829059938</v>
      </c>
      <c r="Q69">
        <f t="shared" ref="Q69" si="321">F69*P69</f>
        <v>-1097623.3333333354</v>
      </c>
      <c r="R69">
        <f t="shared" ref="R69" si="322">R70+Q69</f>
        <v>-1301602524.7342086</v>
      </c>
      <c r="S69">
        <f t="shared" ref="S69" si="323">R69/100000</f>
        <v>-13016.025247342086</v>
      </c>
      <c r="T69">
        <f t="shared" ref="T69" si="324">S69/1000</f>
        <v>-13.016025247342085</v>
      </c>
    </row>
    <row r="70" spans="1:20" x14ac:dyDescent="0.25">
      <c r="A70" s="5">
        <v>44523</v>
      </c>
      <c r="B70">
        <v>0.45960000000000001</v>
      </c>
      <c r="C70">
        <v>0.48320000000000002</v>
      </c>
      <c r="D70">
        <v>0.45710000000000001</v>
      </c>
      <c r="E70">
        <v>0.4632</v>
      </c>
      <c r="F70">
        <v>6096201</v>
      </c>
      <c r="G70">
        <v>0.4632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-0.53256704980842973</v>
      </c>
      <c r="Q70">
        <f t="shared" ref="Q70" si="326">F70*P70</f>
        <v>-3246635.781609199</v>
      </c>
      <c r="R70">
        <f t="shared" ref="R70" si="327">R71+Q70</f>
        <v>-1300504901.4008753</v>
      </c>
      <c r="S70">
        <f t="shared" ref="S70" si="328">R70/100000</f>
        <v>-13005.049014008753</v>
      </c>
      <c r="T70">
        <f t="shared" ref="T70" si="329">S70/1000</f>
        <v>-13.005049014008753</v>
      </c>
    </row>
    <row r="71" spans="1:20" x14ac:dyDescent="0.25">
      <c r="A71" s="5">
        <v>44522</v>
      </c>
      <c r="B71">
        <v>0.50180000000000002</v>
      </c>
      <c r="C71">
        <v>0.50370000000000004</v>
      </c>
      <c r="D71">
        <v>0.44619999999999999</v>
      </c>
      <c r="E71">
        <v>0.46039999999999998</v>
      </c>
      <c r="F71">
        <v>8499622</v>
      </c>
      <c r="G71">
        <v>0.46039999999999998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-0.50608695652173985</v>
      </c>
      <c r="Q71">
        <f t="shared" ref="Q71" si="331">F71*P71</f>
        <v>-4301547.8295652233</v>
      </c>
      <c r="R71">
        <f t="shared" ref="R71" si="332">R72+Q71</f>
        <v>-1297258265.619266</v>
      </c>
      <c r="S71">
        <f t="shared" ref="S71" si="333">R71/100000</f>
        <v>-12972.582656192661</v>
      </c>
      <c r="T71">
        <f t="shared" ref="T71" si="334">S71/1000</f>
        <v>-12.97258265619266</v>
      </c>
    </row>
    <row r="72" spans="1:20" x14ac:dyDescent="0.25">
      <c r="A72" s="5">
        <v>44521</v>
      </c>
      <c r="B72">
        <v>0.46610000000000001</v>
      </c>
      <c r="C72">
        <v>0.53320000000000001</v>
      </c>
      <c r="D72">
        <v>0.4556</v>
      </c>
      <c r="E72">
        <v>0.50180000000000002</v>
      </c>
      <c r="F72">
        <v>15186285</v>
      </c>
      <c r="G72">
        <v>0.50180000000000002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0.19072164948453654</v>
      </c>
      <c r="Q72">
        <f t="shared" ref="Q72" si="336">F72*P72</f>
        <v>2896353.3247422748</v>
      </c>
      <c r="R72">
        <f t="shared" ref="R72" si="337">R73+Q72</f>
        <v>-1292956717.7897007</v>
      </c>
      <c r="S72">
        <f t="shared" ref="S72" si="338">R72/100000</f>
        <v>-12929.567177897008</v>
      </c>
      <c r="T72">
        <f t="shared" ref="T72" si="339">S72/1000</f>
        <v>-12.929567177897008</v>
      </c>
    </row>
    <row r="73" spans="1:20" x14ac:dyDescent="0.25">
      <c r="A73" s="5">
        <v>44520</v>
      </c>
      <c r="B73">
        <v>0.46920000000000001</v>
      </c>
      <c r="C73">
        <v>0.4723</v>
      </c>
      <c r="D73">
        <v>0.44440000000000002</v>
      </c>
      <c r="E73">
        <v>0.46550000000000002</v>
      </c>
      <c r="F73">
        <v>6076320</v>
      </c>
      <c r="G73">
        <v>0.46550000000000002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0.51254480286738513</v>
      </c>
      <c r="Q73">
        <f t="shared" ref="Q73" si="341">F73*P73</f>
        <v>3114386.2365591498</v>
      </c>
      <c r="R73">
        <f t="shared" ref="R73" si="342">R74+Q73</f>
        <v>-1295853071.1144431</v>
      </c>
      <c r="S73">
        <f t="shared" ref="S73" si="343">R73/100000</f>
        <v>-12958.530711144431</v>
      </c>
      <c r="T73">
        <f t="shared" ref="T73" si="344">S73/1000</f>
        <v>-12.95853071114443</v>
      </c>
    </row>
    <row r="74" spans="1:20" x14ac:dyDescent="0.25">
      <c r="A74" s="5">
        <v>44519</v>
      </c>
      <c r="B74">
        <v>0.42870000000000003</v>
      </c>
      <c r="C74">
        <v>0.47099999999999997</v>
      </c>
      <c r="D74">
        <v>0.4214</v>
      </c>
      <c r="E74">
        <v>0.46920000000000001</v>
      </c>
      <c r="F74">
        <v>7592146</v>
      </c>
      <c r="G74">
        <v>0.46920000000000001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0.92741935483871096</v>
      </c>
      <c r="Q74">
        <f t="shared" ref="Q74" si="346">F74*P74</f>
        <v>7041103.1451613</v>
      </c>
      <c r="R74">
        <f t="shared" ref="R74" si="347">R75+Q74</f>
        <v>-1298967457.3510022</v>
      </c>
      <c r="S74">
        <f t="shared" ref="S74" si="348">R74/100000</f>
        <v>-12989.674573510023</v>
      </c>
      <c r="T74">
        <f t="shared" ref="T74" si="349">S74/1000</f>
        <v>-12.989674573510023</v>
      </c>
    </row>
    <row r="75" spans="1:20" x14ac:dyDescent="0.25">
      <c r="A75" s="5">
        <v>44518</v>
      </c>
      <c r="B75">
        <v>0.46329999999999999</v>
      </c>
      <c r="C75">
        <v>0.48049999999999998</v>
      </c>
      <c r="D75">
        <v>0.41149999999999998</v>
      </c>
      <c r="E75">
        <v>0.42859999999999998</v>
      </c>
      <c r="F75">
        <v>10827799</v>
      </c>
      <c r="G75">
        <v>0.42859999999999998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-0.5043478260869565</v>
      </c>
      <c r="Q75">
        <f t="shared" ref="Q75" si="351">F75*P75</f>
        <v>-5460976.8869565213</v>
      </c>
      <c r="R75">
        <f t="shared" ref="R75" si="352">R76+Q75</f>
        <v>-1306008560.4961636</v>
      </c>
      <c r="S75">
        <f t="shared" ref="S75" si="353">R75/100000</f>
        <v>-13060.085604961636</v>
      </c>
      <c r="T75">
        <f t="shared" ref="T75" si="354">S75/1000</f>
        <v>-13.060085604961635</v>
      </c>
    </row>
    <row r="76" spans="1:20" x14ac:dyDescent="0.25">
      <c r="A76" s="5">
        <v>44517</v>
      </c>
      <c r="B76">
        <v>0.47599999999999998</v>
      </c>
      <c r="C76">
        <v>0.48060000000000003</v>
      </c>
      <c r="D76">
        <v>0.44379999999999997</v>
      </c>
      <c r="E76">
        <v>0.4632</v>
      </c>
      <c r="F76">
        <v>8997880</v>
      </c>
      <c r="G76">
        <v>0.4632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5.4347826086956486E-2</v>
      </c>
      <c r="Q76">
        <f t="shared" ref="Q76" si="356">F76*P76</f>
        <v>489015.21739130403</v>
      </c>
      <c r="R76">
        <f t="shared" ref="R76" si="357">R77+Q76</f>
        <v>-1300547583.6092072</v>
      </c>
      <c r="S76">
        <f t="shared" ref="S76" si="358">R76/100000</f>
        <v>-13005.475836092071</v>
      </c>
      <c r="T76">
        <f t="shared" ref="T76" si="359">S76/1000</f>
        <v>-13.005475836092071</v>
      </c>
    </row>
    <row r="77" spans="1:20" x14ac:dyDescent="0.25">
      <c r="A77" s="5">
        <v>44516</v>
      </c>
      <c r="B77">
        <v>0.52590000000000003</v>
      </c>
      <c r="C77">
        <v>0.52659999999999996</v>
      </c>
      <c r="D77">
        <v>0.46089999999999998</v>
      </c>
      <c r="E77">
        <v>0.47649999999999998</v>
      </c>
      <c r="F77">
        <v>10860894</v>
      </c>
      <c r="G77">
        <v>0.47649999999999998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-0.52511415525114136</v>
      </c>
      <c r="Q77">
        <f t="shared" ref="Q77" si="361">F77*P77</f>
        <v>-5703209.1780821895</v>
      </c>
      <c r="R77">
        <f t="shared" ref="R77" si="362">R78+Q77</f>
        <v>-1301036598.8265984</v>
      </c>
      <c r="S77">
        <f t="shared" ref="S77" si="363">R77/100000</f>
        <v>-13010.365988265985</v>
      </c>
      <c r="T77">
        <f t="shared" ref="T77" si="364">S77/1000</f>
        <v>-13.010365988265985</v>
      </c>
    </row>
    <row r="78" spans="1:20" x14ac:dyDescent="0.25">
      <c r="A78" s="5">
        <v>44515</v>
      </c>
      <c r="B78">
        <v>0.55249999999999999</v>
      </c>
      <c r="C78">
        <v>0.56320000000000003</v>
      </c>
      <c r="D78">
        <v>0.52529999999999999</v>
      </c>
      <c r="E78">
        <v>0.52529999999999999</v>
      </c>
      <c r="F78">
        <v>11187533</v>
      </c>
      <c r="G78">
        <v>0.52529999999999999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-1</v>
      </c>
      <c r="Q78">
        <f t="shared" ref="Q78" si="366">F78*P78</f>
        <v>-11187533</v>
      </c>
      <c r="R78">
        <f t="shared" ref="R78" si="367">R79+Q78</f>
        <v>-1295333389.6485162</v>
      </c>
      <c r="S78">
        <f t="shared" ref="S78" si="368">R78/100000</f>
        <v>-12953.333896485161</v>
      </c>
      <c r="T78">
        <f t="shared" ref="T78" si="369">S78/1000</f>
        <v>-12.953333896485161</v>
      </c>
    </row>
    <row r="79" spans="1:20" x14ac:dyDescent="0.25">
      <c r="A79" s="5">
        <v>44514</v>
      </c>
      <c r="B79">
        <v>0.58169999999999999</v>
      </c>
      <c r="C79">
        <v>0.58950000000000002</v>
      </c>
      <c r="D79">
        <v>0.54579999999999995</v>
      </c>
      <c r="E79">
        <v>0.55230000000000001</v>
      </c>
      <c r="F79">
        <v>10770387</v>
      </c>
      <c r="G79">
        <v>0.55230000000000001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-0.70251716247139362</v>
      </c>
      <c r="Q79">
        <f t="shared" ref="Q79" si="371">F79*P79</f>
        <v>-7566381.7139587859</v>
      </c>
      <c r="R79">
        <f t="shared" ref="R79" si="372">R80+Q79</f>
        <v>-1284145856.6485162</v>
      </c>
      <c r="S79">
        <f t="shared" ref="S79" si="373">R79/100000</f>
        <v>-12841.458566485162</v>
      </c>
      <c r="T79">
        <f t="shared" ref="T79" si="374">S79/1000</f>
        <v>-12.841458566485162</v>
      </c>
    </row>
    <row r="80" spans="1:20" x14ac:dyDescent="0.25">
      <c r="A80" s="5">
        <v>44513</v>
      </c>
      <c r="B80">
        <v>0.60540000000000005</v>
      </c>
      <c r="C80">
        <v>0.63</v>
      </c>
      <c r="D80">
        <v>0.57999999999999996</v>
      </c>
      <c r="E80">
        <v>0.58160000000000001</v>
      </c>
      <c r="F80">
        <v>12641889</v>
      </c>
      <c r="G80">
        <v>0.58160000000000001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-0.93599999999999828</v>
      </c>
      <c r="Q80">
        <f t="shared" ref="Q80" si="376">F80*P80</f>
        <v>-11832808.103999978</v>
      </c>
      <c r="R80">
        <f t="shared" ref="R80" si="377">R81+Q80</f>
        <v>-1276579474.9345574</v>
      </c>
      <c r="S80">
        <f t="shared" ref="S80" si="378">R80/100000</f>
        <v>-12765.794749345574</v>
      </c>
      <c r="T80">
        <f t="shared" ref="T80" si="379">S80/1000</f>
        <v>-12.765794749345574</v>
      </c>
    </row>
    <row r="81" spans="1:20" x14ac:dyDescent="0.25">
      <c r="A81" s="5">
        <v>44512</v>
      </c>
      <c r="B81">
        <v>0.61150000000000004</v>
      </c>
      <c r="C81">
        <v>0.63380000000000003</v>
      </c>
      <c r="D81">
        <v>0.57730000000000004</v>
      </c>
      <c r="E81">
        <v>0.60540000000000005</v>
      </c>
      <c r="F81">
        <v>8836755</v>
      </c>
      <c r="G81">
        <v>0.60540000000000005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-5.3097345132737516E-3</v>
      </c>
      <c r="Q81">
        <f t="shared" ref="Q81" si="381">F81*P81</f>
        <v>-46920.823008844389</v>
      </c>
      <c r="R81">
        <f t="shared" ref="R81" si="382">R82+Q81</f>
        <v>-1264746666.8305573</v>
      </c>
      <c r="S81">
        <f t="shared" ref="S81" si="383">R81/100000</f>
        <v>-12647.466668305573</v>
      </c>
      <c r="T81">
        <f t="shared" ref="T81" si="384">S81/1000</f>
        <v>-12.647466668305572</v>
      </c>
    </row>
    <row r="82" spans="1:20" x14ac:dyDescent="0.25">
      <c r="A82" s="5">
        <v>44511</v>
      </c>
      <c r="B82">
        <v>0.60499999999999998</v>
      </c>
      <c r="C82">
        <v>0.62890000000000001</v>
      </c>
      <c r="D82">
        <v>0.5968</v>
      </c>
      <c r="E82">
        <v>0.61240000000000006</v>
      </c>
      <c r="F82">
        <v>5973201</v>
      </c>
      <c r="G82">
        <v>0.61240000000000006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-2.8037383177566991E-2</v>
      </c>
      <c r="Q82">
        <f t="shared" ref="Q82" si="386">F82*P82</f>
        <v>-167472.92523362633</v>
      </c>
      <c r="R82">
        <f t="shared" ref="R82" si="387">R83+Q82</f>
        <v>-1264699746.0075486</v>
      </c>
      <c r="S82">
        <f t="shared" ref="S82" si="388">R82/100000</f>
        <v>-12646.997460075485</v>
      </c>
      <c r="T82">
        <f t="shared" ref="T82" si="389">S82/1000</f>
        <v>-12.646997460075484</v>
      </c>
    </row>
    <row r="83" spans="1:20" x14ac:dyDescent="0.25">
      <c r="A83" s="5">
        <v>44510</v>
      </c>
      <c r="B83">
        <v>0.63680000000000003</v>
      </c>
      <c r="C83">
        <v>0.7137</v>
      </c>
      <c r="D83">
        <v>0.59130000000000005</v>
      </c>
      <c r="E83">
        <v>0.60499999999999998</v>
      </c>
      <c r="F83">
        <v>21389626</v>
      </c>
      <c r="G83">
        <v>0.60499999999999998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-0.77614379084967422</v>
      </c>
      <c r="Q83">
        <f t="shared" ref="Q83" si="391">F83*P83</f>
        <v>-16601425.408496754</v>
      </c>
      <c r="R83">
        <f t="shared" ref="R83" si="392">R84+Q83</f>
        <v>-1264532273.082315</v>
      </c>
      <c r="S83">
        <f t="shared" ref="S83" si="393">R83/100000</f>
        <v>-12645.322730823149</v>
      </c>
      <c r="T83">
        <f t="shared" ref="T83" si="394">S83/1000</f>
        <v>-12.64532273082315</v>
      </c>
    </row>
    <row r="84" spans="1:20" x14ac:dyDescent="0.25">
      <c r="A84" s="5">
        <v>44509</v>
      </c>
      <c r="B84">
        <v>0.60750000000000004</v>
      </c>
      <c r="C84">
        <v>0.66500000000000004</v>
      </c>
      <c r="D84">
        <v>0.59750000000000003</v>
      </c>
      <c r="E84">
        <v>0.63790000000000002</v>
      </c>
      <c r="F84">
        <v>9493310</v>
      </c>
      <c r="G84">
        <v>0.63790000000000002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0.19703703703703671</v>
      </c>
      <c r="Q84">
        <f t="shared" ref="Q84" si="396">F84*P84</f>
        <v>1870533.674074071</v>
      </c>
      <c r="R84">
        <f t="shared" ref="R84" si="397">R85+Q84</f>
        <v>-1247930847.6738181</v>
      </c>
      <c r="S84">
        <f t="shared" ref="S84" si="398">R84/100000</f>
        <v>-12479.308476738181</v>
      </c>
      <c r="T84">
        <f t="shared" ref="T84" si="399">S84/1000</f>
        <v>-12.479308476738181</v>
      </c>
    </row>
    <row r="85" spans="1:20" x14ac:dyDescent="0.25">
      <c r="A85" s="5">
        <v>44508</v>
      </c>
      <c r="B85">
        <v>0.60950000000000004</v>
      </c>
      <c r="C85">
        <v>0.64400000000000002</v>
      </c>
      <c r="D85">
        <v>0.60209999999999997</v>
      </c>
      <c r="E85">
        <v>0.60809999999999997</v>
      </c>
      <c r="F85">
        <v>7460038</v>
      </c>
      <c r="G85">
        <v>0.60809999999999997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-0.71360381861575184</v>
      </c>
      <c r="Q85">
        <f t="shared" ref="Q85" si="401">F85*P85</f>
        <v>-5323511.6038186159</v>
      </c>
      <c r="R85">
        <f t="shared" ref="R85" si="402">R86+Q85</f>
        <v>-1249801381.3478923</v>
      </c>
      <c r="S85">
        <f t="shared" ref="S85" si="403">R85/100000</f>
        <v>-12498.013813478923</v>
      </c>
      <c r="T85">
        <f t="shared" ref="T85" si="404">S85/1000</f>
        <v>-12.498013813478924</v>
      </c>
    </row>
    <row r="86" spans="1:20" x14ac:dyDescent="0.25">
      <c r="A86" s="5">
        <v>44507</v>
      </c>
      <c r="B86">
        <v>0.60719999999999996</v>
      </c>
      <c r="C86">
        <v>0.625</v>
      </c>
      <c r="D86">
        <v>0.59819999999999995</v>
      </c>
      <c r="E86">
        <v>0.60860000000000003</v>
      </c>
      <c r="F86">
        <v>4525706</v>
      </c>
      <c r="G86">
        <v>0.60860000000000003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-0.22388059701492105</v>
      </c>
      <c r="Q86">
        <f t="shared" ref="Q86" si="406">F86*P86</f>
        <v>-1013217.7611940103</v>
      </c>
      <c r="R86">
        <f t="shared" ref="R86" si="407">R87+Q86</f>
        <v>-1244477869.7440736</v>
      </c>
      <c r="S86">
        <f t="shared" ref="S86" si="408">R86/100000</f>
        <v>-12444.778697440735</v>
      </c>
      <c r="T86">
        <f t="shared" ref="T86" si="409">S86/1000</f>
        <v>-12.444778697440736</v>
      </c>
    </row>
    <row r="87" spans="1:20" x14ac:dyDescent="0.25">
      <c r="A87" s="5">
        <v>44506</v>
      </c>
      <c r="B87">
        <v>0.59360000000000002</v>
      </c>
      <c r="C87">
        <v>0.62470000000000003</v>
      </c>
      <c r="D87">
        <v>0.57569999999999999</v>
      </c>
      <c r="E87">
        <v>0.60719999999999996</v>
      </c>
      <c r="F87">
        <v>4395649</v>
      </c>
      <c r="G87">
        <v>0.60719999999999996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0.28571428571428342</v>
      </c>
      <c r="Q87">
        <f t="shared" ref="Q87" si="411">F87*P87</f>
        <v>1255899.7142857043</v>
      </c>
      <c r="R87">
        <f t="shared" ref="R87" si="412">R88+Q87</f>
        <v>-1243464651.9828796</v>
      </c>
      <c r="S87">
        <f t="shared" ref="S87" si="413">R87/100000</f>
        <v>-12434.646519828797</v>
      </c>
      <c r="T87">
        <f t="shared" ref="T87" si="414">S87/1000</f>
        <v>-12.434646519828798</v>
      </c>
    </row>
    <row r="88" spans="1:20" x14ac:dyDescent="0.25">
      <c r="A88" s="5">
        <v>44505</v>
      </c>
      <c r="B88">
        <v>0.63900000000000001</v>
      </c>
      <c r="C88">
        <v>0.64300000000000002</v>
      </c>
      <c r="D88">
        <v>0.58809999999999996</v>
      </c>
      <c r="E88">
        <v>0.59379999999999999</v>
      </c>
      <c r="F88">
        <v>8546243</v>
      </c>
      <c r="G88">
        <v>0.59379999999999999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-0.79234972677595517</v>
      </c>
      <c r="Q88">
        <f t="shared" ref="Q88" si="416">F88*P88</f>
        <v>-6771613.3060109196</v>
      </c>
      <c r="R88">
        <f t="shared" ref="R88" si="417">R89+Q88</f>
        <v>-1244720551.6971653</v>
      </c>
      <c r="S88">
        <f t="shared" ref="S88" si="418">R88/100000</f>
        <v>-12447.205516971653</v>
      </c>
      <c r="T88">
        <f t="shared" ref="T88" si="419">S88/1000</f>
        <v>-12.447205516971653</v>
      </c>
    </row>
    <row r="89" spans="1:20" x14ac:dyDescent="0.25">
      <c r="A89" s="5">
        <v>44504</v>
      </c>
      <c r="B89">
        <v>0.61080000000000001</v>
      </c>
      <c r="C89">
        <v>0.64</v>
      </c>
      <c r="D89">
        <v>0.59</v>
      </c>
      <c r="E89">
        <v>0.63900000000000001</v>
      </c>
      <c r="F89">
        <v>18440978</v>
      </c>
      <c r="G89">
        <v>0.63900000000000001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0.96</v>
      </c>
      <c r="Q89">
        <f t="shared" ref="Q89" si="421">F89*P89</f>
        <v>17703338.879999999</v>
      </c>
      <c r="R89">
        <f t="shared" ref="R89" si="422">R90+Q89</f>
        <v>-1237948938.3911543</v>
      </c>
      <c r="S89">
        <f t="shared" ref="S89" si="423">R89/100000</f>
        <v>-12379.489383911543</v>
      </c>
      <c r="T89">
        <f t="shared" ref="T89" si="424">S89/1000</f>
        <v>-12.379489383911544</v>
      </c>
    </row>
    <row r="90" spans="1:20" x14ac:dyDescent="0.25">
      <c r="A90" s="5">
        <v>44503</v>
      </c>
      <c r="B90">
        <v>0.64059999999999995</v>
      </c>
      <c r="C90">
        <v>0.64300000000000002</v>
      </c>
      <c r="D90">
        <v>0.60589999999999999</v>
      </c>
      <c r="E90">
        <v>0.61080000000000001</v>
      </c>
      <c r="F90">
        <v>9980232</v>
      </c>
      <c r="G90">
        <v>0.61080000000000001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-0.73584905660377287</v>
      </c>
      <c r="Q90">
        <f t="shared" ref="Q90" si="426">F90*P90</f>
        <v>-7343944.3018867848</v>
      </c>
      <c r="R90">
        <f t="shared" ref="R90" si="427">R91+Q90</f>
        <v>-1255652277.2711544</v>
      </c>
      <c r="S90">
        <f t="shared" ref="S90" si="428">R90/100000</f>
        <v>-12556.522772711543</v>
      </c>
      <c r="T90">
        <f t="shared" ref="T90" si="429">S90/1000</f>
        <v>-12.556522772711544</v>
      </c>
    </row>
    <row r="91" spans="1:20" x14ac:dyDescent="0.25">
      <c r="A91" s="5">
        <v>44502</v>
      </c>
      <c r="B91">
        <v>0.64649999999999996</v>
      </c>
      <c r="C91">
        <v>0.69979999999999998</v>
      </c>
      <c r="D91">
        <v>0.63270000000000004</v>
      </c>
      <c r="E91">
        <v>0.64059999999999995</v>
      </c>
      <c r="F91">
        <v>13934943</v>
      </c>
      <c r="G91">
        <v>0.64059999999999995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-0.76453055141579984</v>
      </c>
      <c r="Q91">
        <f t="shared" ref="Q91" si="431">F91*P91</f>
        <v>-10653689.655737741</v>
      </c>
      <c r="R91">
        <f t="shared" ref="R91" si="432">R92+Q91</f>
        <v>-1248308332.9692676</v>
      </c>
      <c r="S91">
        <f t="shared" ref="S91" si="433">R91/100000</f>
        <v>-12483.083329692676</v>
      </c>
      <c r="T91">
        <f t="shared" ref="T91" si="434">S91/1000</f>
        <v>-12.483083329692676</v>
      </c>
    </row>
    <row r="92" spans="1:20" x14ac:dyDescent="0.25">
      <c r="A92" s="5">
        <v>44501</v>
      </c>
      <c r="B92">
        <v>0.59399999999999997</v>
      </c>
      <c r="C92">
        <v>0.65390000000000004</v>
      </c>
      <c r="D92">
        <v>0.59230000000000005</v>
      </c>
      <c r="E92">
        <v>0.64580000000000004</v>
      </c>
      <c r="F92">
        <v>14117677</v>
      </c>
      <c r="G92">
        <v>0.64580000000000004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0.73701298701298712</v>
      </c>
      <c r="Q92">
        <f t="shared" ref="Q92" si="436">F92*P92</f>
        <v>10404911.295454547</v>
      </c>
      <c r="R92">
        <f t="shared" ref="R92" si="437">R93+Q92</f>
        <v>-1237654643.31353</v>
      </c>
      <c r="S92">
        <f t="shared" ref="S92" si="438">R92/100000</f>
        <v>-12376.5464331353</v>
      </c>
      <c r="T92">
        <f t="shared" ref="T92" si="439">S92/1000</f>
        <v>-12.376546433135299</v>
      </c>
    </row>
    <row r="93" spans="1:20" x14ac:dyDescent="0.25">
      <c r="A93" s="5">
        <v>44500</v>
      </c>
      <c r="B93">
        <v>0.60119999999999996</v>
      </c>
      <c r="C93">
        <v>0.629</v>
      </c>
      <c r="D93">
        <v>0.58240000000000003</v>
      </c>
      <c r="E93">
        <v>0.59440000000000004</v>
      </c>
      <c r="F93">
        <v>8170459</v>
      </c>
      <c r="G93">
        <v>0.59440000000000004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-0.48497854077253144</v>
      </c>
      <c r="Q93">
        <f t="shared" ref="Q93" si="441">F93*P93</f>
        <v>-3962497.2832617965</v>
      </c>
      <c r="R93">
        <f t="shared" ref="R93" si="442">R94+Q93</f>
        <v>-1248059554.6089845</v>
      </c>
      <c r="S93">
        <f t="shared" ref="S93" si="443">R93/100000</f>
        <v>-12480.595546089844</v>
      </c>
      <c r="T93">
        <f t="shared" ref="T93" si="444">S93/1000</f>
        <v>-12.480595546089845</v>
      </c>
    </row>
    <row r="94" spans="1:20" x14ac:dyDescent="0.25">
      <c r="A94" s="5">
        <v>44499</v>
      </c>
      <c r="B94">
        <v>0.60660000000000003</v>
      </c>
      <c r="C94">
        <v>0.63270000000000004</v>
      </c>
      <c r="D94">
        <v>0.56930000000000003</v>
      </c>
      <c r="E94">
        <v>0.60109999999999997</v>
      </c>
      <c r="F94">
        <v>12674554</v>
      </c>
      <c r="G94">
        <v>0.60109999999999997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3.1545741324900145E-3</v>
      </c>
      <c r="Q94">
        <f t="shared" ref="Q94" si="446">F94*P94</f>
        <v>39982.820189247839</v>
      </c>
      <c r="R94">
        <f t="shared" ref="R94" si="447">R95+Q94</f>
        <v>-1244097057.3257227</v>
      </c>
      <c r="S94">
        <f t="shared" ref="S94" si="448">R94/100000</f>
        <v>-12440.970573257227</v>
      </c>
      <c r="T94">
        <f t="shared" ref="T94" si="449">S94/1000</f>
        <v>-12.440970573257227</v>
      </c>
    </row>
    <row r="95" spans="1:20" x14ac:dyDescent="0.25">
      <c r="A95" s="5">
        <v>44498</v>
      </c>
      <c r="B95">
        <v>0.62460000000000004</v>
      </c>
      <c r="C95">
        <v>0.64739999999999998</v>
      </c>
      <c r="D95">
        <v>0.59340000000000004</v>
      </c>
      <c r="E95">
        <v>0.60650000000000004</v>
      </c>
      <c r="F95">
        <v>9817068</v>
      </c>
      <c r="G95">
        <v>0.60650000000000004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-0.51481481481481428</v>
      </c>
      <c r="Q95">
        <f t="shared" ref="Q95" si="451">F95*P95</f>
        <v>-5053972.044444439</v>
      </c>
      <c r="R95">
        <f t="shared" ref="R95" si="452">R96+Q95</f>
        <v>-1244137040.1459119</v>
      </c>
      <c r="S95">
        <f t="shared" ref="S95" si="453">R95/100000</f>
        <v>-12441.370401459119</v>
      </c>
      <c r="T95">
        <f t="shared" ref="T95" si="454">S95/1000</f>
        <v>-12.441370401459119</v>
      </c>
    </row>
    <row r="96" spans="1:20" x14ac:dyDescent="0.25">
      <c r="A96" s="5">
        <v>44497</v>
      </c>
      <c r="B96">
        <v>0.68189999999999995</v>
      </c>
      <c r="C96">
        <v>0.73399999999999999</v>
      </c>
      <c r="D96">
        <v>0.60309999999999997</v>
      </c>
      <c r="E96">
        <v>0.62360000000000004</v>
      </c>
      <c r="F96">
        <v>27997681</v>
      </c>
      <c r="G96">
        <v>0.62360000000000004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-0.68678380443086218</v>
      </c>
      <c r="Q96">
        <f t="shared" ref="Q96" si="456">F96*P96</f>
        <v>-19228353.872421667</v>
      </c>
      <c r="R96">
        <f t="shared" ref="R96" si="457">R97+Q96</f>
        <v>-1239083068.1014676</v>
      </c>
      <c r="S96">
        <f t="shared" ref="S96" si="458">R96/100000</f>
        <v>-12390.830681014677</v>
      </c>
      <c r="T96">
        <f t="shared" ref="T96" si="459">S96/1000</f>
        <v>-12.390830681014677</v>
      </c>
    </row>
    <row r="97" spans="1:20" x14ac:dyDescent="0.25">
      <c r="A97" s="5">
        <v>44496</v>
      </c>
      <c r="B97">
        <v>0.58189999999999997</v>
      </c>
      <c r="C97">
        <v>0.73</v>
      </c>
      <c r="D97">
        <v>0.55000000000000004</v>
      </c>
      <c r="E97">
        <v>0.68100000000000005</v>
      </c>
      <c r="F97">
        <v>75781586</v>
      </c>
      <c r="G97">
        <v>0.68100000000000005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0.4555555555555561</v>
      </c>
      <c r="Q97">
        <f t="shared" ref="Q97" si="461">F97*P97</f>
        <v>34522722.511111155</v>
      </c>
      <c r="R97">
        <f t="shared" ref="R97" si="462">R98+Q97</f>
        <v>-1219854714.2290459</v>
      </c>
      <c r="S97">
        <f t="shared" ref="S97" si="463">R97/100000</f>
        <v>-12198.547142290459</v>
      </c>
      <c r="T97">
        <f t="shared" ref="T97" si="464">S97/1000</f>
        <v>-12.19854714229046</v>
      </c>
    </row>
    <row r="98" spans="1:20" x14ac:dyDescent="0.25">
      <c r="A98" s="5">
        <v>44495</v>
      </c>
      <c r="B98">
        <v>0.57240000000000002</v>
      </c>
      <c r="C98">
        <v>0.60629999999999995</v>
      </c>
      <c r="D98">
        <v>0.54300000000000004</v>
      </c>
      <c r="E98">
        <v>0.58199999999999996</v>
      </c>
      <c r="F98">
        <v>14483862</v>
      </c>
      <c r="G98">
        <v>0.58199999999999996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0.23222748815165806</v>
      </c>
      <c r="Q98">
        <f t="shared" ref="Q98" si="466">F98*P98</f>
        <v>3363550.8909952505</v>
      </c>
      <c r="R98">
        <f t="shared" ref="R98" si="467">R99+Q98</f>
        <v>-1254377436.7401571</v>
      </c>
      <c r="S98">
        <f t="shared" ref="S98" si="468">R98/100000</f>
        <v>-12543.774367401571</v>
      </c>
      <c r="T98">
        <f t="shared" ref="T98" si="469">S98/1000</f>
        <v>-12.543774367401571</v>
      </c>
    </row>
    <row r="99" spans="1:20" x14ac:dyDescent="0.25">
      <c r="A99" s="5">
        <v>44494</v>
      </c>
      <c r="B99">
        <v>0.50160000000000005</v>
      </c>
      <c r="C99">
        <v>0.59399999999999997</v>
      </c>
      <c r="D99">
        <v>0.49980000000000002</v>
      </c>
      <c r="E99">
        <v>0.57250000000000001</v>
      </c>
      <c r="F99">
        <v>22237634</v>
      </c>
      <c r="G99">
        <v>0.57250000000000001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0.54352441613588165</v>
      </c>
      <c r="Q99">
        <f t="shared" ref="Q99" si="471">F99*P99</f>
        <v>12086697.036093431</v>
      </c>
      <c r="R99">
        <f t="shared" ref="R99" si="472">R100+Q99</f>
        <v>-1257740987.6311524</v>
      </c>
      <c r="S99">
        <f t="shared" ref="S99" si="473">R99/100000</f>
        <v>-12577.409876311523</v>
      </c>
      <c r="T99">
        <f t="shared" ref="T99" si="474">S99/1000</f>
        <v>-12.577409876311524</v>
      </c>
    </row>
    <row r="100" spans="1:20" x14ac:dyDescent="0.25">
      <c r="A100" s="5">
        <v>44493</v>
      </c>
      <c r="B100">
        <v>0.52110000000000001</v>
      </c>
      <c r="C100">
        <v>0.52839999999999998</v>
      </c>
      <c r="D100">
        <v>0.48459999999999998</v>
      </c>
      <c r="E100">
        <v>0.50229999999999997</v>
      </c>
      <c r="F100">
        <v>10718497</v>
      </c>
      <c r="G100">
        <v>0.50229999999999997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-0.19178082191780862</v>
      </c>
      <c r="Q100">
        <f t="shared" ref="Q100" si="476">F100*P100</f>
        <v>-2055602.164383566</v>
      </c>
      <c r="R100">
        <f t="shared" ref="R100" si="477">R101+Q100</f>
        <v>-1269827684.6672459</v>
      </c>
      <c r="S100">
        <f t="shared" ref="S100" si="478">R100/100000</f>
        <v>-12698.276846672459</v>
      </c>
      <c r="T100">
        <f t="shared" ref="T100" si="479">S100/1000</f>
        <v>-12.69827684667246</v>
      </c>
    </row>
    <row r="101" spans="1:20" x14ac:dyDescent="0.25">
      <c r="A101" s="5">
        <v>44492</v>
      </c>
      <c r="B101">
        <v>0.55279999999999996</v>
      </c>
      <c r="C101">
        <v>0.55479999999999996</v>
      </c>
      <c r="D101">
        <v>0.51519999999999999</v>
      </c>
      <c r="E101">
        <v>0.52090000000000003</v>
      </c>
      <c r="F101">
        <v>9450174</v>
      </c>
      <c r="G101">
        <v>0.52090000000000003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-0.71212121212120993</v>
      </c>
      <c r="Q101">
        <f t="shared" ref="Q101" si="481">F101*P101</f>
        <v>-6729669.3636363428</v>
      </c>
      <c r="R101">
        <f t="shared" ref="R101" si="482">R102+Q101</f>
        <v>-1267772082.5028622</v>
      </c>
      <c r="S101">
        <f t="shared" ref="S101" si="483">R101/100000</f>
        <v>-12677.720825028622</v>
      </c>
      <c r="T101">
        <f t="shared" ref="T101" si="484">S101/1000</f>
        <v>-12.677720825028622</v>
      </c>
    </row>
    <row r="102" spans="1:20" x14ac:dyDescent="0.25">
      <c r="A102" s="5">
        <v>44491</v>
      </c>
      <c r="B102">
        <v>0.57079999999999997</v>
      </c>
      <c r="C102">
        <v>0.59179999999999999</v>
      </c>
      <c r="D102">
        <v>0.54649999999999999</v>
      </c>
      <c r="E102">
        <v>0.55320000000000003</v>
      </c>
      <c r="F102">
        <v>11004131</v>
      </c>
      <c r="G102">
        <v>0.55320000000000003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-0.70419426048564948</v>
      </c>
      <c r="Q102">
        <f t="shared" ref="Q102" si="486">F102*P102</f>
        <v>-7749045.8918322101</v>
      </c>
      <c r="R102">
        <f t="shared" ref="R102" si="487">R103+Q102</f>
        <v>-1261042413.139226</v>
      </c>
      <c r="S102">
        <f t="shared" ref="S102" si="488">R102/100000</f>
        <v>-12610.424131392259</v>
      </c>
      <c r="T102">
        <f t="shared" ref="T102" si="489">S102/1000</f>
        <v>-12.610424131392259</v>
      </c>
    </row>
    <row r="103" spans="1:20" x14ac:dyDescent="0.25">
      <c r="A103" s="5">
        <v>44490</v>
      </c>
      <c r="B103">
        <v>0.6038</v>
      </c>
      <c r="C103">
        <v>0.64700000000000002</v>
      </c>
      <c r="D103">
        <v>0.57069999999999999</v>
      </c>
      <c r="E103">
        <v>0.57079999999999997</v>
      </c>
      <c r="F103">
        <v>17633392</v>
      </c>
      <c r="G103">
        <v>0.57079999999999997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-0.99737876802097014</v>
      </c>
      <c r="Q103">
        <f t="shared" ref="Q103" si="491">F103*P103</f>
        <v>-17587170.788990829</v>
      </c>
      <c r="R103">
        <f t="shared" ref="R103" si="492">R104+Q103</f>
        <v>-1253293367.2473938</v>
      </c>
      <c r="S103">
        <f t="shared" ref="S103" si="493">R103/100000</f>
        <v>-12532.933672473939</v>
      </c>
      <c r="T103">
        <f t="shared" ref="T103" si="494">S103/1000</f>
        <v>-12.53293367247394</v>
      </c>
    </row>
    <row r="104" spans="1:20" x14ac:dyDescent="0.25">
      <c r="A104" s="5">
        <v>44489</v>
      </c>
      <c r="B104">
        <v>0.61470000000000002</v>
      </c>
      <c r="C104">
        <v>0.62649999999999995</v>
      </c>
      <c r="D104">
        <v>0.57250000000000001</v>
      </c>
      <c r="E104">
        <v>0.60470000000000002</v>
      </c>
      <c r="F104">
        <v>15717193</v>
      </c>
      <c r="G104">
        <v>0.60470000000000002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0.19259259259259423</v>
      </c>
      <c r="Q104">
        <f t="shared" ref="Q104" si="496">F104*P104</f>
        <v>3027014.9481481737</v>
      </c>
      <c r="R104">
        <f t="shared" ref="R104" si="497">R105+Q104</f>
        <v>-1235706196.4584031</v>
      </c>
      <c r="S104">
        <f t="shared" ref="S104" si="498">R104/100000</f>
        <v>-12357.061964584031</v>
      </c>
      <c r="T104">
        <f t="shared" ref="T104" si="499">S104/1000</f>
        <v>-12.35706196458403</v>
      </c>
    </row>
    <row r="105" spans="1:20" x14ac:dyDescent="0.25">
      <c r="A105" s="5">
        <v>44488</v>
      </c>
      <c r="B105">
        <v>0.5615</v>
      </c>
      <c r="C105">
        <v>0.63300000000000001</v>
      </c>
      <c r="D105">
        <v>0.55169999999999997</v>
      </c>
      <c r="E105">
        <v>0.61460000000000004</v>
      </c>
      <c r="F105">
        <v>26068971</v>
      </c>
      <c r="G105">
        <v>0.61460000000000004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0.54735547355473646</v>
      </c>
      <c r="Q105">
        <f t="shared" ref="Q105" si="501">F105*P105</f>
        <v>14268993.966789691</v>
      </c>
      <c r="R105">
        <f t="shared" ref="R105" si="502">R106+Q105</f>
        <v>-1238733211.4065514</v>
      </c>
      <c r="S105">
        <f t="shared" ref="S105" si="503">R105/100000</f>
        <v>-12387.332114065513</v>
      </c>
      <c r="T105">
        <f t="shared" ref="T105" si="504">S105/1000</f>
        <v>-12.387332114065513</v>
      </c>
    </row>
    <row r="106" spans="1:20" x14ac:dyDescent="0.25">
      <c r="A106" s="5">
        <v>44487</v>
      </c>
      <c r="B106">
        <v>0.57689999999999997</v>
      </c>
      <c r="C106">
        <v>0.64900000000000002</v>
      </c>
      <c r="D106">
        <v>0.5454</v>
      </c>
      <c r="E106">
        <v>0.56130000000000002</v>
      </c>
      <c r="F106">
        <v>57080540</v>
      </c>
      <c r="G106">
        <v>0.56130000000000002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-0.69305019305019266</v>
      </c>
      <c r="Q106">
        <f t="shared" ref="Q106" si="506">F106*P106</f>
        <v>-39559679.266409248</v>
      </c>
      <c r="R106">
        <f t="shared" ref="R106" si="507">R107+Q106</f>
        <v>-1253002205.3733411</v>
      </c>
      <c r="S106">
        <f t="shared" ref="S106" si="508">R106/100000</f>
        <v>-12530.022053733412</v>
      </c>
      <c r="T106">
        <f t="shared" ref="T106" si="509">S106/1000</f>
        <v>-12.530022053733411</v>
      </c>
    </row>
    <row r="107" spans="1:20" x14ac:dyDescent="0.25">
      <c r="A107" s="5">
        <v>44486</v>
      </c>
      <c r="B107">
        <v>0.4945</v>
      </c>
      <c r="C107">
        <v>0.67</v>
      </c>
      <c r="D107">
        <v>0.48759999999999998</v>
      </c>
      <c r="E107">
        <v>0.57689999999999997</v>
      </c>
      <c r="F107">
        <v>60001776</v>
      </c>
      <c r="G107">
        <v>0.57689999999999997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-2.0833333333333769E-2</v>
      </c>
      <c r="Q107">
        <f t="shared" ref="Q107" si="511">F107*P107</f>
        <v>-1250037.0000000261</v>
      </c>
      <c r="R107">
        <f t="shared" ref="R107" si="512">R108+Q107</f>
        <v>-1213442526.1069319</v>
      </c>
      <c r="S107">
        <f t="shared" ref="S107" si="513">R107/100000</f>
        <v>-12134.425261069318</v>
      </c>
      <c r="T107">
        <f t="shared" ref="T107" si="514">S107/1000</f>
        <v>-12.134425261069318</v>
      </c>
    </row>
    <row r="108" spans="1:20" x14ac:dyDescent="0.25">
      <c r="A108" s="5">
        <v>44485</v>
      </c>
      <c r="B108">
        <v>0.4914</v>
      </c>
      <c r="C108">
        <v>0.55500000000000005</v>
      </c>
      <c r="D108">
        <v>0.47060000000000002</v>
      </c>
      <c r="E108">
        <v>0.49399999999999999</v>
      </c>
      <c r="F108">
        <v>26260649</v>
      </c>
      <c r="G108">
        <v>0.49399999999999999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-0.44549763033175432</v>
      </c>
      <c r="Q108">
        <f t="shared" ref="Q108" si="516">F108*P108</f>
        <v>-11699056.900473954</v>
      </c>
      <c r="R108">
        <f t="shared" ref="R108" si="517">R109+Q108</f>
        <v>-1212192489.1069319</v>
      </c>
      <c r="S108">
        <f t="shared" ref="S108" si="518">R108/100000</f>
        <v>-12121.924891069319</v>
      </c>
      <c r="T108">
        <f t="shared" ref="T108" si="519">S108/1000</f>
        <v>-12.121924891069318</v>
      </c>
    </row>
    <row r="109" spans="1:20" x14ac:dyDescent="0.25">
      <c r="A109" s="5">
        <v>44484</v>
      </c>
      <c r="B109">
        <v>0.46500000000000002</v>
      </c>
      <c r="C109">
        <v>0.61739999999999995</v>
      </c>
      <c r="D109">
        <v>0.45029999999999998</v>
      </c>
      <c r="E109">
        <v>0.49159999999999998</v>
      </c>
      <c r="F109">
        <v>65722535</v>
      </c>
      <c r="G109">
        <v>0.49159999999999998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-0.50568521843207648</v>
      </c>
      <c r="Q109">
        <f t="shared" ref="Q109" si="521">F109*P109</f>
        <v>-33234914.467384793</v>
      </c>
      <c r="R109">
        <f t="shared" ref="R109" si="522">R110+Q109</f>
        <v>-1200493432.2064579</v>
      </c>
      <c r="S109">
        <f t="shared" ref="S109" si="523">R109/100000</f>
        <v>-12004.934322064579</v>
      </c>
      <c r="T109">
        <f t="shared" ref="T109" si="524">S109/1000</f>
        <v>-12.004934322064578</v>
      </c>
    </row>
    <row r="110" spans="1:20" x14ac:dyDescent="0.25">
      <c r="A110" s="5">
        <v>44483</v>
      </c>
      <c r="B110">
        <v>0.43190000000000001</v>
      </c>
      <c r="C110">
        <v>0.47339999999999999</v>
      </c>
      <c r="D110">
        <v>0.42770000000000002</v>
      </c>
      <c r="E110">
        <v>0.46500000000000002</v>
      </c>
      <c r="F110">
        <v>11372324</v>
      </c>
      <c r="G110">
        <v>0.46500000000000002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0.63238512035011074</v>
      </c>
      <c r="Q110">
        <f t="shared" ref="Q110" si="526">F110*P110</f>
        <v>7191688.4814004526</v>
      </c>
      <c r="R110">
        <f t="shared" ref="R110" si="527">R111+Q110</f>
        <v>-1167258517.739073</v>
      </c>
      <c r="S110">
        <f t="shared" ref="S110" si="528">R110/100000</f>
        <v>-11672.585177390731</v>
      </c>
      <c r="T110">
        <f t="shared" ref="T110" si="529">S110/1000</f>
        <v>-11.672585177390731</v>
      </c>
    </row>
    <row r="111" spans="1:20" x14ac:dyDescent="0.25">
      <c r="A111" s="5">
        <v>44482</v>
      </c>
      <c r="B111">
        <v>0.42759999999999998</v>
      </c>
      <c r="C111">
        <v>0.44230000000000003</v>
      </c>
      <c r="D111">
        <v>0.40839999999999999</v>
      </c>
      <c r="E111">
        <v>0.43149999999999999</v>
      </c>
      <c r="F111">
        <v>7737560</v>
      </c>
      <c r="G111">
        <v>0.43149999999999999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0.36283185840707854</v>
      </c>
      <c r="Q111">
        <f t="shared" ref="Q111" si="531">F111*P111</f>
        <v>2807433.2743362747</v>
      </c>
      <c r="R111">
        <f t="shared" ref="R111" si="532">R112+Q111</f>
        <v>-1174450206.2204735</v>
      </c>
      <c r="S111">
        <f t="shared" ref="S111" si="533">R111/100000</f>
        <v>-11744.502062204736</v>
      </c>
      <c r="T111">
        <f t="shared" ref="T111" si="534">S111/1000</f>
        <v>-11.744502062204736</v>
      </c>
    </row>
    <row r="112" spans="1:20" x14ac:dyDescent="0.25">
      <c r="A112" s="5">
        <v>44481</v>
      </c>
      <c r="B112">
        <v>0.42749999999999999</v>
      </c>
      <c r="C112">
        <v>0.42970000000000003</v>
      </c>
      <c r="D112">
        <v>0.40670000000000001</v>
      </c>
      <c r="E112">
        <v>0.42759999999999998</v>
      </c>
      <c r="F112">
        <v>7712462</v>
      </c>
      <c r="G112">
        <v>0.42759999999999998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0.81739130434782226</v>
      </c>
      <c r="Q112">
        <f t="shared" ref="Q112" si="536">F112*P112</f>
        <v>6304099.3739130143</v>
      </c>
      <c r="R112">
        <f t="shared" ref="R112" si="537">R113+Q112</f>
        <v>-1177257639.4948099</v>
      </c>
      <c r="S112">
        <f t="shared" ref="S112" si="538">R112/100000</f>
        <v>-11772.576394948099</v>
      </c>
      <c r="T112">
        <f t="shared" ref="T112" si="539">S112/1000</f>
        <v>-11.772576394948098</v>
      </c>
    </row>
    <row r="113" spans="1:20" x14ac:dyDescent="0.25">
      <c r="A113" s="5">
        <v>44480</v>
      </c>
      <c r="B113">
        <v>0.43740000000000001</v>
      </c>
      <c r="C113">
        <v>0.4592</v>
      </c>
      <c r="D113">
        <v>0.4234</v>
      </c>
      <c r="E113">
        <v>0.42770000000000002</v>
      </c>
      <c r="F113">
        <v>7124303</v>
      </c>
      <c r="G113">
        <v>0.42770000000000002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-0.75977653631284769</v>
      </c>
      <c r="Q113">
        <f t="shared" ref="Q113" si="541">F113*P113</f>
        <v>-5412878.2569832299</v>
      </c>
      <c r="R113">
        <f t="shared" ref="R113" si="542">R114+Q113</f>
        <v>-1183561738.8687229</v>
      </c>
      <c r="S113">
        <f t="shared" ref="S113" si="543">R113/100000</f>
        <v>-11835.617388687229</v>
      </c>
      <c r="T113">
        <f t="shared" ref="T113" si="544">S113/1000</f>
        <v>-11.835617388687229</v>
      </c>
    </row>
    <row r="114" spans="1:20" x14ac:dyDescent="0.25">
      <c r="A114" s="5">
        <v>44479</v>
      </c>
      <c r="B114">
        <v>0.46839999999999998</v>
      </c>
      <c r="C114">
        <v>0.4708</v>
      </c>
      <c r="D114">
        <v>0.43130000000000002</v>
      </c>
      <c r="E114">
        <v>0.43759999999999999</v>
      </c>
      <c r="F114">
        <v>10124836</v>
      </c>
      <c r="G114">
        <v>0.43759999999999999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-0.68101265822784929</v>
      </c>
      <c r="Q114">
        <f t="shared" ref="Q114" si="546">F114*P114</f>
        <v>-6895141.4784810245</v>
      </c>
      <c r="R114">
        <f t="shared" ref="R114" si="547">R115+Q114</f>
        <v>-1178148860.6117396</v>
      </c>
      <c r="S114">
        <f t="shared" ref="S114" si="548">R114/100000</f>
        <v>-11781.488606117397</v>
      </c>
      <c r="T114">
        <f t="shared" ref="T114" si="549">S114/1000</f>
        <v>-11.781488606117396</v>
      </c>
    </row>
    <row r="115" spans="1:20" x14ac:dyDescent="0.25">
      <c r="A115" s="5">
        <v>44478</v>
      </c>
      <c r="B115">
        <v>0.46050000000000002</v>
      </c>
      <c r="C115">
        <v>0.47899999999999998</v>
      </c>
      <c r="D115">
        <v>0.45579999999999998</v>
      </c>
      <c r="E115">
        <v>0.46779999999999999</v>
      </c>
      <c r="F115">
        <v>12786916</v>
      </c>
      <c r="G115">
        <v>0.46779999999999999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3.4482758620690647E-2</v>
      </c>
      <c r="Q115">
        <f t="shared" ref="Q115" si="551">F115*P115</f>
        <v>440928.13793104718</v>
      </c>
      <c r="R115">
        <f t="shared" ref="R115" si="552">R116+Q115</f>
        <v>-1171253719.1332586</v>
      </c>
      <c r="S115">
        <f t="shared" ref="S115" si="553">R115/100000</f>
        <v>-11712.537191332585</v>
      </c>
      <c r="T115">
        <f t="shared" ref="T115" si="554">S115/1000</f>
        <v>-11.712537191332585</v>
      </c>
    </row>
    <row r="116" spans="1:20" x14ac:dyDescent="0.25">
      <c r="A116" s="5">
        <v>44477</v>
      </c>
      <c r="B116">
        <v>0.47039999999999998</v>
      </c>
      <c r="C116">
        <v>0.48249999999999998</v>
      </c>
      <c r="D116">
        <v>0.45679999999999998</v>
      </c>
      <c r="E116">
        <v>0.46050000000000002</v>
      </c>
      <c r="F116">
        <v>9891694</v>
      </c>
      <c r="G116">
        <v>0.46050000000000002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-0.71206225680933566</v>
      </c>
      <c r="Q116">
        <f t="shared" ref="Q116" si="556">F116*P116</f>
        <v>-7043501.9533073651</v>
      </c>
      <c r="R116">
        <f t="shared" ref="R116" si="557">R117+Q116</f>
        <v>-1171694647.2711897</v>
      </c>
      <c r="S116">
        <f t="shared" ref="S116" si="558">R116/100000</f>
        <v>-11716.946472711898</v>
      </c>
      <c r="T116">
        <f t="shared" ref="T116" si="559">S116/1000</f>
        <v>-11.716946472711898</v>
      </c>
    </row>
    <row r="117" spans="1:20" x14ac:dyDescent="0.25">
      <c r="A117" s="5">
        <v>44476</v>
      </c>
      <c r="B117">
        <v>0.48480000000000001</v>
      </c>
      <c r="C117">
        <v>0.50919999999999999</v>
      </c>
      <c r="D117">
        <v>0.4677</v>
      </c>
      <c r="E117">
        <v>0.47039999999999998</v>
      </c>
      <c r="F117">
        <v>15995606</v>
      </c>
      <c r="G117">
        <v>0.47039999999999998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-0.86987951807229003</v>
      </c>
      <c r="Q117">
        <f t="shared" ref="Q117" si="561">F117*P117</f>
        <v>-13914250.038554231</v>
      </c>
      <c r="R117">
        <f t="shared" ref="R117" si="562">R118+Q117</f>
        <v>-1164651145.3178823</v>
      </c>
      <c r="S117">
        <f t="shared" ref="S117" si="563">R117/100000</f>
        <v>-11646.511453178822</v>
      </c>
      <c r="T117">
        <f t="shared" ref="T117" si="564">S117/1000</f>
        <v>-11.646511453178823</v>
      </c>
    </row>
    <row r="118" spans="1:20" x14ac:dyDescent="0.25">
      <c r="A118" s="5">
        <v>44475</v>
      </c>
      <c r="B118">
        <v>0.49109999999999998</v>
      </c>
      <c r="C118">
        <v>0.55930000000000002</v>
      </c>
      <c r="D118">
        <v>0.46539999999999998</v>
      </c>
      <c r="E118">
        <v>0.48470000000000002</v>
      </c>
      <c r="F118">
        <v>27253370</v>
      </c>
      <c r="G118">
        <v>0.48470000000000002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-0.58892438764643174</v>
      </c>
      <c r="Q118">
        <f t="shared" ref="Q118" si="566">F118*P118</f>
        <v>-16050174.238551633</v>
      </c>
      <c r="R118">
        <f t="shared" ref="R118" si="567">R119+Q118</f>
        <v>-1150736895.2793281</v>
      </c>
      <c r="S118">
        <f t="shared" ref="S118" si="568">R118/100000</f>
        <v>-11507.36895279328</v>
      </c>
      <c r="T118">
        <f t="shared" ref="T118" si="569">S118/1000</f>
        <v>-11.50736895279328</v>
      </c>
    </row>
    <row r="119" spans="1:20" x14ac:dyDescent="0.25">
      <c r="A119" s="5">
        <v>44474</v>
      </c>
      <c r="B119">
        <v>0.4602</v>
      </c>
      <c r="C119">
        <v>0.5181</v>
      </c>
      <c r="D119">
        <v>0.4531</v>
      </c>
      <c r="E119">
        <v>0.49099999999999999</v>
      </c>
      <c r="F119">
        <v>15390439</v>
      </c>
      <c r="G119">
        <v>0.49099999999999999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0.16615384615384579</v>
      </c>
      <c r="Q119">
        <f t="shared" ref="Q119" si="571">F119*P119</f>
        <v>2557180.6338461484</v>
      </c>
      <c r="R119">
        <f t="shared" ref="R119" si="572">R120+Q119</f>
        <v>-1134686721.0407765</v>
      </c>
      <c r="S119">
        <f t="shared" ref="S119" si="573">R119/100000</f>
        <v>-11346.867210407765</v>
      </c>
      <c r="T119">
        <f t="shared" ref="T119" si="574">S119/1000</f>
        <v>-11.346867210407765</v>
      </c>
    </row>
    <row r="120" spans="1:20" x14ac:dyDescent="0.25">
      <c r="A120" s="5">
        <v>44473</v>
      </c>
      <c r="B120">
        <v>0.4945</v>
      </c>
      <c r="C120">
        <v>0.4945</v>
      </c>
      <c r="D120">
        <v>0.45119999999999999</v>
      </c>
      <c r="E120">
        <v>0.46260000000000001</v>
      </c>
      <c r="F120">
        <v>7419758</v>
      </c>
      <c r="G120">
        <v>0.46260000000000001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-0.47344110854503374</v>
      </c>
      <c r="Q120">
        <f t="shared" ref="Q120" si="576">F120*P120</f>
        <v>-3512818.4526558826</v>
      </c>
      <c r="R120">
        <f t="shared" ref="R120" si="577">R121+Q120</f>
        <v>-1137243901.6746225</v>
      </c>
      <c r="S120">
        <f t="shared" ref="S120" si="578">R120/100000</f>
        <v>-11372.439016746226</v>
      </c>
      <c r="T120">
        <f t="shared" ref="T120" si="579">S120/1000</f>
        <v>-11.372439016746226</v>
      </c>
    </row>
    <row r="121" spans="1:20" x14ac:dyDescent="0.25">
      <c r="A121" s="5">
        <v>44472</v>
      </c>
      <c r="B121">
        <v>0.48620000000000002</v>
      </c>
      <c r="C121">
        <v>0.50449999999999995</v>
      </c>
      <c r="D121">
        <v>0.4698</v>
      </c>
      <c r="E121">
        <v>0.4874</v>
      </c>
      <c r="F121">
        <v>11224158</v>
      </c>
      <c r="G121">
        <v>0.4874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1.4409221902018923E-2</v>
      </c>
      <c r="Q121">
        <f t="shared" ref="Q121" si="581">F121*P121</f>
        <v>161731.38328532092</v>
      </c>
      <c r="R121">
        <f t="shared" ref="R121" si="582">R122+Q121</f>
        <v>-1133731083.2219667</v>
      </c>
      <c r="S121">
        <f t="shared" ref="S121" si="583">R121/100000</f>
        <v>-11337.310832219668</v>
      </c>
      <c r="T121">
        <f t="shared" ref="T121" si="584">S121/1000</f>
        <v>-11.337310832219668</v>
      </c>
    </row>
    <row r="122" spans="1:20" x14ac:dyDescent="0.25">
      <c r="A122" s="5">
        <v>44471</v>
      </c>
      <c r="B122">
        <v>0.48320000000000002</v>
      </c>
      <c r="C122">
        <v>0.5171</v>
      </c>
      <c r="D122">
        <v>0.46410000000000001</v>
      </c>
      <c r="E122">
        <v>0.48570000000000002</v>
      </c>
      <c r="F122">
        <v>15885020</v>
      </c>
      <c r="G122">
        <v>0.48570000000000002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-0.18490566037735806</v>
      </c>
      <c r="Q122">
        <f t="shared" ref="Q122" si="586">F122*P122</f>
        <v>-2937230.1132075405</v>
      </c>
      <c r="R122">
        <f t="shared" ref="R122" si="587">R123+Q122</f>
        <v>-1133892814.605252</v>
      </c>
      <c r="S122">
        <f t="shared" ref="S122" si="588">R122/100000</f>
        <v>-11338.92814605252</v>
      </c>
      <c r="T122">
        <f t="shared" ref="T122" si="589">S122/1000</f>
        <v>-11.33892814605252</v>
      </c>
    </row>
    <row r="123" spans="1:20" x14ac:dyDescent="0.25">
      <c r="A123" s="5">
        <v>44470</v>
      </c>
      <c r="B123">
        <v>0.44119999999999998</v>
      </c>
      <c r="C123">
        <v>0.48380000000000001</v>
      </c>
      <c r="D123">
        <v>0.42449999999999999</v>
      </c>
      <c r="E123">
        <v>0.48299999999999998</v>
      </c>
      <c r="F123">
        <v>11862953</v>
      </c>
      <c r="G123">
        <v>0.48299999999999998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0.97301854974704816</v>
      </c>
      <c r="Q123">
        <f t="shared" ref="Q123" si="591">F123*P123</f>
        <v>11542873.323777394</v>
      </c>
      <c r="R123">
        <f t="shared" ref="R123" si="592">R124+Q123</f>
        <v>-1130955584.4920444</v>
      </c>
      <c r="S123">
        <f t="shared" ref="S123" si="593">R123/100000</f>
        <v>-11309.555844920444</v>
      </c>
      <c r="T123">
        <f t="shared" ref="T123" si="594">S123/1000</f>
        <v>-11.309555844920444</v>
      </c>
    </row>
    <row r="124" spans="1:20" x14ac:dyDescent="0.25">
      <c r="A124" s="5">
        <v>44469</v>
      </c>
      <c r="B124">
        <v>0.41449999999999998</v>
      </c>
      <c r="C124">
        <v>0.4415</v>
      </c>
      <c r="D124">
        <v>0.40810000000000002</v>
      </c>
      <c r="E124">
        <v>0.43980000000000002</v>
      </c>
      <c r="F124">
        <v>6584852</v>
      </c>
      <c r="G124">
        <v>0.43980000000000002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0.89820359281437245</v>
      </c>
      <c r="Q124">
        <f t="shared" ref="Q124" si="596">F124*P124</f>
        <v>5914537.7245509056</v>
      </c>
      <c r="R124">
        <f t="shared" ref="R124" si="597">R125+Q124</f>
        <v>-1142498457.8158219</v>
      </c>
      <c r="S124">
        <f t="shared" ref="S124" si="598">R124/100000</f>
        <v>-11424.984578158219</v>
      </c>
      <c r="T124">
        <f t="shared" ref="T124" si="599">S124/1000</f>
        <v>-11.424984578158218</v>
      </c>
    </row>
    <row r="125" spans="1:20" x14ac:dyDescent="0.25">
      <c r="A125" s="5">
        <v>44468</v>
      </c>
      <c r="B125">
        <v>0.4042</v>
      </c>
      <c r="C125">
        <v>0.43819999999999998</v>
      </c>
      <c r="D125">
        <v>0.4</v>
      </c>
      <c r="E125">
        <v>0.41410000000000002</v>
      </c>
      <c r="F125">
        <v>7055660</v>
      </c>
      <c r="G125">
        <v>0.41410000000000002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-0.26178010471204094</v>
      </c>
      <c r="Q125">
        <f t="shared" ref="Q125" si="601">F125*P125</f>
        <v>-1847031.4136125587</v>
      </c>
      <c r="R125">
        <f t="shared" ref="R125" si="602">R126+Q125</f>
        <v>-1148412995.5403728</v>
      </c>
      <c r="S125">
        <f t="shared" ref="S125" si="603">R125/100000</f>
        <v>-11484.129955403729</v>
      </c>
      <c r="T125">
        <f t="shared" ref="T125" si="604">S125/1000</f>
        <v>-11.484129955403729</v>
      </c>
    </row>
    <row r="126" spans="1:20" x14ac:dyDescent="0.25">
      <c r="A126" s="5">
        <v>44467</v>
      </c>
      <c r="B126">
        <v>0.42030000000000001</v>
      </c>
      <c r="C126">
        <v>0.4491</v>
      </c>
      <c r="D126">
        <v>0.40200000000000002</v>
      </c>
      <c r="E126">
        <v>0.40410000000000001</v>
      </c>
      <c r="F126">
        <v>10666857</v>
      </c>
      <c r="G126">
        <v>0.40410000000000001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-0.91082802547770736</v>
      </c>
      <c r="Q126">
        <f t="shared" ref="Q126" si="606">F126*P126</f>
        <v>-9715672.2993630618</v>
      </c>
      <c r="R126">
        <f t="shared" ref="R126" si="607">R127+Q126</f>
        <v>-1146565964.1267602</v>
      </c>
      <c r="S126">
        <f t="shared" ref="S126" si="608">R126/100000</f>
        <v>-11465.659641267603</v>
      </c>
      <c r="T126">
        <f t="shared" ref="T126" si="609">S126/1000</f>
        <v>-11.465659641267603</v>
      </c>
    </row>
    <row r="127" spans="1:20" x14ac:dyDescent="0.25">
      <c r="A127" s="5">
        <v>44466</v>
      </c>
      <c r="B127">
        <v>0.43509999999999999</v>
      </c>
      <c r="C127">
        <v>0.46079999999999999</v>
      </c>
      <c r="D127">
        <v>0.41949999999999998</v>
      </c>
      <c r="E127">
        <v>0.42030000000000001</v>
      </c>
      <c r="F127">
        <v>8400269</v>
      </c>
      <c r="G127">
        <v>0.42030000000000001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-0.96125907990314663</v>
      </c>
      <c r="Q127">
        <f t="shared" ref="Q127" si="611">F127*P127</f>
        <v>-8074834.8498789258</v>
      </c>
      <c r="R127">
        <f t="shared" ref="R127" si="612">R128+Q127</f>
        <v>-1136850291.8273971</v>
      </c>
      <c r="S127">
        <f t="shared" ref="S127" si="613">R127/100000</f>
        <v>-11368.502918273971</v>
      </c>
      <c r="T127">
        <f t="shared" ref="T127" si="614">S127/1000</f>
        <v>-11.36850291827397</v>
      </c>
    </row>
    <row r="128" spans="1:20" x14ac:dyDescent="0.25">
      <c r="A128" s="5">
        <v>44465</v>
      </c>
      <c r="B128">
        <v>0.44900000000000001</v>
      </c>
      <c r="C128">
        <v>0.46639999999999998</v>
      </c>
      <c r="D128">
        <v>0.4</v>
      </c>
      <c r="E128">
        <v>0.43569999999999998</v>
      </c>
      <c r="F128">
        <v>22032015</v>
      </c>
      <c r="G128">
        <v>0.43569999999999998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7.5301204819276379E-2</v>
      </c>
      <c r="Q128">
        <f t="shared" ref="Q128" si="616">F128*P128</f>
        <v>1659037.2740963695</v>
      </c>
      <c r="R128">
        <f t="shared" ref="R128" si="617">R129+Q128</f>
        <v>-1128775456.9775181</v>
      </c>
      <c r="S128">
        <f t="shared" ref="S128" si="618">R128/100000</f>
        <v>-11287.754569775181</v>
      </c>
      <c r="T128">
        <f t="shared" ref="T128" si="619">S128/1000</f>
        <v>-11.287754569775181</v>
      </c>
    </row>
    <row r="129" spans="1:20" x14ac:dyDescent="0.25">
      <c r="A129" s="5">
        <v>44464</v>
      </c>
      <c r="B129">
        <v>0.45610000000000001</v>
      </c>
      <c r="C129">
        <v>0.47660000000000002</v>
      </c>
      <c r="D129">
        <v>0.4385</v>
      </c>
      <c r="E129">
        <v>0.44879999999999998</v>
      </c>
      <c r="F129">
        <v>9145862</v>
      </c>
      <c r="G129">
        <v>0.44879999999999998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-0.45931758530183886</v>
      </c>
      <c r="Q129">
        <f t="shared" ref="Q129" si="621">F129*P129</f>
        <v>-4200855.2493438469</v>
      </c>
      <c r="R129">
        <f t="shared" ref="R129" si="622">R130+Q129</f>
        <v>-1130434494.2516143</v>
      </c>
      <c r="S129">
        <f t="shared" ref="S129" si="623">R129/100000</f>
        <v>-11304.344942516143</v>
      </c>
      <c r="T129">
        <f t="shared" ref="T129" si="624">S129/1000</f>
        <v>-11.304344942516144</v>
      </c>
    </row>
    <row r="130" spans="1:20" x14ac:dyDescent="0.25">
      <c r="A130" s="5">
        <v>44463</v>
      </c>
      <c r="B130">
        <v>0.5071</v>
      </c>
      <c r="C130">
        <v>0.50900000000000001</v>
      </c>
      <c r="D130">
        <v>0.42480000000000001</v>
      </c>
      <c r="E130">
        <v>0.45600000000000002</v>
      </c>
      <c r="F130">
        <v>18373689</v>
      </c>
      <c r="G130">
        <v>0.45600000000000002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-0.25890736342042742</v>
      </c>
      <c r="Q130">
        <f t="shared" ref="Q130" si="626">F130*P130</f>
        <v>-4757083.3752969094</v>
      </c>
      <c r="R130">
        <f t="shared" ref="R130" si="627">R131+Q130</f>
        <v>-1126233639.0022705</v>
      </c>
      <c r="S130">
        <f t="shared" ref="S130" si="628">R130/100000</f>
        <v>-11262.336390022705</v>
      </c>
      <c r="T130">
        <f t="shared" ref="T130" si="629">S130/1000</f>
        <v>-11.262336390022705</v>
      </c>
    </row>
    <row r="131" spans="1:20" x14ac:dyDescent="0.25">
      <c r="A131" s="5">
        <v>44462</v>
      </c>
      <c r="B131">
        <v>0.48909999999999998</v>
      </c>
      <c r="C131">
        <v>0.53480000000000005</v>
      </c>
      <c r="D131">
        <v>0.47610000000000002</v>
      </c>
      <c r="E131">
        <v>0.5071</v>
      </c>
      <c r="F131">
        <v>20243530</v>
      </c>
      <c r="G131">
        <v>0.5071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5.6218057921633945E-2</v>
      </c>
      <c r="Q131">
        <f t="shared" ref="Q131" si="631">F131*P131</f>
        <v>1138051.9420783345</v>
      </c>
      <c r="R131">
        <f t="shared" ref="R131" si="632">R132+Q131</f>
        <v>-1121476555.6269736</v>
      </c>
      <c r="S131">
        <f t="shared" ref="S131" si="633">R131/100000</f>
        <v>-11214.765556269736</v>
      </c>
      <c r="T131">
        <f t="shared" ref="T131" si="634">S131/1000</f>
        <v>-11.214765556269736</v>
      </c>
    </row>
    <row r="132" spans="1:20" x14ac:dyDescent="0.25">
      <c r="A132" s="5">
        <v>44461</v>
      </c>
      <c r="B132">
        <v>0.4506</v>
      </c>
      <c r="C132">
        <v>0.52439999999999998</v>
      </c>
      <c r="D132">
        <v>0.44819999999999999</v>
      </c>
      <c r="E132">
        <v>0.48909999999999998</v>
      </c>
      <c r="F132">
        <v>20987486</v>
      </c>
      <c r="G132">
        <v>0.48909999999999998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7.3490813648293893E-2</v>
      </c>
      <c r="Q132">
        <f t="shared" ref="Q132" si="636">F132*P132</f>
        <v>1542387.4225721769</v>
      </c>
      <c r="R132">
        <f t="shared" ref="R132" si="637">R133+Q132</f>
        <v>-1122614607.569052</v>
      </c>
      <c r="S132">
        <f t="shared" ref="S132" si="638">R132/100000</f>
        <v>-11226.14607569052</v>
      </c>
      <c r="T132">
        <f t="shared" ref="T132" si="639">S132/1000</f>
        <v>-11.22614607569052</v>
      </c>
    </row>
    <row r="133" spans="1:20" x14ac:dyDescent="0.25">
      <c r="A133" s="5">
        <v>44460</v>
      </c>
      <c r="B133">
        <v>0.44819999999999999</v>
      </c>
      <c r="C133">
        <v>0.53320000000000001</v>
      </c>
      <c r="D133">
        <v>0.42</v>
      </c>
      <c r="E133">
        <v>0.4496</v>
      </c>
      <c r="F133">
        <v>23610641</v>
      </c>
      <c r="G133">
        <v>0.4496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-0.47703180212014118</v>
      </c>
      <c r="Q133">
        <f t="shared" ref="Q133" si="641">F133*P133</f>
        <v>-11263026.625441693</v>
      </c>
      <c r="R133">
        <f t="shared" ref="R133" si="642">R134+Q133</f>
        <v>-1124156994.9916241</v>
      </c>
      <c r="S133">
        <f t="shared" ref="S133" si="643">R133/100000</f>
        <v>-11241.569949916242</v>
      </c>
      <c r="T133">
        <f t="shared" ref="T133" si="644">S133/1000</f>
        <v>-11.241569949916242</v>
      </c>
    </row>
    <row r="134" spans="1:20" x14ac:dyDescent="0.25">
      <c r="A134" s="5">
        <v>44459</v>
      </c>
      <c r="B134">
        <v>0.54459999999999997</v>
      </c>
      <c r="C134">
        <v>0.54490000000000005</v>
      </c>
      <c r="D134">
        <v>0.47270000000000001</v>
      </c>
      <c r="E134">
        <v>0.48039999999999999</v>
      </c>
      <c r="F134">
        <v>9249064</v>
      </c>
      <c r="G134">
        <v>0.48039999999999999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-0.78670360110803383</v>
      </c>
      <c r="Q134">
        <f t="shared" ref="Q134" si="646">F134*P134</f>
        <v>-7276271.9556786763</v>
      </c>
      <c r="R134">
        <f t="shared" ref="R134" si="647">R135+Q134</f>
        <v>-1112893968.3661823</v>
      </c>
      <c r="S134">
        <f t="shared" ref="S134" si="648">R134/100000</f>
        <v>-11128.939683661823</v>
      </c>
      <c r="T134">
        <f t="shared" ref="T134" si="649">S134/1000</f>
        <v>-11.128939683661823</v>
      </c>
    </row>
    <row r="135" spans="1:20" x14ac:dyDescent="0.25">
      <c r="A135" s="5">
        <v>44458</v>
      </c>
      <c r="B135">
        <v>0.55869999999999997</v>
      </c>
      <c r="C135">
        <v>0.56869999999999998</v>
      </c>
      <c r="D135">
        <v>0.5323</v>
      </c>
      <c r="E135">
        <v>0.54459999999999997</v>
      </c>
      <c r="F135">
        <v>8449662</v>
      </c>
      <c r="G135">
        <v>0.54459999999999997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-0.32417582417582519</v>
      </c>
      <c r="Q135">
        <f t="shared" ref="Q135" si="651">F135*P135</f>
        <v>-2739176.1428571516</v>
      </c>
      <c r="R135">
        <f t="shared" ref="R135" si="652">R136+Q135</f>
        <v>-1105617696.4105036</v>
      </c>
      <c r="S135">
        <f t="shared" ref="S135" si="653">R135/100000</f>
        <v>-11056.176964105036</v>
      </c>
      <c r="T135">
        <f t="shared" ref="T135" si="654">S135/1000</f>
        <v>-11.056176964105036</v>
      </c>
    </row>
    <row r="136" spans="1:20" x14ac:dyDescent="0.25">
      <c r="A136" s="5">
        <v>44457</v>
      </c>
      <c r="B136">
        <v>0.56130000000000002</v>
      </c>
      <c r="C136">
        <v>0.61480000000000001</v>
      </c>
      <c r="D136">
        <v>0.54749999999999999</v>
      </c>
      <c r="E136">
        <v>0.55910000000000004</v>
      </c>
      <c r="F136">
        <v>13595423</v>
      </c>
      <c r="G136">
        <v>0.55910000000000004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-0.65527488855869098</v>
      </c>
      <c r="Q136">
        <f t="shared" ref="Q136" si="656">F136*P136</f>
        <v>-8908739.2912332639</v>
      </c>
      <c r="R136">
        <f t="shared" ref="R136" si="657">R137+Q136</f>
        <v>-1102878520.2676466</v>
      </c>
      <c r="S136">
        <f t="shared" ref="S136" si="658">R136/100000</f>
        <v>-11028.785202676465</v>
      </c>
      <c r="T136">
        <f t="shared" ref="T136" si="659">S136/1000</f>
        <v>-11.028785202676465</v>
      </c>
    </row>
    <row r="137" spans="1:20" x14ac:dyDescent="0.25">
      <c r="A137" s="5">
        <v>44456</v>
      </c>
      <c r="B137">
        <v>0.64370000000000005</v>
      </c>
      <c r="C137">
        <v>0.64900000000000002</v>
      </c>
      <c r="D137">
        <v>0.55169999999999997</v>
      </c>
      <c r="E137">
        <v>0.56120000000000003</v>
      </c>
      <c r="F137">
        <v>17971455</v>
      </c>
      <c r="G137">
        <v>0.56120000000000003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-0.80472764645426398</v>
      </c>
      <c r="Q137">
        <f t="shared" ref="Q137" si="661">F137*P137</f>
        <v>-14462126.685508715</v>
      </c>
      <c r="R137">
        <f t="shared" ref="R137" si="662">R138+Q137</f>
        <v>-1093969780.9764132</v>
      </c>
      <c r="S137">
        <f t="shared" ref="S137" si="663">R137/100000</f>
        <v>-10939.697809764133</v>
      </c>
      <c r="T137">
        <f t="shared" ref="T137" si="664">S137/1000</f>
        <v>-10.939697809764134</v>
      </c>
    </row>
    <row r="138" spans="1:20" x14ac:dyDescent="0.25">
      <c r="A138" s="5">
        <v>44455</v>
      </c>
      <c r="B138">
        <v>0.5847</v>
      </c>
      <c r="C138">
        <v>0.66639999999999999</v>
      </c>
      <c r="D138">
        <v>0.58040000000000003</v>
      </c>
      <c r="E138">
        <v>0.64370000000000005</v>
      </c>
      <c r="F138">
        <v>37369558</v>
      </c>
      <c r="G138">
        <v>0.64370000000000005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0.47209302325581509</v>
      </c>
      <c r="Q138">
        <f t="shared" ref="Q138" si="666">F138*P138</f>
        <v>17641907.613953531</v>
      </c>
      <c r="R138">
        <f t="shared" ref="R138" si="667">R139+Q138</f>
        <v>-1079507654.2909045</v>
      </c>
      <c r="S138">
        <f t="shared" ref="S138" si="668">R138/100000</f>
        <v>-10795.076542909046</v>
      </c>
      <c r="T138">
        <f t="shared" ref="T138" si="669">S138/1000</f>
        <v>-10.795076542909046</v>
      </c>
    </row>
    <row r="139" spans="1:20" x14ac:dyDescent="0.25">
      <c r="A139" s="5">
        <v>44454</v>
      </c>
      <c r="B139">
        <v>0.58040000000000003</v>
      </c>
      <c r="C139">
        <v>0.66800000000000004</v>
      </c>
      <c r="D139">
        <v>0.53859999999999997</v>
      </c>
      <c r="E139">
        <v>0.58389999999999997</v>
      </c>
      <c r="F139">
        <v>59063617</v>
      </c>
      <c r="G139">
        <v>0.58389999999999997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-0.29984544049459066</v>
      </c>
      <c r="Q139">
        <f t="shared" ref="Q139" si="671">F139*P139</f>
        <v>-17709956.256568793</v>
      </c>
      <c r="R139">
        <f t="shared" ref="R139" si="672">R140+Q139</f>
        <v>-1097149561.9048581</v>
      </c>
      <c r="S139">
        <f t="shared" ref="S139" si="673">R139/100000</f>
        <v>-10971.495619048581</v>
      </c>
      <c r="T139">
        <f t="shared" ref="T139" si="674">S139/1000</f>
        <v>-10.97149561904858</v>
      </c>
    </row>
    <row r="140" spans="1:20" x14ac:dyDescent="0.25">
      <c r="A140" s="5">
        <v>44453</v>
      </c>
      <c r="B140">
        <v>0.43890000000000001</v>
      </c>
      <c r="C140">
        <v>0.61</v>
      </c>
      <c r="D140">
        <v>0.43059999999999998</v>
      </c>
      <c r="E140">
        <v>0.58050000000000002</v>
      </c>
      <c r="F140">
        <v>68417643</v>
      </c>
      <c r="G140">
        <v>0.58050000000000002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0.67112597547380193</v>
      </c>
      <c r="Q140">
        <f t="shared" ref="Q140" si="676">F140*P140</f>
        <v>45916857.397993334</v>
      </c>
      <c r="R140">
        <f t="shared" ref="R140" si="677">R141+Q140</f>
        <v>-1079439605.6482892</v>
      </c>
      <c r="S140">
        <f t="shared" ref="S140" si="678">R140/100000</f>
        <v>-10794.396056482892</v>
      </c>
      <c r="T140">
        <f t="shared" ref="T140" si="679">S140/1000</f>
        <v>-10.794396056482892</v>
      </c>
    </row>
    <row r="141" spans="1:20" x14ac:dyDescent="0.25">
      <c r="A141" s="5">
        <v>44452</v>
      </c>
      <c r="B141">
        <v>0.50260000000000005</v>
      </c>
      <c r="C141">
        <v>0.53220000000000001</v>
      </c>
      <c r="D141">
        <v>0.42609999999999998</v>
      </c>
      <c r="E141">
        <v>0.43880000000000002</v>
      </c>
      <c r="F141">
        <v>33779345</v>
      </c>
      <c r="G141">
        <v>0.43880000000000002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-0.76060320452403318</v>
      </c>
      <c r="Q141">
        <f t="shared" ref="Q141" si="681">F141*P141</f>
        <v>-25692678.053722877</v>
      </c>
      <c r="R141">
        <f t="shared" ref="R141" si="682">R142+Q141</f>
        <v>-1125356463.0462825</v>
      </c>
      <c r="S141">
        <f t="shared" ref="S141" si="683">R141/100000</f>
        <v>-11253.564630462824</v>
      </c>
      <c r="T141">
        <f t="shared" ref="T141" si="684">S141/1000</f>
        <v>-11.253564630462824</v>
      </c>
    </row>
    <row r="142" spans="1:20" x14ac:dyDescent="0.25">
      <c r="A142" s="5">
        <v>44451</v>
      </c>
      <c r="B142">
        <v>0.42130000000000001</v>
      </c>
      <c r="C142">
        <v>0.50570000000000004</v>
      </c>
      <c r="D142">
        <v>0.41170000000000001</v>
      </c>
      <c r="E142">
        <v>0.50260000000000005</v>
      </c>
      <c r="F142">
        <v>29088593</v>
      </c>
      <c r="G142">
        <v>0.50260000000000005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0.93404255319148954</v>
      </c>
      <c r="Q142">
        <f t="shared" ref="Q142" si="686">F142*P142</f>
        <v>27169983.674468089</v>
      </c>
      <c r="R142">
        <f t="shared" ref="R142" si="687">R143+Q142</f>
        <v>-1099663784.9925597</v>
      </c>
      <c r="S142">
        <f t="shared" ref="S142" si="688">R142/100000</f>
        <v>-10996.637849925597</v>
      </c>
      <c r="T142">
        <f t="shared" ref="T142" si="689">S142/1000</f>
        <v>-10.996637849925596</v>
      </c>
    </row>
    <row r="143" spans="1:20" x14ac:dyDescent="0.25">
      <c r="A143" s="5">
        <v>44450</v>
      </c>
      <c r="B143">
        <v>0.42330000000000001</v>
      </c>
      <c r="C143">
        <v>0.44750000000000001</v>
      </c>
      <c r="D143">
        <v>0.41010000000000002</v>
      </c>
      <c r="E143">
        <v>0.42120000000000002</v>
      </c>
      <c r="F143">
        <v>14736314</v>
      </c>
      <c r="G143">
        <v>0.42120000000000002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-0.40641711229946514</v>
      </c>
      <c r="Q143">
        <f t="shared" ref="Q143" si="691">F143*P143</f>
        <v>-5989090.1818181807</v>
      </c>
      <c r="R143">
        <f t="shared" ref="R143" si="692">R144+Q143</f>
        <v>-1126833768.6670277</v>
      </c>
      <c r="S143">
        <f t="shared" ref="S143" si="693">R143/100000</f>
        <v>-11268.337686670277</v>
      </c>
      <c r="T143">
        <f t="shared" ref="T143" si="694">S143/1000</f>
        <v>-11.268337686670277</v>
      </c>
    </row>
    <row r="144" spans="1:20" x14ac:dyDescent="0.25">
      <c r="A144" s="5">
        <v>44449</v>
      </c>
      <c r="B144">
        <v>0.47160000000000002</v>
      </c>
      <c r="C144">
        <v>0.48080000000000001</v>
      </c>
      <c r="D144">
        <v>0.39929999999999999</v>
      </c>
      <c r="E144">
        <v>0.42330000000000001</v>
      </c>
      <c r="F144">
        <v>28213183.73</v>
      </c>
      <c r="G144">
        <v>0.42330000000000001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-0.4110429447852757</v>
      </c>
      <c r="Q144">
        <f t="shared" ref="Q144" si="696">F144*P144</f>
        <v>-11596830.122147229</v>
      </c>
      <c r="R144">
        <f t="shared" ref="R144" si="697">R145+Q144</f>
        <v>-1120844678.4852095</v>
      </c>
      <c r="S144">
        <f t="shared" ref="S144" si="698">R144/100000</f>
        <v>-11208.446784852094</v>
      </c>
      <c r="T144">
        <f t="shared" ref="T144" si="699">S144/1000</f>
        <v>-11.208446784852095</v>
      </c>
    </row>
    <row r="145" spans="1:20" x14ac:dyDescent="0.25">
      <c r="A145" s="5">
        <v>44448</v>
      </c>
      <c r="B145">
        <v>0.48199999999999998</v>
      </c>
      <c r="C145">
        <v>0.5</v>
      </c>
      <c r="D145">
        <v>0.46500000000000002</v>
      </c>
      <c r="E145">
        <v>0.47049999999999997</v>
      </c>
      <c r="F145">
        <v>18604253</v>
      </c>
      <c r="G145">
        <v>0.47049999999999997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-0.68571428571428839</v>
      </c>
      <c r="Q145">
        <f t="shared" ref="Q145" si="701">F145*P145</f>
        <v>-12757202.057142908</v>
      </c>
      <c r="R145">
        <f t="shared" ref="R145" si="702">R146+Q145</f>
        <v>-1109247848.3630621</v>
      </c>
      <c r="S145">
        <f t="shared" ref="S145" si="703">R145/100000</f>
        <v>-11092.478483630621</v>
      </c>
      <c r="T145">
        <f t="shared" ref="T145" si="704">S145/1000</f>
        <v>-11.092478483630622</v>
      </c>
    </row>
    <row r="146" spans="1:20" x14ac:dyDescent="0.25">
      <c r="A146" s="5">
        <v>44447</v>
      </c>
      <c r="B146">
        <v>0.48039999999999999</v>
      </c>
      <c r="C146">
        <v>0.50580000000000003</v>
      </c>
      <c r="D146">
        <v>0.43109999999999998</v>
      </c>
      <c r="E146">
        <v>0.48139999999999999</v>
      </c>
      <c r="F146">
        <v>26311124</v>
      </c>
      <c r="G146">
        <v>0.48139999999999999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0.34672021419009319</v>
      </c>
      <c r="Q146">
        <f t="shared" ref="Q146" si="706">F146*P146</f>
        <v>9122598.5488621015</v>
      </c>
      <c r="R146">
        <f t="shared" ref="R146" si="707">R147+Q146</f>
        <v>-1096490646.3059192</v>
      </c>
      <c r="S146">
        <f t="shared" ref="S146" si="708">R146/100000</f>
        <v>-10964.906463059191</v>
      </c>
      <c r="T146">
        <f t="shared" ref="T146" si="709">S146/1000</f>
        <v>-10.964906463059192</v>
      </c>
    </row>
    <row r="147" spans="1:20" x14ac:dyDescent="0.25">
      <c r="A147" s="5">
        <v>44446</v>
      </c>
      <c r="B147">
        <v>0.63690000000000002</v>
      </c>
      <c r="C147">
        <v>0.72</v>
      </c>
      <c r="D147">
        <v>0.42980000000000002</v>
      </c>
      <c r="E147">
        <v>0.48039999999999999</v>
      </c>
      <c r="F147">
        <v>58237036.159999996</v>
      </c>
      <c r="G147">
        <v>0.48039999999999999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-0.65127498277050322</v>
      </c>
      <c r="Q147">
        <f t="shared" ref="Q147" si="711">F147*P147</f>
        <v>-37928324.721709169</v>
      </c>
      <c r="R147">
        <f t="shared" ref="R147" si="712">R148+Q147</f>
        <v>-1105613244.8547814</v>
      </c>
      <c r="S147">
        <f t="shared" ref="S147" si="713">R147/100000</f>
        <v>-11056.132448547814</v>
      </c>
      <c r="T147">
        <f t="shared" ref="T147" si="714">S147/1000</f>
        <v>-11.056132448547814</v>
      </c>
    </row>
    <row r="148" spans="1:20" x14ac:dyDescent="0.25">
      <c r="A148" s="5">
        <v>44445</v>
      </c>
      <c r="B148">
        <v>0.61319999999999997</v>
      </c>
      <c r="C148">
        <v>0.66</v>
      </c>
      <c r="D148">
        <v>0.59009999999999996</v>
      </c>
      <c r="E148">
        <v>0.63629999999999998</v>
      </c>
      <c r="F148">
        <v>34835647.5</v>
      </c>
      <c r="G148">
        <v>0.63629999999999998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0.32188841201716656</v>
      </c>
      <c r="Q148">
        <f t="shared" ref="Q148" si="716">F148*P148</f>
        <v>11213191.255364778</v>
      </c>
      <c r="R148">
        <f t="shared" ref="R148" si="717">R149+Q148</f>
        <v>-1067684920.1330723</v>
      </c>
      <c r="S148">
        <f t="shared" ref="S148" si="718">R148/100000</f>
        <v>-10676.849201330722</v>
      </c>
      <c r="T148">
        <f t="shared" ref="T148" si="719">S148/1000</f>
        <v>-10.676849201330722</v>
      </c>
    </row>
    <row r="149" spans="1:20" x14ac:dyDescent="0.25">
      <c r="A149" s="5">
        <v>44444</v>
      </c>
      <c r="B149">
        <v>0.58309999999999995</v>
      </c>
      <c r="C149">
        <v>0.64200000000000002</v>
      </c>
      <c r="D149">
        <v>0.56950000000000001</v>
      </c>
      <c r="E149">
        <v>0.61319999999999997</v>
      </c>
      <c r="F149">
        <v>28240105</v>
      </c>
      <c r="G149">
        <v>0.61319999999999997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0.20551724137930913</v>
      </c>
      <c r="Q149">
        <f t="shared" ref="Q149" si="721">F149*P149</f>
        <v>5803828.4758620346</v>
      </c>
      <c r="R149">
        <f t="shared" ref="R149" si="722">R150+Q149</f>
        <v>-1078898111.388437</v>
      </c>
      <c r="S149">
        <f t="shared" ref="S149" si="723">R149/100000</f>
        <v>-10788.981113884371</v>
      </c>
      <c r="T149">
        <f t="shared" ref="T149" si="724">S149/1000</f>
        <v>-10.78898111388437</v>
      </c>
    </row>
    <row r="150" spans="1:20" x14ac:dyDescent="0.25">
      <c r="A150" s="5">
        <v>44443</v>
      </c>
      <c r="B150">
        <v>0.57250000000000001</v>
      </c>
      <c r="C150">
        <v>0.60909999999999997</v>
      </c>
      <c r="D150">
        <v>0.56679999999999997</v>
      </c>
      <c r="E150">
        <v>0.58299999999999996</v>
      </c>
      <c r="F150">
        <v>19946692</v>
      </c>
      <c r="G150">
        <v>0.58299999999999996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-0.23404255319148981</v>
      </c>
      <c r="Q150">
        <f t="shared" ref="Q150" si="726">F150*P150</f>
        <v>-4668374.7234042641</v>
      </c>
      <c r="R150">
        <f t="shared" ref="R150" si="727">R151+Q150</f>
        <v>-1084701939.8642991</v>
      </c>
      <c r="S150">
        <f t="shared" ref="S150" si="728">R150/100000</f>
        <v>-10847.019398642991</v>
      </c>
      <c r="T150">
        <f t="shared" ref="T150" si="729">S150/1000</f>
        <v>-10.847019398642992</v>
      </c>
    </row>
    <row r="151" spans="1:20" x14ac:dyDescent="0.25">
      <c r="A151" s="5">
        <v>44442</v>
      </c>
      <c r="B151">
        <v>0.56689999999999996</v>
      </c>
      <c r="C151">
        <v>0.58830000000000005</v>
      </c>
      <c r="D151">
        <v>0.5444</v>
      </c>
      <c r="E151">
        <v>0.57250000000000001</v>
      </c>
      <c r="F151">
        <v>18507194</v>
      </c>
      <c r="G151">
        <v>0.57250000000000001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0.28018223234624062</v>
      </c>
      <c r="Q151">
        <f t="shared" ref="Q151" si="731">F151*P151</f>
        <v>5185386.9293849505</v>
      </c>
      <c r="R151">
        <f t="shared" ref="R151" si="732">R152+Q151</f>
        <v>-1080033565.1408949</v>
      </c>
      <c r="S151">
        <f t="shared" ref="S151" si="733">R151/100000</f>
        <v>-10800.335651408948</v>
      </c>
      <c r="T151">
        <f t="shared" ref="T151" si="734">S151/1000</f>
        <v>-10.800335651408949</v>
      </c>
    </row>
    <row r="152" spans="1:20" x14ac:dyDescent="0.25">
      <c r="A152" s="5">
        <v>44441</v>
      </c>
      <c r="B152">
        <v>0.62580000000000002</v>
      </c>
      <c r="C152">
        <v>0.64890000000000003</v>
      </c>
      <c r="D152">
        <v>0.56379999999999997</v>
      </c>
      <c r="E152">
        <v>0.56659999999999999</v>
      </c>
      <c r="F152">
        <v>34257775</v>
      </c>
      <c r="G152">
        <v>0.56659999999999999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-0.93419506462984669</v>
      </c>
      <c r="Q152">
        <f t="shared" ref="Q152" si="736">F152*P152</f>
        <v>-32003444.330199745</v>
      </c>
      <c r="R152">
        <f t="shared" ref="R152" si="737">R153+Q152</f>
        <v>-1085218952.0702798</v>
      </c>
      <c r="S152">
        <f t="shared" ref="S152" si="738">R152/100000</f>
        <v>-10852.189520702799</v>
      </c>
      <c r="T152">
        <f t="shared" ref="T152" si="739">S152/1000</f>
        <v>-10.852189520702799</v>
      </c>
    </row>
    <row r="153" spans="1:20" x14ac:dyDescent="0.25">
      <c r="A153" s="5">
        <v>44440</v>
      </c>
      <c r="B153">
        <v>0.53369999999999995</v>
      </c>
      <c r="C153">
        <v>0.62580000000000002</v>
      </c>
      <c r="D153">
        <v>0.52</v>
      </c>
      <c r="E153">
        <v>0.62560000000000004</v>
      </c>
      <c r="F153">
        <v>19579987</v>
      </c>
      <c r="G153">
        <v>0.62560000000000004</v>
      </c>
      <c r="L153" t="s">
        <v>7</v>
      </c>
      <c r="M153" t="s">
        <v>8</v>
      </c>
      <c r="N153" t="s">
        <v>7</v>
      </c>
      <c r="P153">
        <f t="shared" ref="P153" si="740">IF(C153=D153,0,((E153-D153)-(C153-E153))/(C153-D153))</f>
        <v>0.99621928166351648</v>
      </c>
      <c r="Q153">
        <f t="shared" ref="Q153" si="741">F153*P153</f>
        <v>19505960.584120993</v>
      </c>
      <c r="R153">
        <f t="shared" ref="R153" si="742">R154+Q153</f>
        <v>-1053215507.7400801</v>
      </c>
      <c r="S153">
        <f t="shared" ref="S153" si="743">R153/100000</f>
        <v>-10532.155077400801</v>
      </c>
      <c r="T153">
        <f t="shared" ref="T153" si="744">S153/1000</f>
        <v>-10.532155077400802</v>
      </c>
    </row>
    <row r="154" spans="1:20" x14ac:dyDescent="0.25">
      <c r="A154" s="5">
        <v>44439</v>
      </c>
      <c r="B154">
        <v>0.53859999999999997</v>
      </c>
      <c r="C154">
        <v>0.55930000000000002</v>
      </c>
      <c r="D154">
        <v>0.5252</v>
      </c>
      <c r="E154">
        <v>0.5333</v>
      </c>
      <c r="F154">
        <v>13951325</v>
      </c>
      <c r="G154">
        <v>0.5333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-0.52492668621700933</v>
      </c>
      <c r="Q154">
        <f t="shared" ref="Q154" si="746">F154*P154</f>
        <v>-7323422.8005865179</v>
      </c>
      <c r="R154">
        <f t="shared" ref="R154" si="747">R155+Q154</f>
        <v>-1072721468.3242011</v>
      </c>
      <c r="S154">
        <f t="shared" ref="S154" si="748">R154/100000</f>
        <v>-10727.214683242011</v>
      </c>
      <c r="T154">
        <f t="shared" ref="T154" si="749">S154/1000</f>
        <v>-10.727214683242011</v>
      </c>
    </row>
    <row r="155" spans="1:20" x14ac:dyDescent="0.25">
      <c r="A155" s="5">
        <v>44438</v>
      </c>
      <c r="B155">
        <v>0.59740000000000004</v>
      </c>
      <c r="C155">
        <v>0.64959999999999996</v>
      </c>
      <c r="D155">
        <v>0.53620000000000001</v>
      </c>
      <c r="E155">
        <v>0.53879999999999995</v>
      </c>
      <c r="F155">
        <v>31256186.399999999</v>
      </c>
      <c r="G155">
        <v>0.53879999999999995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-0.95414462081128859</v>
      </c>
      <c r="Q155">
        <f t="shared" ref="Q155" si="751">F155*P155</f>
        <v>-29822922.120634954</v>
      </c>
      <c r="R155">
        <f t="shared" ref="R155" si="752">R156+Q155</f>
        <v>-1065398045.5236146</v>
      </c>
      <c r="S155">
        <f t="shared" ref="S155" si="753">R155/100000</f>
        <v>-10653.980455236146</v>
      </c>
      <c r="T155">
        <f t="shared" ref="T155" si="754">S155/1000</f>
        <v>-10.653980455236146</v>
      </c>
    </row>
    <row r="156" spans="1:20" x14ac:dyDescent="0.25">
      <c r="A156" s="5">
        <v>44437</v>
      </c>
      <c r="B156">
        <v>0.54179999999999995</v>
      </c>
      <c r="C156">
        <v>0.64</v>
      </c>
      <c r="D156">
        <v>0.5262</v>
      </c>
      <c r="E156">
        <v>0.5968</v>
      </c>
      <c r="F156">
        <v>45953445.630000003</v>
      </c>
      <c r="G156">
        <v>0.5968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0.24077328646748661</v>
      </c>
      <c r="Q156">
        <f t="shared" ref="Q156" si="756">F156*P156</f>
        <v>11064362.128840061</v>
      </c>
      <c r="R156">
        <f t="shared" ref="R156" si="757">R157+Q156</f>
        <v>-1035575123.4029797</v>
      </c>
      <c r="S156">
        <f t="shared" ref="S156" si="758">R156/100000</f>
        <v>-10355.751234029798</v>
      </c>
      <c r="T156">
        <f t="shared" ref="T156" si="759">S156/1000</f>
        <v>-10.355751234029798</v>
      </c>
    </row>
    <row r="157" spans="1:20" x14ac:dyDescent="0.25">
      <c r="A157" s="5">
        <v>44436</v>
      </c>
      <c r="B157">
        <v>0.57489999999999997</v>
      </c>
      <c r="C157">
        <v>0.57769999999999999</v>
      </c>
      <c r="D157">
        <v>0.53249999999999997</v>
      </c>
      <c r="E157">
        <v>0.54169999999999996</v>
      </c>
      <c r="F157">
        <v>19575524</v>
      </c>
      <c r="G157">
        <v>0.54169999999999996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-0.5929203539823017</v>
      </c>
      <c r="Q157">
        <f t="shared" ref="Q157" si="761">F157*P157</f>
        <v>-11606726.619469043</v>
      </c>
      <c r="R157">
        <f t="shared" ref="R157" si="762">R158+Q157</f>
        <v>-1046639485.5318198</v>
      </c>
      <c r="S157">
        <f t="shared" ref="S157" si="763">R157/100000</f>
        <v>-10466.394855318198</v>
      </c>
      <c r="T157">
        <f t="shared" ref="T157" si="764">S157/1000</f>
        <v>-10.466394855318198</v>
      </c>
    </row>
    <row r="158" spans="1:20" x14ac:dyDescent="0.25">
      <c r="A158" s="5">
        <v>44435</v>
      </c>
      <c r="B158">
        <v>0.52729999999999999</v>
      </c>
      <c r="C158">
        <v>0.58740000000000003</v>
      </c>
      <c r="D158">
        <v>0.51419999999999999</v>
      </c>
      <c r="E158">
        <v>0.57420000000000004</v>
      </c>
      <c r="F158">
        <v>26236037.030000001</v>
      </c>
      <c r="G158">
        <v>0.57420000000000004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0.63934426229508245</v>
      </c>
      <c r="Q158">
        <f t="shared" ref="Q158" si="766">F158*P158</f>
        <v>16773859.740491817</v>
      </c>
      <c r="R158">
        <f t="shared" ref="R158" si="767">R159+Q158</f>
        <v>-1035032758.9123508</v>
      </c>
      <c r="S158">
        <f t="shared" ref="S158" si="768">R158/100000</f>
        <v>-10350.327589123508</v>
      </c>
      <c r="T158">
        <f t="shared" ref="T158" si="769">S158/1000</f>
        <v>-10.350327589123507</v>
      </c>
    </row>
    <row r="159" spans="1:20" x14ac:dyDescent="0.25">
      <c r="A159" s="5">
        <v>44434</v>
      </c>
      <c r="B159">
        <v>0.58660000000000001</v>
      </c>
      <c r="C159">
        <v>0.59099999999999997</v>
      </c>
      <c r="D159">
        <v>0.52549999999999997</v>
      </c>
      <c r="E159">
        <v>0.52739999999999998</v>
      </c>
      <c r="F159">
        <v>23588955.370000001</v>
      </c>
      <c r="G159">
        <v>0.52739999999999998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-0.94198473282442707</v>
      </c>
      <c r="Q159">
        <f t="shared" ref="Q159" si="771">F159*P159</f>
        <v>-22220435.821816787</v>
      </c>
      <c r="R159">
        <f t="shared" ref="R159" si="772">R160+Q159</f>
        <v>-1051806618.6528426</v>
      </c>
      <c r="S159">
        <f t="shared" ref="S159" si="773">R159/100000</f>
        <v>-10518.066186528426</v>
      </c>
      <c r="T159">
        <f t="shared" ref="T159" si="774">S159/1000</f>
        <v>-10.518066186528426</v>
      </c>
    </row>
    <row r="160" spans="1:20" x14ac:dyDescent="0.25">
      <c r="A160" s="5">
        <v>44433</v>
      </c>
      <c r="B160">
        <v>0.56599999999999995</v>
      </c>
      <c r="C160">
        <v>0.60780000000000001</v>
      </c>
      <c r="D160">
        <v>0.53210000000000002</v>
      </c>
      <c r="E160">
        <v>0.58630000000000004</v>
      </c>
      <c r="F160">
        <v>26820642.579999998</v>
      </c>
      <c r="G160">
        <v>0.58630000000000004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0.43196829590488861</v>
      </c>
      <c r="Q160">
        <f t="shared" ref="Q160" si="776">F160*P160</f>
        <v>11585667.270356694</v>
      </c>
      <c r="R160">
        <f t="shared" ref="R160" si="777">R161+Q160</f>
        <v>-1029586182.8310258</v>
      </c>
      <c r="S160">
        <f t="shared" ref="S160" si="778">R160/100000</f>
        <v>-10295.861828310259</v>
      </c>
      <c r="T160">
        <f t="shared" ref="T160" si="779">S160/1000</f>
        <v>-10.295861828310258</v>
      </c>
    </row>
    <row r="161" spans="1:20" x14ac:dyDescent="0.25">
      <c r="A161" s="5">
        <v>44432</v>
      </c>
      <c r="B161">
        <v>0.63429999999999997</v>
      </c>
      <c r="C161">
        <v>0.65900000000000003</v>
      </c>
      <c r="D161">
        <v>0.56159999999999999</v>
      </c>
      <c r="E161">
        <v>0.56659999999999999</v>
      </c>
      <c r="F161">
        <v>28931271.649999999</v>
      </c>
      <c r="G161">
        <v>0.56659999999999999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-0.89733059548254612</v>
      </c>
      <c r="Q161">
        <f t="shared" ref="Q161" si="781">F161*P161</f>
        <v>-25960915.217761803</v>
      </c>
      <c r="R161">
        <f t="shared" ref="R161" si="782">R162+Q161</f>
        <v>-1041171850.1013825</v>
      </c>
      <c r="S161">
        <f t="shared" ref="S161" si="783">R161/100000</f>
        <v>-10411.718501013826</v>
      </c>
      <c r="T161">
        <f t="shared" ref="T161" si="784">S161/1000</f>
        <v>-10.411718501013825</v>
      </c>
    </row>
    <row r="162" spans="1:20" x14ac:dyDescent="0.25">
      <c r="A162" s="5">
        <v>44431</v>
      </c>
      <c r="B162">
        <v>0.63109999999999999</v>
      </c>
      <c r="C162">
        <v>0.67</v>
      </c>
      <c r="D162">
        <v>0.6169</v>
      </c>
      <c r="E162">
        <v>0.63460000000000005</v>
      </c>
      <c r="F162">
        <v>25993664.449999999</v>
      </c>
      <c r="G162">
        <v>0.63460000000000005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-0.33333333333333193</v>
      </c>
      <c r="Q162">
        <f t="shared" ref="Q162" si="786">F162*P162</f>
        <v>-8664554.8166666292</v>
      </c>
      <c r="R162">
        <f t="shared" ref="R162" si="787">R163+Q162</f>
        <v>-1015210934.8836207</v>
      </c>
      <c r="S162">
        <f t="shared" ref="S162" si="788">R162/100000</f>
        <v>-10152.109348836208</v>
      </c>
      <c r="T162">
        <f t="shared" ref="T162" si="789">S162/1000</f>
        <v>-10.152109348836207</v>
      </c>
    </row>
    <row r="163" spans="1:20" x14ac:dyDescent="0.25">
      <c r="A163" s="5">
        <v>44430</v>
      </c>
      <c r="B163">
        <v>0.64839999999999998</v>
      </c>
      <c r="C163">
        <v>0.65859999999999996</v>
      </c>
      <c r="D163">
        <v>0.64019999999999999</v>
      </c>
      <c r="E163">
        <v>0.65039999999999998</v>
      </c>
      <c r="F163">
        <v>4477761.55</v>
      </c>
      <c r="G163">
        <v>0.65039999999999998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0.1086956521739133</v>
      </c>
      <c r="Q163">
        <f t="shared" ref="Q163" si="791">F163*P163</f>
        <v>486713.21195652289</v>
      </c>
      <c r="R163">
        <f t="shared" ref="R163" si="792">R164+Q163</f>
        <v>-1006546380.0669541</v>
      </c>
      <c r="S163">
        <f t="shared" ref="S163" si="793">R163/100000</f>
        <v>-10065.463800669542</v>
      </c>
      <c r="T163">
        <f t="shared" ref="T163" si="794">S163/1000</f>
        <v>-10.065463800669542</v>
      </c>
    </row>
    <row r="164" spans="1:20" x14ac:dyDescent="0.25">
      <c r="A164" s="5">
        <v>44429</v>
      </c>
      <c r="B164">
        <v>0.6764</v>
      </c>
      <c r="C164">
        <v>0.69320000000000004</v>
      </c>
      <c r="D164">
        <v>0.64300000000000002</v>
      </c>
      <c r="E164">
        <v>0.64839999999999998</v>
      </c>
      <c r="F164">
        <v>26576193.289999999</v>
      </c>
      <c r="G164">
        <v>0.64839999999999998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-0.78486055776892594</v>
      </c>
      <c r="Q164">
        <f t="shared" ref="Q164" si="796">F164*P164</f>
        <v>-20858605.888964187</v>
      </c>
      <c r="R164">
        <f t="shared" ref="R164" si="797">R165+Q164</f>
        <v>-1007033093.2789106</v>
      </c>
      <c r="S164">
        <f t="shared" ref="S164" si="798">R164/100000</f>
        <v>-10070.330932789106</v>
      </c>
      <c r="T164">
        <f t="shared" ref="T164" si="799">S164/1000</f>
        <v>-10.070330932789105</v>
      </c>
    </row>
    <row r="165" spans="1:20" x14ac:dyDescent="0.25">
      <c r="A165" s="5">
        <v>44428</v>
      </c>
      <c r="B165">
        <v>0.66100000000000003</v>
      </c>
      <c r="C165">
        <v>0.70740000000000003</v>
      </c>
      <c r="D165">
        <v>0.65129999999999999</v>
      </c>
      <c r="E165">
        <v>0.67520000000000002</v>
      </c>
      <c r="F165">
        <v>40338725.990000002</v>
      </c>
      <c r="G165">
        <v>0.67520000000000002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-0.14795008912655916</v>
      </c>
      <c r="Q165">
        <f t="shared" ref="Q165" si="801">F165*P165</f>
        <v>-5968118.1054723486</v>
      </c>
      <c r="R165">
        <f t="shared" ref="R165" si="802">R166+Q165</f>
        <v>-986174487.38994646</v>
      </c>
      <c r="S165">
        <f t="shared" ref="S165" si="803">R165/100000</f>
        <v>-9861.7448738994644</v>
      </c>
      <c r="T165">
        <f t="shared" ref="T165" si="804">S165/1000</f>
        <v>-9.8617448738994646</v>
      </c>
    </row>
    <row r="166" spans="1:20" x14ac:dyDescent="0.25">
      <c r="A166" s="5">
        <v>44427</v>
      </c>
      <c r="B166">
        <v>0.68020000000000003</v>
      </c>
      <c r="C166">
        <v>0.69850000000000001</v>
      </c>
      <c r="D166">
        <v>0.62619999999999998</v>
      </c>
      <c r="E166">
        <v>0.66120000000000001</v>
      </c>
      <c r="F166">
        <v>52604624.590000004</v>
      </c>
      <c r="G166">
        <v>0.66120000000000001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-3.1811894882433855E-2</v>
      </c>
      <c r="Q166">
        <f t="shared" ref="Q166" si="806">F166*P166</f>
        <v>-1673452.7877869753</v>
      </c>
      <c r="R166">
        <f t="shared" ref="R166" si="807">R167+Q166</f>
        <v>-980206369.28447413</v>
      </c>
      <c r="S166">
        <f t="shared" ref="S166" si="808">R166/100000</f>
        <v>-9802.063692844742</v>
      </c>
      <c r="T166">
        <f t="shared" ref="T166" si="809">S166/1000</f>
        <v>-9.802063692844742</v>
      </c>
    </row>
    <row r="167" spans="1:20" x14ac:dyDescent="0.25">
      <c r="A167" s="5">
        <v>44426</v>
      </c>
      <c r="B167">
        <v>0.69010000000000005</v>
      </c>
      <c r="C167">
        <v>0.80569999999999997</v>
      </c>
      <c r="D167">
        <v>0.62109999999999999</v>
      </c>
      <c r="E167">
        <v>0.67930000000000001</v>
      </c>
      <c r="F167">
        <v>95069189.790000007</v>
      </c>
      <c r="G167">
        <v>0.67930000000000001</v>
      </c>
      <c r="L167" t="s">
        <v>8</v>
      </c>
      <c r="M167" t="s">
        <v>8</v>
      </c>
      <c r="N167" t="s">
        <v>7</v>
      </c>
      <c r="P167">
        <f t="shared" ref="P167" si="810">IF(C167=D167,0,((E167-D167)-(C167-E167))/(C167-D167))</f>
        <v>-0.36944745395449585</v>
      </c>
      <c r="Q167">
        <f t="shared" ref="Q167" si="811">F167*P167</f>
        <v>-35123070.117432252</v>
      </c>
      <c r="R167">
        <f t="shared" ref="R167" si="812">R168+Q167</f>
        <v>-978532916.49668717</v>
      </c>
      <c r="S167">
        <f t="shared" ref="S167" si="813">R167/100000</f>
        <v>-9785.3291649668718</v>
      </c>
      <c r="T167">
        <f t="shared" ref="T167" si="814">S167/1000</f>
        <v>-9.7853291649668712</v>
      </c>
    </row>
    <row r="168" spans="1:20" x14ac:dyDescent="0.25">
      <c r="A168" s="5">
        <v>44425</v>
      </c>
      <c r="B168">
        <v>0.65100000000000002</v>
      </c>
      <c r="C168">
        <v>0.74780000000000002</v>
      </c>
      <c r="D168">
        <v>0.6109</v>
      </c>
      <c r="E168">
        <v>0.69</v>
      </c>
      <c r="F168">
        <v>55715986.560000002</v>
      </c>
      <c r="G168">
        <v>0.69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0.15558802045288439</v>
      </c>
      <c r="Q168">
        <f t="shared" ref="Q168" si="816">F168*P168</f>
        <v>8668740.0564499125</v>
      </c>
      <c r="R168">
        <f t="shared" ref="R168" si="817">R169+Q168</f>
        <v>-943409846.37925494</v>
      </c>
      <c r="S168">
        <f t="shared" ref="S168" si="818">R168/100000</f>
        <v>-9434.0984637925485</v>
      </c>
      <c r="T168">
        <f t="shared" ref="T168" si="819">S168/1000</f>
        <v>-9.434098463792548</v>
      </c>
    </row>
    <row r="169" spans="1:20" x14ac:dyDescent="0.25">
      <c r="A169" s="5">
        <v>44424</v>
      </c>
      <c r="B169">
        <v>0.65169999999999995</v>
      </c>
      <c r="C169">
        <v>0.7792</v>
      </c>
      <c r="D169">
        <v>0.6431</v>
      </c>
      <c r="E169">
        <v>0.65110000000000001</v>
      </c>
      <c r="F169">
        <v>61260246.380000003</v>
      </c>
      <c r="G169">
        <v>0.65110000000000001</v>
      </c>
      <c r="L169" t="s">
        <v>8</v>
      </c>
      <c r="M169" t="s">
        <v>8</v>
      </c>
      <c r="N169" t="s">
        <v>7</v>
      </c>
      <c r="P169">
        <f t="shared" ref="P169" si="820">IF(C169=D169,0,((E169-D169)-(C169-E169))/(C169-D169))</f>
        <v>-0.8824393828067596</v>
      </c>
      <c r="Q169">
        <f t="shared" ref="Q169" si="821">F169*P169</f>
        <v>-54058454.006157234</v>
      </c>
      <c r="R169">
        <f t="shared" ref="R169" si="822">R170+Q169</f>
        <v>-952078586.43570483</v>
      </c>
      <c r="S169">
        <f t="shared" ref="S169" si="823">R169/100000</f>
        <v>-9520.7858643570489</v>
      </c>
      <c r="T169">
        <f t="shared" ref="T169" si="824">S169/1000</f>
        <v>-9.5207858643570482</v>
      </c>
    </row>
    <row r="170" spans="1:20" x14ac:dyDescent="0.25">
      <c r="A170" s="5">
        <v>44423</v>
      </c>
      <c r="B170">
        <v>0.68920000000000003</v>
      </c>
      <c r="C170">
        <v>0.68920000000000003</v>
      </c>
      <c r="D170">
        <v>0.6</v>
      </c>
      <c r="E170">
        <v>0.65149999999999997</v>
      </c>
      <c r="F170">
        <v>35573514.710000001</v>
      </c>
      <c r="G170">
        <v>0.65149999999999997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0.15470852017937123</v>
      </c>
      <c r="Q170">
        <f t="shared" ref="Q170" si="826">F170*P170</f>
        <v>5503525.8183631944</v>
      </c>
      <c r="R170">
        <f t="shared" ref="R170" si="827">R171+Q170</f>
        <v>-898020132.42954755</v>
      </c>
      <c r="S170">
        <f t="shared" ref="S170" si="828">R170/100000</f>
        <v>-8980.2013242954763</v>
      </c>
      <c r="T170">
        <f t="shared" ref="T170" si="829">S170/1000</f>
        <v>-8.9802013242954768</v>
      </c>
    </row>
    <row r="171" spans="1:20" x14ac:dyDescent="0.25">
      <c r="A171" s="5">
        <v>44422</v>
      </c>
      <c r="B171">
        <v>0.72</v>
      </c>
      <c r="C171">
        <v>0.72699999999999998</v>
      </c>
      <c r="D171">
        <v>0.64570000000000005</v>
      </c>
      <c r="E171">
        <v>0.68910000000000005</v>
      </c>
      <c r="F171">
        <v>43215508.100000001</v>
      </c>
      <c r="G171">
        <v>0.68910000000000005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6.7650676506765872E-2</v>
      </c>
      <c r="Q171">
        <f t="shared" ref="Q171" si="831">F171*P171</f>
        <v>2923558.3585486203</v>
      </c>
      <c r="R171">
        <f t="shared" ref="R171" si="832">R172+Q171</f>
        <v>-903523658.24791074</v>
      </c>
      <c r="S171">
        <f t="shared" ref="S171" si="833">R171/100000</f>
        <v>-9035.2365824791068</v>
      </c>
      <c r="T171">
        <f t="shared" ref="T171" si="834">S171/1000</f>
        <v>-9.0352365824791061</v>
      </c>
    </row>
    <row r="172" spans="1:20" x14ac:dyDescent="0.25">
      <c r="A172" s="5">
        <v>44421</v>
      </c>
      <c r="B172">
        <v>0.71889999999999998</v>
      </c>
      <c r="C172">
        <v>0.79200000000000004</v>
      </c>
      <c r="D172">
        <v>0.67900000000000005</v>
      </c>
      <c r="E172">
        <v>0.72</v>
      </c>
      <c r="F172">
        <v>81505552.109999999</v>
      </c>
      <c r="G172">
        <v>0.72</v>
      </c>
      <c r="L172" t="s">
        <v>7</v>
      </c>
      <c r="M172" t="s">
        <v>7</v>
      </c>
      <c r="N172" t="s">
        <v>7</v>
      </c>
      <c r="P172">
        <f t="shared" ref="P172" si="835">IF(C172=D172,0,((E172-D172)-(C172-E172))/(C172-D172))</f>
        <v>-0.27433628318584197</v>
      </c>
      <c r="Q172">
        <f t="shared" ref="Q172" si="836">F172*P172</f>
        <v>-22359930.224867359</v>
      </c>
      <c r="R172">
        <f t="shared" ref="R172" si="837">R173+Q172</f>
        <v>-906447216.60645938</v>
      </c>
      <c r="S172">
        <f t="shared" ref="S172" si="838">R172/100000</f>
        <v>-9064.4721660645937</v>
      </c>
      <c r="T172">
        <f t="shared" ref="T172" si="839">S172/1000</f>
        <v>-9.0644721660645935</v>
      </c>
    </row>
    <row r="173" spans="1:20" x14ac:dyDescent="0.25">
      <c r="A173" s="5">
        <v>44420</v>
      </c>
      <c r="B173">
        <v>0.72629999999999995</v>
      </c>
      <c r="C173">
        <v>1.06</v>
      </c>
      <c r="D173">
        <v>0.66169999999999995</v>
      </c>
      <c r="E173">
        <v>0.71889999999999998</v>
      </c>
      <c r="F173">
        <v>337239849.42000002</v>
      </c>
      <c r="G173">
        <v>0.71889999999999998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-0.71277931207632428</v>
      </c>
      <c r="Q173">
        <f t="shared" ref="Q173" si="841">F173*P173</f>
        <v>-240377587.87431079</v>
      </c>
      <c r="R173">
        <f t="shared" ref="R173" si="842">R174+Q173</f>
        <v>-884087286.38159204</v>
      </c>
      <c r="S173">
        <f t="shared" ref="S173" si="843">R173/100000</f>
        <v>-8840.8728638159209</v>
      </c>
      <c r="T173">
        <f t="shared" ref="T173" si="844">S173/1000</f>
        <v>-8.8408728638159211</v>
      </c>
    </row>
    <row r="174" spans="1:20" x14ac:dyDescent="0.25">
      <c r="A174" s="5">
        <v>44419</v>
      </c>
      <c r="B174">
        <v>0.51719999999999999</v>
      </c>
      <c r="C174">
        <v>0.93</v>
      </c>
      <c r="D174">
        <v>0.48159999999999997</v>
      </c>
      <c r="E174">
        <v>0.72499999999999998</v>
      </c>
      <c r="F174">
        <v>261819398.49000001</v>
      </c>
      <c r="G174">
        <v>0.72499999999999998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8.5637823371989136E-2</v>
      </c>
      <c r="Q174">
        <f t="shared" ref="Q174" si="846">F174*P174</f>
        <v>22421643.403247058</v>
      </c>
      <c r="R174">
        <f t="shared" ref="R174" si="847">R175+Q174</f>
        <v>-643709698.5072813</v>
      </c>
      <c r="S174">
        <f t="shared" ref="S174" si="848">R174/100000</f>
        <v>-6437.0969850728134</v>
      </c>
      <c r="T174">
        <f t="shared" ref="T174" si="849">S174/1000</f>
        <v>-6.437096985072813</v>
      </c>
    </row>
    <row r="175" spans="1:20" x14ac:dyDescent="0.25">
      <c r="A175" s="5">
        <v>44418</v>
      </c>
      <c r="B175">
        <v>0.47799999999999998</v>
      </c>
      <c r="C175">
        <v>0.54400000000000004</v>
      </c>
      <c r="D175">
        <v>0.44500000000000001</v>
      </c>
      <c r="E175">
        <v>0.51729999999999998</v>
      </c>
      <c r="F175">
        <v>61469917.740000002</v>
      </c>
      <c r="G175">
        <v>0.51729999999999998</v>
      </c>
      <c r="L175" t="s">
        <v>7</v>
      </c>
      <c r="M175" t="s">
        <v>7</v>
      </c>
      <c r="N175" t="s">
        <v>7</v>
      </c>
      <c r="P175">
        <f t="shared" ref="P175" si="850">IF(C175=D175,0,((E175-D175)-(C175-E175))/(C175-D175))</f>
        <v>0.46060606060605963</v>
      </c>
      <c r="Q175">
        <f t="shared" ref="Q175" si="851">F175*P175</f>
        <v>28313416.65599994</v>
      </c>
      <c r="R175">
        <f t="shared" ref="R175" si="852">R176+Q175</f>
        <v>-666131341.91052842</v>
      </c>
      <c r="S175">
        <f t="shared" ref="S175" si="853">R175/100000</f>
        <v>-6661.3134191052841</v>
      </c>
      <c r="T175">
        <f t="shared" ref="T175" si="854">S175/1000</f>
        <v>-6.6613134191052845</v>
      </c>
    </row>
    <row r="176" spans="1:20" x14ac:dyDescent="0.25">
      <c r="A176" s="5">
        <v>44417</v>
      </c>
      <c r="B176">
        <v>0.45200000000000001</v>
      </c>
      <c r="C176">
        <v>0.59830000000000005</v>
      </c>
      <c r="D176">
        <v>0.4516</v>
      </c>
      <c r="E176">
        <v>0.47739999999999999</v>
      </c>
      <c r="F176">
        <v>175112206.06</v>
      </c>
      <c r="G176">
        <v>0.47739999999999999</v>
      </c>
      <c r="L176" t="s">
        <v>8</v>
      </c>
      <c r="M176" t="s">
        <v>8</v>
      </c>
      <c r="N176" t="s">
        <v>7</v>
      </c>
      <c r="P176">
        <f t="shared" ref="P176" si="855">IF(C176=D176,0,((E176-D176)-(C176-E176))/(C176-D176))</f>
        <v>-0.64826175869120684</v>
      </c>
      <c r="Q176">
        <f t="shared" ref="Q176" si="856">F176*P176</f>
        <v>-113518546.66875261</v>
      </c>
      <c r="R176">
        <f t="shared" ref="R176" si="857">R177+Q176</f>
        <v>-694444758.56652832</v>
      </c>
      <c r="S176">
        <f t="shared" ref="S176" si="858">R176/100000</f>
        <v>-6944.4475856652834</v>
      </c>
      <c r="T176">
        <f t="shared" ref="T176" si="859">S176/1000</f>
        <v>-6.9444475856652836</v>
      </c>
    </row>
    <row r="177" spans="1:20" x14ac:dyDescent="0.25">
      <c r="A177" s="5">
        <v>44416</v>
      </c>
      <c r="B177">
        <v>0.47749999999999998</v>
      </c>
      <c r="C177">
        <v>0.54500000000000004</v>
      </c>
      <c r="D177">
        <v>0.436</v>
      </c>
      <c r="E177">
        <v>0.45219999999999999</v>
      </c>
      <c r="F177">
        <v>102056544.84</v>
      </c>
      <c r="G177">
        <v>0.45219999999999999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-0.70275229357798186</v>
      </c>
      <c r="Q177">
        <f t="shared" ref="Q177" si="861">F177*P177</f>
        <v>-71720470.960954145</v>
      </c>
      <c r="R177">
        <f t="shared" ref="R177" si="862">R178+Q177</f>
        <v>-580926211.89777565</v>
      </c>
      <c r="S177">
        <f t="shared" ref="S177" si="863">R177/100000</f>
        <v>-5809.2621189777565</v>
      </c>
      <c r="T177">
        <f t="shared" ref="T177" si="864">S177/1000</f>
        <v>-5.8092621189777569</v>
      </c>
    </row>
    <row r="178" spans="1:20" x14ac:dyDescent="0.25">
      <c r="A178" s="5">
        <v>44415</v>
      </c>
      <c r="B178">
        <v>0.502</v>
      </c>
      <c r="C178">
        <v>0.56000000000000005</v>
      </c>
      <c r="D178">
        <v>0.46229999999999999</v>
      </c>
      <c r="E178">
        <v>0.47749999999999998</v>
      </c>
      <c r="F178">
        <v>114101504.18000001</v>
      </c>
      <c r="G178">
        <v>0.47749999999999998</v>
      </c>
      <c r="L178" t="s">
        <v>7</v>
      </c>
      <c r="M178" t="s">
        <v>8</v>
      </c>
      <c r="N178" t="s">
        <v>7</v>
      </c>
      <c r="P178">
        <f t="shared" ref="P178" si="865">IF(C178=D178,0,((E178-D178)-(C178-E178))/(C178-D178))</f>
        <v>-0.68884339815762574</v>
      </c>
      <c r="Q178">
        <f t="shared" ref="Q178" si="866">F178*P178</f>
        <v>-78598067.874247745</v>
      </c>
      <c r="R178">
        <f t="shared" ref="R178" si="867">R179+Q178</f>
        <v>-509205740.93682152</v>
      </c>
      <c r="S178">
        <f t="shared" ref="S178" si="868">R178/100000</f>
        <v>-5092.0574093682153</v>
      </c>
      <c r="T178">
        <f t="shared" ref="T178" si="869">S178/1000</f>
        <v>-5.0920574093682154</v>
      </c>
    </row>
    <row r="179" spans="1:20" x14ac:dyDescent="0.25">
      <c r="A179" s="5">
        <v>44414</v>
      </c>
      <c r="B179">
        <v>0.62070000000000003</v>
      </c>
      <c r="C179">
        <v>0.69320000000000004</v>
      </c>
      <c r="D179">
        <v>0.48039999999999999</v>
      </c>
      <c r="E179">
        <v>0.502</v>
      </c>
      <c r="F179">
        <v>233120743.66</v>
      </c>
      <c r="G179">
        <v>0.502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-0.79699248120300747</v>
      </c>
      <c r="Q179">
        <f t="shared" ref="Q179" si="871">F179*P179</f>
        <v>-185795479.90947366</v>
      </c>
      <c r="R179">
        <f t="shared" ref="R179" si="872">R180+Q179</f>
        <v>-430607673.06257379</v>
      </c>
      <c r="S179">
        <f t="shared" ref="S179" si="873">R179/100000</f>
        <v>-4306.0767306257376</v>
      </c>
      <c r="T179">
        <f t="shared" ref="T179" si="874">S179/1000</f>
        <v>-4.3060767306257377</v>
      </c>
    </row>
    <row r="180" spans="1:20" x14ac:dyDescent="0.25">
      <c r="A180" s="5">
        <v>44413</v>
      </c>
      <c r="B180">
        <v>0.18010000000000001</v>
      </c>
      <c r="C180">
        <v>1</v>
      </c>
      <c r="D180">
        <v>0.17699999999999999</v>
      </c>
      <c r="E180">
        <v>0.62160000000000004</v>
      </c>
      <c r="F180">
        <v>1186089370.8800001</v>
      </c>
      <c r="G180">
        <v>0.62160000000000004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8.0437424058323326E-2</v>
      </c>
      <c r="Q180">
        <f t="shared" ref="Q180" si="876">F180*P180</f>
        <v>95405973.696544498</v>
      </c>
      <c r="R180">
        <f t="shared" ref="R180" si="877">R181+Q180</f>
        <v>-244812193.15310016</v>
      </c>
      <c r="S180">
        <f t="shared" ref="S180" si="878">R180/100000</f>
        <v>-2448.1219315310018</v>
      </c>
      <c r="T180">
        <f t="shared" ref="T180" si="879">S180/1000</f>
        <v>-2.4481219315310017</v>
      </c>
    </row>
    <row r="181" spans="1:20" x14ac:dyDescent="0.25">
      <c r="A181" s="5">
        <v>44412</v>
      </c>
      <c r="B181">
        <v>0.1492</v>
      </c>
      <c r="C181">
        <v>0.185</v>
      </c>
      <c r="D181">
        <v>0.14799999999999999</v>
      </c>
      <c r="E181">
        <v>0.18049999999999999</v>
      </c>
      <c r="F181">
        <v>22840709.57</v>
      </c>
      <c r="G181">
        <v>0.18049999999999999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0.75675675675675658</v>
      </c>
      <c r="Q181">
        <f t="shared" ref="Q181" si="881">F181*P181</f>
        <v>17284861.296216212</v>
      </c>
      <c r="R181">
        <f t="shared" ref="R181" si="882">R182+Q181</f>
        <v>-340218166.84964466</v>
      </c>
      <c r="S181">
        <f t="shared" ref="S181" si="883">R181/100000</f>
        <v>-3402.1816684964465</v>
      </c>
      <c r="T181">
        <f t="shared" ref="T181" si="884">S181/1000</f>
        <v>-3.4021816684964463</v>
      </c>
    </row>
    <row r="182" spans="1:20" x14ac:dyDescent="0.25">
      <c r="A182" s="5">
        <v>44411</v>
      </c>
      <c r="B182">
        <v>0.1527</v>
      </c>
      <c r="C182">
        <v>0.15620000000000001</v>
      </c>
      <c r="D182">
        <v>0.14510000000000001</v>
      </c>
      <c r="E182">
        <v>0.14899999999999999</v>
      </c>
      <c r="F182">
        <v>6587724.2400000002</v>
      </c>
      <c r="G182">
        <v>0.14899999999999999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-0.29729729729729959</v>
      </c>
      <c r="Q182">
        <f t="shared" ref="Q182" si="886">F182*P182</f>
        <v>-1958512.6118919072</v>
      </c>
      <c r="R182">
        <f t="shared" ref="R182" si="887">R183+Q182</f>
        <v>-357503028.14586085</v>
      </c>
      <c r="S182">
        <f t="shared" ref="S182" si="888">R182/100000</f>
        <v>-3575.0302814586084</v>
      </c>
      <c r="T182">
        <f t="shared" ref="T182" si="889">S182/1000</f>
        <v>-3.5750302814586083</v>
      </c>
    </row>
    <row r="183" spans="1:20" x14ac:dyDescent="0.25">
      <c r="A183" s="5">
        <v>44410</v>
      </c>
      <c r="B183">
        <v>0.15429999999999999</v>
      </c>
      <c r="C183">
        <v>0.16139999999999999</v>
      </c>
      <c r="D183">
        <v>0.15079999999999999</v>
      </c>
      <c r="E183">
        <v>0.1527</v>
      </c>
      <c r="F183">
        <v>6778818.3700000001</v>
      </c>
      <c r="G183">
        <v>0.1527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-0.64150943396226168</v>
      </c>
      <c r="Q183">
        <f t="shared" ref="Q183" si="891">F183*P183</f>
        <v>-4348675.9354716819</v>
      </c>
      <c r="R183">
        <f t="shared" ref="R183" si="892">R184+Q183</f>
        <v>-355544515.53396893</v>
      </c>
      <c r="S183">
        <f t="shared" ref="S183" si="893">R183/100000</f>
        <v>-3555.4451553396893</v>
      </c>
      <c r="T183">
        <f t="shared" ref="T183" si="894">S183/1000</f>
        <v>-3.5554451553396893</v>
      </c>
    </row>
    <row r="184" spans="1:20" x14ac:dyDescent="0.25">
      <c r="A184" s="5">
        <v>44409</v>
      </c>
      <c r="B184">
        <v>0.1638</v>
      </c>
      <c r="C184">
        <v>0.1658</v>
      </c>
      <c r="D184">
        <v>0.1537</v>
      </c>
      <c r="E184">
        <v>0.1545</v>
      </c>
      <c r="F184">
        <v>15161382.869999999</v>
      </c>
      <c r="G184">
        <v>0.1545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-0.86776859504132309</v>
      </c>
      <c r="Q184">
        <f t="shared" ref="Q184" si="896">F184*P184</f>
        <v>-13156571.911983483</v>
      </c>
      <c r="R184">
        <f t="shared" ref="R184" si="897">R185+Q184</f>
        <v>-351195839.59849727</v>
      </c>
      <c r="S184">
        <f t="shared" ref="S184" si="898">R184/100000</f>
        <v>-3511.9583959849729</v>
      </c>
      <c r="T184">
        <f t="shared" ref="T184" si="899">S184/1000</f>
        <v>-3.5119583959849727</v>
      </c>
    </row>
    <row r="185" spans="1:20" x14ac:dyDescent="0.25">
      <c r="A185" s="5">
        <v>44408</v>
      </c>
      <c r="B185">
        <v>0.15570000000000001</v>
      </c>
      <c r="C185">
        <v>0.1784</v>
      </c>
      <c r="D185">
        <v>0.15190000000000001</v>
      </c>
      <c r="E185">
        <v>0.16320000000000001</v>
      </c>
      <c r="F185">
        <v>154265091.25999999</v>
      </c>
      <c r="G185">
        <v>0.16320000000000001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-0.14716981132075424</v>
      </c>
      <c r="Q185">
        <f t="shared" ref="Q185" si="901">F185*P185</f>
        <v>-22703164.374113131</v>
      </c>
      <c r="R185">
        <f t="shared" ref="R185" si="902">R186+Q185</f>
        <v>-338039267.68651378</v>
      </c>
      <c r="S185">
        <f t="shared" ref="S185" si="903">R185/100000</f>
        <v>-3380.3926768651377</v>
      </c>
      <c r="T185">
        <f t="shared" ref="T185" si="904">S185/1000</f>
        <v>-3.3803926768651378</v>
      </c>
    </row>
    <row r="186" spans="1:20" x14ac:dyDescent="0.25">
      <c r="A186" s="5">
        <v>44407</v>
      </c>
      <c r="B186">
        <v>0.14419999999999999</v>
      </c>
      <c r="C186">
        <v>0.156</v>
      </c>
      <c r="D186">
        <v>0.1361</v>
      </c>
      <c r="E186">
        <v>0.155</v>
      </c>
      <c r="F186">
        <v>24555908.149999999</v>
      </c>
      <c r="G186">
        <v>0.155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0.89949748743718583</v>
      </c>
      <c r="Q186">
        <f t="shared" ref="Q186" si="906">F186*P186</f>
        <v>22087977.682663314</v>
      </c>
      <c r="R186">
        <f t="shared" ref="R186" si="907">R187+Q186</f>
        <v>-315336103.31240064</v>
      </c>
      <c r="S186">
        <f t="shared" ref="S186" si="908">R186/100000</f>
        <v>-3153.3610331240066</v>
      </c>
      <c r="T186">
        <f t="shared" ref="T186" si="909">S186/1000</f>
        <v>-3.1533610331240065</v>
      </c>
    </row>
    <row r="187" spans="1:20" x14ac:dyDescent="0.25">
      <c r="A187" s="5">
        <v>44406</v>
      </c>
      <c r="B187">
        <v>0.1363</v>
      </c>
      <c r="C187">
        <v>0.14680000000000001</v>
      </c>
      <c r="D187">
        <v>0.1343</v>
      </c>
      <c r="E187">
        <v>0.1439</v>
      </c>
      <c r="F187">
        <v>12302170.77</v>
      </c>
      <c r="G187">
        <v>0.1439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0.53599999999999826</v>
      </c>
      <c r="Q187">
        <f t="shared" ref="Q187" si="911">F187*P187</f>
        <v>6593963.5327199781</v>
      </c>
      <c r="R187">
        <f t="shared" ref="R187" si="912">R188+Q187</f>
        <v>-337424080.99506396</v>
      </c>
      <c r="S187">
        <f t="shared" ref="S187" si="913">R187/100000</f>
        <v>-3374.2408099506397</v>
      </c>
      <c r="T187">
        <f t="shared" ref="T187" si="914">S187/1000</f>
        <v>-3.3742408099506398</v>
      </c>
    </row>
    <row r="188" spans="1:20" x14ac:dyDescent="0.25">
      <c r="A188" s="5">
        <v>44405</v>
      </c>
      <c r="B188">
        <v>0.13950000000000001</v>
      </c>
      <c r="C188">
        <v>0.1419</v>
      </c>
      <c r="D188">
        <v>0.1338</v>
      </c>
      <c r="E188">
        <v>0.13589999999999999</v>
      </c>
      <c r="F188">
        <v>6266304.4199999999</v>
      </c>
      <c r="G188">
        <v>0.13589999999999999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-0.48148148148148351</v>
      </c>
      <c r="Q188">
        <f t="shared" ref="Q188" si="916">F188*P188</f>
        <v>-3017109.5355555681</v>
      </c>
      <c r="R188">
        <f t="shared" ref="R188" si="917">R189+Q188</f>
        <v>-344018044.52778393</v>
      </c>
      <c r="S188">
        <f t="shared" ref="S188" si="918">R188/100000</f>
        <v>-3440.1804452778392</v>
      </c>
      <c r="T188">
        <f t="shared" ref="T188" si="919">S188/1000</f>
        <v>-3.4401804452778393</v>
      </c>
    </row>
    <row r="189" spans="1:20" x14ac:dyDescent="0.25">
      <c r="A189" s="5">
        <v>44404</v>
      </c>
      <c r="B189">
        <v>0.13700000000000001</v>
      </c>
      <c r="C189">
        <v>0.14050000000000001</v>
      </c>
      <c r="D189">
        <v>0.13170000000000001</v>
      </c>
      <c r="E189">
        <v>0.14000000000000001</v>
      </c>
      <c r="F189">
        <v>6553404.9000000004</v>
      </c>
      <c r="G189">
        <v>0.14000000000000001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0.88636363636363624</v>
      </c>
      <c r="Q189">
        <f t="shared" ref="Q189" si="921">F189*P189</f>
        <v>5808699.7977272719</v>
      </c>
      <c r="R189">
        <f t="shared" ref="R189" si="922">R190+Q189</f>
        <v>-341000934.99222839</v>
      </c>
      <c r="S189">
        <f t="shared" ref="S189" si="923">R189/100000</f>
        <v>-3410.0093499222839</v>
      </c>
      <c r="T189">
        <f t="shared" ref="T189" si="924">S189/1000</f>
        <v>-3.4100093499222841</v>
      </c>
    </row>
    <row r="190" spans="1:20" x14ac:dyDescent="0.25">
      <c r="A190" s="5">
        <v>44403</v>
      </c>
      <c r="B190">
        <v>0.1424</v>
      </c>
      <c r="C190">
        <v>0.154</v>
      </c>
      <c r="D190">
        <v>0.13519999999999999</v>
      </c>
      <c r="E190">
        <v>0.13619999999999999</v>
      </c>
      <c r="F190">
        <v>14750337.560000001</v>
      </c>
      <c r="G190">
        <v>0.13619999999999999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-0.8936170212765957</v>
      </c>
      <c r="Q190">
        <f t="shared" ref="Q190" si="926">F190*P190</f>
        <v>-13181152.713191489</v>
      </c>
      <c r="R190">
        <f t="shared" ref="R190" si="927">R191+Q190</f>
        <v>-346809634.78995568</v>
      </c>
      <c r="S190">
        <f t="shared" ref="S190" si="928">R190/100000</f>
        <v>-3468.0963478995568</v>
      </c>
      <c r="T190">
        <f t="shared" ref="T190" si="929">S190/1000</f>
        <v>-3.4680963478995568</v>
      </c>
    </row>
    <row r="191" spans="1:20" x14ac:dyDescent="0.25">
      <c r="A191" s="5">
        <v>44402</v>
      </c>
      <c r="B191">
        <v>0.1404</v>
      </c>
      <c r="C191">
        <v>0.1457</v>
      </c>
      <c r="D191">
        <v>0.13669999999999999</v>
      </c>
      <c r="E191">
        <v>0.14249999999999999</v>
      </c>
      <c r="F191">
        <v>7246651.6299999999</v>
      </c>
      <c r="G191">
        <v>0.14249999999999999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0.28888888888888764</v>
      </c>
      <c r="Q191">
        <f t="shared" ref="Q191" si="931">F191*P191</f>
        <v>2093477.1375555466</v>
      </c>
      <c r="R191">
        <f t="shared" ref="R191" si="932">R192+Q191</f>
        <v>-333628482.07676417</v>
      </c>
      <c r="S191">
        <f t="shared" ref="S191" si="933">R191/100000</f>
        <v>-3336.2848207676416</v>
      </c>
      <c r="T191">
        <f t="shared" ref="T191:T197" si="934">S191/1000</f>
        <v>-3.3362848207676414</v>
      </c>
    </row>
    <row r="192" spans="1:20" x14ac:dyDescent="0.25">
      <c r="A192" s="5">
        <v>44401</v>
      </c>
      <c r="B192">
        <v>0.1366</v>
      </c>
      <c r="C192">
        <v>0.1525</v>
      </c>
      <c r="D192">
        <v>0.13300000000000001</v>
      </c>
      <c r="E192">
        <v>0.1404</v>
      </c>
      <c r="F192">
        <v>11162692.52</v>
      </c>
      <c r="G192">
        <v>0.1404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-0.24102564102564164</v>
      </c>
      <c r="Q192">
        <f t="shared" ref="Q192" si="936">F192*P192</f>
        <v>-2690495.1202051351</v>
      </c>
      <c r="R192">
        <f t="shared" ref="R192" si="937">R193+Q192</f>
        <v>-335721959.21431971</v>
      </c>
      <c r="S192">
        <f t="shared" ref="S192" si="938">R192/100000</f>
        <v>-3357.2195921431971</v>
      </c>
      <c r="T192">
        <f t="shared" si="934"/>
        <v>-3.3572195921431973</v>
      </c>
    </row>
    <row r="193" spans="1:20" x14ac:dyDescent="0.25">
      <c r="A193" s="5">
        <v>44400</v>
      </c>
      <c r="B193">
        <v>0.12659999999999999</v>
      </c>
      <c r="C193">
        <v>0.14080000000000001</v>
      </c>
      <c r="D193">
        <v>0.1245</v>
      </c>
      <c r="E193">
        <v>0.1366</v>
      </c>
      <c r="F193">
        <v>8884412.2699999996</v>
      </c>
      <c r="G193">
        <v>0.1366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0.48466257668711571</v>
      </c>
      <c r="Q193">
        <f t="shared" ref="Q193" si="940">F193*P193</f>
        <v>4305942.1431288263</v>
      </c>
      <c r="R193">
        <f t="shared" ref="R193" si="941">R194+Q193</f>
        <v>-333031464.09411454</v>
      </c>
      <c r="S193">
        <f t="shared" ref="S193" si="942">R193/100000</f>
        <v>-3330.3146409411456</v>
      </c>
      <c r="T193">
        <f t="shared" si="934"/>
        <v>-3.3303146409411455</v>
      </c>
    </row>
    <row r="194" spans="1:20" x14ac:dyDescent="0.25">
      <c r="A194" s="5">
        <v>44399</v>
      </c>
      <c r="B194">
        <v>0.1249</v>
      </c>
      <c r="C194">
        <v>0.12989999999999999</v>
      </c>
      <c r="D194">
        <v>0.1215</v>
      </c>
      <c r="E194">
        <v>0.12659999999999999</v>
      </c>
      <c r="F194">
        <v>7777155.2199999997</v>
      </c>
      <c r="G194">
        <v>0.12659999999999999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0.21428571428571405</v>
      </c>
      <c r="Q194">
        <f t="shared" ref="Q194" si="944">F194*P194</f>
        <v>1666533.2614285694</v>
      </c>
      <c r="R194">
        <f t="shared" ref="R194" si="945">R195+Q194</f>
        <v>-337337406.23724335</v>
      </c>
      <c r="S194">
        <f t="shared" ref="S194" si="946">R194/100000</f>
        <v>-3373.3740623724334</v>
      </c>
      <c r="T194">
        <f t="shared" si="934"/>
        <v>-3.3733740623724335</v>
      </c>
    </row>
    <row r="195" spans="1:20" x14ac:dyDescent="0.25">
      <c r="A195" s="5">
        <v>44398</v>
      </c>
      <c r="B195">
        <v>0.1172</v>
      </c>
      <c r="C195">
        <v>0.1323</v>
      </c>
      <c r="D195">
        <v>0.1139</v>
      </c>
      <c r="E195">
        <v>0.12509999999999999</v>
      </c>
      <c r="F195">
        <v>18298236.539999999</v>
      </c>
      <c r="G195">
        <v>0.12509999999999999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0.21739130434782478</v>
      </c>
      <c r="Q195">
        <f t="shared" ref="Q195" si="948">F195*P195</f>
        <v>3977877.508695628</v>
      </c>
      <c r="R195">
        <f t="shared" ref="R195" si="949">R196+Q195</f>
        <v>-339003939.49867195</v>
      </c>
      <c r="S195">
        <f t="shared" ref="S195" si="950">R195/100000</f>
        <v>-3390.0393949867193</v>
      </c>
      <c r="T195">
        <f t="shared" si="934"/>
        <v>-3.3900393949867191</v>
      </c>
    </row>
    <row r="196" spans="1:20" x14ac:dyDescent="0.25">
      <c r="A196" s="5">
        <v>44397</v>
      </c>
      <c r="B196">
        <v>0.1245</v>
      </c>
      <c r="C196">
        <v>0.12540000000000001</v>
      </c>
      <c r="D196">
        <v>0.1134</v>
      </c>
      <c r="E196">
        <v>0.1168</v>
      </c>
      <c r="F196">
        <v>5754407.1100000003</v>
      </c>
      <c r="G196">
        <v>0.1168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-0.43333333333333379</v>
      </c>
      <c r="Q196">
        <f t="shared" ref="Q196" si="952">F196*P196</f>
        <v>-2493576.4143333361</v>
      </c>
      <c r="R196">
        <f t="shared" ref="R196" si="953">R197+Q196</f>
        <v>-342981817.00736755</v>
      </c>
      <c r="S196">
        <f t="shared" ref="S196" si="954">R196/100000</f>
        <v>-3429.8181700736754</v>
      </c>
      <c r="T196">
        <f t="shared" si="934"/>
        <v>-3.4298181700736756</v>
      </c>
    </row>
    <row r="197" spans="1:20" x14ac:dyDescent="0.25">
      <c r="A197" s="5">
        <v>44396</v>
      </c>
      <c r="B197">
        <v>0.1343</v>
      </c>
      <c r="C197">
        <v>0.13539999999999999</v>
      </c>
      <c r="D197">
        <v>0.12280000000000001</v>
      </c>
      <c r="E197">
        <v>0.12470000000000001</v>
      </c>
      <c r="F197">
        <v>7812093.9400000004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-0.69841269841269826</v>
      </c>
      <c r="Q197">
        <f t="shared" ref="Q197" si="956">F197*P197</f>
        <v>-5456065.6088888878</v>
      </c>
      <c r="R197">
        <f t="shared" ref="R197" si="957">R198+Q197</f>
        <v>-340488240.59303421</v>
      </c>
      <c r="S197">
        <f t="shared" ref="S197" si="958">R197/100000</f>
        <v>-3404.882405930342</v>
      </c>
      <c r="T197">
        <f t="shared" si="934"/>
        <v>-3.404882405930342</v>
      </c>
    </row>
    <row r="198" spans="1:20" x14ac:dyDescent="0.25">
      <c r="A198" s="5">
        <v>44395</v>
      </c>
      <c r="B198">
        <v>0.13730000000000001</v>
      </c>
      <c r="C198">
        <v>0.1424</v>
      </c>
      <c r="D198">
        <v>0.13320000000000001</v>
      </c>
      <c r="E198">
        <v>0.1343</v>
      </c>
      <c r="F198">
        <v>4971231.37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-0.76086956521739313</v>
      </c>
      <c r="Q198">
        <f t="shared" ref="Q198:Q261" si="960">F198*P198</f>
        <v>-3782458.6510869656</v>
      </c>
      <c r="R198">
        <f t="shared" ref="R198:R261" si="961">R199+Q198</f>
        <v>-335032174.98414534</v>
      </c>
      <c r="S198">
        <f t="shared" ref="S198:S261" si="962">R198/100000</f>
        <v>-3350.3217498414533</v>
      </c>
      <c r="T198">
        <f t="shared" ref="T198:T261" si="963">S198/1000</f>
        <v>-3.3503217498414535</v>
      </c>
    </row>
    <row r="199" spans="1:20" x14ac:dyDescent="0.25">
      <c r="A199" s="5">
        <v>44394</v>
      </c>
      <c r="B199">
        <v>0.13900000000000001</v>
      </c>
      <c r="C199">
        <v>0.1434</v>
      </c>
      <c r="D199">
        <v>0.13539999999999999</v>
      </c>
      <c r="E199">
        <v>0.13739999999999999</v>
      </c>
      <c r="F199">
        <v>5608879.9800000004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</v>
      </c>
      <c r="Q199">
        <f t="shared" si="960"/>
        <v>-2804439.99</v>
      </c>
      <c r="R199">
        <f t="shared" si="961"/>
        <v>-331249716.33305836</v>
      </c>
      <c r="S199">
        <f t="shared" si="962"/>
        <v>-3312.4971633305836</v>
      </c>
      <c r="T199">
        <f t="shared" si="963"/>
        <v>-3.3124971633305837</v>
      </c>
    </row>
    <row r="200" spans="1:20" x14ac:dyDescent="0.25">
      <c r="A200" s="5">
        <v>44393</v>
      </c>
      <c r="B200">
        <v>0.14430000000000001</v>
      </c>
      <c r="C200">
        <v>0.159</v>
      </c>
      <c r="D200">
        <v>0.1351</v>
      </c>
      <c r="E200">
        <v>0.13869999999999999</v>
      </c>
      <c r="F200">
        <v>12322517.65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-0.69874476987447776</v>
      </c>
      <c r="Q200">
        <f t="shared" si="960"/>
        <v>-8610294.75962344</v>
      </c>
      <c r="R200">
        <f t="shared" si="961"/>
        <v>-328445276.34305835</v>
      </c>
      <c r="S200">
        <f t="shared" si="962"/>
        <v>-3284.4527634305837</v>
      </c>
      <c r="T200">
        <f t="shared" si="963"/>
        <v>-3.2844527634305836</v>
      </c>
    </row>
    <row r="201" spans="1:20" x14ac:dyDescent="0.25">
      <c r="A201" s="5">
        <v>44392</v>
      </c>
      <c r="B201">
        <v>0.1512</v>
      </c>
      <c r="C201">
        <v>0.16439999999999999</v>
      </c>
      <c r="D201">
        <v>0.1351</v>
      </c>
      <c r="E201">
        <v>0.14419999999999999</v>
      </c>
      <c r="F201">
        <v>21514779.739999998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-0.37883959044368604</v>
      </c>
      <c r="Q201">
        <f t="shared" si="960"/>
        <v>-8150650.3451877134</v>
      </c>
      <c r="R201">
        <f t="shared" si="961"/>
        <v>-319834981.58343488</v>
      </c>
      <c r="S201">
        <f t="shared" si="962"/>
        <v>-3198.3498158343486</v>
      </c>
      <c r="T201">
        <f t="shared" si="963"/>
        <v>-3.1983498158343489</v>
      </c>
    </row>
    <row r="202" spans="1:20" x14ac:dyDescent="0.25">
      <c r="A202" s="5">
        <v>44391</v>
      </c>
      <c r="B202">
        <v>0.13980000000000001</v>
      </c>
      <c r="C202">
        <v>0.159</v>
      </c>
      <c r="D202">
        <v>0.1313</v>
      </c>
      <c r="E202">
        <v>0.15140000000000001</v>
      </c>
      <c r="F202">
        <v>8146445.5099999998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0.45126353790613755</v>
      </c>
      <c r="Q202">
        <f t="shared" si="960"/>
        <v>3676193.8222021689</v>
      </c>
      <c r="R202">
        <f t="shared" si="961"/>
        <v>-311684331.23824716</v>
      </c>
      <c r="S202">
        <f t="shared" si="962"/>
        <v>-3116.8433123824716</v>
      </c>
      <c r="T202">
        <f t="shared" si="963"/>
        <v>-3.1168433123824717</v>
      </c>
    </row>
    <row r="203" spans="1:20" x14ac:dyDescent="0.25">
      <c r="A203" s="5">
        <v>44390</v>
      </c>
      <c r="B203">
        <v>0.14199999999999999</v>
      </c>
      <c r="C203">
        <v>0.14480000000000001</v>
      </c>
      <c r="D203">
        <v>0.1389</v>
      </c>
      <c r="E203">
        <v>0.13980000000000001</v>
      </c>
      <c r="F203">
        <v>4895540.82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-0.69491525423728495</v>
      </c>
      <c r="Q203">
        <f t="shared" si="960"/>
        <v>-3401985.9935593065</v>
      </c>
      <c r="R203">
        <f t="shared" si="961"/>
        <v>-315360525.0604493</v>
      </c>
      <c r="S203">
        <f t="shared" si="962"/>
        <v>-3153.605250604493</v>
      </c>
      <c r="T203">
        <f t="shared" si="963"/>
        <v>-3.1536052506044929</v>
      </c>
    </row>
    <row r="204" spans="1:20" x14ac:dyDescent="0.25">
      <c r="A204" s="5">
        <v>44389</v>
      </c>
      <c r="B204">
        <v>0.15079999999999999</v>
      </c>
      <c r="C204">
        <v>0.15459999999999999</v>
      </c>
      <c r="D204">
        <v>0.1386</v>
      </c>
      <c r="E204">
        <v>0.14230000000000001</v>
      </c>
      <c r="F204">
        <v>4340613.93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-0.53749999999999853</v>
      </c>
      <c r="Q204">
        <f t="shared" si="960"/>
        <v>-2333079.9873749935</v>
      </c>
      <c r="R204">
        <f t="shared" si="961"/>
        <v>-311958539.06689</v>
      </c>
      <c r="S204">
        <f t="shared" si="962"/>
        <v>-3119.5853906688999</v>
      </c>
      <c r="T204">
        <f t="shared" si="963"/>
        <v>-3.1195853906688997</v>
      </c>
    </row>
    <row r="205" spans="1:20" x14ac:dyDescent="0.25">
      <c r="A205" s="5">
        <v>44388</v>
      </c>
      <c r="B205">
        <v>0.14280000000000001</v>
      </c>
      <c r="C205">
        <v>0.152</v>
      </c>
      <c r="D205">
        <v>0.14130000000000001</v>
      </c>
      <c r="E205">
        <v>0.15079999999999999</v>
      </c>
      <c r="F205">
        <v>6993879.9800000004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0.77570093457943778</v>
      </c>
      <c r="Q205">
        <f t="shared" si="960"/>
        <v>5425159.2368224198</v>
      </c>
      <c r="R205">
        <f t="shared" si="961"/>
        <v>-309625459.07951498</v>
      </c>
      <c r="S205">
        <f t="shared" si="962"/>
        <v>-3096.2545907951499</v>
      </c>
      <c r="T205">
        <f t="shared" si="963"/>
        <v>-3.0962545907951498</v>
      </c>
    </row>
    <row r="206" spans="1:20" x14ac:dyDescent="0.25">
      <c r="A206" s="5">
        <v>44387</v>
      </c>
      <c r="B206">
        <v>0.14760000000000001</v>
      </c>
      <c r="C206">
        <v>0.152</v>
      </c>
      <c r="D206">
        <v>0.14069999999999999</v>
      </c>
      <c r="E206">
        <v>0.14280000000000001</v>
      </c>
      <c r="F206">
        <v>3473372.75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-0.62831858407079333</v>
      </c>
      <c r="Q206">
        <f t="shared" si="960"/>
        <v>-2182384.6482300777</v>
      </c>
      <c r="R206">
        <f t="shared" si="961"/>
        <v>-315050618.31633741</v>
      </c>
      <c r="S206">
        <f t="shared" si="962"/>
        <v>-3150.5061831633739</v>
      </c>
      <c r="T206">
        <f t="shared" si="963"/>
        <v>-3.1505061831633738</v>
      </c>
    </row>
    <row r="207" spans="1:20" x14ac:dyDescent="0.25">
      <c r="A207" s="5">
        <v>44386</v>
      </c>
      <c r="B207">
        <v>0.14560000000000001</v>
      </c>
      <c r="C207">
        <v>0.15160000000000001</v>
      </c>
      <c r="D207">
        <v>0.1381</v>
      </c>
      <c r="E207">
        <v>0.14779999999999999</v>
      </c>
      <c r="F207">
        <v>11427455.76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0.43703703703703373</v>
      </c>
      <c r="Q207">
        <f t="shared" si="960"/>
        <v>4994221.4062221842</v>
      </c>
      <c r="R207">
        <f t="shared" si="961"/>
        <v>-312868233.66810733</v>
      </c>
      <c r="S207">
        <f t="shared" si="962"/>
        <v>-3128.6823366810731</v>
      </c>
      <c r="T207">
        <f t="shared" si="963"/>
        <v>-3.1286823366810732</v>
      </c>
    </row>
    <row r="208" spans="1:20" x14ac:dyDescent="0.25">
      <c r="A208" s="5">
        <v>44385</v>
      </c>
      <c r="B208">
        <v>0.1603</v>
      </c>
      <c r="C208">
        <v>0.16300000000000001</v>
      </c>
      <c r="D208">
        <v>0.14399999999999999</v>
      </c>
      <c r="E208">
        <v>0.1454</v>
      </c>
      <c r="F208">
        <v>12458994.27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-0.8526315789473673</v>
      </c>
      <c r="Q208">
        <f t="shared" si="960"/>
        <v>-10622931.956526302</v>
      </c>
      <c r="R208">
        <f t="shared" si="961"/>
        <v>-317862455.0743295</v>
      </c>
      <c r="S208">
        <f t="shared" si="962"/>
        <v>-3178.624550743295</v>
      </c>
      <c r="T208">
        <f t="shared" si="963"/>
        <v>-3.1786245507432951</v>
      </c>
    </row>
    <row r="209" spans="1:20" x14ac:dyDescent="0.25">
      <c r="A209" s="5">
        <v>44384</v>
      </c>
      <c r="B209">
        <v>0.15379999999999999</v>
      </c>
      <c r="C209">
        <v>0.17599999999999999</v>
      </c>
      <c r="D209">
        <v>0.15049999999999999</v>
      </c>
      <c r="E209">
        <v>0.16009999999999999</v>
      </c>
      <c r="F209">
        <v>19436599.34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-0.2470588235294118</v>
      </c>
      <c r="Q209">
        <f t="shared" si="960"/>
        <v>-4801983.3663529418</v>
      </c>
      <c r="R209">
        <f t="shared" si="961"/>
        <v>-307239523.11780322</v>
      </c>
      <c r="S209">
        <f t="shared" si="962"/>
        <v>-3072.3952311780322</v>
      </c>
      <c r="T209">
        <f t="shared" si="963"/>
        <v>-3.072395231178032</v>
      </c>
    </row>
    <row r="210" spans="1:20" x14ac:dyDescent="0.25">
      <c r="A210" s="5">
        <v>44383</v>
      </c>
      <c r="B210">
        <v>0.14449999999999999</v>
      </c>
      <c r="C210">
        <v>0.155</v>
      </c>
      <c r="D210">
        <v>0.14319999999999999</v>
      </c>
      <c r="E210">
        <v>0.15459999999999999</v>
      </c>
      <c r="F210">
        <v>8955253.1600000001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0.93220338983050655</v>
      </c>
      <c r="Q210">
        <f t="shared" si="960"/>
        <v>8348117.3525423557</v>
      </c>
      <c r="R210">
        <f t="shared" si="961"/>
        <v>-302437539.7514503</v>
      </c>
      <c r="S210">
        <f t="shared" si="962"/>
        <v>-3024.3753975145032</v>
      </c>
      <c r="T210">
        <f t="shared" si="963"/>
        <v>-3.0243753975145031</v>
      </c>
    </row>
    <row r="211" spans="1:20" x14ac:dyDescent="0.25">
      <c r="A211" s="5">
        <v>44382</v>
      </c>
      <c r="B211">
        <v>0.15759999999999999</v>
      </c>
      <c r="C211">
        <v>0.15759999999999999</v>
      </c>
      <c r="D211">
        <v>0.14019999999999999</v>
      </c>
      <c r="E211">
        <v>0.14449999999999999</v>
      </c>
      <c r="F211">
        <v>5923260.71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-0.50574712643678177</v>
      </c>
      <c r="Q211">
        <f t="shared" si="960"/>
        <v>-2995672.0832183915</v>
      </c>
      <c r="R211">
        <f t="shared" si="961"/>
        <v>-310785657.10399264</v>
      </c>
      <c r="S211">
        <f t="shared" si="962"/>
        <v>-3107.8565710399266</v>
      </c>
      <c r="T211">
        <f t="shared" si="963"/>
        <v>-3.1078565710399264</v>
      </c>
    </row>
    <row r="212" spans="1:20" x14ac:dyDescent="0.25">
      <c r="A212" s="5">
        <v>44381</v>
      </c>
      <c r="B212">
        <v>0.15290000000000001</v>
      </c>
      <c r="C212">
        <v>0.1595</v>
      </c>
      <c r="D212">
        <v>0.14940000000000001</v>
      </c>
      <c r="E212">
        <v>0.15759999999999999</v>
      </c>
      <c r="F212">
        <v>8263653.75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0.6237623762376211</v>
      </c>
      <c r="Q212">
        <f t="shared" si="960"/>
        <v>5154556.2995049283</v>
      </c>
      <c r="R212">
        <f t="shared" si="961"/>
        <v>-307789985.02077425</v>
      </c>
      <c r="S212">
        <f t="shared" si="962"/>
        <v>-3077.8998502077425</v>
      </c>
      <c r="T212">
        <f t="shared" si="963"/>
        <v>-3.0778998502077424</v>
      </c>
    </row>
    <row r="213" spans="1:20" x14ac:dyDescent="0.25">
      <c r="A213" s="5">
        <v>44380</v>
      </c>
      <c r="B213">
        <v>0.15359999999999999</v>
      </c>
      <c r="C213">
        <v>0.15870000000000001</v>
      </c>
      <c r="D213">
        <v>0.14949999999999999</v>
      </c>
      <c r="E213">
        <v>0.15290000000000001</v>
      </c>
      <c r="F213">
        <v>6115677.4199999999</v>
      </c>
      <c r="G213">
        <v>0</v>
      </c>
      <c r="L213" t="s">
        <v>7</v>
      </c>
      <c r="M213" t="s">
        <v>7</v>
      </c>
      <c r="N213" t="s">
        <v>8</v>
      </c>
      <c r="P213">
        <f t="shared" si="959"/>
        <v>-0.26086956521738935</v>
      </c>
      <c r="Q213">
        <f t="shared" si="960"/>
        <v>-1595394.1095652054</v>
      </c>
      <c r="R213">
        <f t="shared" si="961"/>
        <v>-312944541.32027918</v>
      </c>
      <c r="S213">
        <f t="shared" si="962"/>
        <v>-3129.4454132027918</v>
      </c>
      <c r="T213">
        <f t="shared" si="963"/>
        <v>-3.1294454132027916</v>
      </c>
    </row>
    <row r="214" spans="1:20" x14ac:dyDescent="0.25">
      <c r="A214" s="5">
        <v>44379</v>
      </c>
      <c r="B214">
        <v>0.1605</v>
      </c>
      <c r="C214">
        <v>0.16259999999999999</v>
      </c>
      <c r="D214">
        <v>0.14979999999999999</v>
      </c>
      <c r="E214">
        <v>0.15359999999999999</v>
      </c>
      <c r="F214">
        <v>6290838.1500000004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-0.40625000000000061</v>
      </c>
      <c r="Q214">
        <f t="shared" si="960"/>
        <v>-2555652.9984375038</v>
      </c>
      <c r="R214">
        <f t="shared" si="961"/>
        <v>-311349147.21071398</v>
      </c>
      <c r="S214">
        <f t="shared" si="962"/>
        <v>-3113.49147210714</v>
      </c>
      <c r="T214">
        <f t="shared" si="963"/>
        <v>-3.1134914721071398</v>
      </c>
    </row>
    <row r="215" spans="1:20" x14ac:dyDescent="0.25">
      <c r="A215" s="5">
        <v>44378</v>
      </c>
      <c r="B215">
        <v>0.17710000000000001</v>
      </c>
      <c r="C215">
        <v>0.18840000000000001</v>
      </c>
      <c r="D215">
        <v>0.15709999999999999</v>
      </c>
      <c r="E215">
        <v>0.16070000000000001</v>
      </c>
      <c r="F215">
        <v>17707330.969999999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-0.76996805111820976</v>
      </c>
      <c r="Q215">
        <f t="shared" si="960"/>
        <v>-13634079.117476018</v>
      </c>
      <c r="R215">
        <f t="shared" si="961"/>
        <v>-308793494.21227646</v>
      </c>
      <c r="S215">
        <f t="shared" si="962"/>
        <v>-3087.9349421227644</v>
      </c>
      <c r="T215">
        <f t="shared" si="963"/>
        <v>-3.0879349421227644</v>
      </c>
    </row>
    <row r="216" spans="1:20" x14ac:dyDescent="0.25">
      <c r="A216" s="5">
        <v>44377</v>
      </c>
      <c r="B216">
        <v>0.1547</v>
      </c>
      <c r="C216">
        <v>0.193</v>
      </c>
      <c r="D216">
        <v>0.1431</v>
      </c>
      <c r="E216">
        <v>0.17730000000000001</v>
      </c>
      <c r="F216">
        <v>45504573.68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0.37074148296593218</v>
      </c>
      <c r="Q216">
        <f t="shared" si="960"/>
        <v>16870433.127855726</v>
      </c>
      <c r="R216">
        <f t="shared" si="961"/>
        <v>-295159415.09480041</v>
      </c>
      <c r="S216">
        <f t="shared" si="962"/>
        <v>-2951.594150948004</v>
      </c>
      <c r="T216">
        <f t="shared" si="963"/>
        <v>-2.9515941509480039</v>
      </c>
    </row>
    <row r="217" spans="1:20" x14ac:dyDescent="0.25">
      <c r="A217" s="5">
        <v>44376</v>
      </c>
      <c r="B217">
        <v>0.1444</v>
      </c>
      <c r="C217">
        <v>0.16600000000000001</v>
      </c>
      <c r="D217">
        <v>0.14249999999999999</v>
      </c>
      <c r="E217">
        <v>0.155</v>
      </c>
      <c r="F217">
        <v>12622522.82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6.3829787234042548E-2</v>
      </c>
      <c r="Q217">
        <f t="shared" si="960"/>
        <v>805692.94595744682</v>
      </c>
      <c r="R217">
        <f t="shared" si="961"/>
        <v>-312029848.22265613</v>
      </c>
      <c r="S217">
        <f t="shared" si="962"/>
        <v>-3120.2984822265612</v>
      </c>
      <c r="T217">
        <f t="shared" si="963"/>
        <v>-3.1202984822265614</v>
      </c>
    </row>
    <row r="218" spans="1:20" x14ac:dyDescent="0.25">
      <c r="A218" s="5">
        <v>44375</v>
      </c>
      <c r="B218">
        <v>0.14119999999999999</v>
      </c>
      <c r="C218">
        <v>0.1547</v>
      </c>
      <c r="D218">
        <v>0.13800000000000001</v>
      </c>
      <c r="E218">
        <v>0.14449999999999999</v>
      </c>
      <c r="F218">
        <v>7495944.8600000003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-0.22155688622754721</v>
      </c>
      <c r="Q218">
        <f t="shared" si="960"/>
        <v>-1660778.2025149874</v>
      </c>
      <c r="R218">
        <f t="shared" si="961"/>
        <v>-312835541.16861355</v>
      </c>
      <c r="S218">
        <f t="shared" si="962"/>
        <v>-3128.3554116861355</v>
      </c>
      <c r="T218">
        <f t="shared" si="963"/>
        <v>-3.1283554116861354</v>
      </c>
    </row>
    <row r="219" spans="1:20" x14ac:dyDescent="0.25">
      <c r="A219" s="5">
        <v>44374</v>
      </c>
      <c r="B219">
        <v>0.1336</v>
      </c>
      <c r="C219">
        <v>0.15210000000000001</v>
      </c>
      <c r="D219">
        <v>0.13109999999999999</v>
      </c>
      <c r="E219">
        <v>0.1416</v>
      </c>
      <c r="F219">
        <v>16310219.529999999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</v>
      </c>
      <c r="Q219">
        <f t="shared" si="960"/>
        <v>0</v>
      </c>
      <c r="R219">
        <f t="shared" si="961"/>
        <v>-311174762.96609855</v>
      </c>
      <c r="S219">
        <f t="shared" si="962"/>
        <v>-3111.7476296609857</v>
      </c>
      <c r="T219">
        <f t="shared" si="963"/>
        <v>-3.1117476296609858</v>
      </c>
    </row>
    <row r="220" spans="1:20" x14ac:dyDescent="0.25">
      <c r="A220" s="5">
        <v>44373</v>
      </c>
      <c r="B220">
        <v>0.1414</v>
      </c>
      <c r="C220">
        <v>0.1452</v>
      </c>
      <c r="D220">
        <v>0.1265</v>
      </c>
      <c r="E220">
        <v>0.13350000000000001</v>
      </c>
      <c r="F220">
        <v>6225472.75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-0.25133689839572104</v>
      </c>
      <c r="Q220">
        <f t="shared" si="960"/>
        <v>-1564691.01203208</v>
      </c>
      <c r="R220">
        <f t="shared" si="961"/>
        <v>-311174762.96609855</v>
      </c>
      <c r="S220">
        <f t="shared" si="962"/>
        <v>-3111.7476296609857</v>
      </c>
      <c r="T220">
        <f t="shared" si="963"/>
        <v>-3.1117476296609858</v>
      </c>
    </row>
    <row r="221" spans="1:20" x14ac:dyDescent="0.25">
      <c r="A221" s="5">
        <v>44372</v>
      </c>
      <c r="B221">
        <v>0.16209999999999999</v>
      </c>
      <c r="C221">
        <v>0.16639999999999999</v>
      </c>
      <c r="D221">
        <v>0.13880000000000001</v>
      </c>
      <c r="E221">
        <v>0.14080000000000001</v>
      </c>
      <c r="F221">
        <v>7351935.4000000004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-0.85507246376811574</v>
      </c>
      <c r="Q221">
        <f t="shared" si="960"/>
        <v>-6286437.5159420278</v>
      </c>
      <c r="R221">
        <f t="shared" si="961"/>
        <v>-309610071.95406646</v>
      </c>
      <c r="S221">
        <f t="shared" si="962"/>
        <v>-3096.1007195406646</v>
      </c>
      <c r="T221">
        <f t="shared" si="963"/>
        <v>-3.0961007195406647</v>
      </c>
    </row>
    <row r="222" spans="1:20" x14ac:dyDescent="0.25">
      <c r="A222" s="5">
        <v>44371</v>
      </c>
      <c r="B222">
        <v>0.16470000000000001</v>
      </c>
      <c r="C222">
        <v>0.16980000000000001</v>
      </c>
      <c r="D222">
        <v>0.15559999999999999</v>
      </c>
      <c r="E222">
        <v>0.16209999999999999</v>
      </c>
      <c r="F222">
        <v>6311440.5099999998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-8.4507042253521486E-2</v>
      </c>
      <c r="Q222">
        <f t="shared" si="960"/>
        <v>-533361.16985915718</v>
      </c>
      <c r="R222">
        <f t="shared" si="961"/>
        <v>-303323634.43812442</v>
      </c>
      <c r="S222">
        <f t="shared" si="962"/>
        <v>-3033.2363443812442</v>
      </c>
      <c r="T222">
        <f t="shared" si="963"/>
        <v>-3.033236344381244</v>
      </c>
    </row>
    <row r="223" spans="1:20" x14ac:dyDescent="0.25">
      <c r="A223" s="5">
        <v>44370</v>
      </c>
      <c r="B223">
        <v>0.15970000000000001</v>
      </c>
      <c r="C223">
        <v>0.17280000000000001</v>
      </c>
      <c r="D223">
        <v>0.15529999999999999</v>
      </c>
      <c r="E223">
        <v>0.16439999999999999</v>
      </c>
      <c r="F223">
        <v>5584656.6500000004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3.9999999999998731E-2</v>
      </c>
      <c r="Q223">
        <f t="shared" si="960"/>
        <v>223386.26599999293</v>
      </c>
      <c r="R223">
        <f t="shared" si="961"/>
        <v>-302790273.26826525</v>
      </c>
      <c r="S223">
        <f t="shared" si="962"/>
        <v>-3027.9027326826526</v>
      </c>
      <c r="T223">
        <f t="shared" si="963"/>
        <v>-3.0279027326826524</v>
      </c>
    </row>
    <row r="224" spans="1:20" x14ac:dyDescent="0.25">
      <c r="A224" s="5">
        <v>44369</v>
      </c>
      <c r="B224">
        <v>0.17949999999999999</v>
      </c>
      <c r="C224">
        <v>0.1837</v>
      </c>
      <c r="D224">
        <v>0.13850000000000001</v>
      </c>
      <c r="E224">
        <v>0.1593</v>
      </c>
      <c r="F224">
        <v>15501518.26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-7.9646017699115501E-2</v>
      </c>
      <c r="Q224">
        <f t="shared" si="960"/>
        <v>-1234634.1976991221</v>
      </c>
      <c r="R224">
        <f t="shared" si="961"/>
        <v>-303013659.53426522</v>
      </c>
      <c r="S224">
        <f t="shared" si="962"/>
        <v>-3030.1365953426521</v>
      </c>
      <c r="T224">
        <f t="shared" si="963"/>
        <v>-3.0301365953426522</v>
      </c>
    </row>
    <row r="225" spans="1:20" x14ac:dyDescent="0.25">
      <c r="A225" s="5">
        <v>44368</v>
      </c>
      <c r="B225">
        <v>0.23949999999999999</v>
      </c>
      <c r="C225">
        <v>0.24060000000000001</v>
      </c>
      <c r="D225">
        <v>0.17949999999999999</v>
      </c>
      <c r="E225">
        <v>0.1797</v>
      </c>
      <c r="F225">
        <v>11254727.18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-0.99345335515548261</v>
      </c>
      <c r="Q225">
        <f t="shared" si="960"/>
        <v>-11181046.478330603</v>
      </c>
      <c r="R225">
        <f t="shared" si="961"/>
        <v>-301779025.33656609</v>
      </c>
      <c r="S225">
        <f t="shared" si="962"/>
        <v>-3017.7902533656611</v>
      </c>
      <c r="T225">
        <f t="shared" si="963"/>
        <v>-3.0177902533656611</v>
      </c>
    </row>
    <row r="226" spans="1:20" x14ac:dyDescent="0.25">
      <c r="A226" s="5">
        <v>44367</v>
      </c>
      <c r="B226">
        <v>0.2334</v>
      </c>
      <c r="C226">
        <v>0.255</v>
      </c>
      <c r="D226">
        <v>0.22209999999999999</v>
      </c>
      <c r="E226">
        <v>0.23949999999999999</v>
      </c>
      <c r="F226">
        <v>14209896.68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5.7750759878418975E-2</v>
      </c>
      <c r="Q226">
        <f t="shared" si="960"/>
        <v>820632.33106382296</v>
      </c>
      <c r="R226">
        <f t="shared" si="961"/>
        <v>-290597978.85823548</v>
      </c>
      <c r="S226">
        <f t="shared" si="962"/>
        <v>-2905.9797885823546</v>
      </c>
      <c r="T226">
        <f t="shared" si="963"/>
        <v>-2.9059797885823544</v>
      </c>
    </row>
    <row r="227" spans="1:20" x14ac:dyDescent="0.25">
      <c r="A227" s="5">
        <v>44366</v>
      </c>
      <c r="B227">
        <v>0.23630000000000001</v>
      </c>
      <c r="C227">
        <v>0.2457</v>
      </c>
      <c r="D227">
        <v>0.22789999999999999</v>
      </c>
      <c r="E227">
        <v>0.23419999999999999</v>
      </c>
      <c r="F227">
        <v>5270344.1399999997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-0.29213483146067454</v>
      </c>
      <c r="Q227">
        <f t="shared" si="960"/>
        <v>-1539651.0970786535</v>
      </c>
      <c r="R227">
        <f t="shared" si="961"/>
        <v>-291418611.18929929</v>
      </c>
      <c r="S227">
        <f t="shared" si="962"/>
        <v>-2914.1861118929928</v>
      </c>
      <c r="T227">
        <f t="shared" si="963"/>
        <v>-2.9141861118929926</v>
      </c>
    </row>
    <row r="228" spans="1:20" x14ac:dyDescent="0.25">
      <c r="A228" s="5">
        <v>44365</v>
      </c>
      <c r="B228">
        <v>0.26769999999999999</v>
      </c>
      <c r="C228">
        <v>0.27129999999999999</v>
      </c>
      <c r="D228">
        <v>0.23039999999999999</v>
      </c>
      <c r="E228">
        <v>0.2359</v>
      </c>
      <c r="F228">
        <v>7734597.96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-0.73105134474327604</v>
      </c>
      <c r="Q228">
        <f t="shared" si="960"/>
        <v>-5654388.2397065992</v>
      </c>
      <c r="R228">
        <f t="shared" si="961"/>
        <v>-289878960.0922206</v>
      </c>
      <c r="S228">
        <f t="shared" si="962"/>
        <v>-2898.7896009222059</v>
      </c>
      <c r="T228">
        <f t="shared" si="963"/>
        <v>-2.8987896009222061</v>
      </c>
    </row>
    <row r="229" spans="1:20" x14ac:dyDescent="0.25">
      <c r="A229" s="5">
        <v>44364</v>
      </c>
      <c r="B229">
        <v>0.26450000000000001</v>
      </c>
      <c r="C229">
        <v>0.27210000000000001</v>
      </c>
      <c r="D229">
        <v>0.25979999999999998</v>
      </c>
      <c r="E229">
        <v>0.2676</v>
      </c>
      <c r="F229">
        <v>5541779.96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0.26829268292683062</v>
      </c>
      <c r="Q229">
        <f t="shared" si="960"/>
        <v>1486819.013658544</v>
      </c>
      <c r="R229">
        <f t="shared" si="961"/>
        <v>-284224571.85251403</v>
      </c>
      <c r="S229">
        <f t="shared" si="962"/>
        <v>-2842.2457185251401</v>
      </c>
      <c r="T229">
        <f t="shared" si="963"/>
        <v>-2.84224571852514</v>
      </c>
    </row>
    <row r="230" spans="1:20" x14ac:dyDescent="0.25">
      <c r="A230" s="5">
        <v>44363</v>
      </c>
      <c r="B230">
        <v>0.28289999999999998</v>
      </c>
      <c r="C230">
        <v>0.28289999999999998</v>
      </c>
      <c r="D230">
        <v>0.2621</v>
      </c>
      <c r="E230">
        <v>0.26450000000000001</v>
      </c>
      <c r="F230">
        <v>7420666.1100000003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-0.76923076923076783</v>
      </c>
      <c r="Q230">
        <f t="shared" si="960"/>
        <v>-5708204.6999999899</v>
      </c>
      <c r="R230">
        <f t="shared" si="961"/>
        <v>-285711390.86617255</v>
      </c>
      <c r="S230">
        <f t="shared" si="962"/>
        <v>-2857.1139086617254</v>
      </c>
      <c r="T230">
        <f t="shared" si="963"/>
        <v>-2.8571139086617254</v>
      </c>
    </row>
    <row r="231" spans="1:20" x14ac:dyDescent="0.25">
      <c r="A231" s="5">
        <v>44362</v>
      </c>
      <c r="B231">
        <v>0.28420000000000001</v>
      </c>
      <c r="C231">
        <v>0.28949999999999998</v>
      </c>
      <c r="D231">
        <v>0.27379999999999999</v>
      </c>
      <c r="E231">
        <v>0.28249999999999997</v>
      </c>
      <c r="F231">
        <v>6610178.1100000003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0.1082802547770688</v>
      </c>
      <c r="Q231">
        <f t="shared" si="960"/>
        <v>715751.76987260312</v>
      </c>
      <c r="R231">
        <f t="shared" si="961"/>
        <v>-280003186.16617256</v>
      </c>
      <c r="S231">
        <f t="shared" si="962"/>
        <v>-2800.0318616617255</v>
      </c>
      <c r="T231">
        <f t="shared" si="963"/>
        <v>-2.8000318616617257</v>
      </c>
    </row>
    <row r="232" spans="1:20" x14ac:dyDescent="0.25">
      <c r="A232" s="5">
        <v>44361</v>
      </c>
      <c r="B232">
        <v>0.2858</v>
      </c>
      <c r="C232">
        <v>0.3</v>
      </c>
      <c r="D232">
        <v>0.2787</v>
      </c>
      <c r="E232">
        <v>0.28420000000000001</v>
      </c>
      <c r="F232">
        <v>17094210.5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-0.4835680751173701</v>
      </c>
      <c r="Q232">
        <f t="shared" si="960"/>
        <v>-8266214.4671361363</v>
      </c>
      <c r="R232">
        <f t="shared" si="961"/>
        <v>-280718937.93604517</v>
      </c>
      <c r="S232">
        <f t="shared" si="962"/>
        <v>-2807.1893793604518</v>
      </c>
      <c r="T232">
        <f t="shared" si="963"/>
        <v>-2.8071893793604517</v>
      </c>
    </row>
    <row r="233" spans="1:20" x14ac:dyDescent="0.25">
      <c r="A233" s="5">
        <v>44360</v>
      </c>
      <c r="B233">
        <v>0.28339999999999999</v>
      </c>
      <c r="C233">
        <v>0.2949</v>
      </c>
      <c r="D233">
        <v>0.2772</v>
      </c>
      <c r="E233">
        <v>0.28599999999999998</v>
      </c>
      <c r="F233">
        <v>32138181.239999998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-5.64971751412681E-3</v>
      </c>
      <c r="Q233">
        <f t="shared" si="960"/>
        <v>-181571.64542380968</v>
      </c>
      <c r="R233">
        <f t="shared" si="961"/>
        <v>-272452723.46890903</v>
      </c>
      <c r="S233">
        <f t="shared" si="962"/>
        <v>-2724.5272346890902</v>
      </c>
      <c r="T233">
        <f t="shared" si="963"/>
        <v>-2.7245272346890901</v>
      </c>
    </row>
    <row r="234" spans="1:20" x14ac:dyDescent="0.25">
      <c r="A234" s="5">
        <v>44359</v>
      </c>
      <c r="B234">
        <v>0.27250000000000002</v>
      </c>
      <c r="C234">
        <v>0.34179999999999999</v>
      </c>
      <c r="D234">
        <v>0.25600000000000001</v>
      </c>
      <c r="E234">
        <v>0.28339999999999999</v>
      </c>
      <c r="F234">
        <v>98124575.170000002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-0.36130536130536167</v>
      </c>
      <c r="Q234">
        <f t="shared" si="960"/>
        <v>-35452935.084731974</v>
      </c>
      <c r="R234">
        <f t="shared" si="961"/>
        <v>-272271151.8234852</v>
      </c>
      <c r="S234">
        <f t="shared" si="962"/>
        <v>-2722.7115182348521</v>
      </c>
      <c r="T234">
        <f t="shared" si="963"/>
        <v>-2.7227115182348522</v>
      </c>
    </row>
    <row r="235" spans="1:20" x14ac:dyDescent="0.25">
      <c r="A235" s="5">
        <v>44358</v>
      </c>
      <c r="B235">
        <v>0.26979999999999998</v>
      </c>
      <c r="C235">
        <v>0.3669</v>
      </c>
      <c r="D235">
        <v>0.26119999999999999</v>
      </c>
      <c r="E235">
        <v>0.2737</v>
      </c>
      <c r="F235">
        <v>107201733.77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-0.7634815515610216</v>
      </c>
      <c r="Q235">
        <f t="shared" si="960"/>
        <v>-81846546.028751165</v>
      </c>
      <c r="R235">
        <f t="shared" si="961"/>
        <v>-236818216.73875323</v>
      </c>
      <c r="S235">
        <f t="shared" si="962"/>
        <v>-2368.1821673875324</v>
      </c>
      <c r="T235">
        <f t="shared" si="963"/>
        <v>-2.3681821673875323</v>
      </c>
    </row>
    <row r="236" spans="1:20" x14ac:dyDescent="0.25">
      <c r="A236" s="5">
        <v>44357</v>
      </c>
      <c r="B236">
        <v>0.31109999999999999</v>
      </c>
      <c r="C236">
        <v>0.314</v>
      </c>
      <c r="D236">
        <v>0.26079999999999998</v>
      </c>
      <c r="E236">
        <v>0.26910000000000001</v>
      </c>
      <c r="F236">
        <v>18085410.649999999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-0.68796992481202912</v>
      </c>
      <c r="Q236">
        <f t="shared" si="960"/>
        <v>-12442218.605075169</v>
      </c>
      <c r="R236">
        <f t="shared" si="961"/>
        <v>-154971670.71000206</v>
      </c>
      <c r="S236">
        <f t="shared" si="962"/>
        <v>-1549.7167071000206</v>
      </c>
      <c r="T236">
        <f t="shared" si="963"/>
        <v>-1.5497167071000206</v>
      </c>
    </row>
    <row r="237" spans="1:20" x14ac:dyDescent="0.25">
      <c r="A237" s="5">
        <v>44356</v>
      </c>
      <c r="B237">
        <v>0.2792</v>
      </c>
      <c r="C237">
        <v>0.34899999999999998</v>
      </c>
      <c r="D237">
        <v>0.2631</v>
      </c>
      <c r="E237">
        <v>0.31109999999999999</v>
      </c>
      <c r="F237">
        <v>20721326.850000001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0.11757857974388825</v>
      </c>
      <c r="Q237">
        <f t="shared" si="960"/>
        <v>2436384.1814318979</v>
      </c>
      <c r="R237">
        <f t="shared" si="961"/>
        <v>-142529452.10492688</v>
      </c>
      <c r="S237">
        <f t="shared" si="962"/>
        <v>-1425.294521049269</v>
      </c>
      <c r="T237">
        <f t="shared" si="963"/>
        <v>-1.4252945210492689</v>
      </c>
    </row>
    <row r="238" spans="1:20" x14ac:dyDescent="0.25">
      <c r="A238" s="5">
        <v>44355</v>
      </c>
      <c r="B238">
        <v>0.2883</v>
      </c>
      <c r="C238">
        <v>0.29249999999999998</v>
      </c>
      <c r="D238">
        <v>0.25850000000000001</v>
      </c>
      <c r="E238">
        <v>0.27939999999999998</v>
      </c>
      <c r="F238">
        <v>11657958.880000001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0.22941176470588176</v>
      </c>
      <c r="Q238">
        <f t="shared" si="960"/>
        <v>2674472.919529405</v>
      </c>
      <c r="R238">
        <f t="shared" si="961"/>
        <v>-144965836.28635877</v>
      </c>
      <c r="S238">
        <f t="shared" si="962"/>
        <v>-1449.6583628635876</v>
      </c>
      <c r="T238">
        <f t="shared" si="963"/>
        <v>-1.4496583628635877</v>
      </c>
    </row>
    <row r="239" spans="1:20" x14ac:dyDescent="0.25">
      <c r="A239" s="5">
        <v>44354</v>
      </c>
      <c r="B239">
        <v>0.32250000000000001</v>
      </c>
      <c r="C239">
        <v>0.34939999999999999</v>
      </c>
      <c r="D239">
        <v>0.28660000000000002</v>
      </c>
      <c r="E239">
        <v>0.28839999999999999</v>
      </c>
      <c r="F239">
        <v>6820580.7400000002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-0.9426751592356698</v>
      </c>
      <c r="Q239">
        <f t="shared" si="960"/>
        <v>-6429592.0351592423</v>
      </c>
      <c r="R239">
        <f t="shared" si="961"/>
        <v>-147640309.20588818</v>
      </c>
      <c r="S239">
        <f t="shared" si="962"/>
        <v>-1476.4030920588818</v>
      </c>
      <c r="T239">
        <f t="shared" si="963"/>
        <v>-1.4764030920588818</v>
      </c>
    </row>
    <row r="240" spans="1:20" x14ac:dyDescent="0.25">
      <c r="A240" s="5">
        <v>44353</v>
      </c>
      <c r="B240">
        <v>0.32240000000000002</v>
      </c>
      <c r="C240">
        <v>0.34699999999999998</v>
      </c>
      <c r="D240">
        <v>0.31309999999999999</v>
      </c>
      <c r="E240">
        <v>0.32300000000000001</v>
      </c>
      <c r="F240">
        <v>5674585.9000000004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-0.4159292035398216</v>
      </c>
      <c r="Q240">
        <f t="shared" si="960"/>
        <v>-2360225.9938053018</v>
      </c>
      <c r="R240">
        <f t="shared" si="961"/>
        <v>-141210717.17072895</v>
      </c>
      <c r="S240">
        <f t="shared" si="962"/>
        <v>-1412.1071717072896</v>
      </c>
      <c r="T240">
        <f t="shared" si="963"/>
        <v>-1.4121071717072895</v>
      </c>
    </row>
    <row r="241" spans="1:20" x14ac:dyDescent="0.25">
      <c r="A241" s="5">
        <v>44352</v>
      </c>
      <c r="B241">
        <v>0.33610000000000001</v>
      </c>
      <c r="C241">
        <v>0.36280000000000001</v>
      </c>
      <c r="D241">
        <v>0.31709999999999999</v>
      </c>
      <c r="E241">
        <v>0.32240000000000002</v>
      </c>
      <c r="F241">
        <v>5925839.2000000002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-0.76805251641137751</v>
      </c>
      <c r="Q241">
        <f t="shared" si="960"/>
        <v>-4551355.7094091848</v>
      </c>
      <c r="R241">
        <f t="shared" si="961"/>
        <v>-138850491.17692366</v>
      </c>
      <c r="S241">
        <f t="shared" si="962"/>
        <v>-1388.5049117692365</v>
      </c>
      <c r="T241">
        <f t="shared" si="963"/>
        <v>-1.3885049117692365</v>
      </c>
    </row>
    <row r="242" spans="1:20" x14ac:dyDescent="0.25">
      <c r="A242" s="5">
        <v>44351</v>
      </c>
      <c r="B242">
        <v>0.3599</v>
      </c>
      <c r="C242">
        <v>0.40100000000000002</v>
      </c>
      <c r="D242">
        <v>0.32500000000000001</v>
      </c>
      <c r="E242">
        <v>0.3367</v>
      </c>
      <c r="F242">
        <v>8870670.8100000005</v>
      </c>
      <c r="G242">
        <v>0</v>
      </c>
      <c r="L242" t="s">
        <v>8</v>
      </c>
      <c r="M242" t="s">
        <v>7</v>
      </c>
      <c r="N242" t="s">
        <v>8</v>
      </c>
      <c r="P242">
        <f t="shared" si="959"/>
        <v>-0.69210526315789511</v>
      </c>
      <c r="Q242">
        <f t="shared" si="960"/>
        <v>-6139437.9553421093</v>
      </c>
      <c r="R242">
        <f t="shared" si="961"/>
        <v>-134299135.46751449</v>
      </c>
      <c r="S242">
        <f t="shared" si="962"/>
        <v>-1342.9913546751447</v>
      </c>
      <c r="T242">
        <f t="shared" si="963"/>
        <v>-1.3429913546751449</v>
      </c>
    </row>
    <row r="243" spans="1:20" x14ac:dyDescent="0.25">
      <c r="A243" s="5">
        <v>44350</v>
      </c>
      <c r="B243">
        <v>0.3533</v>
      </c>
      <c r="C243">
        <v>0.37009999999999998</v>
      </c>
      <c r="D243">
        <v>0.34670000000000001</v>
      </c>
      <c r="E243">
        <v>0.35959999999999998</v>
      </c>
      <c r="F243">
        <v>4664941.08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0.10256410256410087</v>
      </c>
      <c r="Q243">
        <f t="shared" si="960"/>
        <v>478455.49538460746</v>
      </c>
      <c r="R243">
        <f t="shared" si="961"/>
        <v>-128159697.51217239</v>
      </c>
      <c r="S243">
        <f t="shared" si="962"/>
        <v>-1281.596975121724</v>
      </c>
      <c r="T243">
        <f t="shared" si="963"/>
        <v>-1.281596975121724</v>
      </c>
    </row>
    <row r="244" spans="1:20" x14ac:dyDescent="0.25">
      <c r="A244" s="5">
        <v>44349</v>
      </c>
      <c r="B244">
        <v>0.32719999999999999</v>
      </c>
      <c r="C244">
        <v>0.40229999999999999</v>
      </c>
      <c r="D244">
        <v>0.31380000000000002</v>
      </c>
      <c r="E244">
        <v>0.35339999999999999</v>
      </c>
      <c r="F244">
        <v>8605998.7699999996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-0.10508474576271225</v>
      </c>
      <c r="Q244">
        <f t="shared" si="960"/>
        <v>-904359.1927796643</v>
      </c>
      <c r="R244">
        <f t="shared" si="961"/>
        <v>-128638153.00755699</v>
      </c>
      <c r="S244">
        <f t="shared" si="962"/>
        <v>-1286.3815300755698</v>
      </c>
      <c r="T244">
        <f t="shared" si="963"/>
        <v>-1.2863815300755699</v>
      </c>
    </row>
    <row r="245" spans="1:20" x14ac:dyDescent="0.25">
      <c r="A245" s="5">
        <v>44348</v>
      </c>
      <c r="B245">
        <v>0.34179999999999999</v>
      </c>
      <c r="C245">
        <v>0.35470000000000002</v>
      </c>
      <c r="D245">
        <v>0.32379999999999998</v>
      </c>
      <c r="E245">
        <v>0.32779999999999998</v>
      </c>
      <c r="F245">
        <v>4802900.71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-0.74110032362459555</v>
      </c>
      <c r="Q245">
        <f t="shared" si="960"/>
        <v>-3559431.2705177995</v>
      </c>
      <c r="R245">
        <f t="shared" si="961"/>
        <v>-127733793.81477733</v>
      </c>
      <c r="S245">
        <f t="shared" si="962"/>
        <v>-1277.3379381477732</v>
      </c>
      <c r="T245">
        <f t="shared" si="963"/>
        <v>-1.2773379381477732</v>
      </c>
    </row>
    <row r="246" spans="1:20" x14ac:dyDescent="0.25">
      <c r="A246" s="5">
        <v>44347</v>
      </c>
      <c r="B246">
        <v>0.314</v>
      </c>
      <c r="C246">
        <v>0.39300000000000002</v>
      </c>
      <c r="D246">
        <v>0.29060000000000002</v>
      </c>
      <c r="E246">
        <v>0.3417</v>
      </c>
      <c r="F246">
        <v>22700167.489999998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-1.953125000000327E-3</v>
      </c>
      <c r="Q246">
        <f t="shared" si="960"/>
        <v>-44336.264628913668</v>
      </c>
      <c r="R246">
        <f t="shared" si="961"/>
        <v>-124174362.54425953</v>
      </c>
      <c r="S246">
        <f t="shared" si="962"/>
        <v>-1241.7436254425954</v>
      </c>
      <c r="T246">
        <f t="shared" si="963"/>
        <v>-1.2417436254425955</v>
      </c>
    </row>
    <row r="247" spans="1:20" x14ac:dyDescent="0.25">
      <c r="A247" s="5">
        <v>44346</v>
      </c>
      <c r="B247">
        <v>0.28310000000000002</v>
      </c>
      <c r="C247">
        <v>0.34649999999999997</v>
      </c>
      <c r="D247">
        <v>0.2732</v>
      </c>
      <c r="E247">
        <v>0.31469999999999998</v>
      </c>
      <c r="F247">
        <v>23535423.850000001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0.13233287858117312</v>
      </c>
      <c r="Q247">
        <f t="shared" si="960"/>
        <v>3114510.3866984965</v>
      </c>
      <c r="R247">
        <f t="shared" si="961"/>
        <v>-124130026.27963062</v>
      </c>
      <c r="S247">
        <f t="shared" si="962"/>
        <v>-1241.3002627963062</v>
      </c>
      <c r="T247">
        <f t="shared" si="963"/>
        <v>-1.2413002627963063</v>
      </c>
    </row>
    <row r="248" spans="1:20" x14ac:dyDescent="0.25">
      <c r="A248" s="5">
        <v>44345</v>
      </c>
      <c r="B248">
        <v>0.31159999999999999</v>
      </c>
      <c r="C248">
        <v>0.33100000000000002</v>
      </c>
      <c r="D248">
        <v>0.27800000000000002</v>
      </c>
      <c r="E248">
        <v>0.28310000000000002</v>
      </c>
      <c r="F248">
        <v>6485854.5800000001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-0.80754716981132102</v>
      </c>
      <c r="Q248">
        <f t="shared" si="960"/>
        <v>-5237633.5098867938</v>
      </c>
      <c r="R248">
        <f t="shared" si="961"/>
        <v>-127244536.66632912</v>
      </c>
      <c r="S248">
        <f t="shared" si="962"/>
        <v>-1272.4453666632912</v>
      </c>
      <c r="T248">
        <f t="shared" si="963"/>
        <v>-1.2724453666632913</v>
      </c>
    </row>
    <row r="249" spans="1:20" x14ac:dyDescent="0.25">
      <c r="A249" s="5">
        <v>44344</v>
      </c>
      <c r="B249">
        <v>0.33119999999999999</v>
      </c>
      <c r="C249">
        <v>0.33229999999999998</v>
      </c>
      <c r="D249">
        <v>0.30480000000000002</v>
      </c>
      <c r="E249">
        <v>0.3115</v>
      </c>
      <c r="F249">
        <v>4674994.91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-0.51272727272727336</v>
      </c>
      <c r="Q249">
        <f t="shared" si="960"/>
        <v>-2396997.3902181848</v>
      </c>
      <c r="R249">
        <f t="shared" si="961"/>
        <v>-122006903.15644231</v>
      </c>
      <c r="S249">
        <f t="shared" si="962"/>
        <v>-1220.0690315644231</v>
      </c>
      <c r="T249">
        <f t="shared" si="963"/>
        <v>-1.2200690315644231</v>
      </c>
    </row>
    <row r="250" spans="1:20" x14ac:dyDescent="0.25">
      <c r="A250" s="5">
        <v>44343</v>
      </c>
      <c r="B250">
        <v>0.35820000000000002</v>
      </c>
      <c r="C250">
        <v>0.35899999999999999</v>
      </c>
      <c r="D250">
        <v>0.32100000000000001</v>
      </c>
      <c r="E250">
        <v>0.33119999999999999</v>
      </c>
      <c r="F250">
        <v>8245483.1100000003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-0.46315789473684249</v>
      </c>
      <c r="Q250">
        <f t="shared" si="960"/>
        <v>-3818960.5983157926</v>
      </c>
      <c r="R250">
        <f t="shared" si="961"/>
        <v>-119609905.76622413</v>
      </c>
      <c r="S250">
        <f t="shared" si="962"/>
        <v>-1196.0990576622414</v>
      </c>
      <c r="T250">
        <f t="shared" si="963"/>
        <v>-1.1960990576622414</v>
      </c>
    </row>
    <row r="251" spans="1:20" x14ac:dyDescent="0.25">
      <c r="A251" s="5">
        <v>44342</v>
      </c>
      <c r="B251">
        <v>0.35520000000000002</v>
      </c>
      <c r="C251">
        <v>0.38479999999999998</v>
      </c>
      <c r="D251">
        <v>0.35049999999999998</v>
      </c>
      <c r="E251">
        <v>0.35820000000000002</v>
      </c>
      <c r="F251">
        <v>10956754.52</v>
      </c>
      <c r="G251">
        <v>0</v>
      </c>
      <c r="L251" t="s">
        <v>8</v>
      </c>
      <c r="M251" t="s">
        <v>7</v>
      </c>
      <c r="N251" t="s">
        <v>8</v>
      </c>
      <c r="P251">
        <f t="shared" si="959"/>
        <v>-0.55102040816326292</v>
      </c>
      <c r="Q251">
        <f t="shared" si="960"/>
        <v>-6037395.3477550754</v>
      </c>
      <c r="R251">
        <f t="shared" si="961"/>
        <v>-115790945.16790834</v>
      </c>
      <c r="S251">
        <f t="shared" si="962"/>
        <v>-1157.9094516790833</v>
      </c>
      <c r="T251">
        <f t="shared" si="963"/>
        <v>-1.1579094516790833</v>
      </c>
    </row>
    <row r="252" spans="1:20" x14ac:dyDescent="0.25">
      <c r="A252" s="5">
        <v>44341</v>
      </c>
      <c r="B252">
        <v>0.38469999999999999</v>
      </c>
      <c r="C252">
        <v>0.3911</v>
      </c>
      <c r="D252">
        <v>0.33779999999999999</v>
      </c>
      <c r="E252">
        <v>0.35560000000000003</v>
      </c>
      <c r="F252">
        <v>15142101.02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-0.33208255159474548</v>
      </c>
      <c r="Q252">
        <f t="shared" si="960"/>
        <v>-5028427.5432269983</v>
      </c>
      <c r="R252">
        <f t="shared" si="961"/>
        <v>-109753549.82015327</v>
      </c>
      <c r="S252">
        <f t="shared" si="962"/>
        <v>-1097.5354982015326</v>
      </c>
      <c r="T252">
        <f t="shared" si="963"/>
        <v>-1.0975354982015326</v>
      </c>
    </row>
    <row r="253" spans="1:20" x14ac:dyDescent="0.25">
      <c r="A253" s="5">
        <v>44340</v>
      </c>
      <c r="B253">
        <v>0.38009999999999999</v>
      </c>
      <c r="C253">
        <v>0.40820000000000001</v>
      </c>
      <c r="D253">
        <v>0.3679</v>
      </c>
      <c r="E253">
        <v>0.38469999999999999</v>
      </c>
      <c r="F253">
        <v>24544669.760000002</v>
      </c>
      <c r="G253">
        <v>0</v>
      </c>
      <c r="L253" t="s">
        <v>7</v>
      </c>
      <c r="M253" t="s">
        <v>7</v>
      </c>
      <c r="N253" t="s">
        <v>8</v>
      </c>
      <c r="P253">
        <f t="shared" si="959"/>
        <v>-0.16625310173697366</v>
      </c>
      <c r="Q253">
        <f t="shared" si="960"/>
        <v>-4080627.478709701</v>
      </c>
      <c r="R253">
        <f t="shared" si="961"/>
        <v>-104725122.27692626</v>
      </c>
      <c r="S253">
        <f t="shared" si="962"/>
        <v>-1047.2512227692625</v>
      </c>
      <c r="T253">
        <f t="shared" si="963"/>
        <v>-1.0472512227692625</v>
      </c>
    </row>
    <row r="254" spans="1:20" x14ac:dyDescent="0.25">
      <c r="A254" s="5">
        <v>44339</v>
      </c>
      <c r="B254">
        <v>0.40589999999999998</v>
      </c>
      <c r="C254">
        <v>0.46400000000000002</v>
      </c>
      <c r="D254">
        <v>0.36</v>
      </c>
      <c r="E254">
        <v>0.38</v>
      </c>
      <c r="F254">
        <v>68040637.150000006</v>
      </c>
      <c r="G254">
        <v>0</v>
      </c>
      <c r="L254" t="s">
        <v>8</v>
      </c>
      <c r="M254" t="s">
        <v>8</v>
      </c>
      <c r="N254" t="s">
        <v>8</v>
      </c>
      <c r="P254">
        <f t="shared" si="959"/>
        <v>-0.6153846153846152</v>
      </c>
      <c r="Q254">
        <f t="shared" si="960"/>
        <v>-41871161.323076911</v>
      </c>
      <c r="R254">
        <f t="shared" si="961"/>
        <v>-100644494.79821657</v>
      </c>
      <c r="S254">
        <f t="shared" si="962"/>
        <v>-1006.4449479821657</v>
      </c>
      <c r="T254">
        <f t="shared" si="963"/>
        <v>-1.0064449479821658</v>
      </c>
    </row>
    <row r="255" spans="1:20" x14ac:dyDescent="0.25">
      <c r="A255" s="5">
        <v>44338</v>
      </c>
      <c r="B255">
        <v>0.31440000000000001</v>
      </c>
      <c r="C255">
        <v>0.44</v>
      </c>
      <c r="D255">
        <v>0.30680000000000002</v>
      </c>
      <c r="E255">
        <v>0.40539999999999998</v>
      </c>
      <c r="F255">
        <v>94726962.430000007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0.48048048048048014</v>
      </c>
      <c r="Q255">
        <f t="shared" si="960"/>
        <v>45514456.422822796</v>
      </c>
      <c r="R255">
        <f t="shared" si="961"/>
        <v>-58773333.475139655</v>
      </c>
      <c r="S255">
        <f t="shared" si="962"/>
        <v>-587.73333475139657</v>
      </c>
      <c r="T255">
        <f t="shared" si="963"/>
        <v>-0.58773333475139655</v>
      </c>
    </row>
    <row r="256" spans="1:20" x14ac:dyDescent="0.25">
      <c r="A256" s="5">
        <v>44337</v>
      </c>
      <c r="B256">
        <v>0.3115</v>
      </c>
      <c r="C256">
        <v>0.33800000000000002</v>
      </c>
      <c r="D256">
        <v>0.3049</v>
      </c>
      <c r="E256">
        <v>0.31519999999999998</v>
      </c>
      <c r="F256">
        <v>21714514.949999999</v>
      </c>
      <c r="G256">
        <v>0</v>
      </c>
      <c r="L256" t="s">
        <v>8</v>
      </c>
      <c r="M256" t="s">
        <v>7</v>
      </c>
      <c r="N256" t="s">
        <v>8</v>
      </c>
      <c r="P256">
        <f t="shared" si="959"/>
        <v>-0.37764350453172385</v>
      </c>
      <c r="Q256">
        <f t="shared" si="960"/>
        <v>-8200345.5249245102</v>
      </c>
      <c r="R256">
        <f t="shared" si="961"/>
        <v>-104287789.89796245</v>
      </c>
      <c r="S256">
        <f t="shared" si="962"/>
        <v>-1042.8778989796244</v>
      </c>
      <c r="T256">
        <f t="shared" si="963"/>
        <v>-1.0428778989796244</v>
      </c>
    </row>
    <row r="257" spans="1:20" x14ac:dyDescent="0.25">
      <c r="A257" s="5">
        <v>44336</v>
      </c>
      <c r="B257">
        <v>0.3468</v>
      </c>
      <c r="C257">
        <v>0.39429999999999998</v>
      </c>
      <c r="D257">
        <v>0.28649999999999998</v>
      </c>
      <c r="E257">
        <v>0.31130000000000002</v>
      </c>
      <c r="F257">
        <v>54634170.200000003</v>
      </c>
      <c r="G257">
        <v>0</v>
      </c>
      <c r="L257" t="s">
        <v>7</v>
      </c>
      <c r="M257" t="s">
        <v>7</v>
      </c>
      <c r="N257" t="s">
        <v>8</v>
      </c>
      <c r="P257">
        <f t="shared" si="959"/>
        <v>-0.5398886827458248</v>
      </c>
      <c r="Q257">
        <f t="shared" si="960"/>
        <v>-29496370.182189196</v>
      </c>
      <c r="R257">
        <f t="shared" si="961"/>
        <v>-96087444.373037934</v>
      </c>
      <c r="S257">
        <f t="shared" si="962"/>
        <v>-960.87444373037931</v>
      </c>
      <c r="T257">
        <f t="shared" si="963"/>
        <v>-0.96087444373037934</v>
      </c>
    </row>
    <row r="258" spans="1:20" x14ac:dyDescent="0.25">
      <c r="A258" s="5">
        <v>44335</v>
      </c>
      <c r="B258">
        <v>0.31969999999999998</v>
      </c>
      <c r="C258">
        <v>0.47789999999999999</v>
      </c>
      <c r="D258">
        <v>0.2205</v>
      </c>
      <c r="E258">
        <v>0.3468</v>
      </c>
      <c r="F258">
        <v>75724368.670000002</v>
      </c>
      <c r="G258">
        <v>0</v>
      </c>
      <c r="L258" t="s">
        <v>8</v>
      </c>
      <c r="M258" t="s">
        <v>8</v>
      </c>
      <c r="N258" t="s">
        <v>7</v>
      </c>
      <c r="P258">
        <f t="shared" si="959"/>
        <v>-1.8648018648018645E-2</v>
      </c>
      <c r="Q258">
        <f t="shared" si="960"/>
        <v>-1412109.4390675989</v>
      </c>
      <c r="R258">
        <f t="shared" si="961"/>
        <v>-66591074.190848738</v>
      </c>
      <c r="S258">
        <f t="shared" si="962"/>
        <v>-665.91074190848735</v>
      </c>
      <c r="T258">
        <f t="shared" si="963"/>
        <v>-0.66591074190848731</v>
      </c>
    </row>
    <row r="259" spans="1:20" x14ac:dyDescent="0.25">
      <c r="A259" s="5">
        <v>44334</v>
      </c>
      <c r="B259">
        <v>0.3211</v>
      </c>
      <c r="C259">
        <v>0.35980000000000001</v>
      </c>
      <c r="D259">
        <v>0.3115</v>
      </c>
      <c r="E259">
        <v>0.31950000000000001</v>
      </c>
      <c r="F259">
        <v>5975575.1200000001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-0.66873706004140765</v>
      </c>
      <c r="Q259">
        <f t="shared" si="960"/>
        <v>-3996088.5378053817</v>
      </c>
      <c r="R259">
        <f t="shared" si="961"/>
        <v>-65178964.751781136</v>
      </c>
      <c r="S259">
        <f t="shared" si="962"/>
        <v>-651.78964751781132</v>
      </c>
      <c r="T259">
        <f t="shared" si="963"/>
        <v>-0.65178964751781132</v>
      </c>
    </row>
    <row r="260" spans="1:20" x14ac:dyDescent="0.25">
      <c r="A260" s="5">
        <v>44333</v>
      </c>
      <c r="B260">
        <v>0.34699999999999998</v>
      </c>
      <c r="C260">
        <v>0.34989999999999999</v>
      </c>
      <c r="D260">
        <v>0.2999</v>
      </c>
      <c r="E260">
        <v>0.32190000000000002</v>
      </c>
      <c r="F260">
        <v>7053394.3799999999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-0.11999999999999902</v>
      </c>
      <c r="Q260">
        <f t="shared" si="960"/>
        <v>-846407.32559999311</v>
      </c>
      <c r="R260">
        <f t="shared" si="961"/>
        <v>-61182876.213975757</v>
      </c>
      <c r="S260">
        <f t="shared" si="962"/>
        <v>-611.8287621397576</v>
      </c>
      <c r="T260">
        <f t="shared" si="963"/>
        <v>-0.61182876213975756</v>
      </c>
    </row>
    <row r="261" spans="1:20" x14ac:dyDescent="0.25">
      <c r="A261" s="5">
        <v>44332</v>
      </c>
      <c r="B261">
        <v>0.33729999999999999</v>
      </c>
      <c r="C261">
        <v>0.42280000000000001</v>
      </c>
      <c r="D261">
        <v>0.32</v>
      </c>
      <c r="E261">
        <v>0.3473</v>
      </c>
      <c r="F261">
        <v>28495372.010000002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-0.46887159533073947</v>
      </c>
      <c r="Q261">
        <f t="shared" si="960"/>
        <v>-13360670.5338716</v>
      </c>
      <c r="R261">
        <f t="shared" si="961"/>
        <v>-60336468.888375767</v>
      </c>
      <c r="S261">
        <f t="shared" si="962"/>
        <v>-603.36468888375771</v>
      </c>
      <c r="T261">
        <f t="shared" si="963"/>
        <v>-0.60336468888375772</v>
      </c>
    </row>
    <row r="262" spans="1:20" x14ac:dyDescent="0.25">
      <c r="A262" s="5">
        <v>44331</v>
      </c>
      <c r="B262">
        <v>0.375</v>
      </c>
      <c r="C262">
        <v>0.3805</v>
      </c>
      <c r="D262">
        <v>0.3332</v>
      </c>
      <c r="E262">
        <v>0.3367</v>
      </c>
      <c r="F262">
        <v>7073961.1600000001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-0.85200845665961933</v>
      </c>
      <c r="Q262">
        <f t="shared" ref="Q262:Q325" si="965">F262*P262</f>
        <v>-6027074.730401691</v>
      </c>
      <c r="R262">
        <f t="shared" ref="R262:R325" si="966">R263+Q262</f>
        <v>-46975798.354504168</v>
      </c>
      <c r="S262">
        <f t="shared" ref="S262:S325" si="967">R262/100000</f>
        <v>-469.75798354504167</v>
      </c>
      <c r="T262">
        <f t="shared" ref="T262:T325" si="968">S262/1000</f>
        <v>-0.46975798354504167</v>
      </c>
    </row>
    <row r="263" spans="1:20" x14ac:dyDescent="0.25">
      <c r="A263" s="5">
        <v>44330</v>
      </c>
      <c r="B263">
        <v>0.36380000000000001</v>
      </c>
      <c r="C263">
        <v>0.3952</v>
      </c>
      <c r="D263">
        <v>0.3528</v>
      </c>
      <c r="E263">
        <v>0.37509999999999999</v>
      </c>
      <c r="F263">
        <v>6434132.8799999999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5.1886792452829719E-2</v>
      </c>
      <c r="Q263">
        <f t="shared" si="965"/>
        <v>333846.51735848753</v>
      </c>
      <c r="R263">
        <f t="shared" si="966"/>
        <v>-40948723.624102481</v>
      </c>
      <c r="S263">
        <f t="shared" si="967"/>
        <v>-409.48723624102479</v>
      </c>
      <c r="T263">
        <f t="shared" si="968"/>
        <v>-0.40948723624102479</v>
      </c>
    </row>
    <row r="264" spans="1:20" x14ac:dyDescent="0.25">
      <c r="A264" s="5">
        <v>44329</v>
      </c>
      <c r="B264">
        <v>0.39090000000000003</v>
      </c>
      <c r="C264">
        <v>0.41089999999999999</v>
      </c>
      <c r="D264">
        <v>0.34329999999999999</v>
      </c>
      <c r="E264">
        <v>0.36359999999999998</v>
      </c>
      <c r="F264">
        <v>11285877.74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-0.39940828402366901</v>
      </c>
      <c r="Q264">
        <f t="shared" si="965"/>
        <v>-4507673.0618343242</v>
      </c>
      <c r="R264">
        <f t="shared" si="966"/>
        <v>-41282570.14146097</v>
      </c>
      <c r="S264">
        <f t="shared" si="967"/>
        <v>-412.82570141460968</v>
      </c>
      <c r="T264">
        <f t="shared" si="968"/>
        <v>-0.41282570141460967</v>
      </c>
    </row>
    <row r="265" spans="1:20" x14ac:dyDescent="0.25">
      <c r="A265" s="5">
        <v>44328</v>
      </c>
      <c r="B265">
        <v>0.44669999999999999</v>
      </c>
      <c r="C265">
        <v>0.45600000000000002</v>
      </c>
      <c r="D265">
        <v>0.38529999999999998</v>
      </c>
      <c r="E265">
        <v>0.39410000000000001</v>
      </c>
      <c r="F265">
        <v>8809192.3800000008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-0.75106082036775035</v>
      </c>
      <c r="Q265">
        <f t="shared" si="965"/>
        <v>-6616239.2557001356</v>
      </c>
      <c r="R265">
        <f t="shared" si="966"/>
        <v>-36774897.07962665</v>
      </c>
      <c r="S265">
        <f t="shared" si="967"/>
        <v>-367.74897079626652</v>
      </c>
      <c r="T265">
        <f t="shared" si="968"/>
        <v>-0.36774897079626651</v>
      </c>
    </row>
    <row r="266" spans="1:20" x14ac:dyDescent="0.25">
      <c r="A266" s="5">
        <v>44327</v>
      </c>
      <c r="B266">
        <v>0.40029999999999999</v>
      </c>
      <c r="C266">
        <v>0.4531</v>
      </c>
      <c r="D266">
        <v>0.38300000000000001</v>
      </c>
      <c r="E266">
        <v>0.44779999999999998</v>
      </c>
      <c r="F266">
        <v>11437414.68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0.84878744650499205</v>
      </c>
      <c r="Q266">
        <f t="shared" si="965"/>
        <v>9707934.0008559097</v>
      </c>
      <c r="R266">
        <f t="shared" si="966"/>
        <v>-30158657.823926516</v>
      </c>
      <c r="S266">
        <f t="shared" si="967"/>
        <v>-301.58657823926518</v>
      </c>
      <c r="T266">
        <f t="shared" si="968"/>
        <v>-0.30158657823926516</v>
      </c>
    </row>
    <row r="267" spans="1:20" x14ac:dyDescent="0.25">
      <c r="A267" s="5">
        <v>44326</v>
      </c>
      <c r="B267">
        <v>0.44679999999999997</v>
      </c>
      <c r="C267">
        <v>0.45910000000000001</v>
      </c>
      <c r="D267">
        <v>0.38069999999999998</v>
      </c>
      <c r="E267">
        <v>0.39979999999999999</v>
      </c>
      <c r="F267">
        <v>10237786.609999999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-0.51275510204081631</v>
      </c>
      <c r="Q267">
        <f t="shared" si="965"/>
        <v>-5249477.3178826524</v>
      </c>
      <c r="R267">
        <f t="shared" si="966"/>
        <v>-39866591.824782424</v>
      </c>
      <c r="S267">
        <f t="shared" si="967"/>
        <v>-398.66591824782421</v>
      </c>
      <c r="T267">
        <f t="shared" si="968"/>
        <v>-0.39866591824782421</v>
      </c>
    </row>
    <row r="268" spans="1:20" x14ac:dyDescent="0.25">
      <c r="A268" s="5">
        <v>44325</v>
      </c>
      <c r="B268">
        <v>0.45100000000000001</v>
      </c>
      <c r="C268">
        <v>0.51</v>
      </c>
      <c r="D268">
        <v>0.42120000000000002</v>
      </c>
      <c r="E268">
        <v>0.44669999999999999</v>
      </c>
      <c r="F268">
        <v>24354307.960000001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-0.42567567567567632</v>
      </c>
      <c r="Q268">
        <f t="shared" si="965"/>
        <v>-10367036.496486502</v>
      </c>
      <c r="R268">
        <f t="shared" si="966"/>
        <v>-34617114.506899774</v>
      </c>
      <c r="S268">
        <f t="shared" si="967"/>
        <v>-346.17114506899776</v>
      </c>
      <c r="T268">
        <f t="shared" si="968"/>
        <v>-0.34617114506899777</v>
      </c>
    </row>
    <row r="269" spans="1:20" x14ac:dyDescent="0.25">
      <c r="A269" s="5">
        <v>44324</v>
      </c>
      <c r="B269">
        <v>0.41689999999999999</v>
      </c>
      <c r="C269">
        <v>0.4627</v>
      </c>
      <c r="D269">
        <v>0.41389999999999999</v>
      </c>
      <c r="E269">
        <v>0.45100000000000001</v>
      </c>
      <c r="F269">
        <v>12453707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0.52049180327868916</v>
      </c>
      <c r="Q269">
        <f t="shared" si="965"/>
        <v>6482052.4139344338</v>
      </c>
      <c r="R269">
        <f t="shared" si="966"/>
        <v>-24250078.010413274</v>
      </c>
      <c r="S269">
        <f t="shared" si="967"/>
        <v>-242.50078010413273</v>
      </c>
      <c r="T269">
        <f t="shared" si="968"/>
        <v>-0.24250078010413273</v>
      </c>
    </row>
    <row r="270" spans="1:20" x14ac:dyDescent="0.25">
      <c r="A270" s="5">
        <v>44323</v>
      </c>
      <c r="B270">
        <v>0.42180000000000001</v>
      </c>
      <c r="C270">
        <v>0.44</v>
      </c>
      <c r="D270">
        <v>0.3921</v>
      </c>
      <c r="E270">
        <v>0.41699999999999998</v>
      </c>
      <c r="F270">
        <v>17144304.260000002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3.9665970772441696E-2</v>
      </c>
      <c r="Q270">
        <f t="shared" si="965"/>
        <v>680045.47169100773</v>
      </c>
      <c r="R270">
        <f t="shared" si="966"/>
        <v>-30732130.42434771</v>
      </c>
      <c r="S270">
        <f t="shared" si="967"/>
        <v>-307.32130424347707</v>
      </c>
      <c r="T270">
        <f t="shared" si="968"/>
        <v>-0.30732130424347709</v>
      </c>
    </row>
    <row r="271" spans="1:20" x14ac:dyDescent="0.25">
      <c r="A271" s="5">
        <v>44322</v>
      </c>
      <c r="B271">
        <v>0.46360000000000001</v>
      </c>
      <c r="C271">
        <v>0.46529999999999999</v>
      </c>
      <c r="D271">
        <v>0.41310000000000002</v>
      </c>
      <c r="E271">
        <v>0.42299999999999999</v>
      </c>
      <c r="F271">
        <v>11374486.5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-0.62068965517241492</v>
      </c>
      <c r="Q271">
        <f t="shared" si="965"/>
        <v>-7060026.1034482885</v>
      </c>
      <c r="R271">
        <f t="shared" si="966"/>
        <v>-31412175.896038719</v>
      </c>
      <c r="S271">
        <f t="shared" si="967"/>
        <v>-314.12175896038718</v>
      </c>
      <c r="T271">
        <f t="shared" si="968"/>
        <v>-0.31412175896038719</v>
      </c>
    </row>
    <row r="272" spans="1:20" x14ac:dyDescent="0.25">
      <c r="A272" s="5">
        <v>44321</v>
      </c>
      <c r="B272">
        <v>0.42170000000000002</v>
      </c>
      <c r="C272">
        <v>0.48580000000000001</v>
      </c>
      <c r="D272">
        <v>0.41339999999999999</v>
      </c>
      <c r="E272">
        <v>0.46389999999999998</v>
      </c>
      <c r="F272">
        <v>17791764.010000002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0.39502762430939159</v>
      </c>
      <c r="Q272">
        <f t="shared" si="965"/>
        <v>7028238.2691436354</v>
      </c>
      <c r="R272">
        <f t="shared" si="966"/>
        <v>-24352149.792590432</v>
      </c>
      <c r="S272">
        <f t="shared" si="967"/>
        <v>-243.52149792590433</v>
      </c>
      <c r="T272">
        <f t="shared" si="968"/>
        <v>-0.24352149792590433</v>
      </c>
    </row>
    <row r="273" spans="1:20" x14ac:dyDescent="0.25">
      <c r="A273" s="5">
        <v>44320</v>
      </c>
      <c r="B273">
        <v>0.48299999999999998</v>
      </c>
      <c r="C273">
        <v>0.52</v>
      </c>
      <c r="D273">
        <v>0.42109999999999997</v>
      </c>
      <c r="E273">
        <v>0.42199999999999999</v>
      </c>
      <c r="F273">
        <v>33166491.25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-0.98179979777553061</v>
      </c>
      <c r="Q273">
        <f t="shared" si="965"/>
        <v>-32562854.402173907</v>
      </c>
      <c r="R273">
        <f t="shared" si="966"/>
        <v>-31380388.061734065</v>
      </c>
      <c r="S273">
        <f t="shared" si="967"/>
        <v>-313.80388061734067</v>
      </c>
      <c r="T273">
        <f t="shared" si="968"/>
        <v>-0.31380388061734066</v>
      </c>
    </row>
    <row r="274" spans="1:20" x14ac:dyDescent="0.25">
      <c r="A274" s="5">
        <v>44319</v>
      </c>
      <c r="B274">
        <v>0.42570000000000002</v>
      </c>
      <c r="C274">
        <v>0.48899999999999999</v>
      </c>
      <c r="D274">
        <v>0.41799999999999998</v>
      </c>
      <c r="E274">
        <v>0.48299999999999998</v>
      </c>
      <c r="F274">
        <v>28010540.760000002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0.83098591549295764</v>
      </c>
      <c r="Q274">
        <f t="shared" si="965"/>
        <v>23276364.856901407</v>
      </c>
      <c r="R274">
        <f t="shared" si="966"/>
        <v>1182466.3404398412</v>
      </c>
      <c r="S274">
        <f t="shared" si="967"/>
        <v>11.824663404398411</v>
      </c>
      <c r="T274">
        <f t="shared" si="968"/>
        <v>1.1824663404398411E-2</v>
      </c>
    </row>
    <row r="275" spans="1:20" x14ac:dyDescent="0.25">
      <c r="A275" s="5">
        <v>44318</v>
      </c>
      <c r="B275">
        <v>0.38819999999999999</v>
      </c>
      <c r="C275">
        <v>0.46500000000000002</v>
      </c>
      <c r="D275">
        <v>0.37530000000000002</v>
      </c>
      <c r="E275">
        <v>0.42580000000000001</v>
      </c>
      <c r="F275">
        <v>31812377.68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0.12597547380156049</v>
      </c>
      <c r="Q275">
        <f t="shared" si="965"/>
        <v>4007579.3509921874</v>
      </c>
      <c r="R275">
        <f t="shared" si="966"/>
        <v>-22093898.516461566</v>
      </c>
      <c r="S275">
        <f t="shared" si="967"/>
        <v>-220.93898516461567</v>
      </c>
      <c r="T275">
        <f t="shared" si="968"/>
        <v>-0.22093898516461569</v>
      </c>
    </row>
    <row r="276" spans="1:20" x14ac:dyDescent="0.25">
      <c r="A276" s="5">
        <v>44317</v>
      </c>
      <c r="B276">
        <v>0.38829999999999998</v>
      </c>
      <c r="C276">
        <v>0.40639999999999998</v>
      </c>
      <c r="D276">
        <v>0.37769999999999998</v>
      </c>
      <c r="E276">
        <v>0.38719999999999999</v>
      </c>
      <c r="F276">
        <v>9900240.1400000006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-0.33797909407665455</v>
      </c>
      <c r="Q276">
        <f t="shared" si="965"/>
        <v>-3346074.1936585316</v>
      </c>
      <c r="R276">
        <f t="shared" si="966"/>
        <v>-26101477.867453754</v>
      </c>
      <c r="S276">
        <f t="shared" si="967"/>
        <v>-261.01477867453752</v>
      </c>
      <c r="T276">
        <f t="shared" si="968"/>
        <v>-0.26101477867453754</v>
      </c>
    </row>
    <row r="277" spans="1:20" x14ac:dyDescent="0.25">
      <c r="A277" s="5">
        <v>44316</v>
      </c>
      <c r="B277">
        <v>0.36070000000000002</v>
      </c>
      <c r="C277">
        <v>0.41149999999999998</v>
      </c>
      <c r="D277">
        <v>0.35709999999999997</v>
      </c>
      <c r="E277">
        <v>0.3886</v>
      </c>
      <c r="F277">
        <v>18420348.82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0.15808823529411858</v>
      </c>
      <c r="Q277">
        <f t="shared" si="965"/>
        <v>2912040.4384558997</v>
      </c>
      <c r="R277">
        <f t="shared" si="966"/>
        <v>-22755403.673795223</v>
      </c>
      <c r="S277">
        <f t="shared" si="967"/>
        <v>-227.55403673795223</v>
      </c>
      <c r="T277">
        <f t="shared" si="968"/>
        <v>-0.22755403673795224</v>
      </c>
    </row>
    <row r="278" spans="1:20" x14ac:dyDescent="0.25">
      <c r="A278" s="5">
        <v>44315</v>
      </c>
      <c r="B278">
        <v>0.3478</v>
      </c>
      <c r="C278">
        <v>0.37909999999999999</v>
      </c>
      <c r="D278">
        <v>0.34239999999999998</v>
      </c>
      <c r="E278">
        <v>0.36070000000000002</v>
      </c>
      <c r="F278">
        <v>11141665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-2.7247956403251622E-3</v>
      </c>
      <c r="Q278">
        <f t="shared" si="965"/>
        <v>-30358.760217963449</v>
      </c>
      <c r="R278">
        <f t="shared" si="966"/>
        <v>-25667444.112251122</v>
      </c>
      <c r="S278">
        <f t="shared" si="967"/>
        <v>-256.67444112251121</v>
      </c>
      <c r="T278">
        <f t="shared" si="968"/>
        <v>-0.2566744411225112</v>
      </c>
    </row>
    <row r="279" spans="1:20" x14ac:dyDescent="0.25">
      <c r="A279" s="5">
        <v>44314</v>
      </c>
      <c r="B279">
        <v>0.35959999999999998</v>
      </c>
      <c r="C279">
        <v>0.37219999999999998</v>
      </c>
      <c r="D279">
        <v>0.33</v>
      </c>
      <c r="E279">
        <v>0.3478</v>
      </c>
      <c r="F279">
        <v>7880236.9699999997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-0.15639810426540288</v>
      </c>
      <c r="Q279">
        <f t="shared" si="965"/>
        <v>-1232454.1232701424</v>
      </c>
      <c r="R279">
        <f t="shared" si="966"/>
        <v>-25637085.352033157</v>
      </c>
      <c r="S279">
        <f t="shared" si="967"/>
        <v>-256.37085352033159</v>
      </c>
      <c r="T279">
        <f t="shared" si="968"/>
        <v>-0.25637085352033162</v>
      </c>
    </row>
    <row r="280" spans="1:20" x14ac:dyDescent="0.25">
      <c r="A280" s="5">
        <v>44313</v>
      </c>
      <c r="B280">
        <v>0.32729999999999998</v>
      </c>
      <c r="C280">
        <v>0.37630000000000002</v>
      </c>
      <c r="D280">
        <v>0.32319999999999999</v>
      </c>
      <c r="E280">
        <v>0.35959999999999998</v>
      </c>
      <c r="F280">
        <v>9780537.9299999997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0.37099811676082722</v>
      </c>
      <c r="Q280">
        <f t="shared" si="965"/>
        <v>3628561.1529378393</v>
      </c>
      <c r="R280">
        <f t="shared" si="966"/>
        <v>-24404631.228763014</v>
      </c>
      <c r="S280">
        <f t="shared" si="967"/>
        <v>-244.04631228763014</v>
      </c>
      <c r="T280">
        <f t="shared" si="968"/>
        <v>-0.24404631228763016</v>
      </c>
    </row>
    <row r="281" spans="1:20" x14ac:dyDescent="0.25">
      <c r="A281" s="5">
        <v>44312</v>
      </c>
      <c r="B281">
        <v>0.29470000000000002</v>
      </c>
      <c r="C281">
        <v>0.33200000000000002</v>
      </c>
      <c r="D281">
        <v>0.29360000000000003</v>
      </c>
      <c r="E281">
        <v>0.32779999999999998</v>
      </c>
      <c r="F281">
        <v>8406422.6999999993</v>
      </c>
      <c r="G281">
        <v>0</v>
      </c>
      <c r="L281" t="s">
        <v>7</v>
      </c>
      <c r="M281" t="s">
        <v>8</v>
      </c>
      <c r="N281" t="s">
        <v>7</v>
      </c>
      <c r="P281">
        <f t="shared" si="964"/>
        <v>0.781249999999998</v>
      </c>
      <c r="Q281">
        <f t="shared" si="965"/>
        <v>6567517.7343749823</v>
      </c>
      <c r="R281">
        <f t="shared" si="966"/>
        <v>-28033192.381700855</v>
      </c>
      <c r="S281">
        <f t="shared" si="967"/>
        <v>-280.33192381700854</v>
      </c>
      <c r="T281">
        <f t="shared" si="968"/>
        <v>-0.28033192381700855</v>
      </c>
    </row>
    <row r="282" spans="1:20" x14ac:dyDescent="0.25">
      <c r="A282" s="5">
        <v>44311</v>
      </c>
      <c r="B282">
        <v>0.29339999999999999</v>
      </c>
      <c r="C282">
        <v>0.3468</v>
      </c>
      <c r="D282">
        <v>0.27550000000000002</v>
      </c>
      <c r="E282">
        <v>0.29420000000000002</v>
      </c>
      <c r="F282">
        <v>7772823.04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-0.4754558204768583</v>
      </c>
      <c r="Q282">
        <f t="shared" si="965"/>
        <v>-3695633.9559046282</v>
      </c>
      <c r="R282">
        <f t="shared" si="966"/>
        <v>-34600710.116075836</v>
      </c>
      <c r="S282">
        <f t="shared" si="967"/>
        <v>-346.00710116075834</v>
      </c>
      <c r="T282">
        <f t="shared" si="968"/>
        <v>-0.34600710116075833</v>
      </c>
    </row>
    <row r="283" spans="1:20" x14ac:dyDescent="0.25">
      <c r="A283" s="5">
        <v>44310</v>
      </c>
      <c r="B283">
        <v>0.31559999999999999</v>
      </c>
      <c r="C283">
        <v>0.31580000000000003</v>
      </c>
      <c r="D283">
        <v>0.28589999999999999</v>
      </c>
      <c r="E283">
        <v>0.29330000000000001</v>
      </c>
      <c r="F283">
        <v>2846378.93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-0.5050167224080262</v>
      </c>
      <c r="Q283">
        <f t="shared" si="965"/>
        <v>-1437468.9579598648</v>
      </c>
      <c r="R283">
        <f t="shared" si="966"/>
        <v>-30905076.160171211</v>
      </c>
      <c r="S283">
        <f t="shared" si="967"/>
        <v>-309.05076160171211</v>
      </c>
      <c r="T283">
        <f t="shared" si="968"/>
        <v>-0.30905076160171213</v>
      </c>
    </row>
    <row r="284" spans="1:20" x14ac:dyDescent="0.25">
      <c r="A284" s="5">
        <v>44309</v>
      </c>
      <c r="B284">
        <v>0.32</v>
      </c>
      <c r="C284">
        <v>0.32700000000000001</v>
      </c>
      <c r="D284">
        <v>0.28620000000000001</v>
      </c>
      <c r="E284">
        <v>0.31590000000000001</v>
      </c>
      <c r="F284">
        <v>5833526.4000000004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0.45588235294117657</v>
      </c>
      <c r="Q284">
        <f t="shared" si="965"/>
        <v>2659401.7411764716</v>
      </c>
      <c r="R284">
        <f t="shared" si="966"/>
        <v>-29467607.202211346</v>
      </c>
      <c r="S284">
        <f t="shared" si="967"/>
        <v>-294.67607202211349</v>
      </c>
      <c r="T284">
        <f t="shared" si="968"/>
        <v>-0.29467607202211349</v>
      </c>
    </row>
    <row r="285" spans="1:20" x14ac:dyDescent="0.25">
      <c r="A285" s="5">
        <v>44308</v>
      </c>
      <c r="B285">
        <v>0.33129999999999998</v>
      </c>
      <c r="C285">
        <v>0.372</v>
      </c>
      <c r="D285">
        <v>0.31809999999999999</v>
      </c>
      <c r="E285">
        <v>0.32</v>
      </c>
      <c r="F285">
        <v>5922648.04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-0.92949907235621476</v>
      </c>
      <c r="Q285">
        <f t="shared" si="965"/>
        <v>-5505095.8590723537</v>
      </c>
      <c r="R285">
        <f t="shared" si="966"/>
        <v>-32127008.943387818</v>
      </c>
      <c r="S285">
        <f t="shared" si="967"/>
        <v>-321.27008943387818</v>
      </c>
      <c r="T285">
        <f t="shared" si="968"/>
        <v>-0.32127008943387819</v>
      </c>
    </row>
    <row r="286" spans="1:20" x14ac:dyDescent="0.25">
      <c r="A286" s="5">
        <v>44307</v>
      </c>
      <c r="B286">
        <v>0.34100000000000003</v>
      </c>
      <c r="C286">
        <v>0.3649</v>
      </c>
      <c r="D286">
        <v>0.318</v>
      </c>
      <c r="E286">
        <v>0.33129999999999998</v>
      </c>
      <c r="F286">
        <v>6766869.2599999998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-0.43283582089552325</v>
      </c>
      <c r="Q286">
        <f t="shared" si="965"/>
        <v>-2928943.411044782</v>
      </c>
      <c r="R286">
        <f t="shared" si="966"/>
        <v>-26621913.084315464</v>
      </c>
      <c r="S286">
        <f t="shared" si="967"/>
        <v>-266.21913084315463</v>
      </c>
      <c r="T286">
        <f t="shared" si="968"/>
        <v>-0.26621913084315463</v>
      </c>
    </row>
    <row r="287" spans="1:20" x14ac:dyDescent="0.25">
      <c r="A287" s="5">
        <v>44306</v>
      </c>
      <c r="B287">
        <v>0.36099999999999999</v>
      </c>
      <c r="C287">
        <v>0.36149999999999999</v>
      </c>
      <c r="D287">
        <v>0.30120000000000002</v>
      </c>
      <c r="E287">
        <v>0.34110000000000001</v>
      </c>
      <c r="F287">
        <v>10214664.050000001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0.3233830845771149</v>
      </c>
      <c r="Q287">
        <f t="shared" si="965"/>
        <v>3303249.5684079654</v>
      </c>
      <c r="R287">
        <f t="shared" si="966"/>
        <v>-23692969.67327068</v>
      </c>
      <c r="S287">
        <f t="shared" si="967"/>
        <v>-236.92969673270679</v>
      </c>
      <c r="T287">
        <f t="shared" si="968"/>
        <v>-0.23692969673270678</v>
      </c>
    </row>
    <row r="288" spans="1:20" x14ac:dyDescent="0.25">
      <c r="A288" s="5">
        <v>44305</v>
      </c>
      <c r="B288">
        <v>0.36599999999999999</v>
      </c>
      <c r="C288">
        <v>0.37719999999999998</v>
      </c>
      <c r="D288">
        <v>0.33410000000000001</v>
      </c>
      <c r="E288">
        <v>0.36099999999999999</v>
      </c>
      <c r="F288">
        <v>12987273.43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0.24825986078886297</v>
      </c>
      <c r="Q288">
        <f t="shared" si="965"/>
        <v>3224218.6937586986</v>
      </c>
      <c r="R288">
        <f t="shared" si="966"/>
        <v>-26996219.241678644</v>
      </c>
      <c r="S288">
        <f t="shared" si="967"/>
        <v>-269.96219241678642</v>
      </c>
      <c r="T288">
        <f t="shared" si="968"/>
        <v>-0.26996219241678643</v>
      </c>
    </row>
    <row r="289" spans="1:20" x14ac:dyDescent="0.25">
      <c r="A289" s="5">
        <v>44304</v>
      </c>
      <c r="B289">
        <v>0.42770000000000002</v>
      </c>
      <c r="C289">
        <v>0.42949999999999999</v>
      </c>
      <c r="D289">
        <v>0.34620000000000001</v>
      </c>
      <c r="E289">
        <v>0.36530000000000001</v>
      </c>
      <c r="F289">
        <v>10272781.66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-0.54141656662665039</v>
      </c>
      <c r="Q289">
        <f t="shared" si="965"/>
        <v>-5561854.1760624219</v>
      </c>
      <c r="R289">
        <f t="shared" si="966"/>
        <v>-30220437.935437344</v>
      </c>
      <c r="S289">
        <f t="shared" si="967"/>
        <v>-302.20437935437343</v>
      </c>
      <c r="T289">
        <f t="shared" si="968"/>
        <v>-0.30220437935437344</v>
      </c>
    </row>
    <row r="290" spans="1:20" x14ac:dyDescent="0.25">
      <c r="A290" s="5">
        <v>44303</v>
      </c>
      <c r="B290">
        <v>0.4264</v>
      </c>
      <c r="C290">
        <v>0.46</v>
      </c>
      <c r="D290">
        <v>0.42259999999999998</v>
      </c>
      <c r="E290">
        <v>0.42770000000000002</v>
      </c>
      <c r="F290">
        <v>5797637.8399999999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-0.72727272727272496</v>
      </c>
      <c r="Q290">
        <f t="shared" si="965"/>
        <v>-4216463.8836363498</v>
      </c>
      <c r="R290">
        <f t="shared" si="966"/>
        <v>-24658583.759374924</v>
      </c>
      <c r="S290">
        <f t="shared" si="967"/>
        <v>-246.58583759374923</v>
      </c>
      <c r="T290">
        <f t="shared" si="968"/>
        <v>-0.24658583759374925</v>
      </c>
    </row>
    <row r="291" spans="1:20" x14ac:dyDescent="0.25">
      <c r="A291" s="5">
        <v>44302</v>
      </c>
      <c r="B291">
        <v>0.45810000000000001</v>
      </c>
      <c r="C291">
        <v>0.46989999999999998</v>
      </c>
      <c r="D291">
        <v>0.41810000000000003</v>
      </c>
      <c r="E291">
        <v>0.4264</v>
      </c>
      <c r="F291">
        <v>5284612.7300000004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-0.67953667953668029</v>
      </c>
      <c r="Q291">
        <f t="shared" si="965"/>
        <v>-3591088.1871814714</v>
      </c>
      <c r="R291">
        <f t="shared" si="966"/>
        <v>-20442119.875738576</v>
      </c>
      <c r="S291">
        <f t="shared" si="967"/>
        <v>-204.42119875738575</v>
      </c>
      <c r="T291">
        <f t="shared" si="968"/>
        <v>-0.20442119875738576</v>
      </c>
    </row>
    <row r="292" spans="1:20" x14ac:dyDescent="0.25">
      <c r="A292" s="5">
        <v>44301</v>
      </c>
      <c r="B292">
        <v>0.45390000000000003</v>
      </c>
      <c r="C292">
        <v>0.46660000000000001</v>
      </c>
      <c r="D292">
        <v>0.4385</v>
      </c>
      <c r="E292">
        <v>0.45829999999999999</v>
      </c>
      <c r="F292">
        <v>5446877.6500000004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0.40925266903914409</v>
      </c>
      <c r="Q292">
        <f t="shared" si="965"/>
        <v>2229149.2161921612</v>
      </c>
      <c r="R292">
        <f t="shared" si="966"/>
        <v>-16851031.688557103</v>
      </c>
      <c r="S292">
        <f t="shared" si="967"/>
        <v>-168.51031688557103</v>
      </c>
      <c r="T292">
        <f t="shared" si="968"/>
        <v>-0.16851031688557103</v>
      </c>
    </row>
    <row r="293" spans="1:20" x14ac:dyDescent="0.25">
      <c r="A293" s="5">
        <v>44300</v>
      </c>
      <c r="B293">
        <v>0.47039999999999998</v>
      </c>
      <c r="C293">
        <v>0.4708</v>
      </c>
      <c r="D293">
        <v>0.4204</v>
      </c>
      <c r="E293">
        <v>0.45290000000000002</v>
      </c>
      <c r="F293">
        <v>8159885.6799999997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0.28968253968254082</v>
      </c>
      <c r="Q293">
        <f t="shared" si="965"/>
        <v>2363776.4073015964</v>
      </c>
      <c r="R293">
        <f t="shared" si="966"/>
        <v>-19080180.904749263</v>
      </c>
      <c r="S293">
        <f t="shared" si="967"/>
        <v>-190.80180904749264</v>
      </c>
      <c r="T293">
        <f t="shared" si="968"/>
        <v>-0.19080180904749264</v>
      </c>
    </row>
    <row r="294" spans="1:20" x14ac:dyDescent="0.25">
      <c r="A294" s="5">
        <v>44299</v>
      </c>
      <c r="B294">
        <v>0.46429999999999999</v>
      </c>
      <c r="C294">
        <v>0.48</v>
      </c>
      <c r="D294">
        <v>0.44419999999999998</v>
      </c>
      <c r="E294">
        <v>0.47060000000000002</v>
      </c>
      <c r="F294">
        <v>5294411.09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0.47486033519553272</v>
      </c>
      <c r="Q294">
        <f t="shared" si="965"/>
        <v>2514105.8248603456</v>
      </c>
      <c r="R294">
        <f t="shared" si="966"/>
        <v>-21443957.31205086</v>
      </c>
      <c r="S294">
        <f t="shared" si="967"/>
        <v>-214.43957312050861</v>
      </c>
      <c r="T294">
        <f t="shared" si="968"/>
        <v>-0.21443957312050863</v>
      </c>
    </row>
    <row r="295" spans="1:20" x14ac:dyDescent="0.25">
      <c r="A295" s="5">
        <v>44298</v>
      </c>
      <c r="B295">
        <v>0.47620000000000001</v>
      </c>
      <c r="C295">
        <v>0.48010000000000003</v>
      </c>
      <c r="D295">
        <v>0.441</v>
      </c>
      <c r="E295">
        <v>0.46429999999999999</v>
      </c>
      <c r="F295">
        <v>5868772.9900000002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0.19181585677749224</v>
      </c>
      <c r="Q295">
        <f t="shared" si="965"/>
        <v>1125723.719309455</v>
      </c>
      <c r="R295">
        <f t="shared" si="966"/>
        <v>-23958063.136911206</v>
      </c>
      <c r="S295">
        <f t="shared" si="967"/>
        <v>-239.58063136911207</v>
      </c>
      <c r="T295">
        <f t="shared" si="968"/>
        <v>-0.23958063136911206</v>
      </c>
    </row>
    <row r="296" spans="1:20" x14ac:dyDescent="0.25">
      <c r="A296" s="5">
        <v>44297</v>
      </c>
      <c r="B296">
        <v>0.47039999999999998</v>
      </c>
      <c r="C296">
        <v>0.49790000000000001</v>
      </c>
      <c r="D296">
        <v>0.4617</v>
      </c>
      <c r="E296">
        <v>0.47610000000000002</v>
      </c>
      <c r="F296">
        <v>3731018.14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-0.20441988950276133</v>
      </c>
      <c r="Q296">
        <f t="shared" si="965"/>
        <v>-762694.31591159815</v>
      </c>
      <c r="R296">
        <f t="shared" si="966"/>
        <v>-25083786.856220663</v>
      </c>
      <c r="S296">
        <f t="shared" si="967"/>
        <v>-250.83786856220664</v>
      </c>
      <c r="T296">
        <f t="shared" si="968"/>
        <v>-0.25083786856220663</v>
      </c>
    </row>
    <row r="297" spans="1:20" x14ac:dyDescent="0.25">
      <c r="A297" s="5">
        <v>44296</v>
      </c>
      <c r="B297">
        <v>0.49490000000000001</v>
      </c>
      <c r="C297">
        <v>0.5091</v>
      </c>
      <c r="D297">
        <v>0.4541</v>
      </c>
      <c r="E297">
        <v>0.4703</v>
      </c>
      <c r="F297">
        <v>9054954.6099999994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-0.41090909090909111</v>
      </c>
      <c r="Q297">
        <f t="shared" si="965"/>
        <v>-3720763.1670181835</v>
      </c>
      <c r="R297">
        <f t="shared" si="966"/>
        <v>-24321092.540309064</v>
      </c>
      <c r="S297">
        <f t="shared" si="967"/>
        <v>-243.21092540309064</v>
      </c>
      <c r="T297">
        <f t="shared" si="968"/>
        <v>-0.24321092540309064</v>
      </c>
    </row>
    <row r="298" spans="1:20" x14ac:dyDescent="0.25">
      <c r="A298" s="5">
        <v>44295</v>
      </c>
      <c r="B298">
        <v>0.47070000000000001</v>
      </c>
      <c r="C298">
        <v>0.4995</v>
      </c>
      <c r="D298">
        <v>0.46089999999999998</v>
      </c>
      <c r="E298">
        <v>0.49490000000000001</v>
      </c>
      <c r="F298">
        <v>7236667.9000000004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0.76165803108808339</v>
      </c>
      <c r="Q298">
        <f t="shared" si="965"/>
        <v>5511866.2243523356</v>
      </c>
      <c r="R298">
        <f t="shared" si="966"/>
        <v>-20600329.373290882</v>
      </c>
      <c r="S298">
        <f t="shared" si="967"/>
        <v>-206.00329373290882</v>
      </c>
      <c r="T298">
        <f t="shared" si="968"/>
        <v>-0.20600329373290882</v>
      </c>
    </row>
    <row r="299" spans="1:20" x14ac:dyDescent="0.25">
      <c r="A299" s="5">
        <v>44294</v>
      </c>
      <c r="B299">
        <v>0.44290000000000002</v>
      </c>
      <c r="C299">
        <v>0.47599999999999998</v>
      </c>
      <c r="D299">
        <v>0.4294</v>
      </c>
      <c r="E299">
        <v>0.46920000000000001</v>
      </c>
      <c r="F299">
        <v>4639143.92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0.70815450643776923</v>
      </c>
      <c r="Q299">
        <f t="shared" si="965"/>
        <v>3285230.672961378</v>
      </c>
      <c r="R299">
        <f t="shared" si="966"/>
        <v>-26112195.597643219</v>
      </c>
      <c r="S299">
        <f t="shared" si="967"/>
        <v>-261.12195597643216</v>
      </c>
      <c r="T299">
        <f t="shared" si="968"/>
        <v>-0.26112195597643217</v>
      </c>
    </row>
    <row r="300" spans="1:20" x14ac:dyDescent="0.25">
      <c r="A300" s="5">
        <v>44293</v>
      </c>
      <c r="B300">
        <v>0.46870000000000001</v>
      </c>
      <c r="C300">
        <v>0.47189999999999999</v>
      </c>
      <c r="D300">
        <v>0.4007</v>
      </c>
      <c r="E300">
        <v>0.44209999999999999</v>
      </c>
      <c r="F300">
        <v>8256156.8600000003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0.16292134831460675</v>
      </c>
      <c r="Q300">
        <f t="shared" si="965"/>
        <v>1345104.2075280901</v>
      </c>
      <c r="R300">
        <f t="shared" si="966"/>
        <v>-29397426.270604596</v>
      </c>
      <c r="S300">
        <f t="shared" si="967"/>
        <v>-293.97426270604598</v>
      </c>
      <c r="T300">
        <f t="shared" si="968"/>
        <v>-0.29397426270604599</v>
      </c>
    </row>
    <row r="301" spans="1:20" x14ac:dyDescent="0.25">
      <c r="A301" s="5">
        <v>44292</v>
      </c>
      <c r="B301">
        <v>0.49320000000000003</v>
      </c>
      <c r="C301">
        <v>0.50760000000000005</v>
      </c>
      <c r="D301">
        <v>0.44929999999999998</v>
      </c>
      <c r="E301">
        <v>0.47020000000000001</v>
      </c>
      <c r="F301">
        <v>7472176.1699999999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-0.28301886792452818</v>
      </c>
      <c r="Q301">
        <f t="shared" si="965"/>
        <v>-2114766.8405660368</v>
      </c>
      <c r="R301">
        <f t="shared" si="966"/>
        <v>-30742530.478132684</v>
      </c>
      <c r="S301">
        <f t="shared" si="967"/>
        <v>-307.42530478132682</v>
      </c>
      <c r="T301">
        <f t="shared" si="968"/>
        <v>-0.30742530478132679</v>
      </c>
    </row>
    <row r="302" spans="1:20" x14ac:dyDescent="0.25">
      <c r="A302" s="5">
        <v>44291</v>
      </c>
      <c r="B302">
        <v>0.48470000000000002</v>
      </c>
      <c r="C302">
        <v>0.52</v>
      </c>
      <c r="D302">
        <v>0.45700000000000002</v>
      </c>
      <c r="E302">
        <v>0.4924</v>
      </c>
      <c r="F302">
        <v>12230243.560000001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0.12380952380952338</v>
      </c>
      <c r="Q302">
        <f t="shared" si="965"/>
        <v>1514220.6312380901</v>
      </c>
      <c r="R302">
        <f t="shared" si="966"/>
        <v>-28627763.637566648</v>
      </c>
      <c r="S302">
        <f t="shared" si="967"/>
        <v>-286.27763637566648</v>
      </c>
      <c r="T302">
        <f t="shared" si="968"/>
        <v>-0.2862776363756665</v>
      </c>
    </row>
    <row r="303" spans="1:20" x14ac:dyDescent="0.25">
      <c r="A303" s="5">
        <v>44290</v>
      </c>
      <c r="B303">
        <v>0.44900000000000001</v>
      </c>
      <c r="C303">
        <v>0.51970000000000005</v>
      </c>
      <c r="D303">
        <v>0.44419999999999998</v>
      </c>
      <c r="E303">
        <v>0.4854</v>
      </c>
      <c r="F303">
        <v>11424916.48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9.1390728476820601E-2</v>
      </c>
      <c r="Q303">
        <f t="shared" si="965"/>
        <v>1044131.439894033</v>
      </c>
      <c r="R303">
        <f t="shared" si="966"/>
        <v>-30141984.26880474</v>
      </c>
      <c r="S303">
        <f t="shared" si="967"/>
        <v>-301.41984268804742</v>
      </c>
      <c r="T303">
        <f t="shared" si="968"/>
        <v>-0.30141984268804745</v>
      </c>
    </row>
    <row r="304" spans="1:20" x14ac:dyDescent="0.25">
      <c r="A304" s="5">
        <v>44289</v>
      </c>
      <c r="B304">
        <v>0.46560000000000001</v>
      </c>
      <c r="C304">
        <v>0.5</v>
      </c>
      <c r="D304">
        <v>0.44700000000000001</v>
      </c>
      <c r="E304">
        <v>0.45069999999999999</v>
      </c>
      <c r="F304">
        <v>10313626.560000001</v>
      </c>
      <c r="G304">
        <v>0</v>
      </c>
      <c r="L304" t="s">
        <v>8</v>
      </c>
      <c r="M304" t="s">
        <v>7</v>
      </c>
      <c r="N304" t="s">
        <v>8</v>
      </c>
      <c r="P304">
        <f t="shared" si="964"/>
        <v>-0.86037735849056673</v>
      </c>
      <c r="Q304">
        <f t="shared" si="965"/>
        <v>-8873610.7761509512</v>
      </c>
      <c r="R304">
        <f t="shared" si="966"/>
        <v>-31186115.708698772</v>
      </c>
      <c r="S304">
        <f t="shared" si="967"/>
        <v>-311.8611570869877</v>
      </c>
      <c r="T304">
        <f t="shared" si="968"/>
        <v>-0.31186115708698769</v>
      </c>
    </row>
    <row r="305" spans="1:20" x14ac:dyDescent="0.25">
      <c r="A305" s="5">
        <v>44288</v>
      </c>
      <c r="B305">
        <v>0.47189999999999999</v>
      </c>
      <c r="C305">
        <v>0.49459999999999998</v>
      </c>
      <c r="D305">
        <v>0.45250000000000001</v>
      </c>
      <c r="E305">
        <v>0.46500000000000002</v>
      </c>
      <c r="F305">
        <v>8361835.1699999999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-0.40617577197149551</v>
      </c>
      <c r="Q305">
        <f t="shared" si="965"/>
        <v>-3396374.8552731513</v>
      </c>
      <c r="R305">
        <f t="shared" si="966"/>
        <v>-22312504.932547823</v>
      </c>
      <c r="S305">
        <f t="shared" si="967"/>
        <v>-223.12504932547822</v>
      </c>
      <c r="T305">
        <f t="shared" si="968"/>
        <v>-0.22312504932547822</v>
      </c>
    </row>
    <row r="306" spans="1:20" x14ac:dyDescent="0.25">
      <c r="A306" s="5">
        <v>44287</v>
      </c>
      <c r="B306">
        <v>0.50819999999999999</v>
      </c>
      <c r="C306">
        <v>0.5171</v>
      </c>
      <c r="D306">
        <v>0.46479999999999999</v>
      </c>
      <c r="E306">
        <v>0.47110000000000002</v>
      </c>
      <c r="F306">
        <v>8050128.75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-0.75908221797323039</v>
      </c>
      <c r="Q306">
        <f t="shared" si="965"/>
        <v>-6110709.5865200683</v>
      </c>
      <c r="R306">
        <f t="shared" si="966"/>
        <v>-18916130.077274673</v>
      </c>
      <c r="S306">
        <f t="shared" si="967"/>
        <v>-189.16130077274673</v>
      </c>
      <c r="T306">
        <f t="shared" si="968"/>
        <v>-0.18916130077274673</v>
      </c>
    </row>
    <row r="307" spans="1:20" x14ac:dyDescent="0.25">
      <c r="A307" s="5">
        <v>44286</v>
      </c>
      <c r="B307">
        <v>0.50980000000000003</v>
      </c>
      <c r="C307">
        <v>0.53869999999999996</v>
      </c>
      <c r="D307">
        <v>0.46689999999999998</v>
      </c>
      <c r="E307">
        <v>0.50819999999999999</v>
      </c>
      <c r="F307">
        <v>15682329.539999999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0.15041782729805064</v>
      </c>
      <c r="Q307">
        <f t="shared" si="965"/>
        <v>2358901.936378838</v>
      </c>
      <c r="R307">
        <f t="shared" si="966"/>
        <v>-12805420.490754606</v>
      </c>
      <c r="S307">
        <f t="shared" si="967"/>
        <v>-128.05420490754605</v>
      </c>
      <c r="T307">
        <f t="shared" si="968"/>
        <v>-0.12805420490754604</v>
      </c>
    </row>
    <row r="308" spans="1:20" x14ac:dyDescent="0.25">
      <c r="A308" s="5">
        <v>44285</v>
      </c>
      <c r="B308">
        <v>0.45710000000000001</v>
      </c>
      <c r="C308">
        <v>0.52</v>
      </c>
      <c r="D308">
        <v>0.44440000000000002</v>
      </c>
      <c r="E308">
        <v>0.50970000000000004</v>
      </c>
      <c r="F308">
        <v>15806887.6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0.72751322751322811</v>
      </c>
      <c r="Q308">
        <f t="shared" si="965"/>
        <v>11499719.814814825</v>
      </c>
      <c r="R308">
        <f t="shared" si="966"/>
        <v>-15164322.427133445</v>
      </c>
      <c r="S308">
        <f t="shared" si="967"/>
        <v>-151.64322427133445</v>
      </c>
      <c r="T308">
        <f t="shared" si="968"/>
        <v>-0.15164322427133445</v>
      </c>
    </row>
    <row r="309" spans="1:20" x14ac:dyDescent="0.25">
      <c r="A309" s="5">
        <v>44284</v>
      </c>
      <c r="B309">
        <v>0.42149999999999999</v>
      </c>
      <c r="C309">
        <v>0.46189999999999998</v>
      </c>
      <c r="D309">
        <v>0.41810000000000003</v>
      </c>
      <c r="E309">
        <v>0.45700000000000002</v>
      </c>
      <c r="F309">
        <v>15872881.1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0.7762557077625587</v>
      </c>
      <c r="Q309">
        <f t="shared" si="965"/>
        <v>12321414.552511441</v>
      </c>
      <c r="R309">
        <f t="shared" si="966"/>
        <v>-26664042.241948269</v>
      </c>
      <c r="S309">
        <f t="shared" si="967"/>
        <v>-266.64042241948272</v>
      </c>
      <c r="T309">
        <f t="shared" si="968"/>
        <v>-0.26664042241948271</v>
      </c>
    </row>
    <row r="310" spans="1:20" x14ac:dyDescent="0.25">
      <c r="A310" s="5">
        <v>44283</v>
      </c>
      <c r="B310">
        <v>0.41539999999999999</v>
      </c>
      <c r="C310">
        <v>0.43640000000000001</v>
      </c>
      <c r="D310">
        <v>0.40620000000000001</v>
      </c>
      <c r="E310">
        <v>0.42159999999999997</v>
      </c>
      <c r="F310">
        <v>13201391.1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1.986754966887198E-2</v>
      </c>
      <c r="Q310">
        <f t="shared" si="965"/>
        <v>262279.29337745451</v>
      </c>
      <c r="R310">
        <f t="shared" si="966"/>
        <v>-38985456.794459708</v>
      </c>
      <c r="S310">
        <f t="shared" si="967"/>
        <v>-389.85456794459708</v>
      </c>
      <c r="T310">
        <f t="shared" si="968"/>
        <v>-0.38985456794459705</v>
      </c>
    </row>
    <row r="311" spans="1:20" x14ac:dyDescent="0.25">
      <c r="A311" s="5">
        <v>44282</v>
      </c>
      <c r="B311">
        <v>0.41760000000000003</v>
      </c>
      <c r="C311">
        <v>0.43159999999999998</v>
      </c>
      <c r="D311">
        <v>0.38700000000000001</v>
      </c>
      <c r="E311">
        <v>0.41539999999999999</v>
      </c>
      <c r="F311">
        <v>16323322.99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0.27354260089686089</v>
      </c>
      <c r="Q311">
        <f t="shared" si="965"/>
        <v>4465124.2259641243</v>
      </c>
      <c r="R311">
        <f t="shared" si="966"/>
        <v>-39247736.08783716</v>
      </c>
      <c r="S311">
        <f t="shared" si="967"/>
        <v>-392.4773608783716</v>
      </c>
      <c r="T311">
        <f t="shared" si="968"/>
        <v>-0.3924773608783716</v>
      </c>
    </row>
    <row r="312" spans="1:20" x14ac:dyDescent="0.25">
      <c r="A312" s="5">
        <v>44281</v>
      </c>
      <c r="B312">
        <v>0.36259999999999998</v>
      </c>
      <c r="C312">
        <v>0.4229</v>
      </c>
      <c r="D312">
        <v>0.35749999999999998</v>
      </c>
      <c r="E312">
        <v>0.41739999999999999</v>
      </c>
      <c r="F312">
        <v>16018851.640000001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0.83180428134556561</v>
      </c>
      <c r="Q312">
        <f t="shared" si="965"/>
        <v>13324549.376391435</v>
      </c>
      <c r="R312">
        <f t="shared" si="966"/>
        <v>-43712860.313801281</v>
      </c>
      <c r="S312">
        <f t="shared" si="967"/>
        <v>-437.12860313801281</v>
      </c>
      <c r="T312">
        <f t="shared" si="968"/>
        <v>-0.43712860313801283</v>
      </c>
    </row>
    <row r="313" spans="1:20" x14ac:dyDescent="0.25">
      <c r="A313" s="5">
        <v>44280</v>
      </c>
      <c r="B313">
        <v>0.38069999999999998</v>
      </c>
      <c r="C313">
        <v>0.38719999999999999</v>
      </c>
      <c r="D313">
        <v>0.34139999999999998</v>
      </c>
      <c r="E313">
        <v>0.36230000000000001</v>
      </c>
      <c r="F313">
        <v>16810748.739999998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-8.7336244541483574E-2</v>
      </c>
      <c r="Q313">
        <f t="shared" si="965"/>
        <v>-1468187.6628820768</v>
      </c>
      <c r="R313">
        <f t="shared" si="966"/>
        <v>-57037409.690192714</v>
      </c>
      <c r="S313">
        <f t="shared" si="967"/>
        <v>-570.37409690192715</v>
      </c>
      <c r="T313">
        <f t="shared" si="968"/>
        <v>-0.5703740969019272</v>
      </c>
    </row>
    <row r="314" spans="1:20" x14ac:dyDescent="0.25">
      <c r="A314" s="5">
        <v>44279</v>
      </c>
      <c r="B314">
        <v>0.39019999999999999</v>
      </c>
      <c r="C314">
        <v>0.45</v>
      </c>
      <c r="D314">
        <v>0.36420000000000002</v>
      </c>
      <c r="E314">
        <v>0.38090000000000002</v>
      </c>
      <c r="F314">
        <v>22049627.859999999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-0.6107226107226108</v>
      </c>
      <c r="Q314">
        <f t="shared" si="965"/>
        <v>-13466206.292121213</v>
      </c>
      <c r="R314">
        <f t="shared" si="966"/>
        <v>-55569222.02731064</v>
      </c>
      <c r="S314">
        <f t="shared" si="967"/>
        <v>-555.69222027310639</v>
      </c>
      <c r="T314">
        <f t="shared" si="968"/>
        <v>-0.55569222027310639</v>
      </c>
    </row>
    <row r="315" spans="1:20" x14ac:dyDescent="0.25">
      <c r="A315" s="5">
        <v>44278</v>
      </c>
      <c r="B315">
        <v>0.39190000000000003</v>
      </c>
      <c r="C315">
        <v>0.40529999999999999</v>
      </c>
      <c r="D315">
        <v>0.35170000000000001</v>
      </c>
      <c r="E315">
        <v>0.3901</v>
      </c>
      <c r="F315">
        <v>7110841.3099999996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0.43283582089552253</v>
      </c>
      <c r="Q315">
        <f t="shared" si="965"/>
        <v>3077826.8356716428</v>
      </c>
      <c r="R315">
        <f t="shared" si="966"/>
        <v>-42103015.735189423</v>
      </c>
      <c r="S315">
        <f t="shared" si="967"/>
        <v>-421.03015735189422</v>
      </c>
      <c r="T315">
        <f t="shared" si="968"/>
        <v>-0.4210301573518942</v>
      </c>
    </row>
    <row r="316" spans="1:20" x14ac:dyDescent="0.25">
      <c r="A316" s="5">
        <v>44277</v>
      </c>
      <c r="B316">
        <v>0.41499999999999998</v>
      </c>
      <c r="C316">
        <v>0.43340000000000001</v>
      </c>
      <c r="D316">
        <v>0.373</v>
      </c>
      <c r="E316">
        <v>0.39179999999999998</v>
      </c>
      <c r="F316">
        <v>8640253.1300000008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-0.37748344370860992</v>
      </c>
      <c r="Q316">
        <f t="shared" si="965"/>
        <v>-3261552.5060264962</v>
      </c>
      <c r="R316">
        <f t="shared" si="966"/>
        <v>-45180842.570861064</v>
      </c>
      <c r="S316">
        <f t="shared" si="967"/>
        <v>-451.80842570861063</v>
      </c>
      <c r="T316">
        <f t="shared" si="968"/>
        <v>-0.45180842570861063</v>
      </c>
    </row>
    <row r="317" spans="1:20" x14ac:dyDescent="0.25">
      <c r="A317" s="5">
        <v>44276</v>
      </c>
      <c r="B317">
        <v>0.44269999999999998</v>
      </c>
      <c r="C317">
        <v>0.443</v>
      </c>
      <c r="D317">
        <v>0.4047</v>
      </c>
      <c r="E317">
        <v>0.41560000000000002</v>
      </c>
      <c r="F317">
        <v>5067313.47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-0.43080939947780572</v>
      </c>
      <c r="Q317">
        <f t="shared" si="965"/>
        <v>-2183046.2729764958</v>
      </c>
      <c r="R317">
        <f t="shared" si="966"/>
        <v>-41919290.064834565</v>
      </c>
      <c r="S317">
        <f t="shared" si="967"/>
        <v>-419.19290064834564</v>
      </c>
      <c r="T317">
        <f t="shared" si="968"/>
        <v>-0.41919290064834563</v>
      </c>
    </row>
    <row r="318" spans="1:20" x14ac:dyDescent="0.25">
      <c r="A318" s="5">
        <v>44275</v>
      </c>
      <c r="B318">
        <v>0.45629999999999998</v>
      </c>
      <c r="C318">
        <v>0.47989999999999999</v>
      </c>
      <c r="D318">
        <v>0.442</v>
      </c>
      <c r="E318">
        <v>0.44259999999999999</v>
      </c>
      <c r="F318">
        <v>5120397.28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-0.96833773087071295</v>
      </c>
      <c r="Q318">
        <f t="shared" si="965"/>
        <v>-4958273.8832717706</v>
      </c>
      <c r="R318">
        <f t="shared" si="966"/>
        <v>-39736243.79185807</v>
      </c>
      <c r="S318">
        <f t="shared" si="967"/>
        <v>-397.36243791858072</v>
      </c>
      <c r="T318">
        <f t="shared" si="968"/>
        <v>-0.39736243791858072</v>
      </c>
    </row>
    <row r="319" spans="1:20" x14ac:dyDescent="0.25">
      <c r="A319" s="5">
        <v>44274</v>
      </c>
      <c r="B319">
        <v>0.43180000000000002</v>
      </c>
      <c r="C319">
        <v>0.4723</v>
      </c>
      <c r="D319">
        <v>0.4178</v>
      </c>
      <c r="E319">
        <v>0.45679999999999998</v>
      </c>
      <c r="F319">
        <v>5537250.5499999998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0.43119266055045813</v>
      </c>
      <c r="Q319">
        <f t="shared" si="965"/>
        <v>2387621.7967889877</v>
      </c>
      <c r="R319">
        <f t="shared" si="966"/>
        <v>-34777969.908586301</v>
      </c>
      <c r="S319">
        <f t="shared" si="967"/>
        <v>-347.779699085863</v>
      </c>
      <c r="T319">
        <f t="shared" si="968"/>
        <v>-0.34777969908586298</v>
      </c>
    </row>
    <row r="320" spans="1:20" x14ac:dyDescent="0.25">
      <c r="A320" s="5">
        <v>44273</v>
      </c>
      <c r="B320">
        <v>0.45190000000000002</v>
      </c>
      <c r="C320">
        <v>0.45950000000000002</v>
      </c>
      <c r="D320">
        <v>0.41760000000000003</v>
      </c>
      <c r="E320">
        <v>0.43180000000000002</v>
      </c>
      <c r="F320">
        <v>6161319.2800000003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-0.3221957040572796</v>
      </c>
      <c r="Q320">
        <f t="shared" si="965"/>
        <v>-1985150.6033412912</v>
      </c>
      <c r="R320">
        <f t="shared" si="966"/>
        <v>-37165591.705375291</v>
      </c>
      <c r="S320">
        <f t="shared" si="967"/>
        <v>-371.65591705375289</v>
      </c>
      <c r="T320">
        <f t="shared" si="968"/>
        <v>-0.37165591705375289</v>
      </c>
    </row>
    <row r="321" spans="1:20" x14ac:dyDescent="0.25">
      <c r="A321" s="5">
        <v>44272</v>
      </c>
      <c r="B321">
        <v>0.4612</v>
      </c>
      <c r="C321">
        <v>0.46500000000000002</v>
      </c>
      <c r="D321">
        <v>0.41299999999999998</v>
      </c>
      <c r="E321">
        <v>0.45019999999999999</v>
      </c>
      <c r="F321">
        <v>7176431.5499999998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0.4307692307692299</v>
      </c>
      <c r="Q321">
        <f t="shared" si="965"/>
        <v>3091385.8984615323</v>
      </c>
      <c r="R321">
        <f t="shared" si="966"/>
        <v>-35180441.102034003</v>
      </c>
      <c r="S321">
        <f t="shared" si="967"/>
        <v>-351.80441102034001</v>
      </c>
      <c r="T321">
        <f t="shared" si="968"/>
        <v>-0.35180441102033999</v>
      </c>
    </row>
    <row r="322" spans="1:20" x14ac:dyDescent="0.25">
      <c r="A322" s="5">
        <v>44271</v>
      </c>
      <c r="B322">
        <v>0.39350000000000002</v>
      </c>
      <c r="C322">
        <v>0.48299999999999998</v>
      </c>
      <c r="D322">
        <v>0.36680000000000001</v>
      </c>
      <c r="E322">
        <v>0.46129999999999999</v>
      </c>
      <c r="F322">
        <v>17084807.73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0.62650602409638545</v>
      </c>
      <c r="Q322">
        <f t="shared" si="965"/>
        <v>10703734.963373493</v>
      </c>
      <c r="R322">
        <f t="shared" si="966"/>
        <v>-38271827.000495538</v>
      </c>
      <c r="S322">
        <f t="shared" si="967"/>
        <v>-382.7182700049554</v>
      </c>
      <c r="T322">
        <f t="shared" si="968"/>
        <v>-0.3827182700049554</v>
      </c>
    </row>
    <row r="323" spans="1:20" x14ac:dyDescent="0.25">
      <c r="A323" s="5">
        <v>44270</v>
      </c>
      <c r="B323">
        <v>0.42520000000000002</v>
      </c>
      <c r="C323">
        <v>0.44800000000000001</v>
      </c>
      <c r="D323">
        <v>0.37819999999999998</v>
      </c>
      <c r="E323">
        <v>0.39240000000000003</v>
      </c>
      <c r="F323">
        <v>7723795.6900000004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-0.59312320916905326</v>
      </c>
      <c r="Q323">
        <f t="shared" si="965"/>
        <v>-4581162.4866189025</v>
      </c>
      <c r="R323">
        <f t="shared" si="966"/>
        <v>-48975561.963869035</v>
      </c>
      <c r="S323">
        <f t="shared" si="967"/>
        <v>-489.75561963869035</v>
      </c>
      <c r="T323">
        <f t="shared" si="968"/>
        <v>-0.48975561963869035</v>
      </c>
    </row>
    <row r="324" spans="1:20" x14ac:dyDescent="0.25">
      <c r="A324" s="5">
        <v>44269</v>
      </c>
      <c r="B324">
        <v>0.44</v>
      </c>
      <c r="C324">
        <v>0.44479999999999997</v>
      </c>
      <c r="D324">
        <v>0.39900000000000002</v>
      </c>
      <c r="E324">
        <v>0.42520000000000002</v>
      </c>
      <c r="F324">
        <v>6734109.1500000004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0.14410480349345103</v>
      </c>
      <c r="Q324">
        <f t="shared" si="965"/>
        <v>970417.47576420067</v>
      </c>
      <c r="R324">
        <f t="shared" si="966"/>
        <v>-44394399.477250129</v>
      </c>
      <c r="S324">
        <f t="shared" si="967"/>
        <v>-443.9439947725013</v>
      </c>
      <c r="T324">
        <f t="shared" si="968"/>
        <v>-0.44394399477250129</v>
      </c>
    </row>
    <row r="325" spans="1:20" x14ac:dyDescent="0.25">
      <c r="A325" s="5">
        <v>44268</v>
      </c>
      <c r="B325">
        <v>0.3947</v>
      </c>
      <c r="C325">
        <v>0.46839999999999998</v>
      </c>
      <c r="D325">
        <v>0.38590000000000002</v>
      </c>
      <c r="E325">
        <v>0.4405</v>
      </c>
      <c r="F325">
        <v>11840029.85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0.32363636363636378</v>
      </c>
      <c r="Q325">
        <f t="shared" si="965"/>
        <v>3831864.2060000016</v>
      </c>
      <c r="R325">
        <f t="shared" si="966"/>
        <v>-45364816.953014329</v>
      </c>
      <c r="S325">
        <f t="shared" si="967"/>
        <v>-453.64816953014326</v>
      </c>
      <c r="T325">
        <f t="shared" si="968"/>
        <v>-0.45364816953014325</v>
      </c>
    </row>
    <row r="326" spans="1:20" x14ac:dyDescent="0.25">
      <c r="A326" s="5">
        <v>44267</v>
      </c>
      <c r="B326">
        <v>0.35659999999999997</v>
      </c>
      <c r="C326">
        <v>0.41799999999999998</v>
      </c>
      <c r="D326">
        <v>0.3553</v>
      </c>
      <c r="E326">
        <v>0.3947</v>
      </c>
      <c r="F326">
        <v>11797892.83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0.25677830940988849</v>
      </c>
      <c r="Q326">
        <f t="shared" ref="Q326:Q389" si="970">F326*P326</f>
        <v>3029442.9754864452</v>
      </c>
      <c r="R326">
        <f t="shared" ref="R326:R389" si="971">R327+Q326</f>
        <v>-49196681.159014329</v>
      </c>
      <c r="S326">
        <f t="shared" ref="S326:S389" si="972">R326/100000</f>
        <v>-491.96681159014327</v>
      </c>
      <c r="T326">
        <f t="shared" ref="T326:T389" si="973">S326/1000</f>
        <v>-0.49196681159014327</v>
      </c>
    </row>
    <row r="327" spans="1:20" x14ac:dyDescent="0.25">
      <c r="A327" s="5">
        <v>44266</v>
      </c>
      <c r="B327">
        <v>0.35439999999999999</v>
      </c>
      <c r="C327">
        <v>0.36959999999999998</v>
      </c>
      <c r="D327">
        <v>0.33040000000000003</v>
      </c>
      <c r="E327">
        <v>0.35620000000000002</v>
      </c>
      <c r="F327">
        <v>4855675.47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0.3163265306122458</v>
      </c>
      <c r="Q327">
        <f t="shared" si="970"/>
        <v>1535978.9752040859</v>
      </c>
      <c r="R327">
        <f t="shared" si="971"/>
        <v>-52226124.134500772</v>
      </c>
      <c r="S327">
        <f t="shared" si="972"/>
        <v>-522.26124134500776</v>
      </c>
      <c r="T327">
        <f t="shared" si="973"/>
        <v>-0.52226124134500773</v>
      </c>
    </row>
    <row r="328" spans="1:20" x14ac:dyDescent="0.25">
      <c r="A328" s="5">
        <v>44265</v>
      </c>
      <c r="B328">
        <v>0.38640000000000002</v>
      </c>
      <c r="C328">
        <v>0.39</v>
      </c>
      <c r="D328">
        <v>0.35070000000000001</v>
      </c>
      <c r="E328">
        <v>0.35410000000000003</v>
      </c>
      <c r="F328">
        <v>5482178.8799999999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-0.82697201017811639</v>
      </c>
      <c r="Q328">
        <f t="shared" si="970"/>
        <v>-4533608.4885496143</v>
      </c>
      <c r="R328">
        <f t="shared" si="971"/>
        <v>-53762103.10970486</v>
      </c>
      <c r="S328">
        <f t="shared" si="972"/>
        <v>-537.62103109704856</v>
      </c>
      <c r="T328">
        <f t="shared" si="973"/>
        <v>-0.53762103109704851</v>
      </c>
    </row>
    <row r="329" spans="1:20" x14ac:dyDescent="0.25">
      <c r="A329" s="5">
        <v>44264</v>
      </c>
      <c r="B329">
        <v>0.38440000000000002</v>
      </c>
      <c r="C329">
        <v>0.39900000000000002</v>
      </c>
      <c r="D329">
        <v>0.36699999999999999</v>
      </c>
      <c r="E329">
        <v>0.3876</v>
      </c>
      <c r="F329">
        <v>6463115.6600000001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0.28749999999999931</v>
      </c>
      <c r="Q329">
        <f t="shared" si="970"/>
        <v>1858145.7522499955</v>
      </c>
      <c r="R329">
        <f t="shared" si="971"/>
        <v>-49228494.621155247</v>
      </c>
      <c r="S329">
        <f t="shared" si="972"/>
        <v>-492.28494621155249</v>
      </c>
      <c r="T329">
        <f t="shared" si="973"/>
        <v>-0.4922849462115525</v>
      </c>
    </row>
    <row r="330" spans="1:20" x14ac:dyDescent="0.25">
      <c r="A330" s="5">
        <v>44263</v>
      </c>
      <c r="B330">
        <v>0.37069999999999997</v>
      </c>
      <c r="C330">
        <v>0.38529999999999998</v>
      </c>
      <c r="D330">
        <v>0.33829999999999999</v>
      </c>
      <c r="E330">
        <v>0.38440000000000002</v>
      </c>
      <c r="F330">
        <v>6730569.0300000003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0.9617021276595763</v>
      </c>
      <c r="Q330">
        <f t="shared" si="970"/>
        <v>6472802.5565106506</v>
      </c>
      <c r="R330">
        <f t="shared" si="971"/>
        <v>-51086640.37340524</v>
      </c>
      <c r="S330">
        <f t="shared" si="972"/>
        <v>-510.86640373405243</v>
      </c>
      <c r="T330">
        <f t="shared" si="973"/>
        <v>-0.51086640373405245</v>
      </c>
    </row>
    <row r="331" spans="1:20" x14ac:dyDescent="0.25">
      <c r="A331" s="5">
        <v>44262</v>
      </c>
      <c r="B331">
        <v>0.33789999999999998</v>
      </c>
      <c r="C331">
        <v>0.38500000000000001</v>
      </c>
      <c r="D331">
        <v>0.32990000000000003</v>
      </c>
      <c r="E331">
        <v>0.37130000000000002</v>
      </c>
      <c r="F331">
        <v>7149611.79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0.502722323049002</v>
      </c>
      <c r="Q331">
        <f t="shared" si="970"/>
        <v>3594269.4479673333</v>
      </c>
      <c r="R331">
        <f t="shared" si="971"/>
        <v>-57559442.92991589</v>
      </c>
      <c r="S331">
        <f t="shared" si="972"/>
        <v>-575.59442929915895</v>
      </c>
      <c r="T331">
        <f t="shared" si="973"/>
        <v>-0.57559442929915894</v>
      </c>
    </row>
    <row r="332" spans="1:20" x14ac:dyDescent="0.25">
      <c r="A332" s="5">
        <v>44261</v>
      </c>
      <c r="B332">
        <v>0.33860000000000001</v>
      </c>
      <c r="C332">
        <v>0.34399999999999997</v>
      </c>
      <c r="D332">
        <v>0.309</v>
      </c>
      <c r="E332">
        <v>0.34</v>
      </c>
      <c r="F332">
        <v>3840996.99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0.77142857142857424</v>
      </c>
      <c r="Q332">
        <f t="shared" si="970"/>
        <v>2963054.8208571537</v>
      </c>
      <c r="R332">
        <f t="shared" si="971"/>
        <v>-61153712.377883226</v>
      </c>
      <c r="S332">
        <f t="shared" si="972"/>
        <v>-611.53712377883221</v>
      </c>
      <c r="T332">
        <f t="shared" si="973"/>
        <v>-0.61153712377883218</v>
      </c>
    </row>
    <row r="333" spans="1:20" x14ac:dyDescent="0.25">
      <c r="A333" s="5">
        <v>44260</v>
      </c>
      <c r="B333">
        <v>0.3196</v>
      </c>
      <c r="C333">
        <v>0.34379999999999999</v>
      </c>
      <c r="D333">
        <v>0.29799999999999999</v>
      </c>
      <c r="E333">
        <v>0.33779999999999999</v>
      </c>
      <c r="F333">
        <v>3961621.61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0.73799126637554568</v>
      </c>
      <c r="Q333">
        <f t="shared" si="970"/>
        <v>2923642.1488646283</v>
      </c>
      <c r="R333">
        <f t="shared" si="971"/>
        <v>-64116767.198740378</v>
      </c>
      <c r="S333">
        <f t="shared" si="972"/>
        <v>-641.16767198740376</v>
      </c>
      <c r="T333">
        <f t="shared" si="973"/>
        <v>-0.64116767198740376</v>
      </c>
    </row>
    <row r="334" spans="1:20" x14ac:dyDescent="0.25">
      <c r="A334" s="5">
        <v>44259</v>
      </c>
      <c r="B334">
        <v>0.3241</v>
      </c>
      <c r="C334">
        <v>0.34910000000000002</v>
      </c>
      <c r="D334">
        <v>0.312</v>
      </c>
      <c r="E334">
        <v>0.31940000000000002</v>
      </c>
      <c r="F334">
        <v>5689151.9299999997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-0.60107816711590223</v>
      </c>
      <c r="Q334">
        <f t="shared" si="970"/>
        <v>-3419625.0145282974</v>
      </c>
      <c r="R334">
        <f t="shared" si="971"/>
        <v>-67040409.347605005</v>
      </c>
      <c r="S334">
        <f t="shared" si="972"/>
        <v>-670.40409347605009</v>
      </c>
      <c r="T334">
        <f t="shared" si="973"/>
        <v>-0.67040409347605012</v>
      </c>
    </row>
    <row r="335" spans="1:20" x14ac:dyDescent="0.25">
      <c r="A335" s="5">
        <v>44258</v>
      </c>
      <c r="B335">
        <v>0.32090000000000002</v>
      </c>
      <c r="C335">
        <v>0.35949999999999999</v>
      </c>
      <c r="D335">
        <v>0.31630000000000003</v>
      </c>
      <c r="E335">
        <v>0.3241</v>
      </c>
      <c r="F335">
        <v>5114566.62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-0.63888888888888973</v>
      </c>
      <c r="Q335">
        <f t="shared" si="970"/>
        <v>-3267639.7850000043</v>
      </c>
      <c r="R335">
        <f t="shared" si="971"/>
        <v>-63620784.333076708</v>
      </c>
      <c r="S335">
        <f t="shared" si="972"/>
        <v>-636.2078433307671</v>
      </c>
      <c r="T335">
        <f t="shared" si="973"/>
        <v>-0.63620784333076708</v>
      </c>
    </row>
    <row r="336" spans="1:20" x14ac:dyDescent="0.25">
      <c r="A336" s="5">
        <v>44257</v>
      </c>
      <c r="B336">
        <v>0.34460000000000002</v>
      </c>
      <c r="C336">
        <v>0.35620000000000002</v>
      </c>
      <c r="D336">
        <v>0.30599999999999999</v>
      </c>
      <c r="E336">
        <v>0.32090000000000002</v>
      </c>
      <c r="F336">
        <v>11906659.65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-0.40637450199203118</v>
      </c>
      <c r="Q336">
        <f t="shared" si="970"/>
        <v>-4838562.8856573626</v>
      </c>
      <c r="R336">
        <f t="shared" si="971"/>
        <v>-60353144.548076704</v>
      </c>
      <c r="S336">
        <f t="shared" si="972"/>
        <v>-603.53144548076705</v>
      </c>
      <c r="T336">
        <f t="shared" si="973"/>
        <v>-0.60353144548076709</v>
      </c>
    </row>
    <row r="337" spans="1:20" x14ac:dyDescent="0.25">
      <c r="A337" s="5">
        <v>44256</v>
      </c>
      <c r="B337">
        <v>0.27389999999999998</v>
      </c>
      <c r="C337">
        <v>0.38</v>
      </c>
      <c r="D337">
        <v>0.27389999999999998</v>
      </c>
      <c r="E337">
        <v>0.34489999999999998</v>
      </c>
      <c r="F337">
        <v>13123080.109999999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0.33836003770028256</v>
      </c>
      <c r="Q337">
        <f t="shared" si="970"/>
        <v>4440325.8807634283</v>
      </c>
      <c r="R337">
        <f t="shared" si="971"/>
        <v>-55514581.662419342</v>
      </c>
      <c r="S337">
        <f t="shared" si="972"/>
        <v>-555.14581662419346</v>
      </c>
      <c r="T337">
        <f t="shared" si="973"/>
        <v>-0.55514581662419349</v>
      </c>
    </row>
    <row r="338" spans="1:20" x14ac:dyDescent="0.25">
      <c r="A338" s="5">
        <v>44255</v>
      </c>
      <c r="B338">
        <v>0.28660000000000002</v>
      </c>
      <c r="C338">
        <v>0.3014</v>
      </c>
      <c r="D338">
        <v>0.254</v>
      </c>
      <c r="E338">
        <v>0.27310000000000001</v>
      </c>
      <c r="F338">
        <v>5801270.4699999997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-0.19409282700421912</v>
      </c>
      <c r="Q338">
        <f t="shared" si="970"/>
        <v>-1125984.985738395</v>
      </c>
      <c r="R338">
        <f t="shared" si="971"/>
        <v>-59954907.543182768</v>
      </c>
      <c r="S338">
        <f t="shared" si="972"/>
        <v>-599.54907543182765</v>
      </c>
      <c r="T338">
        <f t="shared" si="973"/>
        <v>-0.59954907543182767</v>
      </c>
    </row>
    <row r="339" spans="1:20" x14ac:dyDescent="0.25">
      <c r="A339" s="5">
        <v>44254</v>
      </c>
      <c r="B339">
        <v>0.28749999999999998</v>
      </c>
      <c r="C339">
        <v>0.313</v>
      </c>
      <c r="D339">
        <v>0.28010000000000002</v>
      </c>
      <c r="E339">
        <v>0.28760000000000002</v>
      </c>
      <c r="F339">
        <v>7163968.2199999997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-0.54407294832826691</v>
      </c>
      <c r="Q339">
        <f t="shared" si="970"/>
        <v>-3897721.3111854061</v>
      </c>
      <c r="R339">
        <f t="shared" si="971"/>
        <v>-58828922.557444371</v>
      </c>
      <c r="S339">
        <f t="shared" si="972"/>
        <v>-588.28922557444366</v>
      </c>
      <c r="T339">
        <f t="shared" si="973"/>
        <v>-0.58828922557444363</v>
      </c>
    </row>
    <row r="340" spans="1:20" x14ac:dyDescent="0.25">
      <c r="A340" s="5">
        <v>44253</v>
      </c>
      <c r="B340">
        <v>0.29260000000000003</v>
      </c>
      <c r="C340">
        <v>0.31580000000000003</v>
      </c>
      <c r="D340">
        <v>0.26640000000000003</v>
      </c>
      <c r="E340">
        <v>0.28749999999999998</v>
      </c>
      <c r="F340">
        <v>9434157.5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-0.14574898785425294</v>
      </c>
      <c r="Q340">
        <f t="shared" si="970"/>
        <v>-1375018.9068826092</v>
      </c>
      <c r="R340">
        <f t="shared" si="971"/>
        <v>-54931201.246258967</v>
      </c>
      <c r="S340">
        <f t="shared" si="972"/>
        <v>-549.31201246258968</v>
      </c>
      <c r="T340">
        <f t="shared" si="973"/>
        <v>-0.54931201246258965</v>
      </c>
    </row>
    <row r="341" spans="1:20" x14ac:dyDescent="0.25">
      <c r="A341" s="5">
        <v>44252</v>
      </c>
      <c r="B341">
        <v>0.3231</v>
      </c>
      <c r="C341">
        <v>0.34100000000000003</v>
      </c>
      <c r="D341">
        <v>0.28770000000000001</v>
      </c>
      <c r="E341">
        <v>0.29170000000000001</v>
      </c>
      <c r="F341">
        <v>7912856.2000000002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-0.84990619136960588</v>
      </c>
      <c r="Q341">
        <f t="shared" si="970"/>
        <v>-6725185.4757973729</v>
      </c>
      <c r="R341">
        <f t="shared" si="971"/>
        <v>-53556182.33937636</v>
      </c>
      <c r="S341">
        <f t="shared" si="972"/>
        <v>-535.56182339376358</v>
      </c>
      <c r="T341">
        <f t="shared" si="973"/>
        <v>-0.53556182339376357</v>
      </c>
    </row>
    <row r="342" spans="1:20" x14ac:dyDescent="0.25">
      <c r="A342" s="5">
        <v>44251</v>
      </c>
      <c r="B342">
        <v>0.32140000000000002</v>
      </c>
      <c r="C342">
        <v>0.36220000000000002</v>
      </c>
      <c r="D342">
        <v>0.3105</v>
      </c>
      <c r="E342">
        <v>0.3236</v>
      </c>
      <c r="F342">
        <v>7564250.0499999998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-0.49323017408123815</v>
      </c>
      <c r="Q342">
        <f t="shared" si="970"/>
        <v>-3730916.3689555144</v>
      </c>
      <c r="R342">
        <f t="shared" si="971"/>
        <v>-46830996.86357899</v>
      </c>
      <c r="S342">
        <f t="shared" si="972"/>
        <v>-468.30996863578991</v>
      </c>
      <c r="T342">
        <f t="shared" si="973"/>
        <v>-0.46830996863578994</v>
      </c>
    </row>
    <row r="343" spans="1:20" x14ac:dyDescent="0.25">
      <c r="A343" s="5">
        <v>44250</v>
      </c>
      <c r="B343">
        <v>0.38</v>
      </c>
      <c r="C343">
        <v>0.39900000000000002</v>
      </c>
      <c r="D343">
        <v>0.29339999999999999</v>
      </c>
      <c r="E343">
        <v>0.32140000000000002</v>
      </c>
      <c r="F343">
        <v>15747262.65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-0.46969696969696934</v>
      </c>
      <c r="Q343">
        <f t="shared" si="970"/>
        <v>-7396441.5477272673</v>
      </c>
      <c r="R343">
        <f t="shared" si="971"/>
        <v>-43100080.494623475</v>
      </c>
      <c r="S343">
        <f t="shared" si="972"/>
        <v>-431.00080494623472</v>
      </c>
      <c r="T343">
        <f t="shared" si="973"/>
        <v>-0.43100080494623472</v>
      </c>
    </row>
    <row r="344" spans="1:20" x14ac:dyDescent="0.25">
      <c r="A344" s="5">
        <v>44249</v>
      </c>
      <c r="B344">
        <v>0.42049999999999998</v>
      </c>
      <c r="C344">
        <v>0.439</v>
      </c>
      <c r="D344">
        <v>0.33560000000000001</v>
      </c>
      <c r="E344">
        <v>0.38</v>
      </c>
      <c r="F344">
        <v>11208923.24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-0.14119922630560933</v>
      </c>
      <c r="Q344">
        <f t="shared" si="970"/>
        <v>-1582691.2892069637</v>
      </c>
      <c r="R344">
        <f t="shared" si="971"/>
        <v>-35703638.94689621</v>
      </c>
      <c r="S344">
        <f t="shared" si="972"/>
        <v>-357.03638946896211</v>
      </c>
      <c r="T344">
        <f t="shared" si="973"/>
        <v>-0.3570363894689621</v>
      </c>
    </row>
    <row r="345" spans="1:20" x14ac:dyDescent="0.25">
      <c r="A345" s="5">
        <v>44248</v>
      </c>
      <c r="B345">
        <v>0.3957</v>
      </c>
      <c r="C345">
        <v>0.44</v>
      </c>
      <c r="D345">
        <v>0.39200000000000002</v>
      </c>
      <c r="E345">
        <v>0.42020000000000002</v>
      </c>
      <c r="F345">
        <v>9255556.5500000007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0.17500000000000043</v>
      </c>
      <c r="Q345">
        <f t="shared" si="970"/>
        <v>1619722.3962500042</v>
      </c>
      <c r="R345">
        <f t="shared" si="971"/>
        <v>-34120947.657689244</v>
      </c>
      <c r="S345">
        <f t="shared" si="972"/>
        <v>-341.20947657689243</v>
      </c>
      <c r="T345">
        <f t="shared" si="973"/>
        <v>-0.34120947657689243</v>
      </c>
    </row>
    <row r="346" spans="1:20" x14ac:dyDescent="0.25">
      <c r="A346" s="5">
        <v>44247</v>
      </c>
      <c r="B346">
        <v>0.45610000000000001</v>
      </c>
      <c r="C346">
        <v>0.4647</v>
      </c>
      <c r="D346">
        <v>0.38529999999999998</v>
      </c>
      <c r="E346">
        <v>0.39560000000000001</v>
      </c>
      <c r="F346">
        <v>13488985.93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-0.74055415617128395</v>
      </c>
      <c r="Q346">
        <f t="shared" si="970"/>
        <v>-9989324.5929974709</v>
      </c>
      <c r="R346">
        <f t="shared" si="971"/>
        <v>-35740670.053939246</v>
      </c>
      <c r="S346">
        <f t="shared" si="972"/>
        <v>-357.40670053939243</v>
      </c>
      <c r="T346">
        <f t="shared" si="973"/>
        <v>-0.35740670053939244</v>
      </c>
    </row>
    <row r="347" spans="1:20" x14ac:dyDescent="0.25">
      <c r="A347" s="5">
        <v>44246</v>
      </c>
      <c r="B347">
        <v>0.51670000000000005</v>
      </c>
      <c r="C347">
        <v>0.52059999999999995</v>
      </c>
      <c r="D347">
        <v>0.44590000000000002</v>
      </c>
      <c r="E347">
        <v>0.4556</v>
      </c>
      <c r="F347">
        <v>13170946.289999999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-0.74029451137884883</v>
      </c>
      <c r="Q347">
        <f t="shared" si="970"/>
        <v>-9750379.2481526118</v>
      </c>
      <c r="R347">
        <f t="shared" si="971"/>
        <v>-25751345.460941777</v>
      </c>
      <c r="S347">
        <f t="shared" si="972"/>
        <v>-257.51345460941775</v>
      </c>
      <c r="T347">
        <f t="shared" si="973"/>
        <v>-0.25751345460941777</v>
      </c>
    </row>
    <row r="348" spans="1:20" x14ac:dyDescent="0.25">
      <c r="A348" s="5">
        <v>44245</v>
      </c>
      <c r="B348">
        <v>0.46339999999999998</v>
      </c>
      <c r="C348">
        <v>0.53990000000000005</v>
      </c>
      <c r="D348">
        <v>0.46</v>
      </c>
      <c r="E348">
        <v>0.51670000000000005</v>
      </c>
      <c r="F348">
        <v>10347710.539999999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0.41927409261576992</v>
      </c>
      <c r="Q348">
        <f t="shared" si="970"/>
        <v>4338526.9473091383</v>
      </c>
      <c r="R348">
        <f t="shared" si="971"/>
        <v>-16000966.212789165</v>
      </c>
      <c r="S348">
        <f t="shared" si="972"/>
        <v>-160.00966212789166</v>
      </c>
      <c r="T348">
        <f t="shared" si="973"/>
        <v>-0.16000966212789167</v>
      </c>
    </row>
    <row r="349" spans="1:20" x14ac:dyDescent="0.25">
      <c r="A349" s="5">
        <v>44244</v>
      </c>
      <c r="B349">
        <v>0.44819999999999999</v>
      </c>
      <c r="C349">
        <v>0.46639999999999998</v>
      </c>
      <c r="D349">
        <v>0.42420000000000002</v>
      </c>
      <c r="E349">
        <v>0.46329999999999999</v>
      </c>
      <c r="F349">
        <v>8533477.1799999997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0.85308056872037941</v>
      </c>
      <c r="Q349">
        <f t="shared" si="970"/>
        <v>7279743.5658767791</v>
      </c>
      <c r="R349">
        <f t="shared" si="971"/>
        <v>-20339493.160098303</v>
      </c>
      <c r="S349">
        <f t="shared" si="972"/>
        <v>-203.39493160098303</v>
      </c>
      <c r="T349">
        <f t="shared" si="973"/>
        <v>-0.20339493160098304</v>
      </c>
    </row>
    <row r="350" spans="1:20" x14ac:dyDescent="0.25">
      <c r="A350" s="5">
        <v>44243</v>
      </c>
      <c r="B350">
        <v>0.46489999999999998</v>
      </c>
      <c r="C350">
        <v>0.49</v>
      </c>
      <c r="D350">
        <v>0.43530000000000002</v>
      </c>
      <c r="E350">
        <v>0.44800000000000001</v>
      </c>
      <c r="F350">
        <v>6606102.0599999996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-0.53564899451553949</v>
      </c>
      <c r="Q350">
        <f t="shared" si="970"/>
        <v>-3538551.9261060338</v>
      </c>
      <c r="R350">
        <f t="shared" si="971"/>
        <v>-27619236.725975081</v>
      </c>
      <c r="S350">
        <f t="shared" si="972"/>
        <v>-276.19236725975082</v>
      </c>
      <c r="T350">
        <f t="shared" si="973"/>
        <v>-0.27619236725975083</v>
      </c>
    </row>
    <row r="351" spans="1:20" x14ac:dyDescent="0.25">
      <c r="A351" s="5">
        <v>44242</v>
      </c>
      <c r="B351">
        <v>0.49580000000000002</v>
      </c>
      <c r="C351">
        <v>0.5</v>
      </c>
      <c r="D351">
        <v>0.4</v>
      </c>
      <c r="E351">
        <v>0.4622</v>
      </c>
      <c r="F351">
        <v>19462861.940000001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0.24399999999999983</v>
      </c>
      <c r="Q351">
        <f t="shared" si="970"/>
        <v>4748938.3133599972</v>
      </c>
      <c r="R351">
        <f t="shared" si="971"/>
        <v>-24080684.799869049</v>
      </c>
      <c r="S351">
        <f t="shared" si="972"/>
        <v>-240.8068479986905</v>
      </c>
      <c r="T351">
        <f t="shared" si="973"/>
        <v>-0.24080684799869051</v>
      </c>
    </row>
    <row r="352" spans="1:20" x14ac:dyDescent="0.25">
      <c r="A352" s="5">
        <v>44241</v>
      </c>
      <c r="B352">
        <v>0.55959999999999999</v>
      </c>
      <c r="C352">
        <v>0.56169999999999998</v>
      </c>
      <c r="D352">
        <v>0.45829999999999999</v>
      </c>
      <c r="E352">
        <v>0.49580000000000002</v>
      </c>
      <c r="F352">
        <v>10384124.529999999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-0.2746615087040612</v>
      </c>
      <c r="Q352">
        <f t="shared" si="970"/>
        <v>-2852119.3099806504</v>
      </c>
      <c r="R352">
        <f t="shared" si="971"/>
        <v>-28829623.113229048</v>
      </c>
      <c r="S352">
        <f t="shared" si="972"/>
        <v>-288.29623113229047</v>
      </c>
      <c r="T352">
        <f t="shared" si="973"/>
        <v>-0.28829623113229047</v>
      </c>
    </row>
    <row r="353" spans="1:20" x14ac:dyDescent="0.25">
      <c r="A353" s="5">
        <v>44240</v>
      </c>
      <c r="B353">
        <v>0.52949999999999997</v>
      </c>
      <c r="C353">
        <v>0.63349999999999995</v>
      </c>
      <c r="D353">
        <v>0.52249999999999996</v>
      </c>
      <c r="E353">
        <v>0.55649999999999999</v>
      </c>
      <c r="F353">
        <v>16406139.949999999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-0.38738738738738676</v>
      </c>
      <c r="Q353">
        <f t="shared" si="970"/>
        <v>-6355531.6923423316</v>
      </c>
      <c r="R353">
        <f t="shared" si="971"/>
        <v>-25977503.803248398</v>
      </c>
      <c r="S353">
        <f t="shared" si="972"/>
        <v>-259.77503803248396</v>
      </c>
      <c r="T353">
        <f t="shared" si="973"/>
        <v>-0.25977503803248397</v>
      </c>
    </row>
    <row r="354" spans="1:20" x14ac:dyDescent="0.25">
      <c r="A354" s="5">
        <v>44239</v>
      </c>
      <c r="B354">
        <v>0.44030000000000002</v>
      </c>
      <c r="C354">
        <v>0.5333</v>
      </c>
      <c r="D354">
        <v>0.43020000000000003</v>
      </c>
      <c r="E354">
        <v>0.52629999999999999</v>
      </c>
      <c r="F354">
        <v>15764864.560000001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0.86420950533462637</v>
      </c>
      <c r="Q354">
        <f t="shared" si="970"/>
        <v>13624145.803064983</v>
      </c>
      <c r="R354">
        <f t="shared" si="971"/>
        <v>-19621972.110906065</v>
      </c>
      <c r="S354">
        <f t="shared" si="972"/>
        <v>-196.21972110906066</v>
      </c>
      <c r="T354">
        <f t="shared" si="973"/>
        <v>-0.19621972110906066</v>
      </c>
    </row>
    <row r="355" spans="1:20" x14ac:dyDescent="0.25">
      <c r="A355" s="5">
        <v>44238</v>
      </c>
      <c r="B355">
        <v>0.39410000000000001</v>
      </c>
      <c r="C355">
        <v>0.46800000000000003</v>
      </c>
      <c r="D355">
        <v>0.38440000000000002</v>
      </c>
      <c r="E355">
        <v>0.44059999999999999</v>
      </c>
      <c r="F355">
        <v>11664167.99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0.34449760765550158</v>
      </c>
      <c r="Q355">
        <f t="shared" si="970"/>
        <v>4018277.9678468807</v>
      </c>
      <c r="R355">
        <f t="shared" si="971"/>
        <v>-33246117.913971048</v>
      </c>
      <c r="S355">
        <f t="shared" si="972"/>
        <v>-332.46117913971045</v>
      </c>
      <c r="T355">
        <f t="shared" si="973"/>
        <v>-0.33246117913971046</v>
      </c>
    </row>
    <row r="356" spans="1:20" x14ac:dyDescent="0.25">
      <c r="A356" s="5">
        <v>44237</v>
      </c>
      <c r="B356">
        <v>0.39029999999999998</v>
      </c>
      <c r="C356">
        <v>0.46550000000000002</v>
      </c>
      <c r="D356">
        <v>0.36980000000000002</v>
      </c>
      <c r="E356">
        <v>0.39410000000000001</v>
      </c>
      <c r="F356">
        <v>14516606.67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-0.49216300940438901</v>
      </c>
      <c r="Q356">
        <f t="shared" si="970"/>
        <v>-7144536.8250470264</v>
      </c>
      <c r="R356">
        <f t="shared" si="971"/>
        <v>-37264395.881817929</v>
      </c>
      <c r="S356">
        <f t="shared" si="972"/>
        <v>-372.64395881817927</v>
      </c>
      <c r="T356">
        <f t="shared" si="973"/>
        <v>-0.37264395881817924</v>
      </c>
    </row>
    <row r="357" spans="1:20" x14ac:dyDescent="0.25">
      <c r="A357" s="5">
        <v>44236</v>
      </c>
      <c r="B357">
        <v>0.38779999999999998</v>
      </c>
      <c r="C357">
        <v>0.44119999999999998</v>
      </c>
      <c r="D357">
        <v>0.3669</v>
      </c>
      <c r="E357">
        <v>0.39</v>
      </c>
      <c r="F357">
        <v>15084980.92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-0.37819650067294708</v>
      </c>
      <c r="Q357">
        <f t="shared" si="970"/>
        <v>-5705086.9966621734</v>
      </c>
      <c r="R357">
        <f t="shared" si="971"/>
        <v>-30119859.056770902</v>
      </c>
      <c r="S357">
        <f t="shared" si="972"/>
        <v>-301.198590567709</v>
      </c>
      <c r="T357">
        <f t="shared" si="973"/>
        <v>-0.30119859056770898</v>
      </c>
    </row>
    <row r="358" spans="1:20" x14ac:dyDescent="0.25">
      <c r="A358" s="5">
        <v>44235</v>
      </c>
      <c r="B358">
        <v>0.31280000000000002</v>
      </c>
      <c r="C358">
        <v>0.41760000000000003</v>
      </c>
      <c r="D358">
        <v>0.3115</v>
      </c>
      <c r="E358">
        <v>0.38529999999999998</v>
      </c>
      <c r="F358">
        <v>17131319.780000001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0.39114043355325084</v>
      </c>
      <c r="Q358">
        <f t="shared" si="970"/>
        <v>6700751.8460885826</v>
      </c>
      <c r="R358">
        <f t="shared" si="971"/>
        <v>-24414772.060108729</v>
      </c>
      <c r="S358">
        <f t="shared" si="972"/>
        <v>-244.14772060108729</v>
      </c>
      <c r="T358">
        <f t="shared" si="973"/>
        <v>-0.24414772060108728</v>
      </c>
    </row>
    <row r="359" spans="1:20" x14ac:dyDescent="0.25">
      <c r="A359" s="5">
        <v>44234</v>
      </c>
      <c r="B359">
        <v>0.31540000000000001</v>
      </c>
      <c r="C359">
        <v>0.3599</v>
      </c>
      <c r="D359">
        <v>0.28899999999999998</v>
      </c>
      <c r="E359">
        <v>0.31280000000000002</v>
      </c>
      <c r="F359">
        <v>42537482.759999998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-0.32863187588152221</v>
      </c>
      <c r="Q359">
        <f t="shared" si="970"/>
        <v>-13979172.75469671</v>
      </c>
      <c r="R359">
        <f t="shared" si="971"/>
        <v>-31115523.906197309</v>
      </c>
      <c r="S359">
        <f t="shared" si="972"/>
        <v>-311.15523906197308</v>
      </c>
      <c r="T359">
        <f t="shared" si="973"/>
        <v>-0.31115523906197307</v>
      </c>
    </row>
    <row r="360" spans="1:20" x14ac:dyDescent="0.25">
      <c r="A360" s="5">
        <v>44233</v>
      </c>
      <c r="B360">
        <v>0.30180000000000001</v>
      </c>
      <c r="C360">
        <v>0.32800000000000001</v>
      </c>
      <c r="D360">
        <v>0.28199999999999997</v>
      </c>
      <c r="E360">
        <v>0.31540000000000001</v>
      </c>
      <c r="F360">
        <v>12133369.07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0.45217391304347876</v>
      </c>
      <c r="Q360">
        <f t="shared" si="970"/>
        <v>5486392.9707826152</v>
      </c>
      <c r="R360">
        <f t="shared" si="971"/>
        <v>-17136351.151500601</v>
      </c>
      <c r="S360">
        <f t="shared" si="972"/>
        <v>-171.36351151500602</v>
      </c>
      <c r="T360">
        <f t="shared" si="973"/>
        <v>-0.17136351151500603</v>
      </c>
    </row>
    <row r="361" spans="1:20" x14ac:dyDescent="0.25">
      <c r="A361" s="5">
        <v>44232</v>
      </c>
      <c r="B361">
        <v>0.26860000000000001</v>
      </c>
      <c r="C361">
        <v>0.3226</v>
      </c>
      <c r="D361">
        <v>0.26650000000000001</v>
      </c>
      <c r="E361">
        <v>0.30159999999999998</v>
      </c>
      <c r="F361">
        <v>11694537.66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0.25133689839572104</v>
      </c>
      <c r="Q361">
        <f t="shared" si="970"/>
        <v>2939268.8236363535</v>
      </c>
      <c r="R361">
        <f t="shared" si="971"/>
        <v>-22622744.122283217</v>
      </c>
      <c r="S361">
        <f t="shared" si="972"/>
        <v>-226.22744122283217</v>
      </c>
      <c r="T361">
        <f t="shared" si="973"/>
        <v>-0.22622744122283217</v>
      </c>
    </row>
    <row r="362" spans="1:20" x14ac:dyDescent="0.25">
      <c r="A362" s="5">
        <v>44231</v>
      </c>
      <c r="B362">
        <v>0.28910000000000002</v>
      </c>
      <c r="C362">
        <v>0.29199999999999998</v>
      </c>
      <c r="D362">
        <v>0.25140000000000001</v>
      </c>
      <c r="E362">
        <v>0.26900000000000002</v>
      </c>
      <c r="F362">
        <v>8879193.3599999994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-0.1330049261083735</v>
      </c>
      <c r="Q362">
        <f t="shared" si="970"/>
        <v>-1180976.4567487605</v>
      </c>
      <c r="R362">
        <f t="shared" si="971"/>
        <v>-25562012.94591957</v>
      </c>
      <c r="S362">
        <f t="shared" si="972"/>
        <v>-255.62012945919571</v>
      </c>
      <c r="T362">
        <f t="shared" si="973"/>
        <v>-0.25562012945919571</v>
      </c>
    </row>
    <row r="363" spans="1:20" x14ac:dyDescent="0.25">
      <c r="A363" s="5">
        <v>44230</v>
      </c>
      <c r="B363">
        <v>0.26119999999999999</v>
      </c>
      <c r="C363">
        <v>0.2959</v>
      </c>
      <c r="D363">
        <v>0.25140000000000001</v>
      </c>
      <c r="E363">
        <v>0.28910000000000002</v>
      </c>
      <c r="F363">
        <v>10960515.66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0.69438202247191128</v>
      </c>
      <c r="Q363">
        <f t="shared" si="970"/>
        <v>7610785.0313258553</v>
      </c>
      <c r="R363">
        <f t="shared" si="971"/>
        <v>-24381036.489170808</v>
      </c>
      <c r="S363">
        <f t="shared" si="972"/>
        <v>-243.81036489170808</v>
      </c>
      <c r="T363">
        <f t="shared" si="973"/>
        <v>-0.24381036489170807</v>
      </c>
    </row>
    <row r="364" spans="1:20" x14ac:dyDescent="0.25">
      <c r="A364" s="5">
        <v>44229</v>
      </c>
      <c r="B364">
        <v>0.23300000000000001</v>
      </c>
      <c r="C364">
        <v>0.27100000000000002</v>
      </c>
      <c r="D364">
        <v>0.23019999999999999</v>
      </c>
      <c r="E364">
        <v>0.26190000000000002</v>
      </c>
      <c r="F364">
        <v>7420791.0899999999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0.55392156862745145</v>
      </c>
      <c r="Q364">
        <f t="shared" si="970"/>
        <v>4110536.2410294153</v>
      </c>
      <c r="R364">
        <f t="shared" si="971"/>
        <v>-31991821.520496663</v>
      </c>
      <c r="S364">
        <f t="shared" si="972"/>
        <v>-319.9182152049666</v>
      </c>
      <c r="T364">
        <f t="shared" si="973"/>
        <v>-0.31991821520496661</v>
      </c>
    </row>
    <row r="365" spans="1:20" x14ac:dyDescent="0.25">
      <c r="A365" s="5">
        <v>44228</v>
      </c>
      <c r="B365">
        <v>0.24890000000000001</v>
      </c>
      <c r="C365">
        <v>0.24890000000000001</v>
      </c>
      <c r="D365">
        <v>0.22059999999999999</v>
      </c>
      <c r="E365">
        <v>0.23319999999999999</v>
      </c>
      <c r="F365">
        <v>7231184.71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-0.10954063604240344</v>
      </c>
      <c r="Q365">
        <f t="shared" si="970"/>
        <v>-792108.5724735026</v>
      </c>
      <c r="R365">
        <f t="shared" si="971"/>
        <v>-36102357.761526078</v>
      </c>
      <c r="S365">
        <f t="shared" si="972"/>
        <v>-361.02357761526076</v>
      </c>
      <c r="T365">
        <f t="shared" si="973"/>
        <v>-0.36102357761526077</v>
      </c>
    </row>
    <row r="366" spans="1:20" x14ac:dyDescent="0.25">
      <c r="A366" s="5">
        <v>44227</v>
      </c>
      <c r="B366">
        <v>0.2296</v>
      </c>
      <c r="C366">
        <v>0.26850000000000002</v>
      </c>
      <c r="D366">
        <v>0.22720000000000001</v>
      </c>
      <c r="E366">
        <v>0.24929999999999999</v>
      </c>
      <c r="F366">
        <v>12043864.17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7.0217917675543778E-2</v>
      </c>
      <c r="Q366">
        <f t="shared" si="970"/>
        <v>845695.06278449134</v>
      </c>
      <c r="R366">
        <f t="shared" si="971"/>
        <v>-35310249.189052574</v>
      </c>
      <c r="S366">
        <f t="shared" si="972"/>
        <v>-353.10249189052576</v>
      </c>
      <c r="T366">
        <f t="shared" si="973"/>
        <v>-0.35310249189052578</v>
      </c>
    </row>
    <row r="367" spans="1:20" x14ac:dyDescent="0.25">
      <c r="A367" s="5">
        <v>44226</v>
      </c>
      <c r="B367">
        <v>0.23080000000000001</v>
      </c>
      <c r="C367">
        <v>0.23699999999999999</v>
      </c>
      <c r="D367">
        <v>0.22040000000000001</v>
      </c>
      <c r="E367">
        <v>0.22919999999999999</v>
      </c>
      <c r="F367">
        <v>6014939.5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6.0240963855420153E-2</v>
      </c>
      <c r="Q367">
        <f t="shared" si="970"/>
        <v>362345.75301203894</v>
      </c>
      <c r="R367">
        <f t="shared" si="971"/>
        <v>-36155944.251837067</v>
      </c>
      <c r="S367">
        <f t="shared" si="972"/>
        <v>-361.55944251837064</v>
      </c>
      <c r="T367">
        <f t="shared" si="973"/>
        <v>-0.36155944251837063</v>
      </c>
    </row>
    <row r="368" spans="1:20" x14ac:dyDescent="0.25">
      <c r="A368" s="5">
        <v>44225</v>
      </c>
      <c r="B368">
        <v>0.22720000000000001</v>
      </c>
      <c r="C368">
        <v>0.24249999999999999</v>
      </c>
      <c r="D368">
        <v>0.21820000000000001</v>
      </c>
      <c r="E368">
        <v>0.2316</v>
      </c>
      <c r="F368">
        <v>5918330.8300000001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0.10288065843621413</v>
      </c>
      <c r="Q368">
        <f t="shared" si="970"/>
        <v>608881.77263374568</v>
      </c>
      <c r="R368">
        <f t="shared" si="971"/>
        <v>-36518290.004849106</v>
      </c>
      <c r="S368">
        <f t="shared" si="972"/>
        <v>-365.18290004849104</v>
      </c>
      <c r="T368">
        <f t="shared" si="973"/>
        <v>-0.36518290004849102</v>
      </c>
    </row>
    <row r="369" spans="1:20" x14ac:dyDescent="0.25">
      <c r="A369" s="5">
        <v>44224</v>
      </c>
      <c r="B369">
        <v>0.21540000000000001</v>
      </c>
      <c r="C369">
        <v>0.246</v>
      </c>
      <c r="D369">
        <v>0.21010000000000001</v>
      </c>
      <c r="E369">
        <v>0.2271</v>
      </c>
      <c r="F369">
        <v>6607612.2599999998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-5.2924791086351348E-2</v>
      </c>
      <c r="Q369">
        <f t="shared" si="970"/>
        <v>-349706.49844011385</v>
      </c>
      <c r="R369">
        <f t="shared" si="971"/>
        <v>-37127171.777482852</v>
      </c>
      <c r="S369">
        <f t="shared" si="972"/>
        <v>-371.27171777482852</v>
      </c>
      <c r="T369">
        <f t="shared" si="973"/>
        <v>-0.37127171777482854</v>
      </c>
    </row>
    <row r="370" spans="1:20" x14ac:dyDescent="0.25">
      <c r="A370" s="5">
        <v>44223</v>
      </c>
      <c r="B370">
        <v>0.23619999999999999</v>
      </c>
      <c r="C370">
        <v>0.23619999999999999</v>
      </c>
      <c r="D370">
        <v>0.20580000000000001</v>
      </c>
      <c r="E370">
        <v>0.216</v>
      </c>
      <c r="F370">
        <v>4699081.6399999997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-0.3289473684210531</v>
      </c>
      <c r="Q370">
        <f t="shared" si="970"/>
        <v>-1545750.5394736864</v>
      </c>
      <c r="R370">
        <f t="shared" si="971"/>
        <v>-36777465.279042736</v>
      </c>
      <c r="S370">
        <f t="shared" si="972"/>
        <v>-367.77465279042735</v>
      </c>
      <c r="T370">
        <f t="shared" si="973"/>
        <v>-0.36777465279042737</v>
      </c>
    </row>
    <row r="371" spans="1:20" x14ac:dyDescent="0.25">
      <c r="A371" s="5">
        <v>44222</v>
      </c>
      <c r="B371">
        <v>0.23799999999999999</v>
      </c>
      <c r="C371">
        <v>0.24970000000000001</v>
      </c>
      <c r="D371">
        <v>0.2165</v>
      </c>
      <c r="E371">
        <v>0.2361</v>
      </c>
      <c r="F371">
        <v>7937679.6299999999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0.18072289156626517</v>
      </c>
      <c r="Q371">
        <f t="shared" si="970"/>
        <v>1434520.4150602417</v>
      </c>
      <c r="R371">
        <f t="shared" si="971"/>
        <v>-35231714.739569053</v>
      </c>
      <c r="S371">
        <f t="shared" si="972"/>
        <v>-352.31714739569054</v>
      </c>
      <c r="T371">
        <f t="shared" si="973"/>
        <v>-0.35231714739569053</v>
      </c>
    </row>
    <row r="372" spans="1:20" x14ac:dyDescent="0.25">
      <c r="A372" s="5">
        <v>44221</v>
      </c>
      <c r="B372">
        <v>0.25130000000000002</v>
      </c>
      <c r="C372">
        <v>0.27</v>
      </c>
      <c r="D372">
        <v>0.23300000000000001</v>
      </c>
      <c r="E372">
        <v>0.23810000000000001</v>
      </c>
      <c r="F372">
        <v>8555914.1199999992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-0.7243243243243247</v>
      </c>
      <c r="Q372">
        <f t="shared" si="970"/>
        <v>-6197256.7139459485</v>
      </c>
      <c r="R372">
        <f t="shared" si="971"/>
        <v>-36666235.154629298</v>
      </c>
      <c r="S372">
        <f t="shared" si="972"/>
        <v>-366.662351546293</v>
      </c>
      <c r="T372">
        <f t="shared" si="973"/>
        <v>-0.36666235154629301</v>
      </c>
    </row>
    <row r="373" spans="1:20" x14ac:dyDescent="0.25">
      <c r="A373" s="5">
        <v>44220</v>
      </c>
      <c r="B373">
        <v>0.22639999999999999</v>
      </c>
      <c r="C373">
        <v>0.25919999999999999</v>
      </c>
      <c r="D373">
        <v>0.21809999999999999</v>
      </c>
      <c r="E373">
        <v>0.25140000000000001</v>
      </c>
      <c r="F373">
        <v>11759119.41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0.6204379562043808</v>
      </c>
      <c r="Q373">
        <f t="shared" si="970"/>
        <v>7295804.0135036642</v>
      </c>
      <c r="R373">
        <f t="shared" si="971"/>
        <v>-30468978.44068335</v>
      </c>
      <c r="S373">
        <f t="shared" si="972"/>
        <v>-304.6897844068335</v>
      </c>
      <c r="T373">
        <f t="shared" si="973"/>
        <v>-0.30468978440683347</v>
      </c>
    </row>
    <row r="374" spans="1:20" x14ac:dyDescent="0.25">
      <c r="A374" s="5">
        <v>44219</v>
      </c>
      <c r="B374">
        <v>0.23719999999999999</v>
      </c>
      <c r="C374">
        <v>0.24460000000000001</v>
      </c>
      <c r="D374">
        <v>0.21859999999999999</v>
      </c>
      <c r="E374">
        <v>0.2263</v>
      </c>
      <c r="F374">
        <v>6300422.5499999998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-0.40769230769230724</v>
      </c>
      <c r="Q374">
        <f t="shared" si="970"/>
        <v>-2568633.808846151</v>
      </c>
      <c r="R374">
        <f t="shared" si="971"/>
        <v>-37764782.454187013</v>
      </c>
      <c r="S374">
        <f t="shared" si="972"/>
        <v>-377.64782454187014</v>
      </c>
      <c r="T374">
        <f t="shared" si="973"/>
        <v>-0.37764782454187013</v>
      </c>
    </row>
    <row r="375" spans="1:20" x14ac:dyDescent="0.25">
      <c r="A375" s="5">
        <v>44218</v>
      </c>
      <c r="B375">
        <v>0.23150000000000001</v>
      </c>
      <c r="C375">
        <v>0.246</v>
      </c>
      <c r="D375">
        <v>0.2014</v>
      </c>
      <c r="E375">
        <v>0.23730000000000001</v>
      </c>
      <c r="F375">
        <v>7526826.7599999998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0.60986547085201859</v>
      </c>
      <c r="Q375">
        <f t="shared" si="970"/>
        <v>4590351.7460089736</v>
      </c>
      <c r="R375">
        <f t="shared" si="971"/>
        <v>-35196148.64534086</v>
      </c>
      <c r="S375">
        <f t="shared" si="972"/>
        <v>-351.96148645340861</v>
      </c>
      <c r="T375">
        <f t="shared" si="973"/>
        <v>-0.35196148645340863</v>
      </c>
    </row>
    <row r="376" spans="1:20" x14ac:dyDescent="0.25">
      <c r="A376" s="5">
        <v>44217</v>
      </c>
      <c r="B376">
        <v>0.2697</v>
      </c>
      <c r="C376">
        <v>0.28029999999999999</v>
      </c>
      <c r="D376">
        <v>0.22</v>
      </c>
      <c r="E376">
        <v>0.23150000000000001</v>
      </c>
      <c r="F376">
        <v>10326540.369999999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-0.61857379767827492</v>
      </c>
      <c r="Q376">
        <f t="shared" si="970"/>
        <v>-6387727.2935489174</v>
      </c>
      <c r="R376">
        <f t="shared" si="971"/>
        <v>-39786500.391349837</v>
      </c>
      <c r="S376">
        <f t="shared" si="972"/>
        <v>-397.86500391349836</v>
      </c>
      <c r="T376">
        <f t="shared" si="973"/>
        <v>-0.39786500391349838</v>
      </c>
    </row>
    <row r="377" spans="1:20" x14ac:dyDescent="0.25">
      <c r="A377" s="5">
        <v>44216</v>
      </c>
      <c r="B377">
        <v>0.2772</v>
      </c>
      <c r="C377">
        <v>0.2893</v>
      </c>
      <c r="D377">
        <v>0.23580000000000001</v>
      </c>
      <c r="E377">
        <v>0.27100000000000002</v>
      </c>
      <c r="F377">
        <v>21395633.73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0.31588785046729023</v>
      </c>
      <c r="Q377">
        <f t="shared" si="970"/>
        <v>6758620.7483551512</v>
      </c>
      <c r="R377">
        <f t="shared" si="971"/>
        <v>-33398773.097800918</v>
      </c>
      <c r="S377">
        <f t="shared" si="972"/>
        <v>-333.98773097800915</v>
      </c>
      <c r="T377">
        <f t="shared" si="973"/>
        <v>-0.33398773097800916</v>
      </c>
    </row>
    <row r="378" spans="1:20" x14ac:dyDescent="0.25">
      <c r="A378" s="5">
        <v>44215</v>
      </c>
      <c r="B378">
        <v>0.24660000000000001</v>
      </c>
      <c r="C378">
        <v>0.38500000000000001</v>
      </c>
      <c r="D378">
        <v>0.24660000000000001</v>
      </c>
      <c r="E378">
        <v>0.27510000000000001</v>
      </c>
      <c r="F378">
        <v>68277436.219999999</v>
      </c>
      <c r="G378">
        <v>0</v>
      </c>
      <c r="P378">
        <f t="shared" si="969"/>
        <v>-0.58815028901734101</v>
      </c>
      <c r="Q378">
        <f t="shared" si="970"/>
        <v>-40157393.846156068</v>
      </c>
      <c r="R378">
        <f t="shared" si="971"/>
        <v>-40157393.846156068</v>
      </c>
      <c r="S378">
        <f t="shared" si="972"/>
        <v>-401.57393846156066</v>
      </c>
      <c r="T378">
        <f t="shared" si="973"/>
        <v>-0.40157393846156064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T669" sqref="GT66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$A$668</v>
      </c>
      <c r="D111" s="1" t="str">
        <f>ADDRESS(C121-1,D121,1,1)</f>
        <v>$GT$668</v>
      </c>
      <c r="E111"/>
    </row>
    <row r="112" spans="1:5" x14ac:dyDescent="0.25">
      <c r="A112" s="7">
        <v>12164.144957890772</v>
      </c>
      <c r="C112" s="1" t="str">
        <f>ADDRESS(C121,1,1,1)</f>
        <v>$A$669</v>
      </c>
      <c r="D112" s="1" t="str">
        <f>ADDRESS(C121,D121-1,1,1)</f>
        <v>$GS$669</v>
      </c>
      <c r="E112"/>
    </row>
    <row r="113" spans="1:5" x14ac:dyDescent="0.25">
      <c r="A113" s="7">
        <v>11925.63231165762</v>
      </c>
      <c r="C113" s="1" t="str">
        <f>ADDRESS(C121+1,1,1,1)</f>
        <v>$A$670</v>
      </c>
      <c r="D113" s="1" t="str">
        <f>ADDRESS(C121-1,D121+1,1,1)</f>
        <v>$GU$668</v>
      </c>
    </row>
    <row r="114" spans="1:5" x14ac:dyDescent="0.25">
      <c r="A114" s="7">
        <v>11691.796383978059</v>
      </c>
      <c r="C114" s="1" t="str">
        <f>ADDRESS(C121,D121,1,1)</f>
        <v>$GT$669</v>
      </c>
      <c r="D114" s="1" t="str">
        <f>ADDRESS(C121+1,D121+1,1,1)</f>
        <v>$GU$670</v>
      </c>
    </row>
    <row r="115" spans="1:5" x14ac:dyDescent="0.25">
      <c r="A115" s="7">
        <v>11462.545474488292</v>
      </c>
      <c r="C115" s="1" t="str">
        <f>ADDRESS(C121+1,D121,1,1)</f>
        <v>$GT$670</v>
      </c>
    </row>
    <row r="116" spans="1:5" x14ac:dyDescent="0.25">
      <c r="A116" s="7">
        <v>11237.789680870874</v>
      </c>
      <c r="C116" s="1">
        <f>C117-1</f>
        <v>668</v>
      </c>
    </row>
    <row r="117" spans="1:5" x14ac:dyDescent="0.25">
      <c r="A117" s="7">
        <v>11017.440863598895</v>
      </c>
      <c r="C117" s="1">
        <f>C121</f>
        <v>669</v>
      </c>
      <c r="D117" s="1">
        <f>D121</f>
        <v>202</v>
      </c>
    </row>
    <row r="118" spans="1:5" x14ac:dyDescent="0.25">
      <c r="A118" s="7">
        <v>10801.412611371465</v>
      </c>
      <c r="C118" s="1">
        <f>C117+1</f>
        <v>670</v>
      </c>
      <c r="D118" s="1">
        <f>D117+1</f>
        <v>203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669</v>
      </c>
      <c r="D121" s="19">
        <v>202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R669</v>
      </c>
      <c r="D123" s="1" t="str">
        <f>"C"&amp;D121</f>
        <v>C202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0.19714506744199917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114" x14ac:dyDescent="0.25">
      <c r="A577" s="7">
        <v>1.2189944199947573</v>
      </c>
      <c r="B577"/>
      <c r="C577"/>
      <c r="D577"/>
      <c r="E577"/>
    </row>
    <row r="578" spans="1:114" x14ac:dyDescent="0.25">
      <c r="A578" s="7">
        <v>1.1950925686223111</v>
      </c>
      <c r="B578"/>
      <c r="C578"/>
      <c r="D578"/>
      <c r="E578"/>
    </row>
    <row r="579" spans="1:114" x14ac:dyDescent="0.25">
      <c r="A579" s="7">
        <v>1.1716593810022657</v>
      </c>
      <c r="B579"/>
      <c r="C579"/>
      <c r="D579"/>
      <c r="E579"/>
    </row>
    <row r="580" spans="1:114" x14ac:dyDescent="0.25">
      <c r="A580" s="7">
        <v>1.14868566764928</v>
      </c>
      <c r="B580"/>
      <c r="C580"/>
      <c r="D580"/>
      <c r="E580"/>
    </row>
    <row r="581" spans="1:114" x14ac:dyDescent="0.25">
      <c r="A581" s="7">
        <v>1.1261624192640001</v>
      </c>
      <c r="B581"/>
      <c r="C581"/>
      <c r="D581"/>
      <c r="E581"/>
    </row>
    <row r="582" spans="1:114" x14ac:dyDescent="0.25">
      <c r="A582" s="7">
        <v>1.1040808032</v>
      </c>
      <c r="B582"/>
      <c r="C582"/>
      <c r="D582"/>
      <c r="E582"/>
    </row>
    <row r="583" spans="1:114" x14ac:dyDescent="0.25">
      <c r="A583" s="7">
        <v>1.08243216</v>
      </c>
      <c r="B583"/>
      <c r="C583"/>
      <c r="D583"/>
      <c r="E583"/>
    </row>
    <row r="584" spans="1:114" x14ac:dyDescent="0.25">
      <c r="A584" s="7">
        <v>1.0612079999999999</v>
      </c>
      <c r="B584"/>
      <c r="C584"/>
      <c r="D584"/>
      <c r="E584"/>
    </row>
    <row r="585" spans="1:114" x14ac:dyDescent="0.25">
      <c r="A585" s="7">
        <v>1.0404</v>
      </c>
      <c r="B585"/>
      <c r="C585"/>
      <c r="D585"/>
      <c r="E585"/>
      <c r="DI585" s="27" t="s">
        <v>8</v>
      </c>
    </row>
    <row r="586" spans="1:114" x14ac:dyDescent="0.25">
      <c r="A586" s="7">
        <v>1.02</v>
      </c>
      <c r="B586"/>
      <c r="C586"/>
      <c r="D586"/>
      <c r="E586"/>
      <c r="DI586" s="27" t="s">
        <v>8</v>
      </c>
      <c r="DJ586" s="27" t="s">
        <v>7</v>
      </c>
    </row>
    <row r="587" spans="1:114" x14ac:dyDescent="0.25">
      <c r="A587" s="7">
        <v>1</v>
      </c>
      <c r="B587"/>
      <c r="C587"/>
      <c r="D587"/>
      <c r="E587" s="29" t="s">
        <v>8</v>
      </c>
      <c r="DI587" s="27" t="s">
        <v>8</v>
      </c>
      <c r="DJ587" s="27" t="s">
        <v>7</v>
      </c>
    </row>
    <row r="588" spans="1:114" x14ac:dyDescent="0.25">
      <c r="A588" s="7">
        <v>0.98039215686274506</v>
      </c>
      <c r="B588"/>
      <c r="C588"/>
      <c r="D588"/>
      <c r="E588"/>
      <c r="F588" s="27" t="s">
        <v>7</v>
      </c>
      <c r="DE588" s="27" t="s">
        <v>8</v>
      </c>
      <c r="DI588" s="27" t="s">
        <v>8</v>
      </c>
      <c r="DJ588" s="27" t="s">
        <v>7</v>
      </c>
    </row>
    <row r="589" spans="1:114" x14ac:dyDescent="0.25">
      <c r="A589" s="7">
        <v>0.96116878123798544</v>
      </c>
      <c r="B589"/>
      <c r="C589"/>
      <c r="D589"/>
      <c r="E589"/>
      <c r="F589" s="27" t="s">
        <v>7</v>
      </c>
      <c r="DE589" s="27" t="s">
        <v>8</v>
      </c>
      <c r="DF589" s="27" t="s">
        <v>7</v>
      </c>
      <c r="DI589" s="27" t="s">
        <v>8</v>
      </c>
      <c r="DJ589" s="27" t="s">
        <v>7</v>
      </c>
    </row>
    <row r="590" spans="1:114" x14ac:dyDescent="0.25">
      <c r="A590" s="7">
        <v>0.94232233454704462</v>
      </c>
      <c r="B590"/>
      <c r="C590"/>
      <c r="D590"/>
      <c r="E590"/>
      <c r="F590" s="27" t="s">
        <v>7</v>
      </c>
      <c r="DE590" s="27" t="s">
        <v>8</v>
      </c>
      <c r="DF590" s="27" t="s">
        <v>7</v>
      </c>
      <c r="DI590" s="27" t="s">
        <v>8</v>
      </c>
      <c r="DJ590" s="27" t="s">
        <v>7</v>
      </c>
    </row>
    <row r="591" spans="1:114" x14ac:dyDescent="0.25">
      <c r="A591" s="7">
        <v>0.92384542602651432</v>
      </c>
      <c r="B591"/>
      <c r="C591"/>
      <c r="D591"/>
      <c r="E591"/>
      <c r="F591" s="27" t="s">
        <v>7</v>
      </c>
      <c r="DE591" s="27" t="s">
        <v>8</v>
      </c>
      <c r="DF591" s="27" t="s">
        <v>7</v>
      </c>
      <c r="DI591" s="27" t="s">
        <v>8</v>
      </c>
      <c r="DJ591" s="27" t="s">
        <v>7</v>
      </c>
    </row>
    <row r="592" spans="1:114" x14ac:dyDescent="0.25">
      <c r="A592" s="7">
        <v>0.90573080982991594</v>
      </c>
      <c r="B592"/>
      <c r="C592"/>
      <c r="D592"/>
      <c r="E592"/>
      <c r="F592" s="27" t="s">
        <v>7</v>
      </c>
      <c r="DE592" s="27" t="s">
        <v>8</v>
      </c>
      <c r="DF592" s="27" t="s">
        <v>7</v>
      </c>
      <c r="DI592" s="27" t="s">
        <v>8</v>
      </c>
      <c r="DJ592" s="27" t="s">
        <v>7</v>
      </c>
    </row>
    <row r="593" spans="1:160" x14ac:dyDescent="0.25">
      <c r="A593" s="7">
        <v>0.8879713821861922</v>
      </c>
      <c r="B593"/>
      <c r="C593"/>
      <c r="D593"/>
      <c r="E593"/>
      <c r="F593" s="27" t="s">
        <v>7</v>
      </c>
      <c r="DE593" s="27" t="s">
        <v>8</v>
      </c>
      <c r="DF593" s="27" t="s">
        <v>7</v>
      </c>
      <c r="DI593" s="27" t="s">
        <v>8</v>
      </c>
      <c r="DJ593" s="27" t="s">
        <v>7</v>
      </c>
    </row>
    <row r="594" spans="1:160" x14ac:dyDescent="0.25">
      <c r="A594" s="7">
        <v>0.87056017861391399</v>
      </c>
      <c r="B594"/>
      <c r="C594"/>
      <c r="D594"/>
      <c r="E594"/>
      <c r="F594" s="27" t="s">
        <v>7</v>
      </c>
      <c r="DE594" s="27" t="s">
        <v>8</v>
      </c>
      <c r="DF594" s="27" t="s">
        <v>7</v>
      </c>
      <c r="DI594" s="27" t="s">
        <v>8</v>
      </c>
      <c r="DJ594" s="27" t="s">
        <v>7</v>
      </c>
    </row>
    <row r="595" spans="1:160" x14ac:dyDescent="0.25">
      <c r="A595" s="7">
        <v>0.85349037119011173</v>
      </c>
      <c r="B595"/>
      <c r="C595"/>
      <c r="D595"/>
      <c r="E595"/>
      <c r="F595" s="27" t="s">
        <v>7</v>
      </c>
      <c r="DE595" s="27" t="s">
        <v>8</v>
      </c>
      <c r="DF595" s="27" t="s">
        <v>7</v>
      </c>
      <c r="DI595" s="27" t="s">
        <v>8</v>
      </c>
      <c r="DJ595" s="27" t="s">
        <v>7</v>
      </c>
    </row>
    <row r="596" spans="1:160" x14ac:dyDescent="0.25">
      <c r="A596" s="7">
        <v>0.83675526587265858</v>
      </c>
      <c r="B596"/>
      <c r="C596"/>
      <c r="D596"/>
      <c r="E596"/>
      <c r="F596" s="27" t="s">
        <v>7</v>
      </c>
      <c r="DE596" s="27" t="s">
        <v>8</v>
      </c>
      <c r="DF596" s="27" t="s">
        <v>7</v>
      </c>
      <c r="DI596" s="27" t="s">
        <v>8</v>
      </c>
      <c r="DJ596" s="27" t="s">
        <v>7</v>
      </c>
    </row>
    <row r="597" spans="1:160" x14ac:dyDescent="0.25">
      <c r="A597" s="7">
        <v>0.82034829987515545</v>
      </c>
      <c r="B597"/>
      <c r="C597"/>
      <c r="D597"/>
      <c r="E597"/>
      <c r="F597" s="27" t="s">
        <v>7</v>
      </c>
      <c r="DE597" s="27" t="s">
        <v>8</v>
      </c>
      <c r="DF597" s="27" t="s">
        <v>7</v>
      </c>
      <c r="DI597" s="27" t="s">
        <v>8</v>
      </c>
      <c r="DJ597" s="27" t="s">
        <v>7</v>
      </c>
    </row>
    <row r="598" spans="1:160" x14ac:dyDescent="0.25">
      <c r="A598" s="7">
        <v>0.80426303909328967</v>
      </c>
      <c r="B598"/>
      <c r="C598"/>
      <c r="D598"/>
      <c r="E598"/>
      <c r="F598" s="27" t="s">
        <v>7</v>
      </c>
      <c r="DE598" s="27" t="s">
        <v>8</v>
      </c>
      <c r="DF598" s="27" t="s">
        <v>7</v>
      </c>
      <c r="DI598" s="27" t="s">
        <v>8</v>
      </c>
      <c r="DJ598" s="27" t="s">
        <v>7</v>
      </c>
      <c r="DM598" s="27" t="s">
        <v>8</v>
      </c>
    </row>
    <row r="599" spans="1:160" x14ac:dyDescent="0.25">
      <c r="A599" s="7">
        <v>0.78849317558165644</v>
      </c>
      <c r="B599"/>
      <c r="C599"/>
      <c r="D599"/>
      <c r="E599"/>
      <c r="F599" s="27" t="s">
        <v>7</v>
      </c>
      <c r="DE599" s="27" t="s">
        <v>8</v>
      </c>
      <c r="DF599" s="27" t="s">
        <v>7</v>
      </c>
      <c r="DI599" s="27" t="s">
        <v>8</v>
      </c>
      <c r="DJ599" s="27" t="s">
        <v>7</v>
      </c>
      <c r="DM599" s="27" t="s">
        <v>8</v>
      </c>
      <c r="DN599" s="27" t="s">
        <v>7</v>
      </c>
    </row>
    <row r="600" spans="1:160" x14ac:dyDescent="0.25">
      <c r="A600" s="7">
        <v>0.77303252508005538</v>
      </c>
      <c r="B600"/>
      <c r="C600"/>
      <c r="D600"/>
      <c r="E600"/>
      <c r="F600" s="27" t="s">
        <v>7</v>
      </c>
      <c r="DE600" s="27" t="s">
        <v>8</v>
      </c>
      <c r="DF600" s="27" t="s">
        <v>7</v>
      </c>
      <c r="DI600" s="27" t="s">
        <v>8</v>
      </c>
      <c r="DJ600" s="27" t="s">
        <v>7</v>
      </c>
      <c r="DK600" s="27" t="s">
        <v>8</v>
      </c>
      <c r="DM600" s="27" t="s">
        <v>8</v>
      </c>
      <c r="DN600" s="27" t="s">
        <v>7</v>
      </c>
    </row>
    <row r="601" spans="1:160" x14ac:dyDescent="0.25">
      <c r="A601" s="7">
        <v>0.75787502458828959</v>
      </c>
      <c r="B601"/>
      <c r="C601"/>
      <c r="D601"/>
      <c r="E601"/>
      <c r="F601" s="27" t="s">
        <v>7</v>
      </c>
      <c r="DE601" s="27" t="s">
        <v>8</v>
      </c>
      <c r="DF601" s="27" t="s">
        <v>7</v>
      </c>
      <c r="DI601" s="27" t="s">
        <v>8</v>
      </c>
      <c r="DJ601" s="27" t="s">
        <v>7</v>
      </c>
      <c r="DK601" s="27" t="s">
        <v>8</v>
      </c>
      <c r="DL601" s="27" t="s">
        <v>7</v>
      </c>
      <c r="DM601" s="27" t="s">
        <v>8</v>
      </c>
      <c r="DN601" s="27" t="s">
        <v>7</v>
      </c>
    </row>
    <row r="602" spans="1:160" x14ac:dyDescent="0.25">
      <c r="A602" s="7">
        <v>0.74301472998851925</v>
      </c>
      <c r="B602"/>
      <c r="C602"/>
      <c r="D602"/>
      <c r="E602"/>
      <c r="F602" s="27" t="s">
        <v>7</v>
      </c>
      <c r="DE602" s="27" t="s">
        <v>8</v>
      </c>
      <c r="DF602" s="27" t="s">
        <v>7</v>
      </c>
      <c r="DI602" s="27" t="s">
        <v>8</v>
      </c>
      <c r="DJ602" s="27" t="s">
        <v>7</v>
      </c>
      <c r="DK602" s="27" t="s">
        <v>8</v>
      </c>
      <c r="DL602" s="27" t="s">
        <v>7</v>
      </c>
      <c r="DM602" s="27" t="s">
        <v>8</v>
      </c>
      <c r="DN602" s="27" t="s">
        <v>7</v>
      </c>
    </row>
    <row r="603" spans="1:160" x14ac:dyDescent="0.25">
      <c r="A603" s="7">
        <v>0.72844581371423456</v>
      </c>
      <c r="B603"/>
      <c r="C603"/>
      <c r="D603"/>
      <c r="E603"/>
      <c r="F603" s="27" t="s">
        <v>7</v>
      </c>
      <c r="DE603" s="27" t="s">
        <v>8</v>
      </c>
      <c r="DF603" s="27" t="s">
        <v>7</v>
      </c>
      <c r="DI603" s="27" t="s">
        <v>8</v>
      </c>
      <c r="DJ603" s="27" t="s">
        <v>7</v>
      </c>
      <c r="DK603" s="27" t="s">
        <v>8</v>
      </c>
      <c r="DL603" s="27" t="s">
        <v>7</v>
      </c>
      <c r="DM603" s="27" t="s">
        <v>8</v>
      </c>
      <c r="DN603" s="27" t="s">
        <v>7</v>
      </c>
      <c r="EW603" s="27" t="s">
        <v>8</v>
      </c>
    </row>
    <row r="604" spans="1:160" x14ac:dyDescent="0.25">
      <c r="A604" s="7">
        <v>0.71416256246493581</v>
      </c>
      <c r="B604"/>
      <c r="C604"/>
      <c r="D604"/>
      <c r="E604"/>
      <c r="F604" s="27" t="s">
        <v>7</v>
      </c>
      <c r="DE604" s="27" t="s">
        <v>8</v>
      </c>
      <c r="DF604" s="27" t="s">
        <v>7</v>
      </c>
      <c r="DI604" s="27" t="s">
        <v>8</v>
      </c>
      <c r="DJ604" s="27" t="s">
        <v>7</v>
      </c>
      <c r="DK604" s="27" t="s">
        <v>8</v>
      </c>
      <c r="DL604" s="27" t="s">
        <v>7</v>
      </c>
      <c r="DM604" s="27" t="s">
        <v>8</v>
      </c>
      <c r="DN604" s="27" t="s">
        <v>7</v>
      </c>
      <c r="DU604" s="27" t="s">
        <v>8</v>
      </c>
      <c r="EW604" s="27" t="s">
        <v>8</v>
      </c>
      <c r="EX604" s="27" t="s">
        <v>7</v>
      </c>
    </row>
    <row r="605" spans="1:160" x14ac:dyDescent="0.25">
      <c r="A605" s="7">
        <v>0.7001593749656233</v>
      </c>
      <c r="B605"/>
      <c r="C605"/>
      <c r="D605"/>
      <c r="E605"/>
      <c r="F605" s="27" t="s">
        <v>7</v>
      </c>
      <c r="DE605" s="27" t="s">
        <v>8</v>
      </c>
      <c r="DF605" s="27" t="s">
        <v>7</v>
      </c>
      <c r="DI605" s="27" t="s">
        <v>8</v>
      </c>
      <c r="DJ605" s="27" t="s">
        <v>7</v>
      </c>
      <c r="DK605" s="27" t="s">
        <v>8</v>
      </c>
      <c r="DL605" s="27" t="s">
        <v>7</v>
      </c>
      <c r="DM605" s="27" t="s">
        <v>8</v>
      </c>
      <c r="DN605" s="27" t="s">
        <v>7</v>
      </c>
      <c r="DO605" s="27" t="s">
        <v>8</v>
      </c>
      <c r="DU605" s="27" t="s">
        <v>8</v>
      </c>
      <c r="DV605" s="27" t="s">
        <v>7</v>
      </c>
      <c r="EW605" s="27" t="s">
        <v>8</v>
      </c>
      <c r="EX605" s="27" t="s">
        <v>7</v>
      </c>
      <c r="FC605" s="27" t="s">
        <v>8</v>
      </c>
    </row>
    <row r="606" spans="1:160" x14ac:dyDescent="0.25">
      <c r="A606" s="7">
        <v>0.68643075977021883</v>
      </c>
      <c r="B606"/>
      <c r="C606"/>
      <c r="D606"/>
      <c r="E606"/>
      <c r="F606" s="27" t="s">
        <v>7</v>
      </c>
      <c r="DE606" s="27" t="s">
        <v>8</v>
      </c>
      <c r="DF606" s="27" t="s">
        <v>7</v>
      </c>
      <c r="DI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N606" s="27" t="s">
        <v>7</v>
      </c>
      <c r="DO606" s="27" t="s">
        <v>8</v>
      </c>
      <c r="DP606" s="27" t="s">
        <v>7</v>
      </c>
      <c r="DU606" s="27" t="s">
        <v>8</v>
      </c>
      <c r="DV606" s="27" t="s">
        <v>7</v>
      </c>
      <c r="EW606" s="27" t="s">
        <v>8</v>
      </c>
      <c r="EX606" s="27" t="s">
        <v>7</v>
      </c>
      <c r="EY606" s="27" t="s">
        <v>8</v>
      </c>
      <c r="FC606" s="27" t="s">
        <v>8</v>
      </c>
      <c r="FD606" s="27" t="s">
        <v>7</v>
      </c>
    </row>
    <row r="607" spans="1:160" x14ac:dyDescent="0.25">
      <c r="A607" s="7">
        <v>0.67297133310805768</v>
      </c>
      <c r="B607"/>
      <c r="C607"/>
      <c r="D607"/>
      <c r="E607"/>
      <c r="F607" s="27" t="s">
        <v>7</v>
      </c>
      <c r="DE607" s="27" t="s">
        <v>8</v>
      </c>
      <c r="DF607" s="27" t="s">
        <v>7</v>
      </c>
      <c r="DI607" s="27" t="s">
        <v>8</v>
      </c>
      <c r="DJ607" s="27" t="s">
        <v>7</v>
      </c>
      <c r="DK607" s="27" t="s">
        <v>8</v>
      </c>
      <c r="DL607" s="27" t="s">
        <v>7</v>
      </c>
      <c r="DM607" s="27" t="s">
        <v>8</v>
      </c>
      <c r="DN607" s="27" t="s">
        <v>7</v>
      </c>
      <c r="DO607" s="27" t="s">
        <v>8</v>
      </c>
      <c r="DP607" s="27" t="s">
        <v>7</v>
      </c>
      <c r="DU607" s="27" t="s">
        <v>8</v>
      </c>
      <c r="DV607" s="27" t="s">
        <v>7</v>
      </c>
      <c r="EW607" s="27" t="s">
        <v>8</v>
      </c>
      <c r="EX607" s="27" t="s">
        <v>7</v>
      </c>
      <c r="EY607" s="27" t="s">
        <v>8</v>
      </c>
      <c r="EZ607" s="27" t="s">
        <v>7</v>
      </c>
      <c r="FC607" s="27" t="s">
        <v>8</v>
      </c>
      <c r="FD607" s="27" t="s">
        <v>7</v>
      </c>
    </row>
    <row r="608" spans="1:160" x14ac:dyDescent="0.25">
      <c r="A608" s="7">
        <v>0.65977581677260566</v>
      </c>
      <c r="B608"/>
      <c r="C608"/>
      <c r="D608"/>
      <c r="E608"/>
      <c r="F608" s="27" t="s">
        <v>7</v>
      </c>
      <c r="DE608" s="27" t="s">
        <v>8</v>
      </c>
      <c r="DF608" s="27" t="s">
        <v>7</v>
      </c>
      <c r="DI608" s="27" t="s">
        <v>8</v>
      </c>
      <c r="DJ608" s="27" t="s">
        <v>7</v>
      </c>
      <c r="DK608" s="27" t="s">
        <v>8</v>
      </c>
      <c r="DL608" s="27" t="s">
        <v>7</v>
      </c>
      <c r="DM608" s="27" t="s">
        <v>8</v>
      </c>
      <c r="DN608" s="27" t="s">
        <v>7</v>
      </c>
      <c r="DO608" s="27" t="s">
        <v>8</v>
      </c>
      <c r="DP608" s="27" t="s">
        <v>7</v>
      </c>
      <c r="DU608" s="27" t="s">
        <v>8</v>
      </c>
      <c r="DV608" s="27" t="s">
        <v>7</v>
      </c>
      <c r="DY608" s="27" t="s">
        <v>8</v>
      </c>
      <c r="EQ608" s="27" t="s">
        <v>8</v>
      </c>
      <c r="EW608" s="27" t="s">
        <v>8</v>
      </c>
      <c r="EX608" s="27" t="s">
        <v>7</v>
      </c>
      <c r="EY608" s="27" t="s">
        <v>8</v>
      </c>
      <c r="EZ608" s="27" t="s">
        <v>7</v>
      </c>
      <c r="FC608" s="27" t="s">
        <v>8</v>
      </c>
      <c r="FD608" s="27" t="s">
        <v>7</v>
      </c>
    </row>
    <row r="609" spans="1:178" x14ac:dyDescent="0.25">
      <c r="A609" s="7">
        <v>0.64683903605157422</v>
      </c>
      <c r="B609"/>
      <c r="C609"/>
      <c r="D609"/>
      <c r="E609"/>
      <c r="F609" s="27" t="s">
        <v>7</v>
      </c>
      <c r="DE609" s="27" t="s">
        <v>8</v>
      </c>
      <c r="DF609" s="27" t="s">
        <v>7</v>
      </c>
      <c r="DI609" s="27" t="s">
        <v>8</v>
      </c>
      <c r="DJ609" s="27" t="s">
        <v>7</v>
      </c>
      <c r="DK609" s="27" t="s">
        <v>8</v>
      </c>
      <c r="DL609" s="27" t="s">
        <v>7</v>
      </c>
      <c r="DM609" s="27" t="s">
        <v>8</v>
      </c>
      <c r="DN609" s="27" t="s">
        <v>7</v>
      </c>
      <c r="DO609" s="27" t="s">
        <v>8</v>
      </c>
      <c r="DP609" s="27" t="s">
        <v>7</v>
      </c>
      <c r="DQ609" s="27" t="s">
        <v>8</v>
      </c>
      <c r="DS609" s="27" t="s">
        <v>8</v>
      </c>
      <c r="DU609" s="27" t="s">
        <v>8</v>
      </c>
      <c r="DV609" s="27" t="s">
        <v>7</v>
      </c>
      <c r="DY609" s="27" t="s">
        <v>8</v>
      </c>
      <c r="DZ609" s="27" t="s">
        <v>7</v>
      </c>
      <c r="EQ609" s="27" t="s">
        <v>8</v>
      </c>
      <c r="ER609" s="27" t="s">
        <v>7</v>
      </c>
      <c r="EU609" s="27" t="s">
        <v>8</v>
      </c>
      <c r="EW609" s="27" t="s">
        <v>8</v>
      </c>
      <c r="EX609" s="27" t="s">
        <v>7</v>
      </c>
      <c r="EY609" s="27" t="s">
        <v>8</v>
      </c>
      <c r="EZ609" s="27" t="s">
        <v>7</v>
      </c>
      <c r="FC609" s="27" t="s">
        <v>8</v>
      </c>
      <c r="FD609" s="27" t="s">
        <v>7</v>
      </c>
    </row>
    <row r="610" spans="1:178" x14ac:dyDescent="0.25">
      <c r="A610" s="7">
        <v>0.63415591769762181</v>
      </c>
      <c r="B610"/>
      <c r="C610"/>
      <c r="D610"/>
      <c r="E610"/>
      <c r="F610" s="27" t="s">
        <v>7</v>
      </c>
      <c r="DE610" s="27" t="s">
        <v>8</v>
      </c>
      <c r="DF610" s="27" t="s">
        <v>7</v>
      </c>
      <c r="DI610" s="27" t="s">
        <v>8</v>
      </c>
      <c r="DJ610" s="27" t="s">
        <v>7</v>
      </c>
      <c r="DK610" s="27" t="s">
        <v>8</v>
      </c>
      <c r="DL610" s="27" t="s">
        <v>7</v>
      </c>
      <c r="DM610" s="27" t="s">
        <v>8</v>
      </c>
      <c r="DN610" s="27" t="s">
        <v>7</v>
      </c>
      <c r="DP610" s="27" t="s">
        <v>7</v>
      </c>
      <c r="DQ610" s="27" t="s">
        <v>8</v>
      </c>
      <c r="DR610" s="27" t="s">
        <v>7</v>
      </c>
      <c r="DS610" s="27" t="s">
        <v>8</v>
      </c>
      <c r="DT610" s="27" t="s">
        <v>7</v>
      </c>
      <c r="DU610" s="27" t="s">
        <v>8</v>
      </c>
      <c r="DV610" s="27" t="s">
        <v>7</v>
      </c>
      <c r="DY610" s="27" t="s">
        <v>8</v>
      </c>
      <c r="DZ610" s="27" t="s">
        <v>7</v>
      </c>
      <c r="EQ610" s="27" t="s">
        <v>8</v>
      </c>
      <c r="ER610" s="27" t="s">
        <v>7</v>
      </c>
      <c r="EU610" s="27" t="s">
        <v>8</v>
      </c>
      <c r="EV610" s="27" t="s">
        <v>7</v>
      </c>
      <c r="EW610" s="27" t="s">
        <v>8</v>
      </c>
      <c r="EX610" s="27" t="s">
        <v>7</v>
      </c>
      <c r="EY610" s="27" t="s">
        <v>8</v>
      </c>
      <c r="EZ610" s="27" t="s">
        <v>7</v>
      </c>
      <c r="FA610" s="27" t="s">
        <v>8</v>
      </c>
      <c r="FC610" s="27" t="s">
        <v>8</v>
      </c>
      <c r="FD610" s="27" t="s">
        <v>7</v>
      </c>
    </row>
    <row r="611" spans="1:178" x14ac:dyDescent="0.25">
      <c r="A611" s="7">
        <v>0.62172148793884496</v>
      </c>
      <c r="B611"/>
      <c r="C611"/>
      <c r="D611"/>
      <c r="E611"/>
      <c r="F611" s="27" t="s">
        <v>7</v>
      </c>
      <c r="Q611" s="27" t="s">
        <v>8</v>
      </c>
      <c r="DE611" s="27" t="s">
        <v>8</v>
      </c>
      <c r="DF611" s="27" t="s">
        <v>7</v>
      </c>
      <c r="DI611" s="27" t="s">
        <v>8</v>
      </c>
      <c r="DJ611" s="27" t="s">
        <v>7</v>
      </c>
      <c r="DK611" s="27" t="s">
        <v>8</v>
      </c>
      <c r="DL611" s="27" t="s">
        <v>7</v>
      </c>
      <c r="DP611" s="27" t="s">
        <v>7</v>
      </c>
      <c r="DQ611" s="27" t="s">
        <v>8</v>
      </c>
      <c r="DR611" s="27" t="s">
        <v>7</v>
      </c>
      <c r="DS611" s="27" t="s">
        <v>8</v>
      </c>
      <c r="DT611" s="27" t="s">
        <v>7</v>
      </c>
      <c r="DU611" s="27" t="s">
        <v>8</v>
      </c>
      <c r="DV611" s="27" t="s">
        <v>7</v>
      </c>
      <c r="DY611" s="27" t="s">
        <v>8</v>
      </c>
      <c r="DZ611" s="27" t="s">
        <v>7</v>
      </c>
      <c r="EQ611" s="27" t="s">
        <v>8</v>
      </c>
      <c r="ER611" s="27" t="s">
        <v>7</v>
      </c>
      <c r="ES611" s="27" t="s">
        <v>8</v>
      </c>
      <c r="EU611" s="27" t="s">
        <v>8</v>
      </c>
      <c r="EV611" s="27" t="s">
        <v>7</v>
      </c>
      <c r="EW611" s="27" t="s">
        <v>8</v>
      </c>
      <c r="EX611" s="27" t="s">
        <v>7</v>
      </c>
      <c r="EY611" s="27" t="s">
        <v>8</v>
      </c>
      <c r="EZ611" s="27" t="s">
        <v>7</v>
      </c>
      <c r="FA611" s="27" t="s">
        <v>8</v>
      </c>
      <c r="FB611" s="27" t="s">
        <v>7</v>
      </c>
      <c r="FC611" s="27" t="s">
        <v>8</v>
      </c>
      <c r="FD611" s="27" t="s">
        <v>7</v>
      </c>
      <c r="FE611" s="27" t="s">
        <v>8</v>
      </c>
    </row>
    <row r="612" spans="1:178" x14ac:dyDescent="0.25">
      <c r="A612" s="7">
        <v>0.60953087052827937</v>
      </c>
      <c r="B612"/>
      <c r="C612"/>
      <c r="D612"/>
      <c r="E612"/>
      <c r="F612" s="27" t="s">
        <v>7</v>
      </c>
      <c r="Q612" s="27" t="s">
        <v>8</v>
      </c>
      <c r="R612" s="27" t="s">
        <v>7</v>
      </c>
      <c r="DE612" s="27" t="s">
        <v>8</v>
      </c>
      <c r="DF612" s="27" t="s">
        <v>7</v>
      </c>
      <c r="DI612" s="27" t="s">
        <v>8</v>
      </c>
      <c r="DJ612" s="27" t="s">
        <v>7</v>
      </c>
      <c r="DP612" s="27" t="s">
        <v>7</v>
      </c>
      <c r="DQ612" s="27" t="s">
        <v>8</v>
      </c>
      <c r="DR612" s="27" t="s">
        <v>7</v>
      </c>
      <c r="DS612" s="27" t="s">
        <v>8</v>
      </c>
      <c r="DT612" s="27" t="s">
        <v>7</v>
      </c>
      <c r="DU612" s="27" t="s">
        <v>8</v>
      </c>
      <c r="DV612" s="27" t="s">
        <v>7</v>
      </c>
      <c r="DY612" s="27" t="s">
        <v>8</v>
      </c>
      <c r="DZ612" s="27" t="s">
        <v>7</v>
      </c>
      <c r="EA612" s="27" t="s">
        <v>8</v>
      </c>
      <c r="EO612" s="27" t="s">
        <v>8</v>
      </c>
      <c r="EQ612" s="27" t="s">
        <v>8</v>
      </c>
      <c r="ER612" s="27" t="s">
        <v>7</v>
      </c>
      <c r="ES612" s="27" t="s">
        <v>8</v>
      </c>
      <c r="ET612" s="27" t="s">
        <v>7</v>
      </c>
      <c r="EU612" s="27" t="s">
        <v>8</v>
      </c>
      <c r="EV612" s="27" t="s">
        <v>7</v>
      </c>
      <c r="EW612" s="27" t="s">
        <v>8</v>
      </c>
      <c r="EX612" s="27" t="s">
        <v>7</v>
      </c>
      <c r="EY612" s="27" t="s">
        <v>8</v>
      </c>
      <c r="EZ612" s="27" t="s">
        <v>7</v>
      </c>
      <c r="FA612" s="27" t="s">
        <v>8</v>
      </c>
      <c r="FB612" s="27" t="s">
        <v>7</v>
      </c>
      <c r="FC612" s="27" t="s">
        <v>8</v>
      </c>
      <c r="FD612" s="27" t="s">
        <v>7</v>
      </c>
      <c r="FE612" s="27" t="s">
        <v>8</v>
      </c>
      <c r="FF612" s="27" t="s">
        <v>7</v>
      </c>
    </row>
    <row r="613" spans="1:178" x14ac:dyDescent="0.25">
      <c r="A613" s="7">
        <v>0.59757928483164646</v>
      </c>
      <c r="B613"/>
      <c r="C613"/>
      <c r="D613"/>
      <c r="E613"/>
      <c r="F613" s="27" t="s">
        <v>7</v>
      </c>
      <c r="Q613" s="27" t="s">
        <v>8</v>
      </c>
      <c r="R613" s="27" t="s">
        <v>7</v>
      </c>
      <c r="DE613" s="27" t="s">
        <v>8</v>
      </c>
      <c r="DF613" s="27" t="s">
        <v>7</v>
      </c>
      <c r="DG613" s="27" t="s">
        <v>8</v>
      </c>
      <c r="DI613" s="27" t="s">
        <v>8</v>
      </c>
      <c r="DP613" s="27" t="s">
        <v>7</v>
      </c>
      <c r="DQ613" s="27" t="s">
        <v>8</v>
      </c>
      <c r="DR613" s="27" t="s">
        <v>7</v>
      </c>
      <c r="DS613" s="27" t="s">
        <v>8</v>
      </c>
      <c r="DT613" s="27" t="s">
        <v>7</v>
      </c>
      <c r="DU613" s="27" t="s">
        <v>8</v>
      </c>
      <c r="DV613" s="27" t="s">
        <v>7</v>
      </c>
      <c r="DY613" s="27" t="s">
        <v>8</v>
      </c>
      <c r="DZ613" s="27" t="s">
        <v>7</v>
      </c>
      <c r="EA613" s="27" t="s">
        <v>8</v>
      </c>
      <c r="EB613" s="27" t="s">
        <v>7</v>
      </c>
      <c r="EO613" s="27" t="s">
        <v>8</v>
      </c>
      <c r="EP613" s="27" t="s">
        <v>7</v>
      </c>
      <c r="EQ613" s="27" t="s">
        <v>8</v>
      </c>
      <c r="ER613" s="27" t="s">
        <v>7</v>
      </c>
      <c r="ES613" s="27" t="s">
        <v>8</v>
      </c>
      <c r="ET613" s="27" t="s">
        <v>7</v>
      </c>
      <c r="EU613" s="27" t="s">
        <v>8</v>
      </c>
      <c r="EV613" s="27" t="s">
        <v>7</v>
      </c>
      <c r="EW613" s="27" t="s">
        <v>8</v>
      </c>
      <c r="EX613" s="27" t="s">
        <v>7</v>
      </c>
      <c r="EY613" s="27" t="s">
        <v>8</v>
      </c>
      <c r="EZ613" s="27" t="s">
        <v>7</v>
      </c>
      <c r="FB613" s="27" t="s">
        <v>7</v>
      </c>
      <c r="FC613" s="27" t="s">
        <v>8</v>
      </c>
      <c r="FD613" s="27" t="s">
        <v>7</v>
      </c>
      <c r="FE613" s="27" t="s">
        <v>8</v>
      </c>
      <c r="FF613" s="27" t="s">
        <v>7</v>
      </c>
    </row>
    <row r="614" spans="1:178" x14ac:dyDescent="0.25">
      <c r="A614" s="7">
        <v>0.58586204395259456</v>
      </c>
      <c r="B614"/>
      <c r="C614"/>
      <c r="D614"/>
      <c r="E614"/>
      <c r="F614" s="27" t="s">
        <v>7</v>
      </c>
      <c r="Q614" s="27" t="s">
        <v>8</v>
      </c>
      <c r="R614" s="27" t="s">
        <v>7</v>
      </c>
      <c r="DE614" s="27" t="s">
        <v>8</v>
      </c>
      <c r="DF614" s="27" t="s">
        <v>7</v>
      </c>
      <c r="DG614" s="27" t="s">
        <v>8</v>
      </c>
      <c r="DH614" s="27" t="s">
        <v>7</v>
      </c>
      <c r="DI614" s="27" t="s">
        <v>8</v>
      </c>
      <c r="DP614" s="27" t="s">
        <v>7</v>
      </c>
      <c r="DQ614" s="27" t="s">
        <v>8</v>
      </c>
      <c r="DR614" s="27" t="s">
        <v>7</v>
      </c>
      <c r="DS614" s="27" t="s">
        <v>8</v>
      </c>
      <c r="DT614" s="27" t="s">
        <v>7</v>
      </c>
      <c r="DU614" s="27" t="s">
        <v>8</v>
      </c>
      <c r="DV614" s="27" t="s">
        <v>7</v>
      </c>
      <c r="DY614" s="27" t="s">
        <v>8</v>
      </c>
      <c r="DZ614" s="27" t="s">
        <v>7</v>
      </c>
      <c r="EA614" s="27" t="s">
        <v>8</v>
      </c>
      <c r="EB614" s="27" t="s">
        <v>7</v>
      </c>
      <c r="EO614" s="27" t="s">
        <v>8</v>
      </c>
      <c r="EP614" s="27" t="s">
        <v>7</v>
      </c>
      <c r="EQ614" s="27" t="s">
        <v>8</v>
      </c>
      <c r="ER614" s="27" t="s">
        <v>7</v>
      </c>
      <c r="ES614" s="27" t="s">
        <v>8</v>
      </c>
      <c r="ET614" s="27" t="s">
        <v>7</v>
      </c>
      <c r="EU614" s="27" t="s">
        <v>8</v>
      </c>
      <c r="EV614" s="27" t="s">
        <v>7</v>
      </c>
      <c r="EW614" s="27" t="s">
        <v>8</v>
      </c>
      <c r="EX614" s="27" t="s">
        <v>7</v>
      </c>
      <c r="EY614" s="27" t="s">
        <v>8</v>
      </c>
      <c r="FB614" s="27" t="s">
        <v>7</v>
      </c>
      <c r="FD614" s="27" t="s">
        <v>7</v>
      </c>
      <c r="FF614" s="27" t="s">
        <v>7</v>
      </c>
    </row>
    <row r="615" spans="1:178" x14ac:dyDescent="0.25">
      <c r="A615" s="7">
        <v>0.57437455289470052</v>
      </c>
      <c r="B615"/>
      <c r="C615"/>
      <c r="D615"/>
      <c r="E615"/>
      <c r="F615" s="27" t="s">
        <v>7</v>
      </c>
      <c r="Q615" s="27" t="s">
        <v>8</v>
      </c>
      <c r="R615" s="27" t="s">
        <v>7</v>
      </c>
      <c r="DE615" s="27" t="s">
        <v>8</v>
      </c>
      <c r="DF615" s="27" t="s">
        <v>7</v>
      </c>
      <c r="DG615" s="27" t="s">
        <v>8</v>
      </c>
      <c r="DH615" s="27" t="s">
        <v>7</v>
      </c>
      <c r="DI615" s="27" t="s">
        <v>8</v>
      </c>
      <c r="DP615" s="27" t="s">
        <v>7</v>
      </c>
      <c r="DQ615" s="27" t="s">
        <v>8</v>
      </c>
      <c r="DR615" s="27" t="s">
        <v>7</v>
      </c>
      <c r="DS615" s="27" t="s">
        <v>8</v>
      </c>
      <c r="DT615" s="27" t="s">
        <v>7</v>
      </c>
      <c r="DU615" s="27" t="s">
        <v>8</v>
      </c>
      <c r="DV615" s="27" t="s">
        <v>7</v>
      </c>
      <c r="DY615" s="27" t="s">
        <v>8</v>
      </c>
      <c r="DZ615" s="27" t="s">
        <v>7</v>
      </c>
      <c r="EA615" s="27" t="s">
        <v>8</v>
      </c>
      <c r="EB615" s="27" t="s">
        <v>7</v>
      </c>
      <c r="EO615" s="27" t="s">
        <v>8</v>
      </c>
      <c r="EP615" s="27" t="s">
        <v>7</v>
      </c>
      <c r="EQ615" s="27" t="s">
        <v>8</v>
      </c>
      <c r="ER615" s="27" t="s">
        <v>7</v>
      </c>
      <c r="ES615" s="27" t="s">
        <v>8</v>
      </c>
      <c r="ET615" s="27" t="s">
        <v>7</v>
      </c>
      <c r="EV615" s="27" t="s">
        <v>7</v>
      </c>
      <c r="EW615" s="27" t="s">
        <v>8</v>
      </c>
      <c r="EX615" s="27" t="s">
        <v>7</v>
      </c>
      <c r="FF615" s="27" t="s">
        <v>7</v>
      </c>
    </row>
    <row r="616" spans="1:178" x14ac:dyDescent="0.25">
      <c r="A616" s="7">
        <v>0.56311230675951029</v>
      </c>
      <c r="B616"/>
      <c r="C616"/>
      <c r="D616"/>
      <c r="E616"/>
      <c r="F616" s="27" t="s">
        <v>7</v>
      </c>
      <c r="Q616" s="27" t="s">
        <v>8</v>
      </c>
      <c r="R616" s="27" t="s">
        <v>7</v>
      </c>
      <c r="DE616" s="27" t="s">
        <v>8</v>
      </c>
      <c r="DF616" s="27" t="s">
        <v>7</v>
      </c>
      <c r="DG616" s="27" t="s">
        <v>8</v>
      </c>
      <c r="DH616" s="27" t="s">
        <v>7</v>
      </c>
      <c r="DI616" s="27" t="s">
        <v>8</v>
      </c>
      <c r="DP616" s="27" t="s">
        <v>7</v>
      </c>
      <c r="DQ616" s="27" t="s">
        <v>8</v>
      </c>
      <c r="DR616" s="27" t="s">
        <v>7</v>
      </c>
      <c r="DS616" s="27" t="s">
        <v>8</v>
      </c>
      <c r="DT616" s="27" t="s">
        <v>7</v>
      </c>
      <c r="DU616" s="27" t="s">
        <v>8</v>
      </c>
      <c r="DV616" s="27" t="s">
        <v>7</v>
      </c>
      <c r="DY616" s="27" t="s">
        <v>8</v>
      </c>
      <c r="DZ616" s="27" t="s">
        <v>7</v>
      </c>
      <c r="EA616" s="27" t="s">
        <v>8</v>
      </c>
      <c r="EB616" s="27" t="s">
        <v>7</v>
      </c>
      <c r="EO616" s="27" t="s">
        <v>8</v>
      </c>
      <c r="EP616" s="27" t="s">
        <v>7</v>
      </c>
      <c r="EQ616" s="27" t="s">
        <v>8</v>
      </c>
      <c r="ER616" s="27" t="s">
        <v>7</v>
      </c>
      <c r="ES616" s="27" t="s">
        <v>8</v>
      </c>
      <c r="EV616" s="27" t="s">
        <v>7</v>
      </c>
      <c r="EW616" s="27" t="s">
        <v>8</v>
      </c>
      <c r="FF616" s="27" t="s">
        <v>7</v>
      </c>
    </row>
    <row r="617" spans="1:178" x14ac:dyDescent="0.25">
      <c r="A617" s="7">
        <v>0.55207088897991208</v>
      </c>
      <c r="B617"/>
      <c r="C617"/>
      <c r="D617"/>
      <c r="E617"/>
      <c r="F617" s="27" t="s">
        <v>7</v>
      </c>
      <c r="Q617" s="27" t="s">
        <v>8</v>
      </c>
      <c r="R617" s="27" t="s">
        <v>7</v>
      </c>
      <c r="DE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DP617" s="27" t="s">
        <v>7</v>
      </c>
      <c r="DQ617" s="27" t="s">
        <v>8</v>
      </c>
      <c r="DR617" s="27" t="s">
        <v>7</v>
      </c>
      <c r="DS617" s="27" t="s">
        <v>8</v>
      </c>
      <c r="DT617" s="27" t="s">
        <v>7</v>
      </c>
      <c r="DV617" s="27" t="s">
        <v>7</v>
      </c>
      <c r="DY617" s="27" t="s">
        <v>8</v>
      </c>
      <c r="DZ617" s="27" t="s">
        <v>7</v>
      </c>
      <c r="EB617" s="27" t="s">
        <v>7</v>
      </c>
      <c r="EM617" s="27" t="s">
        <v>8</v>
      </c>
      <c r="EO617" s="27" t="s">
        <v>8</v>
      </c>
      <c r="EP617" s="27" t="s">
        <v>7</v>
      </c>
      <c r="EQ617" s="27" t="s">
        <v>8</v>
      </c>
      <c r="ER617" s="27" t="s">
        <v>7</v>
      </c>
      <c r="EV617" s="27" t="s">
        <v>7</v>
      </c>
      <c r="EW617" s="27" t="s">
        <v>8</v>
      </c>
      <c r="FF617" s="27" t="s">
        <v>7</v>
      </c>
      <c r="FU617" s="27" t="s">
        <v>8</v>
      </c>
    </row>
    <row r="618" spans="1:178" x14ac:dyDescent="0.25">
      <c r="A618" s="7">
        <v>0.54124596958814908</v>
      </c>
      <c r="B618"/>
      <c r="C618"/>
      <c r="D618"/>
      <c r="E618"/>
      <c r="F618" s="27" t="s">
        <v>7</v>
      </c>
      <c r="Q618" s="27" t="s">
        <v>8</v>
      </c>
      <c r="R618" s="27" t="s">
        <v>7</v>
      </c>
      <c r="DE618" s="27" t="s">
        <v>8</v>
      </c>
      <c r="DF618" s="27" t="s">
        <v>7</v>
      </c>
      <c r="DG618" s="27" t="s">
        <v>8</v>
      </c>
      <c r="DH618" s="27" t="s">
        <v>7</v>
      </c>
      <c r="DI618" s="27" t="s">
        <v>8</v>
      </c>
      <c r="DP618" s="27" t="s">
        <v>7</v>
      </c>
      <c r="DQ618" s="27" t="s">
        <v>8</v>
      </c>
      <c r="DR618" s="27" t="s">
        <v>7</v>
      </c>
      <c r="DS618" s="27" t="s">
        <v>8</v>
      </c>
      <c r="DV618" s="27" t="s">
        <v>7</v>
      </c>
      <c r="DY618" s="27" t="s">
        <v>8</v>
      </c>
      <c r="EB618" s="27" t="s">
        <v>7</v>
      </c>
      <c r="EM618" s="27" t="s">
        <v>8</v>
      </c>
      <c r="EN618" s="27" t="s">
        <v>7</v>
      </c>
      <c r="EO618" s="27" t="s">
        <v>8</v>
      </c>
      <c r="EP618" s="27" t="s">
        <v>7</v>
      </c>
      <c r="EQ618" s="27" t="s">
        <v>8</v>
      </c>
      <c r="EV618" s="27" t="s">
        <v>7</v>
      </c>
      <c r="EW618" s="27" t="s">
        <v>8</v>
      </c>
      <c r="FF618" s="27" t="s">
        <v>7</v>
      </c>
      <c r="FU618" s="27" t="s">
        <v>8</v>
      </c>
      <c r="FV618" s="27" t="s">
        <v>7</v>
      </c>
    </row>
    <row r="619" spans="1:178" x14ac:dyDescent="0.25">
      <c r="A619" s="7">
        <v>0.53063330351779314</v>
      </c>
      <c r="B619"/>
      <c r="C619"/>
      <c r="D619"/>
      <c r="E619"/>
      <c r="F619" s="27" t="s">
        <v>7</v>
      </c>
      <c r="Q619" s="27" t="s">
        <v>8</v>
      </c>
      <c r="R619" s="27" t="s">
        <v>7</v>
      </c>
      <c r="U619" s="27" t="s">
        <v>8</v>
      </c>
      <c r="AS619" s="27" t="s">
        <v>8</v>
      </c>
      <c r="DE619" s="27" t="s">
        <v>8</v>
      </c>
      <c r="DF619" s="27" t="s">
        <v>7</v>
      </c>
      <c r="DG619" s="27" t="s">
        <v>8</v>
      </c>
      <c r="DH619" s="27" t="s">
        <v>7</v>
      </c>
      <c r="DI619" s="27" t="s">
        <v>8</v>
      </c>
      <c r="DP619" s="27" t="s">
        <v>7</v>
      </c>
      <c r="DQ619" s="27" t="s">
        <v>8</v>
      </c>
      <c r="DR619" s="27" t="s">
        <v>7</v>
      </c>
      <c r="DS619" s="27" t="s">
        <v>8</v>
      </c>
      <c r="DV619" s="27" t="s">
        <v>7</v>
      </c>
      <c r="DY619" s="27" t="s">
        <v>8</v>
      </c>
      <c r="EB619" s="27" t="s">
        <v>7</v>
      </c>
      <c r="EC619" s="27" t="s">
        <v>8</v>
      </c>
      <c r="EM619" s="27" t="s">
        <v>8</v>
      </c>
      <c r="EN619" s="27" t="s">
        <v>7</v>
      </c>
      <c r="EO619" s="27" t="s">
        <v>8</v>
      </c>
      <c r="EP619" s="27" t="s">
        <v>7</v>
      </c>
      <c r="EQ619" s="27" t="s">
        <v>8</v>
      </c>
      <c r="EV619" s="27" t="s">
        <v>7</v>
      </c>
      <c r="EW619" s="27" t="s">
        <v>8</v>
      </c>
      <c r="FF619" s="27" t="s">
        <v>7</v>
      </c>
      <c r="FG619" s="27" t="s">
        <v>8</v>
      </c>
      <c r="FU619" s="27" t="s">
        <v>8</v>
      </c>
      <c r="FV619" s="27" t="s">
        <v>7</v>
      </c>
    </row>
    <row r="620" spans="1:178" x14ac:dyDescent="0.25">
      <c r="A620" s="7">
        <v>0.52022872893901284</v>
      </c>
      <c r="B620"/>
      <c r="C620"/>
      <c r="D620"/>
      <c r="E620"/>
      <c r="F620" s="27" t="s">
        <v>7</v>
      </c>
      <c r="Q620" s="27" t="s">
        <v>8</v>
      </c>
      <c r="R620" s="27" t="s">
        <v>7</v>
      </c>
      <c r="U620" s="27" t="s">
        <v>8</v>
      </c>
      <c r="V620" s="27" t="s">
        <v>7</v>
      </c>
      <c r="AS620" s="27" t="s">
        <v>8</v>
      </c>
      <c r="AT620" s="27" t="s">
        <v>7</v>
      </c>
      <c r="DE620" s="27" t="s">
        <v>8</v>
      </c>
      <c r="DF620" s="27" t="s">
        <v>7</v>
      </c>
      <c r="DG620" s="27" t="s">
        <v>8</v>
      </c>
      <c r="DH620" s="27" t="s">
        <v>7</v>
      </c>
      <c r="DI620" s="27" t="s">
        <v>8</v>
      </c>
      <c r="DP620" s="27" t="s">
        <v>7</v>
      </c>
      <c r="DR620" s="27" t="s">
        <v>7</v>
      </c>
      <c r="DV620" s="27" t="s">
        <v>7</v>
      </c>
      <c r="DY620" s="27" t="s">
        <v>8</v>
      </c>
      <c r="EB620" s="27" t="s">
        <v>7</v>
      </c>
      <c r="EC620" s="27" t="s">
        <v>8</v>
      </c>
      <c r="ED620" s="27" t="s">
        <v>7</v>
      </c>
      <c r="EM620" s="27" t="s">
        <v>8</v>
      </c>
      <c r="EN620" s="27" t="s">
        <v>7</v>
      </c>
      <c r="EO620" s="27" t="s">
        <v>8</v>
      </c>
      <c r="EP620" s="27" t="s">
        <v>7</v>
      </c>
      <c r="EQ620" s="27" t="s">
        <v>8</v>
      </c>
      <c r="EV620" s="27" t="s">
        <v>7</v>
      </c>
      <c r="EW620" s="27" t="s">
        <v>8</v>
      </c>
      <c r="FF620" s="27" t="s">
        <v>7</v>
      </c>
      <c r="FG620" s="27" t="s">
        <v>8</v>
      </c>
      <c r="FH620" s="27" t="s">
        <v>7</v>
      </c>
      <c r="FU620" s="27" t="s">
        <v>8</v>
      </c>
      <c r="FV620" s="27" t="s">
        <v>7</v>
      </c>
    </row>
    <row r="621" spans="1:178" x14ac:dyDescent="0.25">
      <c r="A621" s="7">
        <v>0.51002816562648323</v>
      </c>
      <c r="B621"/>
      <c r="C621"/>
      <c r="D621"/>
      <c r="E621"/>
      <c r="F621" s="27" t="s">
        <v>7</v>
      </c>
      <c r="Q621" s="27" t="s">
        <v>8</v>
      </c>
      <c r="R621" s="27" t="s">
        <v>7</v>
      </c>
      <c r="U621" s="27" t="s">
        <v>8</v>
      </c>
      <c r="V621" s="27" t="s">
        <v>7</v>
      </c>
      <c r="AS621" s="27" t="s">
        <v>8</v>
      </c>
      <c r="AT621" s="27" t="s">
        <v>7</v>
      </c>
      <c r="AU621" s="27" t="s">
        <v>8</v>
      </c>
      <c r="BM621" s="27" t="s">
        <v>8</v>
      </c>
      <c r="DE621" s="27" t="s">
        <v>8</v>
      </c>
      <c r="DF621" s="27" t="s">
        <v>7</v>
      </c>
      <c r="DG621" s="27" t="s">
        <v>8</v>
      </c>
      <c r="DH621" s="27" t="s">
        <v>7</v>
      </c>
      <c r="DI621" s="27" t="s">
        <v>8</v>
      </c>
      <c r="DV621" s="27" t="s">
        <v>7</v>
      </c>
      <c r="DY621" s="27" t="s">
        <v>8</v>
      </c>
      <c r="EB621" s="27" t="s">
        <v>7</v>
      </c>
      <c r="EC621" s="27" t="s">
        <v>8</v>
      </c>
      <c r="ED621" s="27" t="s">
        <v>7</v>
      </c>
      <c r="EK621" s="27" t="s">
        <v>8</v>
      </c>
      <c r="EM621" s="27" t="s">
        <v>8</v>
      </c>
      <c r="EN621" s="27" t="s">
        <v>7</v>
      </c>
      <c r="EO621" s="27" t="s">
        <v>8</v>
      </c>
      <c r="EP621" s="27" t="s">
        <v>7</v>
      </c>
      <c r="EQ621" s="27" t="s">
        <v>8</v>
      </c>
      <c r="EV621" s="27" t="s">
        <v>7</v>
      </c>
      <c r="EW621" s="27" t="s">
        <v>8</v>
      </c>
      <c r="FF621" s="27" t="s">
        <v>7</v>
      </c>
      <c r="FG621" s="27" t="s">
        <v>8</v>
      </c>
      <c r="FH621" s="27" t="s">
        <v>7</v>
      </c>
      <c r="FU621" s="27" t="s">
        <v>8</v>
      </c>
      <c r="FV621" s="27" t="s">
        <v>7</v>
      </c>
    </row>
    <row r="622" spans="1:178" x14ac:dyDescent="0.25">
      <c r="A622" s="7">
        <v>0.50002761335929735</v>
      </c>
      <c r="B622"/>
      <c r="C622"/>
      <c r="D622"/>
      <c r="E622"/>
      <c r="F622" s="27" t="s">
        <v>7</v>
      </c>
      <c r="Q622" s="27" t="s">
        <v>8</v>
      </c>
      <c r="R622" s="27" t="s">
        <v>7</v>
      </c>
      <c r="U622" s="27" t="s">
        <v>8</v>
      </c>
      <c r="V622" s="27" t="s">
        <v>7</v>
      </c>
      <c r="AS622" s="27" t="s">
        <v>8</v>
      </c>
      <c r="AT622" s="27" t="s">
        <v>7</v>
      </c>
      <c r="AU622" s="27" t="s">
        <v>8</v>
      </c>
      <c r="AV622" s="27" t="s">
        <v>7</v>
      </c>
      <c r="AW622" s="27" t="s">
        <v>8</v>
      </c>
      <c r="BM622" s="27" t="s">
        <v>8</v>
      </c>
      <c r="BN622" s="27" t="s">
        <v>7</v>
      </c>
      <c r="BQ622" s="27" t="s">
        <v>8</v>
      </c>
      <c r="DE622" s="27" t="s">
        <v>8</v>
      </c>
      <c r="DF622" s="27" t="s">
        <v>7</v>
      </c>
      <c r="DG622" s="27" t="s">
        <v>8</v>
      </c>
      <c r="DH622" s="27" t="s">
        <v>7</v>
      </c>
      <c r="DI622" s="27" t="s">
        <v>8</v>
      </c>
      <c r="DV622" s="27" t="s">
        <v>7</v>
      </c>
      <c r="DY622" s="27" t="s">
        <v>8</v>
      </c>
      <c r="EB622" s="27" t="s">
        <v>7</v>
      </c>
      <c r="EC622" s="27" t="s">
        <v>8</v>
      </c>
      <c r="ED622" s="27" t="s">
        <v>7</v>
      </c>
      <c r="EK622" s="27" t="s">
        <v>8</v>
      </c>
      <c r="EL622" s="27" t="s">
        <v>7</v>
      </c>
      <c r="EM622" s="27" t="s">
        <v>8</v>
      </c>
      <c r="EN622" s="27" t="s">
        <v>7</v>
      </c>
      <c r="EO622" s="27" t="s">
        <v>8</v>
      </c>
      <c r="EP622" s="27" t="s">
        <v>7</v>
      </c>
      <c r="EQ622" s="27" t="s">
        <v>8</v>
      </c>
      <c r="EV622" s="27" t="s">
        <v>7</v>
      </c>
      <c r="EW622" s="27" t="s">
        <v>8</v>
      </c>
      <c r="FF622" s="27" t="s">
        <v>7</v>
      </c>
      <c r="FG622" s="27" t="s">
        <v>8</v>
      </c>
      <c r="FH622" s="27" t="s">
        <v>7</v>
      </c>
      <c r="FU622" s="27" t="s">
        <v>8</v>
      </c>
      <c r="FV622" s="27" t="s">
        <v>7</v>
      </c>
    </row>
    <row r="623" spans="1:178" x14ac:dyDescent="0.25">
      <c r="A623" s="7">
        <v>0.49022315035225228</v>
      </c>
      <c r="B623"/>
      <c r="C623"/>
      <c r="D623"/>
      <c r="E623"/>
      <c r="F623" s="27" t="s">
        <v>7</v>
      </c>
      <c r="Q623" s="27" t="s">
        <v>8</v>
      </c>
      <c r="R623" s="27" t="s">
        <v>7</v>
      </c>
      <c r="U623" s="27" t="s">
        <v>8</v>
      </c>
      <c r="V623" s="27" t="s">
        <v>7</v>
      </c>
      <c r="AS623" s="27" t="s">
        <v>8</v>
      </c>
      <c r="AT623" s="27" t="s">
        <v>7</v>
      </c>
      <c r="AU623" s="27" t="s">
        <v>8</v>
      </c>
      <c r="AV623" s="27" t="s">
        <v>7</v>
      </c>
      <c r="AW623" s="27" t="s">
        <v>8</v>
      </c>
      <c r="AX623" s="27" t="s">
        <v>7</v>
      </c>
      <c r="BM623" s="27" t="s">
        <v>8</v>
      </c>
      <c r="BN623" s="27" t="s">
        <v>7</v>
      </c>
      <c r="BQ623" s="27" t="s">
        <v>8</v>
      </c>
      <c r="BR623" s="27" t="s">
        <v>7</v>
      </c>
      <c r="DE623" s="27" t="s">
        <v>8</v>
      </c>
      <c r="DF623" s="27" t="s">
        <v>7</v>
      </c>
      <c r="DG623" s="27" t="s">
        <v>8</v>
      </c>
      <c r="DH623" s="27" t="s">
        <v>7</v>
      </c>
      <c r="DI623" s="27" t="s">
        <v>8</v>
      </c>
      <c r="DV623" s="27" t="s">
        <v>7</v>
      </c>
      <c r="DW623" s="27" t="s">
        <v>8</v>
      </c>
      <c r="DY623" s="27" t="s">
        <v>8</v>
      </c>
      <c r="EB623" s="27" t="s">
        <v>7</v>
      </c>
      <c r="EC623" s="27" t="s">
        <v>8</v>
      </c>
      <c r="ED623" s="27" t="s">
        <v>7</v>
      </c>
      <c r="EK623" s="27" t="s">
        <v>8</v>
      </c>
      <c r="EL623" s="27" t="s">
        <v>7</v>
      </c>
      <c r="EM623" s="27" t="s">
        <v>8</v>
      </c>
      <c r="EN623" s="27" t="s">
        <v>7</v>
      </c>
      <c r="EO623" s="27" t="s">
        <v>8</v>
      </c>
      <c r="EP623" s="27" t="s">
        <v>7</v>
      </c>
      <c r="EQ623" s="27" t="s">
        <v>8</v>
      </c>
      <c r="EV623" s="27" t="s">
        <v>7</v>
      </c>
      <c r="FF623" s="27" t="s">
        <v>7</v>
      </c>
      <c r="FG623" s="27" t="s">
        <v>8</v>
      </c>
      <c r="FH623" s="27" t="s">
        <v>7</v>
      </c>
      <c r="FU623" s="27" t="s">
        <v>8</v>
      </c>
      <c r="FV623" s="27" t="s">
        <v>7</v>
      </c>
    </row>
    <row r="624" spans="1:178" x14ac:dyDescent="0.25">
      <c r="A624" s="7">
        <v>0.48061093171789437</v>
      </c>
      <c r="B624"/>
      <c r="C624"/>
      <c r="D624"/>
      <c r="E624"/>
      <c r="F624" s="27" t="s">
        <v>7</v>
      </c>
      <c r="Q624" s="27" t="s">
        <v>8</v>
      </c>
      <c r="R624" s="27" t="s">
        <v>7</v>
      </c>
      <c r="S624" s="27" t="s">
        <v>8</v>
      </c>
      <c r="U624" s="27" t="s">
        <v>8</v>
      </c>
      <c r="V624" s="27" t="s">
        <v>7</v>
      </c>
      <c r="AS624" s="27" t="s">
        <v>8</v>
      </c>
      <c r="AT624" s="27" t="s">
        <v>7</v>
      </c>
      <c r="AU624" s="27" t="s">
        <v>8</v>
      </c>
      <c r="AV624" s="27" t="s">
        <v>7</v>
      </c>
      <c r="AW624" s="27" t="s">
        <v>8</v>
      </c>
      <c r="AX624" s="27" t="s">
        <v>7</v>
      </c>
      <c r="BM624" s="27" t="s">
        <v>8</v>
      </c>
      <c r="BN624" s="27" t="s">
        <v>7</v>
      </c>
      <c r="BQ624" s="27" t="s">
        <v>8</v>
      </c>
      <c r="BR624" s="27" t="s">
        <v>7</v>
      </c>
      <c r="DE624" s="27" t="s">
        <v>8</v>
      </c>
      <c r="DF624" s="27" t="s">
        <v>7</v>
      </c>
      <c r="DG624" s="27" t="s">
        <v>8</v>
      </c>
      <c r="DH624" s="27" t="s">
        <v>7</v>
      </c>
      <c r="DI624" s="27" t="s">
        <v>8</v>
      </c>
      <c r="DV624" s="27" t="s">
        <v>7</v>
      </c>
      <c r="DW624" s="27" t="s">
        <v>8</v>
      </c>
      <c r="DX624" s="27" t="s">
        <v>7</v>
      </c>
      <c r="DY624" s="27" t="s">
        <v>8</v>
      </c>
      <c r="EB624" s="27" t="s">
        <v>7</v>
      </c>
      <c r="EC624" s="27" t="s">
        <v>8</v>
      </c>
      <c r="ED624" s="27" t="s">
        <v>7</v>
      </c>
      <c r="EK624" s="27" t="s">
        <v>8</v>
      </c>
      <c r="EL624" s="27" t="s">
        <v>7</v>
      </c>
      <c r="EM624" s="27" t="s">
        <v>8</v>
      </c>
      <c r="EN624" s="27" t="s">
        <v>7</v>
      </c>
      <c r="EO624" s="27" t="s">
        <v>8</v>
      </c>
      <c r="EP624" s="27" t="s">
        <v>7</v>
      </c>
      <c r="EQ624" s="27" t="s">
        <v>8</v>
      </c>
      <c r="FF624" s="27" t="s">
        <v>7</v>
      </c>
      <c r="FG624" s="27" t="s">
        <v>8</v>
      </c>
      <c r="FH624" s="27" t="s">
        <v>7</v>
      </c>
      <c r="FI624" s="27" t="s">
        <v>8</v>
      </c>
      <c r="FU624" s="27" t="s">
        <v>8</v>
      </c>
      <c r="FV624" s="27" t="s">
        <v>7</v>
      </c>
    </row>
    <row r="625" spans="1:186" x14ac:dyDescent="0.25">
      <c r="A625" s="7">
        <v>0.47118718795871994</v>
      </c>
      <c r="B625"/>
      <c r="C625"/>
      <c r="D625"/>
      <c r="E625"/>
      <c r="F625" s="27" t="s">
        <v>7</v>
      </c>
      <c r="Q625" s="27" t="s">
        <v>8</v>
      </c>
      <c r="R625" s="27" t="s">
        <v>7</v>
      </c>
      <c r="S625" s="27" t="s">
        <v>8</v>
      </c>
      <c r="T625" s="27" t="s">
        <v>7</v>
      </c>
      <c r="U625" s="27" t="s">
        <v>8</v>
      </c>
      <c r="V625" s="27" t="s">
        <v>7</v>
      </c>
      <c r="AO625" s="27" t="s">
        <v>8</v>
      </c>
      <c r="AS625" s="27" t="s">
        <v>8</v>
      </c>
      <c r="AT625" s="27" t="s">
        <v>7</v>
      </c>
      <c r="AU625" s="27" t="s">
        <v>8</v>
      </c>
      <c r="AV625" s="27" t="s">
        <v>7</v>
      </c>
      <c r="AW625" s="27" t="s">
        <v>8</v>
      </c>
      <c r="AX625" s="27" t="s">
        <v>7</v>
      </c>
      <c r="AY625" s="27" t="s">
        <v>8</v>
      </c>
      <c r="BM625" s="27" t="s">
        <v>8</v>
      </c>
      <c r="BN625" s="27" t="s">
        <v>7</v>
      </c>
      <c r="BQ625" s="27" t="s">
        <v>8</v>
      </c>
      <c r="BR625" s="27" t="s">
        <v>7</v>
      </c>
      <c r="BW625" s="27" t="s">
        <v>8</v>
      </c>
      <c r="DE625" s="27" t="s">
        <v>8</v>
      </c>
      <c r="DF625" s="27" t="s">
        <v>7</v>
      </c>
      <c r="DG625" s="27" t="s">
        <v>8</v>
      </c>
      <c r="DH625" s="27" t="s">
        <v>7</v>
      </c>
      <c r="DI625" s="27" t="s">
        <v>8</v>
      </c>
      <c r="DV625" s="27" t="s">
        <v>7</v>
      </c>
      <c r="DW625" s="27" t="s">
        <v>8</v>
      </c>
      <c r="DX625" s="27" t="s">
        <v>7</v>
      </c>
      <c r="DY625" s="27" t="s">
        <v>8</v>
      </c>
      <c r="EB625" s="27" t="s">
        <v>7</v>
      </c>
      <c r="EC625" s="27" t="s">
        <v>8</v>
      </c>
      <c r="ED625" s="27" t="s">
        <v>7</v>
      </c>
      <c r="EE625" s="27" t="s">
        <v>8</v>
      </c>
      <c r="EK625" s="27" t="s">
        <v>8</v>
      </c>
      <c r="EL625" s="27" t="s">
        <v>7</v>
      </c>
      <c r="EM625" s="27" t="s">
        <v>8</v>
      </c>
      <c r="EN625" s="27" t="s">
        <v>7</v>
      </c>
      <c r="EO625" s="27" t="s">
        <v>8</v>
      </c>
      <c r="EP625" s="27" t="s">
        <v>7</v>
      </c>
      <c r="FF625" s="27" t="s">
        <v>7</v>
      </c>
      <c r="FG625" s="27" t="s">
        <v>8</v>
      </c>
      <c r="FH625" s="27" t="s">
        <v>7</v>
      </c>
      <c r="FI625" s="27" t="s">
        <v>8</v>
      </c>
      <c r="FJ625" s="27" t="s">
        <v>7</v>
      </c>
      <c r="FK625" s="27" t="s">
        <v>8</v>
      </c>
      <c r="FM625" s="27" t="s">
        <v>8</v>
      </c>
      <c r="FU625" s="27" t="s">
        <v>8</v>
      </c>
      <c r="FV625" s="27" t="s">
        <v>7</v>
      </c>
    </row>
    <row r="626" spans="1:186" x14ac:dyDescent="0.25">
      <c r="A626" s="7">
        <v>0.46194822348894116</v>
      </c>
      <c r="B626"/>
      <c r="C626"/>
      <c r="D626"/>
      <c r="E626"/>
      <c r="F626" s="27" t="s">
        <v>7</v>
      </c>
      <c r="O626" s="27" t="s">
        <v>8</v>
      </c>
      <c r="Q626" s="27" t="s">
        <v>8</v>
      </c>
      <c r="R626" s="27" t="s">
        <v>7</v>
      </c>
      <c r="S626" s="27" t="s">
        <v>8</v>
      </c>
      <c r="T626" s="27" t="s">
        <v>7</v>
      </c>
      <c r="U626" s="27" t="s">
        <v>8</v>
      </c>
      <c r="V626" s="27" t="s">
        <v>7</v>
      </c>
      <c r="AK626" s="27" t="s">
        <v>8</v>
      </c>
      <c r="AM626" s="27" t="s">
        <v>8</v>
      </c>
      <c r="AO626" s="27" t="s">
        <v>8</v>
      </c>
      <c r="AP626" s="27" t="s">
        <v>7</v>
      </c>
      <c r="AS626" s="27" t="s">
        <v>8</v>
      </c>
      <c r="AT626" s="27" t="s">
        <v>7</v>
      </c>
      <c r="AU626" s="27" t="s">
        <v>8</v>
      </c>
      <c r="AV626" s="27" t="s">
        <v>7</v>
      </c>
      <c r="AW626" s="27" t="s">
        <v>8</v>
      </c>
      <c r="AX626" s="27" t="s">
        <v>7</v>
      </c>
      <c r="AY626" s="27" t="s">
        <v>8</v>
      </c>
      <c r="AZ626" s="27" t="s">
        <v>7</v>
      </c>
      <c r="BA626" s="27" t="s">
        <v>8</v>
      </c>
      <c r="BM626" s="27" t="s">
        <v>8</v>
      </c>
      <c r="BN626" s="27" t="s">
        <v>7</v>
      </c>
      <c r="BO626" s="27" t="s">
        <v>8</v>
      </c>
      <c r="BQ626" s="27" t="s">
        <v>8</v>
      </c>
      <c r="BR626" s="27" t="s">
        <v>7</v>
      </c>
      <c r="BW626" s="27" t="s">
        <v>8</v>
      </c>
      <c r="BX626" s="27" t="s">
        <v>7</v>
      </c>
      <c r="BY626" s="27" t="s">
        <v>8</v>
      </c>
      <c r="DE626" s="27" t="s">
        <v>8</v>
      </c>
      <c r="DF626" s="27" t="s">
        <v>7</v>
      </c>
      <c r="DG626" s="27" t="s">
        <v>8</v>
      </c>
      <c r="DH626" s="27" t="s">
        <v>7</v>
      </c>
      <c r="DI626" s="27" t="s">
        <v>8</v>
      </c>
      <c r="DV626" s="27" t="s">
        <v>7</v>
      </c>
      <c r="DW626" s="27" t="s">
        <v>8</v>
      </c>
      <c r="DX626" s="27" t="s">
        <v>7</v>
      </c>
      <c r="DY626" s="27" t="s">
        <v>8</v>
      </c>
      <c r="EB626" s="27" t="s">
        <v>7</v>
      </c>
      <c r="EC626" s="27" t="s">
        <v>8</v>
      </c>
      <c r="ED626" s="27" t="s">
        <v>7</v>
      </c>
      <c r="EE626" s="27" t="s">
        <v>8</v>
      </c>
      <c r="EF626" s="27" t="s">
        <v>7</v>
      </c>
      <c r="EK626" s="27" t="s">
        <v>8</v>
      </c>
      <c r="EL626" s="27" t="s">
        <v>7</v>
      </c>
      <c r="EM626" s="27" t="s">
        <v>8</v>
      </c>
      <c r="EN626" s="27" t="s">
        <v>7</v>
      </c>
      <c r="EO626" s="27" t="s">
        <v>8</v>
      </c>
      <c r="FF626" s="27" t="s">
        <v>7</v>
      </c>
      <c r="FG626" s="27" t="s">
        <v>8</v>
      </c>
      <c r="FH626" s="27" t="s">
        <v>7</v>
      </c>
      <c r="FI626" s="27" t="s">
        <v>8</v>
      </c>
      <c r="FJ626" s="27" t="s">
        <v>7</v>
      </c>
      <c r="FK626" s="27" t="s">
        <v>8</v>
      </c>
      <c r="FL626" s="27" t="s">
        <v>7</v>
      </c>
      <c r="FM626" s="27" t="s">
        <v>8</v>
      </c>
      <c r="FN626" s="27" t="s">
        <v>7</v>
      </c>
      <c r="FU626" s="27" t="s">
        <v>8</v>
      </c>
      <c r="FV626" s="27" t="s">
        <v>7</v>
      </c>
    </row>
    <row r="627" spans="1:186" x14ac:dyDescent="0.25">
      <c r="A627" s="7">
        <v>0.45289041518523643</v>
      </c>
      <c r="B627"/>
      <c r="C627"/>
      <c r="D627"/>
      <c r="E627"/>
      <c r="F627" s="27" t="s">
        <v>7</v>
      </c>
      <c r="O627" s="27" t="s">
        <v>8</v>
      </c>
      <c r="P627" s="27" t="s">
        <v>7</v>
      </c>
      <c r="Q627" s="27" t="s">
        <v>8</v>
      </c>
      <c r="R627" s="27" t="s">
        <v>7</v>
      </c>
      <c r="S627" s="27" t="s">
        <v>8</v>
      </c>
      <c r="T627" s="27" t="s">
        <v>7</v>
      </c>
      <c r="U627" s="27" t="s">
        <v>8</v>
      </c>
      <c r="V627" s="27" t="s">
        <v>7</v>
      </c>
      <c r="AK627" s="27" t="s">
        <v>8</v>
      </c>
      <c r="AL627" s="27" t="s">
        <v>7</v>
      </c>
      <c r="AM627" s="27" t="s">
        <v>8</v>
      </c>
      <c r="AN627" s="27" t="s">
        <v>7</v>
      </c>
      <c r="AO627" s="27" t="s">
        <v>8</v>
      </c>
      <c r="AP627" s="27" t="s">
        <v>7</v>
      </c>
      <c r="AS627" s="27" t="s">
        <v>8</v>
      </c>
      <c r="AT627" s="27" t="s">
        <v>7</v>
      </c>
      <c r="AV627" s="27" t="s">
        <v>7</v>
      </c>
      <c r="AW627" s="27" t="s">
        <v>8</v>
      </c>
      <c r="AX627" s="27" t="s">
        <v>7</v>
      </c>
      <c r="AY627" s="27" t="s">
        <v>8</v>
      </c>
      <c r="AZ627" s="27" t="s">
        <v>7</v>
      </c>
      <c r="BA627" s="27" t="s">
        <v>8</v>
      </c>
      <c r="BB627" s="27" t="s">
        <v>7</v>
      </c>
      <c r="BC627" s="27" t="s">
        <v>8</v>
      </c>
      <c r="BM627" s="27" t="s">
        <v>8</v>
      </c>
      <c r="BN627" s="27" t="s">
        <v>7</v>
      </c>
      <c r="BO627" s="27" t="s">
        <v>8</v>
      </c>
      <c r="BP627" s="27" t="s">
        <v>7</v>
      </c>
      <c r="BQ627" s="27" t="s">
        <v>8</v>
      </c>
      <c r="BR627" s="27" t="s">
        <v>7</v>
      </c>
      <c r="BS627" s="27" t="s">
        <v>8</v>
      </c>
      <c r="BW627" s="27" t="s">
        <v>8</v>
      </c>
      <c r="BX627" s="27" t="s">
        <v>7</v>
      </c>
      <c r="BY627" s="27" t="s">
        <v>8</v>
      </c>
      <c r="BZ627" s="27" t="s">
        <v>7</v>
      </c>
      <c r="DE627" s="27" t="s">
        <v>8</v>
      </c>
      <c r="DF627" s="27" t="s">
        <v>7</v>
      </c>
      <c r="DG627" s="27" t="s">
        <v>8</v>
      </c>
      <c r="DH627" s="27" t="s">
        <v>7</v>
      </c>
      <c r="DV627" s="27" t="s">
        <v>7</v>
      </c>
      <c r="DW627" s="27" t="s">
        <v>8</v>
      </c>
      <c r="DX627" s="27" t="s">
        <v>7</v>
      </c>
      <c r="DY627" s="27" t="s">
        <v>8</v>
      </c>
      <c r="EB627" s="27" t="s">
        <v>7</v>
      </c>
      <c r="EC627" s="27" t="s">
        <v>8</v>
      </c>
      <c r="ED627" s="27" t="s">
        <v>7</v>
      </c>
      <c r="EE627" s="27" t="s">
        <v>8</v>
      </c>
      <c r="EF627" s="27" t="s">
        <v>7</v>
      </c>
      <c r="EG627" s="27" t="s">
        <v>8</v>
      </c>
      <c r="EK627" s="27" t="s">
        <v>8</v>
      </c>
      <c r="EL627" s="27" t="s">
        <v>7</v>
      </c>
      <c r="EN627" s="27" t="s">
        <v>7</v>
      </c>
      <c r="EO627" s="27" t="s">
        <v>8</v>
      </c>
      <c r="FF627" s="27" t="s">
        <v>7</v>
      </c>
      <c r="FG627" s="27" t="s">
        <v>8</v>
      </c>
      <c r="FH627" s="27" t="s">
        <v>7</v>
      </c>
      <c r="FJ627" s="27" t="s">
        <v>7</v>
      </c>
      <c r="FK627" s="27" t="s">
        <v>8</v>
      </c>
      <c r="FL627" s="27" t="s">
        <v>7</v>
      </c>
      <c r="FM627" s="27" t="s">
        <v>8</v>
      </c>
      <c r="FN627" s="27" t="s">
        <v>7</v>
      </c>
      <c r="FU627" s="27" t="s">
        <v>8</v>
      </c>
      <c r="FV627" s="27" t="s">
        <v>7</v>
      </c>
    </row>
    <row r="628" spans="1:186" x14ac:dyDescent="0.25">
      <c r="A628" s="7">
        <v>0.44401021096591808</v>
      </c>
      <c r="B628"/>
      <c r="C628"/>
      <c r="D628"/>
      <c r="E628"/>
      <c r="F628" s="27" t="s">
        <v>7</v>
      </c>
      <c r="O628" s="27" t="s">
        <v>8</v>
      </c>
      <c r="P628" s="27" t="s">
        <v>7</v>
      </c>
      <c r="Q628" s="27" t="s">
        <v>8</v>
      </c>
      <c r="R628" s="27" t="s">
        <v>7</v>
      </c>
      <c r="S628" s="27" t="s">
        <v>8</v>
      </c>
      <c r="T628" s="27" t="s">
        <v>7</v>
      </c>
      <c r="U628" s="27" t="s">
        <v>8</v>
      </c>
      <c r="V628" s="27" t="s">
        <v>7</v>
      </c>
      <c r="AK628" s="27" t="s">
        <v>8</v>
      </c>
      <c r="AL628" s="27" t="s">
        <v>7</v>
      </c>
      <c r="AM628" s="27" t="s">
        <v>8</v>
      </c>
      <c r="AN628" s="27" t="s">
        <v>7</v>
      </c>
      <c r="AO628" s="27" t="s">
        <v>8</v>
      </c>
      <c r="AP628" s="27" t="s">
        <v>7</v>
      </c>
      <c r="AQ628" s="27" t="s">
        <v>8</v>
      </c>
      <c r="AS628" s="27" t="s">
        <v>8</v>
      </c>
      <c r="AV628" s="27" t="s">
        <v>7</v>
      </c>
      <c r="AW628" s="27" t="s">
        <v>8</v>
      </c>
      <c r="AX628" s="27" t="s">
        <v>7</v>
      </c>
      <c r="AZ628" s="27" t="s">
        <v>7</v>
      </c>
      <c r="BA628" s="27" t="s">
        <v>8</v>
      </c>
      <c r="BB628" s="27" t="s">
        <v>7</v>
      </c>
      <c r="BC628" s="27" t="s">
        <v>8</v>
      </c>
      <c r="BD628" s="27" t="s">
        <v>7</v>
      </c>
      <c r="BM628" s="27" t="s">
        <v>8</v>
      </c>
      <c r="BN628" s="27" t="s">
        <v>7</v>
      </c>
      <c r="BO628" s="27" t="s">
        <v>8</v>
      </c>
      <c r="BP628" s="27" t="s">
        <v>7</v>
      </c>
      <c r="BQ628" s="27" t="s">
        <v>8</v>
      </c>
      <c r="BR628" s="27" t="s">
        <v>7</v>
      </c>
      <c r="BS628" s="27" t="s">
        <v>8</v>
      </c>
      <c r="BT628" s="27" t="s">
        <v>7</v>
      </c>
      <c r="BW628" s="27" t="s">
        <v>8</v>
      </c>
      <c r="BX628" s="27" t="s">
        <v>7</v>
      </c>
      <c r="BY628" s="27" t="s">
        <v>8</v>
      </c>
      <c r="BZ628" s="27" t="s">
        <v>7</v>
      </c>
      <c r="DE628" s="27" t="s">
        <v>8</v>
      </c>
      <c r="DF628" s="27" t="s">
        <v>7</v>
      </c>
      <c r="DV628" s="27" t="s">
        <v>7</v>
      </c>
      <c r="DW628" s="27" t="s">
        <v>8</v>
      </c>
      <c r="DX628" s="27" t="s">
        <v>7</v>
      </c>
      <c r="DY628" s="27" t="s">
        <v>8</v>
      </c>
      <c r="EB628" s="27" t="s">
        <v>7</v>
      </c>
      <c r="EC628" s="27" t="s">
        <v>8</v>
      </c>
      <c r="ED628" s="27" t="s">
        <v>7</v>
      </c>
      <c r="EE628" s="27" t="s">
        <v>8</v>
      </c>
      <c r="EF628" s="27" t="s">
        <v>7</v>
      </c>
      <c r="EG628" s="27" t="s">
        <v>8</v>
      </c>
      <c r="EH628" s="27" t="s">
        <v>7</v>
      </c>
      <c r="EK628" s="27" t="s">
        <v>8</v>
      </c>
      <c r="EN628" s="27" t="s">
        <v>7</v>
      </c>
      <c r="EO628" s="27" t="s">
        <v>8</v>
      </c>
      <c r="FF628" s="27" t="s">
        <v>7</v>
      </c>
      <c r="FG628" s="27" t="s">
        <v>8</v>
      </c>
      <c r="FJ628" s="27" t="s">
        <v>7</v>
      </c>
      <c r="FK628" s="27" t="s">
        <v>8</v>
      </c>
      <c r="FL628" s="27" t="s">
        <v>7</v>
      </c>
      <c r="FM628" s="27" t="s">
        <v>8</v>
      </c>
      <c r="FN628" s="27" t="s">
        <v>7</v>
      </c>
      <c r="FU628" s="27" t="s">
        <v>8</v>
      </c>
      <c r="FV628" s="27" t="s">
        <v>7</v>
      </c>
    </row>
    <row r="629" spans="1:186" x14ac:dyDescent="0.25">
      <c r="A629" s="7">
        <v>0.4353041283979589</v>
      </c>
      <c r="B629"/>
      <c r="C629"/>
      <c r="D629"/>
      <c r="E629"/>
      <c r="F629" s="27" t="s">
        <v>7</v>
      </c>
      <c r="O629" s="27" t="s">
        <v>8</v>
      </c>
      <c r="P629" s="27" t="s">
        <v>7</v>
      </c>
      <c r="Q629" s="27" t="s">
        <v>8</v>
      </c>
      <c r="R629" s="27" t="s">
        <v>7</v>
      </c>
      <c r="S629" s="27" t="s">
        <v>8</v>
      </c>
      <c r="T629" s="27" t="s">
        <v>7</v>
      </c>
      <c r="U629" s="27" t="s">
        <v>8</v>
      </c>
      <c r="V629" s="27" t="s">
        <v>7</v>
      </c>
      <c r="W629" s="27" t="s">
        <v>8</v>
      </c>
      <c r="AK629" s="27" t="s">
        <v>8</v>
      </c>
      <c r="AL629" s="27" t="s">
        <v>7</v>
      </c>
      <c r="AM629" s="27" t="s">
        <v>8</v>
      </c>
      <c r="AN629" s="27" t="s">
        <v>7</v>
      </c>
      <c r="AO629" s="27" t="s">
        <v>8</v>
      </c>
      <c r="AP629" s="27" t="s">
        <v>7</v>
      </c>
      <c r="AQ629" s="27" t="s">
        <v>8</v>
      </c>
      <c r="AR629" s="27" t="s">
        <v>7</v>
      </c>
      <c r="AS629" s="27" t="s">
        <v>8</v>
      </c>
      <c r="AV629" s="27" t="s">
        <v>7</v>
      </c>
      <c r="AW629" s="27" t="s">
        <v>8</v>
      </c>
      <c r="AZ629" s="27" t="s">
        <v>7</v>
      </c>
      <c r="BA629" s="27" t="s">
        <v>8</v>
      </c>
      <c r="BB629" s="27" t="s">
        <v>7</v>
      </c>
      <c r="BC629" s="27" t="s">
        <v>8</v>
      </c>
      <c r="BD629" s="27" t="s">
        <v>7</v>
      </c>
      <c r="BM629" s="27" t="s">
        <v>8</v>
      </c>
      <c r="BN629" s="27" t="s">
        <v>7</v>
      </c>
      <c r="BO629" s="27" t="s">
        <v>8</v>
      </c>
      <c r="BP629" s="27" t="s">
        <v>7</v>
      </c>
      <c r="BQ629" s="27" t="s">
        <v>8</v>
      </c>
      <c r="BR629" s="27" t="s">
        <v>7</v>
      </c>
      <c r="BS629" s="27" t="s">
        <v>8</v>
      </c>
      <c r="BT629" s="27" t="s">
        <v>7</v>
      </c>
      <c r="BW629" s="27" t="s">
        <v>8</v>
      </c>
      <c r="BX629" s="27" t="s">
        <v>7</v>
      </c>
      <c r="BY629" s="27" t="s">
        <v>8</v>
      </c>
      <c r="BZ629" s="27" t="s">
        <v>7</v>
      </c>
      <c r="DE629" s="27" t="s">
        <v>8</v>
      </c>
      <c r="DV629" s="27" t="s">
        <v>7</v>
      </c>
      <c r="DX629" s="27" t="s">
        <v>7</v>
      </c>
      <c r="DY629" s="27" t="s">
        <v>8</v>
      </c>
      <c r="EB629" s="27" t="s">
        <v>7</v>
      </c>
      <c r="EC629" s="27" t="s">
        <v>8</v>
      </c>
      <c r="ED629" s="27" t="s">
        <v>7</v>
      </c>
      <c r="EE629" s="27" t="s">
        <v>8</v>
      </c>
      <c r="EF629" s="27" t="s">
        <v>7</v>
      </c>
      <c r="EG629" s="27" t="s">
        <v>8</v>
      </c>
      <c r="EH629" s="27" t="s">
        <v>7</v>
      </c>
      <c r="EI629" s="27" t="s">
        <v>8</v>
      </c>
      <c r="EK629" s="27" t="s">
        <v>8</v>
      </c>
      <c r="EN629" s="27" t="s">
        <v>7</v>
      </c>
      <c r="EO629" s="27" t="s">
        <v>8</v>
      </c>
      <c r="FF629" s="27" t="s">
        <v>7</v>
      </c>
      <c r="FG629" s="27" t="s">
        <v>8</v>
      </c>
      <c r="FJ629" s="27" t="s">
        <v>7</v>
      </c>
      <c r="FK629" s="27" t="s">
        <v>8</v>
      </c>
      <c r="FL629" s="27" t="s">
        <v>7</v>
      </c>
      <c r="FM629" s="27" t="s">
        <v>8</v>
      </c>
      <c r="FN629" s="27" t="s">
        <v>7</v>
      </c>
      <c r="FU629" s="27" t="s">
        <v>8</v>
      </c>
      <c r="FV629" s="27" t="s">
        <v>7</v>
      </c>
      <c r="FY629" s="27" t="s">
        <v>8</v>
      </c>
    </row>
    <row r="630" spans="1:186" x14ac:dyDescent="0.25">
      <c r="A630" s="7">
        <v>0.4267687533313323</v>
      </c>
      <c r="B630"/>
      <c r="C630"/>
      <c r="D630"/>
      <c r="E630"/>
      <c r="F630" s="27" t="s">
        <v>7</v>
      </c>
      <c r="O630" s="27" t="s">
        <v>8</v>
      </c>
      <c r="P630" s="27" t="s">
        <v>7</v>
      </c>
      <c r="Q630" s="27" t="s">
        <v>8</v>
      </c>
      <c r="R630" s="27" t="s">
        <v>7</v>
      </c>
      <c r="S630" s="27" t="s">
        <v>8</v>
      </c>
      <c r="T630" s="27" t="s">
        <v>7</v>
      </c>
      <c r="V630" s="27" t="s">
        <v>7</v>
      </c>
      <c r="W630" s="27" t="s">
        <v>8</v>
      </c>
      <c r="X630" s="27" t="s">
        <v>7</v>
      </c>
      <c r="AK630" s="27" t="s">
        <v>8</v>
      </c>
      <c r="AL630" s="27" t="s">
        <v>7</v>
      </c>
      <c r="AM630" s="27" t="s">
        <v>8</v>
      </c>
      <c r="AN630" s="27" t="s">
        <v>7</v>
      </c>
      <c r="AO630" s="27" t="s">
        <v>8</v>
      </c>
      <c r="AP630" s="27" t="s">
        <v>7</v>
      </c>
      <c r="AQ630" s="27" t="s">
        <v>8</v>
      </c>
      <c r="AR630" s="27" t="s">
        <v>7</v>
      </c>
      <c r="AS630" s="27" t="s">
        <v>8</v>
      </c>
      <c r="AV630" s="27" t="s">
        <v>7</v>
      </c>
      <c r="AW630" s="27" t="s">
        <v>8</v>
      </c>
      <c r="AZ630" s="27" t="s">
        <v>7</v>
      </c>
      <c r="BB630" s="27" t="s">
        <v>7</v>
      </c>
      <c r="BC630" s="27" t="s">
        <v>8</v>
      </c>
      <c r="BD630" s="27" t="s">
        <v>7</v>
      </c>
      <c r="BM630" s="27" t="s">
        <v>8</v>
      </c>
      <c r="BN630" s="27" t="s">
        <v>7</v>
      </c>
      <c r="BO630" s="27" t="s">
        <v>8</v>
      </c>
      <c r="BP630" s="27" t="s">
        <v>7</v>
      </c>
      <c r="BQ630" s="27" t="s">
        <v>8</v>
      </c>
      <c r="BR630" s="27" t="s">
        <v>7</v>
      </c>
      <c r="BS630" s="27" t="s">
        <v>8</v>
      </c>
      <c r="BT630" s="27" t="s">
        <v>7</v>
      </c>
      <c r="BW630" s="27" t="s">
        <v>8</v>
      </c>
      <c r="BX630" s="27" t="s">
        <v>7</v>
      </c>
      <c r="BY630" s="27" t="s">
        <v>8</v>
      </c>
      <c r="BZ630" s="27" t="s">
        <v>7</v>
      </c>
      <c r="DE630" s="27" t="s">
        <v>8</v>
      </c>
      <c r="DX630" s="27" t="s">
        <v>7</v>
      </c>
      <c r="DY630" s="27" t="s">
        <v>8</v>
      </c>
      <c r="EB630" s="27" t="s">
        <v>7</v>
      </c>
      <c r="ED630" s="27" t="s">
        <v>7</v>
      </c>
      <c r="EF630" s="27" t="s">
        <v>7</v>
      </c>
      <c r="EG630" s="27" t="s">
        <v>8</v>
      </c>
      <c r="EH630" s="27" t="s">
        <v>7</v>
      </c>
      <c r="EI630" s="27" t="s">
        <v>8</v>
      </c>
      <c r="EJ630" s="27" t="s">
        <v>7</v>
      </c>
      <c r="EK630" s="27" t="s">
        <v>8</v>
      </c>
      <c r="EN630" s="27" t="s">
        <v>7</v>
      </c>
      <c r="EO630" s="27" t="s">
        <v>8</v>
      </c>
      <c r="FF630" s="27" t="s">
        <v>7</v>
      </c>
      <c r="FG630" s="27" t="s">
        <v>8</v>
      </c>
      <c r="FJ630" s="27" t="s">
        <v>7</v>
      </c>
      <c r="FK630" s="27" t="s">
        <v>8</v>
      </c>
      <c r="FL630" s="27" t="s">
        <v>7</v>
      </c>
      <c r="FM630" s="27" t="s">
        <v>8</v>
      </c>
      <c r="FN630" s="27" t="s">
        <v>7</v>
      </c>
      <c r="FU630" s="27" t="s">
        <v>8</v>
      </c>
      <c r="FV630" s="27" t="s">
        <v>7</v>
      </c>
      <c r="FY630" s="27" t="s">
        <v>8</v>
      </c>
      <c r="FZ630" s="27" t="s">
        <v>7</v>
      </c>
    </row>
    <row r="631" spans="1:186" x14ac:dyDescent="0.25">
      <c r="A631" s="7">
        <v>0.41840073856012971</v>
      </c>
      <c r="B631"/>
      <c r="C631"/>
      <c r="D631"/>
      <c r="E631"/>
      <c r="F631" s="27" t="s">
        <v>7</v>
      </c>
      <c r="O631" s="27" t="s">
        <v>8</v>
      </c>
      <c r="P631" s="27" t="s">
        <v>7</v>
      </c>
      <c r="Q631" s="27" t="s">
        <v>8</v>
      </c>
      <c r="R631" s="27" t="s">
        <v>7</v>
      </c>
      <c r="S631" s="27" t="s">
        <v>8</v>
      </c>
      <c r="V631" s="27" t="s">
        <v>7</v>
      </c>
      <c r="W631" s="27" t="s">
        <v>8</v>
      </c>
      <c r="X631" s="27" t="s">
        <v>7</v>
      </c>
      <c r="AK631" s="27" t="s">
        <v>8</v>
      </c>
      <c r="AL631" s="27" t="s">
        <v>7</v>
      </c>
      <c r="AM631" s="27" t="s">
        <v>8</v>
      </c>
      <c r="AN631" s="27" t="s">
        <v>7</v>
      </c>
      <c r="AP631" s="27" t="s">
        <v>7</v>
      </c>
      <c r="AQ631" s="27" t="s">
        <v>8</v>
      </c>
      <c r="AR631" s="27" t="s">
        <v>7</v>
      </c>
      <c r="AS631" s="27" t="s">
        <v>8</v>
      </c>
      <c r="AV631" s="27" t="s">
        <v>7</v>
      </c>
      <c r="AW631" s="27" t="s">
        <v>8</v>
      </c>
      <c r="BB631" s="27" t="s">
        <v>7</v>
      </c>
      <c r="BD631" s="27" t="s">
        <v>7</v>
      </c>
      <c r="BM631" s="27" t="s">
        <v>8</v>
      </c>
      <c r="BN631" s="27" t="s">
        <v>7</v>
      </c>
      <c r="BP631" s="27" t="s">
        <v>7</v>
      </c>
      <c r="BQ631" s="27" t="s">
        <v>8</v>
      </c>
      <c r="BR631" s="27" t="s">
        <v>7</v>
      </c>
      <c r="BS631" s="27" t="s">
        <v>8</v>
      </c>
      <c r="BT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DE631" s="27" t="s">
        <v>8</v>
      </c>
      <c r="DX631" s="27" t="s">
        <v>7</v>
      </c>
      <c r="DY631" s="27" t="s">
        <v>8</v>
      </c>
      <c r="EF631" s="27" t="s">
        <v>7</v>
      </c>
      <c r="EG631" s="27" t="s">
        <v>8</v>
      </c>
      <c r="EH631" s="27" t="s">
        <v>7</v>
      </c>
      <c r="EI631" s="27" t="s">
        <v>8</v>
      </c>
      <c r="EJ631" s="27" t="s">
        <v>7</v>
      </c>
      <c r="EK631" s="27" t="s">
        <v>8</v>
      </c>
      <c r="EN631" s="27" t="s">
        <v>7</v>
      </c>
      <c r="EO631" s="27" t="s">
        <v>8</v>
      </c>
      <c r="FF631" s="27" t="s">
        <v>7</v>
      </c>
      <c r="FJ631" s="27" t="s">
        <v>7</v>
      </c>
      <c r="FK631" s="27" t="s">
        <v>8</v>
      </c>
      <c r="FL631" s="27" t="s">
        <v>7</v>
      </c>
      <c r="FN631" s="27" t="s">
        <v>7</v>
      </c>
      <c r="FU631" s="27" t="s">
        <v>8</v>
      </c>
      <c r="FV631" s="27" t="s">
        <v>7</v>
      </c>
      <c r="FY631" s="27" t="s">
        <v>8</v>
      </c>
      <c r="FZ631" s="27" t="s">
        <v>7</v>
      </c>
    </row>
    <row r="632" spans="1:186" x14ac:dyDescent="0.25">
      <c r="A632" s="7">
        <v>0.41019680250993112</v>
      </c>
      <c r="B632"/>
      <c r="C632"/>
      <c r="D632"/>
      <c r="E632"/>
      <c r="F632" s="27" t="s">
        <v>7</v>
      </c>
      <c r="O632" s="27" t="s">
        <v>8</v>
      </c>
      <c r="P632" s="27" t="s">
        <v>7</v>
      </c>
      <c r="Q632" s="27" t="s">
        <v>8</v>
      </c>
      <c r="R632" s="27" t="s">
        <v>7</v>
      </c>
      <c r="S632" s="27" t="s">
        <v>8</v>
      </c>
      <c r="V632" s="27" t="s">
        <v>7</v>
      </c>
      <c r="W632" s="27" t="s">
        <v>8</v>
      </c>
      <c r="X632" s="27" t="s">
        <v>7</v>
      </c>
      <c r="AK632" s="27" t="s">
        <v>8</v>
      </c>
      <c r="AL632" s="27" t="s">
        <v>7</v>
      </c>
      <c r="AM632" s="27" t="s">
        <v>8</v>
      </c>
      <c r="AP632" s="27" t="s">
        <v>7</v>
      </c>
      <c r="AQ632" s="27" t="s">
        <v>8</v>
      </c>
      <c r="AR632" s="27" t="s">
        <v>7</v>
      </c>
      <c r="AS632" s="27" t="s">
        <v>8</v>
      </c>
      <c r="AV632" s="27" t="s">
        <v>7</v>
      </c>
      <c r="AW632" s="27" t="s">
        <v>8</v>
      </c>
      <c r="BD632" s="27" t="s">
        <v>7</v>
      </c>
      <c r="BK632" s="27" t="s">
        <v>8</v>
      </c>
      <c r="BM632" s="27" t="s">
        <v>8</v>
      </c>
      <c r="BP632" s="27" t="s">
        <v>7</v>
      </c>
      <c r="BQ632" s="27" t="s">
        <v>8</v>
      </c>
      <c r="BR632" s="27" t="s">
        <v>7</v>
      </c>
      <c r="BS632" s="27" t="s">
        <v>8</v>
      </c>
      <c r="BT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DE632" s="27" t="s">
        <v>8</v>
      </c>
      <c r="DX632" s="27" t="s">
        <v>7</v>
      </c>
      <c r="DY632" s="27" t="s">
        <v>8</v>
      </c>
      <c r="EF632" s="27" t="s">
        <v>7</v>
      </c>
      <c r="EG632" s="27" t="s">
        <v>8</v>
      </c>
      <c r="EH632" s="27" t="s">
        <v>7</v>
      </c>
      <c r="EI632" s="27" t="s">
        <v>8</v>
      </c>
      <c r="EJ632" s="27" t="s">
        <v>7</v>
      </c>
      <c r="EN632" s="27" t="s">
        <v>7</v>
      </c>
      <c r="FJ632" s="27" t="s">
        <v>7</v>
      </c>
      <c r="FN632" s="27" t="s">
        <v>7</v>
      </c>
      <c r="FU632" s="27" t="s">
        <v>8</v>
      </c>
      <c r="FV632" s="27" t="s">
        <v>7</v>
      </c>
      <c r="FY632" s="27" t="s">
        <v>8</v>
      </c>
      <c r="FZ632" s="27" t="s">
        <v>7</v>
      </c>
    </row>
    <row r="633" spans="1:186" x14ac:dyDescent="0.25">
      <c r="A633" s="7">
        <v>0.40215372795091286</v>
      </c>
      <c r="B633"/>
      <c r="C633"/>
      <c r="D633"/>
      <c r="E633"/>
      <c r="F633" s="27" t="s">
        <v>7</v>
      </c>
      <c r="O633" s="27" t="s">
        <v>8</v>
      </c>
      <c r="P633" s="27" t="s">
        <v>7</v>
      </c>
      <c r="Q633" s="27" t="s">
        <v>8</v>
      </c>
      <c r="R633" s="27" t="s">
        <v>7</v>
      </c>
      <c r="V633" s="27" t="s">
        <v>7</v>
      </c>
      <c r="W633" s="27" t="s">
        <v>8</v>
      </c>
      <c r="X633" s="27" t="s">
        <v>7</v>
      </c>
      <c r="AK633" s="27" t="s">
        <v>8</v>
      </c>
      <c r="AL633" s="27" t="s">
        <v>7</v>
      </c>
      <c r="AM633" s="27" t="s">
        <v>8</v>
      </c>
      <c r="AP633" s="27" t="s">
        <v>7</v>
      </c>
      <c r="AQ633" s="27" t="s">
        <v>8</v>
      </c>
      <c r="AR633" s="27" t="s">
        <v>7</v>
      </c>
      <c r="AS633" s="27" t="s">
        <v>8</v>
      </c>
      <c r="AV633" s="27" t="s">
        <v>7</v>
      </c>
      <c r="BD633" s="27" t="s">
        <v>7</v>
      </c>
      <c r="BK633" s="27" t="s">
        <v>8</v>
      </c>
      <c r="BL633" s="27" t="s">
        <v>7</v>
      </c>
      <c r="BM633" s="27" t="s">
        <v>8</v>
      </c>
      <c r="BP633" s="27" t="s">
        <v>7</v>
      </c>
      <c r="BQ633" s="27" t="s">
        <v>8</v>
      </c>
      <c r="BR633" s="27" t="s">
        <v>7</v>
      </c>
      <c r="BS633" s="27" t="s">
        <v>8</v>
      </c>
      <c r="BT633" s="27" t="s">
        <v>7</v>
      </c>
      <c r="BW633" s="27" t="s">
        <v>8</v>
      </c>
      <c r="BX633" s="27" t="s">
        <v>7</v>
      </c>
      <c r="BY633" s="27" t="s">
        <v>8</v>
      </c>
      <c r="BZ633" s="27" t="s">
        <v>7</v>
      </c>
      <c r="DE633" s="27" t="s">
        <v>8</v>
      </c>
      <c r="DX633" s="27" t="s">
        <v>7</v>
      </c>
      <c r="EF633" s="27" t="s">
        <v>7</v>
      </c>
      <c r="EH633" s="27" t="s">
        <v>7</v>
      </c>
      <c r="FN633" s="27" t="s">
        <v>7</v>
      </c>
      <c r="FU633" s="27" t="s">
        <v>8</v>
      </c>
      <c r="FV633" s="27" t="s">
        <v>7</v>
      </c>
      <c r="FY633" s="27" t="s">
        <v>8</v>
      </c>
      <c r="FZ633" s="27" t="s">
        <v>7</v>
      </c>
    </row>
    <row r="634" spans="1:186" x14ac:dyDescent="0.25">
      <c r="A634" s="7">
        <v>0.39426836073618904</v>
      </c>
      <c r="B634"/>
      <c r="C634"/>
      <c r="D634"/>
      <c r="E634"/>
      <c r="F634" s="27" t="s">
        <v>7</v>
      </c>
      <c r="O634" s="27" t="s">
        <v>8</v>
      </c>
      <c r="P634" s="27" t="s">
        <v>7</v>
      </c>
      <c r="Q634" s="27" t="s">
        <v>8</v>
      </c>
      <c r="V634" s="27" t="s">
        <v>7</v>
      </c>
      <c r="W634" s="27" t="s">
        <v>8</v>
      </c>
      <c r="X634" s="27" t="s">
        <v>7</v>
      </c>
      <c r="AI634" s="27" t="s">
        <v>8</v>
      </c>
      <c r="AK634" s="27" t="s">
        <v>8</v>
      </c>
      <c r="AL634" s="27" t="s">
        <v>7</v>
      </c>
      <c r="AM634" s="27" t="s">
        <v>8</v>
      </c>
      <c r="AP634" s="27" t="s">
        <v>7</v>
      </c>
      <c r="AQ634" s="27" t="s">
        <v>8</v>
      </c>
      <c r="AR634" s="27" t="s">
        <v>7</v>
      </c>
      <c r="AS634" s="27" t="s">
        <v>8</v>
      </c>
      <c r="BD634" s="27" t="s">
        <v>7</v>
      </c>
      <c r="BK634" s="27" t="s">
        <v>8</v>
      </c>
      <c r="BL634" s="27" t="s">
        <v>7</v>
      </c>
      <c r="BM634" s="27" t="s">
        <v>8</v>
      </c>
      <c r="BP634" s="27" t="s">
        <v>7</v>
      </c>
      <c r="BR634" s="27" t="s">
        <v>7</v>
      </c>
      <c r="BS634" s="27" t="s">
        <v>8</v>
      </c>
      <c r="BT634" s="27" t="s">
        <v>7</v>
      </c>
      <c r="BU634" s="27" t="s">
        <v>8</v>
      </c>
      <c r="BW634" s="27" t="s">
        <v>8</v>
      </c>
      <c r="BX634" s="27" t="s">
        <v>7</v>
      </c>
      <c r="BY634" s="27" t="s">
        <v>8</v>
      </c>
      <c r="BZ634" s="27" t="s">
        <v>7</v>
      </c>
      <c r="CE634" s="27" t="s">
        <v>8</v>
      </c>
      <c r="DE634" s="27" t="s">
        <v>8</v>
      </c>
      <c r="FN634" s="27" t="s">
        <v>7</v>
      </c>
      <c r="FU634" s="27" t="s">
        <v>8</v>
      </c>
      <c r="FV634" s="27" t="s">
        <v>7</v>
      </c>
      <c r="FY634" s="27" t="s">
        <v>8</v>
      </c>
      <c r="FZ634" s="27" t="s">
        <v>7</v>
      </c>
    </row>
    <row r="635" spans="1:186" x14ac:dyDescent="0.25">
      <c r="A635" s="7">
        <v>0.38653760856489122</v>
      </c>
      <c r="B635"/>
      <c r="C635"/>
      <c r="D635"/>
      <c r="E635"/>
      <c r="F635" s="27" t="s">
        <v>7</v>
      </c>
      <c r="O635" s="27" t="s">
        <v>8</v>
      </c>
      <c r="P635" s="27" t="s">
        <v>7</v>
      </c>
      <c r="V635" s="27" t="s">
        <v>7</v>
      </c>
      <c r="X635" s="27" t="s">
        <v>7</v>
      </c>
      <c r="AI635" s="27" t="s">
        <v>8</v>
      </c>
      <c r="AJ635" s="27" t="s">
        <v>7</v>
      </c>
      <c r="AK635" s="27" t="s">
        <v>8</v>
      </c>
      <c r="AL635" s="27" t="s">
        <v>7</v>
      </c>
      <c r="AM635" s="27" t="s">
        <v>8</v>
      </c>
      <c r="AP635" s="27" t="s">
        <v>7</v>
      </c>
      <c r="AQ635" s="27" t="s">
        <v>8</v>
      </c>
      <c r="AR635" s="27" t="s">
        <v>7</v>
      </c>
      <c r="AS635" s="27" t="s">
        <v>8</v>
      </c>
      <c r="BD635" s="27" t="s">
        <v>7</v>
      </c>
      <c r="BK635" s="27" t="s">
        <v>8</v>
      </c>
      <c r="BL635" s="27" t="s">
        <v>7</v>
      </c>
      <c r="BM635" s="27" t="s">
        <v>8</v>
      </c>
      <c r="BR635" s="27" t="s">
        <v>7</v>
      </c>
      <c r="BT635" s="27" t="s">
        <v>7</v>
      </c>
      <c r="BU635" s="27" t="s">
        <v>8</v>
      </c>
      <c r="BV635" s="27" t="s">
        <v>7</v>
      </c>
      <c r="BW635" s="27" t="s">
        <v>8</v>
      </c>
      <c r="BX635" s="27" t="s">
        <v>7</v>
      </c>
      <c r="BY635" s="27" t="s">
        <v>8</v>
      </c>
      <c r="BZ635" s="27" t="s">
        <v>7</v>
      </c>
      <c r="CC635" s="27" t="s">
        <v>8</v>
      </c>
      <c r="CE635" s="27" t="s">
        <v>8</v>
      </c>
      <c r="CF635" s="27" t="s">
        <v>7</v>
      </c>
      <c r="DE635" s="27" t="s">
        <v>8</v>
      </c>
      <c r="FN635" s="27" t="s">
        <v>7</v>
      </c>
      <c r="FU635" s="27" t="s">
        <v>8</v>
      </c>
      <c r="FV635" s="27" t="s">
        <v>7</v>
      </c>
      <c r="FY635" s="27" t="s">
        <v>8</v>
      </c>
      <c r="FZ635" s="27" t="s">
        <v>7</v>
      </c>
      <c r="GA635" s="27" t="s">
        <v>8</v>
      </c>
    </row>
    <row r="636" spans="1:186" x14ac:dyDescent="0.25">
      <c r="A636" s="7">
        <v>0.37895843976950117</v>
      </c>
      <c r="B636"/>
      <c r="C636"/>
      <c r="D636"/>
      <c r="E636"/>
      <c r="F636" s="27" t="s">
        <v>7</v>
      </c>
      <c r="O636" s="27" t="s">
        <v>8</v>
      </c>
      <c r="X636" s="27" t="s">
        <v>7</v>
      </c>
      <c r="AC636" s="27" t="s">
        <v>8</v>
      </c>
      <c r="AG636" s="27" t="s">
        <v>8</v>
      </c>
      <c r="AI636" s="27" t="s">
        <v>8</v>
      </c>
      <c r="AJ636" s="27" t="s">
        <v>7</v>
      </c>
      <c r="AK636" s="27" t="s">
        <v>8</v>
      </c>
      <c r="AL636" s="27" t="s">
        <v>7</v>
      </c>
      <c r="AM636" s="27" t="s">
        <v>8</v>
      </c>
      <c r="AP636" s="27" t="s">
        <v>7</v>
      </c>
      <c r="AQ636" s="27" t="s">
        <v>8</v>
      </c>
      <c r="AR636" s="27" t="s">
        <v>7</v>
      </c>
      <c r="AS636" s="27" t="s">
        <v>8</v>
      </c>
      <c r="BD636" s="27" t="s">
        <v>7</v>
      </c>
      <c r="BK636" s="27" t="s">
        <v>8</v>
      </c>
      <c r="BL636" s="27" t="s">
        <v>7</v>
      </c>
      <c r="BT636" s="27" t="s">
        <v>7</v>
      </c>
      <c r="BU636" s="27" t="s">
        <v>8</v>
      </c>
      <c r="BV636" s="27" t="s">
        <v>7</v>
      </c>
      <c r="BW636" s="27" t="s">
        <v>8</v>
      </c>
      <c r="BX636" s="27" t="s">
        <v>7</v>
      </c>
      <c r="BY636" s="27" t="s">
        <v>8</v>
      </c>
      <c r="BZ636" s="27" t="s">
        <v>7</v>
      </c>
      <c r="CA636" s="27" t="s">
        <v>8</v>
      </c>
      <c r="CC636" s="27" t="s">
        <v>8</v>
      </c>
      <c r="CD636" s="27" t="s">
        <v>7</v>
      </c>
      <c r="CE636" s="27" t="s">
        <v>8</v>
      </c>
      <c r="CF636" s="27" t="s">
        <v>7</v>
      </c>
      <c r="DE636" s="27" t="s">
        <v>8</v>
      </c>
      <c r="FN636" s="27" t="s">
        <v>7</v>
      </c>
      <c r="FU636" s="27" t="s">
        <v>8</v>
      </c>
      <c r="FV636" s="27" t="s">
        <v>7</v>
      </c>
      <c r="FY636" s="27" t="s">
        <v>8</v>
      </c>
      <c r="FZ636" s="27" t="s">
        <v>7</v>
      </c>
      <c r="GA636" s="27" t="s">
        <v>8</v>
      </c>
      <c r="GB636" s="27" t="s">
        <v>7</v>
      </c>
    </row>
    <row r="637" spans="1:186" x14ac:dyDescent="0.25">
      <c r="A637" s="7">
        <v>0.37152788212696197</v>
      </c>
      <c r="B637"/>
      <c r="C637"/>
      <c r="D637"/>
      <c r="E637"/>
      <c r="F637" s="27" t="s">
        <v>7</v>
      </c>
      <c r="O637" s="27" t="s">
        <v>8</v>
      </c>
      <c r="X637" s="27" t="s">
        <v>7</v>
      </c>
      <c r="AC637" s="27" t="s">
        <v>8</v>
      </c>
      <c r="AD637" s="27" t="s">
        <v>7</v>
      </c>
      <c r="AG637" s="27" t="s">
        <v>8</v>
      </c>
      <c r="AH637" s="27" t="s">
        <v>7</v>
      </c>
      <c r="AI637" s="27" t="s">
        <v>8</v>
      </c>
      <c r="AJ637" s="27" t="s">
        <v>7</v>
      </c>
      <c r="AK637" s="27" t="s">
        <v>8</v>
      </c>
      <c r="AL637" s="27" t="s">
        <v>7</v>
      </c>
      <c r="AP637" s="27" t="s">
        <v>7</v>
      </c>
      <c r="AQ637" s="27" t="s">
        <v>8</v>
      </c>
      <c r="AR637" s="27" t="s">
        <v>7</v>
      </c>
      <c r="AS637" s="27" t="s">
        <v>8</v>
      </c>
      <c r="BD637" s="27" t="s">
        <v>7</v>
      </c>
      <c r="BE637" s="27" t="s">
        <v>8</v>
      </c>
      <c r="BI637" s="27" t="s">
        <v>8</v>
      </c>
      <c r="BK637" s="27" t="s">
        <v>8</v>
      </c>
      <c r="BT637" s="27" t="s">
        <v>7</v>
      </c>
      <c r="BU637" s="27" t="s">
        <v>8</v>
      </c>
      <c r="BV637" s="27" t="s">
        <v>7</v>
      </c>
      <c r="BW637" s="27" t="s">
        <v>8</v>
      </c>
      <c r="BX637" s="27" t="s">
        <v>7</v>
      </c>
      <c r="BY637" s="27" t="s">
        <v>8</v>
      </c>
      <c r="BZ637" s="27" t="s">
        <v>7</v>
      </c>
      <c r="CA637" s="27" t="s">
        <v>8</v>
      </c>
      <c r="CB637" s="27" t="s">
        <v>7</v>
      </c>
      <c r="CC637" s="27" t="s">
        <v>8</v>
      </c>
      <c r="CD637" s="27" t="s">
        <v>7</v>
      </c>
      <c r="CE637" s="27" t="s">
        <v>8</v>
      </c>
      <c r="CF637" s="27" t="s">
        <v>7</v>
      </c>
      <c r="DE637" s="27" t="s">
        <v>8</v>
      </c>
      <c r="FN637" s="27" t="s">
        <v>7</v>
      </c>
      <c r="FU637" s="27" t="s">
        <v>8</v>
      </c>
      <c r="FV637" s="27" t="s">
        <v>7</v>
      </c>
      <c r="FY637" s="27" t="s">
        <v>8</v>
      </c>
      <c r="FZ637" s="27" t="s">
        <v>7</v>
      </c>
      <c r="GA637" s="27" t="s">
        <v>8</v>
      </c>
      <c r="GB637" s="27" t="s">
        <v>7</v>
      </c>
    </row>
    <row r="638" spans="1:186" x14ac:dyDescent="0.25">
      <c r="A638" s="7">
        <v>0.36424302169310002</v>
      </c>
      <c r="B638"/>
      <c r="C638"/>
      <c r="D638"/>
      <c r="E638"/>
      <c r="F638" s="27" t="s">
        <v>7</v>
      </c>
      <c r="O638" s="27" t="s">
        <v>8</v>
      </c>
      <c r="X638" s="27" t="s">
        <v>7</v>
      </c>
      <c r="AC638" s="27" t="s">
        <v>8</v>
      </c>
      <c r="AD638" s="27" t="s">
        <v>7</v>
      </c>
      <c r="AG638" s="27" t="s">
        <v>8</v>
      </c>
      <c r="AH638" s="27" t="s">
        <v>7</v>
      </c>
      <c r="AI638" s="27" t="s">
        <v>8</v>
      </c>
      <c r="AJ638" s="27" t="s">
        <v>7</v>
      </c>
      <c r="AK638" s="27" t="s">
        <v>8</v>
      </c>
      <c r="AP638" s="27" t="s">
        <v>7</v>
      </c>
      <c r="AQ638" s="27" t="s">
        <v>8</v>
      </c>
      <c r="AR638" s="27" t="s">
        <v>7</v>
      </c>
      <c r="AS638" s="27" t="s">
        <v>8</v>
      </c>
      <c r="BD638" s="27" t="s">
        <v>7</v>
      </c>
      <c r="BE638" s="27" t="s">
        <v>8</v>
      </c>
      <c r="BF638" s="27" t="s">
        <v>7</v>
      </c>
      <c r="BI638" s="27" t="s">
        <v>8</v>
      </c>
      <c r="BJ638" s="27" t="s">
        <v>7</v>
      </c>
      <c r="BK638" s="27" t="s">
        <v>8</v>
      </c>
      <c r="BT638" s="27" t="s">
        <v>7</v>
      </c>
      <c r="BU638" s="27" t="s">
        <v>8</v>
      </c>
      <c r="BV638" s="27" t="s">
        <v>7</v>
      </c>
      <c r="BW638" s="27" t="s">
        <v>8</v>
      </c>
      <c r="BX638" s="27" t="s">
        <v>7</v>
      </c>
      <c r="BY638" s="27" t="s">
        <v>8</v>
      </c>
      <c r="BZ638" s="27" t="s">
        <v>7</v>
      </c>
      <c r="CA638" s="27" t="s">
        <v>8</v>
      </c>
      <c r="CB638" s="27" t="s">
        <v>7</v>
      </c>
      <c r="CC638" s="27" t="s">
        <v>8</v>
      </c>
      <c r="CD638" s="27" t="s">
        <v>7</v>
      </c>
      <c r="CE638" s="27" t="s">
        <v>8</v>
      </c>
      <c r="CF638" s="27" t="s">
        <v>7</v>
      </c>
      <c r="CI638" s="27" t="s">
        <v>8</v>
      </c>
      <c r="DE638" s="27" t="s">
        <v>8</v>
      </c>
      <c r="FN638" s="27" t="s">
        <v>7</v>
      </c>
      <c r="FU638" s="27" t="s">
        <v>8</v>
      </c>
      <c r="FV638" s="27" t="s">
        <v>7</v>
      </c>
      <c r="FY638" s="27" t="s">
        <v>8</v>
      </c>
      <c r="FZ638" s="27" t="s">
        <v>7</v>
      </c>
      <c r="GA638" s="27" t="s">
        <v>8</v>
      </c>
      <c r="GB638" s="27" t="s">
        <v>7</v>
      </c>
      <c r="GC638" s="27" t="s">
        <v>8</v>
      </c>
    </row>
    <row r="639" spans="1:186" x14ac:dyDescent="0.25">
      <c r="A639" s="7">
        <v>0.35710100165990194</v>
      </c>
      <c r="B639"/>
      <c r="C639"/>
      <c r="D639"/>
      <c r="E639"/>
      <c r="F639" s="27" t="s">
        <v>7</v>
      </c>
      <c r="O639" s="27" t="s">
        <v>8</v>
      </c>
      <c r="X639" s="27" t="s">
        <v>7</v>
      </c>
      <c r="Y639" s="27" t="s">
        <v>8</v>
      </c>
      <c r="AC639" s="27" t="s">
        <v>8</v>
      </c>
      <c r="AD639" s="27" t="s">
        <v>7</v>
      </c>
      <c r="AE639" s="27" t="s">
        <v>8</v>
      </c>
      <c r="AG639" s="27" t="s">
        <v>8</v>
      </c>
      <c r="AH639" s="27" t="s">
        <v>7</v>
      </c>
      <c r="AI639" s="27" t="s">
        <v>8</v>
      </c>
      <c r="AJ639" s="27" t="s">
        <v>7</v>
      </c>
      <c r="AK639" s="27" t="s">
        <v>8</v>
      </c>
      <c r="AP639" s="27" t="s">
        <v>7</v>
      </c>
      <c r="AR639" s="27" t="s">
        <v>7</v>
      </c>
      <c r="AS639" s="27" t="s">
        <v>8</v>
      </c>
      <c r="BD639" s="27" t="s">
        <v>7</v>
      </c>
      <c r="BE639" s="27" t="s">
        <v>8</v>
      </c>
      <c r="BF639" s="27" t="s">
        <v>7</v>
      </c>
      <c r="BI639" s="27" t="s">
        <v>8</v>
      </c>
      <c r="BJ639" s="27" t="s">
        <v>7</v>
      </c>
      <c r="BK639" s="27" t="s">
        <v>8</v>
      </c>
      <c r="BT639" s="27" t="s">
        <v>7</v>
      </c>
      <c r="BU639" s="27" t="s">
        <v>8</v>
      </c>
      <c r="BV639" s="27" t="s">
        <v>7</v>
      </c>
      <c r="BW639" s="27" t="s">
        <v>8</v>
      </c>
      <c r="BX639" s="27" t="s">
        <v>7</v>
      </c>
      <c r="BY639" s="27" t="s">
        <v>8</v>
      </c>
      <c r="BZ639" s="27" t="s">
        <v>7</v>
      </c>
      <c r="CA639" s="27" t="s">
        <v>8</v>
      </c>
      <c r="CB639" s="27" t="s">
        <v>7</v>
      </c>
      <c r="CC639" s="27" t="s">
        <v>8</v>
      </c>
      <c r="CD639" s="27" t="s">
        <v>7</v>
      </c>
      <c r="CE639" s="27" t="s">
        <v>8</v>
      </c>
      <c r="CF639" s="27" t="s">
        <v>7</v>
      </c>
      <c r="CI639" s="27" t="s">
        <v>8</v>
      </c>
      <c r="CJ639" s="27" t="s">
        <v>7</v>
      </c>
      <c r="DE639" s="27" t="s">
        <v>8</v>
      </c>
      <c r="FN639" s="27" t="s">
        <v>7</v>
      </c>
      <c r="FU639" s="27" t="s">
        <v>8</v>
      </c>
      <c r="FV639" s="27" t="s">
        <v>7</v>
      </c>
      <c r="FY639" s="27" t="s">
        <v>8</v>
      </c>
      <c r="FZ639" s="27" t="s">
        <v>7</v>
      </c>
      <c r="GA639" s="27" t="s">
        <v>8</v>
      </c>
      <c r="GB639" s="27" t="s">
        <v>7</v>
      </c>
      <c r="GC639" s="27" t="s">
        <v>8</v>
      </c>
      <c r="GD639" s="27" t="s">
        <v>7</v>
      </c>
    </row>
    <row r="640" spans="1:186" x14ac:dyDescent="0.25">
      <c r="A640" s="7">
        <v>0.35009902123519804</v>
      </c>
      <c r="B640"/>
      <c r="C640"/>
      <c r="D640"/>
      <c r="E640"/>
      <c r="F640" s="27" t="s">
        <v>7</v>
      </c>
      <c r="O640" s="27" t="s">
        <v>8</v>
      </c>
      <c r="X640" s="27" t="s">
        <v>7</v>
      </c>
      <c r="Y640" s="27" t="s">
        <v>8</v>
      </c>
      <c r="Z640" s="27" t="s">
        <v>7</v>
      </c>
      <c r="AC640" s="27" t="s">
        <v>8</v>
      </c>
      <c r="AD640" s="27" t="s">
        <v>7</v>
      </c>
      <c r="AE640" s="27" t="s">
        <v>8</v>
      </c>
      <c r="AF640" s="27" t="s">
        <v>7</v>
      </c>
      <c r="AG640" s="27" t="s">
        <v>8</v>
      </c>
      <c r="AH640" s="27" t="s">
        <v>7</v>
      </c>
      <c r="AI640" s="27" t="s">
        <v>8</v>
      </c>
      <c r="AJ640" s="27" t="s">
        <v>7</v>
      </c>
      <c r="AK640" s="27" t="s">
        <v>8</v>
      </c>
      <c r="AR640" s="27" t="s">
        <v>7</v>
      </c>
      <c r="AS640" s="27" t="s">
        <v>8</v>
      </c>
      <c r="BD640" s="27" t="s">
        <v>7</v>
      </c>
      <c r="BE640" s="27" t="s">
        <v>8</v>
      </c>
      <c r="BF640" s="27" t="s">
        <v>7</v>
      </c>
      <c r="BI640" s="27" t="s">
        <v>8</v>
      </c>
      <c r="BJ640" s="27" t="s">
        <v>7</v>
      </c>
      <c r="BK640" s="27" t="s">
        <v>8</v>
      </c>
      <c r="BT640" s="27" t="s">
        <v>7</v>
      </c>
      <c r="BV640" s="27" t="s">
        <v>7</v>
      </c>
      <c r="BW640" s="27" t="s">
        <v>8</v>
      </c>
      <c r="BX640" s="27" t="s">
        <v>7</v>
      </c>
      <c r="BY640" s="27" t="s">
        <v>8</v>
      </c>
      <c r="BZ640" s="27" t="s">
        <v>7</v>
      </c>
      <c r="CA640" s="27" t="s">
        <v>8</v>
      </c>
      <c r="CB640" s="27" t="s">
        <v>7</v>
      </c>
      <c r="CC640" s="27" t="s">
        <v>8</v>
      </c>
      <c r="CD640" s="27" t="s">
        <v>7</v>
      </c>
      <c r="CE640" s="27" t="s">
        <v>8</v>
      </c>
      <c r="CF640" s="27" t="s">
        <v>7</v>
      </c>
      <c r="CI640" s="27" t="s">
        <v>8</v>
      </c>
      <c r="CJ640" s="27" t="s">
        <v>7</v>
      </c>
      <c r="DE640" s="27" t="s">
        <v>8</v>
      </c>
      <c r="FN640" s="27" t="s">
        <v>7</v>
      </c>
      <c r="FU640" s="27" t="s">
        <v>8</v>
      </c>
      <c r="FV640" s="27" t="s">
        <v>7</v>
      </c>
      <c r="FW640" s="27" t="s">
        <v>8</v>
      </c>
      <c r="FY640" s="27" t="s">
        <v>8</v>
      </c>
      <c r="FZ640" s="27" t="s">
        <v>7</v>
      </c>
      <c r="GA640" s="27" t="s">
        <v>8</v>
      </c>
      <c r="GB640" s="27" t="s">
        <v>7</v>
      </c>
      <c r="GC640" s="27" t="s">
        <v>8</v>
      </c>
      <c r="GD640" s="27" t="s">
        <v>7</v>
      </c>
    </row>
    <row r="641" spans="1:198" x14ac:dyDescent="0.25">
      <c r="A641" s="7">
        <v>0.34323433454431179</v>
      </c>
      <c r="B641"/>
      <c r="C641"/>
      <c r="D641"/>
      <c r="E641"/>
      <c r="F641" s="27" t="s">
        <v>7</v>
      </c>
      <c r="O641" s="27" t="s">
        <v>8</v>
      </c>
      <c r="X641" s="27" t="s">
        <v>7</v>
      </c>
      <c r="Y641" s="27" t="s">
        <v>8</v>
      </c>
      <c r="Z641" s="27" t="s">
        <v>7</v>
      </c>
      <c r="AC641" s="27" t="s">
        <v>8</v>
      </c>
      <c r="AD641" s="27" t="s">
        <v>7</v>
      </c>
      <c r="AE641" s="27" t="s">
        <v>8</v>
      </c>
      <c r="AF641" s="27" t="s">
        <v>7</v>
      </c>
      <c r="AG641" s="27" t="s">
        <v>8</v>
      </c>
      <c r="AH641" s="27" t="s">
        <v>7</v>
      </c>
      <c r="AJ641" s="27" t="s">
        <v>7</v>
      </c>
      <c r="AK641" s="27" t="s">
        <v>8</v>
      </c>
      <c r="AR641" s="27" t="s">
        <v>7</v>
      </c>
      <c r="BD641" s="27" t="s">
        <v>7</v>
      </c>
      <c r="BE641" s="27" t="s">
        <v>8</v>
      </c>
      <c r="BF641" s="27" t="s">
        <v>7</v>
      </c>
      <c r="BG641" s="27" t="s">
        <v>8</v>
      </c>
      <c r="BI641" s="27" t="s">
        <v>8</v>
      </c>
      <c r="BJ641" s="27" t="s">
        <v>7</v>
      </c>
      <c r="BK641" s="27" t="s">
        <v>8</v>
      </c>
      <c r="BV641" s="27" t="s">
        <v>7</v>
      </c>
      <c r="BW641" s="27" t="s">
        <v>8</v>
      </c>
      <c r="BX641" s="27" t="s">
        <v>7</v>
      </c>
      <c r="BY641" s="27" t="s">
        <v>8</v>
      </c>
      <c r="BZ641" s="27" t="s">
        <v>7</v>
      </c>
      <c r="CB641" s="27" t="s">
        <v>7</v>
      </c>
      <c r="CC641" s="27" t="s">
        <v>8</v>
      </c>
      <c r="CD641" s="27" t="s">
        <v>7</v>
      </c>
      <c r="CE641" s="27" t="s">
        <v>8</v>
      </c>
      <c r="CF641" s="27" t="s">
        <v>7</v>
      </c>
      <c r="CG641" s="27" t="s">
        <v>8</v>
      </c>
      <c r="CI641" s="27" t="s">
        <v>8</v>
      </c>
      <c r="CJ641" s="27" t="s">
        <v>7</v>
      </c>
      <c r="DE641" s="27" t="s">
        <v>8</v>
      </c>
      <c r="FN641" s="27" t="s">
        <v>7</v>
      </c>
      <c r="FO641" s="27" t="s">
        <v>8</v>
      </c>
      <c r="FQ641" s="27" t="s">
        <v>8</v>
      </c>
      <c r="FU641" s="27" t="s">
        <v>8</v>
      </c>
      <c r="FV641" s="27" t="s">
        <v>7</v>
      </c>
      <c r="FW641" s="27" t="s">
        <v>8</v>
      </c>
      <c r="FX641" s="27" t="s">
        <v>7</v>
      </c>
      <c r="FY641" s="27" t="s">
        <v>8</v>
      </c>
      <c r="FZ641" s="27" t="s">
        <v>7</v>
      </c>
      <c r="GB641" s="27" t="s">
        <v>7</v>
      </c>
      <c r="GC641" s="27" t="s">
        <v>8</v>
      </c>
      <c r="GD641" s="27" t="s">
        <v>7</v>
      </c>
    </row>
    <row r="642" spans="1:198" x14ac:dyDescent="0.25">
      <c r="A642" s="7">
        <v>0.33650424955324681</v>
      </c>
      <c r="B642"/>
      <c r="C642"/>
      <c r="D642"/>
      <c r="E642"/>
      <c r="F642" s="27" t="s">
        <v>7</v>
      </c>
      <c r="O642" s="27" t="s">
        <v>8</v>
      </c>
      <c r="X642" s="27" t="s">
        <v>7</v>
      </c>
      <c r="Y642" s="27" t="s">
        <v>8</v>
      </c>
      <c r="Z642" s="27" t="s">
        <v>7</v>
      </c>
      <c r="AC642" s="27" t="s">
        <v>8</v>
      </c>
      <c r="AD642" s="27" t="s">
        <v>7</v>
      </c>
      <c r="AE642" s="27" t="s">
        <v>8</v>
      </c>
      <c r="AF642" s="27" t="s">
        <v>7</v>
      </c>
      <c r="AG642" s="27" t="s">
        <v>8</v>
      </c>
      <c r="AJ642" s="27" t="s">
        <v>7</v>
      </c>
      <c r="BD642" s="27" t="s">
        <v>7</v>
      </c>
      <c r="BE642" s="27" t="s">
        <v>8</v>
      </c>
      <c r="BF642" s="27" t="s">
        <v>7</v>
      </c>
      <c r="BG642" s="27" t="s">
        <v>8</v>
      </c>
      <c r="BH642" s="27" t="s">
        <v>7</v>
      </c>
      <c r="BI642" s="27" t="s">
        <v>8</v>
      </c>
      <c r="BJ642" s="27" t="s">
        <v>7</v>
      </c>
      <c r="BV642" s="27" t="s">
        <v>7</v>
      </c>
      <c r="BW642" s="27" t="s">
        <v>8</v>
      </c>
      <c r="BX642" s="27" t="s">
        <v>7</v>
      </c>
      <c r="BY642" s="27" t="s">
        <v>8</v>
      </c>
      <c r="CB642" s="27" t="s">
        <v>7</v>
      </c>
      <c r="CC642" s="27" t="s">
        <v>8</v>
      </c>
      <c r="CD642" s="27" t="s">
        <v>7</v>
      </c>
      <c r="CE642" s="27" t="s">
        <v>8</v>
      </c>
      <c r="CF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DE642" s="27" t="s">
        <v>8</v>
      </c>
      <c r="FN642" s="27" t="s">
        <v>7</v>
      </c>
      <c r="FO642" s="27" t="s">
        <v>8</v>
      </c>
      <c r="FP642" s="27" t="s">
        <v>7</v>
      </c>
      <c r="FQ642" s="27" t="s">
        <v>8</v>
      </c>
      <c r="FR642" s="27" t="s">
        <v>7</v>
      </c>
      <c r="FU642" s="27" t="s">
        <v>8</v>
      </c>
      <c r="FV642" s="27" t="s">
        <v>7</v>
      </c>
      <c r="FW642" s="27" t="s">
        <v>8</v>
      </c>
      <c r="FX642" s="27" t="s">
        <v>7</v>
      </c>
      <c r="FY642" s="27" t="s">
        <v>8</v>
      </c>
      <c r="GB642" s="27" t="s">
        <v>7</v>
      </c>
      <c r="GC642" s="27" t="s">
        <v>8</v>
      </c>
      <c r="GD642" s="27" t="s">
        <v>7</v>
      </c>
    </row>
    <row r="643" spans="1:198" x14ac:dyDescent="0.25">
      <c r="A643" s="7">
        <v>0.3299061270129871</v>
      </c>
      <c r="B643"/>
      <c r="C643"/>
      <c r="D643"/>
      <c r="E643"/>
      <c r="F643" s="27" t="s">
        <v>7</v>
      </c>
      <c r="O643" s="27" t="s">
        <v>8</v>
      </c>
      <c r="X643" s="27" t="s">
        <v>7</v>
      </c>
      <c r="Y643" s="27" t="s">
        <v>8</v>
      </c>
      <c r="Z643" s="27" t="s">
        <v>7</v>
      </c>
      <c r="AC643" s="27" t="s">
        <v>8</v>
      </c>
      <c r="AD643" s="27" t="s">
        <v>7</v>
      </c>
      <c r="AE643" s="27" t="s">
        <v>8</v>
      </c>
      <c r="AF643" s="27" t="s">
        <v>7</v>
      </c>
      <c r="AG643" s="27" t="s">
        <v>8</v>
      </c>
      <c r="BD643" s="27" t="s">
        <v>7</v>
      </c>
      <c r="BE643" s="27" t="s">
        <v>8</v>
      </c>
      <c r="BF643" s="27" t="s">
        <v>7</v>
      </c>
      <c r="BG643" s="27" t="s">
        <v>8</v>
      </c>
      <c r="BH643" s="27" t="s">
        <v>7</v>
      </c>
      <c r="BI643" s="27" t="s">
        <v>8</v>
      </c>
      <c r="BV643" s="27" t="s">
        <v>7</v>
      </c>
      <c r="BW643" s="27" t="s">
        <v>8</v>
      </c>
      <c r="BX643" s="27" t="s">
        <v>7</v>
      </c>
      <c r="BY643" s="27" t="s">
        <v>8</v>
      </c>
      <c r="CB643" s="27" t="s">
        <v>7</v>
      </c>
      <c r="CC643" s="27" t="s">
        <v>8</v>
      </c>
      <c r="CD643" s="27" t="s">
        <v>7</v>
      </c>
      <c r="CE643" s="27" t="s">
        <v>8</v>
      </c>
      <c r="CF643" s="27" t="s">
        <v>7</v>
      </c>
      <c r="CG643" s="27" t="s">
        <v>8</v>
      </c>
      <c r="CH643" s="27" t="s">
        <v>7</v>
      </c>
      <c r="CI643" s="27" t="s">
        <v>8</v>
      </c>
      <c r="CJ643" s="27" t="s">
        <v>7</v>
      </c>
      <c r="DE643" s="27" t="s">
        <v>8</v>
      </c>
      <c r="FN643" s="27" t="s">
        <v>7</v>
      </c>
      <c r="FO643" s="27" t="s">
        <v>8</v>
      </c>
      <c r="FP643" s="27" t="s">
        <v>7</v>
      </c>
      <c r="FQ643" s="27" t="s">
        <v>8</v>
      </c>
      <c r="FR643" s="27" t="s">
        <v>7</v>
      </c>
      <c r="FU643" s="27" t="s">
        <v>8</v>
      </c>
      <c r="FV643" s="27" t="s">
        <v>7</v>
      </c>
      <c r="FW643" s="27" t="s">
        <v>8</v>
      </c>
      <c r="FX643" s="27" t="s">
        <v>7</v>
      </c>
      <c r="FY643" s="27" t="s">
        <v>8</v>
      </c>
      <c r="GB643" s="27" t="s">
        <v>7</v>
      </c>
      <c r="GC643" s="27" t="s">
        <v>8</v>
      </c>
      <c r="GD643" s="27" t="s">
        <v>7</v>
      </c>
      <c r="GE643" s="27" t="s">
        <v>8</v>
      </c>
      <c r="GG643" s="27" t="s">
        <v>8</v>
      </c>
    </row>
    <row r="644" spans="1:198" x14ac:dyDescent="0.25">
      <c r="A644" s="7">
        <v>0.32343737942449713</v>
      </c>
      <c r="B644"/>
      <c r="C644"/>
      <c r="D644"/>
      <c r="E644"/>
      <c r="F644" s="27" t="s">
        <v>7</v>
      </c>
      <c r="O644" s="27" t="s">
        <v>8</v>
      </c>
      <c r="X644" s="27" t="s">
        <v>7</v>
      </c>
      <c r="Y644" s="27" t="s">
        <v>8</v>
      </c>
      <c r="Z644" s="27" t="s">
        <v>7</v>
      </c>
      <c r="AC644" s="27" t="s">
        <v>8</v>
      </c>
      <c r="AD644" s="27" t="s">
        <v>7</v>
      </c>
      <c r="AE644" s="27" t="s">
        <v>8</v>
      </c>
      <c r="AF644" s="27" t="s">
        <v>7</v>
      </c>
      <c r="AG644" s="27" t="s">
        <v>8</v>
      </c>
      <c r="BD644" s="27" t="s">
        <v>7</v>
      </c>
      <c r="BE644" s="27" t="s">
        <v>8</v>
      </c>
      <c r="BF644" s="27" t="s">
        <v>7</v>
      </c>
      <c r="BG644" s="27" t="s">
        <v>8</v>
      </c>
      <c r="BH644" s="27" t="s">
        <v>7</v>
      </c>
      <c r="BI644" s="27" t="s">
        <v>8</v>
      </c>
      <c r="BV644" s="27" t="s">
        <v>7</v>
      </c>
      <c r="BW644" s="27" t="s">
        <v>8</v>
      </c>
      <c r="BX644" s="27" t="s">
        <v>7</v>
      </c>
      <c r="BY644" s="27" t="s">
        <v>8</v>
      </c>
      <c r="CB644" s="27" t="s">
        <v>7</v>
      </c>
      <c r="CC644" s="27" t="s">
        <v>8</v>
      </c>
      <c r="CD644" s="27" t="s">
        <v>7</v>
      </c>
      <c r="CE644" s="27" t="s">
        <v>8</v>
      </c>
      <c r="CF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DE644" s="27" t="s">
        <v>8</v>
      </c>
      <c r="FN644" s="27" t="s">
        <v>7</v>
      </c>
      <c r="FO644" s="27" t="s">
        <v>8</v>
      </c>
      <c r="FP644" s="27" t="s">
        <v>7</v>
      </c>
      <c r="FQ644" s="27" t="s">
        <v>8</v>
      </c>
      <c r="FR644" s="27" t="s">
        <v>7</v>
      </c>
      <c r="FU644" s="27" t="s">
        <v>8</v>
      </c>
      <c r="FV644" s="27" t="s">
        <v>7</v>
      </c>
      <c r="FX644" s="27" t="s">
        <v>7</v>
      </c>
      <c r="FY644" s="27" t="s">
        <v>8</v>
      </c>
      <c r="GB644" s="27" t="s">
        <v>7</v>
      </c>
      <c r="GC644" s="27" t="s">
        <v>8</v>
      </c>
      <c r="GD644" s="27" t="s">
        <v>7</v>
      </c>
      <c r="GE644" s="27" t="s">
        <v>8</v>
      </c>
      <c r="GF644" s="27" t="s">
        <v>7</v>
      </c>
      <c r="GG644" s="27" t="s">
        <v>8</v>
      </c>
      <c r="GH644" s="27" t="s">
        <v>7</v>
      </c>
    </row>
    <row r="645" spans="1:198" x14ac:dyDescent="0.25">
      <c r="A645" s="7">
        <v>0.31709547002401678</v>
      </c>
      <c r="B645"/>
      <c r="C645"/>
      <c r="D645"/>
      <c r="E645"/>
      <c r="F645" s="27" t="s">
        <v>7</v>
      </c>
      <c r="O645" s="27" t="s">
        <v>8</v>
      </c>
      <c r="X645" s="27" t="s">
        <v>7</v>
      </c>
      <c r="Y645" s="27" t="s">
        <v>8</v>
      </c>
      <c r="Z645" s="27" t="s">
        <v>7</v>
      </c>
      <c r="AC645" s="27" t="s">
        <v>8</v>
      </c>
      <c r="AD645" s="27" t="s">
        <v>7</v>
      </c>
      <c r="AE645" s="27" t="s">
        <v>8</v>
      </c>
      <c r="AF645" s="27" t="s">
        <v>7</v>
      </c>
      <c r="AG645" s="27" t="s">
        <v>8</v>
      </c>
      <c r="BD645" s="27" t="s">
        <v>7</v>
      </c>
      <c r="BE645" s="27" t="s">
        <v>8</v>
      </c>
      <c r="BF645" s="27" t="s">
        <v>7</v>
      </c>
      <c r="BG645" s="27" t="s">
        <v>8</v>
      </c>
      <c r="BH645" s="27" t="s">
        <v>7</v>
      </c>
      <c r="BI645" s="27" t="s">
        <v>8</v>
      </c>
      <c r="BV645" s="27" t="s">
        <v>7</v>
      </c>
      <c r="BW645" s="27" t="s">
        <v>8</v>
      </c>
      <c r="BX645" s="27" t="s">
        <v>7</v>
      </c>
      <c r="BY645" s="27" t="s">
        <v>8</v>
      </c>
      <c r="CB645" s="27" t="s">
        <v>7</v>
      </c>
      <c r="CC645" s="27" t="s">
        <v>8</v>
      </c>
      <c r="CD645" s="27" t="s">
        <v>7</v>
      </c>
      <c r="CF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DE645" s="27" t="s">
        <v>8</v>
      </c>
      <c r="FN645" s="27" t="s">
        <v>7</v>
      </c>
      <c r="FO645" s="27" t="s">
        <v>8</v>
      </c>
      <c r="FP645" s="27" t="s">
        <v>7</v>
      </c>
      <c r="FQ645" s="27" t="s">
        <v>8</v>
      </c>
      <c r="FR645" s="27" t="s">
        <v>7</v>
      </c>
      <c r="FU645" s="27" t="s">
        <v>8</v>
      </c>
      <c r="FX645" s="27" t="s">
        <v>7</v>
      </c>
      <c r="FY645" s="27" t="s">
        <v>8</v>
      </c>
      <c r="GB645" s="27" t="s">
        <v>7</v>
      </c>
      <c r="GD645" s="27" t="s">
        <v>7</v>
      </c>
      <c r="GE645" s="27" t="s">
        <v>8</v>
      </c>
      <c r="GF645" s="27" t="s">
        <v>7</v>
      </c>
      <c r="GG645" s="27" t="s">
        <v>8</v>
      </c>
      <c r="GH645" s="27" t="s">
        <v>7</v>
      </c>
      <c r="GO645" s="27" t="s">
        <v>8</v>
      </c>
    </row>
    <row r="646" spans="1:198" x14ac:dyDescent="0.25">
      <c r="A646" s="7">
        <v>0.31087791178825175</v>
      </c>
      <c r="B646"/>
      <c r="C646"/>
      <c r="D646"/>
      <c r="E646"/>
      <c r="F646" s="27" t="s">
        <v>7</v>
      </c>
      <c r="O646" s="27" t="s">
        <v>8</v>
      </c>
      <c r="X646" s="27" t="s">
        <v>7</v>
      </c>
      <c r="Y646" s="27" t="s">
        <v>8</v>
      </c>
      <c r="Z646" s="27" t="s">
        <v>7</v>
      </c>
      <c r="AA646" s="27" t="s">
        <v>8</v>
      </c>
      <c r="AC646" s="27" t="s">
        <v>8</v>
      </c>
      <c r="AD646" s="27" t="s">
        <v>7</v>
      </c>
      <c r="AF646" s="27" t="s">
        <v>7</v>
      </c>
      <c r="AG646" s="27" t="s">
        <v>8</v>
      </c>
      <c r="BD646" s="27" t="s">
        <v>7</v>
      </c>
      <c r="BE646" s="27" t="s">
        <v>8</v>
      </c>
      <c r="BF646" s="27" t="s">
        <v>7</v>
      </c>
      <c r="BG646" s="27" t="s">
        <v>8</v>
      </c>
      <c r="BH646" s="27" t="s">
        <v>7</v>
      </c>
      <c r="BI646" s="27" t="s">
        <v>8</v>
      </c>
      <c r="BV646" s="27" t="s">
        <v>7</v>
      </c>
      <c r="BW646" s="27" t="s">
        <v>8</v>
      </c>
      <c r="BX646" s="27" t="s">
        <v>7</v>
      </c>
      <c r="BY646" s="27" t="s">
        <v>8</v>
      </c>
      <c r="CB646" s="27" t="s">
        <v>7</v>
      </c>
      <c r="CC646" s="27" t="s">
        <v>8</v>
      </c>
      <c r="CF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DE646" s="27" t="s">
        <v>8</v>
      </c>
      <c r="FN646" s="27" t="s">
        <v>7</v>
      </c>
      <c r="FO646" s="27" t="s">
        <v>8</v>
      </c>
      <c r="FP646" s="27" t="s">
        <v>7</v>
      </c>
      <c r="FQ646" s="27" t="s">
        <v>8</v>
      </c>
      <c r="FR646" s="27" t="s">
        <v>7</v>
      </c>
      <c r="FU646" s="27" t="s">
        <v>8</v>
      </c>
      <c r="FX646" s="27" t="s">
        <v>7</v>
      </c>
      <c r="FY646" s="27" t="s">
        <v>8</v>
      </c>
      <c r="GD646" s="27" t="s">
        <v>7</v>
      </c>
      <c r="GF646" s="27" t="s">
        <v>7</v>
      </c>
      <c r="GH646" s="27" t="s">
        <v>7</v>
      </c>
      <c r="GO646" s="27" t="s">
        <v>8</v>
      </c>
      <c r="GP646" s="27" t="s">
        <v>7</v>
      </c>
    </row>
    <row r="647" spans="1:198" x14ac:dyDescent="0.25">
      <c r="A647" s="7">
        <v>0.30478226645907036</v>
      </c>
      <c r="B647"/>
      <c r="C647"/>
      <c r="D647"/>
      <c r="E647"/>
      <c r="F647" s="27" t="s">
        <v>7</v>
      </c>
      <c r="O647" s="27" t="s">
        <v>8</v>
      </c>
      <c r="X647" s="27" t="s">
        <v>7</v>
      </c>
      <c r="Y647" s="27" t="s">
        <v>8</v>
      </c>
      <c r="Z647" s="27" t="s">
        <v>7</v>
      </c>
      <c r="AA647" s="27" t="s">
        <v>8</v>
      </c>
      <c r="AB647" s="27" t="s">
        <v>7</v>
      </c>
      <c r="AC647" s="27" t="s">
        <v>8</v>
      </c>
      <c r="AF647" s="27" t="s">
        <v>7</v>
      </c>
      <c r="AG647" s="27" t="s">
        <v>8</v>
      </c>
      <c r="BD647" s="27" t="s">
        <v>7</v>
      </c>
      <c r="BF647" s="27" t="s">
        <v>7</v>
      </c>
      <c r="BG647" s="27" t="s">
        <v>8</v>
      </c>
      <c r="BH647" s="27" t="s">
        <v>7</v>
      </c>
      <c r="BI647" s="27" t="s">
        <v>8</v>
      </c>
      <c r="BV647" s="27" t="s">
        <v>7</v>
      </c>
      <c r="BX647" s="27" t="s">
        <v>7</v>
      </c>
      <c r="BY647" s="27" t="s">
        <v>8</v>
      </c>
      <c r="CB647" s="27" t="s">
        <v>7</v>
      </c>
      <c r="CC647" s="27" t="s">
        <v>8</v>
      </c>
      <c r="CF647" s="27" t="s">
        <v>7</v>
      </c>
      <c r="CG647" s="27" t="s">
        <v>8</v>
      </c>
      <c r="CH647" s="27" t="s">
        <v>7</v>
      </c>
      <c r="CI647" s="27" t="s">
        <v>8</v>
      </c>
      <c r="CJ647" s="27" t="s">
        <v>7</v>
      </c>
      <c r="DE647" s="27" t="s">
        <v>8</v>
      </c>
      <c r="FN647" s="27" t="s">
        <v>7</v>
      </c>
      <c r="FO647" s="27" t="s">
        <v>8</v>
      </c>
      <c r="FP647" s="27" t="s">
        <v>7</v>
      </c>
      <c r="FQ647" s="27" t="s">
        <v>8</v>
      </c>
      <c r="FR647" s="27" t="s">
        <v>7</v>
      </c>
      <c r="FU647" s="27" t="s">
        <v>8</v>
      </c>
      <c r="FX647" s="27" t="s">
        <v>7</v>
      </c>
      <c r="GH647" s="27" t="s">
        <v>7</v>
      </c>
      <c r="GO647" s="27" t="s">
        <v>8</v>
      </c>
      <c r="GP647" s="27" t="s">
        <v>7</v>
      </c>
    </row>
    <row r="648" spans="1:198" x14ac:dyDescent="0.25">
      <c r="A648" s="7">
        <v>0.29880614358732388</v>
      </c>
      <c r="B648"/>
      <c r="C648"/>
      <c r="D648"/>
      <c r="E648"/>
      <c r="F648" s="27" t="s">
        <v>7</v>
      </c>
      <c r="O648" s="27" t="s">
        <v>8</v>
      </c>
      <c r="X648" s="27" t="s">
        <v>7</v>
      </c>
      <c r="Z648" s="27" t="s">
        <v>7</v>
      </c>
      <c r="AA648" s="27" t="s">
        <v>8</v>
      </c>
      <c r="AB648" s="27" t="s">
        <v>7</v>
      </c>
      <c r="AC648" s="27" t="s">
        <v>8</v>
      </c>
      <c r="AF648" s="27" t="s">
        <v>7</v>
      </c>
      <c r="BF648" s="27" t="s">
        <v>7</v>
      </c>
      <c r="BG648" s="27" t="s">
        <v>8</v>
      </c>
      <c r="BH648" s="27" t="s">
        <v>7</v>
      </c>
      <c r="BX648" s="27" t="s">
        <v>7</v>
      </c>
      <c r="BY648" s="27" t="s">
        <v>8</v>
      </c>
      <c r="CB648" s="27" t="s">
        <v>7</v>
      </c>
      <c r="CC648" s="27" t="s">
        <v>8</v>
      </c>
      <c r="CF648" s="27" t="s">
        <v>7</v>
      </c>
      <c r="CG648" s="27" t="s">
        <v>8</v>
      </c>
      <c r="CH648" s="27" t="s">
        <v>7</v>
      </c>
      <c r="CI648" s="27" t="s">
        <v>8</v>
      </c>
      <c r="CJ648" s="27" t="s">
        <v>7</v>
      </c>
      <c r="CK648" s="27" t="s">
        <v>8</v>
      </c>
      <c r="DE648" s="27" t="s">
        <v>8</v>
      </c>
      <c r="FN648" s="27" t="s">
        <v>7</v>
      </c>
      <c r="FO648" s="27" t="s">
        <v>8</v>
      </c>
      <c r="FP648" s="27" t="s">
        <v>7</v>
      </c>
      <c r="FQ648" s="27" t="s">
        <v>8</v>
      </c>
      <c r="FR648" s="27" t="s">
        <v>7</v>
      </c>
      <c r="FS648" s="27" t="s">
        <v>8</v>
      </c>
      <c r="FU648" s="27" t="s">
        <v>8</v>
      </c>
      <c r="GH648" s="27" t="s">
        <v>7</v>
      </c>
      <c r="GO648" s="27" t="s">
        <v>8</v>
      </c>
      <c r="GP648" s="27" t="s">
        <v>7</v>
      </c>
    </row>
    <row r="649" spans="1:198" x14ac:dyDescent="0.25">
      <c r="A649" s="7">
        <v>0.2929471995954156</v>
      </c>
      <c r="B649"/>
      <c r="C649"/>
      <c r="D649"/>
      <c r="E649"/>
      <c r="F649" s="27" t="s">
        <v>7</v>
      </c>
      <c r="M649" s="27" t="s">
        <v>8</v>
      </c>
      <c r="O649" s="27" t="s">
        <v>8</v>
      </c>
      <c r="Z649" s="27" t="s">
        <v>7</v>
      </c>
      <c r="AA649" s="27" t="s">
        <v>8</v>
      </c>
      <c r="AB649" s="27" t="s">
        <v>7</v>
      </c>
      <c r="AC649" s="27" t="s">
        <v>8</v>
      </c>
      <c r="BF649" s="27" t="s">
        <v>7</v>
      </c>
      <c r="BG649" s="27" t="s">
        <v>8</v>
      </c>
      <c r="BX649" s="27" t="s">
        <v>7</v>
      </c>
      <c r="BY649" s="27" t="s">
        <v>8</v>
      </c>
      <c r="CB649" s="27" t="s">
        <v>7</v>
      </c>
      <c r="CC649" s="27" t="s">
        <v>8</v>
      </c>
      <c r="CF649" s="27" t="s">
        <v>7</v>
      </c>
      <c r="CG649" s="27" t="s">
        <v>8</v>
      </c>
      <c r="CH649" s="27" t="s">
        <v>7</v>
      </c>
      <c r="CI649" s="27" t="s">
        <v>8</v>
      </c>
      <c r="CJ649" s="27" t="s">
        <v>7</v>
      </c>
      <c r="CK649" s="27" t="s">
        <v>8</v>
      </c>
      <c r="CL649" s="27" t="s">
        <v>7</v>
      </c>
      <c r="DE649" s="27" t="s">
        <v>8</v>
      </c>
      <c r="FN649" s="27" t="s">
        <v>7</v>
      </c>
      <c r="FO649" s="27" t="s">
        <v>8</v>
      </c>
      <c r="FP649" s="27" t="s">
        <v>7</v>
      </c>
      <c r="FQ649" s="27" t="s">
        <v>8</v>
      </c>
      <c r="FR649" s="27" t="s">
        <v>7</v>
      </c>
      <c r="FS649" s="27" t="s">
        <v>8</v>
      </c>
      <c r="FT649" s="27" t="s">
        <v>7</v>
      </c>
      <c r="FU649" s="27" t="s">
        <v>8</v>
      </c>
      <c r="GH649" s="27" t="s">
        <v>7</v>
      </c>
      <c r="GO649" s="27" t="s">
        <v>8</v>
      </c>
      <c r="GP649" s="27" t="s">
        <v>7</v>
      </c>
    </row>
    <row r="650" spans="1:198" x14ac:dyDescent="0.25">
      <c r="A650" s="7">
        <v>0.28720313685825055</v>
      </c>
      <c r="B650"/>
      <c r="C650"/>
      <c r="D650"/>
      <c r="E650"/>
      <c r="F650" s="27" t="s">
        <v>7</v>
      </c>
      <c r="M650" s="27" t="s">
        <v>8</v>
      </c>
      <c r="N650" s="27" t="s">
        <v>7</v>
      </c>
      <c r="O650" s="27" t="s">
        <v>8</v>
      </c>
      <c r="Z650" s="27" t="s">
        <v>7</v>
      </c>
      <c r="AA650" s="27" t="s">
        <v>8</v>
      </c>
      <c r="AB650" s="27" t="s">
        <v>7</v>
      </c>
      <c r="AC650" s="27" t="s">
        <v>8</v>
      </c>
      <c r="BF650" s="27" t="s">
        <v>7</v>
      </c>
      <c r="BX650" s="27" t="s">
        <v>7</v>
      </c>
      <c r="CB650" s="27" t="s">
        <v>7</v>
      </c>
      <c r="CC650" s="27" t="s">
        <v>8</v>
      </c>
      <c r="CF650" s="27" t="s">
        <v>7</v>
      </c>
      <c r="CG650" s="27" t="s">
        <v>8</v>
      </c>
      <c r="CH650" s="27" t="s">
        <v>7</v>
      </c>
      <c r="CI650" s="27" t="s">
        <v>8</v>
      </c>
      <c r="CJ650" s="27" t="s">
        <v>7</v>
      </c>
      <c r="CK650" s="27" t="s">
        <v>8</v>
      </c>
      <c r="CL650" s="27" t="s">
        <v>7</v>
      </c>
      <c r="DE650" s="27" t="s">
        <v>8</v>
      </c>
      <c r="FN650" s="27" t="s">
        <v>7</v>
      </c>
      <c r="FO650" s="27" t="s">
        <v>8</v>
      </c>
      <c r="FP650" s="27" t="s">
        <v>7</v>
      </c>
      <c r="FQ650" s="27" t="s">
        <v>8</v>
      </c>
      <c r="FR650" s="27" t="s">
        <v>7</v>
      </c>
      <c r="FS650" s="27" t="s">
        <v>8</v>
      </c>
      <c r="FT650" s="27" t="s">
        <v>7</v>
      </c>
      <c r="FU650" s="27" t="s">
        <v>8</v>
      </c>
      <c r="GH650" s="27" t="s">
        <v>7</v>
      </c>
      <c r="GM650" s="27" t="s">
        <v>8</v>
      </c>
      <c r="GO650" s="27" t="s">
        <v>8</v>
      </c>
      <c r="GP650" s="27" t="s">
        <v>7</v>
      </c>
    </row>
    <row r="651" spans="1:198" x14ac:dyDescent="0.25">
      <c r="A651" s="7">
        <v>0.28157170280220645</v>
      </c>
      <c r="B651"/>
      <c r="C651"/>
      <c r="D651"/>
      <c r="E651"/>
      <c r="F651" s="27" t="s">
        <v>7</v>
      </c>
      <c r="M651" s="27" t="s">
        <v>8</v>
      </c>
      <c r="N651" s="27" t="s">
        <v>7</v>
      </c>
      <c r="O651" s="27" t="s">
        <v>8</v>
      </c>
      <c r="Z651" s="27" t="s">
        <v>7</v>
      </c>
      <c r="AA651" s="27" t="s">
        <v>8</v>
      </c>
      <c r="AB651" s="27" t="s">
        <v>7</v>
      </c>
      <c r="AC651" s="27" t="s">
        <v>8</v>
      </c>
      <c r="CB651" s="27" t="s">
        <v>7</v>
      </c>
      <c r="CC651" s="27" t="s">
        <v>8</v>
      </c>
      <c r="CF651" s="27" t="s">
        <v>7</v>
      </c>
      <c r="CG651" s="27" t="s">
        <v>8</v>
      </c>
      <c r="CH651" s="27" t="s">
        <v>7</v>
      </c>
      <c r="CI651" s="27" t="s">
        <v>8</v>
      </c>
      <c r="CJ651" s="27" t="s">
        <v>7</v>
      </c>
      <c r="CK651" s="27" t="s">
        <v>8</v>
      </c>
      <c r="CL651" s="27" t="s">
        <v>7</v>
      </c>
      <c r="DE651" s="27" t="s">
        <v>8</v>
      </c>
      <c r="FN651" s="27" t="s">
        <v>7</v>
      </c>
      <c r="FO651" s="27" t="s">
        <v>8</v>
      </c>
      <c r="FP651" s="27" t="s">
        <v>7</v>
      </c>
      <c r="FQ651" s="27" t="s">
        <v>8</v>
      </c>
      <c r="FR651" s="27" t="s">
        <v>7</v>
      </c>
      <c r="FS651" s="27" t="s">
        <v>8</v>
      </c>
      <c r="FT651" s="27" t="s">
        <v>7</v>
      </c>
      <c r="FU651" s="27" t="s">
        <v>8</v>
      </c>
      <c r="GH651" s="27" t="s">
        <v>7</v>
      </c>
      <c r="GM651" s="27" t="s">
        <v>8</v>
      </c>
      <c r="GN651" s="27" t="s">
        <v>7</v>
      </c>
      <c r="GO651" s="27" t="s">
        <v>8</v>
      </c>
      <c r="GP651" s="27" t="s">
        <v>7</v>
      </c>
    </row>
    <row r="652" spans="1:198" x14ac:dyDescent="0.25">
      <c r="A652" s="7">
        <v>0.27605068902177105</v>
      </c>
      <c r="B652"/>
      <c r="C652"/>
      <c r="D652"/>
      <c r="E652"/>
      <c r="F652" s="27" t="s">
        <v>7</v>
      </c>
      <c r="M652" s="27" t="s">
        <v>8</v>
      </c>
      <c r="N652" s="27" t="s">
        <v>7</v>
      </c>
      <c r="O652" s="27" t="s">
        <v>8</v>
      </c>
      <c r="Z652" s="27" t="s">
        <v>7</v>
      </c>
      <c r="AA652" s="27" t="s">
        <v>8</v>
      </c>
      <c r="AB652" s="27" t="s">
        <v>7</v>
      </c>
      <c r="AC652" s="27" t="s">
        <v>8</v>
      </c>
      <c r="CB652" s="27" t="s">
        <v>7</v>
      </c>
      <c r="CF652" s="27" t="s">
        <v>7</v>
      </c>
      <c r="CG652" s="27" t="s">
        <v>8</v>
      </c>
      <c r="CH652" s="27" t="s">
        <v>7</v>
      </c>
      <c r="CI652" s="27" t="s">
        <v>8</v>
      </c>
      <c r="CJ652" s="27" t="s">
        <v>7</v>
      </c>
      <c r="CK652" s="27" t="s">
        <v>8</v>
      </c>
      <c r="CL652" s="27" t="s">
        <v>7</v>
      </c>
      <c r="DE652" s="27" t="s">
        <v>8</v>
      </c>
      <c r="FN652" s="27" t="s">
        <v>7</v>
      </c>
      <c r="FO652" s="27" t="s">
        <v>8</v>
      </c>
      <c r="FP652" s="27" t="s">
        <v>7</v>
      </c>
      <c r="FR652" s="27" t="s">
        <v>7</v>
      </c>
      <c r="FS652" s="27" t="s">
        <v>8</v>
      </c>
      <c r="FT652" s="27" t="s">
        <v>7</v>
      </c>
      <c r="FU652" s="27" t="s">
        <v>8</v>
      </c>
      <c r="GH652" s="27" t="s">
        <v>7</v>
      </c>
      <c r="GK652" s="27" t="s">
        <v>8</v>
      </c>
      <c r="GM652" s="27" t="s">
        <v>8</v>
      </c>
      <c r="GN652" s="27" t="s">
        <v>7</v>
      </c>
      <c r="GO652" s="27" t="s">
        <v>8</v>
      </c>
      <c r="GP652" s="27" t="s">
        <v>7</v>
      </c>
    </row>
    <row r="653" spans="1:198" x14ac:dyDescent="0.25">
      <c r="A653" s="7">
        <v>0.27063793041350104</v>
      </c>
      <c r="B653"/>
      <c r="C653"/>
      <c r="D653"/>
      <c r="E653"/>
      <c r="F653" s="27" t="s">
        <v>7</v>
      </c>
      <c r="M653" s="27" t="s">
        <v>8</v>
      </c>
      <c r="N653" s="27" t="s">
        <v>7</v>
      </c>
      <c r="O653" s="27" t="s">
        <v>8</v>
      </c>
      <c r="Z653" s="27" t="s">
        <v>7</v>
      </c>
      <c r="AB653" s="27" t="s">
        <v>7</v>
      </c>
      <c r="AC653" s="27" t="s">
        <v>8</v>
      </c>
      <c r="CF653" s="27" t="s">
        <v>7</v>
      </c>
      <c r="CG653" s="27" t="s">
        <v>8</v>
      </c>
      <c r="CH653" s="27" t="s">
        <v>7</v>
      </c>
      <c r="CI653" s="27" t="s">
        <v>8</v>
      </c>
      <c r="CJ653" s="27" t="s">
        <v>7</v>
      </c>
      <c r="CK653" s="27" t="s">
        <v>8</v>
      </c>
      <c r="CL653" s="27" t="s">
        <v>7</v>
      </c>
      <c r="DE653" s="27" t="s">
        <v>8</v>
      </c>
      <c r="FN653" s="27" t="s">
        <v>7</v>
      </c>
      <c r="FO653" s="27" t="s">
        <v>8</v>
      </c>
      <c r="FR653" s="27" t="s">
        <v>7</v>
      </c>
      <c r="FT653" s="27" t="s">
        <v>7</v>
      </c>
      <c r="FU653" s="27" t="s">
        <v>8</v>
      </c>
      <c r="GH653" s="27" t="s">
        <v>7</v>
      </c>
      <c r="GI653" s="27" t="s">
        <v>8</v>
      </c>
      <c r="GK653" s="27" t="s">
        <v>8</v>
      </c>
      <c r="GL653" s="27" t="s">
        <v>7</v>
      </c>
      <c r="GM653" s="27" t="s">
        <v>8</v>
      </c>
      <c r="GN653" s="27" t="s">
        <v>7</v>
      </c>
      <c r="GO653" s="27" t="s">
        <v>8</v>
      </c>
      <c r="GP653" s="27" t="s">
        <v>7</v>
      </c>
    </row>
    <row r="654" spans="1:198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K654" s="27" t="s">
        <v>8</v>
      </c>
      <c r="M654" s="27" t="s">
        <v>8</v>
      </c>
      <c r="N654" s="27" t="s">
        <v>7</v>
      </c>
      <c r="O654" s="27" t="s">
        <v>8</v>
      </c>
      <c r="AB654" s="27" t="s">
        <v>7</v>
      </c>
      <c r="AC654" s="27" t="s">
        <v>8</v>
      </c>
      <c r="CF654" s="27" t="s">
        <v>7</v>
      </c>
      <c r="CG654" s="27" t="s">
        <v>8</v>
      </c>
      <c r="CH654" s="27" t="s">
        <v>7</v>
      </c>
      <c r="CJ654" s="27" t="s">
        <v>7</v>
      </c>
      <c r="CK654" s="27" t="s">
        <v>8</v>
      </c>
      <c r="CL654" s="27" t="s">
        <v>7</v>
      </c>
      <c r="DE654" s="27" t="s">
        <v>8</v>
      </c>
      <c r="FN654" s="27" t="s">
        <v>7</v>
      </c>
      <c r="FO654" s="27" t="s">
        <v>8</v>
      </c>
      <c r="FT654" s="27" t="s">
        <v>7</v>
      </c>
      <c r="FU654" s="27" t="s">
        <v>8</v>
      </c>
      <c r="GH654" s="27" t="s">
        <v>7</v>
      </c>
      <c r="GI654" s="27" t="s">
        <v>8</v>
      </c>
      <c r="GJ654" s="27" t="s">
        <v>7</v>
      </c>
      <c r="GK654" s="27" t="s">
        <v>8</v>
      </c>
      <c r="GL654" s="27" t="s">
        <v>7</v>
      </c>
      <c r="GM654" s="27" t="s">
        <v>8</v>
      </c>
      <c r="GN654" s="27" t="s">
        <v>7</v>
      </c>
      <c r="GP654" s="27" t="s">
        <v>7</v>
      </c>
    </row>
    <row r="655" spans="1:198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H655" s="27" t="s">
        <v>7</v>
      </c>
      <c r="K655" s="27" t="s">
        <v>8</v>
      </c>
      <c r="L655" s="27" t="s">
        <v>7</v>
      </c>
      <c r="M655" s="27" t="s">
        <v>8</v>
      </c>
      <c r="N655" s="27" t="s">
        <v>7</v>
      </c>
      <c r="O655" s="27" t="s">
        <v>8</v>
      </c>
      <c r="AB655" s="27" t="s">
        <v>7</v>
      </c>
      <c r="AC655" s="27" t="s">
        <v>8</v>
      </c>
      <c r="CF655" s="27" t="s">
        <v>7</v>
      </c>
      <c r="CJ655" s="27" t="s">
        <v>7</v>
      </c>
      <c r="CL655" s="27" t="s">
        <v>7</v>
      </c>
      <c r="DE655" s="27" t="s">
        <v>8</v>
      </c>
      <c r="FN655" s="27" t="s">
        <v>7</v>
      </c>
      <c r="FO655" s="27" t="s">
        <v>8</v>
      </c>
      <c r="FT655" s="27" t="s">
        <v>7</v>
      </c>
      <c r="FU655" s="27" t="s">
        <v>8</v>
      </c>
      <c r="GH655" s="27" t="s">
        <v>7</v>
      </c>
      <c r="GI655" s="27" t="s">
        <v>8</v>
      </c>
      <c r="GJ655" s="27" t="s">
        <v>7</v>
      </c>
      <c r="GK655" s="27" t="s">
        <v>8</v>
      </c>
      <c r="GL655" s="27" t="s">
        <v>7</v>
      </c>
      <c r="GM655" s="27" t="s">
        <v>8</v>
      </c>
      <c r="GP655" s="27" t="s">
        <v>7</v>
      </c>
    </row>
    <row r="656" spans="1:198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K656" s="27" t="s">
        <v>8</v>
      </c>
      <c r="L656" s="27" t="s">
        <v>7</v>
      </c>
      <c r="M656" s="27" t="s">
        <v>8</v>
      </c>
      <c r="N656" s="27" t="s">
        <v>7</v>
      </c>
      <c r="AB656" s="27" t="s">
        <v>7</v>
      </c>
      <c r="CL656" s="27" t="s">
        <v>7</v>
      </c>
      <c r="DE656" s="27" t="s">
        <v>8</v>
      </c>
      <c r="FN656" s="27" t="s">
        <v>7</v>
      </c>
      <c r="FO656" s="27" t="s">
        <v>8</v>
      </c>
      <c r="FT656" s="27" t="s">
        <v>7</v>
      </c>
      <c r="FU656" s="27" t="s">
        <v>8</v>
      </c>
      <c r="GH656" s="27" t="s">
        <v>7</v>
      </c>
      <c r="GI656" s="27" t="s">
        <v>8</v>
      </c>
      <c r="GJ656" s="27" t="s">
        <v>7</v>
      </c>
      <c r="GK656" s="27" t="s">
        <v>8</v>
      </c>
      <c r="GL656" s="27" t="s">
        <v>7</v>
      </c>
      <c r="GP656" s="27" t="s">
        <v>7</v>
      </c>
    </row>
    <row r="657" spans="1:202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K657" s="27" t="s">
        <v>8</v>
      </c>
      <c r="L657" s="27" t="s">
        <v>7</v>
      </c>
      <c r="M657" s="27" t="s">
        <v>8</v>
      </c>
      <c r="CL657" s="27" t="s">
        <v>7</v>
      </c>
      <c r="CM657" s="27" t="s">
        <v>8</v>
      </c>
      <c r="DE657" s="27" t="s">
        <v>8</v>
      </c>
      <c r="FN657" s="27" t="s">
        <v>7</v>
      </c>
      <c r="FO657" s="27" t="s">
        <v>8</v>
      </c>
      <c r="FT657" s="27" t="s">
        <v>7</v>
      </c>
      <c r="GH657" s="27" t="s">
        <v>7</v>
      </c>
      <c r="GI657" s="27" t="s">
        <v>8</v>
      </c>
      <c r="GJ657" s="27" t="s">
        <v>7</v>
      </c>
      <c r="GK657" s="27" t="s">
        <v>8</v>
      </c>
      <c r="GP657" s="27" t="s">
        <v>7</v>
      </c>
    </row>
    <row r="658" spans="1:202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H658" s="27" t="s">
        <v>7</v>
      </c>
      <c r="I658" s="27" t="s">
        <v>8</v>
      </c>
      <c r="K658" s="27" t="s">
        <v>8</v>
      </c>
      <c r="L658" s="27" t="s">
        <v>7</v>
      </c>
      <c r="M658" s="27" t="s">
        <v>8</v>
      </c>
      <c r="CL658" s="27" t="s">
        <v>7</v>
      </c>
      <c r="CM658" s="27" t="s">
        <v>8</v>
      </c>
      <c r="CN658" s="27" t="s">
        <v>7</v>
      </c>
      <c r="DE658" s="27" t="s">
        <v>8</v>
      </c>
      <c r="FN658" s="27" t="s">
        <v>7</v>
      </c>
      <c r="GH658" s="27" t="s">
        <v>7</v>
      </c>
      <c r="GJ658" s="27" t="s">
        <v>7</v>
      </c>
      <c r="GK658" s="27" t="s">
        <v>8</v>
      </c>
      <c r="GP658" s="27" t="s">
        <v>7</v>
      </c>
    </row>
    <row r="659" spans="1:202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H659" s="27" t="s">
        <v>7</v>
      </c>
      <c r="I659" s="27" t="s">
        <v>8</v>
      </c>
      <c r="J659" s="27" t="s">
        <v>7</v>
      </c>
      <c r="K659" s="27" t="s">
        <v>8</v>
      </c>
      <c r="L659" s="27" t="s">
        <v>7</v>
      </c>
      <c r="M659" s="27" t="s">
        <v>8</v>
      </c>
      <c r="CL659" s="27" t="s">
        <v>7</v>
      </c>
      <c r="CM659" s="27" t="s">
        <v>8</v>
      </c>
      <c r="CN659" s="27" t="s">
        <v>7</v>
      </c>
      <c r="DE659" s="27" t="s">
        <v>8</v>
      </c>
      <c r="GJ659" s="27" t="s">
        <v>7</v>
      </c>
      <c r="GK659" s="27" t="s">
        <v>8</v>
      </c>
      <c r="GP659" s="27" t="s">
        <v>7</v>
      </c>
    </row>
    <row r="660" spans="1:202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H660" s="27" t="s">
        <v>7</v>
      </c>
      <c r="I660" s="27" t="s">
        <v>8</v>
      </c>
      <c r="J660" s="27" t="s">
        <v>7</v>
      </c>
      <c r="K660" s="27" t="s">
        <v>8</v>
      </c>
      <c r="L660" s="27" t="s">
        <v>7</v>
      </c>
      <c r="M660" s="27" t="s">
        <v>8</v>
      </c>
      <c r="CL660" s="27" t="s">
        <v>7</v>
      </c>
      <c r="CM660" s="27" t="s">
        <v>8</v>
      </c>
      <c r="CN660" s="27" t="s">
        <v>7</v>
      </c>
      <c r="DE660" s="27" t="s">
        <v>8</v>
      </c>
      <c r="GJ660" s="27" t="s">
        <v>7</v>
      </c>
      <c r="GK660" s="27" t="s">
        <v>8</v>
      </c>
      <c r="GP660" s="27" t="s">
        <v>7</v>
      </c>
    </row>
    <row r="661" spans="1:202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H661" s="27" t="s">
        <v>7</v>
      </c>
      <c r="I661" s="27" t="s">
        <v>8</v>
      </c>
      <c r="J661" s="27" t="s">
        <v>7</v>
      </c>
      <c r="K661" s="27" t="s">
        <v>8</v>
      </c>
      <c r="L661" s="27" t="s">
        <v>7</v>
      </c>
      <c r="M661" s="27" t="s">
        <v>8</v>
      </c>
      <c r="CL661" s="27" t="s">
        <v>7</v>
      </c>
      <c r="CN661" s="27" t="s">
        <v>7</v>
      </c>
      <c r="DE661" s="27" t="s">
        <v>8</v>
      </c>
      <c r="GJ661" s="27" t="s">
        <v>7</v>
      </c>
      <c r="GP661" s="27" t="s">
        <v>7</v>
      </c>
    </row>
    <row r="662" spans="1:202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H662" s="27" t="s">
        <v>7</v>
      </c>
      <c r="I662" s="27" t="s">
        <v>8</v>
      </c>
      <c r="J662" s="27" t="s">
        <v>7</v>
      </c>
      <c r="K662" s="27" t="s">
        <v>8</v>
      </c>
      <c r="L662" s="27" t="s">
        <v>7</v>
      </c>
      <c r="M662" s="27" t="s">
        <v>8</v>
      </c>
      <c r="CN662" s="27" t="s">
        <v>7</v>
      </c>
      <c r="DE662" s="27" t="s">
        <v>8</v>
      </c>
      <c r="GP662" s="27" t="s">
        <v>7</v>
      </c>
    </row>
    <row r="663" spans="1:202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H663" s="27" t="s">
        <v>7</v>
      </c>
      <c r="I663" s="27" t="s">
        <v>8</v>
      </c>
      <c r="J663" s="27" t="s">
        <v>7</v>
      </c>
      <c r="L663" s="27" t="s">
        <v>7</v>
      </c>
      <c r="CN663" s="27" t="s">
        <v>7</v>
      </c>
      <c r="DE663" s="27" t="s">
        <v>8</v>
      </c>
      <c r="GP663" s="27" t="s">
        <v>7</v>
      </c>
    </row>
    <row r="664" spans="1:202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H664" s="27" t="s">
        <v>7</v>
      </c>
      <c r="I664" s="27" t="s">
        <v>8</v>
      </c>
      <c r="CN664" s="27" t="s">
        <v>7</v>
      </c>
      <c r="DE664" s="27" t="s">
        <v>8</v>
      </c>
      <c r="GP664" s="27" t="s">
        <v>7</v>
      </c>
      <c r="GS664" s="27" t="s">
        <v>8</v>
      </c>
    </row>
    <row r="665" spans="1:202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H665" s="27" t="s">
        <v>7</v>
      </c>
      <c r="I665" s="27" t="s">
        <v>8</v>
      </c>
      <c r="CN665" s="27" t="s">
        <v>7</v>
      </c>
      <c r="DE665" s="27" t="s">
        <v>8</v>
      </c>
      <c r="GP665" s="27" t="s">
        <v>7</v>
      </c>
      <c r="GS665" s="27" t="s">
        <v>8</v>
      </c>
      <c r="GT665" s="27" t="s">
        <v>7</v>
      </c>
    </row>
    <row r="666" spans="1:202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H666" s="27" t="s">
        <v>7</v>
      </c>
      <c r="CN666" s="27" t="s">
        <v>7</v>
      </c>
      <c r="DE666" s="27" t="s">
        <v>8</v>
      </c>
      <c r="GP666" s="27" t="s">
        <v>7</v>
      </c>
      <c r="GS666" s="27" t="s">
        <v>8</v>
      </c>
      <c r="GT666" s="27" t="s">
        <v>7</v>
      </c>
    </row>
    <row r="667" spans="1:202" x14ac:dyDescent="0.25">
      <c r="A667" s="7">
        <v>0.20510972816665593</v>
      </c>
      <c r="B667"/>
      <c r="C667"/>
      <c r="D667"/>
      <c r="E667"/>
      <c r="F667" s="27" t="s">
        <v>7</v>
      </c>
      <c r="CN667" s="27" t="s">
        <v>7</v>
      </c>
      <c r="DE667" s="27" t="s">
        <v>8</v>
      </c>
      <c r="GP667" s="27" t="s">
        <v>7</v>
      </c>
      <c r="GS667" s="27" t="s">
        <v>8</v>
      </c>
      <c r="GT667" s="27" t="s">
        <v>7</v>
      </c>
    </row>
    <row r="668" spans="1:202" x14ac:dyDescent="0.25">
      <c r="A668" s="7">
        <v>0.20108796879083912</v>
      </c>
      <c r="B668"/>
      <c r="C668"/>
      <c r="D668"/>
      <c r="E668"/>
      <c r="CN668" s="27" t="s">
        <v>7</v>
      </c>
      <c r="DE668" s="27" t="s">
        <v>8</v>
      </c>
      <c r="GP668" s="27" t="s">
        <v>7</v>
      </c>
      <c r="GS668" s="27" t="s">
        <v>8</v>
      </c>
      <c r="GT668" s="27" t="s">
        <v>7</v>
      </c>
    </row>
    <row r="669" spans="1:202" x14ac:dyDescent="0.25">
      <c r="A669" s="7">
        <v>0.19714506744199917</v>
      </c>
      <c r="B669"/>
      <c r="C669"/>
      <c r="D669"/>
      <c r="E669"/>
      <c r="CN669" s="27" t="s">
        <v>7</v>
      </c>
      <c r="DE669" s="27" t="s">
        <v>8</v>
      </c>
      <c r="GP669" s="27" t="s">
        <v>7</v>
      </c>
      <c r="GS669" s="27" t="s">
        <v>8</v>
      </c>
      <c r="GT669" s="27" t="s">
        <v>7</v>
      </c>
    </row>
    <row r="670" spans="1:202" x14ac:dyDescent="0.25">
      <c r="A670" s="7">
        <v>0.19327947788431293</v>
      </c>
      <c r="B670"/>
      <c r="C670"/>
      <c r="D670"/>
      <c r="E670"/>
      <c r="CN670" s="27" t="s">
        <v>7</v>
      </c>
      <c r="DE670" s="27" t="s">
        <v>8</v>
      </c>
      <c r="GP670" s="27" t="s">
        <v>7</v>
      </c>
      <c r="GS670" s="27" t="s">
        <v>8</v>
      </c>
    </row>
    <row r="671" spans="1:202" x14ac:dyDescent="0.25">
      <c r="A671" s="7">
        <v>0.18948968420030682</v>
      </c>
      <c r="B671"/>
      <c r="C671"/>
      <c r="D671"/>
      <c r="E671"/>
      <c r="CN671" s="27" t="s">
        <v>7</v>
      </c>
      <c r="CQ671" s="27" t="s">
        <v>8</v>
      </c>
      <c r="DE671" s="27" t="s">
        <v>8</v>
      </c>
      <c r="GP671" s="27" t="s">
        <v>7</v>
      </c>
      <c r="GQ671" s="27" t="s">
        <v>8</v>
      </c>
      <c r="GS671" s="27" t="s">
        <v>8</v>
      </c>
    </row>
    <row r="672" spans="1:202" x14ac:dyDescent="0.25">
      <c r="A672" s="7">
        <v>0.18577420019637925</v>
      </c>
      <c r="B672"/>
      <c r="C672"/>
      <c r="D672"/>
      <c r="E672"/>
      <c r="CN672" s="27" t="s">
        <v>7</v>
      </c>
      <c r="CQ672" s="27" t="s">
        <v>8</v>
      </c>
      <c r="CR672" s="27" t="s">
        <v>7</v>
      </c>
      <c r="DE672" s="27" t="s">
        <v>8</v>
      </c>
      <c r="GP672" s="27" t="s">
        <v>7</v>
      </c>
      <c r="GQ672" s="27" t="s">
        <v>8</v>
      </c>
      <c r="GR672" s="27" t="s">
        <v>7</v>
      </c>
      <c r="GS672" s="27" t="s">
        <v>8</v>
      </c>
    </row>
    <row r="673" spans="1:201" x14ac:dyDescent="0.25">
      <c r="A673" s="7">
        <v>0.18213156881997963</v>
      </c>
      <c r="B673"/>
      <c r="C673"/>
      <c r="D673"/>
      <c r="E673"/>
      <c r="CN673" s="27" t="s">
        <v>7</v>
      </c>
      <c r="CQ673" s="27" t="s">
        <v>8</v>
      </c>
      <c r="CR673" s="27" t="s">
        <v>7</v>
      </c>
      <c r="DE673" s="27" t="s">
        <v>8</v>
      </c>
      <c r="GP673" s="27" t="s">
        <v>7</v>
      </c>
      <c r="GQ673" s="27" t="s">
        <v>8</v>
      </c>
      <c r="GR673" s="27" t="s">
        <v>7</v>
      </c>
      <c r="GS673" s="27" t="s">
        <v>8</v>
      </c>
    </row>
    <row r="674" spans="1:201" x14ac:dyDescent="0.25">
      <c r="A674" s="7">
        <v>0.17856036158821534</v>
      </c>
      <c r="B674"/>
      <c r="C674"/>
      <c r="D674"/>
      <c r="E674"/>
      <c r="CN674" s="27" t="s">
        <v>7</v>
      </c>
      <c r="CQ674" s="27" t="s">
        <v>8</v>
      </c>
      <c r="CR674" s="27" t="s">
        <v>7</v>
      </c>
      <c r="DE674" s="27" t="s">
        <v>8</v>
      </c>
      <c r="GP674" s="27" t="s">
        <v>7</v>
      </c>
      <c r="GQ674" s="27" t="s">
        <v>8</v>
      </c>
      <c r="GR674" s="27" t="s">
        <v>7</v>
      </c>
      <c r="GS674" s="27" t="s">
        <v>8</v>
      </c>
    </row>
    <row r="675" spans="1:201" x14ac:dyDescent="0.25">
      <c r="A675" s="7">
        <v>0.17505917802766208</v>
      </c>
      <c r="B675"/>
      <c r="C675"/>
      <c r="D675"/>
      <c r="E675"/>
      <c r="CN675" s="27" t="s">
        <v>7</v>
      </c>
      <c r="CQ675" s="27" t="s">
        <v>8</v>
      </c>
      <c r="CR675" s="27" t="s">
        <v>7</v>
      </c>
      <c r="CS675" s="27" t="s">
        <v>8</v>
      </c>
      <c r="DC675" s="27" t="s">
        <v>8</v>
      </c>
      <c r="DE675" s="27" t="s">
        <v>8</v>
      </c>
      <c r="GP675" s="27" t="s">
        <v>7</v>
      </c>
      <c r="GQ675" s="27" t="s">
        <v>8</v>
      </c>
      <c r="GR675" s="27" t="s">
        <v>7</v>
      </c>
      <c r="GS675" s="27" t="s">
        <v>8</v>
      </c>
    </row>
    <row r="676" spans="1:201" x14ac:dyDescent="0.25">
      <c r="A676" s="7">
        <v>0.17162664512515888</v>
      </c>
      <c r="B676"/>
      <c r="C676"/>
      <c r="D676"/>
      <c r="E676"/>
      <c r="CN676" s="27" t="s">
        <v>7</v>
      </c>
      <c r="CO676" s="27" t="s">
        <v>8</v>
      </c>
      <c r="CQ676" s="27" t="s">
        <v>8</v>
      </c>
      <c r="CR676" s="27" t="s">
        <v>7</v>
      </c>
      <c r="CS676" s="27" t="s">
        <v>8</v>
      </c>
      <c r="CT676" s="27" t="s">
        <v>7</v>
      </c>
      <c r="DC676" s="27" t="s">
        <v>8</v>
      </c>
      <c r="DD676" s="27" t="s">
        <v>7</v>
      </c>
      <c r="DE676" s="27" t="s">
        <v>8</v>
      </c>
      <c r="GP676" s="27" t="s">
        <v>7</v>
      </c>
      <c r="GQ676" s="27" t="s">
        <v>8</v>
      </c>
      <c r="GR676" s="27" t="s">
        <v>7</v>
      </c>
      <c r="GS676" s="27" t="s">
        <v>8</v>
      </c>
    </row>
    <row r="677" spans="1:201" x14ac:dyDescent="0.25">
      <c r="A677" s="7">
        <v>0.16826141678937145</v>
      </c>
      <c r="B677"/>
      <c r="C677"/>
      <c r="D677"/>
      <c r="E677"/>
      <c r="CN677" s="27" t="s">
        <v>7</v>
      </c>
      <c r="CO677" s="27" t="s">
        <v>8</v>
      </c>
      <c r="CP677" s="27" t="s">
        <v>7</v>
      </c>
      <c r="CQ677" s="27" t="s">
        <v>8</v>
      </c>
      <c r="CR677" s="27" t="s">
        <v>7</v>
      </c>
      <c r="CS677" s="27" t="s">
        <v>8</v>
      </c>
      <c r="CT677" s="27" t="s">
        <v>7</v>
      </c>
      <c r="DC677" s="27" t="s">
        <v>8</v>
      </c>
      <c r="DD677" s="27" t="s">
        <v>7</v>
      </c>
      <c r="DE677" s="27" t="s">
        <v>8</v>
      </c>
      <c r="GP677" s="27" t="s">
        <v>7</v>
      </c>
      <c r="GQ677" s="27" t="s">
        <v>8</v>
      </c>
      <c r="GR677" s="27" t="s">
        <v>7</v>
      </c>
      <c r="GS677" s="27" t="s">
        <v>8</v>
      </c>
    </row>
    <row r="678" spans="1:201" x14ac:dyDescent="0.25">
      <c r="A678" s="7">
        <v>0.16496217332291319</v>
      </c>
      <c r="B678"/>
      <c r="C678"/>
      <c r="D678"/>
      <c r="E678"/>
      <c r="CN678" s="27" t="s">
        <v>7</v>
      </c>
      <c r="CO678" s="27" t="s">
        <v>8</v>
      </c>
      <c r="CP678" s="27" t="s">
        <v>7</v>
      </c>
      <c r="CQ678" s="27" t="s">
        <v>8</v>
      </c>
      <c r="CR678" s="27" t="s">
        <v>7</v>
      </c>
      <c r="CS678" s="27" t="s">
        <v>8</v>
      </c>
      <c r="CT678" s="27" t="s">
        <v>7</v>
      </c>
      <c r="DC678" s="27" t="s">
        <v>8</v>
      </c>
      <c r="DD678" s="27" t="s">
        <v>7</v>
      </c>
      <c r="DE678" s="27" t="s">
        <v>8</v>
      </c>
      <c r="GP678" s="27" t="s">
        <v>7</v>
      </c>
      <c r="GQ678" s="27" t="s">
        <v>8</v>
      </c>
      <c r="GR678" s="27" t="s">
        <v>7</v>
      </c>
      <c r="GS678" s="27" t="s">
        <v>8</v>
      </c>
    </row>
    <row r="679" spans="1:201" x14ac:dyDescent="0.25">
      <c r="A679" s="7">
        <v>0.16172762090481685</v>
      </c>
      <c r="B679"/>
      <c r="C679"/>
      <c r="D679"/>
      <c r="E679"/>
      <c r="CN679" s="27" t="s">
        <v>7</v>
      </c>
      <c r="CO679" s="27" t="s">
        <v>8</v>
      </c>
      <c r="CP679" s="27" t="s">
        <v>7</v>
      </c>
      <c r="CQ679" s="27" t="s">
        <v>8</v>
      </c>
      <c r="CR679" s="27" t="s">
        <v>7</v>
      </c>
      <c r="CS679" s="27" t="s">
        <v>8</v>
      </c>
      <c r="CT679" s="27" t="s">
        <v>7</v>
      </c>
      <c r="CW679" s="27" t="s">
        <v>8</v>
      </c>
      <c r="DC679" s="27" t="s">
        <v>8</v>
      </c>
      <c r="DD679" s="27" t="s">
        <v>7</v>
      </c>
      <c r="DE679" s="27" t="s">
        <v>8</v>
      </c>
      <c r="GP679" s="27" t="s">
        <v>7</v>
      </c>
      <c r="GQ679" s="27" t="s">
        <v>8</v>
      </c>
      <c r="GR679" s="27" t="s">
        <v>7</v>
      </c>
      <c r="GS679" s="27" t="s">
        <v>8</v>
      </c>
    </row>
    <row r="680" spans="1:201" x14ac:dyDescent="0.25">
      <c r="A680" s="7">
        <v>0.15855649108315376</v>
      </c>
      <c r="B680"/>
      <c r="C680"/>
      <c r="D680"/>
      <c r="E680"/>
      <c r="CN680" s="27" t="s">
        <v>7</v>
      </c>
      <c r="CO680" s="27" t="s">
        <v>8</v>
      </c>
      <c r="CP680" s="27" t="s">
        <v>7</v>
      </c>
      <c r="CQ680" s="27" t="s">
        <v>8</v>
      </c>
      <c r="CR680" s="27" t="s">
        <v>7</v>
      </c>
      <c r="CS680" s="27" t="s">
        <v>8</v>
      </c>
      <c r="CT680" s="27" t="s">
        <v>7</v>
      </c>
      <c r="CW680" s="27" t="s">
        <v>8</v>
      </c>
      <c r="CX680" s="27" t="s">
        <v>7</v>
      </c>
      <c r="DC680" s="27" t="s">
        <v>8</v>
      </c>
      <c r="DD680" s="27" t="s">
        <v>7</v>
      </c>
      <c r="DE680" s="27" t="s">
        <v>8</v>
      </c>
      <c r="GP680" s="27" t="s">
        <v>7</v>
      </c>
      <c r="GR680" s="27" t="s">
        <v>7</v>
      </c>
      <c r="GS680" s="27" t="s">
        <v>8</v>
      </c>
    </row>
    <row r="681" spans="1:201" x14ac:dyDescent="0.25">
      <c r="A681" s="7">
        <v>0.15544754027760171</v>
      </c>
      <c r="B681"/>
      <c r="C681"/>
      <c r="D681"/>
      <c r="E681"/>
      <c r="CN681" s="27" t="s">
        <v>7</v>
      </c>
      <c r="CO681" s="27" t="s">
        <v>8</v>
      </c>
      <c r="CP681" s="27" t="s">
        <v>7</v>
      </c>
      <c r="CQ681" s="27" t="s">
        <v>8</v>
      </c>
      <c r="CR681" s="27" t="s">
        <v>7</v>
      </c>
      <c r="CS681" s="27" t="s">
        <v>8</v>
      </c>
      <c r="CT681" s="27" t="s">
        <v>7</v>
      </c>
      <c r="CW681" s="27" t="s">
        <v>8</v>
      </c>
      <c r="CX681" s="27" t="s">
        <v>7</v>
      </c>
      <c r="DC681" s="27" t="s">
        <v>8</v>
      </c>
      <c r="DD681" s="27" t="s">
        <v>7</v>
      </c>
      <c r="DE681" s="27" t="s">
        <v>8</v>
      </c>
      <c r="GR681" s="27" t="s">
        <v>7</v>
      </c>
      <c r="GS681" s="27" t="s">
        <v>8</v>
      </c>
    </row>
    <row r="682" spans="1:201" x14ac:dyDescent="0.25">
      <c r="A682" s="7">
        <v>0.15239954929176638</v>
      </c>
      <c r="B682"/>
      <c r="C682"/>
      <c r="D682"/>
      <c r="E682"/>
      <c r="CN682" s="27" t="s">
        <v>7</v>
      </c>
      <c r="CO682" s="27" t="s">
        <v>8</v>
      </c>
      <c r="CP682" s="27" t="s">
        <v>7</v>
      </c>
      <c r="CQ682" s="27" t="s">
        <v>8</v>
      </c>
      <c r="CR682" s="27" t="s">
        <v>7</v>
      </c>
      <c r="CS682" s="27" t="s">
        <v>8</v>
      </c>
      <c r="CT682" s="27" t="s">
        <v>7</v>
      </c>
      <c r="CU682" s="27" t="s">
        <v>8</v>
      </c>
      <c r="CW682" s="27" t="s">
        <v>8</v>
      </c>
      <c r="CX682" s="27" t="s">
        <v>7</v>
      </c>
      <c r="DA682" s="27" t="s">
        <v>8</v>
      </c>
      <c r="DC682" s="27" t="s">
        <v>8</v>
      </c>
      <c r="DD682" s="27" t="s">
        <v>7</v>
      </c>
      <c r="DE682" s="27" t="s">
        <v>8</v>
      </c>
      <c r="GR682" s="27" t="s">
        <v>7</v>
      </c>
    </row>
    <row r="683" spans="1:201" x14ac:dyDescent="0.25">
      <c r="A683" s="7">
        <v>0.14941132283506509</v>
      </c>
      <c r="B683"/>
      <c r="C683"/>
      <c r="D683"/>
      <c r="E683"/>
      <c r="CN683" s="27" t="s">
        <v>7</v>
      </c>
      <c r="CO683" s="27" t="s">
        <v>8</v>
      </c>
      <c r="CP683" s="27" t="s">
        <v>7</v>
      </c>
      <c r="CQ683" s="27" t="s">
        <v>8</v>
      </c>
      <c r="CR683" s="27" t="s">
        <v>7</v>
      </c>
      <c r="CS683" s="27" t="s">
        <v>8</v>
      </c>
      <c r="CT683" s="27" t="s">
        <v>7</v>
      </c>
      <c r="CU683" s="27" t="s">
        <v>8</v>
      </c>
      <c r="CV683" s="27" t="s">
        <v>7</v>
      </c>
      <c r="CW683" s="27" t="s">
        <v>8</v>
      </c>
      <c r="CX683" s="27" t="s">
        <v>7</v>
      </c>
      <c r="DA683" s="27" t="s">
        <v>8</v>
      </c>
      <c r="DB683" s="27" t="s">
        <v>7</v>
      </c>
      <c r="DC683" s="27" t="s">
        <v>8</v>
      </c>
      <c r="DD683" s="27" t="s">
        <v>7</v>
      </c>
      <c r="DE683" s="27" t="s">
        <v>8</v>
      </c>
    </row>
    <row r="684" spans="1:201" x14ac:dyDescent="0.25">
      <c r="A684" s="7">
        <v>0.14648168905398537</v>
      </c>
      <c r="B684"/>
      <c r="C684"/>
      <c r="D684"/>
      <c r="E684"/>
      <c r="CN684" s="27" t="s">
        <v>7</v>
      </c>
      <c r="CO684" s="27" t="s">
        <v>8</v>
      </c>
      <c r="CP684" s="27" t="s">
        <v>7</v>
      </c>
      <c r="CQ684" s="27" t="s">
        <v>8</v>
      </c>
      <c r="CR684" s="27" t="s">
        <v>7</v>
      </c>
      <c r="CS684" s="27" t="s">
        <v>8</v>
      </c>
      <c r="CT684" s="27" t="s">
        <v>7</v>
      </c>
      <c r="CU684" s="27" t="s">
        <v>8</v>
      </c>
      <c r="CV684" s="27" t="s">
        <v>7</v>
      </c>
      <c r="CW684" s="27" t="s">
        <v>8</v>
      </c>
      <c r="CX684" s="27" t="s">
        <v>7</v>
      </c>
      <c r="DA684" s="27" t="s">
        <v>8</v>
      </c>
      <c r="DB684" s="27" t="s">
        <v>7</v>
      </c>
      <c r="DC684" s="27" t="s">
        <v>8</v>
      </c>
      <c r="DD684" s="27" t="s">
        <v>7</v>
      </c>
    </row>
    <row r="685" spans="1:201" x14ac:dyDescent="0.25">
      <c r="A685" s="7">
        <v>0.14360949907253467</v>
      </c>
      <c r="B685"/>
      <c r="C685"/>
      <c r="D685"/>
      <c r="E685"/>
      <c r="CN685" s="27" t="s">
        <v>7</v>
      </c>
      <c r="CO685" s="27" t="s">
        <v>8</v>
      </c>
      <c r="CP685" s="27" t="s">
        <v>7</v>
      </c>
      <c r="CQ685" s="27" t="s">
        <v>8</v>
      </c>
      <c r="CR685" s="27" t="s">
        <v>7</v>
      </c>
      <c r="CS685" s="27" t="s">
        <v>8</v>
      </c>
      <c r="CT685" s="27" t="s">
        <v>7</v>
      </c>
      <c r="CU685" s="27" t="s">
        <v>8</v>
      </c>
      <c r="CV685" s="27" t="s">
        <v>7</v>
      </c>
      <c r="CW685" s="27" t="s">
        <v>8</v>
      </c>
      <c r="CX685" s="27" t="s">
        <v>7</v>
      </c>
      <c r="DA685" s="27" t="s">
        <v>8</v>
      </c>
      <c r="DB685" s="27" t="s">
        <v>7</v>
      </c>
      <c r="DC685" s="27" t="s">
        <v>8</v>
      </c>
    </row>
    <row r="686" spans="1:201" x14ac:dyDescent="0.25">
      <c r="A686" s="7">
        <v>0.14079362654170066</v>
      </c>
      <c r="B686"/>
      <c r="C686"/>
      <c r="D686"/>
      <c r="E686"/>
      <c r="CN686" s="27" t="s">
        <v>7</v>
      </c>
      <c r="CP686" s="27" t="s">
        <v>7</v>
      </c>
      <c r="CQ686" s="27" t="s">
        <v>8</v>
      </c>
      <c r="CR686" s="27" t="s">
        <v>7</v>
      </c>
      <c r="CT686" s="27" t="s">
        <v>7</v>
      </c>
      <c r="CV686" s="27" t="s">
        <v>7</v>
      </c>
      <c r="CW686" s="27" t="s">
        <v>8</v>
      </c>
      <c r="CX686" s="27" t="s">
        <v>7</v>
      </c>
      <c r="DA686" s="27" t="s">
        <v>8</v>
      </c>
      <c r="DB686" s="27" t="s">
        <v>7</v>
      </c>
      <c r="DC686" s="27" t="s">
        <v>8</v>
      </c>
    </row>
    <row r="687" spans="1:201" x14ac:dyDescent="0.25">
      <c r="A687" s="7">
        <v>0.13803296719774574</v>
      </c>
      <c r="B687"/>
      <c r="C687"/>
      <c r="D687"/>
      <c r="E687"/>
      <c r="CP687" s="27" t="s">
        <v>7</v>
      </c>
      <c r="CQ687" s="27" t="s">
        <v>8</v>
      </c>
      <c r="CV687" s="27" t="s">
        <v>7</v>
      </c>
      <c r="CW687" s="27" t="s">
        <v>8</v>
      </c>
      <c r="CX687" s="27" t="s">
        <v>7</v>
      </c>
      <c r="DA687" s="27" t="s">
        <v>8</v>
      </c>
      <c r="DB687" s="27" t="s">
        <v>7</v>
      </c>
      <c r="DC687" s="27" t="s">
        <v>8</v>
      </c>
    </row>
    <row r="688" spans="1:201" x14ac:dyDescent="0.25">
      <c r="A688" s="7">
        <v>0.1353264384291625</v>
      </c>
      <c r="B688"/>
      <c r="C688"/>
      <c r="D688"/>
      <c r="E688"/>
      <c r="CP688" s="27" t="s">
        <v>7</v>
      </c>
      <c r="CQ688" s="27" t="s">
        <v>8</v>
      </c>
      <c r="CV688" s="27" t="s">
        <v>7</v>
      </c>
      <c r="CW688" s="27" t="s">
        <v>8</v>
      </c>
      <c r="CX688" s="27" t="s">
        <v>7</v>
      </c>
      <c r="DA688" s="27" t="s">
        <v>8</v>
      </c>
      <c r="DB688" s="27" t="s">
        <v>7</v>
      </c>
      <c r="DC688" s="27" t="s">
        <v>8</v>
      </c>
    </row>
    <row r="689" spans="1:106" x14ac:dyDescent="0.25">
      <c r="A689" s="7">
        <v>0.13267297885212009</v>
      </c>
      <c r="B689"/>
      <c r="C689"/>
      <c r="D689"/>
      <c r="E689"/>
      <c r="CP689" s="27" t="s">
        <v>7</v>
      </c>
      <c r="CQ689" s="27" t="s">
        <v>8</v>
      </c>
      <c r="CV689" s="27" t="s">
        <v>7</v>
      </c>
      <c r="CX689" s="27" t="s">
        <v>7</v>
      </c>
      <c r="DA689" s="27" t="s">
        <v>8</v>
      </c>
      <c r="DB689" s="27" t="s">
        <v>7</v>
      </c>
    </row>
    <row r="690" spans="1:106" x14ac:dyDescent="0.25">
      <c r="A690" s="7">
        <v>0.13007154789423539</v>
      </c>
      <c r="B690"/>
      <c r="C690"/>
      <c r="D690"/>
      <c r="E690"/>
      <c r="CP690" s="27" t="s">
        <v>7</v>
      </c>
      <c r="CQ690" s="27" t="s">
        <v>8</v>
      </c>
      <c r="CX690" s="27" t="s">
        <v>7</v>
      </c>
      <c r="CY690" s="27" t="s">
        <v>8</v>
      </c>
      <c r="DA690" s="27" t="s">
        <v>8</v>
      </c>
    </row>
    <row r="691" spans="1:106" x14ac:dyDescent="0.25">
      <c r="A691" s="7">
        <v>0.12752112538650529</v>
      </c>
      <c r="B691"/>
      <c r="C691"/>
      <c r="D691"/>
      <c r="E691"/>
      <c r="CP691" s="27" t="s">
        <v>7</v>
      </c>
      <c r="CX691" s="27" t="s">
        <v>7</v>
      </c>
      <c r="CY691" s="27" t="s">
        <v>8</v>
      </c>
      <c r="CZ691" s="27" t="s">
        <v>7</v>
      </c>
      <c r="DA691" s="27" t="s">
        <v>8</v>
      </c>
    </row>
    <row r="692" spans="1:106" x14ac:dyDescent="0.25">
      <c r="A692" s="7">
        <v>0.12502071116324048</v>
      </c>
      <c r="B692"/>
      <c r="C692"/>
      <c r="D692"/>
      <c r="E692"/>
      <c r="CX692" s="18" t="s">
        <v>7</v>
      </c>
      <c r="CY692" s="27" t="s">
        <v>8</v>
      </c>
      <c r="CZ692" s="27" t="s">
        <v>7</v>
      </c>
      <c r="DA692" s="27" t="s">
        <v>8</v>
      </c>
    </row>
    <row r="693" spans="1:106" x14ac:dyDescent="0.25">
      <c r="A693" s="7">
        <v>0.1225693246698436</v>
      </c>
      <c r="B693"/>
      <c r="C693"/>
      <c r="D693"/>
      <c r="E693"/>
      <c r="CX693" s="27" t="s">
        <v>7</v>
      </c>
      <c r="CY693" s="27" t="s">
        <v>8</v>
      </c>
      <c r="CZ693" s="27" t="s">
        <v>7</v>
      </c>
    </row>
    <row r="694" spans="1:106" x14ac:dyDescent="0.25">
      <c r="A694" s="7">
        <v>0.12016600457827803</v>
      </c>
      <c r="B694"/>
      <c r="C694"/>
      <c r="D694"/>
      <c r="E694"/>
      <c r="CX694" s="27" t="s">
        <v>7</v>
      </c>
      <c r="CY694" s="27" t="s">
        <v>8</v>
      </c>
    </row>
    <row r="695" spans="1:106" x14ac:dyDescent="0.25">
      <c r="A695" s="7">
        <v>0.1178098084100765</v>
      </c>
      <c r="B695"/>
      <c r="C695"/>
      <c r="D695"/>
      <c r="E695"/>
      <c r="CX695" s="27" t="s">
        <v>7</v>
      </c>
      <c r="CY695" s="27" t="s">
        <v>8</v>
      </c>
    </row>
    <row r="696" spans="1:106" x14ac:dyDescent="0.25">
      <c r="A696" s="7">
        <v>0.11549981216674166</v>
      </c>
      <c r="B696"/>
      <c r="C696"/>
      <c r="D696"/>
      <c r="E696"/>
      <c r="CX696" s="27" t="s">
        <v>7</v>
      </c>
    </row>
    <row r="697" spans="1:106" x14ac:dyDescent="0.25">
      <c r="A697" s="7">
        <v>0.11323510996739378</v>
      </c>
      <c r="B697"/>
      <c r="C697"/>
      <c r="D697"/>
      <c r="E697"/>
    </row>
    <row r="698" spans="1:106" x14ac:dyDescent="0.25">
      <c r="A698" s="7">
        <v>0.11101481369352331</v>
      </c>
      <c r="B698"/>
      <c r="C698"/>
      <c r="D698"/>
      <c r="E698"/>
    </row>
    <row r="699" spans="1:106" x14ac:dyDescent="0.25">
      <c r="A699" s="7">
        <v>0.10883805264070913</v>
      </c>
      <c r="B699"/>
      <c r="C699"/>
      <c r="D699"/>
      <c r="E699"/>
    </row>
    <row r="700" spans="1:106" x14ac:dyDescent="0.25">
      <c r="A700" s="7">
        <v>0.10670397317716582</v>
      </c>
      <c r="B700"/>
      <c r="C700"/>
      <c r="D700"/>
      <c r="E700"/>
    </row>
    <row r="701" spans="1:106" x14ac:dyDescent="0.25">
      <c r="A701" s="7">
        <v>0.1046117384089861</v>
      </c>
      <c r="B701"/>
      <c r="C701"/>
      <c r="D701"/>
      <c r="E701"/>
    </row>
    <row r="702" spans="1:106" x14ac:dyDescent="0.25">
      <c r="A702" s="7">
        <v>0.10256052785194716</v>
      </c>
      <c r="B702"/>
      <c r="C702"/>
      <c r="D702"/>
      <c r="E702"/>
    </row>
    <row r="703" spans="1:106" x14ac:dyDescent="0.25">
      <c r="A703" s="7">
        <v>0.10054953710975212</v>
      </c>
      <c r="B703"/>
      <c r="C703"/>
      <c r="D703"/>
      <c r="E703"/>
    </row>
    <row r="704" spans="1:106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79" operator="equal">
      <formula>$U$1</formula>
    </cfRule>
    <cfRule type="cellIs" dxfId="89" priority="780" operator="equal">
      <formula>$S$1</formula>
    </cfRule>
  </conditionalFormatting>
  <conditionalFormatting sqref="D27">
    <cfRule type="cellIs" dxfId="88" priority="777" operator="equal">
      <formula>$S$1</formula>
    </cfRule>
    <cfRule type="cellIs" dxfId="87" priority="778" operator="equal">
      <formula>$U$1</formula>
    </cfRule>
  </conditionalFormatting>
  <conditionalFormatting sqref="C164">
    <cfRule type="cellIs" dxfId="86" priority="775" operator="equal">
      <formula>$U$1</formula>
    </cfRule>
    <cfRule type="cellIs" dxfId="85" priority="776" operator="equal">
      <formula>$S$1</formula>
    </cfRule>
  </conditionalFormatting>
  <conditionalFormatting sqref="D164">
    <cfRule type="cellIs" dxfId="84" priority="773" operator="equal">
      <formula>$S$1</formula>
    </cfRule>
    <cfRule type="cellIs" dxfId="83" priority="774" operator="equal">
      <formula>$U$1</formula>
    </cfRule>
  </conditionalFormatting>
  <conditionalFormatting sqref="C55">
    <cfRule type="cellIs" dxfId="82" priority="771" operator="equal">
      <formula>$U$1</formula>
    </cfRule>
    <cfRule type="cellIs" dxfId="81" priority="772" operator="equal">
      <formula>$S$1</formula>
    </cfRule>
  </conditionalFormatting>
  <conditionalFormatting sqref="D55">
    <cfRule type="cellIs" dxfId="80" priority="769" operator="equal">
      <formula>$S$1</formula>
    </cfRule>
    <cfRule type="cellIs" dxfId="79" priority="770" operator="equal">
      <formula>$U$1</formula>
    </cfRule>
  </conditionalFormatting>
  <conditionalFormatting sqref="C89">
    <cfRule type="cellIs" dxfId="78" priority="767" operator="equal">
      <formula>$U$1</formula>
    </cfRule>
    <cfRule type="cellIs" dxfId="77" priority="768" operator="equal">
      <formula>$S$1</formula>
    </cfRule>
  </conditionalFormatting>
  <conditionalFormatting sqref="D89">
    <cfRule type="cellIs" dxfId="76" priority="765" operator="equal">
      <formula>$S$1</formula>
    </cfRule>
    <cfRule type="cellIs" dxfId="75" priority="766" operator="equal">
      <formula>$U$1</formula>
    </cfRule>
  </conditionalFormatting>
  <conditionalFormatting sqref="C136">
    <cfRule type="cellIs" dxfId="74" priority="763" operator="equal">
      <formula>$U$1</formula>
    </cfRule>
    <cfRule type="cellIs" dxfId="73" priority="764" operator="equal">
      <formula>$S$1</formula>
    </cfRule>
  </conditionalFormatting>
  <conditionalFormatting sqref="D136">
    <cfRule type="cellIs" dxfId="72" priority="761" operator="equal">
      <formula>$S$1</formula>
    </cfRule>
    <cfRule type="cellIs" dxfId="71" priority="762" operator="equal">
      <formula>$U$1</formula>
    </cfRule>
  </conditionalFormatting>
  <conditionalFormatting sqref="C1">
    <cfRule type="cellIs" dxfId="70" priority="76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M271" sqref="DM27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$A$270</v>
      </c>
      <c r="D111" s="1" t="str">
        <f>ADDRESS(C121-1,D121,1,1)</f>
        <v>$DM$270</v>
      </c>
      <c r="E111"/>
    </row>
    <row r="112" spans="1:5" x14ac:dyDescent="0.25">
      <c r="A112" s="30">
        <v>515.50191262726139</v>
      </c>
      <c r="C112" s="1" t="str">
        <f>ADDRESS(C121,1,1,1)</f>
        <v>$A$271</v>
      </c>
      <c r="D112" s="1" t="str">
        <f>ADDRESS(C121,D121-1,1,1)</f>
        <v>$DL$271</v>
      </c>
      <c r="E112"/>
    </row>
    <row r="113" spans="1:5" x14ac:dyDescent="0.25">
      <c r="A113" s="30">
        <v>490.95420250215363</v>
      </c>
      <c r="C113" s="1" t="str">
        <f>ADDRESS(C121+1,1,1,1)</f>
        <v>$A$272</v>
      </c>
      <c r="D113" s="1" t="str">
        <f>ADDRESS(C121-1,D121+1,1,1)</f>
        <v>$DN$270</v>
      </c>
    </row>
    <row r="114" spans="1:5" x14ac:dyDescent="0.25">
      <c r="A114" s="30">
        <v>467.57543095443202</v>
      </c>
      <c r="C114" s="1" t="str">
        <f>ADDRESS(C121,D121,1,1)</f>
        <v>$DM$271</v>
      </c>
      <c r="D114" s="1" t="str">
        <f>ADDRESS(C121+1,D121+1,1,1)</f>
        <v>$DN$272</v>
      </c>
    </row>
    <row r="115" spans="1:5" x14ac:dyDescent="0.25">
      <c r="A115" s="30">
        <v>445.30993424231622</v>
      </c>
      <c r="C115" s="1" t="str">
        <f>ADDRESS(C121+1,D121,1,1)</f>
        <v>$DM$272</v>
      </c>
    </row>
    <row r="116" spans="1:5" x14ac:dyDescent="0.25">
      <c r="A116" s="30">
        <v>424.10469927839637</v>
      </c>
      <c r="C116" s="1">
        <f>C117-1</f>
        <v>270</v>
      </c>
    </row>
    <row r="117" spans="1:5" x14ac:dyDescent="0.25">
      <c r="A117" s="30">
        <v>403.9092374079965</v>
      </c>
      <c r="C117" s="1">
        <f>C121</f>
        <v>271</v>
      </c>
      <c r="D117" s="1">
        <f>D121</f>
        <v>117</v>
      </c>
    </row>
    <row r="118" spans="1:5" x14ac:dyDescent="0.25">
      <c r="A118" s="30">
        <v>384.6754641980919</v>
      </c>
      <c r="C118" s="1">
        <f>C117+1</f>
        <v>272</v>
      </c>
      <c r="D118" s="1">
        <f>D117+1</f>
        <v>118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271</v>
      </c>
      <c r="D121" s="19">
        <v>117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R271</v>
      </c>
      <c r="D123" s="1" t="str">
        <f>"C"&amp;D121</f>
        <v>C117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0.22035947491033836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74" x14ac:dyDescent="0.25">
      <c r="A225" s="30">
        <v>2.0789281794113688</v>
      </c>
      <c r="E225"/>
    </row>
    <row r="226" spans="1:74" x14ac:dyDescent="0.25">
      <c r="A226" s="30">
        <v>1.9799315994393987</v>
      </c>
      <c r="E226"/>
    </row>
    <row r="227" spans="1:74" x14ac:dyDescent="0.25">
      <c r="A227" s="30">
        <v>1.8856491423232367</v>
      </c>
      <c r="E227"/>
    </row>
    <row r="228" spans="1:74" x14ac:dyDescent="0.25">
      <c r="A228" s="30">
        <v>1.7958563260221301</v>
      </c>
      <c r="C228" s="7"/>
      <c r="D228"/>
      <c r="E228"/>
    </row>
    <row r="229" spans="1:74" x14ac:dyDescent="0.25">
      <c r="A229" s="30">
        <v>1.7103393581163142</v>
      </c>
      <c r="E229"/>
    </row>
    <row r="230" spans="1:74" x14ac:dyDescent="0.25">
      <c r="A230" s="30">
        <v>1.628894626777442</v>
      </c>
      <c r="E230"/>
    </row>
    <row r="231" spans="1:74" x14ac:dyDescent="0.25">
      <c r="A231" s="30">
        <v>1.5513282159785162</v>
      </c>
      <c r="C231"/>
      <c r="D231"/>
      <c r="E231"/>
    </row>
    <row r="232" spans="1:74" x14ac:dyDescent="0.25">
      <c r="A232" s="30">
        <v>1.477455443789063</v>
      </c>
      <c r="E232"/>
    </row>
    <row r="233" spans="1:74" x14ac:dyDescent="0.25">
      <c r="A233" s="30">
        <v>1.4071004226562505</v>
      </c>
      <c r="E233"/>
    </row>
    <row r="234" spans="1:74" x14ac:dyDescent="0.25">
      <c r="A234" s="30">
        <v>1.3400956406250004</v>
      </c>
      <c r="E234"/>
    </row>
    <row r="235" spans="1:74" x14ac:dyDescent="0.25">
      <c r="A235" s="30">
        <v>1.2762815625000004</v>
      </c>
      <c r="C235"/>
      <c r="E235"/>
    </row>
    <row r="236" spans="1:74" x14ac:dyDescent="0.25">
      <c r="A236" s="30">
        <v>1.2155062500000002</v>
      </c>
      <c r="E236"/>
    </row>
    <row r="237" spans="1:7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74" x14ac:dyDescent="0.25">
      <c r="A238" s="30">
        <v>1.1025</v>
      </c>
      <c r="E238"/>
    </row>
    <row r="239" spans="1:74" x14ac:dyDescent="0.25">
      <c r="A239" s="30">
        <v>1.05</v>
      </c>
      <c r="E239"/>
      <c r="BU239" s="27" t="s">
        <v>8</v>
      </c>
    </row>
    <row r="240" spans="1:74" x14ac:dyDescent="0.25">
      <c r="A240" s="30">
        <v>1</v>
      </c>
      <c r="E240" s="29" t="s">
        <v>8</v>
      </c>
      <c r="BU240" s="27" t="s">
        <v>8</v>
      </c>
      <c r="BV240" s="27" t="s">
        <v>7</v>
      </c>
    </row>
    <row r="241" spans="1:110" x14ac:dyDescent="0.25">
      <c r="A241" s="30">
        <v>0.952380952380952</v>
      </c>
      <c r="B241"/>
      <c r="C241"/>
      <c r="D241"/>
      <c r="E241"/>
      <c r="F241" s="27" t="s">
        <v>7</v>
      </c>
      <c r="BO241" s="27" t="s">
        <v>8</v>
      </c>
      <c r="BU241" s="27" t="s">
        <v>8</v>
      </c>
      <c r="BV241" s="27" t="s">
        <v>7</v>
      </c>
    </row>
    <row r="242" spans="1:110" x14ac:dyDescent="0.25">
      <c r="A242" s="30">
        <v>0.90702947845804915</v>
      </c>
      <c r="B242"/>
      <c r="C242"/>
      <c r="D242"/>
      <c r="E242"/>
      <c r="F242" s="27" t="s">
        <v>7</v>
      </c>
      <c r="BO242" s="27" t="s">
        <v>8</v>
      </c>
      <c r="BP242" s="27" t="s">
        <v>7</v>
      </c>
      <c r="BU242" s="27" t="s">
        <v>8</v>
      </c>
      <c r="BV242" s="27" t="s">
        <v>7</v>
      </c>
    </row>
    <row r="243" spans="1:110" x14ac:dyDescent="0.25">
      <c r="A243" s="30">
        <v>0.86383759853147501</v>
      </c>
      <c r="B243"/>
      <c r="C243"/>
      <c r="D243"/>
      <c r="E243"/>
      <c r="F243" s="27" t="s">
        <v>7</v>
      </c>
      <c r="BO243" s="27" t="s">
        <v>8</v>
      </c>
      <c r="BP243" s="27" t="s">
        <v>7</v>
      </c>
      <c r="BU243" s="27" t="s">
        <v>8</v>
      </c>
      <c r="BV243" s="27" t="s">
        <v>7</v>
      </c>
    </row>
    <row r="244" spans="1:110" x14ac:dyDescent="0.25">
      <c r="A244" s="30">
        <v>0.82270247479188063</v>
      </c>
      <c r="B244"/>
      <c r="C244"/>
      <c r="D244"/>
      <c r="E244"/>
      <c r="F244" s="27" t="s">
        <v>7</v>
      </c>
      <c r="BO244" s="27" t="s">
        <v>8</v>
      </c>
      <c r="BP244" s="27" t="s">
        <v>7</v>
      </c>
      <c r="BU244" s="27" t="s">
        <v>8</v>
      </c>
      <c r="BV244" s="27" t="s">
        <v>7</v>
      </c>
    </row>
    <row r="245" spans="1:110" x14ac:dyDescent="0.25">
      <c r="A245" s="30">
        <v>0.78352616646845741</v>
      </c>
      <c r="B245"/>
      <c r="C245"/>
      <c r="D245"/>
      <c r="E245"/>
      <c r="F245" s="27" t="s">
        <v>7</v>
      </c>
      <c r="BO245" s="27" t="s">
        <v>8</v>
      </c>
      <c r="BP245" s="27" t="s">
        <v>7</v>
      </c>
      <c r="BU245" s="27" t="s">
        <v>8</v>
      </c>
      <c r="BV245" s="27" t="s">
        <v>7</v>
      </c>
      <c r="BY245" s="27" t="s">
        <v>8</v>
      </c>
    </row>
    <row r="246" spans="1:110" x14ac:dyDescent="0.25">
      <c r="A246" s="30">
        <v>0.74621539663662584</v>
      </c>
      <c r="B246"/>
      <c r="C246"/>
      <c r="D246"/>
      <c r="E246"/>
      <c r="F246" s="27" t="s">
        <v>7</v>
      </c>
      <c r="BO246" s="27" t="s">
        <v>8</v>
      </c>
      <c r="BP246" s="27" t="s">
        <v>7</v>
      </c>
      <c r="BU246" s="27" t="s">
        <v>8</v>
      </c>
      <c r="BV246" s="27" t="s">
        <v>7</v>
      </c>
      <c r="BW246" s="27" t="s">
        <v>8</v>
      </c>
      <c r="BY246" s="27" t="s">
        <v>8</v>
      </c>
      <c r="BZ246" s="27" t="s">
        <v>7</v>
      </c>
    </row>
    <row r="247" spans="1:110" x14ac:dyDescent="0.25">
      <c r="A247" s="30">
        <v>0.71068133013011958</v>
      </c>
      <c r="B247"/>
      <c r="C247"/>
      <c r="D247"/>
      <c r="E247"/>
      <c r="F247" s="27" t="s">
        <v>7</v>
      </c>
      <c r="BO247" s="27" t="s">
        <v>8</v>
      </c>
      <c r="BP247" s="27" t="s">
        <v>7</v>
      </c>
      <c r="BU247" s="27" t="s">
        <v>8</v>
      </c>
      <c r="BV247" s="27" t="s">
        <v>7</v>
      </c>
      <c r="BW247" s="27" t="s">
        <v>8</v>
      </c>
      <c r="BX247" s="27" t="s">
        <v>7</v>
      </c>
      <c r="BY247" s="27" t="s">
        <v>8</v>
      </c>
      <c r="BZ247" s="27" t="s">
        <v>7</v>
      </c>
      <c r="CE247" s="27" t="s">
        <v>8</v>
      </c>
      <c r="CS247" s="27" t="s">
        <v>8</v>
      </c>
      <c r="CW247" s="27" t="s">
        <v>8</v>
      </c>
    </row>
    <row r="248" spans="1:110" x14ac:dyDescent="0.25">
      <c r="A248" s="30">
        <v>0.676839362028685</v>
      </c>
      <c r="B248"/>
      <c r="C248"/>
      <c r="D248"/>
      <c r="E248"/>
      <c r="F248" s="27" t="s">
        <v>7</v>
      </c>
      <c r="BO248" s="27" t="s">
        <v>8</v>
      </c>
      <c r="BP248" s="27" t="s">
        <v>7</v>
      </c>
      <c r="BU248" s="27" t="s">
        <v>8</v>
      </c>
      <c r="BV248" s="27" t="s">
        <v>7</v>
      </c>
      <c r="BW248" s="27" t="s">
        <v>8</v>
      </c>
      <c r="BX248" s="27" t="s">
        <v>7</v>
      </c>
      <c r="BY248" s="27" t="s">
        <v>8</v>
      </c>
      <c r="BZ248" s="27" t="s">
        <v>7</v>
      </c>
      <c r="CE248" s="27" t="s">
        <v>8</v>
      </c>
      <c r="CF248" s="27" t="s">
        <v>7</v>
      </c>
      <c r="CS248" s="27" t="s">
        <v>8</v>
      </c>
      <c r="CT248" s="27" t="s">
        <v>7</v>
      </c>
      <c r="CU248" s="27" t="s">
        <v>8</v>
      </c>
      <c r="CW248" s="27" t="s">
        <v>8</v>
      </c>
      <c r="CX248" s="27" t="s">
        <v>7</v>
      </c>
    </row>
    <row r="249" spans="1:110" x14ac:dyDescent="0.25">
      <c r="A249" s="30">
        <v>0.64460891621779492</v>
      </c>
      <c r="B249"/>
      <c r="C249"/>
      <c r="D249"/>
      <c r="E249"/>
      <c r="F249" s="27" t="s">
        <v>7</v>
      </c>
      <c r="BO249" s="27" t="s">
        <v>8</v>
      </c>
      <c r="BP249" s="27" t="s">
        <v>7</v>
      </c>
      <c r="BU249" s="27" t="s">
        <v>8</v>
      </c>
      <c r="BV249" s="27" t="s">
        <v>7</v>
      </c>
      <c r="BW249" s="27" t="s">
        <v>8</v>
      </c>
      <c r="BX249" s="27" t="s">
        <v>7</v>
      </c>
      <c r="BY249" s="27" t="s">
        <v>8</v>
      </c>
      <c r="BZ249" s="27" t="s">
        <v>7</v>
      </c>
      <c r="CA249" s="27" t="s">
        <v>8</v>
      </c>
      <c r="CC249" s="27" t="s">
        <v>8</v>
      </c>
      <c r="CE249" s="27" t="s">
        <v>8</v>
      </c>
      <c r="CF249" s="27" t="s">
        <v>7</v>
      </c>
      <c r="CG249" s="27" t="s">
        <v>8</v>
      </c>
      <c r="CO249" s="27" t="s">
        <v>8</v>
      </c>
      <c r="CQ249" s="27" t="s">
        <v>8</v>
      </c>
      <c r="CS249" s="27" t="s">
        <v>8</v>
      </c>
      <c r="CT249" s="27" t="s">
        <v>7</v>
      </c>
      <c r="CU249" s="27" t="s">
        <v>8</v>
      </c>
      <c r="CV249" s="27" t="s">
        <v>7</v>
      </c>
      <c r="CW249" s="27" t="s">
        <v>8</v>
      </c>
      <c r="CX249" s="27" t="s">
        <v>7</v>
      </c>
    </row>
    <row r="250" spans="1:110" x14ac:dyDescent="0.25">
      <c r="A250" s="30">
        <v>0.61391325354075688</v>
      </c>
      <c r="B250"/>
      <c r="C250"/>
      <c r="D250"/>
      <c r="E250"/>
      <c r="F250" s="27" t="s">
        <v>7</v>
      </c>
      <c r="O250" s="27" t="s">
        <v>8</v>
      </c>
      <c r="BO250" s="27" t="s">
        <v>8</v>
      </c>
      <c r="BP250" s="27" t="s">
        <v>7</v>
      </c>
      <c r="BU250" s="27" t="s">
        <v>8</v>
      </c>
      <c r="BV250" s="27" t="s">
        <v>7</v>
      </c>
      <c r="BX250" s="27" t="s">
        <v>7</v>
      </c>
      <c r="BZ250" s="27" t="s">
        <v>7</v>
      </c>
      <c r="CA250" s="27" t="s">
        <v>8</v>
      </c>
      <c r="CB250" s="27" t="s">
        <v>7</v>
      </c>
      <c r="CC250" s="27" t="s">
        <v>8</v>
      </c>
      <c r="CD250" s="27" t="s">
        <v>7</v>
      </c>
      <c r="CE250" s="27" t="s">
        <v>8</v>
      </c>
      <c r="CF250" s="27" t="s">
        <v>7</v>
      </c>
      <c r="CG250" s="27" t="s">
        <v>8</v>
      </c>
      <c r="CH250" s="27" t="s">
        <v>7</v>
      </c>
      <c r="CM250" s="27" t="s">
        <v>8</v>
      </c>
      <c r="CO250" s="27" t="s">
        <v>8</v>
      </c>
      <c r="CP250" s="27" t="s">
        <v>7</v>
      </c>
      <c r="CQ250" s="27" t="s">
        <v>8</v>
      </c>
      <c r="CR250" s="27" t="s">
        <v>7</v>
      </c>
      <c r="CS250" s="27" t="s">
        <v>8</v>
      </c>
      <c r="CT250" s="27" t="s">
        <v>7</v>
      </c>
      <c r="CU250" s="27" t="s">
        <v>8</v>
      </c>
      <c r="CV250" s="27" t="s">
        <v>7</v>
      </c>
      <c r="CW250" s="27" t="s">
        <v>8</v>
      </c>
      <c r="CX250" s="27" t="s">
        <v>7</v>
      </c>
    </row>
    <row r="251" spans="1:110" x14ac:dyDescent="0.25">
      <c r="A251" s="30">
        <v>0.58467928908643485</v>
      </c>
      <c r="B251"/>
      <c r="C251"/>
      <c r="D251"/>
      <c r="E251"/>
      <c r="F251" s="27" t="s">
        <v>7</v>
      </c>
      <c r="O251" s="27" t="s">
        <v>8</v>
      </c>
      <c r="P251" s="27" t="s">
        <v>7</v>
      </c>
      <c r="BO251" s="27" t="s">
        <v>8</v>
      </c>
      <c r="BP251" s="27" t="s">
        <v>7</v>
      </c>
      <c r="BS251" s="27" t="s">
        <v>8</v>
      </c>
      <c r="BU251" s="27" t="s">
        <v>8</v>
      </c>
      <c r="BZ251" s="27" t="s">
        <v>7</v>
      </c>
      <c r="CA251" s="27" t="s">
        <v>8</v>
      </c>
      <c r="CB251" s="27" t="s">
        <v>7</v>
      </c>
      <c r="CC251" s="27" t="s">
        <v>8</v>
      </c>
      <c r="CD251" s="27" t="s">
        <v>7</v>
      </c>
      <c r="CE251" s="27" t="s">
        <v>8</v>
      </c>
      <c r="CF251" s="27" t="s">
        <v>7</v>
      </c>
      <c r="CG251" s="27" t="s">
        <v>8</v>
      </c>
      <c r="CH251" s="27" t="s">
        <v>7</v>
      </c>
      <c r="CM251" s="27" t="s">
        <v>8</v>
      </c>
      <c r="CN251" s="27" t="s">
        <v>7</v>
      </c>
      <c r="CO251" s="27" t="s">
        <v>8</v>
      </c>
      <c r="CP251" s="27" t="s">
        <v>7</v>
      </c>
      <c r="CQ251" s="27" t="s">
        <v>8</v>
      </c>
      <c r="CR251" s="27" t="s">
        <v>7</v>
      </c>
      <c r="CS251" s="27" t="s">
        <v>8</v>
      </c>
      <c r="CT251" s="27" t="s">
        <v>7</v>
      </c>
      <c r="CV251" s="27" t="s">
        <v>7</v>
      </c>
      <c r="CX251" s="27" t="s">
        <v>7</v>
      </c>
    </row>
    <row r="252" spans="1:110" x14ac:dyDescent="0.25">
      <c r="A252" s="30">
        <v>0.55683741817755672</v>
      </c>
      <c r="B252"/>
      <c r="C252"/>
      <c r="D252"/>
      <c r="E252"/>
      <c r="F252" s="27" t="s">
        <v>7</v>
      </c>
      <c r="O252" s="27" t="s">
        <v>8</v>
      </c>
      <c r="P252" s="27" t="s">
        <v>7</v>
      </c>
      <c r="BO252" s="27" t="s">
        <v>8</v>
      </c>
      <c r="BP252" s="27" t="s">
        <v>7</v>
      </c>
      <c r="BQ252" s="27" t="s">
        <v>8</v>
      </c>
      <c r="BS252" s="27" t="s">
        <v>8</v>
      </c>
      <c r="BT252" s="27" t="s">
        <v>7</v>
      </c>
      <c r="BU252" s="27" t="s">
        <v>8</v>
      </c>
      <c r="BZ252" s="27" t="s">
        <v>7</v>
      </c>
      <c r="CA252" s="27" t="s">
        <v>8</v>
      </c>
      <c r="CB252" s="27" t="s">
        <v>7</v>
      </c>
      <c r="CC252" s="27" t="s">
        <v>8</v>
      </c>
      <c r="CD252" s="27" t="s">
        <v>7</v>
      </c>
      <c r="CF252" s="27" t="s">
        <v>7</v>
      </c>
      <c r="CG252" s="27" t="s">
        <v>8</v>
      </c>
      <c r="CH252" s="27" t="s">
        <v>7</v>
      </c>
      <c r="CK252" s="27" t="s">
        <v>8</v>
      </c>
      <c r="CM252" s="27" t="s">
        <v>8</v>
      </c>
      <c r="CN252" s="27" t="s">
        <v>7</v>
      </c>
      <c r="CO252" s="27" t="s">
        <v>8</v>
      </c>
      <c r="CP252" s="27" t="s">
        <v>7</v>
      </c>
      <c r="CR252" s="27" t="s">
        <v>7</v>
      </c>
      <c r="CS252" s="27" t="s">
        <v>8</v>
      </c>
      <c r="CX252" s="27" t="s">
        <v>7</v>
      </c>
    </row>
    <row r="253" spans="1:110" x14ac:dyDescent="0.25">
      <c r="A253" s="30">
        <v>0.53032135064529184</v>
      </c>
      <c r="B253"/>
      <c r="C253"/>
      <c r="D253"/>
      <c r="E253"/>
      <c r="F253" s="27" t="s">
        <v>7</v>
      </c>
      <c r="O253" s="27" t="s">
        <v>8</v>
      </c>
      <c r="P253" s="27" t="s">
        <v>7</v>
      </c>
      <c r="Q253" s="27" t="s">
        <v>8</v>
      </c>
      <c r="AI253" s="27" t="s">
        <v>8</v>
      </c>
      <c r="BO253" s="27" t="s">
        <v>8</v>
      </c>
      <c r="BP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  <c r="BU253" s="27" t="s">
        <v>8</v>
      </c>
      <c r="BZ253" s="27" t="s">
        <v>7</v>
      </c>
      <c r="CB253" s="27" t="s">
        <v>7</v>
      </c>
      <c r="CF253" s="27" t="s">
        <v>7</v>
      </c>
      <c r="CG253" s="27" t="s">
        <v>8</v>
      </c>
      <c r="CH253" s="27" t="s">
        <v>7</v>
      </c>
      <c r="CI253" s="27" t="s">
        <v>8</v>
      </c>
      <c r="CK253" s="27" t="s">
        <v>8</v>
      </c>
      <c r="CL253" s="27" t="s">
        <v>7</v>
      </c>
      <c r="CM253" s="27" t="s">
        <v>8</v>
      </c>
      <c r="CN253" s="27" t="s">
        <v>7</v>
      </c>
      <c r="CO253" s="27" t="s">
        <v>8</v>
      </c>
      <c r="CR253" s="27" t="s">
        <v>7</v>
      </c>
      <c r="CS253" s="27" t="s">
        <v>8</v>
      </c>
      <c r="CX253" s="27" t="s">
        <v>7</v>
      </c>
      <c r="CY253" s="27" t="s">
        <v>8</v>
      </c>
      <c r="DE253" s="27" t="s">
        <v>8</v>
      </c>
    </row>
    <row r="254" spans="1:110" x14ac:dyDescent="0.25">
      <c r="A254" s="30">
        <v>0.50506795299551588</v>
      </c>
      <c r="B254"/>
      <c r="C254"/>
      <c r="D254"/>
      <c r="E254"/>
      <c r="F254" s="27" t="s">
        <v>7</v>
      </c>
      <c r="O254" s="27" t="s">
        <v>8</v>
      </c>
      <c r="P254" s="27" t="s">
        <v>7</v>
      </c>
      <c r="Q254" s="27" t="s">
        <v>8</v>
      </c>
      <c r="R254" s="27" t="s">
        <v>7</v>
      </c>
      <c r="AI254" s="27" t="s">
        <v>8</v>
      </c>
      <c r="AJ254" s="27" t="s">
        <v>7</v>
      </c>
      <c r="AK254" s="27" t="s">
        <v>8</v>
      </c>
      <c r="AO254" s="27" t="s">
        <v>8</v>
      </c>
      <c r="AQ254" s="27" t="s">
        <v>8</v>
      </c>
      <c r="BO254" s="27" t="s">
        <v>8</v>
      </c>
      <c r="BP254" s="27" t="s">
        <v>7</v>
      </c>
      <c r="BQ254" s="27" t="s">
        <v>8</v>
      </c>
      <c r="BR254" s="27" t="s">
        <v>7</v>
      </c>
      <c r="BS254" s="27" t="s">
        <v>8</v>
      </c>
      <c r="BT254" s="27" t="s">
        <v>7</v>
      </c>
      <c r="BU254" s="27" t="s">
        <v>8</v>
      </c>
      <c r="CF254" s="27" t="s">
        <v>7</v>
      </c>
      <c r="CG254" s="27" t="s">
        <v>8</v>
      </c>
      <c r="CH254" s="27" t="s">
        <v>7</v>
      </c>
      <c r="CI254" s="27" t="s">
        <v>8</v>
      </c>
      <c r="CJ254" s="27" t="s">
        <v>7</v>
      </c>
      <c r="CK254" s="27" t="s">
        <v>8</v>
      </c>
      <c r="CL254" s="27" t="s">
        <v>7</v>
      </c>
      <c r="CM254" s="27" t="s">
        <v>8</v>
      </c>
      <c r="CN254" s="27" t="s">
        <v>7</v>
      </c>
      <c r="CO254" s="27" t="s">
        <v>8</v>
      </c>
      <c r="CR254" s="27" t="s">
        <v>7</v>
      </c>
      <c r="CX254" s="27" t="s">
        <v>7</v>
      </c>
      <c r="CY254" s="27" t="s">
        <v>8</v>
      </c>
      <c r="CZ254" s="27" t="s">
        <v>7</v>
      </c>
      <c r="DE254" s="27" t="s">
        <v>8</v>
      </c>
      <c r="DF254" s="27" t="s">
        <v>7</v>
      </c>
    </row>
    <row r="255" spans="1:110" x14ac:dyDescent="0.25">
      <c r="A255" s="30">
        <v>0.48101709809096732</v>
      </c>
      <c r="E255"/>
      <c r="F255" s="27" t="s">
        <v>7</v>
      </c>
      <c r="O255" s="27" t="s">
        <v>8</v>
      </c>
      <c r="P255" s="27" t="s">
        <v>7</v>
      </c>
      <c r="Q255" s="27" t="s">
        <v>8</v>
      </c>
      <c r="R255" s="27" t="s">
        <v>7</v>
      </c>
      <c r="AI255" s="27" t="s">
        <v>8</v>
      </c>
      <c r="AJ255" s="27" t="s">
        <v>7</v>
      </c>
      <c r="AK255" s="27" t="s">
        <v>8</v>
      </c>
      <c r="AL255" s="27" t="s">
        <v>7</v>
      </c>
      <c r="AO255" s="27" t="s">
        <v>8</v>
      </c>
      <c r="AP255" s="27" t="s">
        <v>7</v>
      </c>
      <c r="AQ255" s="27" t="s">
        <v>8</v>
      </c>
      <c r="AR255" s="27" t="s">
        <v>7</v>
      </c>
      <c r="BO255" s="27" t="s">
        <v>8</v>
      </c>
      <c r="BP255" s="27" t="s">
        <v>7</v>
      </c>
      <c r="BR255" s="27" t="s">
        <v>7</v>
      </c>
      <c r="BS255" s="27" t="s">
        <v>8</v>
      </c>
      <c r="BT255" s="27" t="s">
        <v>7</v>
      </c>
      <c r="BU255" s="27" t="s">
        <v>8</v>
      </c>
      <c r="CF255" s="27" t="s">
        <v>7</v>
      </c>
      <c r="CG255" s="27" t="s">
        <v>8</v>
      </c>
      <c r="CH255" s="27" t="s">
        <v>7</v>
      </c>
      <c r="CI255" s="27" t="s">
        <v>8</v>
      </c>
      <c r="CJ255" s="27" t="s">
        <v>7</v>
      </c>
      <c r="CK255" s="27" t="s">
        <v>8</v>
      </c>
      <c r="CL255" s="27" t="s">
        <v>7</v>
      </c>
      <c r="CM255" s="27" t="s">
        <v>8</v>
      </c>
      <c r="CN255" s="27" t="s">
        <v>7</v>
      </c>
      <c r="CX255" s="27" t="s">
        <v>7</v>
      </c>
      <c r="CY255" s="27" t="s">
        <v>8</v>
      </c>
      <c r="CZ255" s="27" t="s">
        <v>7</v>
      </c>
      <c r="DE255" s="27" t="s">
        <v>8</v>
      </c>
      <c r="DF255" s="27" t="s">
        <v>7</v>
      </c>
    </row>
    <row r="256" spans="1:110" x14ac:dyDescent="0.25">
      <c r="A256" s="30">
        <v>0.45811152199139726</v>
      </c>
      <c r="E256"/>
      <c r="F256" s="27" t="s">
        <v>7</v>
      </c>
      <c r="M256" s="27" t="s">
        <v>8</v>
      </c>
      <c r="O256" s="27" t="s">
        <v>8</v>
      </c>
      <c r="P256" s="27" t="s">
        <v>7</v>
      </c>
      <c r="Q256" s="27" t="s">
        <v>8</v>
      </c>
      <c r="R256" s="27" t="s">
        <v>7</v>
      </c>
      <c r="AC256" s="27" t="s">
        <v>8</v>
      </c>
      <c r="AE256" s="27" t="s">
        <v>8</v>
      </c>
      <c r="AI256" s="27" t="s">
        <v>8</v>
      </c>
      <c r="AJ256" s="27" t="s">
        <v>7</v>
      </c>
      <c r="AK256" s="27" t="s">
        <v>8</v>
      </c>
      <c r="AL256" s="27" t="s">
        <v>7</v>
      </c>
      <c r="AO256" s="27" t="s">
        <v>8</v>
      </c>
      <c r="AP256" s="27" t="s">
        <v>7</v>
      </c>
      <c r="AQ256" s="27" t="s">
        <v>8</v>
      </c>
      <c r="AR256" s="27" t="s">
        <v>7</v>
      </c>
      <c r="AS256" s="27" t="s">
        <v>8</v>
      </c>
      <c r="AU256" s="27" t="s">
        <v>8</v>
      </c>
      <c r="BO256" s="27" t="s">
        <v>8</v>
      </c>
      <c r="BR256" s="27" t="s">
        <v>7</v>
      </c>
      <c r="BS256" s="27" t="s">
        <v>8</v>
      </c>
      <c r="BT256" s="27" t="s">
        <v>7</v>
      </c>
      <c r="CF256" s="27" t="s">
        <v>7</v>
      </c>
      <c r="CG256" s="27" t="s">
        <v>8</v>
      </c>
      <c r="CH256" s="27" t="s">
        <v>7</v>
      </c>
      <c r="CI256" s="27" t="s">
        <v>8</v>
      </c>
      <c r="CJ256" s="27" t="s">
        <v>7</v>
      </c>
      <c r="CK256" s="27" t="s">
        <v>8</v>
      </c>
      <c r="CL256" s="27" t="s">
        <v>7</v>
      </c>
      <c r="CM256" s="27" t="s">
        <v>8</v>
      </c>
      <c r="CX256" s="27" t="s">
        <v>7</v>
      </c>
      <c r="CY256" s="27" t="s">
        <v>8</v>
      </c>
      <c r="CZ256" s="27" t="s">
        <v>7</v>
      </c>
      <c r="DE256" s="27" t="s">
        <v>8</v>
      </c>
      <c r="DF256" s="27" t="s">
        <v>7</v>
      </c>
    </row>
    <row r="257" spans="1:117" x14ac:dyDescent="0.25">
      <c r="A257" s="30">
        <v>0.43629668761085438</v>
      </c>
      <c r="B257"/>
      <c r="C257"/>
      <c r="D257"/>
      <c r="E257"/>
      <c r="F257" s="27" t="s">
        <v>7</v>
      </c>
      <c r="M257" s="27" t="s">
        <v>8</v>
      </c>
      <c r="N257" s="27" t="s">
        <v>7</v>
      </c>
      <c r="O257" s="27" t="s">
        <v>8</v>
      </c>
      <c r="P257" s="27" t="s">
        <v>7</v>
      </c>
      <c r="Q257" s="27" t="s">
        <v>8</v>
      </c>
      <c r="R257" s="27" t="s">
        <v>7</v>
      </c>
      <c r="AC257" s="27" t="s">
        <v>8</v>
      </c>
      <c r="AD257" s="27" t="s">
        <v>7</v>
      </c>
      <c r="AE257" s="27" t="s">
        <v>8</v>
      </c>
      <c r="AF257" s="27" t="s">
        <v>7</v>
      </c>
      <c r="AG257" s="27" t="s">
        <v>8</v>
      </c>
      <c r="AI257" s="27" t="s">
        <v>8</v>
      </c>
      <c r="AJ257" s="27" t="s">
        <v>7</v>
      </c>
      <c r="AK257" s="27" t="s">
        <v>8</v>
      </c>
      <c r="AL257" s="27" t="s">
        <v>7</v>
      </c>
      <c r="AO257" s="27" t="s">
        <v>8</v>
      </c>
      <c r="AP257" s="27" t="s">
        <v>7</v>
      </c>
      <c r="AQ257" s="27" t="s">
        <v>8</v>
      </c>
      <c r="AR257" s="27" t="s">
        <v>7</v>
      </c>
      <c r="AS257" s="27" t="s">
        <v>8</v>
      </c>
      <c r="AT257" s="27" t="s">
        <v>7</v>
      </c>
      <c r="AU257" s="27" t="s">
        <v>8</v>
      </c>
      <c r="AV257" s="27" t="s">
        <v>7</v>
      </c>
      <c r="BO257" s="27" t="s">
        <v>8</v>
      </c>
      <c r="BR257" s="27" t="s">
        <v>7</v>
      </c>
      <c r="CF257" s="27" t="s">
        <v>7</v>
      </c>
      <c r="CG257" s="27" t="s">
        <v>8</v>
      </c>
      <c r="CH257" s="27" t="s">
        <v>7</v>
      </c>
      <c r="CJ257" s="27" t="s">
        <v>7</v>
      </c>
      <c r="CK257" s="27" t="s">
        <v>8</v>
      </c>
      <c r="CL257" s="27" t="s">
        <v>7</v>
      </c>
      <c r="CM257" s="27" t="s">
        <v>8</v>
      </c>
      <c r="CX257" s="27" t="s">
        <v>7</v>
      </c>
      <c r="CY257" s="27" t="s">
        <v>8</v>
      </c>
      <c r="CZ257" s="27" t="s">
        <v>7</v>
      </c>
      <c r="DE257" s="27" t="s">
        <v>8</v>
      </c>
      <c r="DF257" s="27" t="s">
        <v>7</v>
      </c>
      <c r="DG257" s="27" t="s">
        <v>8</v>
      </c>
    </row>
    <row r="258" spans="1:117" x14ac:dyDescent="0.25">
      <c r="A258" s="30">
        <v>0.41552065486748019</v>
      </c>
      <c r="B258"/>
      <c r="C258"/>
      <c r="D258"/>
      <c r="E258"/>
      <c r="F258" s="27" t="s">
        <v>7</v>
      </c>
      <c r="M258" s="27" t="s">
        <v>8</v>
      </c>
      <c r="N258" s="27" t="s">
        <v>7</v>
      </c>
      <c r="O258" s="27" t="s">
        <v>8</v>
      </c>
      <c r="P258" s="27" t="s">
        <v>7</v>
      </c>
      <c r="R258" s="27" t="s">
        <v>7</v>
      </c>
      <c r="AC258" s="27" t="s">
        <v>8</v>
      </c>
      <c r="AD258" s="27" t="s">
        <v>7</v>
      </c>
      <c r="AE258" s="27" t="s">
        <v>8</v>
      </c>
      <c r="AF258" s="27" t="s">
        <v>7</v>
      </c>
      <c r="AG258" s="27" t="s">
        <v>8</v>
      </c>
      <c r="AH258" s="27" t="s">
        <v>7</v>
      </c>
      <c r="AI258" s="27" t="s">
        <v>8</v>
      </c>
      <c r="AJ258" s="27" t="s">
        <v>7</v>
      </c>
      <c r="AL258" s="27" t="s">
        <v>7</v>
      </c>
      <c r="AO258" s="27" t="s">
        <v>8</v>
      </c>
      <c r="AP258" s="27" t="s">
        <v>7</v>
      </c>
      <c r="AQ258" s="27" t="s">
        <v>8</v>
      </c>
      <c r="AR258" s="27" t="s">
        <v>7</v>
      </c>
      <c r="AS258" s="27" t="s">
        <v>8</v>
      </c>
      <c r="AT258" s="27" t="s">
        <v>7</v>
      </c>
      <c r="AU258" s="27" t="s">
        <v>8</v>
      </c>
      <c r="AV258" s="27" t="s">
        <v>7</v>
      </c>
      <c r="BO258" s="27" t="s">
        <v>8</v>
      </c>
      <c r="CF258" s="27" t="s">
        <v>7</v>
      </c>
      <c r="CJ258" s="27" t="s">
        <v>7</v>
      </c>
      <c r="CL258" s="27" t="s">
        <v>7</v>
      </c>
      <c r="CX258" s="27" t="s">
        <v>7</v>
      </c>
      <c r="CZ258" s="27" t="s">
        <v>7</v>
      </c>
      <c r="DE258" s="27" t="s">
        <v>8</v>
      </c>
      <c r="DF258" s="27" t="s">
        <v>7</v>
      </c>
      <c r="DG258" s="27" t="s">
        <v>8</v>
      </c>
      <c r="DH258" s="27" t="s">
        <v>7</v>
      </c>
    </row>
    <row r="259" spans="1:117" x14ac:dyDescent="0.25">
      <c r="A259" s="30">
        <v>0.39573395701664765</v>
      </c>
      <c r="B259"/>
      <c r="C259"/>
      <c r="D259"/>
      <c r="E259"/>
      <c r="F259" s="27" t="s">
        <v>7</v>
      </c>
      <c r="M259" s="27" t="s">
        <v>8</v>
      </c>
      <c r="N259" s="27" t="s">
        <v>7</v>
      </c>
      <c r="R259" s="27" t="s">
        <v>7</v>
      </c>
      <c r="AA259" s="27" t="s">
        <v>8</v>
      </c>
      <c r="AC259" s="27" t="s">
        <v>8</v>
      </c>
      <c r="AD259" s="27" t="s">
        <v>7</v>
      </c>
      <c r="AE259" s="27" t="s">
        <v>8</v>
      </c>
      <c r="AF259" s="27" t="s">
        <v>7</v>
      </c>
      <c r="AG259" s="27" t="s">
        <v>8</v>
      </c>
      <c r="AH259" s="27" t="s">
        <v>7</v>
      </c>
      <c r="AI259" s="27" t="s">
        <v>8</v>
      </c>
      <c r="AL259" s="27" t="s">
        <v>7</v>
      </c>
      <c r="AO259" s="27" t="s">
        <v>8</v>
      </c>
      <c r="AP259" s="27" t="s">
        <v>7</v>
      </c>
      <c r="AR259" s="27" t="s">
        <v>7</v>
      </c>
      <c r="AS259" s="27" t="s">
        <v>8</v>
      </c>
      <c r="AT259" s="27" t="s">
        <v>7</v>
      </c>
      <c r="AU259" s="27" t="s">
        <v>8</v>
      </c>
      <c r="AV259" s="27" t="s">
        <v>7</v>
      </c>
      <c r="AY259" s="27" t="s">
        <v>8</v>
      </c>
      <c r="BO259" s="27" t="s">
        <v>8</v>
      </c>
      <c r="CZ259" s="27" t="s">
        <v>7</v>
      </c>
      <c r="DE259" s="27" t="s">
        <v>8</v>
      </c>
      <c r="DF259" s="27" t="s">
        <v>7</v>
      </c>
      <c r="DG259" s="27" t="s">
        <v>8</v>
      </c>
      <c r="DH259" s="27" t="s">
        <v>7</v>
      </c>
    </row>
    <row r="260" spans="1:117" x14ac:dyDescent="0.25">
      <c r="A260" s="30">
        <v>0.37688948287299762</v>
      </c>
      <c r="B260"/>
      <c r="C260"/>
      <c r="D260"/>
      <c r="E260"/>
      <c r="F260" s="27" t="s">
        <v>7</v>
      </c>
      <c r="M260" s="27" t="s">
        <v>8</v>
      </c>
      <c r="R260" s="27" t="s">
        <v>7</v>
      </c>
      <c r="W260" s="27" t="s">
        <v>8</v>
      </c>
      <c r="AA260" s="27" t="s">
        <v>8</v>
      </c>
      <c r="AB260" s="27" t="s">
        <v>7</v>
      </c>
      <c r="AC260" s="27" t="s">
        <v>8</v>
      </c>
      <c r="AD260" s="27" t="s">
        <v>7</v>
      </c>
      <c r="AF260" s="27" t="s">
        <v>7</v>
      </c>
      <c r="AG260" s="27" t="s">
        <v>8</v>
      </c>
      <c r="AH260" s="27" t="s">
        <v>7</v>
      </c>
      <c r="AI260" s="27" t="s">
        <v>8</v>
      </c>
      <c r="AL260" s="27" t="s">
        <v>7</v>
      </c>
      <c r="AO260" s="27" t="s">
        <v>8</v>
      </c>
      <c r="AR260" s="27" t="s">
        <v>7</v>
      </c>
      <c r="AS260" s="27" t="s">
        <v>8</v>
      </c>
      <c r="AT260" s="27" t="s">
        <v>7</v>
      </c>
      <c r="AU260" s="27" t="s">
        <v>8</v>
      </c>
      <c r="AV260" s="27" t="s">
        <v>7</v>
      </c>
      <c r="AW260" s="27" t="s">
        <v>8</v>
      </c>
      <c r="AY260" s="27" t="s">
        <v>8</v>
      </c>
      <c r="AZ260" s="27" t="s">
        <v>7</v>
      </c>
      <c r="BO260" s="27" t="s">
        <v>8</v>
      </c>
      <c r="CZ260" s="27" t="s">
        <v>7</v>
      </c>
      <c r="DE260" s="27" t="s">
        <v>8</v>
      </c>
      <c r="DF260" s="27" t="s">
        <v>7</v>
      </c>
      <c r="DG260" s="27" t="s">
        <v>8</v>
      </c>
      <c r="DH260" s="27" t="s">
        <v>7</v>
      </c>
    </row>
    <row r="261" spans="1:117" x14ac:dyDescent="0.25">
      <c r="A261" s="30">
        <v>0.35894236464094997</v>
      </c>
      <c r="B261"/>
      <c r="C261"/>
      <c r="D261"/>
      <c r="E261"/>
      <c r="F261" s="27" t="s">
        <v>7</v>
      </c>
      <c r="M261" s="27" t="s">
        <v>8</v>
      </c>
      <c r="R261" s="27" t="s">
        <v>7</v>
      </c>
      <c r="S261" s="27" t="s">
        <v>8</v>
      </c>
      <c r="W261" s="27" t="s">
        <v>8</v>
      </c>
      <c r="X261" s="27" t="s">
        <v>7</v>
      </c>
      <c r="Y261" s="27" t="s">
        <v>8</v>
      </c>
      <c r="AA261" s="27" t="s">
        <v>8</v>
      </c>
      <c r="AB261" s="27" t="s">
        <v>7</v>
      </c>
      <c r="AC261" s="27" t="s">
        <v>8</v>
      </c>
      <c r="AF261" s="27" t="s">
        <v>7</v>
      </c>
      <c r="AH261" s="27" t="s">
        <v>7</v>
      </c>
      <c r="AI261" s="27" t="s">
        <v>8</v>
      </c>
      <c r="AL261" s="27" t="s">
        <v>7</v>
      </c>
      <c r="AM261" s="27" t="s">
        <v>8</v>
      </c>
      <c r="AO261" s="27" t="s">
        <v>8</v>
      </c>
      <c r="AR261" s="27" t="s">
        <v>7</v>
      </c>
      <c r="AS261" s="27" t="s">
        <v>8</v>
      </c>
      <c r="AT261" s="27" t="s">
        <v>7</v>
      </c>
      <c r="AU261" s="27" t="s">
        <v>8</v>
      </c>
      <c r="AV261" s="27" t="s">
        <v>7</v>
      </c>
      <c r="AW261" s="27" t="s">
        <v>8</v>
      </c>
      <c r="AX261" s="27" t="s">
        <v>7</v>
      </c>
      <c r="AY261" s="27" t="s">
        <v>8</v>
      </c>
      <c r="AZ261" s="27" t="s">
        <v>7</v>
      </c>
      <c r="BC261" s="27" t="s">
        <v>8</v>
      </c>
      <c r="BO261" s="27" t="s">
        <v>8</v>
      </c>
      <c r="CZ261" s="27" t="s">
        <v>7</v>
      </c>
      <c r="DE261" s="27" t="s">
        <v>8</v>
      </c>
      <c r="DF261" s="27" t="s">
        <v>7</v>
      </c>
      <c r="DG261" s="27" t="s">
        <v>8</v>
      </c>
      <c r="DH261" s="27" t="s">
        <v>7</v>
      </c>
    </row>
    <row r="262" spans="1:117" x14ac:dyDescent="0.25">
      <c r="A262" s="30">
        <v>0.34184987108661891</v>
      </c>
      <c r="B262"/>
      <c r="C262"/>
      <c r="D262"/>
      <c r="E262"/>
      <c r="F262" s="27" t="s">
        <v>7</v>
      </c>
      <c r="M262" s="27" t="s">
        <v>8</v>
      </c>
      <c r="R262" s="27" t="s">
        <v>7</v>
      </c>
      <c r="S262" s="27" t="s">
        <v>8</v>
      </c>
      <c r="T262" s="27" t="s">
        <v>7</v>
      </c>
      <c r="W262" s="27" t="s">
        <v>8</v>
      </c>
      <c r="X262" s="27" t="s">
        <v>7</v>
      </c>
      <c r="Y262" s="27" t="s">
        <v>8</v>
      </c>
      <c r="Z262" s="27" t="s">
        <v>7</v>
      </c>
      <c r="AA262" s="27" t="s">
        <v>8</v>
      </c>
      <c r="AB262" s="27" t="s">
        <v>7</v>
      </c>
      <c r="AH262" s="27" t="s">
        <v>7</v>
      </c>
      <c r="AL262" s="27" t="s">
        <v>7</v>
      </c>
      <c r="AM262" s="27" t="s">
        <v>8</v>
      </c>
      <c r="AN262" s="27" t="s">
        <v>7</v>
      </c>
      <c r="AO262" s="27" t="s">
        <v>8</v>
      </c>
      <c r="AR262" s="27" t="s">
        <v>7</v>
      </c>
      <c r="AS262" s="27" t="s">
        <v>8</v>
      </c>
      <c r="AT262" s="27" t="s">
        <v>7</v>
      </c>
      <c r="AU262" s="27" t="s">
        <v>8</v>
      </c>
      <c r="AV262" s="27" t="s">
        <v>7</v>
      </c>
      <c r="AW262" s="27" t="s">
        <v>8</v>
      </c>
      <c r="AX262" s="27" t="s">
        <v>7</v>
      </c>
      <c r="AY262" s="27" t="s">
        <v>8</v>
      </c>
      <c r="AZ262" s="27" t="s">
        <v>7</v>
      </c>
      <c r="BA262" s="27" t="s">
        <v>8</v>
      </c>
      <c r="BC262" s="27" t="s">
        <v>8</v>
      </c>
      <c r="BD262" s="27" t="s">
        <v>7</v>
      </c>
      <c r="BO262" s="27" t="s">
        <v>8</v>
      </c>
      <c r="CZ262" s="27" t="s">
        <v>7</v>
      </c>
      <c r="DA262" s="27" t="s">
        <v>8</v>
      </c>
      <c r="DC262" s="27" t="s">
        <v>8</v>
      </c>
      <c r="DE262" s="27" t="s">
        <v>8</v>
      </c>
      <c r="DF262" s="27" t="s">
        <v>7</v>
      </c>
      <c r="DG262" s="27" t="s">
        <v>8</v>
      </c>
      <c r="DH262" s="27" t="s">
        <v>7</v>
      </c>
    </row>
    <row r="263" spans="1:117" x14ac:dyDescent="0.25">
      <c r="A263" s="30">
        <v>0.32557130579677979</v>
      </c>
      <c r="B263"/>
      <c r="C263"/>
      <c r="D263"/>
      <c r="E263"/>
      <c r="F263" s="27" t="s">
        <v>7</v>
      </c>
      <c r="M263" s="27" t="s">
        <v>8</v>
      </c>
      <c r="R263" s="27" t="s">
        <v>7</v>
      </c>
      <c r="S263" s="27" t="s">
        <v>8</v>
      </c>
      <c r="T263" s="27" t="s">
        <v>7</v>
      </c>
      <c r="W263" s="27" t="s">
        <v>8</v>
      </c>
      <c r="X263" s="27" t="s">
        <v>7</v>
      </c>
      <c r="Y263" s="27" t="s">
        <v>8</v>
      </c>
      <c r="Z263" s="27" t="s">
        <v>7</v>
      </c>
      <c r="AA263" s="27" t="s">
        <v>8</v>
      </c>
      <c r="AL263" s="27" t="s">
        <v>7</v>
      </c>
      <c r="AM263" s="27" t="s">
        <v>8</v>
      </c>
      <c r="AN263" s="27" t="s">
        <v>7</v>
      </c>
      <c r="AO263" s="27" t="s">
        <v>8</v>
      </c>
      <c r="AR263" s="27" t="s">
        <v>7</v>
      </c>
      <c r="AS263" s="27" t="s">
        <v>8</v>
      </c>
      <c r="AT263" s="27" t="s">
        <v>7</v>
      </c>
      <c r="AU263" s="27" t="s">
        <v>8</v>
      </c>
      <c r="AV263" s="27" t="s">
        <v>7</v>
      </c>
      <c r="AW263" s="27" t="s">
        <v>8</v>
      </c>
      <c r="AX263" s="27" t="s">
        <v>7</v>
      </c>
      <c r="AZ263" s="27" t="s">
        <v>7</v>
      </c>
      <c r="BA263" s="27" t="s">
        <v>8</v>
      </c>
      <c r="BB263" s="27" t="s">
        <v>7</v>
      </c>
      <c r="BC263" s="27" t="s">
        <v>8</v>
      </c>
      <c r="BD263" s="27" t="s">
        <v>7</v>
      </c>
      <c r="BO263" s="27" t="s">
        <v>8</v>
      </c>
      <c r="CZ263" s="27" t="s">
        <v>7</v>
      </c>
      <c r="DA263" s="27" t="s">
        <v>8</v>
      </c>
      <c r="DB263" s="27" t="s">
        <v>7</v>
      </c>
      <c r="DC263" s="27" t="s">
        <v>8</v>
      </c>
      <c r="DD263" s="27" t="s">
        <v>7</v>
      </c>
      <c r="DE263" s="27" t="s">
        <v>8</v>
      </c>
      <c r="DF263" s="27" t="s">
        <v>7</v>
      </c>
      <c r="DG263" s="27" t="s">
        <v>8</v>
      </c>
      <c r="DH263" s="27" t="s">
        <v>7</v>
      </c>
    </row>
    <row r="264" spans="1:117" x14ac:dyDescent="0.25">
      <c r="A264" s="30">
        <v>0.3100679102826473</v>
      </c>
      <c r="B264"/>
      <c r="C264"/>
      <c r="D264"/>
      <c r="E264"/>
      <c r="F264" s="27" t="s">
        <v>7</v>
      </c>
      <c r="M264" s="27" t="s">
        <v>8</v>
      </c>
      <c r="R264" s="27" t="s">
        <v>7</v>
      </c>
      <c r="S264" s="27" t="s">
        <v>8</v>
      </c>
      <c r="T264" s="27" t="s">
        <v>7</v>
      </c>
      <c r="U264" s="27" t="s">
        <v>8</v>
      </c>
      <c r="W264" s="27" t="s">
        <v>8</v>
      </c>
      <c r="X264" s="27" t="s">
        <v>7</v>
      </c>
      <c r="Z264" s="27" t="s">
        <v>7</v>
      </c>
      <c r="AL264" s="27" t="s">
        <v>7</v>
      </c>
      <c r="AN264" s="27" t="s">
        <v>7</v>
      </c>
      <c r="AO264" s="27" t="s">
        <v>8</v>
      </c>
      <c r="AR264" s="27" t="s">
        <v>7</v>
      </c>
      <c r="AT264" s="27" t="s">
        <v>7</v>
      </c>
      <c r="AU264" s="27" t="s">
        <v>8</v>
      </c>
      <c r="AV264" s="27" t="s">
        <v>7</v>
      </c>
      <c r="AW264" s="27" t="s">
        <v>8</v>
      </c>
      <c r="AZ264" s="27" t="s">
        <v>7</v>
      </c>
      <c r="BA264" s="27" t="s">
        <v>8</v>
      </c>
      <c r="BB264" s="27" t="s">
        <v>7</v>
      </c>
      <c r="BC264" s="27" t="s">
        <v>8</v>
      </c>
      <c r="BD264" s="27" t="s">
        <v>7</v>
      </c>
      <c r="BO264" s="27" t="s">
        <v>8</v>
      </c>
      <c r="CZ264" s="27" t="s">
        <v>7</v>
      </c>
      <c r="DA264" s="27" t="s">
        <v>8</v>
      </c>
      <c r="DB264" s="27" t="s">
        <v>7</v>
      </c>
      <c r="DC264" s="27" t="s">
        <v>8</v>
      </c>
      <c r="DD264" s="27" t="s">
        <v>7</v>
      </c>
      <c r="DE264" s="27" t="s">
        <v>8</v>
      </c>
      <c r="DF264" s="27" t="s">
        <v>7</v>
      </c>
      <c r="DH264" s="27" t="s">
        <v>7</v>
      </c>
      <c r="DI264" s="27" t="s">
        <v>8</v>
      </c>
    </row>
    <row r="265" spans="1:117" x14ac:dyDescent="0.25">
      <c r="A265" s="30">
        <v>0.2953027716977592</v>
      </c>
      <c r="B265"/>
      <c r="C265"/>
      <c r="D265"/>
      <c r="E265"/>
      <c r="F265" s="27" t="s">
        <v>7</v>
      </c>
      <c r="K265" s="27" t="s">
        <v>8</v>
      </c>
      <c r="M265" s="27" t="s">
        <v>8</v>
      </c>
      <c r="R265" s="27" t="s">
        <v>7</v>
      </c>
      <c r="T265" s="27" t="s">
        <v>7</v>
      </c>
      <c r="U265" s="27" t="s">
        <v>8</v>
      </c>
      <c r="V265" s="27" t="s">
        <v>7</v>
      </c>
      <c r="W265" s="27" t="s">
        <v>8</v>
      </c>
      <c r="AN265" s="27" t="s">
        <v>7</v>
      </c>
      <c r="AO265" s="27" t="s">
        <v>8</v>
      </c>
      <c r="AT265" s="27" t="s">
        <v>7</v>
      </c>
      <c r="AV265" s="27" t="s">
        <v>7</v>
      </c>
      <c r="AW265" s="27" t="s">
        <v>8</v>
      </c>
      <c r="AZ265" s="27" t="s">
        <v>7</v>
      </c>
      <c r="BA265" s="27" t="s">
        <v>8</v>
      </c>
      <c r="BB265" s="27" t="s">
        <v>7</v>
      </c>
      <c r="BC265" s="27" t="s">
        <v>8</v>
      </c>
      <c r="BD265" s="27" t="s">
        <v>7</v>
      </c>
      <c r="BO265" s="27" t="s">
        <v>8</v>
      </c>
      <c r="CZ265" s="27" t="s">
        <v>7</v>
      </c>
      <c r="DA265" s="27" t="s">
        <v>8</v>
      </c>
      <c r="DB265" s="27" t="s">
        <v>7</v>
      </c>
      <c r="DC265" s="27" t="s">
        <v>8</v>
      </c>
      <c r="DD265" s="27" t="s">
        <v>7</v>
      </c>
      <c r="DE265" s="27" t="s">
        <v>8</v>
      </c>
      <c r="DH265" s="27" t="s">
        <v>7</v>
      </c>
      <c r="DI265" s="27" t="s">
        <v>8</v>
      </c>
      <c r="DJ265" s="27" t="s">
        <v>7</v>
      </c>
    </row>
    <row r="266" spans="1:117" x14ac:dyDescent="0.25">
      <c r="A266" s="30">
        <v>0.28124073495024676</v>
      </c>
      <c r="B266"/>
      <c r="C266"/>
      <c r="D266"/>
      <c r="E266"/>
      <c r="F266" s="27" t="s">
        <v>7</v>
      </c>
      <c r="K266" s="27" t="s">
        <v>8</v>
      </c>
      <c r="L266" s="27" t="s">
        <v>7</v>
      </c>
      <c r="M266" s="27" t="s">
        <v>8</v>
      </c>
      <c r="T266" s="27" t="s">
        <v>7</v>
      </c>
      <c r="U266" s="27" t="s">
        <v>8</v>
      </c>
      <c r="V266" s="27" t="s">
        <v>7</v>
      </c>
      <c r="W266" s="27" t="s">
        <v>8</v>
      </c>
      <c r="AN266" s="27" t="s">
        <v>7</v>
      </c>
      <c r="AV266" s="27" t="s">
        <v>7</v>
      </c>
      <c r="AZ266" s="27" t="s">
        <v>7</v>
      </c>
      <c r="BA266" s="27" t="s">
        <v>8</v>
      </c>
      <c r="BB266" s="27" t="s">
        <v>7</v>
      </c>
      <c r="BC266" s="27" t="s">
        <v>8</v>
      </c>
      <c r="BD266" s="27" t="s">
        <v>7</v>
      </c>
      <c r="BO266" s="27" t="s">
        <v>8</v>
      </c>
      <c r="CZ266" s="27" t="s">
        <v>7</v>
      </c>
      <c r="DA266" s="27" t="s">
        <v>8</v>
      </c>
      <c r="DB266" s="27" t="s">
        <v>7</v>
      </c>
      <c r="DD266" s="27" t="s">
        <v>7</v>
      </c>
      <c r="DE266" s="27" t="s">
        <v>8</v>
      </c>
      <c r="DH266" s="27" t="s">
        <v>7</v>
      </c>
      <c r="DI266" s="27" t="s">
        <v>8</v>
      </c>
      <c r="DJ266" s="27" t="s">
        <v>7</v>
      </c>
    </row>
    <row r="267" spans="1:117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I267" s="27" t="s">
        <v>8</v>
      </c>
      <c r="K267" s="27" t="s">
        <v>8</v>
      </c>
      <c r="L267" s="27" t="s">
        <v>7</v>
      </c>
      <c r="M267" s="27" t="s">
        <v>8</v>
      </c>
      <c r="T267" s="27" t="s">
        <v>7</v>
      </c>
      <c r="V267" s="27" t="s">
        <v>7</v>
      </c>
      <c r="W267" s="27" t="s">
        <v>8</v>
      </c>
      <c r="AZ267" s="27" t="s">
        <v>7</v>
      </c>
      <c r="BB267" s="27" t="s">
        <v>7</v>
      </c>
      <c r="BD267" s="27" t="s">
        <v>7</v>
      </c>
      <c r="BO267" s="27" t="s">
        <v>8</v>
      </c>
      <c r="CZ267" s="27" t="s">
        <v>7</v>
      </c>
      <c r="DA267" s="27" t="s">
        <v>8</v>
      </c>
      <c r="DD267" s="27" t="s">
        <v>7</v>
      </c>
      <c r="DE267" s="27" t="s">
        <v>8</v>
      </c>
      <c r="DH267" s="27" t="s">
        <v>7</v>
      </c>
      <c r="DI267" s="27" t="s">
        <v>8</v>
      </c>
      <c r="DJ267" s="27" t="s">
        <v>7</v>
      </c>
    </row>
    <row r="268" spans="1:117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I268" s="27" t="s">
        <v>8</v>
      </c>
      <c r="J268" s="27" t="s">
        <v>7</v>
      </c>
      <c r="K268" s="27" t="s">
        <v>8</v>
      </c>
      <c r="L268" s="27" t="s">
        <v>7</v>
      </c>
      <c r="V268" s="27" t="s">
        <v>7</v>
      </c>
      <c r="BD268" s="27" t="s">
        <v>7</v>
      </c>
      <c r="BO268" s="27" t="s">
        <v>8</v>
      </c>
      <c r="CZ268" s="27" t="s">
        <v>7</v>
      </c>
      <c r="DA268" s="27" t="s">
        <v>8</v>
      </c>
      <c r="DD268" s="27" t="s">
        <v>7</v>
      </c>
      <c r="DH268" s="27" t="s">
        <v>7</v>
      </c>
      <c r="DI268" s="27" t="s">
        <v>8</v>
      </c>
      <c r="DJ268" s="27" t="s">
        <v>7</v>
      </c>
    </row>
    <row r="269" spans="1:117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H269" s="27" t="s">
        <v>7</v>
      </c>
      <c r="I269" s="27" t="s">
        <v>8</v>
      </c>
      <c r="J269" s="27" t="s">
        <v>7</v>
      </c>
      <c r="K269" s="27" t="s">
        <v>8</v>
      </c>
      <c r="BD269" s="27" t="s">
        <v>7</v>
      </c>
      <c r="BO269" s="27" t="s">
        <v>8</v>
      </c>
      <c r="CZ269" s="27" t="s">
        <v>7</v>
      </c>
      <c r="DH269" s="27" t="s">
        <v>7</v>
      </c>
      <c r="DI269" s="27" t="s">
        <v>8</v>
      </c>
      <c r="DJ269" s="27" t="s">
        <v>7</v>
      </c>
    </row>
    <row r="270" spans="1:117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I270" s="27" t="s">
        <v>8</v>
      </c>
      <c r="J270" s="27" t="s">
        <v>7</v>
      </c>
      <c r="BD270" s="27" t="s">
        <v>7</v>
      </c>
      <c r="BO270" s="27" t="s">
        <v>8</v>
      </c>
      <c r="DH270" s="27" t="s">
        <v>7</v>
      </c>
      <c r="DJ270" s="27" t="s">
        <v>7</v>
      </c>
    </row>
    <row r="271" spans="1:117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I271" s="27" t="s">
        <v>8</v>
      </c>
      <c r="BD271" s="27" t="s">
        <v>7</v>
      </c>
      <c r="BO271" s="27" t="s">
        <v>8</v>
      </c>
      <c r="DJ271" s="27" t="s">
        <v>7</v>
      </c>
      <c r="DM271" s="27" t="s">
        <v>8</v>
      </c>
    </row>
    <row r="272" spans="1:117" x14ac:dyDescent="0.25">
      <c r="A272" s="30">
        <v>0.20986616658127455</v>
      </c>
      <c r="B272"/>
      <c r="C272"/>
      <c r="D272"/>
      <c r="E272"/>
      <c r="F272" s="27" t="s">
        <v>7</v>
      </c>
      <c r="H272" s="27" t="s">
        <v>7</v>
      </c>
      <c r="BD272" s="27" t="s">
        <v>7</v>
      </c>
      <c r="BO272" s="27" t="s">
        <v>8</v>
      </c>
      <c r="DJ272" s="27" t="s">
        <v>7</v>
      </c>
      <c r="DM272" s="27" t="s">
        <v>8</v>
      </c>
    </row>
    <row r="273" spans="1:117" x14ac:dyDescent="0.25">
      <c r="A273" s="30">
        <v>0.19987253960121379</v>
      </c>
      <c r="B273"/>
      <c r="C273"/>
      <c r="D273"/>
      <c r="E273"/>
      <c r="BD273" s="27" t="s">
        <v>7</v>
      </c>
      <c r="BO273" s="27" t="s">
        <v>8</v>
      </c>
      <c r="DJ273" s="27" t="s">
        <v>7</v>
      </c>
      <c r="DM273" s="27" t="s">
        <v>8</v>
      </c>
    </row>
    <row r="274" spans="1:117" x14ac:dyDescent="0.25">
      <c r="A274" s="30">
        <v>0.19035479962020352</v>
      </c>
      <c r="B274"/>
      <c r="C274"/>
      <c r="D274"/>
      <c r="E274"/>
      <c r="BD274" s="27" t="s">
        <v>7</v>
      </c>
      <c r="BG274" s="27" t="s">
        <v>8</v>
      </c>
      <c r="BO274" s="27" t="s">
        <v>8</v>
      </c>
      <c r="DJ274" s="27" t="s">
        <v>7</v>
      </c>
      <c r="DK274" s="27" t="s">
        <v>8</v>
      </c>
      <c r="DM274" s="27" t="s">
        <v>8</v>
      </c>
    </row>
    <row r="275" spans="1:117" x14ac:dyDescent="0.25">
      <c r="A275" s="30">
        <v>0.18129028535257471</v>
      </c>
      <c r="B275"/>
      <c r="C275"/>
      <c r="D275"/>
      <c r="E275"/>
      <c r="BD275" s="27" t="s">
        <v>7</v>
      </c>
      <c r="BG275" s="27" t="s">
        <v>8</v>
      </c>
      <c r="BH275" s="27" t="s">
        <v>7</v>
      </c>
      <c r="BO275" s="27" t="s">
        <v>8</v>
      </c>
      <c r="DJ275" s="27" t="s">
        <v>7</v>
      </c>
      <c r="DK275" s="27" t="s">
        <v>8</v>
      </c>
      <c r="DL275" s="27" t="s">
        <v>7</v>
      </c>
      <c r="DM275" s="27" t="s">
        <v>8</v>
      </c>
    </row>
    <row r="276" spans="1:117" x14ac:dyDescent="0.25">
      <c r="A276" s="30">
        <v>0.17265741462149967</v>
      </c>
      <c r="B276"/>
      <c r="C276"/>
      <c r="D276"/>
      <c r="E276"/>
      <c r="BD276" s="27" t="s">
        <v>7</v>
      </c>
      <c r="BE276" s="27" t="s">
        <v>8</v>
      </c>
      <c r="BG276" s="27" t="s">
        <v>8</v>
      </c>
      <c r="BH276" s="27" t="s">
        <v>7</v>
      </c>
      <c r="BI276" s="27" t="s">
        <v>8</v>
      </c>
      <c r="BM276" s="27" t="s">
        <v>8</v>
      </c>
      <c r="BO276" s="27" t="s">
        <v>8</v>
      </c>
      <c r="DJ276" s="27" t="s">
        <v>7</v>
      </c>
      <c r="DK276" s="27" t="s">
        <v>8</v>
      </c>
      <c r="DL276" s="27" t="s">
        <v>7</v>
      </c>
      <c r="DM276" s="27" t="s">
        <v>8</v>
      </c>
    </row>
    <row r="277" spans="1:117" x14ac:dyDescent="0.25">
      <c r="A277" s="30">
        <v>0.16443563297285677</v>
      </c>
      <c r="B277"/>
      <c r="C277"/>
      <c r="D277"/>
      <c r="E277"/>
      <c r="BD277" s="27" t="s">
        <v>7</v>
      </c>
      <c r="BE277" s="27" t="s">
        <v>8</v>
      </c>
      <c r="BF277" s="27" t="s">
        <v>7</v>
      </c>
      <c r="BG277" s="27" t="s">
        <v>8</v>
      </c>
      <c r="BH277" s="27" t="s">
        <v>7</v>
      </c>
      <c r="BI277" s="27" t="s">
        <v>8</v>
      </c>
      <c r="BJ277" s="27" t="s">
        <v>7</v>
      </c>
      <c r="BM277" s="27" t="s">
        <v>8</v>
      </c>
      <c r="BN277" s="27" t="s">
        <v>7</v>
      </c>
      <c r="BO277" s="27" t="s">
        <v>8</v>
      </c>
      <c r="DJ277" s="27" t="s">
        <v>7</v>
      </c>
      <c r="DK277" s="27" t="s">
        <v>8</v>
      </c>
      <c r="DL277" s="27" t="s">
        <v>7</v>
      </c>
      <c r="DM277" s="27" t="s">
        <v>8</v>
      </c>
    </row>
    <row r="278" spans="1:117" x14ac:dyDescent="0.25">
      <c r="A278" s="30">
        <v>0.15660536473605399</v>
      </c>
      <c r="B278"/>
      <c r="C278"/>
      <c r="D278"/>
      <c r="E278"/>
      <c r="BD278" s="27" t="s">
        <v>7</v>
      </c>
      <c r="BE278" s="27" t="s">
        <v>8</v>
      </c>
      <c r="BF278" s="27" t="s">
        <v>7</v>
      </c>
      <c r="BG278" s="27" t="s">
        <v>8</v>
      </c>
      <c r="BH278" s="27" t="s">
        <v>7</v>
      </c>
      <c r="BI278" s="27" t="s">
        <v>8</v>
      </c>
      <c r="BJ278" s="27" t="s">
        <v>7</v>
      </c>
      <c r="BK278" s="27" t="s">
        <v>8</v>
      </c>
      <c r="BM278" s="27" t="s">
        <v>8</v>
      </c>
      <c r="BN278" s="27" t="s">
        <v>7</v>
      </c>
      <c r="BO278" s="27" t="s">
        <v>8</v>
      </c>
      <c r="DJ278" s="27" t="s">
        <v>7</v>
      </c>
      <c r="DL278" s="27" t="s">
        <v>7</v>
      </c>
    </row>
    <row r="279" spans="1:117" x14ac:dyDescent="0.25">
      <c r="A279" s="30">
        <v>0.14914796641528946</v>
      </c>
      <c r="B279"/>
      <c r="C279"/>
      <c r="D279"/>
      <c r="E279"/>
      <c r="BD279" s="27" t="s">
        <v>7</v>
      </c>
      <c r="BE279" s="27" t="s">
        <v>8</v>
      </c>
      <c r="BF279" s="27" t="s">
        <v>7</v>
      </c>
      <c r="BG279" s="27" t="s">
        <v>8</v>
      </c>
      <c r="BH279" s="27" t="s">
        <v>7</v>
      </c>
      <c r="BI279" s="27" t="s">
        <v>8</v>
      </c>
      <c r="BJ279" s="27" t="s">
        <v>7</v>
      </c>
      <c r="BK279" s="27" t="s">
        <v>8</v>
      </c>
      <c r="BL279" s="27" t="s">
        <v>7</v>
      </c>
      <c r="BM279" s="27" t="s">
        <v>8</v>
      </c>
      <c r="BN279" s="27" t="s">
        <v>7</v>
      </c>
    </row>
    <row r="280" spans="1:117" x14ac:dyDescent="0.25">
      <c r="A280" s="30">
        <v>0.14204568230027562</v>
      </c>
      <c r="B280"/>
      <c r="C280"/>
      <c r="D280"/>
      <c r="E280"/>
      <c r="BD280" s="27" t="s">
        <v>7</v>
      </c>
      <c r="BF280" s="27" t="s">
        <v>7</v>
      </c>
      <c r="BG280" s="27" t="s">
        <v>8</v>
      </c>
      <c r="BH280" s="27" t="s">
        <v>7</v>
      </c>
      <c r="BJ280" s="27" t="s">
        <v>7</v>
      </c>
      <c r="BK280" s="27" t="s">
        <v>8</v>
      </c>
      <c r="BL280" s="27" t="s">
        <v>7</v>
      </c>
      <c r="BM280" s="27" t="s">
        <v>8</v>
      </c>
    </row>
    <row r="281" spans="1:117" x14ac:dyDescent="0.25">
      <c r="A281" s="30">
        <v>0.13528160219073862</v>
      </c>
      <c r="B281"/>
      <c r="C281"/>
      <c r="D281"/>
      <c r="E281"/>
      <c r="BF281" s="27" t="s">
        <v>7</v>
      </c>
      <c r="BG281" s="27" t="s">
        <v>8</v>
      </c>
      <c r="BJ281" s="27" t="s">
        <v>7</v>
      </c>
      <c r="BL281" s="27" t="s">
        <v>7</v>
      </c>
      <c r="BM281" s="27" t="s">
        <v>8</v>
      </c>
    </row>
    <row r="282" spans="1:117" x14ac:dyDescent="0.25">
      <c r="A282" s="30">
        <v>0.12883962113403674</v>
      </c>
      <c r="B282"/>
      <c r="C282"/>
      <c r="D282"/>
      <c r="E282"/>
      <c r="BF282" s="27" t="s">
        <v>7</v>
      </c>
      <c r="BL282" s="18" t="s">
        <v>7</v>
      </c>
      <c r="BM282" s="27" t="s">
        <v>8</v>
      </c>
    </row>
    <row r="283" spans="1:117" x14ac:dyDescent="0.25">
      <c r="A283" s="30">
        <v>0.12270440108003494</v>
      </c>
      <c r="B283"/>
      <c r="C283"/>
      <c r="D283"/>
      <c r="E283"/>
      <c r="BL283" s="27" t="s">
        <v>7</v>
      </c>
      <c r="BM283" s="27" t="s">
        <v>8</v>
      </c>
    </row>
    <row r="284" spans="1:117" x14ac:dyDescent="0.25">
      <c r="A284" s="30">
        <v>0.11686133436193799</v>
      </c>
      <c r="B284"/>
      <c r="C284"/>
      <c r="D284"/>
      <c r="E284"/>
      <c r="BL284" s="27" t="s">
        <v>7</v>
      </c>
    </row>
    <row r="285" spans="1:117" x14ac:dyDescent="0.25">
      <c r="A285" s="30">
        <v>0.11129650891613138</v>
      </c>
      <c r="B285"/>
      <c r="C285"/>
      <c r="D285"/>
      <c r="E285"/>
    </row>
    <row r="286" spans="1:117" x14ac:dyDescent="0.25">
      <c r="A286" s="30">
        <v>0.10599667515822032</v>
      </c>
      <c r="B286"/>
      <c r="C286"/>
      <c r="D286"/>
      <c r="E286"/>
    </row>
    <row r="287" spans="1:117" x14ac:dyDescent="0.25">
      <c r="A287" s="30">
        <v>0.10094921443640027</v>
      </c>
      <c r="B287"/>
      <c r="C287"/>
      <c r="D287"/>
      <c r="E287"/>
    </row>
    <row r="288" spans="1:117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94" operator="equal">
      <formula>$U$1</formula>
    </cfRule>
    <cfRule type="cellIs" dxfId="67" priority="795" operator="equal">
      <formula>$S$1</formula>
    </cfRule>
  </conditionalFormatting>
  <conditionalFormatting sqref="D136">
    <cfRule type="cellIs" dxfId="66" priority="792" operator="equal">
      <formula>$S$1</formula>
    </cfRule>
    <cfRule type="cellIs" dxfId="65" priority="793" operator="equal">
      <formula>$U$1</formula>
    </cfRule>
  </conditionalFormatting>
  <conditionalFormatting sqref="C162">
    <cfRule type="cellIs" dxfId="64" priority="790" operator="equal">
      <formula>$U$1</formula>
    </cfRule>
    <cfRule type="cellIs" dxfId="63" priority="791" operator="equal">
      <formula>$S$1</formula>
    </cfRule>
  </conditionalFormatting>
  <conditionalFormatting sqref="D162">
    <cfRule type="cellIs" dxfId="62" priority="788" operator="equal">
      <formula>$S$1</formula>
    </cfRule>
    <cfRule type="cellIs" dxfId="61" priority="789" operator="equal">
      <formula>$U$1</formula>
    </cfRule>
  </conditionalFormatting>
  <conditionalFormatting sqref="C187">
    <cfRule type="cellIs" dxfId="60" priority="786" operator="equal">
      <formula>$U$1</formula>
    </cfRule>
    <cfRule type="cellIs" dxfId="59" priority="787" operator="equal">
      <formula>$S$1</formula>
    </cfRule>
  </conditionalFormatting>
  <conditionalFormatting sqref="D187">
    <cfRule type="cellIs" dxfId="58" priority="784" operator="equal">
      <formula>$S$1</formula>
    </cfRule>
    <cfRule type="cellIs" dxfId="57" priority="785" operator="equal">
      <formula>$U$1</formula>
    </cfRule>
  </conditionalFormatting>
  <conditionalFormatting sqref="C212">
    <cfRule type="cellIs" dxfId="56" priority="782" operator="equal">
      <formula>$U$1</formula>
    </cfRule>
    <cfRule type="cellIs" dxfId="55" priority="783" operator="equal">
      <formula>$S$1</formula>
    </cfRule>
  </conditionalFormatting>
  <conditionalFormatting sqref="D212">
    <cfRule type="cellIs" dxfId="54" priority="780" operator="equal">
      <formula>$S$1</formula>
    </cfRule>
    <cfRule type="cellIs" dxfId="53" priority="781" operator="equal">
      <formula>$U$1</formula>
    </cfRule>
  </conditionalFormatting>
  <conditionalFormatting sqref="C237">
    <cfRule type="cellIs" dxfId="52" priority="778" operator="equal">
      <formula>$U$1</formula>
    </cfRule>
    <cfRule type="cellIs" dxfId="51" priority="779" operator="equal">
      <formula>$S$1</formula>
    </cfRule>
  </conditionalFormatting>
  <conditionalFormatting sqref="D237">
    <cfRule type="cellIs" dxfId="50" priority="776" operator="equal">
      <formula>$S$1</formula>
    </cfRule>
    <cfRule type="cellIs" dxfId="49" priority="777" operator="equal">
      <formula>$U$1</formula>
    </cfRule>
  </conditionalFormatting>
  <conditionalFormatting sqref="C106">
    <cfRule type="cellIs" dxfId="48" priority="774" operator="equal">
      <formula>$U$1</formula>
    </cfRule>
    <cfRule type="cellIs" dxfId="47" priority="775" operator="equal">
      <formula>$S$1</formula>
    </cfRule>
  </conditionalFormatting>
  <conditionalFormatting sqref="D106">
    <cfRule type="cellIs" dxfId="46" priority="772" operator="equal">
      <formula>$S$1</formula>
    </cfRule>
    <cfRule type="cellIs" dxfId="45" priority="773" operator="equal">
      <formula>$U$1</formula>
    </cfRule>
  </conditionalFormatting>
  <conditionalFormatting sqref="C81">
    <cfRule type="cellIs" dxfId="44" priority="770" operator="equal">
      <formula>$U$1</formula>
    </cfRule>
    <cfRule type="cellIs" dxfId="43" priority="771" operator="equal">
      <formula>$S$1</formula>
    </cfRule>
  </conditionalFormatting>
  <conditionalFormatting sqref="D81">
    <cfRule type="cellIs" dxfId="42" priority="768" operator="equal">
      <formula>$S$1</formula>
    </cfRule>
    <cfRule type="cellIs" dxfId="41" priority="769" operator="equal">
      <formula>$U$1</formula>
    </cfRule>
  </conditionalFormatting>
  <conditionalFormatting sqref="C56">
    <cfRule type="cellIs" dxfId="40" priority="766" operator="equal">
      <formula>$U$1</formula>
    </cfRule>
    <cfRule type="cellIs" dxfId="39" priority="767" operator="equal">
      <formula>$S$1</formula>
    </cfRule>
  </conditionalFormatting>
  <conditionalFormatting sqref="D56">
    <cfRule type="cellIs" dxfId="38" priority="764" operator="equal">
      <formula>$S$1</formula>
    </cfRule>
    <cfRule type="cellIs" dxfId="37" priority="765" operator="equal">
      <formula>$U$1</formula>
    </cfRule>
  </conditionalFormatting>
  <conditionalFormatting sqref="C31">
    <cfRule type="cellIs" dxfId="36" priority="762" operator="equal">
      <formula>$U$1</formula>
    </cfRule>
    <cfRule type="cellIs" dxfId="35" priority="763" operator="equal">
      <formula>$S$1</formula>
    </cfRule>
  </conditionalFormatting>
  <conditionalFormatting sqref="D31">
    <cfRule type="cellIs" dxfId="34" priority="760" operator="equal">
      <formula>$S$1</formula>
    </cfRule>
    <cfRule type="cellIs" dxfId="33" priority="76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K137" sqref="AK13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$A$136</v>
      </c>
      <c r="D111" s="1" t="str">
        <f>ADDRESS(C121-1,D121,1,1)</f>
        <v>$AK$136</v>
      </c>
      <c r="E111"/>
    </row>
    <row r="112" spans="1:5" x14ac:dyDescent="0.25">
      <c r="A112" s="30">
        <v>2.3579476910000019</v>
      </c>
      <c r="C112" s="1" t="str">
        <f>ADDRESS(C121,1,1,1)</f>
        <v>$A$137</v>
      </c>
      <c r="D112" s="1" t="str">
        <f>ADDRESS(C121,D121-1,1,1)</f>
        <v>$AJ$137</v>
      </c>
      <c r="E112"/>
    </row>
    <row r="113" spans="1:31" x14ac:dyDescent="0.25">
      <c r="A113" s="30">
        <v>2.1435888100000016</v>
      </c>
      <c r="C113" s="1" t="str">
        <f>ADDRESS(C121+1,1,1,1)</f>
        <v>$A$138</v>
      </c>
      <c r="D113" s="1" t="str">
        <f>ADDRESS(C121-1,D121+1,1,1)</f>
        <v>$AL$136</v>
      </c>
    </row>
    <row r="114" spans="1:31" x14ac:dyDescent="0.25">
      <c r="A114" s="30">
        <v>1.9487171000000014</v>
      </c>
      <c r="C114" s="1" t="str">
        <f>ADDRESS(C121,D121,1,1)</f>
        <v>$AK$137</v>
      </c>
      <c r="D114" s="1" t="str">
        <f>ADDRESS(C121+1,D121+1,1,1)</f>
        <v>$AL$138</v>
      </c>
    </row>
    <row r="115" spans="1:31" x14ac:dyDescent="0.25">
      <c r="A115" s="30">
        <v>1.7715610000000011</v>
      </c>
      <c r="C115" s="1" t="str">
        <f>ADDRESS(C121+1,D121,1,1)</f>
        <v>$AK$138</v>
      </c>
    </row>
    <row r="116" spans="1:31" x14ac:dyDescent="0.25">
      <c r="A116" s="30">
        <v>1.6105100000000008</v>
      </c>
      <c r="C116" s="1">
        <f>C117-1</f>
        <v>136</v>
      </c>
    </row>
    <row r="117" spans="1:31" x14ac:dyDescent="0.25">
      <c r="A117" s="30">
        <v>1.4641000000000006</v>
      </c>
      <c r="C117" s="1">
        <f>C121</f>
        <v>137</v>
      </c>
      <c r="D117" s="1">
        <f>D121</f>
        <v>37</v>
      </c>
    </row>
    <row r="118" spans="1:31" x14ac:dyDescent="0.25">
      <c r="A118" s="30">
        <v>1.3310000000000004</v>
      </c>
      <c r="C118" s="1">
        <f>C117+1</f>
        <v>138</v>
      </c>
      <c r="D118" s="1">
        <f>D117+1</f>
        <v>38</v>
      </c>
    </row>
    <row r="119" spans="1:31" x14ac:dyDescent="0.25">
      <c r="A119" s="30">
        <v>1.2100000000000002</v>
      </c>
    </row>
    <row r="120" spans="1:31" x14ac:dyDescent="0.25">
      <c r="A120" s="30">
        <v>1.1000000000000001</v>
      </c>
      <c r="C120" s="1" t="s">
        <v>9</v>
      </c>
    </row>
    <row r="121" spans="1:31" x14ac:dyDescent="0.25">
      <c r="A121" s="30">
        <v>1</v>
      </c>
      <c r="C121" s="18">
        <v>137</v>
      </c>
      <c r="D121" s="19">
        <v>37</v>
      </c>
      <c r="E121" s="18" t="s">
        <v>8</v>
      </c>
      <c r="Y121" s="27" t="s">
        <v>8</v>
      </c>
    </row>
    <row r="122" spans="1:31" x14ac:dyDescent="0.25">
      <c r="A122" s="30">
        <v>0.90909090909090895</v>
      </c>
      <c r="C122" s="1" t="str">
        <f>INDEX(1:1048576,C117,D117)</f>
        <v>X</v>
      </c>
      <c r="F122" s="27" t="s">
        <v>7</v>
      </c>
      <c r="W122" s="27" t="s">
        <v>8</v>
      </c>
      <c r="Y122" s="27" t="s">
        <v>8</v>
      </c>
      <c r="Z122" s="27" t="s">
        <v>7</v>
      </c>
    </row>
    <row r="123" spans="1:31" x14ac:dyDescent="0.25">
      <c r="A123" s="30">
        <v>0.82644628099173523</v>
      </c>
      <c r="C123" s="1" t="str">
        <f>"R"&amp;C121</f>
        <v>R137</v>
      </c>
      <c r="D123" s="1" t="str">
        <f>"C"&amp;D121</f>
        <v>C37</v>
      </c>
      <c r="F123" s="27" t="s">
        <v>7</v>
      </c>
      <c r="W123" s="27" t="s">
        <v>8</v>
      </c>
      <c r="X123" s="27" t="s">
        <v>7</v>
      </c>
      <c r="Y123" s="27" t="s">
        <v>8</v>
      </c>
      <c r="Z123" s="27" t="s">
        <v>7</v>
      </c>
    </row>
    <row r="124" spans="1:3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W124" s="27" t="s">
        <v>8</v>
      </c>
      <c r="X124" s="27" t="s">
        <v>7</v>
      </c>
      <c r="Y124" s="27" t="s">
        <v>8</v>
      </c>
      <c r="Z124" s="27" t="s">
        <v>7</v>
      </c>
    </row>
    <row r="125" spans="1:31" x14ac:dyDescent="0.25">
      <c r="A125" s="30">
        <v>0.68301345536507019</v>
      </c>
      <c r="F125" s="27" t="s">
        <v>7</v>
      </c>
      <c r="W125" s="27" t="s">
        <v>8</v>
      </c>
      <c r="X125" s="27" t="s">
        <v>7</v>
      </c>
      <c r="Y125" s="27" t="s">
        <v>8</v>
      </c>
      <c r="Z125" s="27" t="s">
        <v>7</v>
      </c>
      <c r="AC125" s="27" t="s">
        <v>8</v>
      </c>
    </row>
    <row r="126" spans="1:31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C126" s="27" t="s">
        <v>8</v>
      </c>
      <c r="AD126" s="27" t="s">
        <v>7</v>
      </c>
    </row>
    <row r="127" spans="1:31" x14ac:dyDescent="0.25">
      <c r="A127" s="30">
        <v>0.56447393005377677</v>
      </c>
      <c r="C127" s="30">
        <v>0.2176291357901482</v>
      </c>
      <c r="D127"/>
      <c r="F127" s="27" t="s">
        <v>7</v>
      </c>
      <c r="G127" s="27" t="s">
        <v>8</v>
      </c>
      <c r="H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B127" s="27" t="s">
        <v>7</v>
      </c>
      <c r="AC127" s="27" t="s">
        <v>8</v>
      </c>
      <c r="AD127" s="27" t="s">
        <v>7</v>
      </c>
    </row>
    <row r="128" spans="1:31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K128" s="27" t="s">
        <v>8</v>
      </c>
      <c r="M128" s="27" t="s">
        <v>8</v>
      </c>
      <c r="W128" s="27" t="s">
        <v>8</v>
      </c>
      <c r="X128" s="27" t="s">
        <v>7</v>
      </c>
      <c r="Y128" s="27" t="s">
        <v>8</v>
      </c>
      <c r="Z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E128" s="27" t="s">
        <v>8</v>
      </c>
    </row>
    <row r="129" spans="1:3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I129" s="27" t="s">
        <v>8</v>
      </c>
      <c r="K129" s="27" t="s">
        <v>8</v>
      </c>
      <c r="L129" s="27" t="s">
        <v>7</v>
      </c>
      <c r="M129" s="27" t="s">
        <v>8</v>
      </c>
      <c r="N129" s="27" t="s">
        <v>7</v>
      </c>
      <c r="W129" s="27" t="s">
        <v>8</v>
      </c>
      <c r="X129" s="27" t="s">
        <v>7</v>
      </c>
      <c r="Z129" s="27" t="s">
        <v>7</v>
      </c>
      <c r="AA129" s="27" t="s">
        <v>8</v>
      </c>
      <c r="AB129" s="27" t="s">
        <v>7</v>
      </c>
      <c r="AC129" s="27" t="s">
        <v>8</v>
      </c>
      <c r="AD129" s="27" t="s">
        <v>7</v>
      </c>
      <c r="AE129" s="27" t="s">
        <v>8</v>
      </c>
      <c r="AF129" s="27" t="s">
        <v>7</v>
      </c>
    </row>
    <row r="130" spans="1:37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I130" s="27" t="s">
        <v>8</v>
      </c>
      <c r="J130" s="27" t="s">
        <v>7</v>
      </c>
      <c r="K130" s="27" t="s">
        <v>8</v>
      </c>
      <c r="L130" s="27" t="s">
        <v>7</v>
      </c>
      <c r="M130" s="27" t="s">
        <v>8</v>
      </c>
      <c r="N130" s="27" t="s">
        <v>7</v>
      </c>
      <c r="O130" s="27" t="s">
        <v>8</v>
      </c>
      <c r="W130" s="27" t="s">
        <v>8</v>
      </c>
      <c r="Z130" s="27" t="s">
        <v>7</v>
      </c>
      <c r="AB130" s="27" t="s">
        <v>7</v>
      </c>
      <c r="AD130" s="27" t="s">
        <v>7</v>
      </c>
      <c r="AE130" s="27" t="s">
        <v>8</v>
      </c>
      <c r="AF130" s="27" t="s">
        <v>7</v>
      </c>
      <c r="AG130" s="27" t="s">
        <v>8</v>
      </c>
    </row>
    <row r="131" spans="1:37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N131" s="27" t="s">
        <v>7</v>
      </c>
      <c r="O131" s="27" t="s">
        <v>8</v>
      </c>
      <c r="P131" s="27" t="s">
        <v>7</v>
      </c>
      <c r="Q131" s="27" t="s">
        <v>8</v>
      </c>
      <c r="W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H131" s="27" t="s">
        <v>7</v>
      </c>
    </row>
    <row r="132" spans="1:37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L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Q132" s="27" t="s">
        <v>8</v>
      </c>
      <c r="R132" s="27" t="s">
        <v>7</v>
      </c>
      <c r="S132" s="27" t="s">
        <v>8</v>
      </c>
      <c r="W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</row>
    <row r="133" spans="1:37" x14ac:dyDescent="0.25">
      <c r="A133" s="30">
        <v>0.31863081771035617</v>
      </c>
      <c r="C133" s="1" t="str">
        <f>C122</f>
        <v>X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L133" s="27" t="s">
        <v>7</v>
      </c>
      <c r="M133" s="27" t="s">
        <v>8</v>
      </c>
      <c r="N133" s="27" t="s">
        <v>7</v>
      </c>
      <c r="O133" s="27" t="s">
        <v>8</v>
      </c>
      <c r="P133" s="27" t="s">
        <v>7</v>
      </c>
      <c r="Q133" s="27" t="s">
        <v>8</v>
      </c>
      <c r="R133" s="27" t="s">
        <v>7</v>
      </c>
      <c r="S133" s="27" t="s">
        <v>8</v>
      </c>
      <c r="T133" s="27" t="s">
        <v>7</v>
      </c>
      <c r="W133" s="27" t="s">
        <v>8</v>
      </c>
      <c r="AD133" s="27" t="s">
        <v>7</v>
      </c>
      <c r="AE133" s="27" t="s">
        <v>8</v>
      </c>
      <c r="AF133" s="27" t="s">
        <v>7</v>
      </c>
      <c r="AH133" s="27" t="s">
        <v>7</v>
      </c>
      <c r="AI133" s="27" t="s">
        <v>8</v>
      </c>
    </row>
    <row r="134" spans="1:37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L134" s="27" t="s">
        <v>7</v>
      </c>
      <c r="N134" s="27" t="s">
        <v>7</v>
      </c>
      <c r="O134" s="27" t="s">
        <v>8</v>
      </c>
      <c r="P134" s="27" t="s">
        <v>7</v>
      </c>
      <c r="R134" s="27" t="s">
        <v>7</v>
      </c>
      <c r="S134" s="27" t="s">
        <v>8</v>
      </c>
      <c r="T134" s="27" t="s">
        <v>7</v>
      </c>
      <c r="W134" s="27" t="s">
        <v>8</v>
      </c>
      <c r="AD134" s="27" t="s">
        <v>7</v>
      </c>
      <c r="AE134" s="27" t="s">
        <v>8</v>
      </c>
      <c r="AH134" s="27" t="s">
        <v>7</v>
      </c>
      <c r="AI134" s="27" t="s">
        <v>8</v>
      </c>
      <c r="AJ134" s="27" t="s">
        <v>7</v>
      </c>
    </row>
    <row r="135" spans="1:37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N135" s="27" t="s">
        <v>7</v>
      </c>
      <c r="O135" s="27" t="s">
        <v>8</v>
      </c>
      <c r="R135" s="27" t="s">
        <v>7</v>
      </c>
      <c r="T135" s="27" t="s">
        <v>7</v>
      </c>
      <c r="W135" s="27" t="s">
        <v>8</v>
      </c>
      <c r="AD135" s="27" t="s">
        <v>7</v>
      </c>
      <c r="AH135" s="27" t="s">
        <v>7</v>
      </c>
      <c r="AI135" s="27" t="s">
        <v>8</v>
      </c>
      <c r="AJ135" s="27" t="s">
        <v>7</v>
      </c>
    </row>
    <row r="136" spans="1:37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G136" s="27" t="s">
        <v>8</v>
      </c>
      <c r="N136" s="27" t="s">
        <v>7</v>
      </c>
      <c r="T136" s="27" t="s">
        <v>7</v>
      </c>
      <c r="W136" s="27" t="s">
        <v>8</v>
      </c>
      <c r="AH136" s="27" t="s">
        <v>7</v>
      </c>
      <c r="AJ136" s="27" t="s">
        <v>7</v>
      </c>
    </row>
    <row r="137" spans="1:37" x14ac:dyDescent="0.25">
      <c r="A137" s="30">
        <v>0.2176291357901482</v>
      </c>
      <c r="E137"/>
      <c r="F137" s="27" t="s">
        <v>7</v>
      </c>
      <c r="T137" s="27" t="s">
        <v>7</v>
      </c>
      <c r="W137" s="27" t="s">
        <v>8</v>
      </c>
      <c r="AJ137" s="27" t="s">
        <v>7</v>
      </c>
      <c r="AK137" s="27" t="s">
        <v>8</v>
      </c>
    </row>
    <row r="138" spans="1:37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T138" s="27" t="s">
        <v>7</v>
      </c>
      <c r="W138" s="27" t="s">
        <v>8</v>
      </c>
      <c r="AJ138" s="27" t="s">
        <v>7</v>
      </c>
      <c r="AK138" s="27" t="s">
        <v>8</v>
      </c>
    </row>
    <row r="139" spans="1:37" x14ac:dyDescent="0.25">
      <c r="A139" s="30">
        <v>0.17985878990921333</v>
      </c>
      <c r="E139"/>
      <c r="T139" s="27" t="s">
        <v>7</v>
      </c>
      <c r="U139" s="27" t="s">
        <v>8</v>
      </c>
      <c r="W139" s="27" t="s">
        <v>8</v>
      </c>
      <c r="AJ139" s="27" t="s">
        <v>7</v>
      </c>
      <c r="AK139" s="27" t="s">
        <v>8</v>
      </c>
    </row>
    <row r="140" spans="1:37" x14ac:dyDescent="0.25">
      <c r="A140" s="30">
        <v>0.16350799082655756</v>
      </c>
      <c r="C140" s="1">
        <v>0</v>
      </c>
      <c r="E140"/>
      <c r="T140" s="27" t="s">
        <v>7</v>
      </c>
      <c r="U140" s="27" t="s">
        <v>8</v>
      </c>
      <c r="V140" s="27" t="s">
        <v>7</v>
      </c>
      <c r="W140" s="27" t="s">
        <v>8</v>
      </c>
      <c r="AJ140" s="27" t="s">
        <v>7</v>
      </c>
    </row>
    <row r="141" spans="1:37" x14ac:dyDescent="0.25">
      <c r="A141" s="30">
        <v>0.14864362802414322</v>
      </c>
      <c r="C141" s="1">
        <v>1</v>
      </c>
      <c r="E141"/>
      <c r="T141" s="27" t="s">
        <v>7</v>
      </c>
      <c r="U141" s="27" t="s">
        <v>8</v>
      </c>
      <c r="V141" s="27" t="s">
        <v>7</v>
      </c>
      <c r="W141" s="27" t="s">
        <v>8</v>
      </c>
    </row>
    <row r="142" spans="1:37" x14ac:dyDescent="0.25">
      <c r="A142" s="30">
        <v>0.13513057093103928</v>
      </c>
      <c r="C142" s="1">
        <v>2</v>
      </c>
      <c r="E142"/>
      <c r="T142" s="27" t="s">
        <v>7</v>
      </c>
      <c r="V142" s="27" t="s">
        <v>7</v>
      </c>
      <c r="W142" s="27" t="s">
        <v>8</v>
      </c>
    </row>
    <row r="143" spans="1:37" x14ac:dyDescent="0.25">
      <c r="A143" s="30">
        <v>0.12284597357367205</v>
      </c>
      <c r="C143" s="1">
        <v>3</v>
      </c>
      <c r="E143"/>
      <c r="V143" s="18" t="s">
        <v>7</v>
      </c>
    </row>
    <row r="144" spans="1:37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78" operator="equal">
      <formula>$U$1</formula>
    </cfRule>
    <cfRule type="cellIs" dxfId="30" priority="779" operator="equal">
      <formula>$S$1</formula>
    </cfRule>
  </conditionalFormatting>
  <conditionalFormatting sqref="D136">
    <cfRule type="cellIs" dxfId="29" priority="776" operator="equal">
      <formula>$S$1</formula>
    </cfRule>
    <cfRule type="cellIs" dxfId="28" priority="777" operator="equal">
      <formula>$U$1</formula>
    </cfRule>
  </conditionalFormatting>
  <conditionalFormatting sqref="C102">
    <cfRule type="cellIs" dxfId="27" priority="774" operator="equal">
      <formula>$U$1</formula>
    </cfRule>
    <cfRule type="cellIs" dxfId="26" priority="775" operator="equal">
      <formula>$S$1</formula>
    </cfRule>
  </conditionalFormatting>
  <conditionalFormatting sqref="D102">
    <cfRule type="cellIs" dxfId="25" priority="772" operator="equal">
      <formula>$S$1</formula>
    </cfRule>
    <cfRule type="cellIs" dxfId="24" priority="773" operator="equal">
      <formula>$U$1</formula>
    </cfRule>
  </conditionalFormatting>
  <conditionalFormatting sqref="C77">
    <cfRule type="cellIs" dxfId="23" priority="770" operator="equal">
      <formula>$U$1</formula>
    </cfRule>
    <cfRule type="cellIs" dxfId="22" priority="771" operator="equal">
      <formula>$S$1</formula>
    </cfRule>
  </conditionalFormatting>
  <conditionalFormatting sqref="D77">
    <cfRule type="cellIs" dxfId="21" priority="768" operator="equal">
      <formula>$S$1</formula>
    </cfRule>
    <cfRule type="cellIs" dxfId="20" priority="769" operator="equal">
      <formula>$U$1</formula>
    </cfRule>
  </conditionalFormatting>
  <conditionalFormatting sqref="C52">
    <cfRule type="cellIs" dxfId="19" priority="766" operator="equal">
      <formula>$U$1</formula>
    </cfRule>
    <cfRule type="cellIs" dxfId="18" priority="767" operator="equal">
      <formula>$S$1</formula>
    </cfRule>
  </conditionalFormatting>
  <conditionalFormatting sqref="D52">
    <cfRule type="cellIs" dxfId="17" priority="764" operator="equal">
      <formula>$S$1</formula>
    </cfRule>
    <cfRule type="cellIs" dxfId="16" priority="765" operator="equal">
      <formula>$U$1</formula>
    </cfRule>
  </conditionalFormatting>
  <conditionalFormatting sqref="C26">
    <cfRule type="cellIs" dxfId="15" priority="762" operator="equal">
      <formula>$U$1</formula>
    </cfRule>
    <cfRule type="cellIs" dxfId="14" priority="763" operator="equal">
      <formula>$S$1</formula>
    </cfRule>
  </conditionalFormatting>
  <conditionalFormatting sqref="D26">
    <cfRule type="cellIs" dxfId="13" priority="760" operator="equal">
      <formula>$S$1</formula>
    </cfRule>
    <cfRule type="cellIs" dxfId="12" priority="76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2022-01-28T01:22:22Z</dcterms:modified>
</cp:coreProperties>
</file>