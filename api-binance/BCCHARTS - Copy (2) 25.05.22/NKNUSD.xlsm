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C5C9FA31-91DE-4DD2-AF46-FED3C09EDF01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844" i="1"/>
  <c r="Q844" i="1" s="1"/>
  <c r="R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844" i="1"/>
  <c r="T84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22" i="4"/>
  <c r="C133" i="4" s="1"/>
  <c r="D136" i="4" s="1"/>
  <c r="C116" i="4"/>
  <c r="C116" i="5"/>
  <c r="C116" i="3"/>
  <c r="C122" i="3"/>
  <c r="C133" i="3" s="1"/>
  <c r="D136" i="3" s="1"/>
  <c r="R843" i="1"/>
  <c r="C136" i="5" l="1"/>
  <c r="C138" i="5" s="1"/>
  <c r="C136" i="4"/>
  <c r="C138" i="4" s="1"/>
  <c r="C136" i="3"/>
  <c r="C138" i="3" s="1"/>
  <c r="R842" i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S250" i="1" l="1"/>
  <c r="T250" i="1" s="1"/>
  <c r="R249" i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S226" i="1" l="1"/>
  <c r="T226" i="1" s="1"/>
  <c r="R225" i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S202" i="1" l="1"/>
  <c r="T202" i="1" s="1"/>
  <c r="R201" i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S178" i="1" l="1"/>
  <c r="T178" i="1" s="1"/>
  <c r="R177" i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S166" i="1" l="1"/>
  <c r="T166" i="1" s="1"/>
  <c r="R165" i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S154" i="1" l="1"/>
  <c r="T154" i="1" s="1"/>
  <c r="R153" i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S148" i="1" l="1"/>
  <c r="T148" i="1" s="1"/>
  <c r="R147" i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S124" i="1" l="1"/>
  <c r="T124" i="1" s="1"/>
  <c r="R123" i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<sst xmlns="http://schemas.openxmlformats.org/spreadsheetml/2006/main" count="9528" uniqueCount="34">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</sst>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0.20169999999999999</c:v>
                </c:pt>
                <c:pt idx="1">
                  <c:v>0.2011</c:v>
                </c:pt>
                <c:pt idx="2">
                  <c:v>0.19209999999999999</c:v>
                </c:pt>
                <c:pt idx="3">
                  <c:v>0.18870000000000001</c:v>
                </c:pt>
                <c:pt idx="4">
                  <c:v>0.19689999999999999</c:v>
                </c:pt>
                <c:pt idx="5">
                  <c:v>0.1943</c:v>
                </c:pt>
                <c:pt idx="6">
                  <c:v>0.2165</c:v>
                </c:pt>
                <c:pt idx="7">
                  <c:v>0.25390000000000001</c:v>
                </c:pt>
                <c:pt idx="8">
                  <c:v>0.27150000000000002</c:v>
                </c:pt>
                <c:pt idx="9">
                  <c:v>0.28360000000000002</c:v>
                </c:pt>
                <c:pt idx="10">
                  <c:v>0.28260000000000002</c:v>
                </c:pt>
                <c:pt idx="11">
                  <c:v>0.29730000000000001</c:v>
                </c:pt>
                <c:pt idx="12">
                  <c:v>0.2984</c:v>
                </c:pt>
                <c:pt idx="13">
                  <c:v>0.29120000000000001</c:v>
                </c:pt>
                <c:pt idx="14">
                  <c:v>0.29709999999999998</c:v>
                </c:pt>
                <c:pt idx="15">
                  <c:v>0.31219999999999998</c:v>
                </c:pt>
                <c:pt idx="16">
                  <c:v>0.2979</c:v>
                </c:pt>
                <c:pt idx="17">
                  <c:v>0.28100000000000003</c:v>
                </c:pt>
                <c:pt idx="18">
                  <c:v>0.30320000000000003</c:v>
                </c:pt>
                <c:pt idx="19">
                  <c:v>0.29299999999999998</c:v>
                </c:pt>
                <c:pt idx="20">
                  <c:v>0.30790000000000001</c:v>
                </c:pt>
                <c:pt idx="21">
                  <c:v>0.33239999999999997</c:v>
                </c:pt>
                <c:pt idx="22">
                  <c:v>0.3392</c:v>
                </c:pt>
                <c:pt idx="23">
                  <c:v>0.37709999999999999</c:v>
                </c:pt>
                <c:pt idx="24">
                  <c:v>0.36849999999999999</c:v>
                </c:pt>
                <c:pt idx="25">
                  <c:v>0.38190000000000002</c:v>
                </c:pt>
                <c:pt idx="26">
                  <c:v>0.3795</c:v>
                </c:pt>
                <c:pt idx="27">
                  <c:v>0.36030000000000001</c:v>
                </c:pt>
                <c:pt idx="28">
                  <c:v>0.37380000000000002</c:v>
                </c:pt>
                <c:pt idx="29">
                  <c:v>0.35849999999999999</c:v>
                </c:pt>
                <c:pt idx="30">
                  <c:v>0.37290000000000001</c:v>
                </c:pt>
                <c:pt idx="31">
                  <c:v>0.40820000000000001</c:v>
                </c:pt>
                <c:pt idx="32">
                  <c:v>0.40400000000000003</c:v>
                </c:pt>
                <c:pt idx="33">
                  <c:v>0.39389999999999997</c:v>
                </c:pt>
                <c:pt idx="34">
                  <c:v>0.37830000000000003</c:v>
                </c:pt>
                <c:pt idx="35">
                  <c:v>0.38819999999999999</c:v>
                </c:pt>
                <c:pt idx="36">
                  <c:v>0.3609</c:v>
                </c:pt>
                <c:pt idx="37">
                  <c:v>0.34749999999999998</c:v>
                </c:pt>
                <c:pt idx="38">
                  <c:v>0.3266</c:v>
                </c:pt>
                <c:pt idx="39">
                  <c:v>0.33839999999999998</c:v>
                </c:pt>
                <c:pt idx="40">
                  <c:v>0.35110000000000002</c:v>
                </c:pt>
                <c:pt idx="41">
                  <c:v>0.3468</c:v>
                </c:pt>
                <c:pt idx="42">
                  <c:v>0.34639999999999999</c:v>
                </c:pt>
                <c:pt idx="43">
                  <c:v>0.3518</c:v>
                </c:pt>
                <c:pt idx="44">
                  <c:v>0.34670000000000001</c:v>
                </c:pt>
                <c:pt idx="45">
                  <c:v>0.33189999999999997</c:v>
                </c:pt>
                <c:pt idx="46">
                  <c:v>0.38419999999999999</c:v>
                </c:pt>
                <c:pt idx="47">
                  <c:v>0.35920000000000002</c:v>
                </c:pt>
                <c:pt idx="48">
                  <c:v>0.35510000000000003</c:v>
                </c:pt>
                <c:pt idx="49">
                  <c:v>0.37959999999999999</c:v>
                </c:pt>
                <c:pt idx="50">
                  <c:v>0.41710000000000003</c:v>
                </c:pt>
                <c:pt idx="51">
                  <c:v>0.39829999999999999</c:v>
                </c:pt>
                <c:pt idx="52">
                  <c:v>0.39</c:v>
                </c:pt>
                <c:pt idx="53">
                  <c:v>0.3805</c:v>
                </c:pt>
                <c:pt idx="54">
                  <c:v>0.4249</c:v>
                </c:pt>
                <c:pt idx="55">
                  <c:v>0.48120000000000002</c:v>
                </c:pt>
                <c:pt idx="56">
                  <c:v>0.50480000000000003</c:v>
                </c:pt>
                <c:pt idx="57">
                  <c:v>0.50460000000000005</c:v>
                </c:pt>
                <c:pt idx="58">
                  <c:v>0.51339999999999997</c:v>
                </c:pt>
                <c:pt idx="59">
                  <c:v>0.53310000000000002</c:v>
                </c:pt>
                <c:pt idx="60">
                  <c:v>0.55289999999999995</c:v>
                </c:pt>
                <c:pt idx="61">
                  <c:v>0.58489999999999998</c:v>
                </c:pt>
                <c:pt idx="62">
                  <c:v>0.51659999999999995</c:v>
                </c:pt>
                <c:pt idx="63">
                  <c:v>0.52610000000000001</c:v>
                </c:pt>
                <c:pt idx="64">
                  <c:v>0.52100000000000002</c:v>
                </c:pt>
                <c:pt idx="65">
                  <c:v>0.55000000000000004</c:v>
                </c:pt>
                <c:pt idx="66">
                  <c:v>0.5423</c:v>
                </c:pt>
                <c:pt idx="67">
                  <c:v>0.57140000000000002</c:v>
                </c:pt>
                <c:pt idx="68">
                  <c:v>0.55279999999999996</c:v>
                </c:pt>
                <c:pt idx="69">
                  <c:v>0.53269999999999995</c:v>
                </c:pt>
                <c:pt idx="70">
                  <c:v>0.51670000000000005</c:v>
                </c:pt>
                <c:pt idx="71">
                  <c:v>0.5605</c:v>
                </c:pt>
                <c:pt idx="72">
                  <c:v>0.57999999999999996</c:v>
                </c:pt>
                <c:pt idx="73">
                  <c:v>0.64039999999999997</c:v>
                </c:pt>
                <c:pt idx="74">
                  <c:v>0.68959999999999999</c:v>
                </c:pt>
                <c:pt idx="75">
                  <c:v>0.65959999999999996</c:v>
                </c:pt>
                <c:pt idx="76">
                  <c:v>0.7</c:v>
                </c:pt>
                <c:pt idx="77">
                  <c:v>0.7</c:v>
                </c:pt>
                <c:pt idx="78">
                  <c:v>0.57330000000000003</c:v>
                </c:pt>
                <c:pt idx="79">
                  <c:v>0.56259999999999999</c:v>
                </c:pt>
                <c:pt idx="80">
                  <c:v>0.60799999999999998</c:v>
                </c:pt>
                <c:pt idx="81">
                  <c:v>0.69399999999999995</c:v>
                </c:pt>
                <c:pt idx="82">
                  <c:v>0.49349999999999999</c:v>
                </c:pt>
                <c:pt idx="83">
                  <c:v>0.47849999999999998</c:v>
                </c:pt>
                <c:pt idx="84">
                  <c:v>0.49959999999999999</c:v>
                </c:pt>
                <c:pt idx="85">
                  <c:v>0.50019999999999998</c:v>
                </c:pt>
                <c:pt idx="86">
                  <c:v>0.53779999999999994</c:v>
                </c:pt>
                <c:pt idx="87">
                  <c:v>0.51929999999999998</c:v>
                </c:pt>
                <c:pt idx="88">
                  <c:v>0.4335</c:v>
                </c:pt>
                <c:pt idx="89">
                  <c:v>0.41099999999999998</c:v>
                </c:pt>
                <c:pt idx="90">
                  <c:v>0.41289999999999999</c:v>
                </c:pt>
                <c:pt idx="91">
                  <c:v>0.40060000000000001</c:v>
                </c:pt>
                <c:pt idx="92">
                  <c:v>0.3705</c:v>
                </c:pt>
                <c:pt idx="93">
                  <c:v>0.42720000000000002</c:v>
                </c:pt>
                <c:pt idx="94">
                  <c:v>0.44490000000000002</c:v>
                </c:pt>
                <c:pt idx="95">
                  <c:v>0.42230000000000001</c:v>
                </c:pt>
                <c:pt idx="96">
                  <c:v>0.44790000000000002</c:v>
                </c:pt>
                <c:pt idx="97">
                  <c:v>0.4486</c:v>
                </c:pt>
                <c:pt idx="98">
                  <c:v>0.44369999999999998</c:v>
                </c:pt>
                <c:pt idx="99">
                  <c:v>0.47570000000000001</c:v>
                </c:pt>
                <c:pt idx="100">
                  <c:v>0.4677</c:v>
                </c:pt>
                <c:pt idx="101">
                  <c:v>0.48670000000000002</c:v>
                </c:pt>
                <c:pt idx="102">
                  <c:v>0.47610000000000002</c:v>
                </c:pt>
                <c:pt idx="103">
                  <c:v>0.49980000000000002</c:v>
                </c:pt>
                <c:pt idx="104">
                  <c:v>0.45390000000000003</c:v>
                </c:pt>
                <c:pt idx="105">
                  <c:v>0.374</c:v>
                </c:pt>
                <c:pt idx="106">
                  <c:v>0.36270000000000002</c:v>
                </c:pt>
                <c:pt idx="107">
                  <c:v>0.36990000000000001</c:v>
                </c:pt>
                <c:pt idx="108">
                  <c:v>0.36459999999999998</c:v>
                </c:pt>
                <c:pt idx="109">
                  <c:v>0.34</c:v>
                </c:pt>
                <c:pt idx="110">
                  <c:v>0.37</c:v>
                </c:pt>
                <c:pt idx="111">
                  <c:v>0.36940000000000001</c:v>
                </c:pt>
                <c:pt idx="112">
                  <c:v>0.3745</c:v>
                </c:pt>
                <c:pt idx="113">
                  <c:v>0.39979999999999999</c:v>
                </c:pt>
                <c:pt idx="114">
                  <c:v>0.34849999999999998</c:v>
                </c:pt>
                <c:pt idx="115">
                  <c:v>0.32979999999999998</c:v>
                </c:pt>
                <c:pt idx="116">
                  <c:v>0.33789999999999998</c:v>
                </c:pt>
                <c:pt idx="117">
                  <c:v>0.32390000000000002</c:v>
                </c:pt>
                <c:pt idx="118">
                  <c:v>0.31669999999999998</c:v>
                </c:pt>
                <c:pt idx="119">
                  <c:v>0.29339999999999999</c:v>
                </c:pt>
                <c:pt idx="120">
                  <c:v>0.27789999999999998</c:v>
                </c:pt>
                <c:pt idx="121">
                  <c:v>0.26629999999999998</c:v>
                </c:pt>
                <c:pt idx="122">
                  <c:v>0.28050000000000003</c:v>
                </c:pt>
                <c:pt idx="123">
                  <c:v>0.2883</c:v>
                </c:pt>
                <c:pt idx="124">
                  <c:v>0.29709999999999998</c:v>
                </c:pt>
                <c:pt idx="125">
                  <c:v>0.29559999999999997</c:v>
                </c:pt>
                <c:pt idx="126">
                  <c:v>0.33110000000000001</c:v>
                </c:pt>
                <c:pt idx="127">
                  <c:v>0.33150000000000002</c:v>
                </c:pt>
                <c:pt idx="128">
                  <c:v>0.2863</c:v>
                </c:pt>
                <c:pt idx="129">
                  <c:v>0.33429999999999999</c:v>
                </c:pt>
                <c:pt idx="130">
                  <c:v>0.37</c:v>
                </c:pt>
                <c:pt idx="131">
                  <c:v>0.38300000000000001</c:v>
                </c:pt>
                <c:pt idx="132">
                  <c:v>0.37990000000000002</c:v>
                </c:pt>
                <c:pt idx="133">
                  <c:v>0.40350000000000003</c:v>
                </c:pt>
                <c:pt idx="134">
                  <c:v>0.40139999999999998</c:v>
                </c:pt>
                <c:pt idx="135">
                  <c:v>0.3921</c:v>
                </c:pt>
                <c:pt idx="136">
                  <c:v>0.3654</c:v>
                </c:pt>
                <c:pt idx="137">
                  <c:v>0.38619999999999999</c:v>
                </c:pt>
                <c:pt idx="138">
                  <c:v>0.36919999999999997</c:v>
                </c:pt>
                <c:pt idx="139">
                  <c:v>0.3649</c:v>
                </c:pt>
                <c:pt idx="140">
                  <c:v>0.39789999999999998</c:v>
                </c:pt>
                <c:pt idx="141">
                  <c:v>0.4042</c:v>
                </c:pt>
                <c:pt idx="142">
                  <c:v>0.4002</c:v>
                </c:pt>
                <c:pt idx="143">
                  <c:v>0.52239999999999998</c:v>
                </c:pt>
                <c:pt idx="144">
                  <c:v>0.53269999999999995</c:v>
                </c:pt>
                <c:pt idx="145">
                  <c:v>0.50249999999999995</c:v>
                </c:pt>
                <c:pt idx="146">
                  <c:v>0.4667</c:v>
                </c:pt>
                <c:pt idx="147">
                  <c:v>0.47370000000000001</c:v>
                </c:pt>
                <c:pt idx="148">
                  <c:v>0.45179999999999998</c:v>
                </c:pt>
                <c:pt idx="149">
                  <c:v>0.43690000000000001</c:v>
                </c:pt>
                <c:pt idx="150">
                  <c:v>0.44009999999999999</c:v>
                </c:pt>
                <c:pt idx="151">
                  <c:v>0.44740000000000002</c:v>
                </c:pt>
                <c:pt idx="152">
                  <c:v>0.45579999999999998</c:v>
                </c:pt>
                <c:pt idx="153">
                  <c:v>0.43809999999999999</c:v>
                </c:pt>
                <c:pt idx="154">
                  <c:v>0.41310000000000002</c:v>
                </c:pt>
                <c:pt idx="155">
                  <c:v>0.46153</c:v>
                </c:pt>
                <c:pt idx="156">
                  <c:v>0.44646999999999998</c:v>
                </c:pt>
                <c:pt idx="157">
                  <c:v>0.48749999999999999</c:v>
                </c:pt>
                <c:pt idx="158">
                  <c:v>0.43245</c:v>
                </c:pt>
                <c:pt idx="159">
                  <c:v>0.4042</c:v>
                </c:pt>
                <c:pt idx="160">
                  <c:v>0.40486</c:v>
                </c:pt>
                <c:pt idx="161">
                  <c:v>0.38009999999999999</c:v>
                </c:pt>
                <c:pt idx="162">
                  <c:v>0.35665999999999998</c:v>
                </c:pt>
                <c:pt idx="163">
                  <c:v>0.37397000000000002</c:v>
                </c:pt>
                <c:pt idx="164">
                  <c:v>0.38549</c:v>
                </c:pt>
                <c:pt idx="165">
                  <c:v>0.40654000000000001</c:v>
                </c:pt>
                <c:pt idx="166">
                  <c:v>0.41139999999999999</c:v>
                </c:pt>
                <c:pt idx="167">
                  <c:v>0.42459999999999998</c:v>
                </c:pt>
                <c:pt idx="168">
                  <c:v>0.41421000000000002</c:v>
                </c:pt>
                <c:pt idx="169">
                  <c:v>0.35593999999999998</c:v>
                </c:pt>
                <c:pt idx="170">
                  <c:v>0.35306999999999999</c:v>
                </c:pt>
                <c:pt idx="171">
                  <c:v>0.37380000000000002</c:v>
                </c:pt>
                <c:pt idx="172">
                  <c:v>0.27061000000000002</c:v>
                </c:pt>
                <c:pt idx="173">
                  <c:v>0.29404999999999998</c:v>
                </c:pt>
                <c:pt idx="174">
                  <c:v>0.28215000000000001</c:v>
                </c:pt>
                <c:pt idx="175">
                  <c:v>0.27916000000000002</c:v>
                </c:pt>
                <c:pt idx="176">
                  <c:v>0.26554</c:v>
                </c:pt>
                <c:pt idx="177">
                  <c:v>0.25977</c:v>
                </c:pt>
                <c:pt idx="178">
                  <c:v>0.28549000000000002</c:v>
                </c:pt>
                <c:pt idx="179">
                  <c:v>0.24682000000000001</c:v>
                </c:pt>
                <c:pt idx="180">
                  <c:v>0.25938</c:v>
                </c:pt>
                <c:pt idx="181">
                  <c:v>0.26111000000000001</c:v>
                </c:pt>
                <c:pt idx="182">
                  <c:v>0.22975999999999999</c:v>
                </c:pt>
                <c:pt idx="183">
                  <c:v>0.21967</c:v>
                </c:pt>
                <c:pt idx="184">
                  <c:v>0.22620999999999999</c:v>
                </c:pt>
                <c:pt idx="185">
                  <c:v>0.22019</c:v>
                </c:pt>
                <c:pt idx="186">
                  <c:v>0.22775000000000001</c:v>
                </c:pt>
                <c:pt idx="187">
                  <c:v>0.20358000000000001</c:v>
                </c:pt>
                <c:pt idx="188">
                  <c:v>0.19231000000000001</c:v>
                </c:pt>
                <c:pt idx="189">
                  <c:v>0.18720000000000001</c:v>
                </c:pt>
                <c:pt idx="190">
                  <c:v>0.18509</c:v>
                </c:pt>
                <c:pt idx="191">
                  <c:v>0.17158999999999999</c:v>
                </c:pt>
                <c:pt idx="192">
                  <c:v>0.18701000000000001</c:v>
                </c:pt>
                <c:pt idx="193">
                  <c:v>0.20630000000000001</c:v>
                </c:pt>
                <c:pt idx="194">
                  <c:v>0.20177</c:v>
                </c:pt>
                <c:pt idx="195">
                  <c:v>0.19844000000000001</c:v>
                </c:pt>
                <c:pt idx="196">
                  <c:v>0.21209</c:v>
                </c:pt>
                <c:pt idx="197">
                  <c:v>0.22917999999999999</c:v>
                </c:pt>
                <c:pt idx="198">
                  <c:v>0.21154999999999999</c:v>
                </c:pt>
                <c:pt idx="199">
                  <c:v>0.21407999999999999</c:v>
                </c:pt>
                <c:pt idx="200">
                  <c:v>0.22406000000000001</c:v>
                </c:pt>
                <c:pt idx="201">
                  <c:v>0.21439</c:v>
                </c:pt>
                <c:pt idx="202">
                  <c:v>0.21870000000000001</c:v>
                </c:pt>
                <c:pt idx="203">
                  <c:v>0.21451999999999999</c:v>
                </c:pt>
                <c:pt idx="204">
                  <c:v>0.22958000000000001</c:v>
                </c:pt>
                <c:pt idx="205">
                  <c:v>0.22255</c:v>
                </c:pt>
                <c:pt idx="206">
                  <c:v>0.20613999999999999</c:v>
                </c:pt>
                <c:pt idx="207">
                  <c:v>0.21634999999999999</c:v>
                </c:pt>
                <c:pt idx="208">
                  <c:v>0.22</c:v>
                </c:pt>
                <c:pt idx="209">
                  <c:v>0.21243000000000001</c:v>
                </c:pt>
                <c:pt idx="210">
                  <c:v>0.21121000000000001</c:v>
                </c:pt>
                <c:pt idx="211">
                  <c:v>0.22392999999999999</c:v>
                </c:pt>
                <c:pt idx="212">
                  <c:v>0.22922999999999999</c:v>
                </c:pt>
                <c:pt idx="213">
                  <c:v>0.22136</c:v>
                </c:pt>
                <c:pt idx="214">
                  <c:v>0.22466</c:v>
                </c:pt>
                <c:pt idx="215">
                  <c:v>0.19866</c:v>
                </c:pt>
                <c:pt idx="216">
                  <c:v>0.19955000000000001</c:v>
                </c:pt>
                <c:pt idx="217">
                  <c:v>0.22166</c:v>
                </c:pt>
                <c:pt idx="218">
                  <c:v>0.21879999999999999</c:v>
                </c:pt>
                <c:pt idx="219">
                  <c:v>0.19536999999999999</c:v>
                </c:pt>
                <c:pt idx="220">
                  <c:v>0.21179999999999999</c:v>
                </c:pt>
                <c:pt idx="221">
                  <c:v>0.27446999999999999</c:v>
                </c:pt>
                <c:pt idx="222">
                  <c:v>0.26708999999999999</c:v>
                </c:pt>
                <c:pt idx="223">
                  <c:v>0.28525</c:v>
                </c:pt>
                <c:pt idx="224">
                  <c:v>0.29798999999999998</c:v>
                </c:pt>
                <c:pt idx="225">
                  <c:v>0.28342000000000001</c:v>
                </c:pt>
                <c:pt idx="226">
                  <c:v>0.30064000000000002</c:v>
                </c:pt>
                <c:pt idx="227">
                  <c:v>0.30430000000000001</c:v>
                </c:pt>
                <c:pt idx="228">
                  <c:v>0.29110999999999998</c:v>
                </c:pt>
                <c:pt idx="229">
                  <c:v>0.27162999999999998</c:v>
                </c:pt>
                <c:pt idx="230">
                  <c:v>0.27207999999999999</c:v>
                </c:pt>
                <c:pt idx="231">
                  <c:v>0.29288999999999998</c:v>
                </c:pt>
                <c:pt idx="232">
                  <c:v>0.32216</c:v>
                </c:pt>
                <c:pt idx="233">
                  <c:v>0.31165999999999999</c:v>
                </c:pt>
                <c:pt idx="234">
                  <c:v>0.32246999999999998</c:v>
                </c:pt>
                <c:pt idx="235">
                  <c:v>0.35344999999999999</c:v>
                </c:pt>
                <c:pt idx="236">
                  <c:v>0.34400999999999998</c:v>
                </c:pt>
                <c:pt idx="237">
                  <c:v>0.35447000000000001</c:v>
                </c:pt>
                <c:pt idx="238">
                  <c:v>0.39267999999999997</c:v>
                </c:pt>
                <c:pt idx="239">
                  <c:v>0.37739</c:v>
                </c:pt>
                <c:pt idx="240">
                  <c:v>0.37494</c:v>
                </c:pt>
                <c:pt idx="241">
                  <c:v>0.37074000000000001</c:v>
                </c:pt>
                <c:pt idx="242">
                  <c:v>0.35439999999999999</c:v>
                </c:pt>
                <c:pt idx="243">
                  <c:v>0.34827000000000002</c:v>
                </c:pt>
                <c:pt idx="244">
                  <c:v>0.35066999999999998</c:v>
                </c:pt>
                <c:pt idx="245">
                  <c:v>0.39954000000000001</c:v>
                </c:pt>
                <c:pt idx="246">
                  <c:v>0.42424000000000001</c:v>
                </c:pt>
                <c:pt idx="247">
                  <c:v>0.41210000000000002</c:v>
                </c:pt>
                <c:pt idx="248">
                  <c:v>0.32929000000000003</c:v>
                </c:pt>
                <c:pt idx="249">
                  <c:v>0.27955000000000002</c:v>
                </c:pt>
                <c:pt idx="250">
                  <c:v>0.32328000000000001</c:v>
                </c:pt>
                <c:pt idx="251">
                  <c:v>0.34903000000000001</c:v>
                </c:pt>
                <c:pt idx="252">
                  <c:v>0.42365000000000003</c:v>
                </c:pt>
                <c:pt idx="253">
                  <c:v>0.32712000000000002</c:v>
                </c:pt>
                <c:pt idx="254">
                  <c:v>0.53127999999999997</c:v>
                </c:pt>
                <c:pt idx="255">
                  <c:v>0.52620999999999996</c:v>
                </c:pt>
                <c:pt idx="256">
                  <c:v>0.58492</c:v>
                </c:pt>
                <c:pt idx="257">
                  <c:v>0.58774999999999999</c:v>
                </c:pt>
                <c:pt idx="258">
                  <c:v>0.54664000000000001</c:v>
                </c:pt>
                <c:pt idx="259">
                  <c:v>0.53312000000000004</c:v>
                </c:pt>
                <c:pt idx="260">
                  <c:v>0.50692999999999999</c:v>
                </c:pt>
                <c:pt idx="261">
                  <c:v>0.62236999999999998</c:v>
                </c:pt>
                <c:pt idx="262">
                  <c:v>0.57552000000000003</c:v>
                </c:pt>
                <c:pt idx="263">
                  <c:v>0.62365000000000004</c:v>
                </c:pt>
                <c:pt idx="264">
                  <c:v>0.65344000000000002</c:v>
                </c:pt>
                <c:pt idx="265">
                  <c:v>0.65842000000000001</c:v>
                </c:pt>
                <c:pt idx="266">
                  <c:v>0.64344000000000001</c:v>
                </c:pt>
                <c:pt idx="267">
                  <c:v>0.69199999999999995</c:v>
                </c:pt>
                <c:pt idx="268">
                  <c:v>0.66922999999999999</c:v>
                </c:pt>
                <c:pt idx="269">
                  <c:v>0.76107000000000002</c:v>
                </c:pt>
                <c:pt idx="270">
                  <c:v>0.75653000000000004</c:v>
                </c:pt>
                <c:pt idx="271">
                  <c:v>0.76707999999999998</c:v>
                </c:pt>
                <c:pt idx="272">
                  <c:v>0.69035999999999997</c:v>
                </c:pt>
                <c:pt idx="273">
                  <c:v>0.64849999999999997</c:v>
                </c:pt>
                <c:pt idx="274">
                  <c:v>0.65459999999999996</c:v>
                </c:pt>
                <c:pt idx="275">
                  <c:v>0.67949999999999999</c:v>
                </c:pt>
                <c:pt idx="276">
                  <c:v>0.66039000000000003</c:v>
                </c:pt>
                <c:pt idx="277">
                  <c:v>0.61597999999999997</c:v>
                </c:pt>
                <c:pt idx="278">
                  <c:v>0.54925999999999997</c:v>
                </c:pt>
                <c:pt idx="279">
                  <c:v>0.59933000000000003</c:v>
                </c:pt>
                <c:pt idx="280">
                  <c:v>0.60750000000000004</c:v>
                </c:pt>
                <c:pt idx="281">
                  <c:v>0.73382000000000003</c:v>
                </c:pt>
                <c:pt idx="282">
                  <c:v>0.60550999999999999</c:v>
                </c:pt>
                <c:pt idx="283">
                  <c:v>0.58672000000000002</c:v>
                </c:pt>
                <c:pt idx="284">
                  <c:v>0.66183000000000003</c:v>
                </c:pt>
                <c:pt idx="285">
                  <c:v>0.77675000000000005</c:v>
                </c:pt>
                <c:pt idx="286">
                  <c:v>0.77390000000000003</c:v>
                </c:pt>
                <c:pt idx="287">
                  <c:v>0.81050999999999995</c:v>
                </c:pt>
                <c:pt idx="288">
                  <c:v>0.78607000000000005</c:v>
                </c:pt>
                <c:pt idx="289">
                  <c:v>0.84906999999999999</c:v>
                </c:pt>
                <c:pt idx="290">
                  <c:v>0.86816000000000004</c:v>
                </c:pt>
                <c:pt idx="291">
                  <c:v>0.95372999999999997</c:v>
                </c:pt>
                <c:pt idx="292">
                  <c:v>1.0207299999999999</c:v>
                </c:pt>
                <c:pt idx="293">
                  <c:v>1.29122</c:v>
                </c:pt>
                <c:pt idx="294">
                  <c:v>0.92911999999999995</c:v>
                </c:pt>
                <c:pt idx="295">
                  <c:v>0.82320000000000004</c:v>
                </c:pt>
                <c:pt idx="296">
                  <c:v>0.52500000000000002</c:v>
                </c:pt>
                <c:pt idx="297">
                  <c:v>0.56605000000000005</c:v>
                </c:pt>
                <c:pt idx="298">
                  <c:v>0.30649999999999999</c:v>
                </c:pt>
                <c:pt idx="299">
                  <c:v>0.32</c:v>
                </c:pt>
                <c:pt idx="300">
                  <c:v>0.19864999999999999</c:v>
                </c:pt>
                <c:pt idx="301">
                  <c:v>0.18107999999999999</c:v>
                </c:pt>
                <c:pt idx="302">
                  <c:v>0.18779999999999999</c:v>
                </c:pt>
                <c:pt idx="303">
                  <c:v>0.19308</c:v>
                </c:pt>
                <c:pt idx="304">
                  <c:v>0.20516000000000001</c:v>
                </c:pt>
                <c:pt idx="305">
                  <c:v>0.17874000000000001</c:v>
                </c:pt>
                <c:pt idx="306">
                  <c:v>0.18234</c:v>
                </c:pt>
                <c:pt idx="307">
                  <c:v>0.16792000000000001</c:v>
                </c:pt>
                <c:pt idx="308">
                  <c:v>0.15298999999999999</c:v>
                </c:pt>
                <c:pt idx="309">
                  <c:v>0.15817999999999999</c:v>
                </c:pt>
                <c:pt idx="310">
                  <c:v>0.16378999999999999</c:v>
                </c:pt>
                <c:pt idx="311">
                  <c:v>0.16839999999999999</c:v>
                </c:pt>
                <c:pt idx="312">
                  <c:v>0.187</c:v>
                </c:pt>
                <c:pt idx="313">
                  <c:v>0.24528</c:v>
                </c:pt>
                <c:pt idx="314">
                  <c:v>0.1492</c:v>
                </c:pt>
                <c:pt idx="315">
                  <c:v>0.1522</c:v>
                </c:pt>
                <c:pt idx="316">
                  <c:v>0.14069000000000001</c:v>
                </c:pt>
                <c:pt idx="317">
                  <c:v>0.14368</c:v>
                </c:pt>
                <c:pt idx="318">
                  <c:v>0.14774000000000001</c:v>
                </c:pt>
                <c:pt idx="319">
                  <c:v>0.16222</c:v>
                </c:pt>
                <c:pt idx="320">
                  <c:v>0.16214999999999999</c:v>
                </c:pt>
                <c:pt idx="321">
                  <c:v>0.17938000000000001</c:v>
                </c:pt>
                <c:pt idx="322">
                  <c:v>0.11268</c:v>
                </c:pt>
                <c:pt idx="323">
                  <c:v>0.10088</c:v>
                </c:pt>
                <c:pt idx="324">
                  <c:v>0.12078999999999999</c:v>
                </c:pt>
                <c:pt idx="325">
                  <c:v>6.7000000000000004E-2</c:v>
                </c:pt>
                <c:pt idx="326">
                  <c:v>5.4429999999999999E-2</c:v>
                </c:pt>
                <c:pt idx="327">
                  <c:v>5.6230000000000002E-2</c:v>
                </c:pt>
                <c:pt idx="328">
                  <c:v>5.5849999999999997E-2</c:v>
                </c:pt>
                <c:pt idx="329">
                  <c:v>5.2560000000000003E-2</c:v>
                </c:pt>
                <c:pt idx="330">
                  <c:v>5.4300000000000001E-2</c:v>
                </c:pt>
                <c:pt idx="331">
                  <c:v>4.7840000000000001E-2</c:v>
                </c:pt>
                <c:pt idx="332">
                  <c:v>4.666E-2</c:v>
                </c:pt>
                <c:pt idx="333">
                  <c:v>4.2590000000000003E-2</c:v>
                </c:pt>
                <c:pt idx="334">
                  <c:v>4.3139999999999998E-2</c:v>
                </c:pt>
                <c:pt idx="335">
                  <c:v>4.1250000000000002E-2</c:v>
                </c:pt>
                <c:pt idx="336">
                  <c:v>4.3450000000000003E-2</c:v>
                </c:pt>
                <c:pt idx="337">
                  <c:v>4.5760000000000002E-2</c:v>
                </c:pt>
                <c:pt idx="338">
                  <c:v>4.5589999999999999E-2</c:v>
                </c:pt>
                <c:pt idx="339">
                  <c:v>5.1279999999999999E-2</c:v>
                </c:pt>
                <c:pt idx="340">
                  <c:v>5.8069999999999997E-2</c:v>
                </c:pt>
                <c:pt idx="341">
                  <c:v>5.1630000000000002E-2</c:v>
                </c:pt>
                <c:pt idx="342">
                  <c:v>5.4460000000000001E-2</c:v>
                </c:pt>
                <c:pt idx="343">
                  <c:v>5.3940000000000002E-2</c:v>
                </c:pt>
                <c:pt idx="344">
                  <c:v>5.3199999999999997E-2</c:v>
                </c:pt>
                <c:pt idx="345">
                  <c:v>5.0950000000000002E-2</c:v>
                </c:pt>
                <c:pt idx="346">
                  <c:v>5.3170000000000002E-2</c:v>
                </c:pt>
                <c:pt idx="347">
                  <c:v>5.602E-2</c:v>
                </c:pt>
                <c:pt idx="348">
                  <c:v>5.7169999999999999E-2</c:v>
                </c:pt>
                <c:pt idx="349">
                  <c:v>5.6950000000000001E-2</c:v>
                </c:pt>
                <c:pt idx="350">
                  <c:v>5.5730000000000002E-2</c:v>
                </c:pt>
                <c:pt idx="351">
                  <c:v>5.1479999999999998E-2</c:v>
                </c:pt>
                <c:pt idx="352">
                  <c:v>5.1119999999999999E-2</c:v>
                </c:pt>
                <c:pt idx="353">
                  <c:v>4.7199999999999999E-2</c:v>
                </c:pt>
                <c:pt idx="354">
                  <c:v>4.1029999999999997E-2</c:v>
                </c:pt>
                <c:pt idx="355">
                  <c:v>4.1489999999999999E-2</c:v>
                </c:pt>
                <c:pt idx="356">
                  <c:v>4.2479999999999997E-2</c:v>
                </c:pt>
                <c:pt idx="357">
                  <c:v>3.517E-2</c:v>
                </c:pt>
                <c:pt idx="358">
                  <c:v>3.5009999999999999E-2</c:v>
                </c:pt>
                <c:pt idx="359">
                  <c:v>3.091E-2</c:v>
                </c:pt>
                <c:pt idx="360">
                  <c:v>2.964E-2</c:v>
                </c:pt>
                <c:pt idx="361">
                  <c:v>2.8969999999999999E-2</c:v>
                </c:pt>
                <c:pt idx="362">
                  <c:v>2.9690000000000001E-2</c:v>
                </c:pt>
                <c:pt idx="363">
                  <c:v>2.8420000000000001E-2</c:v>
                </c:pt>
                <c:pt idx="364">
                  <c:v>2.8299999999999999E-2</c:v>
                </c:pt>
                <c:pt idx="365">
                  <c:v>3.0980000000000001E-2</c:v>
                </c:pt>
                <c:pt idx="366">
                  <c:v>2.6030000000000001E-2</c:v>
                </c:pt>
                <c:pt idx="367">
                  <c:v>2.7220000000000001E-2</c:v>
                </c:pt>
                <c:pt idx="368">
                  <c:v>2.8150000000000001E-2</c:v>
                </c:pt>
                <c:pt idx="369">
                  <c:v>2.5080000000000002E-2</c:v>
                </c:pt>
                <c:pt idx="370">
                  <c:v>2.5399999999999999E-2</c:v>
                </c:pt>
                <c:pt idx="371">
                  <c:v>2.4080000000000001E-2</c:v>
                </c:pt>
                <c:pt idx="372">
                  <c:v>2.4750000000000001E-2</c:v>
                </c:pt>
                <c:pt idx="373">
                  <c:v>2.512E-2</c:v>
                </c:pt>
                <c:pt idx="374">
                  <c:v>2.3369999999999998E-2</c:v>
                </c:pt>
                <c:pt idx="375">
                  <c:v>2.1389999999999999E-2</c:v>
                </c:pt>
                <c:pt idx="376">
                  <c:v>2.1239999999999998E-2</c:v>
                </c:pt>
                <c:pt idx="377">
                  <c:v>2.068E-2</c:v>
                </c:pt>
                <c:pt idx="378">
                  <c:v>2.0279999999999999E-2</c:v>
                </c:pt>
                <c:pt idx="379">
                  <c:v>2.0310000000000002E-2</c:v>
                </c:pt>
                <c:pt idx="380">
                  <c:v>1.9699999999999999E-2</c:v>
                </c:pt>
                <c:pt idx="381">
                  <c:v>2.0230000000000001E-2</c:v>
                </c:pt>
                <c:pt idx="382">
                  <c:v>2.283E-2</c:v>
                </c:pt>
                <c:pt idx="383">
                  <c:v>2.3369999999999998E-2</c:v>
                </c:pt>
                <c:pt idx="384">
                  <c:v>2.1239999999999998E-2</c:v>
                </c:pt>
                <c:pt idx="385">
                  <c:v>2.1160000000000002E-2</c:v>
                </c:pt>
                <c:pt idx="386">
                  <c:v>1.9959999999999999E-2</c:v>
                </c:pt>
                <c:pt idx="387">
                  <c:v>1.8579999999999999E-2</c:v>
                </c:pt>
                <c:pt idx="388">
                  <c:v>1.8280000000000001E-2</c:v>
                </c:pt>
                <c:pt idx="389">
                  <c:v>1.7979999999999999E-2</c:v>
                </c:pt>
                <c:pt idx="390">
                  <c:v>1.89E-2</c:v>
                </c:pt>
                <c:pt idx="391">
                  <c:v>1.8280000000000001E-2</c:v>
                </c:pt>
                <c:pt idx="392">
                  <c:v>1.7010000000000001E-2</c:v>
                </c:pt>
                <c:pt idx="393">
                  <c:v>1.711E-2</c:v>
                </c:pt>
                <c:pt idx="394">
                  <c:v>1.8339999999999999E-2</c:v>
                </c:pt>
                <c:pt idx="395">
                  <c:v>1.8759999999999999E-2</c:v>
                </c:pt>
                <c:pt idx="396">
                  <c:v>1.8509999999999999E-2</c:v>
                </c:pt>
                <c:pt idx="397">
                  <c:v>2.036E-2</c:v>
                </c:pt>
                <c:pt idx="398">
                  <c:v>1.8190000000000001E-2</c:v>
                </c:pt>
                <c:pt idx="399">
                  <c:v>1.9449999999999999E-2</c:v>
                </c:pt>
                <c:pt idx="400">
                  <c:v>1.7270000000000001E-2</c:v>
                </c:pt>
                <c:pt idx="401">
                  <c:v>2.274E-2</c:v>
                </c:pt>
                <c:pt idx="402">
                  <c:v>2.3599999999999999E-2</c:v>
                </c:pt>
                <c:pt idx="403">
                  <c:v>2.3120000000000002E-2</c:v>
                </c:pt>
                <c:pt idx="404">
                  <c:v>2.393E-2</c:v>
                </c:pt>
                <c:pt idx="405">
                  <c:v>2.3570000000000001E-2</c:v>
                </c:pt>
                <c:pt idx="406">
                  <c:v>2.2270000000000002E-2</c:v>
                </c:pt>
                <c:pt idx="407">
                  <c:v>2.2780000000000002E-2</c:v>
                </c:pt>
                <c:pt idx="408">
                  <c:v>2.1680000000000001E-2</c:v>
                </c:pt>
                <c:pt idx="409">
                  <c:v>2.1770000000000001E-2</c:v>
                </c:pt>
                <c:pt idx="410">
                  <c:v>2.1350000000000001E-2</c:v>
                </c:pt>
                <c:pt idx="411">
                  <c:v>2.0830000000000001E-2</c:v>
                </c:pt>
                <c:pt idx="412">
                  <c:v>1.9959999999999999E-2</c:v>
                </c:pt>
                <c:pt idx="413">
                  <c:v>2.102E-2</c:v>
                </c:pt>
                <c:pt idx="414">
                  <c:v>2.1600000000000001E-2</c:v>
                </c:pt>
                <c:pt idx="415">
                  <c:v>2.1139999999999999E-2</c:v>
                </c:pt>
                <c:pt idx="416">
                  <c:v>2.1999999999999999E-2</c:v>
                </c:pt>
                <c:pt idx="417">
                  <c:v>2.2579999999999999E-2</c:v>
                </c:pt>
                <c:pt idx="418">
                  <c:v>2.146E-2</c:v>
                </c:pt>
                <c:pt idx="419">
                  <c:v>2.0959999999999999E-2</c:v>
                </c:pt>
                <c:pt idx="420">
                  <c:v>2.1909999999999999E-2</c:v>
                </c:pt>
                <c:pt idx="421">
                  <c:v>2.2159999999999999E-2</c:v>
                </c:pt>
                <c:pt idx="422">
                  <c:v>2.138E-2</c:v>
                </c:pt>
                <c:pt idx="423">
                  <c:v>2.2239999999999999E-2</c:v>
                </c:pt>
                <c:pt idx="424">
                  <c:v>2.2380000000000001E-2</c:v>
                </c:pt>
                <c:pt idx="425">
                  <c:v>2.078E-2</c:v>
                </c:pt>
                <c:pt idx="426">
                  <c:v>2.0289999999999999E-2</c:v>
                </c:pt>
                <c:pt idx="427">
                  <c:v>1.9869999999999999E-2</c:v>
                </c:pt>
                <c:pt idx="428">
                  <c:v>2.2669999999999999E-2</c:v>
                </c:pt>
                <c:pt idx="429">
                  <c:v>2.2120000000000001E-2</c:v>
                </c:pt>
                <c:pt idx="430">
                  <c:v>2.1180000000000001E-2</c:v>
                </c:pt>
                <c:pt idx="431">
                  <c:v>2.0140000000000002E-2</c:v>
                </c:pt>
                <c:pt idx="432">
                  <c:v>2.0750000000000001E-2</c:v>
                </c:pt>
                <c:pt idx="433">
                  <c:v>1.9709999999999998E-2</c:v>
                </c:pt>
                <c:pt idx="434">
                  <c:v>1.9040000000000001E-2</c:v>
                </c:pt>
                <c:pt idx="435">
                  <c:v>1.933E-2</c:v>
                </c:pt>
                <c:pt idx="436">
                  <c:v>2.0199999999999999E-2</c:v>
                </c:pt>
                <c:pt idx="437">
                  <c:v>1.9890000000000001E-2</c:v>
                </c:pt>
                <c:pt idx="438">
                  <c:v>2.0559999999999998E-2</c:v>
                </c:pt>
                <c:pt idx="439">
                  <c:v>2.1559999999999999E-2</c:v>
                </c:pt>
                <c:pt idx="440">
                  <c:v>2.1690000000000001E-2</c:v>
                </c:pt>
                <c:pt idx="441">
                  <c:v>2.1170000000000001E-2</c:v>
                </c:pt>
                <c:pt idx="442">
                  <c:v>2.2179999999999998E-2</c:v>
                </c:pt>
                <c:pt idx="443">
                  <c:v>2.5069999999999999E-2</c:v>
                </c:pt>
                <c:pt idx="444">
                  <c:v>2.0160000000000001E-2</c:v>
                </c:pt>
                <c:pt idx="445">
                  <c:v>2.0080000000000001E-2</c:v>
                </c:pt>
                <c:pt idx="446">
                  <c:v>1.8749999999999999E-2</c:v>
                </c:pt>
                <c:pt idx="447">
                  <c:v>1.9279999999999999E-2</c:v>
                </c:pt>
                <c:pt idx="448">
                  <c:v>1.7729999999999999E-2</c:v>
                </c:pt>
                <c:pt idx="449">
                  <c:v>1.7469999999999999E-2</c:v>
                </c:pt>
                <c:pt idx="450">
                  <c:v>1.7219999999999999E-2</c:v>
                </c:pt>
                <c:pt idx="451">
                  <c:v>1.8319999999999999E-2</c:v>
                </c:pt>
                <c:pt idx="452">
                  <c:v>1.8409999999999999E-2</c:v>
                </c:pt>
                <c:pt idx="453">
                  <c:v>1.9369999999999998E-2</c:v>
                </c:pt>
                <c:pt idx="454">
                  <c:v>1.695E-2</c:v>
                </c:pt>
                <c:pt idx="455">
                  <c:v>1.703E-2</c:v>
                </c:pt>
                <c:pt idx="456">
                  <c:v>1.745E-2</c:v>
                </c:pt>
                <c:pt idx="457">
                  <c:v>1.7690000000000001E-2</c:v>
                </c:pt>
                <c:pt idx="458">
                  <c:v>1.8519999999999998E-2</c:v>
                </c:pt>
                <c:pt idx="459">
                  <c:v>1.8780000000000002E-2</c:v>
                </c:pt>
                <c:pt idx="460">
                  <c:v>1.9109999999999999E-2</c:v>
                </c:pt>
                <c:pt idx="461">
                  <c:v>1.8890000000000001E-2</c:v>
                </c:pt>
                <c:pt idx="462">
                  <c:v>1.9199999999999998E-2</c:v>
                </c:pt>
                <c:pt idx="463">
                  <c:v>1.7950000000000001E-2</c:v>
                </c:pt>
                <c:pt idx="464">
                  <c:v>1.797E-2</c:v>
                </c:pt>
                <c:pt idx="465">
                  <c:v>1.8509999999999999E-2</c:v>
                </c:pt>
                <c:pt idx="466">
                  <c:v>1.8460000000000001E-2</c:v>
                </c:pt>
                <c:pt idx="467">
                  <c:v>1.857E-2</c:v>
                </c:pt>
                <c:pt idx="468">
                  <c:v>1.857E-2</c:v>
                </c:pt>
                <c:pt idx="469">
                  <c:v>1.8069999999999999E-2</c:v>
                </c:pt>
                <c:pt idx="470">
                  <c:v>1.848E-2</c:v>
                </c:pt>
                <c:pt idx="471">
                  <c:v>1.951E-2</c:v>
                </c:pt>
                <c:pt idx="472">
                  <c:v>1.9470000000000001E-2</c:v>
                </c:pt>
                <c:pt idx="473">
                  <c:v>1.951E-2</c:v>
                </c:pt>
                <c:pt idx="474">
                  <c:v>1.9060000000000001E-2</c:v>
                </c:pt>
                <c:pt idx="475">
                  <c:v>1.9470000000000001E-2</c:v>
                </c:pt>
                <c:pt idx="476">
                  <c:v>1.8440000000000002E-2</c:v>
                </c:pt>
                <c:pt idx="477">
                  <c:v>1.8499999999999999E-2</c:v>
                </c:pt>
                <c:pt idx="478">
                  <c:v>1.789E-2</c:v>
                </c:pt>
                <c:pt idx="479">
                  <c:v>2.01E-2</c:v>
                </c:pt>
                <c:pt idx="480">
                  <c:v>1.8440000000000002E-2</c:v>
                </c:pt>
                <c:pt idx="481">
                  <c:v>1.8440000000000002E-2</c:v>
                </c:pt>
                <c:pt idx="482">
                  <c:v>1.8800000000000001E-2</c:v>
                </c:pt>
                <c:pt idx="483">
                  <c:v>1.883E-2</c:v>
                </c:pt>
                <c:pt idx="484">
                  <c:v>1.898E-2</c:v>
                </c:pt>
                <c:pt idx="485">
                  <c:v>1.9259999999999999E-2</c:v>
                </c:pt>
                <c:pt idx="486">
                  <c:v>1.9230000000000001E-2</c:v>
                </c:pt>
                <c:pt idx="487">
                  <c:v>1.9390000000000001E-2</c:v>
                </c:pt>
                <c:pt idx="488">
                  <c:v>1.9050000000000001E-2</c:v>
                </c:pt>
                <c:pt idx="489">
                  <c:v>1.9199999999999998E-2</c:v>
                </c:pt>
                <c:pt idx="490">
                  <c:v>1.9009999999999999E-2</c:v>
                </c:pt>
                <c:pt idx="491">
                  <c:v>1.736E-2</c:v>
                </c:pt>
                <c:pt idx="492">
                  <c:v>1.8280000000000001E-2</c:v>
                </c:pt>
                <c:pt idx="493">
                  <c:v>1.9019999999999999E-2</c:v>
                </c:pt>
                <c:pt idx="494">
                  <c:v>2.5399999999999999E-2</c:v>
                </c:pt>
                <c:pt idx="495">
                  <c:v>1.916E-2</c:v>
                </c:pt>
                <c:pt idx="496">
                  <c:v>1.984E-2</c:v>
                </c:pt>
                <c:pt idx="497">
                  <c:v>1.992E-2</c:v>
                </c:pt>
                <c:pt idx="498">
                  <c:v>2.0379999999999999E-2</c:v>
                </c:pt>
                <c:pt idx="499">
                  <c:v>1.9279999999999999E-2</c:v>
                </c:pt>
                <c:pt idx="500">
                  <c:v>2.069E-2</c:v>
                </c:pt>
                <c:pt idx="501">
                  <c:v>2.0420000000000001E-2</c:v>
                </c:pt>
                <c:pt idx="502">
                  <c:v>2.188E-2</c:v>
                </c:pt>
                <c:pt idx="503">
                  <c:v>2.2530000000000001E-2</c:v>
                </c:pt>
                <c:pt idx="504">
                  <c:v>2.154E-2</c:v>
                </c:pt>
                <c:pt idx="505">
                  <c:v>1.9769999999999999E-2</c:v>
                </c:pt>
                <c:pt idx="506">
                  <c:v>1.933E-2</c:v>
                </c:pt>
                <c:pt idx="507">
                  <c:v>1.899E-2</c:v>
                </c:pt>
                <c:pt idx="508">
                  <c:v>1.9789999999999999E-2</c:v>
                </c:pt>
                <c:pt idx="509">
                  <c:v>1.8429999999999998E-2</c:v>
                </c:pt>
                <c:pt idx="510">
                  <c:v>2.2179999999999998E-2</c:v>
                </c:pt>
                <c:pt idx="511">
                  <c:v>2.019E-2</c:v>
                </c:pt>
                <c:pt idx="512">
                  <c:v>2.5999999999999999E-2</c:v>
                </c:pt>
                <c:pt idx="513">
                  <c:v>2.836E-2</c:v>
                </c:pt>
                <c:pt idx="514">
                  <c:v>3.1820000000000001E-2</c:v>
                </c:pt>
                <c:pt idx="515">
                  <c:v>3.0550000000000001E-2</c:v>
                </c:pt>
                <c:pt idx="516">
                  <c:v>2.9499999999999998E-2</c:v>
                </c:pt>
                <c:pt idx="517">
                  <c:v>2.9139999999999999E-2</c:v>
                </c:pt>
                <c:pt idx="518">
                  <c:v>2.7959999999999999E-2</c:v>
                </c:pt>
                <c:pt idx="519">
                  <c:v>3.022E-2</c:v>
                </c:pt>
                <c:pt idx="520">
                  <c:v>3.1099999999999999E-2</c:v>
                </c:pt>
                <c:pt idx="521">
                  <c:v>3.1829999999999997E-2</c:v>
                </c:pt>
                <c:pt idx="522">
                  <c:v>3.125E-2</c:v>
                </c:pt>
                <c:pt idx="523">
                  <c:v>3.2410000000000001E-2</c:v>
                </c:pt>
                <c:pt idx="524">
                  <c:v>3.0370000000000001E-2</c:v>
                </c:pt>
                <c:pt idx="525">
                  <c:v>3.422E-2</c:v>
                </c:pt>
                <c:pt idx="526">
                  <c:v>3.1119999999999998E-2</c:v>
                </c:pt>
                <c:pt idx="527">
                  <c:v>3.5659999999999997E-2</c:v>
                </c:pt>
                <c:pt idx="528">
                  <c:v>3.7150000000000002E-2</c:v>
                </c:pt>
                <c:pt idx="529">
                  <c:v>3.458E-2</c:v>
                </c:pt>
                <c:pt idx="530">
                  <c:v>3.4619999999999998E-2</c:v>
                </c:pt>
                <c:pt idx="531">
                  <c:v>3.3070000000000002E-2</c:v>
                </c:pt>
                <c:pt idx="532">
                  <c:v>3.0499999999999999E-2</c:v>
                </c:pt>
                <c:pt idx="533">
                  <c:v>3.2320000000000002E-2</c:v>
                </c:pt>
                <c:pt idx="534">
                  <c:v>2.8000000000000001E-2</c:v>
                </c:pt>
                <c:pt idx="535">
                  <c:v>3.014E-2</c:v>
                </c:pt>
                <c:pt idx="536">
                  <c:v>2.9669999999999998E-2</c:v>
                </c:pt>
                <c:pt idx="537">
                  <c:v>2.7629999999999998E-2</c:v>
                </c:pt>
                <c:pt idx="538">
                  <c:v>2.7060000000000001E-2</c:v>
                </c:pt>
                <c:pt idx="539">
                  <c:v>2.511E-2</c:v>
                </c:pt>
                <c:pt idx="540">
                  <c:v>2.316E-2</c:v>
                </c:pt>
                <c:pt idx="541">
                  <c:v>2.3800000000000002E-2</c:v>
                </c:pt>
                <c:pt idx="542">
                  <c:v>2.2550000000000001E-2</c:v>
                </c:pt>
                <c:pt idx="543">
                  <c:v>2.2429999999999999E-2</c:v>
                </c:pt>
                <c:pt idx="544">
                  <c:v>2.2759999999999999E-2</c:v>
                </c:pt>
                <c:pt idx="545">
                  <c:v>2.1989999999999999E-2</c:v>
                </c:pt>
                <c:pt idx="546">
                  <c:v>2.3439999999999999E-2</c:v>
                </c:pt>
                <c:pt idx="547">
                  <c:v>2.315E-2</c:v>
                </c:pt>
                <c:pt idx="548">
                  <c:v>2.2419999999999999E-2</c:v>
                </c:pt>
                <c:pt idx="549">
                  <c:v>2.1940000000000001E-2</c:v>
                </c:pt>
                <c:pt idx="550">
                  <c:v>2.4709999999999999E-2</c:v>
                </c:pt>
                <c:pt idx="551">
                  <c:v>2.4670000000000001E-2</c:v>
                </c:pt>
                <c:pt idx="552">
                  <c:v>2.3720000000000001E-2</c:v>
                </c:pt>
                <c:pt idx="553">
                  <c:v>2.4590000000000001E-2</c:v>
                </c:pt>
                <c:pt idx="554">
                  <c:v>2.5510000000000001E-2</c:v>
                </c:pt>
                <c:pt idx="555">
                  <c:v>2.3060000000000001E-2</c:v>
                </c:pt>
                <c:pt idx="556">
                  <c:v>2.2599999999999999E-2</c:v>
                </c:pt>
                <c:pt idx="557">
                  <c:v>2.171E-2</c:v>
                </c:pt>
                <c:pt idx="558">
                  <c:v>2.1659999999999999E-2</c:v>
                </c:pt>
                <c:pt idx="559">
                  <c:v>2.0920000000000001E-2</c:v>
                </c:pt>
                <c:pt idx="560">
                  <c:v>2.095E-2</c:v>
                </c:pt>
                <c:pt idx="561">
                  <c:v>2.2040000000000001E-2</c:v>
                </c:pt>
                <c:pt idx="562">
                  <c:v>2.2120000000000001E-2</c:v>
                </c:pt>
                <c:pt idx="563">
                  <c:v>2.181E-2</c:v>
                </c:pt>
                <c:pt idx="564">
                  <c:v>2.3869999999999999E-2</c:v>
                </c:pt>
                <c:pt idx="565">
                  <c:v>2.4299999999999999E-2</c:v>
                </c:pt>
                <c:pt idx="566">
                  <c:v>2.453E-2</c:v>
                </c:pt>
                <c:pt idx="567">
                  <c:v>2.222E-2</c:v>
                </c:pt>
                <c:pt idx="568">
                  <c:v>2.273E-2</c:v>
                </c:pt>
                <c:pt idx="569">
                  <c:v>2.1610000000000001E-2</c:v>
                </c:pt>
                <c:pt idx="570">
                  <c:v>2.179E-2</c:v>
                </c:pt>
                <c:pt idx="571">
                  <c:v>2.111E-2</c:v>
                </c:pt>
                <c:pt idx="572">
                  <c:v>2.2020000000000001E-2</c:v>
                </c:pt>
                <c:pt idx="573">
                  <c:v>2.1299999999999999E-2</c:v>
                </c:pt>
                <c:pt idx="574">
                  <c:v>2.154E-2</c:v>
                </c:pt>
                <c:pt idx="575">
                  <c:v>2.1260000000000001E-2</c:v>
                </c:pt>
                <c:pt idx="576">
                  <c:v>2.179E-2</c:v>
                </c:pt>
                <c:pt idx="577">
                  <c:v>2.2610000000000002E-2</c:v>
                </c:pt>
                <c:pt idx="578">
                  <c:v>2.358E-2</c:v>
                </c:pt>
                <c:pt idx="579">
                  <c:v>2.128E-2</c:v>
                </c:pt>
                <c:pt idx="580">
                  <c:v>2.4140000000000002E-2</c:v>
                </c:pt>
                <c:pt idx="581">
                  <c:v>2.6679999999999999E-2</c:v>
                </c:pt>
                <c:pt idx="582">
                  <c:v>2.835E-2</c:v>
                </c:pt>
                <c:pt idx="583">
                  <c:v>2.785E-2</c:v>
                </c:pt>
                <c:pt idx="584">
                  <c:v>2.8809999999999999E-2</c:v>
                </c:pt>
                <c:pt idx="585">
                  <c:v>2.828E-2</c:v>
                </c:pt>
                <c:pt idx="586">
                  <c:v>3.107E-2</c:v>
                </c:pt>
                <c:pt idx="587">
                  <c:v>3.1119999999999998E-2</c:v>
                </c:pt>
                <c:pt idx="588">
                  <c:v>3.0009999999999998E-2</c:v>
                </c:pt>
                <c:pt idx="589">
                  <c:v>2.7910000000000001E-2</c:v>
                </c:pt>
                <c:pt idx="590">
                  <c:v>2.7560000000000001E-2</c:v>
                </c:pt>
                <c:pt idx="591">
                  <c:v>2.7019999999999999E-2</c:v>
                </c:pt>
                <c:pt idx="592">
                  <c:v>2.826E-2</c:v>
                </c:pt>
                <c:pt idx="593">
                  <c:v>2.9489999999999999E-2</c:v>
                </c:pt>
                <c:pt idx="594">
                  <c:v>2.8199999999999999E-2</c:v>
                </c:pt>
                <c:pt idx="595">
                  <c:v>2.9180000000000001E-2</c:v>
                </c:pt>
                <c:pt idx="596">
                  <c:v>2.7550000000000002E-2</c:v>
                </c:pt>
                <c:pt idx="597">
                  <c:v>2.7009999999999999E-2</c:v>
                </c:pt>
                <c:pt idx="598">
                  <c:v>2.4500000000000001E-2</c:v>
                </c:pt>
                <c:pt idx="599">
                  <c:v>2.563E-2</c:v>
                </c:pt>
                <c:pt idx="600">
                  <c:v>2.3990000000000001E-2</c:v>
                </c:pt>
                <c:pt idx="601">
                  <c:v>2.504E-2</c:v>
                </c:pt>
                <c:pt idx="602">
                  <c:v>2.1000000000000001E-2</c:v>
                </c:pt>
                <c:pt idx="603">
                  <c:v>2.231E-2</c:v>
                </c:pt>
                <c:pt idx="604">
                  <c:v>1.958E-2</c:v>
                </c:pt>
                <c:pt idx="605">
                  <c:v>1.9120000000000002E-2</c:v>
                </c:pt>
                <c:pt idx="606">
                  <c:v>1.8030000000000001E-2</c:v>
                </c:pt>
                <c:pt idx="607">
                  <c:v>1.8509999999999999E-2</c:v>
                </c:pt>
                <c:pt idx="608">
                  <c:v>1.8440000000000002E-2</c:v>
                </c:pt>
                <c:pt idx="609">
                  <c:v>1.797E-2</c:v>
                </c:pt>
                <c:pt idx="610">
                  <c:v>1.7579999999999998E-2</c:v>
                </c:pt>
                <c:pt idx="611">
                  <c:v>1.9199999999999998E-2</c:v>
                </c:pt>
                <c:pt idx="612">
                  <c:v>1.746E-2</c:v>
                </c:pt>
                <c:pt idx="613">
                  <c:v>1.6539999999999999E-2</c:v>
                </c:pt>
                <c:pt idx="614">
                  <c:v>1.54E-2</c:v>
                </c:pt>
                <c:pt idx="615">
                  <c:v>1.6289999999999999E-2</c:v>
                </c:pt>
                <c:pt idx="616">
                  <c:v>1.4959999999999999E-2</c:v>
                </c:pt>
                <c:pt idx="617">
                  <c:v>1.575E-2</c:v>
                </c:pt>
                <c:pt idx="618">
                  <c:v>1.5679999999999999E-2</c:v>
                </c:pt>
                <c:pt idx="619">
                  <c:v>1.536E-2</c:v>
                </c:pt>
                <c:pt idx="620">
                  <c:v>1.5509999999999999E-2</c:v>
                </c:pt>
                <c:pt idx="621">
                  <c:v>1.538E-2</c:v>
                </c:pt>
                <c:pt idx="622">
                  <c:v>1.5089999999999999E-2</c:v>
                </c:pt>
                <c:pt idx="623">
                  <c:v>1.5180000000000001E-2</c:v>
                </c:pt>
                <c:pt idx="624">
                  <c:v>1.49E-2</c:v>
                </c:pt>
                <c:pt idx="625">
                  <c:v>1.495E-2</c:v>
                </c:pt>
                <c:pt idx="626">
                  <c:v>1.447E-2</c:v>
                </c:pt>
                <c:pt idx="627">
                  <c:v>1.5299999999999999E-2</c:v>
                </c:pt>
                <c:pt idx="628">
                  <c:v>1.6080000000000001E-2</c:v>
                </c:pt>
                <c:pt idx="629">
                  <c:v>1.567E-2</c:v>
                </c:pt>
                <c:pt idx="630">
                  <c:v>1.508E-2</c:v>
                </c:pt>
                <c:pt idx="631">
                  <c:v>1.5429999999999999E-2</c:v>
                </c:pt>
                <c:pt idx="632">
                  <c:v>1.627E-2</c:v>
                </c:pt>
                <c:pt idx="633">
                  <c:v>1.6320000000000001E-2</c:v>
                </c:pt>
                <c:pt idx="634">
                  <c:v>1.584E-2</c:v>
                </c:pt>
                <c:pt idx="635">
                  <c:v>1.6539999999999999E-2</c:v>
                </c:pt>
                <c:pt idx="636">
                  <c:v>1.6129999999999999E-2</c:v>
                </c:pt>
                <c:pt idx="637">
                  <c:v>1.567E-2</c:v>
                </c:pt>
                <c:pt idx="638">
                  <c:v>1.6049999999999998E-2</c:v>
                </c:pt>
                <c:pt idx="639">
                  <c:v>1.5939999999999999E-2</c:v>
                </c:pt>
                <c:pt idx="640">
                  <c:v>1.5879999999999998E-2</c:v>
                </c:pt>
                <c:pt idx="641">
                  <c:v>1.6209999999999999E-2</c:v>
                </c:pt>
                <c:pt idx="642">
                  <c:v>1.5810000000000001E-2</c:v>
                </c:pt>
                <c:pt idx="643">
                  <c:v>1.5900000000000001E-2</c:v>
                </c:pt>
                <c:pt idx="644">
                  <c:v>1.549E-2</c:v>
                </c:pt>
                <c:pt idx="645">
                  <c:v>1.5650000000000001E-2</c:v>
                </c:pt>
                <c:pt idx="646">
                  <c:v>1.558E-2</c:v>
                </c:pt>
                <c:pt idx="647">
                  <c:v>1.4829999999999999E-2</c:v>
                </c:pt>
                <c:pt idx="648">
                  <c:v>1.583E-2</c:v>
                </c:pt>
                <c:pt idx="649">
                  <c:v>1.5630000000000002E-2</c:v>
                </c:pt>
                <c:pt idx="650">
                  <c:v>1.5310000000000001E-2</c:v>
                </c:pt>
                <c:pt idx="651">
                  <c:v>1.5610000000000001E-2</c:v>
                </c:pt>
                <c:pt idx="652">
                  <c:v>1.4930000000000001E-2</c:v>
                </c:pt>
                <c:pt idx="653">
                  <c:v>1.525E-2</c:v>
                </c:pt>
                <c:pt idx="654">
                  <c:v>1.3860000000000001E-2</c:v>
                </c:pt>
                <c:pt idx="655">
                  <c:v>1.434E-2</c:v>
                </c:pt>
                <c:pt idx="656">
                  <c:v>1.393E-2</c:v>
                </c:pt>
                <c:pt idx="657">
                  <c:v>1.3990000000000001E-2</c:v>
                </c:pt>
                <c:pt idx="658">
                  <c:v>1.512E-2</c:v>
                </c:pt>
                <c:pt idx="659">
                  <c:v>1.559E-2</c:v>
                </c:pt>
                <c:pt idx="660">
                  <c:v>1.4829999999999999E-2</c:v>
                </c:pt>
                <c:pt idx="661">
                  <c:v>1.5219999999999999E-2</c:v>
                </c:pt>
                <c:pt idx="662">
                  <c:v>1.494E-2</c:v>
                </c:pt>
                <c:pt idx="663">
                  <c:v>1.575E-2</c:v>
                </c:pt>
                <c:pt idx="664">
                  <c:v>1.511E-2</c:v>
                </c:pt>
                <c:pt idx="665">
                  <c:v>1.4149999999999999E-2</c:v>
                </c:pt>
                <c:pt idx="666">
                  <c:v>1.3950000000000001E-2</c:v>
                </c:pt>
                <c:pt idx="667">
                  <c:v>1.504E-2</c:v>
                </c:pt>
                <c:pt idx="668">
                  <c:v>1.302E-2</c:v>
                </c:pt>
                <c:pt idx="669">
                  <c:v>1.106E-2</c:v>
                </c:pt>
                <c:pt idx="670">
                  <c:v>1.158E-2</c:v>
                </c:pt>
                <c:pt idx="671">
                  <c:v>1.176E-2</c:v>
                </c:pt>
                <c:pt idx="672">
                  <c:v>1.251E-2</c:v>
                </c:pt>
                <c:pt idx="673">
                  <c:v>1.2930000000000001E-2</c:v>
                </c:pt>
                <c:pt idx="674">
                  <c:v>1.3390000000000001E-2</c:v>
                </c:pt>
                <c:pt idx="675">
                  <c:v>1.2579999999999999E-2</c:v>
                </c:pt>
                <c:pt idx="676">
                  <c:v>1.123E-2</c:v>
                </c:pt>
                <c:pt idx="677">
                  <c:v>1.304E-2</c:v>
                </c:pt>
                <c:pt idx="678">
                  <c:v>1.542E-2</c:v>
                </c:pt>
                <c:pt idx="679">
                  <c:v>1.068E-2</c:v>
                </c:pt>
                <c:pt idx="680">
                  <c:v>8.5199999999999998E-3</c:v>
                </c:pt>
                <c:pt idx="681">
                  <c:v>8.1799999999999998E-3</c:v>
                </c:pt>
                <c:pt idx="682">
                  <c:v>7.7600000000000004E-3</c:v>
                </c:pt>
                <c:pt idx="683">
                  <c:v>9.5300000000000003E-3</c:v>
                </c:pt>
                <c:pt idx="684">
                  <c:v>9.2399999999999999E-3</c:v>
                </c:pt>
                <c:pt idx="685">
                  <c:v>9.7900000000000001E-3</c:v>
                </c:pt>
                <c:pt idx="686">
                  <c:v>8.4700000000000001E-3</c:v>
                </c:pt>
                <c:pt idx="687">
                  <c:v>1.6889999999999999E-2</c:v>
                </c:pt>
                <c:pt idx="688">
                  <c:v>1.7780000000000001E-2</c:v>
                </c:pt>
                <c:pt idx="689">
                  <c:v>1.7420000000000001E-2</c:v>
                </c:pt>
                <c:pt idx="690">
                  <c:v>1.7469999999999999E-2</c:v>
                </c:pt>
                <c:pt idx="691">
                  <c:v>2.0910000000000002E-2</c:v>
                </c:pt>
                <c:pt idx="692">
                  <c:v>2.0299999999999999E-2</c:v>
                </c:pt>
                <c:pt idx="693">
                  <c:v>1.976E-2</c:v>
                </c:pt>
                <c:pt idx="694">
                  <c:v>1.9230000000000001E-2</c:v>
                </c:pt>
                <c:pt idx="695">
                  <c:v>1.8700000000000001E-2</c:v>
                </c:pt>
                <c:pt idx="696">
                  <c:v>1.8970000000000001E-2</c:v>
                </c:pt>
                <c:pt idx="697">
                  <c:v>1.857E-2</c:v>
                </c:pt>
                <c:pt idx="698">
                  <c:v>1.814E-2</c:v>
                </c:pt>
                <c:pt idx="699">
                  <c:v>1.8239999999999999E-2</c:v>
                </c:pt>
                <c:pt idx="700">
                  <c:v>1.874E-2</c:v>
                </c:pt>
                <c:pt idx="701">
                  <c:v>1.856E-2</c:v>
                </c:pt>
                <c:pt idx="702">
                  <c:v>2.002E-2</c:v>
                </c:pt>
                <c:pt idx="703">
                  <c:v>2.307E-2</c:v>
                </c:pt>
                <c:pt idx="704">
                  <c:v>2.3089999999999999E-2</c:v>
                </c:pt>
                <c:pt idx="705">
                  <c:v>2.231E-2</c:v>
                </c:pt>
                <c:pt idx="706">
                  <c:v>2.2749999999999999E-2</c:v>
                </c:pt>
                <c:pt idx="707">
                  <c:v>2.2069999999999999E-2</c:v>
                </c:pt>
                <c:pt idx="708">
                  <c:v>2.2159999999999999E-2</c:v>
                </c:pt>
                <c:pt idx="709">
                  <c:v>2.5190000000000001E-2</c:v>
                </c:pt>
                <c:pt idx="710">
                  <c:v>2.3E-2</c:v>
                </c:pt>
                <c:pt idx="711">
                  <c:v>2.3199999999999998E-2</c:v>
                </c:pt>
                <c:pt idx="712">
                  <c:v>2.5000000000000001E-2</c:v>
                </c:pt>
                <c:pt idx="713">
                  <c:v>2.7539999999999999E-2</c:v>
                </c:pt>
                <c:pt idx="714">
                  <c:v>2.6980000000000001E-2</c:v>
                </c:pt>
                <c:pt idx="715">
                  <c:v>2.9229999999999999E-2</c:v>
                </c:pt>
                <c:pt idx="716">
                  <c:v>2.818E-2</c:v>
                </c:pt>
                <c:pt idx="717">
                  <c:v>2.6100000000000002E-2</c:v>
                </c:pt>
                <c:pt idx="718">
                  <c:v>2.7210000000000002E-2</c:v>
                </c:pt>
                <c:pt idx="719">
                  <c:v>2.7959999999999999E-2</c:v>
                </c:pt>
                <c:pt idx="720">
                  <c:v>2.4209999999999999E-2</c:v>
                </c:pt>
                <c:pt idx="721">
                  <c:v>2.3449999999999999E-2</c:v>
                </c:pt>
                <c:pt idx="722">
                  <c:v>2.265E-2</c:v>
                </c:pt>
                <c:pt idx="723">
                  <c:v>2.1649999999999999E-2</c:v>
                </c:pt>
                <c:pt idx="724">
                  <c:v>2.2110000000000001E-2</c:v>
                </c:pt>
                <c:pt idx="725">
                  <c:v>2.0660000000000001E-2</c:v>
                </c:pt>
                <c:pt idx="726">
                  <c:v>1.9439999999999999E-2</c:v>
                </c:pt>
                <c:pt idx="727">
                  <c:v>1.9709999999999998E-2</c:v>
                </c:pt>
                <c:pt idx="728">
                  <c:v>1.9E-2</c:v>
                </c:pt>
                <c:pt idx="729">
                  <c:v>1.8030000000000001E-2</c:v>
                </c:pt>
                <c:pt idx="730">
                  <c:v>1.8620000000000001E-2</c:v>
                </c:pt>
                <c:pt idx="731">
                  <c:v>1.8339999999999999E-2</c:v>
                </c:pt>
                <c:pt idx="732">
                  <c:v>1.8149999999999999E-2</c:v>
                </c:pt>
                <c:pt idx="733">
                  <c:v>1.8970000000000001E-2</c:v>
                </c:pt>
                <c:pt idx="734">
                  <c:v>1.7010000000000001E-2</c:v>
                </c:pt>
                <c:pt idx="735">
                  <c:v>1.711E-2</c:v>
                </c:pt>
                <c:pt idx="736">
                  <c:v>1.8020000000000001E-2</c:v>
                </c:pt>
                <c:pt idx="737">
                  <c:v>1.7559999999999999E-2</c:v>
                </c:pt>
                <c:pt idx="738">
                  <c:v>1.668E-2</c:v>
                </c:pt>
                <c:pt idx="739">
                  <c:v>1.7100000000000001E-2</c:v>
                </c:pt>
                <c:pt idx="740">
                  <c:v>1.7770000000000001E-2</c:v>
                </c:pt>
                <c:pt idx="741">
                  <c:v>1.7840000000000002E-2</c:v>
                </c:pt>
                <c:pt idx="742">
                  <c:v>1.7420000000000001E-2</c:v>
                </c:pt>
                <c:pt idx="743">
                  <c:v>1.796E-2</c:v>
                </c:pt>
                <c:pt idx="744">
                  <c:v>1.738E-2</c:v>
                </c:pt>
                <c:pt idx="745">
                  <c:v>1.7229999999999999E-2</c:v>
                </c:pt>
                <c:pt idx="746">
                  <c:v>1.7260000000000001E-2</c:v>
                </c:pt>
                <c:pt idx="747">
                  <c:v>1.6969999999999999E-2</c:v>
                </c:pt>
                <c:pt idx="748">
                  <c:v>1.7569999999999999E-2</c:v>
                </c:pt>
                <c:pt idx="749">
                  <c:v>1.6820000000000002E-2</c:v>
                </c:pt>
                <c:pt idx="750">
                  <c:v>1.7260000000000001E-2</c:v>
                </c:pt>
                <c:pt idx="751">
                  <c:v>1.7950000000000001E-2</c:v>
                </c:pt>
                <c:pt idx="752">
                  <c:v>1.8370000000000001E-2</c:v>
                </c:pt>
                <c:pt idx="753">
                  <c:v>1.8679999999999999E-2</c:v>
                </c:pt>
                <c:pt idx="754">
                  <c:v>1.7850000000000001E-2</c:v>
                </c:pt>
                <c:pt idx="755">
                  <c:v>1.8200000000000001E-2</c:v>
                </c:pt>
                <c:pt idx="756">
                  <c:v>1.8450000000000001E-2</c:v>
                </c:pt>
                <c:pt idx="757">
                  <c:v>1.8089999999999998E-2</c:v>
                </c:pt>
                <c:pt idx="758">
                  <c:v>1.7330000000000002E-2</c:v>
                </c:pt>
                <c:pt idx="759">
                  <c:v>1.738E-2</c:v>
                </c:pt>
                <c:pt idx="760">
                  <c:v>1.8069999999999999E-2</c:v>
                </c:pt>
                <c:pt idx="761">
                  <c:v>1.7899999999999999E-2</c:v>
                </c:pt>
                <c:pt idx="762">
                  <c:v>1.7440000000000001E-2</c:v>
                </c:pt>
                <c:pt idx="763">
                  <c:v>1.6920000000000001E-2</c:v>
                </c:pt>
                <c:pt idx="764">
                  <c:v>1.7299999999999999E-2</c:v>
                </c:pt>
                <c:pt idx="765">
                  <c:v>1.7399999999999999E-2</c:v>
                </c:pt>
                <c:pt idx="766">
                  <c:v>1.7430000000000001E-2</c:v>
                </c:pt>
                <c:pt idx="767">
                  <c:v>1.8149999999999999E-2</c:v>
                </c:pt>
                <c:pt idx="768">
                  <c:v>1.8450000000000001E-2</c:v>
                </c:pt>
                <c:pt idx="769">
                  <c:v>1.8780000000000002E-2</c:v>
                </c:pt>
                <c:pt idx="770">
                  <c:v>1.8540000000000001E-2</c:v>
                </c:pt>
                <c:pt idx="771">
                  <c:v>1.77E-2</c:v>
                </c:pt>
                <c:pt idx="772">
                  <c:v>1.627E-2</c:v>
                </c:pt>
                <c:pt idx="773">
                  <c:v>1.8599999999999998E-2</c:v>
                </c:pt>
                <c:pt idx="774">
                  <c:v>1.9820000000000001E-2</c:v>
                </c:pt>
                <c:pt idx="775">
                  <c:v>1.9130000000000001E-2</c:v>
                </c:pt>
                <c:pt idx="776">
                  <c:v>1.9810000000000001E-2</c:v>
                </c:pt>
                <c:pt idx="777">
                  <c:v>1.959E-2</c:v>
                </c:pt>
                <c:pt idx="778">
                  <c:v>1.9529999999999999E-2</c:v>
                </c:pt>
                <c:pt idx="779">
                  <c:v>1.992E-2</c:v>
                </c:pt>
                <c:pt idx="780">
                  <c:v>2.1000000000000001E-2</c:v>
                </c:pt>
                <c:pt idx="781">
                  <c:v>2.1430000000000001E-2</c:v>
                </c:pt>
                <c:pt idx="782">
                  <c:v>2.102E-2</c:v>
                </c:pt>
                <c:pt idx="783">
                  <c:v>2.068E-2</c:v>
                </c:pt>
                <c:pt idx="784">
                  <c:v>2.0650000000000002E-2</c:v>
                </c:pt>
                <c:pt idx="785">
                  <c:v>2.0879999999999999E-2</c:v>
                </c:pt>
                <c:pt idx="786">
                  <c:v>2.2669999999999999E-2</c:v>
                </c:pt>
                <c:pt idx="787">
                  <c:v>2.0559999999999998E-2</c:v>
                </c:pt>
                <c:pt idx="788">
                  <c:v>2.1270000000000001E-2</c:v>
                </c:pt>
                <c:pt idx="789">
                  <c:v>2.2020000000000001E-2</c:v>
                </c:pt>
                <c:pt idx="790">
                  <c:v>2.3689999999999999E-2</c:v>
                </c:pt>
                <c:pt idx="791">
                  <c:v>2.1100000000000001E-2</c:v>
                </c:pt>
                <c:pt idx="792">
                  <c:v>2.145E-2</c:v>
                </c:pt>
                <c:pt idx="793">
                  <c:v>2.1129999999999999E-2</c:v>
                </c:pt>
                <c:pt idx="794">
                  <c:v>0.02</c:v>
                </c:pt>
                <c:pt idx="795">
                  <c:v>1.8780000000000002E-2</c:v>
                </c:pt>
                <c:pt idx="796">
                  <c:v>2.0889999999999999E-2</c:v>
                </c:pt>
                <c:pt idx="797">
                  <c:v>1.968E-2</c:v>
                </c:pt>
                <c:pt idx="798">
                  <c:v>2.2079999999999999E-2</c:v>
                </c:pt>
                <c:pt idx="799">
                  <c:v>2.4459999999999999E-2</c:v>
                </c:pt>
                <c:pt idx="800">
                  <c:v>2.5350000000000001E-2</c:v>
                </c:pt>
                <c:pt idx="801">
                  <c:v>2.5870000000000001E-2</c:v>
                </c:pt>
                <c:pt idx="802">
                  <c:v>2.8160000000000001E-2</c:v>
                </c:pt>
                <c:pt idx="803">
                  <c:v>2.8330000000000001E-2</c:v>
                </c:pt>
                <c:pt idx="804">
                  <c:v>2.8070000000000001E-2</c:v>
                </c:pt>
                <c:pt idx="805">
                  <c:v>2.913E-2</c:v>
                </c:pt>
                <c:pt idx="806">
                  <c:v>3.083E-2</c:v>
                </c:pt>
                <c:pt idx="807">
                  <c:v>2.9340000000000001E-2</c:v>
                </c:pt>
                <c:pt idx="808">
                  <c:v>2.9360000000000001E-2</c:v>
                </c:pt>
                <c:pt idx="809">
                  <c:v>2.9440000000000001E-2</c:v>
                </c:pt>
                <c:pt idx="810">
                  <c:v>2.9409999999999999E-2</c:v>
                </c:pt>
                <c:pt idx="811">
                  <c:v>3.0130000000000001E-2</c:v>
                </c:pt>
                <c:pt idx="812">
                  <c:v>2.8559999999999999E-2</c:v>
                </c:pt>
                <c:pt idx="813">
                  <c:v>2.819E-2</c:v>
                </c:pt>
                <c:pt idx="814">
                  <c:v>2.8899999999999999E-2</c:v>
                </c:pt>
                <c:pt idx="815">
                  <c:v>2.8750000000000001E-2</c:v>
                </c:pt>
                <c:pt idx="816">
                  <c:v>3.065E-2</c:v>
                </c:pt>
                <c:pt idx="817">
                  <c:v>2.7400000000000001E-2</c:v>
                </c:pt>
                <c:pt idx="818">
                  <c:v>2.6079999999999999E-2</c:v>
                </c:pt>
                <c:pt idx="819">
                  <c:v>2.6079999999999999E-2</c:v>
                </c:pt>
                <c:pt idx="820">
                  <c:v>2.682E-2</c:v>
                </c:pt>
                <c:pt idx="821">
                  <c:v>2.8559999999999999E-2</c:v>
                </c:pt>
                <c:pt idx="822">
                  <c:v>2.6450000000000001E-2</c:v>
                </c:pt>
                <c:pt idx="823">
                  <c:v>2.93E-2</c:v>
                </c:pt>
                <c:pt idx="824">
                  <c:v>2.5770000000000001E-2</c:v>
                </c:pt>
                <c:pt idx="825">
                  <c:v>2.8119999999999999E-2</c:v>
                </c:pt>
                <c:pt idx="826">
                  <c:v>2.8559999999999999E-2</c:v>
                </c:pt>
                <c:pt idx="827">
                  <c:v>2.7990000000000001E-2</c:v>
                </c:pt>
                <c:pt idx="828">
                  <c:v>3.1300000000000001E-2</c:v>
                </c:pt>
                <c:pt idx="829">
                  <c:v>3.3799999999999997E-2</c:v>
                </c:pt>
                <c:pt idx="830">
                  <c:v>3.5749999999999997E-2</c:v>
                </c:pt>
                <c:pt idx="831">
                  <c:v>3.2509999999999997E-2</c:v>
                </c:pt>
                <c:pt idx="832">
                  <c:v>3.2340000000000001E-2</c:v>
                </c:pt>
                <c:pt idx="833">
                  <c:v>3.5369999999999999E-2</c:v>
                </c:pt>
                <c:pt idx="834">
                  <c:v>3.6990000000000002E-2</c:v>
                </c:pt>
                <c:pt idx="835">
                  <c:v>3.952E-2</c:v>
                </c:pt>
                <c:pt idx="836">
                  <c:v>4.3889999999999998E-2</c:v>
                </c:pt>
                <c:pt idx="837">
                  <c:v>3.1189999999999999E-2</c:v>
                </c:pt>
                <c:pt idx="838">
                  <c:v>3.7220000000000003E-2</c:v>
                </c:pt>
                <c:pt idx="839">
                  <c:v>2.6100000000000002E-2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07-41A5-9649-C4F31C023F5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-20.248279048708266</c:v>
                </c:pt>
                <c:pt idx="1">
                  <c:v>-20.242708256005564</c:v>
                </c:pt>
                <c:pt idx="2">
                  <c:v>-20.227936444005561</c:v>
                </c:pt>
                <c:pt idx="3">
                  <c:v>-20.263246917063412</c:v>
                </c:pt>
                <c:pt idx="4">
                  <c:v>-20.316775340800788</c:v>
                </c:pt>
                <c:pt idx="5">
                  <c:v>-20.344283596683141</c:v>
                </c:pt>
                <c:pt idx="6">
                  <c:v>-20.336642399064093</c:v>
                </c:pt>
                <c:pt idx="7">
                  <c:v>-20.183579474609029</c:v>
                </c:pt>
                <c:pt idx="8">
                  <c:v>-20.096466608279417</c:v>
                </c:pt>
                <c:pt idx="9">
                  <c:v>-20.064334806826906</c:v>
                </c:pt>
                <c:pt idx="10">
                  <c:v>-20.085872369428532</c:v>
                </c:pt>
                <c:pt idx="11">
                  <c:v>-20.063650887465062</c:v>
                </c:pt>
                <c:pt idx="12">
                  <c:v>-20.026041244913337</c:v>
                </c:pt>
                <c:pt idx="13">
                  <c:v>-20.050441900913338</c:v>
                </c:pt>
                <c:pt idx="14">
                  <c:v>-20.048591191151431</c:v>
                </c:pt>
                <c:pt idx="15">
                  <c:v>-19.997192603382835</c:v>
                </c:pt>
                <c:pt idx="16">
                  <c:v>-20.055100727430453</c:v>
                </c:pt>
                <c:pt idx="17">
                  <c:v>-20.09619593017927</c:v>
                </c:pt>
                <c:pt idx="18">
                  <c:v>-20.045616716506952</c:v>
                </c:pt>
                <c:pt idx="19">
                  <c:v>-20.059774107606952</c:v>
                </c:pt>
                <c:pt idx="20">
                  <c:v>-20.03133932392549</c:v>
                </c:pt>
                <c:pt idx="21">
                  <c:v>-19.99080635617333</c:v>
                </c:pt>
                <c:pt idx="22">
                  <c:v>-19.990526260591</c:v>
                </c:pt>
                <c:pt idx="23">
                  <c:v>-19.92556151441169</c:v>
                </c:pt>
                <c:pt idx="24">
                  <c:v>-19.942668262439856</c:v>
                </c:pt>
                <c:pt idx="25">
                  <c:v>-19.922144083363552</c:v>
                </c:pt>
                <c:pt idx="26">
                  <c:v>-19.938342211195717</c:v>
                </c:pt>
                <c:pt idx="27">
                  <c:v>-19.955624794181503</c:v>
                </c:pt>
                <c:pt idx="28">
                  <c:v>-19.926370886489192</c:v>
                </c:pt>
                <c:pt idx="29">
                  <c:v>-19.975483917570273</c:v>
                </c:pt>
                <c:pt idx="30">
                  <c:v>-19.933783598894777</c:v>
                </c:pt>
                <c:pt idx="31">
                  <c:v>-19.820590650472386</c:v>
                </c:pt>
                <c:pt idx="32">
                  <c:v>-19.625310886431148</c:v>
                </c:pt>
                <c:pt idx="33">
                  <c:v>-19.699478485242338</c:v>
                </c:pt>
                <c:pt idx="34">
                  <c:v>-19.724990401552297</c:v>
                </c:pt>
                <c:pt idx="35">
                  <c:v>-19.667378994332079</c:v>
                </c:pt>
                <c:pt idx="36">
                  <c:v>-19.751707324492404</c:v>
                </c:pt>
                <c:pt idx="37">
                  <c:v>-19.727689991233976</c:v>
                </c:pt>
                <c:pt idx="38">
                  <c:v>-19.764775873549091</c:v>
                </c:pt>
                <c:pt idx="39">
                  <c:v>-19.76394866416765</c:v>
                </c:pt>
                <c:pt idx="40">
                  <c:v>-19.715914315269689</c:v>
                </c:pt>
                <c:pt idx="41">
                  <c:v>-19.710973261446156</c:v>
                </c:pt>
                <c:pt idx="42">
                  <c:v>-19.715180879412259</c:v>
                </c:pt>
                <c:pt idx="43">
                  <c:v>-19.618808156850275</c:v>
                </c:pt>
                <c:pt idx="44">
                  <c:v>-19.67433102937775</c:v>
                </c:pt>
                <c:pt idx="45">
                  <c:v>-19.745092657178578</c:v>
                </c:pt>
                <c:pt idx="46">
                  <c:v>-19.623974341218982</c:v>
                </c:pt>
                <c:pt idx="47">
                  <c:v>-19.598412004169802</c:v>
                </c:pt>
                <c:pt idx="48">
                  <c:v>-19.602639841607814</c:v>
                </c:pt>
                <c:pt idx="49">
                  <c:v>-19.517305532612003</c:v>
                </c:pt>
                <c:pt idx="50">
                  <c:v>-19.418609237373904</c:v>
                </c:pt>
                <c:pt idx="51">
                  <c:v>-19.512027676612384</c:v>
                </c:pt>
                <c:pt idx="52">
                  <c:v>-19.437080756562256</c:v>
                </c:pt>
                <c:pt idx="53">
                  <c:v>-19.532352408238673</c:v>
                </c:pt>
                <c:pt idx="54">
                  <c:v>-19.459088367277708</c:v>
                </c:pt>
                <c:pt idx="55">
                  <c:v>-19.550107883134679</c:v>
                </c:pt>
                <c:pt idx="56">
                  <c:v>-19.337182627015274</c:v>
                </c:pt>
                <c:pt idx="57">
                  <c:v>-19.420284560827771</c:v>
                </c:pt>
                <c:pt idx="58">
                  <c:v>-19.351411258066378</c:v>
                </c:pt>
                <c:pt idx="59">
                  <c:v>-19.231001356837144</c:v>
                </c:pt>
                <c:pt idx="60">
                  <c:v>-19.104323920235839</c:v>
                </c:pt>
                <c:pt idx="61">
                  <c:v>-19.131055218900887</c:v>
                </c:pt>
                <c:pt idx="62">
                  <c:v>-19.272459137403224</c:v>
                </c:pt>
                <c:pt idx="63">
                  <c:v>-19.239383960506672</c:v>
                </c:pt>
                <c:pt idx="64">
                  <c:v>-19.240413888128295</c:v>
                </c:pt>
                <c:pt idx="65">
                  <c:v>-19.197993899510408</c:v>
                </c:pt>
                <c:pt idx="66">
                  <c:v>-19.209803431510409</c:v>
                </c:pt>
                <c:pt idx="67">
                  <c:v>-19.136278215510412</c:v>
                </c:pt>
                <c:pt idx="68">
                  <c:v>-19.066146447089359</c:v>
                </c:pt>
                <c:pt idx="69">
                  <c:v>-19.126347845072551</c:v>
                </c:pt>
                <c:pt idx="70">
                  <c:v>-19.179367465351884</c:v>
                </c:pt>
                <c:pt idx="71">
                  <c:v>-19.086874364432504</c:v>
                </c:pt>
                <c:pt idx="72">
                  <c:v>-18.997266715314858</c:v>
                </c:pt>
                <c:pt idx="73">
                  <c:v>-18.956056012247945</c:v>
                </c:pt>
                <c:pt idx="74">
                  <c:v>-18.784060346985676</c:v>
                </c:pt>
                <c:pt idx="75">
                  <c:v>-18.833448768390038</c:v>
                </c:pt>
                <c:pt idx="76">
                  <c:v>-18.543404537453217</c:v>
                </c:pt>
                <c:pt idx="77">
                  <c:v>-18.719018015666695</c:v>
                </c:pt>
                <c:pt idx="78">
                  <c:v>-18.899317102261168</c:v>
                </c:pt>
                <c:pt idx="79">
                  <c:v>-18.582316294819311</c:v>
                </c:pt>
                <c:pt idx="80">
                  <c:v>-18.386809466076794</c:v>
                </c:pt>
                <c:pt idx="81">
                  <c:v>-17.869918184991523</c:v>
                </c:pt>
                <c:pt idx="82">
                  <c:v>-19.13379251899606</c:v>
                </c:pt>
                <c:pt idx="83">
                  <c:v>-19.266446545466646</c:v>
                </c:pt>
                <c:pt idx="84">
                  <c:v>-19.160048227191496</c:v>
                </c:pt>
                <c:pt idx="85">
                  <c:v>-19.067959914590439</c:v>
                </c:pt>
                <c:pt idx="86">
                  <c:v>-18.809732305667364</c:v>
                </c:pt>
                <c:pt idx="87">
                  <c:v>-18.46439365655344</c:v>
                </c:pt>
                <c:pt idx="88">
                  <c:v>-18.949269657975172</c:v>
                </c:pt>
                <c:pt idx="89">
                  <c:v>-18.659155578847937</c:v>
                </c:pt>
                <c:pt idx="90">
                  <c:v>-18.635194647220032</c:v>
                </c:pt>
                <c:pt idx="91">
                  <c:v>-18.664581345538615</c:v>
                </c:pt>
                <c:pt idx="92">
                  <c:v>-18.754008414305741</c:v>
                </c:pt>
                <c:pt idx="93">
                  <c:v>-18.677871475014399</c:v>
                </c:pt>
                <c:pt idx="94">
                  <c:v>-18.594586796705794</c:v>
                </c:pt>
                <c:pt idx="95">
                  <c:v>-18.69659631242008</c:v>
                </c:pt>
                <c:pt idx="96">
                  <c:v>-18.625803852885198</c:v>
                </c:pt>
                <c:pt idx="97">
                  <c:v>-18.582168101739065</c:v>
                </c:pt>
                <c:pt idx="98">
                  <c:v>-18.597867315579897</c:v>
                </c:pt>
                <c:pt idx="99">
                  <c:v>-18.513702664211475</c:v>
                </c:pt>
                <c:pt idx="100">
                  <c:v>-18.562643743841104</c:v>
                </c:pt>
                <c:pt idx="101">
                  <c:v>-18.348651826960371</c:v>
                </c:pt>
                <c:pt idx="102">
                  <c:v>-18.163034679096295</c:v>
                </c:pt>
                <c:pt idx="103">
                  <c:v>-17.315331309921223</c:v>
                </c:pt>
                <c:pt idx="104">
                  <c:v>-14.790314210520279</c:v>
                </c:pt>
                <c:pt idx="105">
                  <c:v>-15.203389139240345</c:v>
                </c:pt>
                <c:pt idx="106">
                  <c:v>-15.200467285562926</c:v>
                </c:pt>
                <c:pt idx="107">
                  <c:v>-15.180223941453336</c:v>
                </c:pt>
                <c:pt idx="108">
                  <c:v>-15.335113608184368</c:v>
                </c:pt>
                <c:pt idx="109">
                  <c:v>-15.437114891091717</c:v>
                </c:pt>
                <c:pt idx="110">
                  <c:v>-15.379821299781176</c:v>
                </c:pt>
                <c:pt idx="111">
                  <c:v>-15.336127734263933</c:v>
                </c:pt>
                <c:pt idx="112">
                  <c:v>-15.295971550299967</c:v>
                </c:pt>
                <c:pt idx="113">
                  <c:v>-15.154863751899969</c:v>
                </c:pt>
                <c:pt idx="114">
                  <c:v>-15.425267921363925</c:v>
                </c:pt>
                <c:pt idx="115">
                  <c:v>-15.447383776402093</c:v>
                </c:pt>
                <c:pt idx="116">
                  <c:v>-15.364613504930231</c:v>
                </c:pt>
                <c:pt idx="117">
                  <c:v>-15.383546220930231</c:v>
                </c:pt>
                <c:pt idx="118">
                  <c:v>-15.392263319645826</c:v>
                </c:pt>
                <c:pt idx="119">
                  <c:v>-15.480170410591773</c:v>
                </c:pt>
                <c:pt idx="120">
                  <c:v>-15.532971080591771</c:v>
                </c:pt>
                <c:pt idx="121">
                  <c:v>-15.536218335938711</c:v>
                </c:pt>
                <c:pt idx="122">
                  <c:v>-15.486190761548468</c:v>
                </c:pt>
                <c:pt idx="123">
                  <c:v>-15.416209613951063</c:v>
                </c:pt>
                <c:pt idx="124">
                  <c:v>-15.45643299980965</c:v>
                </c:pt>
                <c:pt idx="125">
                  <c:v>-15.46586178476965</c:v>
                </c:pt>
                <c:pt idx="126">
                  <c:v>-15.421941665658942</c:v>
                </c:pt>
                <c:pt idx="127">
                  <c:v>-15.459354789368618</c:v>
                </c:pt>
                <c:pt idx="128">
                  <c:v>-15.543642417591615</c:v>
                </c:pt>
                <c:pt idx="129">
                  <c:v>-15.432955441191615</c:v>
                </c:pt>
                <c:pt idx="130">
                  <c:v>-15.383092263395451</c:v>
                </c:pt>
                <c:pt idx="131">
                  <c:v>-15.352047565519344</c:v>
                </c:pt>
                <c:pt idx="132">
                  <c:v>-15.349355338852678</c:v>
                </c:pt>
                <c:pt idx="133">
                  <c:v>-15.292992082712326</c:v>
                </c:pt>
                <c:pt idx="134">
                  <c:v>-15.244932738857576</c:v>
                </c:pt>
                <c:pt idx="135">
                  <c:v>-15.311934036408596</c:v>
                </c:pt>
                <c:pt idx="136">
                  <c:v>-15.461686261302214</c:v>
                </c:pt>
                <c:pt idx="137">
                  <c:v>-15.483911774191519</c:v>
                </c:pt>
                <c:pt idx="138">
                  <c:v>-15.567346013856326</c:v>
                </c:pt>
                <c:pt idx="139">
                  <c:v>-15.522378613800614</c:v>
                </c:pt>
                <c:pt idx="140">
                  <c:v>-15.420670368436495</c:v>
                </c:pt>
                <c:pt idx="141">
                  <c:v>-15.353704302338933</c:v>
                </c:pt>
                <c:pt idx="142">
                  <c:v>-15.523284876484917</c:v>
                </c:pt>
                <c:pt idx="143">
                  <c:v>-15.347117176765813</c:v>
                </c:pt>
                <c:pt idx="144">
                  <c:v>-15.464355991907963</c:v>
                </c:pt>
                <c:pt idx="145">
                  <c:v>-15.740520037292578</c:v>
                </c:pt>
                <c:pt idx="146">
                  <c:v>-15.536051718507531</c:v>
                </c:pt>
                <c:pt idx="147">
                  <c:v>-15.46393267522628</c:v>
                </c:pt>
                <c:pt idx="148">
                  <c:v>-15.452189806857859</c:v>
                </c:pt>
                <c:pt idx="149">
                  <c:v>-15.544572811302306</c:v>
                </c:pt>
                <c:pt idx="150">
                  <c:v>-15.491729656868053</c:v>
                </c:pt>
                <c:pt idx="151">
                  <c:v>-15.342061889924532</c:v>
                </c:pt>
                <c:pt idx="152">
                  <c:v>-15.329953657128323</c:v>
                </c:pt>
                <c:pt idx="153">
                  <c:v>-15.494314639906099</c:v>
                </c:pt>
                <c:pt idx="154">
                  <c:v>-15.660382602599483</c:v>
                </c:pt>
                <c:pt idx="155">
                  <c:v>-15.443807088170916</c:v>
                </c:pt>
                <c:pt idx="156">
                  <c:v>-15.486441432888542</c:v>
                </c:pt>
                <c:pt idx="157">
                  <c:v>-15.322922195229562</c:v>
                </c:pt>
                <c:pt idx="158">
                  <c:v>-15.606959182064495</c:v>
                </c:pt>
                <c:pt idx="159">
                  <c:v>-15.65374557073266</c:v>
                </c:pt>
                <c:pt idx="160">
                  <c:v>-15.535915790790893</c:v>
                </c:pt>
                <c:pt idx="161">
                  <c:v>-15.658699708702869</c:v>
                </c:pt>
                <c:pt idx="162">
                  <c:v>-15.797566876886354</c:v>
                </c:pt>
                <c:pt idx="163">
                  <c:v>-15.834507223093997</c:v>
                </c:pt>
                <c:pt idx="164">
                  <c:v>-15.619096589698474</c:v>
                </c:pt>
                <c:pt idx="165">
                  <c:v>-15.426061260885639</c:v>
                </c:pt>
                <c:pt idx="166">
                  <c:v>-15.456832730945157</c:v>
                </c:pt>
                <c:pt idx="167">
                  <c:v>-15.317489002128454</c:v>
                </c:pt>
                <c:pt idx="168">
                  <c:v>-15.416454768701071</c:v>
                </c:pt>
                <c:pt idx="169">
                  <c:v>-15.701440954330881</c:v>
                </c:pt>
                <c:pt idx="170">
                  <c:v>-15.478296691626964</c:v>
                </c:pt>
                <c:pt idx="171">
                  <c:v>-14.90912037695265</c:v>
                </c:pt>
                <c:pt idx="172">
                  <c:v>-15.073752061538435</c:v>
                </c:pt>
                <c:pt idx="173">
                  <c:v>-14.970585037527444</c:v>
                </c:pt>
                <c:pt idx="174">
                  <c:v>-14.977510863998031</c:v>
                </c:pt>
                <c:pt idx="175">
                  <c:v>-15.011238234086965</c:v>
                </c:pt>
                <c:pt idx="176">
                  <c:v>-15.218984795179015</c:v>
                </c:pt>
                <c:pt idx="177">
                  <c:v>-15.215855951447855</c:v>
                </c:pt>
                <c:pt idx="178">
                  <c:v>-14.940214561690134</c:v>
                </c:pt>
                <c:pt idx="179">
                  <c:v>-15.166415660437078</c:v>
                </c:pt>
                <c:pt idx="180">
                  <c:v>-15.004315843665283</c:v>
                </c:pt>
                <c:pt idx="181">
                  <c:v>-14.915375129302424</c:v>
                </c:pt>
                <c:pt idx="182">
                  <c:v>-15.412357992613622</c:v>
                </c:pt>
                <c:pt idx="183">
                  <c:v>-15.473794891620624</c:v>
                </c:pt>
                <c:pt idx="184">
                  <c:v>-15.371822530978765</c:v>
                </c:pt>
                <c:pt idx="185">
                  <c:v>-15.404720874508996</c:v>
                </c:pt>
                <c:pt idx="186">
                  <c:v>-15.034578575650741</c:v>
                </c:pt>
                <c:pt idx="187">
                  <c:v>-15.379192587987387</c:v>
                </c:pt>
                <c:pt idx="188">
                  <c:v>-15.475284803848416</c:v>
                </c:pt>
                <c:pt idx="189">
                  <c:v>-15.493238924504171</c:v>
                </c:pt>
                <c:pt idx="190">
                  <c:v>-15.4751827715085</c:v>
                </c:pt>
                <c:pt idx="191">
                  <c:v>-15.553619407935518</c:v>
                </c:pt>
                <c:pt idx="192">
                  <c:v>-15.500129237157331</c:v>
                </c:pt>
                <c:pt idx="193">
                  <c:v>-15.398699979377279</c:v>
                </c:pt>
                <c:pt idx="194">
                  <c:v>-15.422461355850819</c:v>
                </c:pt>
                <c:pt idx="195">
                  <c:v>-15.279949883868838</c:v>
                </c:pt>
                <c:pt idx="196">
                  <c:v>-15.018314616530128</c:v>
                </c:pt>
                <c:pt idx="197">
                  <c:v>-14.600867190746518</c:v>
                </c:pt>
                <c:pt idx="198">
                  <c:v>-14.841896867018518</c:v>
                </c:pt>
                <c:pt idx="199">
                  <c:v>-14.863108308486296</c:v>
                </c:pt>
                <c:pt idx="200">
                  <c:v>-14.724298155383412</c:v>
                </c:pt>
                <c:pt idx="201">
                  <c:v>-14.80170507511375</c:v>
                </c:pt>
                <c:pt idx="202">
                  <c:v>-14.770608608804075</c:v>
                </c:pt>
                <c:pt idx="203">
                  <c:v>-14.838606272804077</c:v>
                </c:pt>
                <c:pt idx="204">
                  <c:v>-14.788651977980548</c:v>
                </c:pt>
                <c:pt idx="205">
                  <c:v>-14.68447173798781</c:v>
                </c:pt>
                <c:pt idx="206">
                  <c:v>-14.774964987849108</c:v>
                </c:pt>
                <c:pt idx="207">
                  <c:v>-14.6013178796874</c:v>
                </c:pt>
                <c:pt idx="208">
                  <c:v>-14.615248575083044</c:v>
                </c:pt>
                <c:pt idx="209">
                  <c:v>-14.671022863413345</c:v>
                </c:pt>
                <c:pt idx="210">
                  <c:v>-14.725251098577829</c:v>
                </c:pt>
                <c:pt idx="211">
                  <c:v>-14.704413420570489</c:v>
                </c:pt>
                <c:pt idx="212">
                  <c:v>-14.77672977667833</c:v>
                </c:pt>
                <c:pt idx="213">
                  <c:v>-14.790678464182546</c:v>
                </c:pt>
                <c:pt idx="214">
                  <c:v>-14.837437743780031</c:v>
                </c:pt>
                <c:pt idx="215">
                  <c:v>-14.881004306250619</c:v>
                </c:pt>
                <c:pt idx="216">
                  <c:v>-14.90164213373518</c:v>
                </c:pt>
                <c:pt idx="217">
                  <c:v>-14.804727797961789</c:v>
                </c:pt>
                <c:pt idx="218">
                  <c:v>-14.844129491762777</c:v>
                </c:pt>
                <c:pt idx="219">
                  <c:v>-14.956469816462477</c:v>
                </c:pt>
                <c:pt idx="220">
                  <c:v>-14.894465086966202</c:v>
                </c:pt>
                <c:pt idx="221">
                  <c:v>-14.728770804436026</c:v>
                </c:pt>
                <c:pt idx="222">
                  <c:v>-14.791505382588678</c:v>
                </c:pt>
                <c:pt idx="223">
                  <c:v>-14.703810700542295</c:v>
                </c:pt>
                <c:pt idx="224">
                  <c:v>-14.678169115007897</c:v>
                </c:pt>
                <c:pt idx="225">
                  <c:v>-14.331863053290386</c:v>
                </c:pt>
                <c:pt idx="226">
                  <c:v>-14.253232888742314</c:v>
                </c:pt>
                <c:pt idx="227">
                  <c:v>-14.170908964807124</c:v>
                </c:pt>
                <c:pt idx="228">
                  <c:v>-14.182204377290459</c:v>
                </c:pt>
                <c:pt idx="229">
                  <c:v>-14.230955638516447</c:v>
                </c:pt>
                <c:pt idx="230">
                  <c:v>-14.175060011413466</c:v>
                </c:pt>
                <c:pt idx="231">
                  <c:v>-14.029622379780868</c:v>
                </c:pt>
                <c:pt idx="232">
                  <c:v>-13.905613188168562</c:v>
                </c:pt>
                <c:pt idx="233">
                  <c:v>-14.074457377708644</c:v>
                </c:pt>
                <c:pt idx="234">
                  <c:v>-14.097913472018984</c:v>
                </c:pt>
                <c:pt idx="235">
                  <c:v>-13.976086937851582</c:v>
                </c:pt>
                <c:pt idx="236">
                  <c:v>-13.979208153506219</c:v>
                </c:pt>
                <c:pt idx="237">
                  <c:v>-13.815193629787235</c:v>
                </c:pt>
                <c:pt idx="238">
                  <c:v>-13.732598148803818</c:v>
                </c:pt>
                <c:pt idx="239">
                  <c:v>-13.70674859065072</c:v>
                </c:pt>
                <c:pt idx="240">
                  <c:v>-13.627927008103404</c:v>
                </c:pt>
                <c:pt idx="241">
                  <c:v>-13.488399917364527</c:v>
                </c:pt>
                <c:pt idx="242">
                  <c:v>-13.56072937884689</c:v>
                </c:pt>
                <c:pt idx="243">
                  <c:v>-13.600490104180347</c:v>
                </c:pt>
                <c:pt idx="244">
                  <c:v>-13.300761643007888</c:v>
                </c:pt>
                <c:pt idx="245">
                  <c:v>-13.194181775783193</c:v>
                </c:pt>
                <c:pt idx="246">
                  <c:v>-12.934794398438365</c:v>
                </c:pt>
                <c:pt idx="247">
                  <c:v>-12.917622162233361</c:v>
                </c:pt>
                <c:pt idx="248">
                  <c:v>-13.394278725385098</c:v>
                </c:pt>
                <c:pt idx="249">
                  <c:v>-13.663657882953883</c:v>
                </c:pt>
                <c:pt idx="250">
                  <c:v>-13.664995574563944</c:v>
                </c:pt>
                <c:pt idx="251">
                  <c:v>-13.398616099032393</c:v>
                </c:pt>
                <c:pt idx="252">
                  <c:v>-13.052400425806766</c:v>
                </c:pt>
                <c:pt idx="253">
                  <c:v>-13.542493678290155</c:v>
                </c:pt>
                <c:pt idx="254">
                  <c:v>-13.364124681426301</c:v>
                </c:pt>
                <c:pt idx="255">
                  <c:v>-13.22113657169465</c:v>
                </c:pt>
                <c:pt idx="256">
                  <c:v>-12.923822999497427</c:v>
                </c:pt>
                <c:pt idx="257">
                  <c:v>-12.345650946972794</c:v>
                </c:pt>
                <c:pt idx="258">
                  <c:v>-12.323186925077483</c:v>
                </c:pt>
                <c:pt idx="259">
                  <c:v>-12.294109297035194</c:v>
                </c:pt>
                <c:pt idx="260">
                  <c:v>-12.356642475750622</c:v>
                </c:pt>
                <c:pt idx="261">
                  <c:v>-12.020622654139496</c:v>
                </c:pt>
                <c:pt idx="262">
                  <c:v>-12.40988604503011</c:v>
                </c:pt>
                <c:pt idx="263">
                  <c:v>-11.848123375852254</c:v>
                </c:pt>
                <c:pt idx="264">
                  <c:v>-11.795112810026138</c:v>
                </c:pt>
                <c:pt idx="265">
                  <c:v>-11.786486898913193</c:v>
                </c:pt>
                <c:pt idx="266">
                  <c:v>-11.770025643949193</c:v>
                </c:pt>
                <c:pt idx="267">
                  <c:v>-11.518655600574595</c:v>
                </c:pt>
                <c:pt idx="268">
                  <c:v>-11.683234864817679</c:v>
                </c:pt>
                <c:pt idx="269">
                  <c:v>-11.278707388057338</c:v>
                </c:pt>
                <c:pt idx="270">
                  <c:v>-11.035329276281532</c:v>
                </c:pt>
                <c:pt idx="271">
                  <c:v>-11.063652665247114</c:v>
                </c:pt>
                <c:pt idx="272">
                  <c:v>-10.81477661938551</c:v>
                </c:pt>
                <c:pt idx="273">
                  <c:v>-11.010049026029545</c:v>
                </c:pt>
                <c:pt idx="274">
                  <c:v>-10.909178047174116</c:v>
                </c:pt>
                <c:pt idx="275">
                  <c:v>-10.843714320964818</c:v>
                </c:pt>
                <c:pt idx="276">
                  <c:v>-10.823337722580646</c:v>
                </c:pt>
                <c:pt idx="277">
                  <c:v>-11.109995860416406</c:v>
                </c:pt>
                <c:pt idx="278">
                  <c:v>-11.237792534856192</c:v>
                </c:pt>
                <c:pt idx="279">
                  <c:v>-10.804725269278435</c:v>
                </c:pt>
                <c:pt idx="280">
                  <c:v>-11.247381786222812</c:v>
                </c:pt>
                <c:pt idx="281">
                  <c:v>-10.488224876178917</c:v>
                </c:pt>
                <c:pt idx="282">
                  <c:v>-10.418332545078082</c:v>
                </c:pt>
                <c:pt idx="283">
                  <c:v>-10.878627710311601</c:v>
                </c:pt>
                <c:pt idx="284">
                  <c:v>-10.483824357132399</c:v>
                </c:pt>
                <c:pt idx="285">
                  <c:v>-10.461486565248199</c:v>
                </c:pt>
                <c:pt idx="286">
                  <c:v>-10.111866492296945</c:v>
                </c:pt>
                <c:pt idx="287">
                  <c:v>-9.9637951189684166</c:v>
                </c:pt>
                <c:pt idx="288">
                  <c:v>-9.3682036499619272</c:v>
                </c:pt>
                <c:pt idx="289">
                  <c:v>-9.2424987501934908</c:v>
                </c:pt>
                <c:pt idx="290">
                  <c:v>-8.7609623495575608</c:v>
                </c:pt>
                <c:pt idx="291">
                  <c:v>-8.0647812892398836</c:v>
                </c:pt>
                <c:pt idx="292">
                  <c:v>-7.259106830626342</c:v>
                </c:pt>
                <c:pt idx="293">
                  <c:v>-5.056683509241986</c:v>
                </c:pt>
                <c:pt idx="294">
                  <c:v>-7.4650743933610384</c:v>
                </c:pt>
                <c:pt idx="295">
                  <c:v>-9.1564553660252379</c:v>
                </c:pt>
                <c:pt idx="296">
                  <c:v>-11.296130812985883</c:v>
                </c:pt>
                <c:pt idx="297">
                  <c:v>-6.6877044111404196</c:v>
                </c:pt>
                <c:pt idx="298">
                  <c:v>-8.8892858734697864</c:v>
                </c:pt>
                <c:pt idx="299">
                  <c:v>-6.0694441535019363</c:v>
                </c:pt>
                <c:pt idx="300">
                  <c:v>-7.0366088497203538</c:v>
                </c:pt>
                <c:pt idx="301">
                  <c:v>-6.9785815849714021</c:v>
                </c:pt>
                <c:pt idx="302">
                  <c:v>-6.8592931439217359</c:v>
                </c:pt>
                <c:pt idx="303">
                  <c:v>-6.8579771604284954</c:v>
                </c:pt>
                <c:pt idx="304">
                  <c:v>-6.5598213335791806</c:v>
                </c:pt>
                <c:pt idx="305">
                  <c:v>-6.404828630807855</c:v>
                </c:pt>
                <c:pt idx="306">
                  <c:v>-6.2101887731553962</c:v>
                </c:pt>
                <c:pt idx="307">
                  <c:v>-6.3146739426759266</c:v>
                </c:pt>
                <c:pt idx="308">
                  <c:v>-6.3340720356799727</c:v>
                </c:pt>
                <c:pt idx="309">
                  <c:v>-6.3707169094515157</c:v>
                </c:pt>
                <c:pt idx="310">
                  <c:v>-5.9469725648599354</c:v>
                </c:pt>
                <c:pt idx="311">
                  <c:v>-5.9623341823623024</c:v>
                </c:pt>
                <c:pt idx="312">
                  <c:v>-5.457936883952331</c:v>
                </c:pt>
                <c:pt idx="313">
                  <c:v>-2.8582958540225767</c:v>
                </c:pt>
                <c:pt idx="314">
                  <c:v>-5.3214461096239338</c:v>
                </c:pt>
                <c:pt idx="315">
                  <c:v>-5.4559018473877678</c:v>
                </c:pt>
                <c:pt idx="316">
                  <c:v>-5.447820231917901</c:v>
                </c:pt>
                <c:pt idx="317">
                  <c:v>-5.3062160876551356</c:v>
                </c:pt>
                <c:pt idx="318">
                  <c:v>-5.2170451100605897</c:v>
                </c:pt>
                <c:pt idx="319">
                  <c:v>-4.9496536926980657</c:v>
                </c:pt>
                <c:pt idx="320">
                  <c:v>-4.4215462514689134</c:v>
                </c:pt>
                <c:pt idx="321">
                  <c:v>-3.4273315161435693</c:v>
                </c:pt>
                <c:pt idx="322">
                  <c:v>-4.3482855708624646</c:v>
                </c:pt>
                <c:pt idx="323">
                  <c:v>-4.9290453379736103</c:v>
                </c:pt>
                <c:pt idx="324">
                  <c:v>-4.0684403718731721</c:v>
                </c:pt>
                <c:pt idx="325">
                  <c:v>-7.1320715282087548</c:v>
                </c:pt>
                <c:pt idx="326">
                  <c:v>-7.3254685786543785</c:v>
                </c:pt>
                <c:pt idx="327">
                  <c:v>-7.3154713112543783</c:v>
                </c:pt>
                <c:pt idx="328">
                  <c:v>-7.377794827401746</c:v>
                </c:pt>
                <c:pt idx="329">
                  <c:v>-7.6533478024234851</c:v>
                </c:pt>
                <c:pt idx="330">
                  <c:v>-7.5768842376026857</c:v>
                </c:pt>
                <c:pt idx="331">
                  <c:v>-7.7370027709346347</c:v>
                </c:pt>
                <c:pt idx="332">
                  <c:v>-7.7291036914153217</c:v>
                </c:pt>
                <c:pt idx="333">
                  <c:v>-7.7898731042217735</c:v>
                </c:pt>
                <c:pt idx="334">
                  <c:v>-7.7513911458396585</c:v>
                </c:pt>
                <c:pt idx="335">
                  <c:v>-7.5838279189249169</c:v>
                </c:pt>
                <c:pt idx="336">
                  <c:v>-7.5905178804326567</c:v>
                </c:pt>
                <c:pt idx="337">
                  <c:v>-7.3027584774326577</c:v>
                </c:pt>
                <c:pt idx="338">
                  <c:v>-7.2277893011787882</c:v>
                </c:pt>
                <c:pt idx="339">
                  <c:v>-7.2655563908989498</c:v>
                </c:pt>
                <c:pt idx="340">
                  <c:v>-7.2676714259768724</c:v>
                </c:pt>
                <c:pt idx="341">
                  <c:v>-7.3554422021146229</c:v>
                </c:pt>
                <c:pt idx="342">
                  <c:v>-7.2812841263179564</c:v>
                </c:pt>
                <c:pt idx="343">
                  <c:v>-7.3429695422575536</c:v>
                </c:pt>
                <c:pt idx="344">
                  <c:v>-7.4185556125697891</c:v>
                </c:pt>
                <c:pt idx="345">
                  <c:v>-7.4862956916548962</c:v>
                </c:pt>
                <c:pt idx="346">
                  <c:v>-7.4472011693169557</c:v>
                </c:pt>
                <c:pt idx="347">
                  <c:v>-7.4278974235682487</c:v>
                </c:pt>
                <c:pt idx="348">
                  <c:v>-7.4993910471971716</c:v>
                </c:pt>
                <c:pt idx="349">
                  <c:v>-7.4708983184551601</c:v>
                </c:pt>
                <c:pt idx="350">
                  <c:v>-7.5451351420742068</c:v>
                </c:pt>
                <c:pt idx="351">
                  <c:v>-7.692073750824207</c:v>
                </c:pt>
                <c:pt idx="352">
                  <c:v>-7.8078044503226227</c:v>
                </c:pt>
                <c:pt idx="353">
                  <c:v>-7.8245978108486955</c:v>
                </c:pt>
                <c:pt idx="354">
                  <c:v>-7.9408460341869862</c:v>
                </c:pt>
                <c:pt idx="355">
                  <c:v>-7.9553652649562157</c:v>
                </c:pt>
                <c:pt idx="356">
                  <c:v>-8.0084977228671939</c:v>
                </c:pt>
                <c:pt idx="357">
                  <c:v>-8.0667260731576231</c:v>
                </c:pt>
                <c:pt idx="358">
                  <c:v>-8.1226182140380043</c:v>
                </c:pt>
                <c:pt idx="359">
                  <c:v>-8.2581247836056733</c:v>
                </c:pt>
                <c:pt idx="360">
                  <c:v>-8.2678397126808196</c:v>
                </c:pt>
                <c:pt idx="361">
                  <c:v>-8.1849799154445986</c:v>
                </c:pt>
                <c:pt idx="362">
                  <c:v>-7.8757891088743017</c:v>
                </c:pt>
                <c:pt idx="363">
                  <c:v>-7.8751420857370107</c:v>
                </c:pt>
                <c:pt idx="364">
                  <c:v>-7.9040505131424164</c:v>
                </c:pt>
                <c:pt idx="365">
                  <c:v>-7.0987887176357294</c:v>
                </c:pt>
                <c:pt idx="366">
                  <c:v>-7.4269280495229877</c:v>
                </c:pt>
                <c:pt idx="367">
                  <c:v>-7.4181811575229863</c:v>
                </c:pt>
                <c:pt idx="368">
                  <c:v>-7.1885333915012479</c:v>
                </c:pt>
                <c:pt idx="369">
                  <c:v>-7.9713600346016849</c:v>
                </c:pt>
                <c:pt idx="370">
                  <c:v>-7.8057426114580819</c:v>
                </c:pt>
                <c:pt idx="371">
                  <c:v>-7.9113382714477734</c:v>
                </c:pt>
                <c:pt idx="372">
                  <c:v>-7.1985995286460511</c:v>
                </c:pt>
                <c:pt idx="373">
                  <c:v>-7.7236677162270455</c:v>
                </c:pt>
                <c:pt idx="374">
                  <c:v>-7.8235062809808902</c:v>
                </c:pt>
                <c:pt idx="375">
                  <c:v>-7.8838824643021024</c:v>
                </c:pt>
                <c:pt idx="376">
                  <c:v>-7.8982854296891984</c:v>
                </c:pt>
                <c:pt idx="377">
                  <c:v>-7.87346988841142</c:v>
                </c:pt>
                <c:pt idx="378">
                  <c:v>-7.9519131202213744</c:v>
                </c:pt>
                <c:pt idx="379">
                  <c:v>-7.9541809979257225</c:v>
                </c:pt>
                <c:pt idx="380">
                  <c:v>-7.9699709350357226</c:v>
                </c:pt>
                <c:pt idx="381">
                  <c:v>-7.9697071997445841</c:v>
                </c:pt>
                <c:pt idx="382">
                  <c:v>-7.9537031512881073</c:v>
                </c:pt>
                <c:pt idx="383">
                  <c:v>-7.9721153955977844</c:v>
                </c:pt>
                <c:pt idx="384">
                  <c:v>-8.0009442632418519</c:v>
                </c:pt>
                <c:pt idx="385">
                  <c:v>-7.8539457740558678</c:v>
                </c:pt>
                <c:pt idx="386">
                  <c:v>-7.8757990276155017</c:v>
                </c:pt>
                <c:pt idx="387">
                  <c:v>-7.9856949919104174</c:v>
                </c:pt>
                <c:pt idx="388">
                  <c:v>-7.9869679842073875</c:v>
                </c:pt>
                <c:pt idx="389">
                  <c:v>-8.0167487331204317</c:v>
                </c:pt>
                <c:pt idx="390">
                  <c:v>-7.9988527087161758</c:v>
                </c:pt>
                <c:pt idx="391">
                  <c:v>-8.0751704452908886</c:v>
                </c:pt>
                <c:pt idx="392">
                  <c:v>-8.0933889945846733</c:v>
                </c:pt>
                <c:pt idx="393">
                  <c:v>-8.0501229588619836</c:v>
                </c:pt>
                <c:pt idx="394">
                  <c:v>-7.9218374041253981</c:v>
                </c:pt>
                <c:pt idx="395">
                  <c:v>-7.9223864424127539</c:v>
                </c:pt>
                <c:pt idx="396">
                  <c:v>-7.9236697968016436</c:v>
                </c:pt>
                <c:pt idx="397">
                  <c:v>-7.851473193183323</c:v>
                </c:pt>
                <c:pt idx="398">
                  <c:v>-7.8538024421833228</c:v>
                </c:pt>
                <c:pt idx="399">
                  <c:v>-7.825333974648732</c:v>
                </c:pt>
                <c:pt idx="400">
                  <c:v>-7.9227518536283235</c:v>
                </c:pt>
                <c:pt idx="401">
                  <c:v>-7.7942934529249595</c:v>
                </c:pt>
                <c:pt idx="402">
                  <c:v>-7.7614258996032817</c:v>
                </c:pt>
                <c:pt idx="403">
                  <c:v>-7.7825341905640064</c:v>
                </c:pt>
                <c:pt idx="404">
                  <c:v>-7.4337653147674336</c:v>
                </c:pt>
                <c:pt idx="405">
                  <c:v>-7.4434824018583434</c:v>
                </c:pt>
                <c:pt idx="406">
                  <c:v>-7.5196646484544969</c:v>
                </c:pt>
                <c:pt idx="407">
                  <c:v>-7.477951740995481</c:v>
                </c:pt>
                <c:pt idx="408">
                  <c:v>-7.5260473757054802</c:v>
                </c:pt>
                <c:pt idx="409">
                  <c:v>-7.514442938636515</c:v>
                </c:pt>
                <c:pt idx="410">
                  <c:v>-7.5168595555365156</c:v>
                </c:pt>
                <c:pt idx="411">
                  <c:v>-7.4914741935947164</c:v>
                </c:pt>
                <c:pt idx="412">
                  <c:v>-7.4963408650729777</c:v>
                </c:pt>
                <c:pt idx="413">
                  <c:v>-7.4940008022538276</c:v>
                </c:pt>
                <c:pt idx="414">
                  <c:v>-7.4940008022538276</c:v>
                </c:pt>
                <c:pt idx="415">
                  <c:v>-7.5316364424869571</c:v>
                </c:pt>
                <c:pt idx="416">
                  <c:v>-7.4898708738679094</c:v>
                </c:pt>
                <c:pt idx="417">
                  <c:v>-7.4105716350107667</c:v>
                </c:pt>
                <c:pt idx="418">
                  <c:v>-7.4389252653440998</c:v>
                </c:pt>
                <c:pt idx="419">
                  <c:v>-7.4524637300876897</c:v>
                </c:pt>
                <c:pt idx="420">
                  <c:v>-7.4288948109559527</c:v>
                </c:pt>
                <c:pt idx="421">
                  <c:v>-7.4220174158286802</c:v>
                </c:pt>
                <c:pt idx="422">
                  <c:v>-7.4421776528697752</c:v>
                </c:pt>
                <c:pt idx="423">
                  <c:v>-7.4381653305977755</c:v>
                </c:pt>
                <c:pt idx="424">
                  <c:v>-7.4559019780359765</c:v>
                </c:pt>
                <c:pt idx="425">
                  <c:v>-7.4894799511751069</c:v>
                </c:pt>
                <c:pt idx="426">
                  <c:v>-7.5007600175060416</c:v>
                </c:pt>
                <c:pt idx="427">
                  <c:v>-7.5345337637333145</c:v>
                </c:pt>
                <c:pt idx="428">
                  <c:v>-7.4910585001076457</c:v>
                </c:pt>
                <c:pt idx="429">
                  <c:v>-7.5185840637968351</c:v>
                </c:pt>
                <c:pt idx="430">
                  <c:v>-7.5690092772647253</c:v>
                </c:pt>
                <c:pt idx="431">
                  <c:v>-7.6299689127252526</c:v>
                </c:pt>
                <c:pt idx="432">
                  <c:v>-7.641025037573737</c:v>
                </c:pt>
                <c:pt idx="433">
                  <c:v>-7.6921451404198908</c:v>
                </c:pt>
                <c:pt idx="434">
                  <c:v>-7.6971858320827486</c:v>
                </c:pt>
                <c:pt idx="435">
                  <c:v>-7.7124814310827476</c:v>
                </c:pt>
                <c:pt idx="436">
                  <c:v>-7.6389350376747878</c:v>
                </c:pt>
                <c:pt idx="437">
                  <c:v>-7.5785263477246225</c:v>
                </c:pt>
                <c:pt idx="438">
                  <c:v>-7.4756314613872732</c:v>
                </c:pt>
                <c:pt idx="439">
                  <c:v>-7.4382709223012196</c:v>
                </c:pt>
                <c:pt idx="440">
                  <c:v>-7.4632138554334508</c:v>
                </c:pt>
                <c:pt idx="441">
                  <c:v>-7.5226670164115932</c:v>
                </c:pt>
                <c:pt idx="442">
                  <c:v>-7.4123957731785106</c:v>
                </c:pt>
                <c:pt idx="443">
                  <c:v>-7.3078834096105343</c:v>
                </c:pt>
                <c:pt idx="444">
                  <c:v>-7.5337720362443381</c:v>
                </c:pt>
                <c:pt idx="445">
                  <c:v>-7.550024853056418</c:v>
                </c:pt>
                <c:pt idx="446">
                  <c:v>-7.5729481626385766</c:v>
                </c:pt>
                <c:pt idx="447">
                  <c:v>-7.508573772348722</c:v>
                </c:pt>
                <c:pt idx="448">
                  <c:v>-7.5495946897786279</c:v>
                </c:pt>
                <c:pt idx="449">
                  <c:v>-7.5437995848625441</c:v>
                </c:pt>
                <c:pt idx="450">
                  <c:v>-7.5472724282094834</c:v>
                </c:pt>
                <c:pt idx="451">
                  <c:v>-7.4840784669034726</c:v>
                </c:pt>
                <c:pt idx="452">
                  <c:v>-7.50597840557014</c:v>
                </c:pt>
                <c:pt idx="453">
                  <c:v>-7.4670658188680124</c:v>
                </c:pt>
                <c:pt idx="454">
                  <c:v>-7.5025098560704819</c:v>
                </c:pt>
                <c:pt idx="455">
                  <c:v>-7.5258747973155407</c:v>
                </c:pt>
                <c:pt idx="456">
                  <c:v>-7.4084441518877631</c:v>
                </c:pt>
                <c:pt idx="457">
                  <c:v>-7.407464316742308</c:v>
                </c:pt>
                <c:pt idx="458">
                  <c:v>-7.3673718325844133</c:v>
                </c:pt>
                <c:pt idx="459">
                  <c:v>-7.3516670721909705</c:v>
                </c:pt>
                <c:pt idx="460">
                  <c:v>-7.3381175488298593</c:v>
                </c:pt>
                <c:pt idx="461">
                  <c:v>-7.3302253091631933</c:v>
                </c:pt>
                <c:pt idx="462">
                  <c:v>-7.2926200158712673</c:v>
                </c:pt>
                <c:pt idx="463">
                  <c:v>-7.3006118059344249</c:v>
                </c:pt>
                <c:pt idx="464">
                  <c:v>-7.2738397793978402</c:v>
                </c:pt>
                <c:pt idx="465">
                  <c:v>-7.2454777553978413</c:v>
                </c:pt>
                <c:pt idx="466">
                  <c:v>-7.2612684617978402</c:v>
                </c:pt>
                <c:pt idx="467">
                  <c:v>-7.2596125029702545</c:v>
                </c:pt>
                <c:pt idx="468">
                  <c:v>-7.221117124098825</c:v>
                </c:pt>
                <c:pt idx="469">
                  <c:v>-7.2665456839287579</c:v>
                </c:pt>
                <c:pt idx="470">
                  <c:v>-7.2669588955146169</c:v>
                </c:pt>
                <c:pt idx="471">
                  <c:v>-7.2265446873669665</c:v>
                </c:pt>
                <c:pt idx="472">
                  <c:v>-7.2223248254314809</c:v>
                </c:pt>
                <c:pt idx="473">
                  <c:v>-7.2084372635395892</c:v>
                </c:pt>
                <c:pt idx="474">
                  <c:v>-7.2248368232062568</c:v>
                </c:pt>
                <c:pt idx="475">
                  <c:v>-7.2005511484494997</c:v>
                </c:pt>
                <c:pt idx="476">
                  <c:v>-7.2583987295981478</c:v>
                </c:pt>
                <c:pt idx="477">
                  <c:v>-7.2309476461491675</c:v>
                </c:pt>
                <c:pt idx="478">
                  <c:v>-7.2578573300736959</c:v>
                </c:pt>
                <c:pt idx="479">
                  <c:v>-7.055149819562585</c:v>
                </c:pt>
                <c:pt idx="480">
                  <c:v>-7.1065956354756281</c:v>
                </c:pt>
                <c:pt idx="481">
                  <c:v>-7.1126664653886724</c:v>
                </c:pt>
                <c:pt idx="482">
                  <c:v>-7.097386867847689</c:v>
                </c:pt>
                <c:pt idx="483">
                  <c:v>-7.0611462857179825</c:v>
                </c:pt>
                <c:pt idx="484">
                  <c:v>-7.0548956754238645</c:v>
                </c:pt>
                <c:pt idx="485">
                  <c:v>-7.0304485852155301</c:v>
                </c:pt>
                <c:pt idx="486">
                  <c:v>-7.108962557619785</c:v>
                </c:pt>
                <c:pt idx="487">
                  <c:v>-7.063835219109146</c:v>
                </c:pt>
                <c:pt idx="488">
                  <c:v>-7.1393514429005132</c:v>
                </c:pt>
                <c:pt idx="489">
                  <c:v>-7.0480140149405131</c:v>
                </c:pt>
                <c:pt idx="490">
                  <c:v>-7.0767649396071803</c:v>
                </c:pt>
                <c:pt idx="491">
                  <c:v>-7.181106676709744</c:v>
                </c:pt>
                <c:pt idx="492">
                  <c:v>-7.0194590743809755</c:v>
                </c:pt>
                <c:pt idx="493">
                  <c:v>-6.8937113723403263</c:v>
                </c:pt>
                <c:pt idx="494">
                  <c:v>-5.863943444900662</c:v>
                </c:pt>
                <c:pt idx="495">
                  <c:v>-5.7840287758709001</c:v>
                </c:pt>
                <c:pt idx="496">
                  <c:v>-5.7422456216401319</c:v>
                </c:pt>
                <c:pt idx="497">
                  <c:v>-5.7480246326401323</c:v>
                </c:pt>
                <c:pt idx="498">
                  <c:v>-5.7267677184213817</c:v>
                </c:pt>
                <c:pt idx="499">
                  <c:v>-5.7479206656060944</c:v>
                </c:pt>
                <c:pt idx="500">
                  <c:v>-5.7104539324560939</c:v>
                </c:pt>
                <c:pt idx="501">
                  <c:v>-5.7100523638508314</c:v>
                </c:pt>
                <c:pt idx="502">
                  <c:v>-5.6808122141020156</c:v>
                </c:pt>
                <c:pt idx="503">
                  <c:v>-5.6025646170431926</c:v>
                </c:pt>
                <c:pt idx="504">
                  <c:v>-5.6455099221913407</c:v>
                </c:pt>
                <c:pt idx="505">
                  <c:v>-5.7075823919154791</c:v>
                </c:pt>
                <c:pt idx="506">
                  <c:v>-5.6975312525470585</c:v>
                </c:pt>
                <c:pt idx="507">
                  <c:v>-5.6910583417596561</c:v>
                </c:pt>
                <c:pt idx="508">
                  <c:v>-5.7124065128132289</c:v>
                </c:pt>
                <c:pt idx="509">
                  <c:v>-5.8126486902132282</c:v>
                </c:pt>
                <c:pt idx="510">
                  <c:v>-5.7314018797195807</c:v>
                </c:pt>
                <c:pt idx="511">
                  <c:v>-5.7687436037882076</c:v>
                </c:pt>
                <c:pt idx="512">
                  <c:v>-5.6009182718651314</c:v>
                </c:pt>
                <c:pt idx="513">
                  <c:v>-5.5233948866725839</c:v>
                </c:pt>
                <c:pt idx="514">
                  <c:v>-5.4121206965202999</c:v>
                </c:pt>
                <c:pt idx="515">
                  <c:v>-5.5063597515138483</c:v>
                </c:pt>
                <c:pt idx="516">
                  <c:v>-5.5554468395138477</c:v>
                </c:pt>
                <c:pt idx="517">
                  <c:v>-5.5650019160852766</c:v>
                </c:pt>
                <c:pt idx="518">
                  <c:v>-5.5869911076107002</c:v>
                </c:pt>
                <c:pt idx="519">
                  <c:v>-5.5359511437024427</c:v>
                </c:pt>
                <c:pt idx="520">
                  <c:v>-5.5296679235989945</c:v>
                </c:pt>
                <c:pt idx="521">
                  <c:v>-5.4927676084300447</c:v>
                </c:pt>
                <c:pt idx="522">
                  <c:v>-5.4624704574154821</c:v>
                </c:pt>
                <c:pt idx="523">
                  <c:v>-5.4573615594154825</c:v>
                </c:pt>
                <c:pt idx="524">
                  <c:v>-5.5049415445537173</c:v>
                </c:pt>
                <c:pt idx="525">
                  <c:v>-5.2146870622389025</c:v>
                </c:pt>
                <c:pt idx="526">
                  <c:v>-5.2470769849884453</c:v>
                </c:pt>
                <c:pt idx="527">
                  <c:v>-5.0660628863083215</c:v>
                </c:pt>
                <c:pt idx="528">
                  <c:v>-4.4866518256641257</c:v>
                </c:pt>
                <c:pt idx="529">
                  <c:v>-4.7093259171884441</c:v>
                </c:pt>
                <c:pt idx="530">
                  <c:v>-4.729889586651189</c:v>
                </c:pt>
                <c:pt idx="531">
                  <c:v>-4.7106850297630523</c:v>
                </c:pt>
                <c:pt idx="532">
                  <c:v>-4.8073577513214953</c:v>
                </c:pt>
                <c:pt idx="533">
                  <c:v>-4.7226696010095681</c:v>
                </c:pt>
                <c:pt idx="534">
                  <c:v>-4.9067234448679766</c:v>
                </c:pt>
                <c:pt idx="535">
                  <c:v>-4.8493754881703017</c:v>
                </c:pt>
                <c:pt idx="536">
                  <c:v>-4.9294261689884831</c:v>
                </c:pt>
                <c:pt idx="537">
                  <c:v>-5.0777815617647395</c:v>
                </c:pt>
                <c:pt idx="538">
                  <c:v>-4.985647452425896</c:v>
                </c:pt>
                <c:pt idx="539">
                  <c:v>-4.9844043037735153</c:v>
                </c:pt>
                <c:pt idx="540">
                  <c:v>-5.0935721552693138</c:v>
                </c:pt>
                <c:pt idx="541">
                  <c:v>-5.045304749621315</c:v>
                </c:pt>
                <c:pt idx="542">
                  <c:v>-5.1416698192084702</c:v>
                </c:pt>
                <c:pt idx="543">
                  <c:v>-5.0790388313513279</c:v>
                </c:pt>
                <c:pt idx="544">
                  <c:v>-5.0985808449055448</c:v>
                </c:pt>
                <c:pt idx="545">
                  <c:v>-5.0981683898589125</c:v>
                </c:pt>
                <c:pt idx="546">
                  <c:v>-5.0460322528349888</c:v>
                </c:pt>
                <c:pt idx="547">
                  <c:v>-5.0148221782318139</c:v>
                </c:pt>
                <c:pt idx="548">
                  <c:v>-5.0012289092088249</c:v>
                </c:pt>
                <c:pt idx="549">
                  <c:v>-5.0275336572088243</c:v>
                </c:pt>
                <c:pt idx="550">
                  <c:v>-4.947697718248925</c:v>
                </c:pt>
                <c:pt idx="551">
                  <c:v>-4.985020422621707</c:v>
                </c:pt>
                <c:pt idx="552">
                  <c:v>-4.9829276782114507</c:v>
                </c:pt>
                <c:pt idx="553">
                  <c:v>-4.8817829770280188</c:v>
                </c:pt>
                <c:pt idx="554">
                  <c:v>-4.8302983982004317</c:v>
                </c:pt>
                <c:pt idx="555">
                  <c:v>-4.889493779852975</c:v>
                </c:pt>
                <c:pt idx="556">
                  <c:v>-4.882680341625127</c:v>
                </c:pt>
                <c:pt idx="557">
                  <c:v>-4.8844118670048733</c:v>
                </c:pt>
                <c:pt idx="558">
                  <c:v>-4.8984321030838212</c:v>
                </c:pt>
                <c:pt idx="559">
                  <c:v>-4.9335785539056021</c:v>
                </c:pt>
                <c:pt idx="560">
                  <c:v>-4.9728736433792875</c:v>
                </c:pt>
                <c:pt idx="561">
                  <c:v>-4.9706182615418886</c:v>
                </c:pt>
                <c:pt idx="562">
                  <c:v>-4.9441594902752222</c:v>
                </c:pt>
                <c:pt idx="563">
                  <c:v>-4.8747023469055542</c:v>
                </c:pt>
                <c:pt idx="564">
                  <c:v>-4.7732270873403371</c:v>
                </c:pt>
                <c:pt idx="565">
                  <c:v>-4.7622213250889702</c:v>
                </c:pt>
                <c:pt idx="566">
                  <c:v>-4.771021174725333</c:v>
                </c:pt>
                <c:pt idx="567">
                  <c:v>-4.9226795630325002</c:v>
                </c:pt>
                <c:pt idx="568">
                  <c:v>-4.8490946353329702</c:v>
                </c:pt>
                <c:pt idx="569">
                  <c:v>-4.9338305160472551</c:v>
                </c:pt>
                <c:pt idx="570">
                  <c:v>-4.8971397357644273</c:v>
                </c:pt>
                <c:pt idx="571">
                  <c:v>-4.830699787989146</c:v>
                </c:pt>
                <c:pt idx="572">
                  <c:v>-4.8176866402682164</c:v>
                </c:pt>
                <c:pt idx="573">
                  <c:v>-4.8576140455873658</c:v>
                </c:pt>
                <c:pt idx="574">
                  <c:v>-4.7594457769533784</c:v>
                </c:pt>
                <c:pt idx="575">
                  <c:v>-4.8360220823908788</c:v>
                </c:pt>
                <c:pt idx="576">
                  <c:v>-4.8157627781016226</c:v>
                </c:pt>
                <c:pt idx="577">
                  <c:v>-4.7376953061880434</c:v>
                </c:pt>
                <c:pt idx="578">
                  <c:v>-4.7001529612471558</c:v>
                </c:pt>
                <c:pt idx="579">
                  <c:v>-4.7727243997170365</c:v>
                </c:pt>
                <c:pt idx="580">
                  <c:v>-4.6541174515213832</c:v>
                </c:pt>
                <c:pt idx="581">
                  <c:v>-4.5079995727613831</c:v>
                </c:pt>
                <c:pt idx="582">
                  <c:v>-4.4282259832613837</c:v>
                </c:pt>
                <c:pt idx="583">
                  <c:v>-4.3859685354478239</c:v>
                </c:pt>
                <c:pt idx="584">
                  <c:v>-4.2990084758438645</c:v>
                </c:pt>
                <c:pt idx="585">
                  <c:v>-4.2792734420904388</c:v>
                </c:pt>
                <c:pt idx="586">
                  <c:v>-4.1766044658609305</c:v>
                </c:pt>
                <c:pt idx="587">
                  <c:v>-4.2202545681466441</c:v>
                </c:pt>
                <c:pt idx="588">
                  <c:v>-4.3299369356529418</c:v>
                </c:pt>
                <c:pt idx="589">
                  <c:v>-4.3926415971617567</c:v>
                </c:pt>
                <c:pt idx="590">
                  <c:v>-4.4159509663617573</c:v>
                </c:pt>
                <c:pt idx="591">
                  <c:v>-4.4284254793016071</c:v>
                </c:pt>
                <c:pt idx="592">
                  <c:v>-4.4765710741334654</c:v>
                </c:pt>
                <c:pt idx="593">
                  <c:v>-4.3916474198070397</c:v>
                </c:pt>
                <c:pt idx="594">
                  <c:v>-4.4428166423422519</c:v>
                </c:pt>
                <c:pt idx="595">
                  <c:v>-4.4400683611144034</c:v>
                </c:pt>
                <c:pt idx="596">
                  <c:v>-4.4495335691344042</c:v>
                </c:pt>
                <c:pt idx="597">
                  <c:v>-4.5535244444865164</c:v>
                </c:pt>
                <c:pt idx="598">
                  <c:v>-4.6780960089851469</c:v>
                </c:pt>
                <c:pt idx="599">
                  <c:v>-4.6042104981518142</c:v>
                </c:pt>
                <c:pt idx="600">
                  <c:v>-4.7772414733756943</c:v>
                </c:pt>
                <c:pt idx="601">
                  <c:v>-4.5465993353616101</c:v>
                </c:pt>
                <c:pt idx="602">
                  <c:v>-4.7501069843616097</c:v>
                </c:pt>
                <c:pt idx="603">
                  <c:v>-4.6115081767175425</c:v>
                </c:pt>
                <c:pt idx="604">
                  <c:v>-4.8399396449878118</c:v>
                </c:pt>
                <c:pt idx="605">
                  <c:v>-4.9242741702819304</c:v>
                </c:pt>
                <c:pt idx="606">
                  <c:v>-4.9934246929178281</c:v>
                </c:pt>
                <c:pt idx="607">
                  <c:v>-4.9284912887144383</c:v>
                </c:pt>
                <c:pt idx="608">
                  <c:v>-4.9728078580335868</c:v>
                </c:pt>
                <c:pt idx="609">
                  <c:v>-4.9627934467189014</c:v>
                </c:pt>
                <c:pt idx="610">
                  <c:v>-5.0254419045650556</c:v>
                </c:pt>
                <c:pt idx="611">
                  <c:v>-4.6631823281781948</c:v>
                </c:pt>
                <c:pt idx="612">
                  <c:v>-4.7731540636126768</c:v>
                </c:pt>
                <c:pt idx="613">
                  <c:v>-4.7251792812888658</c:v>
                </c:pt>
                <c:pt idx="614">
                  <c:v>-4.3909658595909065</c:v>
                </c:pt>
                <c:pt idx="615">
                  <c:v>-4.3372482643857797</c:v>
                </c:pt>
                <c:pt idx="616">
                  <c:v>-4.4069577483857785</c:v>
                </c:pt>
                <c:pt idx="617">
                  <c:v>-4.3146928530924926</c:v>
                </c:pt>
                <c:pt idx="618">
                  <c:v>-4.3266902604734438</c:v>
                </c:pt>
                <c:pt idx="619">
                  <c:v>-4.35939617221538</c:v>
                </c:pt>
                <c:pt idx="620">
                  <c:v>-4.3391141717608335</c:v>
                </c:pt>
                <c:pt idx="621">
                  <c:v>-4.3263994928377567</c:v>
                </c:pt>
                <c:pt idx="622">
                  <c:v>-4.2043171240635626</c:v>
                </c:pt>
                <c:pt idx="623">
                  <c:v>-4.2170622220635634</c:v>
                </c:pt>
                <c:pt idx="624">
                  <c:v>-4.2230732442084911</c:v>
                </c:pt>
                <c:pt idx="625">
                  <c:v>-4.2166313225721268</c:v>
                </c:pt>
                <c:pt idx="626">
                  <c:v>-4.2044815270319802</c:v>
                </c:pt>
                <c:pt idx="627">
                  <c:v>-4.1667421862137992</c:v>
                </c:pt>
                <c:pt idx="628">
                  <c:v>-4.1728633072691741</c:v>
                </c:pt>
                <c:pt idx="629">
                  <c:v>-4.1631619674999438</c:v>
                </c:pt>
                <c:pt idx="630">
                  <c:v>-4.1592069632626556</c:v>
                </c:pt>
                <c:pt idx="631">
                  <c:v>-4.1498445853061341</c:v>
                </c:pt>
                <c:pt idx="632">
                  <c:v>-4.0833018343061331</c:v>
                </c:pt>
                <c:pt idx="633">
                  <c:v>-4.1073901956745553</c:v>
                </c:pt>
                <c:pt idx="634">
                  <c:v>-4.0156294034773721</c:v>
                </c:pt>
                <c:pt idx="635">
                  <c:v>-3.9747320319922239</c:v>
                </c:pt>
                <c:pt idx="636">
                  <c:v>-3.9612900588304591</c:v>
                </c:pt>
                <c:pt idx="637">
                  <c:v>-4.0056834438942888</c:v>
                </c:pt>
                <c:pt idx="638">
                  <c:v>-3.9774874072579247</c:v>
                </c:pt>
                <c:pt idx="639">
                  <c:v>-4.1257251250628011</c:v>
                </c:pt>
                <c:pt idx="640">
                  <c:v>-4.1470002921115823</c:v>
                </c:pt>
                <c:pt idx="641">
                  <c:v>-4.136719339229229</c:v>
                </c:pt>
                <c:pt idx="642">
                  <c:v>-4.1781972373006573</c:v>
                </c:pt>
                <c:pt idx="643">
                  <c:v>-4.0939246706285273</c:v>
                </c:pt>
                <c:pt idx="644">
                  <c:v>-4.1000582700105497</c:v>
                </c:pt>
                <c:pt idx="645">
                  <c:v>-4.1411902231298168</c:v>
                </c:pt>
                <c:pt idx="646">
                  <c:v>-4.1861050064113696</c:v>
                </c:pt>
                <c:pt idx="647">
                  <c:v>-4.1958717946367212</c:v>
                </c:pt>
                <c:pt idx="648">
                  <c:v>-4.0047903704771466</c:v>
                </c:pt>
                <c:pt idx="649">
                  <c:v>-3.9784372924771469</c:v>
                </c:pt>
                <c:pt idx="650">
                  <c:v>-4.0065449263083162</c:v>
                </c:pt>
                <c:pt idx="651">
                  <c:v>-3.9694349152589332</c:v>
                </c:pt>
                <c:pt idx="652">
                  <c:v>-4.0567588367806726</c:v>
                </c:pt>
                <c:pt idx="653">
                  <c:v>-3.8442483138189503</c:v>
                </c:pt>
                <c:pt idx="654">
                  <c:v>-3.8564152793704825</c:v>
                </c:pt>
                <c:pt idx="655">
                  <c:v>-3.8537046862504827</c:v>
                </c:pt>
                <c:pt idx="656">
                  <c:v>-3.8510767987784824</c:v>
                </c:pt>
                <c:pt idx="657">
                  <c:v>-3.8337492531075967</c:v>
                </c:pt>
                <c:pt idx="658">
                  <c:v>-3.7698040776645589</c:v>
                </c:pt>
                <c:pt idx="659">
                  <c:v>-3.7480389783825077</c:v>
                </c:pt>
                <c:pt idx="660">
                  <c:v>-3.761178991597697</c:v>
                </c:pt>
                <c:pt idx="661">
                  <c:v>-3.6126469865476967</c:v>
                </c:pt>
                <c:pt idx="662">
                  <c:v>-3.5986205893303049</c:v>
                </c:pt>
                <c:pt idx="663">
                  <c:v>-3.5108672229185403</c:v>
                </c:pt>
                <c:pt idx="664">
                  <c:v>-3.5041387458840574</c:v>
                </c:pt>
                <c:pt idx="665">
                  <c:v>-3.5365973902931485</c:v>
                </c:pt>
                <c:pt idx="666">
                  <c:v>-3.4619100241635188</c:v>
                </c:pt>
                <c:pt idx="667">
                  <c:v>-3.448031417817365</c:v>
                </c:pt>
                <c:pt idx="668">
                  <c:v>-3.552012077612686</c:v>
                </c:pt>
                <c:pt idx="669">
                  <c:v>-3.5699436380063867</c:v>
                </c:pt>
                <c:pt idx="670">
                  <c:v>-3.534959914616556</c:v>
                </c:pt>
                <c:pt idx="671">
                  <c:v>-3.5332134543480995</c:v>
                </c:pt>
                <c:pt idx="672">
                  <c:v>-3.4807427207340647</c:v>
                </c:pt>
                <c:pt idx="673">
                  <c:v>-3.4738523966431556</c:v>
                </c:pt>
                <c:pt idx="674">
                  <c:v>-3.5085117391046943</c:v>
                </c:pt>
                <c:pt idx="675">
                  <c:v>-3.5322400516281318</c:v>
                </c:pt>
                <c:pt idx="676">
                  <c:v>-3.5401908763227423</c:v>
                </c:pt>
                <c:pt idx="677">
                  <c:v>-3.2577864499164924</c:v>
                </c:pt>
                <c:pt idx="678">
                  <c:v>-2.8919147635907931</c:v>
                </c:pt>
                <c:pt idx="679">
                  <c:v>-3.1032594007412349</c:v>
                </c:pt>
                <c:pt idx="680">
                  <c:v>-3.1937420317412353</c:v>
                </c:pt>
                <c:pt idx="681">
                  <c:v>-3.265132403741235</c:v>
                </c:pt>
                <c:pt idx="682">
                  <c:v>-3.2847057947412348</c:v>
                </c:pt>
                <c:pt idx="683">
                  <c:v>-3.2366406630745677</c:v>
                </c:pt>
                <c:pt idx="684">
                  <c:v>-3.2352466116350076</c:v>
                </c:pt>
                <c:pt idx="685">
                  <c:v>-3.2085850380853889</c:v>
                </c:pt>
                <c:pt idx="686">
                  <c:v>-3.2964590267049747</c:v>
                </c:pt>
                <c:pt idx="687">
                  <c:v>-3.1678067237388734</c:v>
                </c:pt>
                <c:pt idx="688">
                  <c:v>-3.1261377273892794</c:v>
                </c:pt>
                <c:pt idx="689">
                  <c:v>-3.1621689840789351</c:v>
                </c:pt>
                <c:pt idx="690">
                  <c:v>-3.1332386116671702</c:v>
                </c:pt>
                <c:pt idx="691">
                  <c:v>-3.0409156282089489</c:v>
                </c:pt>
                <c:pt idx="692">
                  <c:v>-3.0363122925044954</c:v>
                </c:pt>
                <c:pt idx="693">
                  <c:v>-3.0558772395044951</c:v>
                </c:pt>
                <c:pt idx="694">
                  <c:v>-3.0500082312682748</c:v>
                </c:pt>
                <c:pt idx="695">
                  <c:v>-3.0738076786082753</c:v>
                </c:pt>
                <c:pt idx="696">
                  <c:v>-3.0871368887806883</c:v>
                </c:pt>
                <c:pt idx="697">
                  <c:v>-3.0204264534672558</c:v>
                </c:pt>
                <c:pt idx="698">
                  <c:v>-2.9722245211322433</c:v>
                </c:pt>
                <c:pt idx="699">
                  <c:v>-2.9556789109989099</c:v>
                </c:pt>
                <c:pt idx="700">
                  <c:v>-2.9287009525054035</c:v>
                </c:pt>
                <c:pt idx="701">
                  <c:v>-2.9076288944412529</c:v>
                </c:pt>
                <c:pt idx="702">
                  <c:v>-2.8865361843918702</c:v>
                </c:pt>
                <c:pt idx="703">
                  <c:v>-2.8130959515043705</c:v>
                </c:pt>
                <c:pt idx="704">
                  <c:v>-2.7946133399993536</c:v>
                </c:pt>
                <c:pt idx="705">
                  <c:v>-2.8123852459993541</c:v>
                </c:pt>
                <c:pt idx="706">
                  <c:v>-2.8086927271208495</c:v>
                </c:pt>
                <c:pt idx="707">
                  <c:v>-2.8253361648759516</c:v>
                </c:pt>
                <c:pt idx="708">
                  <c:v>-2.8207549960548985</c:v>
                </c:pt>
                <c:pt idx="709">
                  <c:v>-2.750176420063827</c:v>
                </c:pt>
                <c:pt idx="710">
                  <c:v>-2.8308253030638268</c:v>
                </c:pt>
                <c:pt idx="711">
                  <c:v>-2.7731722470638269</c:v>
                </c:pt>
                <c:pt idx="712">
                  <c:v>-2.7292917752201395</c:v>
                </c:pt>
                <c:pt idx="713">
                  <c:v>-2.6539087156315686</c:v>
                </c:pt>
                <c:pt idx="714">
                  <c:v>-2.6721662140690681</c:v>
                </c:pt>
                <c:pt idx="715">
                  <c:v>-2.5563907522690688</c:v>
                </c:pt>
                <c:pt idx="716">
                  <c:v>-2.4967426492993714</c:v>
                </c:pt>
                <c:pt idx="717">
                  <c:v>-2.5826241510598278</c:v>
                </c:pt>
                <c:pt idx="718">
                  <c:v>-2.5600913200673467</c:v>
                </c:pt>
                <c:pt idx="719">
                  <c:v>-2.4961869393326528</c:v>
                </c:pt>
                <c:pt idx="720">
                  <c:v>-2.6700855909510275</c:v>
                </c:pt>
                <c:pt idx="721">
                  <c:v>-2.6673249266190431</c:v>
                </c:pt>
                <c:pt idx="722">
                  <c:v>-2.7049405197248126</c:v>
                </c:pt>
                <c:pt idx="723">
                  <c:v>-2.7363756938566453</c:v>
                </c:pt>
                <c:pt idx="724">
                  <c:v>-2.7052772097150521</c:v>
                </c:pt>
                <c:pt idx="725">
                  <c:v>-2.7582228867777974</c:v>
                </c:pt>
                <c:pt idx="726">
                  <c:v>-2.7797112022444641</c:v>
                </c:pt>
                <c:pt idx="727">
                  <c:v>-2.7764438804495928</c:v>
                </c:pt>
                <c:pt idx="728">
                  <c:v>-2.7975011218154457</c:v>
                </c:pt>
                <c:pt idx="729">
                  <c:v>-2.8158207953710011</c:v>
                </c:pt>
                <c:pt idx="730">
                  <c:v>-2.7905071751013386</c:v>
                </c:pt>
                <c:pt idx="731">
                  <c:v>-2.8144185987428481</c:v>
                </c:pt>
                <c:pt idx="732">
                  <c:v>-2.7946252024786968</c:v>
                </c:pt>
                <c:pt idx="733">
                  <c:v>-2.7275518548059692</c:v>
                </c:pt>
                <c:pt idx="734">
                  <c:v>-2.7641743557493652</c:v>
                </c:pt>
                <c:pt idx="735">
                  <c:v>-2.7671111674416724</c:v>
                </c:pt>
                <c:pt idx="736">
                  <c:v>-2.7367077124416728</c:v>
                </c:pt>
                <c:pt idx="737">
                  <c:v>-2.7208871693781806</c:v>
                </c:pt>
                <c:pt idx="738">
                  <c:v>-2.7413209919551034</c:v>
                </c:pt>
                <c:pt idx="739">
                  <c:v>-2.7329649699551033</c:v>
                </c:pt>
                <c:pt idx="740">
                  <c:v>-2.7817938069551031</c:v>
                </c:pt>
                <c:pt idx="741">
                  <c:v>-2.7790210384551028</c:v>
                </c:pt>
                <c:pt idx="742">
                  <c:v>-2.7838471486139813</c:v>
                </c:pt>
                <c:pt idx="743">
                  <c:v>-2.7675667348044581</c:v>
                </c:pt>
                <c:pt idx="744">
                  <c:v>-2.8073803368974808</c:v>
                </c:pt>
                <c:pt idx="745">
                  <c:v>-2.8242647677863699</c:v>
                </c:pt>
                <c:pt idx="746">
                  <c:v>-2.8014255031377204</c:v>
                </c:pt>
                <c:pt idx="747">
                  <c:v>-2.8051969808219313</c:v>
                </c:pt>
                <c:pt idx="748">
                  <c:v>-2.7851361881518284</c:v>
                </c:pt>
                <c:pt idx="749">
                  <c:v>-2.8031765007672123</c:v>
                </c:pt>
                <c:pt idx="750">
                  <c:v>-2.7721451606663723</c:v>
                </c:pt>
                <c:pt idx="751">
                  <c:v>-2.7374593570603114</c:v>
                </c:pt>
                <c:pt idx="752">
                  <c:v>-2.6836884940936447</c:v>
                </c:pt>
                <c:pt idx="753">
                  <c:v>-2.6567735307803919</c:v>
                </c:pt>
                <c:pt idx="754">
                  <c:v>-2.709452300858112</c:v>
                </c:pt>
                <c:pt idx="755">
                  <c:v>-2.6858832549340614</c:v>
                </c:pt>
                <c:pt idx="756">
                  <c:v>-2.5852097970012884</c:v>
                </c:pt>
                <c:pt idx="757">
                  <c:v>-2.5056951343686356</c:v>
                </c:pt>
                <c:pt idx="758">
                  <c:v>-2.5156183634455589</c:v>
                </c:pt>
                <c:pt idx="759">
                  <c:v>-2.514728170516987</c:v>
                </c:pt>
                <c:pt idx="760">
                  <c:v>-2.4795582628188741</c:v>
                </c:pt>
                <c:pt idx="761">
                  <c:v>-2.482675427342683</c:v>
                </c:pt>
                <c:pt idx="762">
                  <c:v>-2.5050922293426829</c:v>
                </c:pt>
                <c:pt idx="763">
                  <c:v>-2.5101616241608649</c:v>
                </c:pt>
                <c:pt idx="764">
                  <c:v>-2.4868497088382844</c:v>
                </c:pt>
                <c:pt idx="765">
                  <c:v>-2.476391080846549</c:v>
                </c:pt>
                <c:pt idx="766">
                  <c:v>-2.476391080846549</c:v>
                </c:pt>
                <c:pt idx="767">
                  <c:v>-2.4613850124090488</c:v>
                </c:pt>
                <c:pt idx="768">
                  <c:v>-2.4754434812272303</c:v>
                </c:pt>
                <c:pt idx="769">
                  <c:v>-2.4248187795698879</c:v>
                </c:pt>
                <c:pt idx="770">
                  <c:v>-2.4212329765090179</c:v>
                </c:pt>
                <c:pt idx="771">
                  <c:v>-2.4326313853575035</c:v>
                </c:pt>
                <c:pt idx="772">
                  <c:v>-2.494026719761091</c:v>
                </c:pt>
                <c:pt idx="773">
                  <c:v>-2.4423169310579662</c:v>
                </c:pt>
                <c:pt idx="774">
                  <c:v>-2.4198973141460494</c:v>
                </c:pt>
                <c:pt idx="775">
                  <c:v>-2.4137625322150145</c:v>
                </c:pt>
                <c:pt idx="776">
                  <c:v>-2.3740654910210752</c:v>
                </c:pt>
                <c:pt idx="777">
                  <c:v>-2.3190616819588339</c:v>
                </c:pt>
                <c:pt idx="778">
                  <c:v>-2.2974085383874057</c:v>
                </c:pt>
                <c:pt idx="779">
                  <c:v>-2.2823635468874053</c:v>
                </c:pt>
                <c:pt idx="780">
                  <c:v>-2.2323685229743617</c:v>
                </c:pt>
                <c:pt idx="781">
                  <c:v>-2.1398576999743617</c:v>
                </c:pt>
                <c:pt idx="782">
                  <c:v>-2.1616531381294006</c:v>
                </c:pt>
                <c:pt idx="783">
                  <c:v>-2.1554343089735566</c:v>
                </c:pt>
                <c:pt idx="784">
                  <c:v>-2.140697178095508</c:v>
                </c:pt>
                <c:pt idx="785">
                  <c:v>-2.135446584668542</c:v>
                </c:pt>
                <c:pt idx="786">
                  <c:v>-2.0612918528390489</c:v>
                </c:pt>
                <c:pt idx="787">
                  <c:v>-2.1095514123218071</c:v>
                </c:pt>
                <c:pt idx="788">
                  <c:v>-2.0809337182833456</c:v>
                </c:pt>
                <c:pt idx="789">
                  <c:v>-2.0931321972616064</c:v>
                </c:pt>
                <c:pt idx="790">
                  <c:v>-2.0443091209993116</c:v>
                </c:pt>
                <c:pt idx="791">
                  <c:v>-2.1067636282380211</c:v>
                </c:pt>
                <c:pt idx="792">
                  <c:v>-2.0557806107282173</c:v>
                </c:pt>
                <c:pt idx="793">
                  <c:v>-2.1101722184379965</c:v>
                </c:pt>
                <c:pt idx="794">
                  <c:v>-2.1543089354379963</c:v>
                </c:pt>
                <c:pt idx="795">
                  <c:v>-2.2083841792179522</c:v>
                </c:pt>
                <c:pt idx="796">
                  <c:v>-2.1736434724432487</c:v>
                </c:pt>
                <c:pt idx="797">
                  <c:v>-2.2027012956099155</c:v>
                </c:pt>
                <c:pt idx="798">
                  <c:v>-2.1761078114664727</c:v>
                </c:pt>
                <c:pt idx="799">
                  <c:v>-2.126720718557678</c:v>
                </c:pt>
                <c:pt idx="800">
                  <c:v>-2.1010576002719636</c:v>
                </c:pt>
                <c:pt idx="801">
                  <c:v>-2.0884825037534451</c:v>
                </c:pt>
                <c:pt idx="802">
                  <c:v>-2.0270919587287537</c:v>
                </c:pt>
                <c:pt idx="803">
                  <c:v>-2.0146483196378444</c:v>
                </c:pt>
                <c:pt idx="804">
                  <c:v>-2.0594518655378447</c:v>
                </c:pt>
                <c:pt idx="805">
                  <c:v>-2.0160514873054503</c:v>
                </c:pt>
                <c:pt idx="806">
                  <c:v>-1.9238132549513522</c:v>
                </c:pt>
                <c:pt idx="807">
                  <c:v>-1.980423126846975</c:v>
                </c:pt>
                <c:pt idx="808">
                  <c:v>-2.0353071803521297</c:v>
                </c:pt>
                <c:pt idx="809">
                  <c:v>-2.0963915806001916</c:v>
                </c:pt>
                <c:pt idx="810">
                  <c:v>-2.0703526324396981</c:v>
                </c:pt>
                <c:pt idx="811">
                  <c:v>-1.3369874430590702</c:v>
                </c:pt>
                <c:pt idx="812">
                  <c:v>-1.3277960743222283</c:v>
                </c:pt>
                <c:pt idx="813">
                  <c:v>-1.4221568935359035</c:v>
                </c:pt>
                <c:pt idx="814">
                  <c:v>-1.3237381743359034</c:v>
                </c:pt>
                <c:pt idx="815">
                  <c:v>-1.3456897810501889</c:v>
                </c:pt>
                <c:pt idx="816">
                  <c:v>-1.2091051024358639</c:v>
                </c:pt>
                <c:pt idx="817">
                  <c:v>-1.3898620078233179</c:v>
                </c:pt>
                <c:pt idx="818">
                  <c:v>-1.4190701905590692</c:v>
                </c:pt>
                <c:pt idx="819">
                  <c:v>-1.4103290524965693</c:v>
                </c:pt>
                <c:pt idx="820">
                  <c:v>-1.4288077888104704</c:v>
                </c:pt>
                <c:pt idx="821">
                  <c:v>-1.3408266721704707</c:v>
                </c:pt>
                <c:pt idx="822">
                  <c:v>-1.3469100241418992</c:v>
                </c:pt>
                <c:pt idx="823">
                  <c:v>-1.2010798562062555</c:v>
                </c:pt>
                <c:pt idx="824">
                  <c:v>-1.403874486322704</c:v>
                </c:pt>
                <c:pt idx="825">
                  <c:v>-1.1735837003501355</c:v>
                </c:pt>
                <c:pt idx="826">
                  <c:v>-1.3145049503501354</c:v>
                </c:pt>
                <c:pt idx="827">
                  <c:v>-1.3192071174701354</c:v>
                </c:pt>
                <c:pt idx="828">
                  <c:v>-1.1617735239799394</c:v>
                </c:pt>
                <c:pt idx="829">
                  <c:v>-1.0402069254937858</c:v>
                </c:pt>
                <c:pt idx="830">
                  <c:v>-0.90620521641306784</c:v>
                </c:pt>
                <c:pt idx="831">
                  <c:v>-1.1527577599130678</c:v>
                </c:pt>
                <c:pt idx="832">
                  <c:v>-1.1891858561130675</c:v>
                </c:pt>
                <c:pt idx="833">
                  <c:v>-1.0706116276056048</c:v>
                </c:pt>
                <c:pt idx="834">
                  <c:v>-0.98650528141116023</c:v>
                </c:pt>
                <c:pt idx="835">
                  <c:v>-0.91928145840070274</c:v>
                </c:pt>
                <c:pt idx="836">
                  <c:v>-0.56032846971275962</c:v>
                </c:pt>
                <c:pt idx="837">
                  <c:v>2.4251772748054155E-2</c:v>
                </c:pt>
                <c:pt idx="838">
                  <c:v>0.31498778039165276</c:v>
                </c:pt>
                <c:pt idx="839">
                  <c:v>-0.22848709037837828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07-41A5-9649-C4F31C023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2076608"/>
        <c:axId val="752074528"/>
      </c:lineChart>
      <c:dateAx>
        <c:axId val="752076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074528"/>
        <c:crosses val="autoZero"/>
        <c:auto val="1"/>
        <c:lblOffset val="100"/>
        <c:baseTimeUnit val="days"/>
      </c:dateAx>
      <c:valAx>
        <c:axId val="75207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07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76B9AF9-717F-4658-83C1-EB3C21AD1F99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D4F2145-4180-444B-B7EB-418420FDF06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1.4890000000000001</v>
      </c>
      <c r="D2" s="4">
        <f>MIN(D3:D1912)</f>
        <v>5.5399999999999998E-3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0.20100000000000001</v>
      </c>
      <c r="C5">
        <v>0.2077</v>
      </c>
      <c r="D5">
        <v>0.20030000000000001</v>
      </c>
      <c r="E5">
        <v>0.20169999999999999</v>
      </c>
      <c r="F5">
        <v>896171</v>
      </c>
      <c r="G5">
        <v>0.20169999999999999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-0.62162162162162526</v>
      </c>
      <c r="Q5">
        <f t="shared" ref="Q5" si="1">F5*P5</f>
        <v>-557079.27027027356</v>
      </c>
      <c r="R5">
        <f t="shared" ref="R5" si="2">R6+Q5</f>
        <v>-2024827904.8708267</v>
      </c>
      <c r="S5">
        <f t="shared" ref="S5" si="3">R5/100000</f>
        <v>-20248.279048708268</v>
      </c>
      <c r="T5">
        <f t="shared" ref="T5" si="4">S5/1000</f>
        <v>-20.248279048708266</v>
      </c>
    </row>
    <row r="6" spans="1:20" x14ac:dyDescent="0.25">
      <c r="A6" s="5">
        <v>44587</v>
      </c>
      <c r="B6">
        <v>0.1928</v>
      </c>
      <c r="C6">
        <v>0.2155</v>
      </c>
      <c r="D6">
        <v>0.19</v>
      </c>
      <c r="E6">
        <v>0.2011</v>
      </c>
      <c r="F6">
        <v>11414582</v>
      </c>
      <c r="G6">
        <v>0.2011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-0.12941176470588228</v>
      </c>
      <c r="Q6">
        <f t="shared" ref="Q6" si="6">F6*P6</f>
        <v>-1477181.1999999993</v>
      </c>
      <c r="R6">
        <f t="shared" ref="R6" si="7">R7+Q6</f>
        <v>-2024270825.6005564</v>
      </c>
      <c r="S6">
        <f t="shared" ref="S6" si="8">R6/100000</f>
        <v>-20242.708256005564</v>
      </c>
      <c r="T6">
        <f t="shared" ref="T6" si="9">S6/1000</f>
        <v>-20.242708256005564</v>
      </c>
    </row>
    <row r="7" spans="1:20" x14ac:dyDescent="0.25">
      <c r="A7" s="5">
        <v>44586</v>
      </c>
      <c r="B7">
        <v>0.1885</v>
      </c>
      <c r="C7">
        <v>0.1953</v>
      </c>
      <c r="D7">
        <v>0.1832</v>
      </c>
      <c r="E7">
        <v>0.19209999999999999</v>
      </c>
      <c r="F7">
        <v>7495732</v>
      </c>
      <c r="G7">
        <v>0.19209999999999999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0.47107438016528785</v>
      </c>
      <c r="Q7">
        <f t="shared" ref="Q7" si="11">F7*P7</f>
        <v>3531047.3057851135</v>
      </c>
      <c r="R7">
        <f t="shared" ref="R7" si="12">R8+Q7</f>
        <v>-2022793644.4005563</v>
      </c>
      <c r="S7">
        <f t="shared" ref="S7" si="13">R7/100000</f>
        <v>-20227.936444005561</v>
      </c>
      <c r="T7">
        <f t="shared" ref="T7" si="14">S7/1000</f>
        <v>-20.227936444005561</v>
      </c>
    </row>
    <row r="8" spans="1:20" x14ac:dyDescent="0.25">
      <c r="A8" s="5">
        <v>44585</v>
      </c>
      <c r="B8">
        <v>0.19689999999999999</v>
      </c>
      <c r="C8">
        <v>0.1976</v>
      </c>
      <c r="D8">
        <v>0.16789999999999999</v>
      </c>
      <c r="E8">
        <v>0.18870000000000001</v>
      </c>
      <c r="F8">
        <v>13359615</v>
      </c>
      <c r="G8">
        <v>0.18870000000000001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0.40067340067340135</v>
      </c>
      <c r="Q8">
        <f t="shared" ref="Q8" si="16">F8*P8</f>
        <v>5352842.3737373827</v>
      </c>
      <c r="R8">
        <f t="shared" ref="R8" si="17">R9+Q8</f>
        <v>-2026324691.7063415</v>
      </c>
      <c r="S8">
        <f t="shared" ref="S8" si="18">R8/100000</f>
        <v>-20263.246917063414</v>
      </c>
      <c r="T8">
        <f t="shared" ref="T8" si="19">S8/1000</f>
        <v>-20.263246917063412</v>
      </c>
    </row>
    <row r="9" spans="1:20" x14ac:dyDescent="0.25">
      <c r="A9" s="5">
        <v>44584</v>
      </c>
      <c r="B9">
        <v>0.19389999999999999</v>
      </c>
      <c r="C9">
        <v>0.20349999999999999</v>
      </c>
      <c r="D9">
        <v>0.1865</v>
      </c>
      <c r="E9">
        <v>0.19689999999999999</v>
      </c>
      <c r="F9">
        <v>12306325</v>
      </c>
      <c r="G9">
        <v>0.19689999999999999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0.22352941176470592</v>
      </c>
      <c r="Q9">
        <f t="shared" ref="Q9" si="21">F9*P9</f>
        <v>2750825.5882352944</v>
      </c>
      <c r="R9">
        <f t="shared" ref="R9" si="22">R10+Q9</f>
        <v>-2031677534.0800788</v>
      </c>
      <c r="S9">
        <f t="shared" ref="S9" si="23">R9/100000</f>
        <v>-20316.775340800788</v>
      </c>
      <c r="T9">
        <f t="shared" ref="T9" si="24">S9/1000</f>
        <v>-20.316775340800788</v>
      </c>
    </row>
    <row r="10" spans="1:20" x14ac:dyDescent="0.25">
      <c r="A10" s="5">
        <v>44583</v>
      </c>
      <c r="B10">
        <v>0.21609999999999999</v>
      </c>
      <c r="C10">
        <v>0.2205</v>
      </c>
      <c r="D10">
        <v>0.1701</v>
      </c>
      <c r="E10">
        <v>0.1943</v>
      </c>
      <c r="F10">
        <v>19255818</v>
      </c>
      <c r="G10">
        <v>0.1943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-3.9682539682539715E-2</v>
      </c>
      <c r="Q10">
        <f t="shared" ref="Q10" si="26">F10*P10</f>
        <v>-764119.76190476248</v>
      </c>
      <c r="R10">
        <f t="shared" ref="R10" si="27">R11+Q10</f>
        <v>-2034428359.6683142</v>
      </c>
      <c r="S10">
        <f t="shared" ref="S10" si="28">R10/100000</f>
        <v>-20344.283596683141</v>
      </c>
      <c r="T10">
        <f t="shared" ref="T10" si="29">S10/1000</f>
        <v>-20.344283596683141</v>
      </c>
    </row>
    <row r="11" spans="1:20" x14ac:dyDescent="0.25">
      <c r="A11" s="5">
        <v>44582</v>
      </c>
      <c r="B11">
        <v>0.25280000000000002</v>
      </c>
      <c r="C11">
        <v>0.26240000000000002</v>
      </c>
      <c r="D11">
        <v>0.21010000000000001</v>
      </c>
      <c r="E11">
        <v>0.2165</v>
      </c>
      <c r="F11">
        <v>20266306.199999999</v>
      </c>
      <c r="G11">
        <v>0.2165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-0.75525812619502919</v>
      </c>
      <c r="Q11">
        <f t="shared" ref="Q11" si="31">F11*P11</f>
        <v>-15306292.445506701</v>
      </c>
      <c r="R11">
        <f t="shared" ref="R11" si="32">R12+Q11</f>
        <v>-2033664239.9064095</v>
      </c>
      <c r="S11">
        <f t="shared" ref="S11" si="33">R11/100000</f>
        <v>-20336.642399064094</v>
      </c>
      <c r="T11">
        <f t="shared" ref="T11" si="34">S11/1000</f>
        <v>-20.336642399064093</v>
      </c>
    </row>
    <row r="12" spans="1:20" x14ac:dyDescent="0.25">
      <c r="A12" s="5">
        <v>44581</v>
      </c>
      <c r="B12">
        <v>0.27200000000000002</v>
      </c>
      <c r="C12">
        <v>0.28789999999999999</v>
      </c>
      <c r="D12">
        <v>0.25209999999999999</v>
      </c>
      <c r="E12">
        <v>0.25390000000000001</v>
      </c>
      <c r="F12">
        <v>9685219.3000000007</v>
      </c>
      <c r="G12">
        <v>0.25390000000000001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-0.89944134078212157</v>
      </c>
      <c r="Q12">
        <f t="shared" ref="Q12" si="36">F12*P12</f>
        <v>-8711286.632960882</v>
      </c>
      <c r="R12">
        <f t="shared" ref="R12" si="37">R13+Q12</f>
        <v>-2018357947.4609027</v>
      </c>
      <c r="S12">
        <f t="shared" ref="S12" si="38">R12/100000</f>
        <v>-20183.579474609029</v>
      </c>
      <c r="T12">
        <f t="shared" ref="T12" si="39">S12/1000</f>
        <v>-20.183579474609029</v>
      </c>
    </row>
    <row r="13" spans="1:20" x14ac:dyDescent="0.25">
      <c r="A13" s="5">
        <v>44580</v>
      </c>
      <c r="B13">
        <v>0.2833</v>
      </c>
      <c r="C13">
        <v>0.28549999999999998</v>
      </c>
      <c r="D13">
        <v>0.2676</v>
      </c>
      <c r="E13">
        <v>0.27150000000000002</v>
      </c>
      <c r="F13">
        <v>5694646</v>
      </c>
      <c r="G13">
        <v>0.27150000000000002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-0.56424581005586361</v>
      </c>
      <c r="Q13">
        <f t="shared" ref="Q13" si="41">F13*P13</f>
        <v>-3213180.1452513835</v>
      </c>
      <c r="R13">
        <f t="shared" ref="R13" si="42">R14+Q13</f>
        <v>-2009646660.8279419</v>
      </c>
      <c r="S13">
        <f t="shared" ref="S13" si="43">R13/100000</f>
        <v>-20096.466608279417</v>
      </c>
      <c r="T13">
        <f t="shared" ref="T13" si="44">S13/1000</f>
        <v>-20.096466608279417</v>
      </c>
    </row>
    <row r="14" spans="1:20" x14ac:dyDescent="0.25">
      <c r="A14" s="5">
        <v>44579</v>
      </c>
      <c r="B14">
        <v>0.28289999999999998</v>
      </c>
      <c r="C14">
        <v>0.28549999999999998</v>
      </c>
      <c r="D14">
        <v>0.2732</v>
      </c>
      <c r="E14">
        <v>0.28360000000000002</v>
      </c>
      <c r="F14">
        <v>3116612</v>
      </c>
      <c r="G14">
        <v>0.28360000000000002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0.69105691056911212</v>
      </c>
      <c r="Q14">
        <f t="shared" ref="Q14" si="46">F14*P14</f>
        <v>2153756.2601626217</v>
      </c>
      <c r="R14">
        <f t="shared" ref="R14" si="47">R15+Q14</f>
        <v>-2006433480.6826906</v>
      </c>
      <c r="S14">
        <f t="shared" ref="S14" si="48">R14/100000</f>
        <v>-20064.334806826908</v>
      </c>
      <c r="T14">
        <f t="shared" ref="T14" si="49">S14/1000</f>
        <v>-20.064334806826906</v>
      </c>
    </row>
    <row r="15" spans="1:20" x14ac:dyDescent="0.25">
      <c r="A15" s="5">
        <v>44578</v>
      </c>
      <c r="B15">
        <v>0.29730000000000001</v>
      </c>
      <c r="C15">
        <v>0.2984</v>
      </c>
      <c r="D15">
        <v>0.27650000000000002</v>
      </c>
      <c r="E15">
        <v>0.28260000000000002</v>
      </c>
      <c r="F15">
        <v>5017015</v>
      </c>
      <c r="G15">
        <v>0.28260000000000002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-0.44292237442922361</v>
      </c>
      <c r="Q15">
        <f t="shared" ref="Q15" si="51">F15*P15</f>
        <v>-2222148.1963470313</v>
      </c>
      <c r="R15">
        <f t="shared" ref="R15" si="52">R16+Q15</f>
        <v>-2008587236.9428532</v>
      </c>
      <c r="S15">
        <f t="shared" ref="S15" si="53">R15/100000</f>
        <v>-20085.872369428533</v>
      </c>
      <c r="T15">
        <f t="shared" ref="T15" si="54">S15/1000</f>
        <v>-20.085872369428532</v>
      </c>
    </row>
    <row r="16" spans="1:20" x14ac:dyDescent="0.25">
      <c r="A16" s="5">
        <v>44577</v>
      </c>
      <c r="B16">
        <v>0.29970000000000002</v>
      </c>
      <c r="C16">
        <v>0.3095</v>
      </c>
      <c r="D16">
        <v>0.29499999999999998</v>
      </c>
      <c r="E16">
        <v>0.29730000000000001</v>
      </c>
      <c r="F16">
        <v>5508483</v>
      </c>
      <c r="G16">
        <v>0.29730000000000001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-0.6827586206896521</v>
      </c>
      <c r="Q16">
        <f t="shared" ref="Q16" si="56">F16*P16</f>
        <v>-3760964.255172397</v>
      </c>
      <c r="R16">
        <f t="shared" ref="R16" si="57">R17+Q16</f>
        <v>-2006365088.7465062</v>
      </c>
      <c r="S16">
        <f t="shared" ref="S16" si="58">R16/100000</f>
        <v>-20063.650887465061</v>
      </c>
      <c r="T16">
        <f t="shared" ref="T16" si="59">S16/1000</f>
        <v>-20.063650887465062</v>
      </c>
    </row>
    <row r="17" spans="1:20" x14ac:dyDescent="0.25">
      <c r="A17" s="5">
        <v>44576</v>
      </c>
      <c r="B17">
        <v>0.29160000000000003</v>
      </c>
      <c r="C17">
        <v>0.30199999999999999</v>
      </c>
      <c r="D17">
        <v>0.28849999999999998</v>
      </c>
      <c r="E17">
        <v>0.2984</v>
      </c>
      <c r="F17">
        <v>5228712</v>
      </c>
      <c r="G17">
        <v>0.2984</v>
      </c>
      <c r="L17" t="s">
        <v>7</v>
      </c>
      <c r="M17" t="s">
        <v>7</v>
      </c>
      <c r="N17" t="s">
        <v>7</v>
      </c>
      <c r="P17">
        <f t="shared" ref="P17" si="60">IF(C17=D17,0,((E17-D17)-(C17-E17))/(C17-D17))</f>
        <v>0.46666666666666828</v>
      </c>
      <c r="Q17">
        <f t="shared" ref="Q17" si="61">F17*P17</f>
        <v>2440065.6000000085</v>
      </c>
      <c r="R17">
        <f t="shared" ref="R17" si="62">R18+Q17</f>
        <v>-2002604124.4913337</v>
      </c>
      <c r="S17">
        <f t="shared" ref="S17" si="63">R17/100000</f>
        <v>-20026.041244913336</v>
      </c>
      <c r="T17">
        <f t="shared" ref="T17" si="64">S17/1000</f>
        <v>-20.026041244913337</v>
      </c>
    </row>
    <row r="18" spans="1:20" x14ac:dyDescent="0.25">
      <c r="A18" s="5">
        <v>44575</v>
      </c>
      <c r="B18">
        <v>0.29709999999999998</v>
      </c>
      <c r="C18">
        <v>0.29980000000000001</v>
      </c>
      <c r="D18">
        <v>0.28299999999999997</v>
      </c>
      <c r="E18">
        <v>0.29120000000000001</v>
      </c>
      <c r="F18">
        <v>7772981</v>
      </c>
      <c r="G18">
        <v>0.29120000000000001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-2.3809523809521133E-2</v>
      </c>
      <c r="Q18">
        <f t="shared" ref="Q18" si="66">F18*P18</f>
        <v>-185070.97619045537</v>
      </c>
      <c r="R18">
        <f t="shared" ref="R18" si="67">R19+Q18</f>
        <v>-2005044190.0913336</v>
      </c>
      <c r="S18">
        <f t="shared" ref="S18" si="68">R18/100000</f>
        <v>-20050.441900913338</v>
      </c>
      <c r="T18">
        <f t="shared" ref="T18" si="69">S18/1000</f>
        <v>-20.050441900913338</v>
      </c>
    </row>
    <row r="19" spans="1:20" x14ac:dyDescent="0.25">
      <c r="A19" s="5">
        <v>44574</v>
      </c>
      <c r="B19">
        <v>0.31219999999999998</v>
      </c>
      <c r="C19">
        <v>0.3196</v>
      </c>
      <c r="D19">
        <v>0.2954</v>
      </c>
      <c r="E19">
        <v>0.29709999999999998</v>
      </c>
      <c r="F19">
        <v>5980028</v>
      </c>
      <c r="G19">
        <v>0.29709999999999998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-0.85950413223140665</v>
      </c>
      <c r="Q19">
        <f t="shared" ref="Q19" si="71">F19*P19</f>
        <v>-5139858.7768595144</v>
      </c>
      <c r="R19">
        <f t="shared" ref="R19" si="72">R20+Q19</f>
        <v>-2004859119.1151431</v>
      </c>
      <c r="S19">
        <f t="shared" ref="S19" si="73">R19/100000</f>
        <v>-20048.59119115143</v>
      </c>
      <c r="T19">
        <f t="shared" ref="T19" si="74">S19/1000</f>
        <v>-20.048591191151431</v>
      </c>
    </row>
    <row r="20" spans="1:20" x14ac:dyDescent="0.25">
      <c r="A20" s="5">
        <v>44573</v>
      </c>
      <c r="B20">
        <v>0.29830000000000001</v>
      </c>
      <c r="C20">
        <v>0.3135</v>
      </c>
      <c r="D20">
        <v>0.29670000000000002</v>
      </c>
      <c r="E20">
        <v>0.31219999999999998</v>
      </c>
      <c r="F20">
        <v>6851102</v>
      </c>
      <c r="G20">
        <v>0.31219999999999998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0.84523809523809224</v>
      </c>
      <c r="Q20">
        <f t="shared" ref="Q20" si="76">F20*P20</f>
        <v>5790812.4047618844</v>
      </c>
      <c r="R20">
        <f t="shared" ref="R20" si="77">R21+Q20</f>
        <v>-1999719260.3382835</v>
      </c>
      <c r="S20">
        <f t="shared" ref="S20" si="78">R20/100000</f>
        <v>-19997.192603382835</v>
      </c>
      <c r="T20">
        <f t="shared" ref="T20" si="79">S20/1000</f>
        <v>-19.997192603382835</v>
      </c>
    </row>
    <row r="21" spans="1:20" x14ac:dyDescent="0.25">
      <c r="A21" s="5">
        <v>44572</v>
      </c>
      <c r="B21">
        <v>0.28149999999999997</v>
      </c>
      <c r="C21">
        <v>0.30099999999999999</v>
      </c>
      <c r="D21">
        <v>0.27989999999999998</v>
      </c>
      <c r="E21">
        <v>0.2979</v>
      </c>
      <c r="F21">
        <v>5819522</v>
      </c>
      <c r="G21">
        <v>0.2979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0.70616113744075915</v>
      </c>
      <c r="Q21">
        <f t="shared" ref="Q21" si="81">F21*P21</f>
        <v>4109520.2748815217</v>
      </c>
      <c r="R21">
        <f t="shared" ref="R21" si="82">R22+Q21</f>
        <v>-2005510072.7430453</v>
      </c>
      <c r="S21">
        <f t="shared" ref="S21" si="83">R21/100000</f>
        <v>-20055.100727430454</v>
      </c>
      <c r="T21">
        <f t="shared" ref="T21" si="84">S21/1000</f>
        <v>-20.055100727430453</v>
      </c>
    </row>
    <row r="22" spans="1:20" x14ac:dyDescent="0.25">
      <c r="A22" s="5">
        <v>44571</v>
      </c>
      <c r="B22">
        <v>0.30259999999999998</v>
      </c>
      <c r="C22">
        <v>0.30880000000000002</v>
      </c>
      <c r="D22">
        <v>0.27339999999999998</v>
      </c>
      <c r="E22">
        <v>0.28100000000000003</v>
      </c>
      <c r="F22">
        <v>8863882</v>
      </c>
      <c r="G22">
        <v>0.28100000000000003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-0.5706214689265513</v>
      </c>
      <c r="Q22">
        <f t="shared" ref="Q22" si="86">F22*P22</f>
        <v>-5057921.3672316177</v>
      </c>
      <c r="R22">
        <f t="shared" ref="R22" si="87">R23+Q22</f>
        <v>-2009619593.0179269</v>
      </c>
      <c r="S22">
        <f t="shared" ref="S22" si="88">R22/100000</f>
        <v>-20096.19593017927</v>
      </c>
      <c r="T22">
        <f t="shared" ref="T22" si="89">S22/1000</f>
        <v>-20.09619593017927</v>
      </c>
    </row>
    <row r="23" spans="1:20" x14ac:dyDescent="0.25">
      <c r="A23" s="5">
        <v>44570</v>
      </c>
      <c r="B23">
        <v>0.29349999999999998</v>
      </c>
      <c r="C23">
        <v>0.31030000000000002</v>
      </c>
      <c r="D23">
        <v>0.2903</v>
      </c>
      <c r="E23">
        <v>0.30320000000000003</v>
      </c>
      <c r="F23">
        <v>4881859</v>
      </c>
      <c r="G23">
        <v>0.30320000000000003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0.29000000000000109</v>
      </c>
      <c r="Q23">
        <f t="shared" ref="Q23" si="91">F23*P23</f>
        <v>1415739.1100000052</v>
      </c>
      <c r="R23">
        <f t="shared" ref="R23" si="92">R24+Q23</f>
        <v>-2004561671.6506953</v>
      </c>
      <c r="S23">
        <f t="shared" ref="S23" si="93">R23/100000</f>
        <v>-20045.616716506953</v>
      </c>
      <c r="T23">
        <f t="shared" ref="T23" si="94">S23/1000</f>
        <v>-20.045616716506952</v>
      </c>
    </row>
    <row r="24" spans="1:20" x14ac:dyDescent="0.25">
      <c r="A24" s="5">
        <v>44569</v>
      </c>
      <c r="B24">
        <v>0.30809999999999998</v>
      </c>
      <c r="C24">
        <v>0.3201</v>
      </c>
      <c r="D24">
        <v>0.28179999999999999</v>
      </c>
      <c r="E24">
        <v>0.29299999999999998</v>
      </c>
      <c r="F24">
        <v>6849385</v>
      </c>
      <c r="G24">
        <v>0.29299999999999998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-0.4151436031331599</v>
      </c>
      <c r="Q24">
        <f t="shared" ref="Q24" si="96">F24*P24</f>
        <v>-2843478.3681462184</v>
      </c>
      <c r="R24">
        <f t="shared" ref="R24" si="97">R25+Q24</f>
        <v>-2005977410.7606952</v>
      </c>
      <c r="S24">
        <f t="shared" ref="S24" si="98">R24/100000</f>
        <v>-20059.774107606951</v>
      </c>
      <c r="T24">
        <f t="shared" ref="T24" si="99">S24/1000</f>
        <v>-20.059774107606952</v>
      </c>
    </row>
    <row r="25" spans="1:20" x14ac:dyDescent="0.25">
      <c r="A25" s="5">
        <v>44568</v>
      </c>
      <c r="B25">
        <v>0.33329999999999999</v>
      </c>
      <c r="C25">
        <v>0.33379999999999999</v>
      </c>
      <c r="D25">
        <v>0.29909999999999998</v>
      </c>
      <c r="E25">
        <v>0.30790000000000001</v>
      </c>
      <c r="F25">
        <v>8225111</v>
      </c>
      <c r="G25">
        <v>0.30790000000000001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-0.49279538904898973</v>
      </c>
      <c r="Q25">
        <f t="shared" ref="Q25" si="101">F25*P25</f>
        <v>-4053296.775216125</v>
      </c>
      <c r="R25">
        <f t="shared" ref="R25" si="102">R26+Q25</f>
        <v>-2003133932.392549</v>
      </c>
      <c r="S25">
        <f t="shared" ref="S25" si="103">R25/100000</f>
        <v>-20031.339323925491</v>
      </c>
      <c r="T25">
        <f t="shared" ref="T25" si="104">S25/1000</f>
        <v>-20.03133932392549</v>
      </c>
    </row>
    <row r="26" spans="1:20" x14ac:dyDescent="0.25">
      <c r="A26" s="5">
        <v>44567</v>
      </c>
      <c r="B26">
        <v>0.33939999999999998</v>
      </c>
      <c r="C26">
        <v>0.34489999999999998</v>
      </c>
      <c r="D26">
        <v>0.32</v>
      </c>
      <c r="E26">
        <v>0.33239999999999997</v>
      </c>
      <c r="F26">
        <v>6974380</v>
      </c>
      <c r="G26">
        <v>0.33239999999999997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-4.0160642570299032E-3</v>
      </c>
      <c r="Q26">
        <f t="shared" ref="Q26" si="106">F26*P26</f>
        <v>-28009.558232944215</v>
      </c>
      <c r="R26">
        <f t="shared" ref="R26" si="107">R27+Q26</f>
        <v>-1999080635.6173329</v>
      </c>
      <c r="S26">
        <f t="shared" ref="S26" si="108">R26/100000</f>
        <v>-19990.806356173329</v>
      </c>
      <c r="T26">
        <f t="shared" ref="T26" si="109">S26/1000</f>
        <v>-19.99080635617333</v>
      </c>
    </row>
    <row r="27" spans="1:20" x14ac:dyDescent="0.25">
      <c r="A27" s="5">
        <v>44566</v>
      </c>
      <c r="B27">
        <v>0.37690000000000001</v>
      </c>
      <c r="C27">
        <v>0.39450000000000002</v>
      </c>
      <c r="D27">
        <v>0.32200000000000001</v>
      </c>
      <c r="E27">
        <v>0.3392</v>
      </c>
      <c r="F27">
        <v>12362058</v>
      </c>
      <c r="G27">
        <v>0.3392</v>
      </c>
      <c r="L27" t="s">
        <v>8</v>
      </c>
      <c r="M27" t="s">
        <v>7</v>
      </c>
      <c r="N27" t="s">
        <v>8</v>
      </c>
      <c r="P27">
        <f t="shared" ref="P27" si="110">IF(C27=D27,0,((E27-D27)-(C27-E27))/(C27-D27))</f>
        <v>-0.52551724137931055</v>
      </c>
      <c r="Q27">
        <f t="shared" ref="Q27" si="111">F27*P27</f>
        <v>-6496474.6179310372</v>
      </c>
      <c r="R27">
        <f t="shared" ref="R27" si="112">R28+Q27</f>
        <v>-1999052626.0590999</v>
      </c>
      <c r="S27">
        <f t="shared" ref="S27" si="113">R27/100000</f>
        <v>-19990.526260590999</v>
      </c>
      <c r="T27">
        <f t="shared" ref="T27" si="114">S27/1000</f>
        <v>-19.990526260591</v>
      </c>
    </row>
    <row r="28" spans="1:20" x14ac:dyDescent="0.25">
      <c r="A28" s="5">
        <v>44565</v>
      </c>
      <c r="B28">
        <v>0.36909999999999998</v>
      </c>
      <c r="C28">
        <v>0.38790000000000002</v>
      </c>
      <c r="D28">
        <v>0.35949999999999999</v>
      </c>
      <c r="E28">
        <v>0.37709999999999999</v>
      </c>
      <c r="F28">
        <v>7144583</v>
      </c>
      <c r="G28">
        <v>0.37709999999999999</v>
      </c>
      <c r="L28" t="s">
        <v>8</v>
      </c>
      <c r="M28" t="s">
        <v>7</v>
      </c>
      <c r="N28" t="s">
        <v>8</v>
      </c>
      <c r="P28">
        <f t="shared" ref="P28" si="115">IF(C28=D28,0,((E28-D28)-(C28-E28))/(C28-D28))</f>
        <v>0.2394366197183086</v>
      </c>
      <c r="Q28">
        <f t="shared" ref="Q28" si="116">F28*P28</f>
        <v>1710674.8028168923</v>
      </c>
      <c r="R28">
        <f t="shared" ref="R28" si="117">R29+Q28</f>
        <v>-1992556151.4411688</v>
      </c>
      <c r="S28">
        <f t="shared" ref="S28" si="118">R28/100000</f>
        <v>-19925.561514411689</v>
      </c>
      <c r="T28">
        <f t="shared" ref="T28" si="119">S28/1000</f>
        <v>-19.92556151441169</v>
      </c>
    </row>
    <row r="29" spans="1:20" x14ac:dyDescent="0.25">
      <c r="A29" s="5">
        <v>44564</v>
      </c>
      <c r="B29">
        <v>0.38219999999999998</v>
      </c>
      <c r="C29">
        <v>0.38640000000000002</v>
      </c>
      <c r="D29">
        <v>0.36149999999999999</v>
      </c>
      <c r="E29">
        <v>0.36849999999999999</v>
      </c>
      <c r="F29">
        <v>4688551</v>
      </c>
      <c r="G29">
        <v>0.36849999999999999</v>
      </c>
      <c r="L29" t="s">
        <v>8</v>
      </c>
      <c r="M29" t="s">
        <v>7</v>
      </c>
      <c r="N29" t="s">
        <v>8</v>
      </c>
      <c r="P29">
        <f t="shared" ref="P29" si="120">IF(C29=D29,0,((E29-D29)-(C29-E29))/(C29-D29))</f>
        <v>-0.43775100401606448</v>
      </c>
      <c r="Q29">
        <f t="shared" ref="Q29" si="121">F29*P29</f>
        <v>-2052417.9076305232</v>
      </c>
      <c r="R29">
        <f t="shared" ref="R29" si="122">R30+Q29</f>
        <v>-1994266826.2439857</v>
      </c>
      <c r="S29">
        <f t="shared" ref="S29" si="123">R29/100000</f>
        <v>-19942.668262439856</v>
      </c>
      <c r="T29">
        <f t="shared" ref="T29" si="124">S29/1000</f>
        <v>-19.942668262439856</v>
      </c>
    </row>
    <row r="30" spans="1:20" x14ac:dyDescent="0.25">
      <c r="A30" s="5">
        <v>44563</v>
      </c>
      <c r="B30">
        <v>0.37919999999999998</v>
      </c>
      <c r="C30">
        <v>0.38650000000000001</v>
      </c>
      <c r="D30">
        <v>0.37219999999999998</v>
      </c>
      <c r="E30">
        <v>0.38190000000000002</v>
      </c>
      <c r="F30">
        <v>4541828</v>
      </c>
      <c r="G30">
        <v>0.38190000000000002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0.35664335664335922</v>
      </c>
      <c r="Q30">
        <f t="shared" ref="Q30" si="126">F30*P30</f>
        <v>1619812.783216795</v>
      </c>
      <c r="R30">
        <f t="shared" ref="R30" si="127">R31+Q30</f>
        <v>-1992214408.3363552</v>
      </c>
      <c r="S30">
        <f t="shared" ref="S30" si="128">R30/100000</f>
        <v>-19922.144083363553</v>
      </c>
      <c r="T30">
        <f t="shared" ref="T30" si="129">S30/1000</f>
        <v>-19.922144083363552</v>
      </c>
    </row>
    <row r="31" spans="1:20" x14ac:dyDescent="0.25">
      <c r="A31" s="5">
        <v>44562</v>
      </c>
      <c r="B31">
        <v>0.35970000000000002</v>
      </c>
      <c r="C31">
        <v>0.37990000000000002</v>
      </c>
      <c r="D31">
        <v>0.35880000000000001</v>
      </c>
      <c r="E31">
        <v>0.3795</v>
      </c>
      <c r="F31">
        <v>1796367</v>
      </c>
      <c r="G31">
        <v>0.3795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0.96208530805687098</v>
      </c>
      <c r="Q31">
        <f t="shared" ref="Q31" si="131">F31*P31</f>
        <v>1728258.2985781971</v>
      </c>
      <c r="R31">
        <f t="shared" ref="R31" si="132">R32+Q31</f>
        <v>-1993834221.1195719</v>
      </c>
      <c r="S31">
        <f t="shared" ref="S31" si="133">R31/100000</f>
        <v>-19938.342211195719</v>
      </c>
      <c r="T31">
        <f t="shared" ref="T31" si="134">S31/1000</f>
        <v>-19.938342211195717</v>
      </c>
    </row>
    <row r="32" spans="1:20" x14ac:dyDescent="0.25">
      <c r="A32" s="5">
        <v>44561</v>
      </c>
      <c r="B32">
        <v>0.37330000000000002</v>
      </c>
      <c r="C32">
        <v>0.38340000000000002</v>
      </c>
      <c r="D32">
        <v>0.3548</v>
      </c>
      <c r="E32">
        <v>0.36030000000000001</v>
      </c>
      <c r="F32">
        <v>4753760</v>
      </c>
      <c r="G32">
        <v>0.36030000000000001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-0.6153846153846152</v>
      </c>
      <c r="Q32">
        <f t="shared" ref="Q32" si="136">F32*P32</f>
        <v>-2925390.7692307686</v>
      </c>
      <c r="R32">
        <f t="shared" ref="R32" si="137">R33+Q32</f>
        <v>-1995562479.4181502</v>
      </c>
      <c r="S32">
        <f t="shared" ref="S32" si="138">R32/100000</f>
        <v>-19955.624794181502</v>
      </c>
      <c r="T32">
        <f t="shared" ref="T32" si="139">S32/1000</f>
        <v>-19.955624794181503</v>
      </c>
    </row>
    <row r="33" spans="1:20" x14ac:dyDescent="0.25">
      <c r="A33" s="5">
        <v>44560</v>
      </c>
      <c r="B33">
        <v>0.35909999999999997</v>
      </c>
      <c r="C33">
        <v>0.375</v>
      </c>
      <c r="D33">
        <v>0.34910000000000002</v>
      </c>
      <c r="E33">
        <v>0.37380000000000002</v>
      </c>
      <c r="F33">
        <v>5412883</v>
      </c>
      <c r="G33">
        <v>0.37380000000000002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0.90733590733590885</v>
      </c>
      <c r="Q33">
        <f t="shared" ref="Q33" si="141">F33*P33</f>
        <v>4911303.1081081163</v>
      </c>
      <c r="R33">
        <f t="shared" ref="R33" si="142">R34+Q33</f>
        <v>-1992637088.6489193</v>
      </c>
      <c r="S33">
        <f t="shared" ref="S33" si="143">R33/100000</f>
        <v>-19926.370886489192</v>
      </c>
      <c r="T33">
        <f t="shared" ref="T33" si="144">S33/1000</f>
        <v>-19.926370886489192</v>
      </c>
    </row>
    <row r="34" spans="1:20" x14ac:dyDescent="0.25">
      <c r="A34" s="5">
        <v>44559</v>
      </c>
      <c r="B34">
        <v>0.37259999999999999</v>
      </c>
      <c r="C34">
        <v>0.38529999999999998</v>
      </c>
      <c r="D34">
        <v>0.35510000000000003</v>
      </c>
      <c r="E34">
        <v>0.35849999999999999</v>
      </c>
      <c r="F34">
        <v>5381836</v>
      </c>
      <c r="G34">
        <v>0.35849999999999999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-0.77483443708609512</v>
      </c>
      <c r="Q34">
        <f t="shared" ref="Q34" si="146">F34*P34</f>
        <v>-4170031.867549682</v>
      </c>
      <c r="R34">
        <f t="shared" ref="R34" si="147">R35+Q34</f>
        <v>-1997548391.7570274</v>
      </c>
      <c r="S34">
        <f t="shared" ref="S34" si="148">R34/100000</f>
        <v>-19975.483917570273</v>
      </c>
      <c r="T34">
        <f t="shared" ref="T34" si="149">S34/1000</f>
        <v>-19.975483917570273</v>
      </c>
    </row>
    <row r="35" spans="1:20" x14ac:dyDescent="0.25">
      <c r="A35" s="5">
        <v>44558</v>
      </c>
      <c r="B35">
        <v>0.40820000000000001</v>
      </c>
      <c r="C35">
        <v>0.40839999999999999</v>
      </c>
      <c r="D35">
        <v>0.36909999999999998</v>
      </c>
      <c r="E35">
        <v>0.37290000000000001</v>
      </c>
      <c r="F35">
        <v>14033069</v>
      </c>
      <c r="G35">
        <v>0.37290000000000001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-0.80661577608142365</v>
      </c>
      <c r="Q35">
        <f t="shared" ref="Q35" si="151">F35*P35</f>
        <v>-11319294.842239168</v>
      </c>
      <c r="R35">
        <f t="shared" ref="R35" si="152">R36+Q35</f>
        <v>-1993378359.8894777</v>
      </c>
      <c r="S35">
        <f t="shared" ref="S35" si="153">R35/100000</f>
        <v>-19933.783598894777</v>
      </c>
      <c r="T35">
        <f t="shared" ref="T35" si="154">S35/1000</f>
        <v>-19.933783598894777</v>
      </c>
    </row>
    <row r="36" spans="1:20" x14ac:dyDescent="0.25">
      <c r="A36" s="5">
        <v>44557</v>
      </c>
      <c r="B36">
        <v>0.40450000000000003</v>
      </c>
      <c r="C36">
        <v>0.4476</v>
      </c>
      <c r="D36">
        <v>0.39910000000000001</v>
      </c>
      <c r="E36">
        <v>0.40820000000000001</v>
      </c>
      <c r="F36">
        <v>31257652</v>
      </c>
      <c r="G36">
        <v>0.40820000000000001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-0.62474226804123711</v>
      </c>
      <c r="Q36">
        <f t="shared" ref="Q36" si="156">F36*P36</f>
        <v>-19527976.404123712</v>
      </c>
      <c r="R36">
        <f t="shared" ref="R36" si="157">R37+Q36</f>
        <v>-1982059065.0472386</v>
      </c>
      <c r="S36">
        <f t="shared" ref="S36" si="158">R36/100000</f>
        <v>-19820.590650472386</v>
      </c>
      <c r="T36">
        <f t="shared" ref="T36" si="159">S36/1000</f>
        <v>-19.820590650472386</v>
      </c>
    </row>
    <row r="37" spans="1:20" x14ac:dyDescent="0.25">
      <c r="A37" s="5">
        <v>44556</v>
      </c>
      <c r="B37">
        <v>0.39369999999999999</v>
      </c>
      <c r="C37">
        <v>0.40500000000000003</v>
      </c>
      <c r="D37">
        <v>0.37640000000000001</v>
      </c>
      <c r="E37">
        <v>0.40400000000000003</v>
      </c>
      <c r="F37">
        <v>7974411</v>
      </c>
      <c r="G37">
        <v>0.40400000000000003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0.93006993006993</v>
      </c>
      <c r="Q37">
        <f t="shared" ref="Q37" si="161">F37*P37</f>
        <v>7416759.8811188806</v>
      </c>
      <c r="R37">
        <f t="shared" ref="R37" si="162">R38+Q37</f>
        <v>-1962531088.6431148</v>
      </c>
      <c r="S37">
        <f t="shared" ref="S37" si="163">R37/100000</f>
        <v>-19625.310886431147</v>
      </c>
      <c r="T37">
        <f t="shared" ref="T37" si="164">S37/1000</f>
        <v>-19.625310886431148</v>
      </c>
    </row>
    <row r="38" spans="1:20" x14ac:dyDescent="0.25">
      <c r="A38" s="5">
        <v>44555</v>
      </c>
      <c r="B38">
        <v>0.3785</v>
      </c>
      <c r="C38">
        <v>0.40260000000000001</v>
      </c>
      <c r="D38">
        <v>0.3755</v>
      </c>
      <c r="E38">
        <v>0.39389999999999997</v>
      </c>
      <c r="F38">
        <v>7127556</v>
      </c>
      <c r="G38">
        <v>0.39389999999999997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0.35793357933579062</v>
      </c>
      <c r="Q38">
        <f t="shared" ref="Q38" si="166">F38*P38</f>
        <v>2551191.6309962906</v>
      </c>
      <c r="R38">
        <f t="shared" ref="R38" si="167">R39+Q38</f>
        <v>-1969947848.5242336</v>
      </c>
      <c r="S38">
        <f t="shared" ref="S38" si="168">R38/100000</f>
        <v>-19699.478485242336</v>
      </c>
      <c r="T38">
        <f t="shared" ref="T38" si="169">S38/1000</f>
        <v>-19.699478485242338</v>
      </c>
    </row>
    <row r="39" spans="1:20" x14ac:dyDescent="0.25">
      <c r="A39" s="5">
        <v>44554</v>
      </c>
      <c r="B39">
        <v>0.38800000000000001</v>
      </c>
      <c r="C39">
        <v>0.39989999999999998</v>
      </c>
      <c r="D39">
        <v>0.37219999999999998</v>
      </c>
      <c r="E39">
        <v>0.37830000000000003</v>
      </c>
      <c r="F39">
        <v>10295716</v>
      </c>
      <c r="G39">
        <v>0.37830000000000003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-0.55956678700360651</v>
      </c>
      <c r="Q39">
        <f t="shared" ref="Q39" si="171">F39*P39</f>
        <v>-5761140.7220216235</v>
      </c>
      <c r="R39">
        <f t="shared" ref="R39" si="172">R40+Q39</f>
        <v>-1972499040.1552298</v>
      </c>
      <c r="S39">
        <f t="shared" ref="S39" si="173">R39/100000</f>
        <v>-19724.990401552299</v>
      </c>
      <c r="T39">
        <f t="shared" ref="T39" si="174">S39/1000</f>
        <v>-19.724990401552297</v>
      </c>
    </row>
    <row r="40" spans="1:20" x14ac:dyDescent="0.25">
      <c r="A40" s="5">
        <v>44553</v>
      </c>
      <c r="B40">
        <v>0.3609</v>
      </c>
      <c r="C40">
        <v>0.39860000000000001</v>
      </c>
      <c r="D40">
        <v>0.34870000000000001</v>
      </c>
      <c r="E40">
        <v>0.38819999999999999</v>
      </c>
      <c r="F40">
        <v>14460425</v>
      </c>
      <c r="G40">
        <v>0.38819999999999999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0.5831663326653298</v>
      </c>
      <c r="Q40">
        <f t="shared" ref="Q40" si="176">F40*P40</f>
        <v>8432833.0160320513</v>
      </c>
      <c r="R40">
        <f t="shared" ref="R40" si="177">R41+Q40</f>
        <v>-1966737899.4332082</v>
      </c>
      <c r="S40">
        <f t="shared" ref="S40" si="178">R40/100000</f>
        <v>-19667.378994332081</v>
      </c>
      <c r="T40">
        <f t="shared" ref="T40" si="179">S40/1000</f>
        <v>-19.667378994332079</v>
      </c>
    </row>
    <row r="41" spans="1:20" x14ac:dyDescent="0.25">
      <c r="A41" s="5">
        <v>44552</v>
      </c>
      <c r="B41">
        <v>0.34739999999999999</v>
      </c>
      <c r="C41">
        <v>0.38200000000000001</v>
      </c>
      <c r="D41">
        <v>0.34639999999999999</v>
      </c>
      <c r="E41">
        <v>0.3609</v>
      </c>
      <c r="F41">
        <v>12954804</v>
      </c>
      <c r="G41">
        <v>0.3609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-0.18539325842696605</v>
      </c>
      <c r="Q41">
        <f t="shared" ref="Q41" si="181">F41*P41</f>
        <v>-2401733.3258426934</v>
      </c>
      <c r="R41">
        <f t="shared" ref="R41" si="182">R42+Q41</f>
        <v>-1975170732.4492402</v>
      </c>
      <c r="S41">
        <f t="shared" ref="S41" si="183">R41/100000</f>
        <v>-19751.707324492403</v>
      </c>
      <c r="T41">
        <f t="shared" ref="T41" si="184">S41/1000</f>
        <v>-19.751707324492404</v>
      </c>
    </row>
    <row r="42" spans="1:20" x14ac:dyDescent="0.25">
      <c r="A42" s="5">
        <v>44551</v>
      </c>
      <c r="B42">
        <v>0.32729999999999998</v>
      </c>
      <c r="C42">
        <v>0.35420000000000001</v>
      </c>
      <c r="D42">
        <v>0.3231</v>
      </c>
      <c r="E42">
        <v>0.34749999999999998</v>
      </c>
      <c r="F42">
        <v>6516220</v>
      </c>
      <c r="G42">
        <v>0.34749999999999998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0.56913183279742541</v>
      </c>
      <c r="Q42">
        <f t="shared" ref="Q42" si="186">F42*P42</f>
        <v>3708588.2315112394</v>
      </c>
      <c r="R42">
        <f t="shared" ref="R42" si="187">R43+Q42</f>
        <v>-1972768999.1233976</v>
      </c>
      <c r="S42">
        <f t="shared" ref="S42" si="188">R42/100000</f>
        <v>-19727.689991233976</v>
      </c>
      <c r="T42">
        <f t="shared" ref="T42" si="189">S42/1000</f>
        <v>-19.727689991233976</v>
      </c>
    </row>
    <row r="43" spans="1:20" x14ac:dyDescent="0.25">
      <c r="A43" s="5">
        <v>44550</v>
      </c>
      <c r="B43">
        <v>0.33800000000000002</v>
      </c>
      <c r="C43">
        <v>0.34129999999999999</v>
      </c>
      <c r="D43">
        <v>0.31219999999999998</v>
      </c>
      <c r="E43">
        <v>0.3266</v>
      </c>
      <c r="F43">
        <v>8023931</v>
      </c>
      <c r="G43">
        <v>0.3266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-1.0309278350514324E-2</v>
      </c>
      <c r="Q43">
        <f t="shared" ref="Q43" si="191">F43*P43</f>
        <v>-82720.938144320753</v>
      </c>
      <c r="R43">
        <f t="shared" ref="R43" si="192">R44+Q43</f>
        <v>-1976477587.3549089</v>
      </c>
      <c r="S43">
        <f t="shared" ref="S43" si="193">R43/100000</f>
        <v>-19764.77587354909</v>
      </c>
      <c r="T43">
        <f t="shared" ref="T43" si="194">S43/1000</f>
        <v>-19.764775873549091</v>
      </c>
    </row>
    <row r="44" spans="1:20" x14ac:dyDescent="0.25">
      <c r="A44" s="5">
        <v>44549</v>
      </c>
      <c r="B44">
        <v>0.35049999999999998</v>
      </c>
      <c r="C44">
        <v>0.36199999999999999</v>
      </c>
      <c r="D44">
        <v>0.33750000000000002</v>
      </c>
      <c r="E44">
        <v>0.33839999999999998</v>
      </c>
      <c r="F44">
        <v>5184324</v>
      </c>
      <c r="G44">
        <v>0.33839999999999998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-0.92653061224490141</v>
      </c>
      <c r="Q44">
        <f t="shared" ref="Q44" si="196">F44*P44</f>
        <v>-4803434.8897959366</v>
      </c>
      <c r="R44">
        <f t="shared" ref="R44" si="197">R45+Q44</f>
        <v>-1976394866.4167647</v>
      </c>
      <c r="S44">
        <f t="shared" ref="S44" si="198">R44/100000</f>
        <v>-19763.948664167649</v>
      </c>
      <c r="T44">
        <f t="shared" ref="T44" si="199">S44/1000</f>
        <v>-19.76394866416765</v>
      </c>
    </row>
    <row r="45" spans="1:20" x14ac:dyDescent="0.25">
      <c r="A45" s="5">
        <v>44548</v>
      </c>
      <c r="B45">
        <v>0.34649999999999997</v>
      </c>
      <c r="C45">
        <v>0.3659</v>
      </c>
      <c r="D45">
        <v>0.3387</v>
      </c>
      <c r="E45">
        <v>0.35110000000000002</v>
      </c>
      <c r="F45">
        <v>5599861</v>
      </c>
      <c r="G45">
        <v>0.35110000000000002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-8.8235294117645496E-2</v>
      </c>
      <c r="Q45">
        <f t="shared" ref="Q45" si="201">F45*P45</f>
        <v>-494105.38235293241</v>
      </c>
      <c r="R45">
        <f t="shared" ref="R45" si="202">R46+Q45</f>
        <v>-1971591431.5269687</v>
      </c>
      <c r="S45">
        <f t="shared" ref="S45" si="203">R45/100000</f>
        <v>-19715.914315269689</v>
      </c>
      <c r="T45">
        <f t="shared" ref="T45" si="204">S45/1000</f>
        <v>-19.715914315269689</v>
      </c>
    </row>
    <row r="46" spans="1:20" x14ac:dyDescent="0.25">
      <c r="A46" s="5">
        <v>44547</v>
      </c>
      <c r="B46">
        <v>0.34670000000000001</v>
      </c>
      <c r="C46">
        <v>0.36080000000000001</v>
      </c>
      <c r="D46">
        <v>0.33129999999999998</v>
      </c>
      <c r="E46">
        <v>0.3468</v>
      </c>
      <c r="F46">
        <v>8274982</v>
      </c>
      <c r="G46">
        <v>0.3468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5.0847457627118647E-2</v>
      </c>
      <c r="Q46">
        <f t="shared" ref="Q46" si="206">F46*P46</f>
        <v>420761.79661016952</v>
      </c>
      <c r="R46">
        <f t="shared" ref="R46" si="207">R47+Q46</f>
        <v>-1971097326.1446159</v>
      </c>
      <c r="S46">
        <f t="shared" ref="S46" si="208">R46/100000</f>
        <v>-19710.973261446157</v>
      </c>
      <c r="T46">
        <f t="shared" ref="T46" si="209">S46/1000</f>
        <v>-19.710973261446156</v>
      </c>
    </row>
    <row r="47" spans="1:20" x14ac:dyDescent="0.25">
      <c r="A47" s="5">
        <v>44546</v>
      </c>
      <c r="B47">
        <v>0.3523</v>
      </c>
      <c r="C47">
        <v>0.36859999999999998</v>
      </c>
      <c r="D47">
        <v>0.34439999999999998</v>
      </c>
      <c r="E47">
        <v>0.34639999999999999</v>
      </c>
      <c r="F47">
        <v>11545643</v>
      </c>
      <c r="G47">
        <v>0.34639999999999999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-0.83471074380165278</v>
      </c>
      <c r="Q47">
        <f t="shared" ref="Q47" si="211">F47*P47</f>
        <v>-9637272.2561983466</v>
      </c>
      <c r="R47">
        <f t="shared" ref="R47" si="212">R48+Q47</f>
        <v>-1971518087.941226</v>
      </c>
      <c r="S47">
        <f t="shared" ref="S47" si="213">R47/100000</f>
        <v>-19715.180879412259</v>
      </c>
      <c r="T47">
        <f t="shared" ref="T47" si="214">S47/1000</f>
        <v>-19.715180879412259</v>
      </c>
    </row>
    <row r="48" spans="1:20" x14ac:dyDescent="0.25">
      <c r="A48" s="5">
        <v>44545</v>
      </c>
      <c r="B48">
        <v>0.3463</v>
      </c>
      <c r="C48">
        <v>0.35799999999999998</v>
      </c>
      <c r="D48">
        <v>0.3216</v>
      </c>
      <c r="E48">
        <v>0.3518</v>
      </c>
      <c r="F48">
        <v>8420969</v>
      </c>
      <c r="G48">
        <v>0.3518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0.65934065934066011</v>
      </c>
      <c r="Q48">
        <f t="shared" ref="Q48" si="216">F48*P48</f>
        <v>5552287.2527472591</v>
      </c>
      <c r="R48">
        <f t="shared" ref="R48" si="217">R49+Q48</f>
        <v>-1961880815.6850276</v>
      </c>
      <c r="S48">
        <f t="shared" ref="S48" si="218">R48/100000</f>
        <v>-19618.808156850275</v>
      </c>
      <c r="T48">
        <f t="shared" ref="T48" si="219">S48/1000</f>
        <v>-19.618808156850275</v>
      </c>
    </row>
    <row r="49" spans="1:20" x14ac:dyDescent="0.25">
      <c r="A49" s="5">
        <v>44544</v>
      </c>
      <c r="B49">
        <v>0.33160000000000001</v>
      </c>
      <c r="C49">
        <v>0.34849999999999998</v>
      </c>
      <c r="D49">
        <v>0.32440000000000002</v>
      </c>
      <c r="E49">
        <v>0.34670000000000001</v>
      </c>
      <c r="F49">
        <v>8318806</v>
      </c>
      <c r="G49">
        <v>0.34670000000000001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0.85062240663900646</v>
      </c>
      <c r="Q49">
        <f t="shared" ref="Q49" si="221">F49*P49</f>
        <v>7076162.7800830072</v>
      </c>
      <c r="R49">
        <f t="shared" ref="R49" si="222">R50+Q49</f>
        <v>-1967433102.9377749</v>
      </c>
      <c r="S49">
        <f t="shared" ref="S49" si="223">R49/100000</f>
        <v>-19674.33102937775</v>
      </c>
      <c r="T49">
        <f t="shared" ref="T49" si="224">S49/1000</f>
        <v>-19.67433102937775</v>
      </c>
    </row>
    <row r="50" spans="1:20" x14ac:dyDescent="0.25">
      <c r="A50" s="5">
        <v>44543</v>
      </c>
      <c r="B50">
        <v>0.38379999999999997</v>
      </c>
      <c r="C50">
        <v>0.38919999999999999</v>
      </c>
      <c r="D50">
        <v>0.32979999999999998</v>
      </c>
      <c r="E50">
        <v>0.33189999999999997</v>
      </c>
      <c r="F50">
        <v>13033384</v>
      </c>
      <c r="G50">
        <v>0.33189999999999997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-0.92929292929292961</v>
      </c>
      <c r="Q50">
        <f t="shared" ref="Q50" si="226">F50*P50</f>
        <v>-12111831.5959596</v>
      </c>
      <c r="R50">
        <f t="shared" ref="R50" si="227">R51+Q50</f>
        <v>-1974509265.7178578</v>
      </c>
      <c r="S50">
        <f t="shared" ref="S50" si="228">R50/100000</f>
        <v>-19745.092657178579</v>
      </c>
      <c r="T50">
        <f t="shared" ref="T50" si="229">S50/1000</f>
        <v>-19.745092657178578</v>
      </c>
    </row>
    <row r="51" spans="1:20" x14ac:dyDescent="0.25">
      <c r="A51" s="5">
        <v>44542</v>
      </c>
      <c r="B51">
        <v>0.39090000000000003</v>
      </c>
      <c r="C51">
        <v>0.3982</v>
      </c>
      <c r="D51">
        <v>0.37380000000000002</v>
      </c>
      <c r="E51">
        <v>0.38419999999999999</v>
      </c>
      <c r="F51">
        <v>17325584</v>
      </c>
      <c r="G51">
        <v>0.38419999999999999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-0.14754098360655946</v>
      </c>
      <c r="Q51">
        <f t="shared" ref="Q51" si="231">F51*P51</f>
        <v>-2556233.7049180688</v>
      </c>
      <c r="R51">
        <f t="shared" ref="R51" si="232">R52+Q51</f>
        <v>-1962397434.1218982</v>
      </c>
      <c r="S51">
        <f t="shared" ref="S51" si="233">R51/100000</f>
        <v>-19623.974341218982</v>
      </c>
      <c r="T51">
        <f t="shared" ref="T51" si="234">S51/1000</f>
        <v>-19.623974341218982</v>
      </c>
    </row>
    <row r="52" spans="1:20" x14ac:dyDescent="0.25">
      <c r="A52" s="5">
        <v>44541</v>
      </c>
      <c r="B52">
        <v>0.35520000000000002</v>
      </c>
      <c r="C52">
        <v>0.36070000000000002</v>
      </c>
      <c r="D52">
        <v>0.34860000000000002</v>
      </c>
      <c r="E52">
        <v>0.35920000000000002</v>
      </c>
      <c r="F52">
        <v>562163</v>
      </c>
      <c r="G52">
        <v>0.35920000000000002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0.75206611570247917</v>
      </c>
      <c r="Q52">
        <f t="shared" ref="Q52" si="236">F52*P52</f>
        <v>422783.7438016528</v>
      </c>
      <c r="R52">
        <f t="shared" ref="R52" si="237">R53+Q52</f>
        <v>-1959841200.41698</v>
      </c>
      <c r="S52">
        <f t="shared" ref="S52" si="238">R52/100000</f>
        <v>-19598.412004169801</v>
      </c>
      <c r="T52">
        <f t="shared" ref="T52" si="239">S52/1000</f>
        <v>-19.598412004169802</v>
      </c>
    </row>
    <row r="53" spans="1:20" x14ac:dyDescent="0.25">
      <c r="A53" s="5">
        <v>44540</v>
      </c>
      <c r="B53">
        <v>0.37909999999999999</v>
      </c>
      <c r="C53">
        <v>0.40129999999999999</v>
      </c>
      <c r="D53">
        <v>0.35349999999999998</v>
      </c>
      <c r="E53">
        <v>0.35510000000000003</v>
      </c>
      <c r="F53">
        <v>9145695</v>
      </c>
      <c r="G53">
        <v>0.35510000000000003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-0.93305439330543738</v>
      </c>
      <c r="Q53">
        <f t="shared" ref="Q53" si="241">F53*P53</f>
        <v>-8533430.899581572</v>
      </c>
      <c r="R53">
        <f t="shared" ref="R53" si="242">R54+Q53</f>
        <v>-1960263984.1607816</v>
      </c>
      <c r="S53">
        <f t="shared" ref="S53" si="243">R53/100000</f>
        <v>-19602.639841607815</v>
      </c>
      <c r="T53">
        <f t="shared" ref="T53" si="244">S53/1000</f>
        <v>-19.602639841607814</v>
      </c>
    </row>
    <row r="54" spans="1:20" x14ac:dyDescent="0.25">
      <c r="A54" s="5">
        <v>44539</v>
      </c>
      <c r="B54">
        <v>0.41699999999999998</v>
      </c>
      <c r="C54">
        <v>0.42680000000000001</v>
      </c>
      <c r="D54">
        <v>0.37640000000000001</v>
      </c>
      <c r="E54">
        <v>0.37959999999999999</v>
      </c>
      <c r="F54">
        <v>11305212</v>
      </c>
      <c r="G54">
        <v>0.37959999999999999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-0.8730158730158738</v>
      </c>
      <c r="Q54">
        <f t="shared" ref="Q54" si="246">F54*P54</f>
        <v>-9869629.5238095336</v>
      </c>
      <c r="R54">
        <f t="shared" ref="R54" si="247">R55+Q54</f>
        <v>-1951730553.2612</v>
      </c>
      <c r="S54">
        <f t="shared" ref="S54" si="248">R54/100000</f>
        <v>-19517.305532612001</v>
      </c>
      <c r="T54">
        <f t="shared" ref="T54" si="249">S54/1000</f>
        <v>-19.517305532612003</v>
      </c>
    </row>
    <row r="55" spans="1:20" x14ac:dyDescent="0.25">
      <c r="A55" s="5">
        <v>44538</v>
      </c>
      <c r="B55">
        <v>0.3982</v>
      </c>
      <c r="C55">
        <v>0.42970000000000003</v>
      </c>
      <c r="D55">
        <v>0.37980000000000003</v>
      </c>
      <c r="E55">
        <v>0.41710000000000003</v>
      </c>
      <c r="F55">
        <v>18872794</v>
      </c>
      <c r="G55">
        <v>0.41710000000000003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0.49498997995991983</v>
      </c>
      <c r="Q55">
        <f t="shared" ref="Q55" si="251">F55*P55</f>
        <v>9341843.9238476958</v>
      </c>
      <c r="R55">
        <f t="shared" ref="R55" si="252">R56+Q55</f>
        <v>-1941860923.7373905</v>
      </c>
      <c r="S55">
        <f t="shared" ref="S55" si="253">R55/100000</f>
        <v>-19418.609237373905</v>
      </c>
      <c r="T55">
        <f t="shared" ref="T55" si="254">S55/1000</f>
        <v>-19.418609237373904</v>
      </c>
    </row>
    <row r="56" spans="1:20" x14ac:dyDescent="0.25">
      <c r="A56" s="5">
        <v>44537</v>
      </c>
      <c r="B56">
        <v>0.38969999999999999</v>
      </c>
      <c r="C56">
        <v>0.42899999999999999</v>
      </c>
      <c r="D56">
        <v>0.3891</v>
      </c>
      <c r="E56">
        <v>0.39829999999999999</v>
      </c>
      <c r="F56">
        <v>13908754</v>
      </c>
      <c r="G56">
        <v>0.39829999999999999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-0.5388471177944868</v>
      </c>
      <c r="Q56">
        <f t="shared" ref="Q56" si="256">F56*P56</f>
        <v>-7494692.0050125392</v>
      </c>
      <c r="R56">
        <f t="shared" ref="R56" si="257">R57+Q56</f>
        <v>-1951202767.6612382</v>
      </c>
      <c r="S56">
        <f t="shared" ref="S56" si="258">R56/100000</f>
        <v>-19512.027676612382</v>
      </c>
      <c r="T56">
        <f t="shared" ref="T56" si="259">S56/1000</f>
        <v>-19.512027676612384</v>
      </c>
    </row>
    <row r="57" spans="1:20" x14ac:dyDescent="0.25">
      <c r="A57" s="5">
        <v>44536</v>
      </c>
      <c r="B57">
        <v>0.38080000000000003</v>
      </c>
      <c r="C57">
        <v>0.39460000000000001</v>
      </c>
      <c r="D57">
        <v>0.34329999999999999</v>
      </c>
      <c r="E57">
        <v>0.39</v>
      </c>
      <c r="F57">
        <v>11609111</v>
      </c>
      <c r="G57">
        <v>0.39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0.82066276803118943</v>
      </c>
      <c r="Q57">
        <f t="shared" ref="Q57" si="261">F57*P57</f>
        <v>9527165.1676413286</v>
      </c>
      <c r="R57">
        <f t="shared" ref="R57" si="262">R58+Q57</f>
        <v>-1943708075.6562257</v>
      </c>
      <c r="S57">
        <f t="shared" ref="S57" si="263">R57/100000</f>
        <v>-19437.080756562256</v>
      </c>
      <c r="T57">
        <f t="shared" ref="T57" si="264">S57/1000</f>
        <v>-19.437080756562256</v>
      </c>
    </row>
    <row r="58" spans="1:20" x14ac:dyDescent="0.25">
      <c r="A58" s="5">
        <v>44535</v>
      </c>
      <c r="B58">
        <v>0.42499999999999999</v>
      </c>
      <c r="C58">
        <v>0.43159999999999998</v>
      </c>
      <c r="D58">
        <v>0.36499999999999999</v>
      </c>
      <c r="E58">
        <v>0.3805</v>
      </c>
      <c r="F58">
        <v>13706138</v>
      </c>
      <c r="G58">
        <v>0.3805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-0.53453453453453403</v>
      </c>
      <c r="Q58">
        <f t="shared" ref="Q58" si="266">F58*P58</f>
        <v>-7326404.0960960891</v>
      </c>
      <c r="R58">
        <f t="shared" ref="R58" si="267">R59+Q58</f>
        <v>-1953235240.8238671</v>
      </c>
      <c r="S58">
        <f t="shared" ref="S58" si="268">R58/100000</f>
        <v>-19532.352408238672</v>
      </c>
      <c r="T58">
        <f t="shared" ref="T58" si="269">S58/1000</f>
        <v>-19.532352408238673</v>
      </c>
    </row>
    <row r="59" spans="1:20" x14ac:dyDescent="0.25">
      <c r="A59" s="5">
        <v>44534</v>
      </c>
      <c r="B59">
        <v>0.48049999999999998</v>
      </c>
      <c r="C59">
        <v>0.48280000000000001</v>
      </c>
      <c r="D59">
        <v>0.3206</v>
      </c>
      <c r="E59">
        <v>0.4249</v>
      </c>
      <c r="F59">
        <v>31817598</v>
      </c>
      <c r="G59">
        <v>0.4249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0.2860665844636251</v>
      </c>
      <c r="Q59">
        <f t="shared" ref="Q59" si="271">F59*P59</f>
        <v>9101951.5856966693</v>
      </c>
      <c r="R59">
        <f t="shared" ref="R59" si="272">R60+Q59</f>
        <v>-1945908836.727771</v>
      </c>
      <c r="S59">
        <f t="shared" ref="S59" si="273">R59/100000</f>
        <v>-19459.088367277709</v>
      </c>
      <c r="T59">
        <f t="shared" ref="T59" si="274">S59/1000</f>
        <v>-19.459088367277708</v>
      </c>
    </row>
    <row r="60" spans="1:20" x14ac:dyDescent="0.25">
      <c r="A60" s="5">
        <v>44533</v>
      </c>
      <c r="B60">
        <v>0.50470000000000004</v>
      </c>
      <c r="C60">
        <v>0.54569999999999996</v>
      </c>
      <c r="D60">
        <v>0.46529999999999999</v>
      </c>
      <c r="E60">
        <v>0.48120000000000002</v>
      </c>
      <c r="F60">
        <v>35224672</v>
      </c>
      <c r="G60">
        <v>0.48120000000000002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-0.6044776119402977</v>
      </c>
      <c r="Q60">
        <f t="shared" ref="Q60" si="276">F60*P60</f>
        <v>-21292525.611940268</v>
      </c>
      <c r="R60">
        <f t="shared" ref="R60" si="277">R61+Q60</f>
        <v>-1955010788.3134677</v>
      </c>
      <c r="S60">
        <f t="shared" ref="S60" si="278">R60/100000</f>
        <v>-19550.107883134679</v>
      </c>
      <c r="T60">
        <f t="shared" ref="T60" si="279">S60/1000</f>
        <v>-19.550107883134679</v>
      </c>
    </row>
    <row r="61" spans="1:20" x14ac:dyDescent="0.25">
      <c r="A61" s="5">
        <v>44532</v>
      </c>
      <c r="B61">
        <v>0.50390000000000001</v>
      </c>
      <c r="C61">
        <v>0.50990000000000002</v>
      </c>
      <c r="D61">
        <v>0.47789999999999999</v>
      </c>
      <c r="E61">
        <v>0.50480000000000003</v>
      </c>
      <c r="F61">
        <v>12198449</v>
      </c>
      <c r="G61">
        <v>0.50480000000000003</v>
      </c>
      <c r="L61" t="s">
        <v>7</v>
      </c>
      <c r="M61" t="s">
        <v>7</v>
      </c>
      <c r="N61" t="s">
        <v>8</v>
      </c>
      <c r="P61">
        <f t="shared" ref="P61" si="280">IF(C61=D61,0,((E61-D61)-(C61-E61))/(C61-D61))</f>
        <v>0.68125000000000069</v>
      </c>
      <c r="Q61">
        <f t="shared" ref="Q61" si="281">F61*P61</f>
        <v>8310193.381250008</v>
      </c>
      <c r="R61">
        <f t="shared" ref="R61" si="282">R62+Q61</f>
        <v>-1933718262.7015274</v>
      </c>
      <c r="S61">
        <f t="shared" ref="S61" si="283">R61/100000</f>
        <v>-19337.182627015274</v>
      </c>
      <c r="T61">
        <f t="shared" ref="T61" si="284">S61/1000</f>
        <v>-19.337182627015274</v>
      </c>
    </row>
    <row r="62" spans="1:20" x14ac:dyDescent="0.25">
      <c r="A62" s="5">
        <v>44531</v>
      </c>
      <c r="B62">
        <v>0.51329999999999998</v>
      </c>
      <c r="C62">
        <v>0.53159999999999996</v>
      </c>
      <c r="D62">
        <v>0.49430000000000002</v>
      </c>
      <c r="E62">
        <v>0.50460000000000005</v>
      </c>
      <c r="F62">
        <v>15383079</v>
      </c>
      <c r="G62">
        <v>0.50460000000000005</v>
      </c>
      <c r="L62" t="s">
        <v>7</v>
      </c>
      <c r="M62" t="s">
        <v>7</v>
      </c>
      <c r="N62" t="s">
        <v>8</v>
      </c>
      <c r="P62">
        <f t="shared" ref="P62" si="285">IF(C62=D62,0,((E62-D62)-(C62-E62))/(C62-D62))</f>
        <v>-0.44772117962466235</v>
      </c>
      <c r="Q62">
        <f t="shared" ref="Q62" si="286">F62*P62</f>
        <v>-6887330.2761393711</v>
      </c>
      <c r="R62">
        <f t="shared" ref="R62" si="287">R63+Q62</f>
        <v>-1942028456.0827773</v>
      </c>
      <c r="S62">
        <f t="shared" ref="S62" si="288">R62/100000</f>
        <v>-19420.284560827771</v>
      </c>
      <c r="T62">
        <f t="shared" ref="T62" si="289">S62/1000</f>
        <v>-19.420284560827771</v>
      </c>
    </row>
    <row r="63" spans="1:20" x14ac:dyDescent="0.25">
      <c r="A63" s="5">
        <v>44530</v>
      </c>
      <c r="B63">
        <v>0.53310000000000002</v>
      </c>
      <c r="C63">
        <v>0.54049999999999998</v>
      </c>
      <c r="D63">
        <v>0.51039999999999996</v>
      </c>
      <c r="E63">
        <v>0.51339999999999997</v>
      </c>
      <c r="F63">
        <v>15038747</v>
      </c>
      <c r="G63">
        <v>0.51339999999999997</v>
      </c>
      <c r="L63" t="s">
        <v>7</v>
      </c>
      <c r="M63" t="s">
        <v>7</v>
      </c>
      <c r="N63" t="s">
        <v>8</v>
      </c>
      <c r="P63">
        <f t="shared" ref="P63" si="290">IF(C63=D63,0,((E63-D63)-(C63-E63))/(C63-D63))</f>
        <v>-0.80066445182724244</v>
      </c>
      <c r="Q63">
        <f t="shared" ref="Q63" si="291">F63*P63</f>
        <v>-12040990.122923587</v>
      </c>
      <c r="R63">
        <f t="shared" ref="R63" si="292">R64+Q63</f>
        <v>-1935141125.806638</v>
      </c>
      <c r="S63">
        <f t="shared" ref="S63" si="293">R63/100000</f>
        <v>-19351.411258066379</v>
      </c>
      <c r="T63">
        <f t="shared" ref="T63" si="294">S63/1000</f>
        <v>-19.351411258066378</v>
      </c>
    </row>
    <row r="64" spans="1:20" x14ac:dyDescent="0.25">
      <c r="A64" s="5">
        <v>44529</v>
      </c>
      <c r="B64">
        <v>0.55220000000000002</v>
      </c>
      <c r="C64">
        <v>0.56110000000000004</v>
      </c>
      <c r="D64">
        <v>0.53049999999999997</v>
      </c>
      <c r="E64">
        <v>0.53310000000000002</v>
      </c>
      <c r="F64">
        <v>15261140</v>
      </c>
      <c r="G64">
        <v>0.53310000000000002</v>
      </c>
      <c r="L64" t="s">
        <v>8</v>
      </c>
      <c r="M64" t="s">
        <v>7</v>
      </c>
      <c r="N64" t="s">
        <v>8</v>
      </c>
      <c r="P64">
        <f t="shared" ref="P64" si="295">IF(C64=D64,0,((E64-D64)-(C64-E64))/(C64-D64))</f>
        <v>-0.83006535947712157</v>
      </c>
      <c r="Q64">
        <f t="shared" ref="Q64" si="296">F64*P64</f>
        <v>-12667743.66013068</v>
      </c>
      <c r="R64">
        <f t="shared" ref="R64" si="297">R65+Q64</f>
        <v>-1923100135.6837144</v>
      </c>
      <c r="S64">
        <f t="shared" ref="S64" si="298">R64/100000</f>
        <v>-19231.001356837143</v>
      </c>
      <c r="T64">
        <f t="shared" ref="T64" si="299">S64/1000</f>
        <v>-19.231001356837144</v>
      </c>
    </row>
    <row r="65" spans="1:20" x14ac:dyDescent="0.25">
      <c r="A65" s="5">
        <v>44528</v>
      </c>
      <c r="B65">
        <v>0.58430000000000004</v>
      </c>
      <c r="C65">
        <v>0.58960000000000001</v>
      </c>
      <c r="D65">
        <v>0.50719999999999998</v>
      </c>
      <c r="E65">
        <v>0.55289999999999995</v>
      </c>
      <c r="F65">
        <v>24473989</v>
      </c>
      <c r="G65">
        <v>0.55289999999999995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0.1092233009708725</v>
      </c>
      <c r="Q65">
        <f t="shared" ref="Q65" si="301">F65*P65</f>
        <v>2673129.8665048229</v>
      </c>
      <c r="R65">
        <f t="shared" ref="R65" si="302">R66+Q65</f>
        <v>-1910432392.0235837</v>
      </c>
      <c r="S65">
        <f t="shared" ref="S65" si="303">R65/100000</f>
        <v>-19104.323920235838</v>
      </c>
      <c r="T65">
        <f t="shared" ref="T65" si="304">S65/1000</f>
        <v>-19.104323920235839</v>
      </c>
    </row>
    <row r="66" spans="1:20" x14ac:dyDescent="0.25">
      <c r="A66" s="5">
        <v>44527</v>
      </c>
      <c r="B66">
        <v>0.51570000000000005</v>
      </c>
      <c r="C66">
        <v>0.63929999999999998</v>
      </c>
      <c r="D66">
        <v>0.5111</v>
      </c>
      <c r="E66">
        <v>0.58489999999999998</v>
      </c>
      <c r="F66">
        <v>93443208</v>
      </c>
      <c r="G66">
        <v>0.58489999999999998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0.15132605304212149</v>
      </c>
      <c r="Q66">
        <f t="shared" ref="Q66" si="306">F66*P66</f>
        <v>14140391.850233991</v>
      </c>
      <c r="R66">
        <f t="shared" ref="R66" si="307">R67+Q66</f>
        <v>-1913105521.8900886</v>
      </c>
      <c r="S66">
        <f t="shared" ref="S66" si="308">R66/100000</f>
        <v>-19131.055218900885</v>
      </c>
      <c r="T66">
        <f t="shared" ref="T66" si="309">S66/1000</f>
        <v>-19.131055218900887</v>
      </c>
    </row>
    <row r="67" spans="1:20" x14ac:dyDescent="0.25">
      <c r="A67" s="5">
        <v>44526</v>
      </c>
      <c r="B67">
        <v>0.52629999999999999</v>
      </c>
      <c r="C67">
        <v>0.57999999999999996</v>
      </c>
      <c r="D67">
        <v>0.46400000000000002</v>
      </c>
      <c r="E67">
        <v>0.51659999999999995</v>
      </c>
      <c r="F67">
        <v>35525190</v>
      </c>
      <c r="G67">
        <v>0.51659999999999995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-9.310344827586288E-2</v>
      </c>
      <c r="Q67">
        <f t="shared" ref="Q67" si="311">F67*P67</f>
        <v>-3307517.689655201</v>
      </c>
      <c r="R67">
        <f t="shared" ref="R67" si="312">R68+Q67</f>
        <v>-1927245913.7403226</v>
      </c>
      <c r="S67">
        <f t="shared" ref="S67" si="313">R67/100000</f>
        <v>-19272.459137403224</v>
      </c>
      <c r="T67">
        <f t="shared" ref="T67" si="314">S67/1000</f>
        <v>-19.272459137403224</v>
      </c>
    </row>
    <row r="68" spans="1:20" x14ac:dyDescent="0.25">
      <c r="A68" s="5">
        <v>44525</v>
      </c>
      <c r="B68">
        <v>0.51859999999999995</v>
      </c>
      <c r="C68">
        <v>0.54449999999999998</v>
      </c>
      <c r="D68">
        <v>0.50749999999999995</v>
      </c>
      <c r="E68">
        <v>0.52610000000000001</v>
      </c>
      <c r="F68">
        <v>19053661</v>
      </c>
      <c r="G68">
        <v>0.52610000000000001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5.4054054054078057E-3</v>
      </c>
      <c r="Q68">
        <f t="shared" ref="Q68" si="316">F68*P68</f>
        <v>102992.7621622079</v>
      </c>
      <c r="R68">
        <f t="shared" ref="R68" si="317">R69+Q68</f>
        <v>-1923938396.0506673</v>
      </c>
      <c r="S68">
        <f t="shared" ref="S68" si="318">R68/100000</f>
        <v>-19239.383960506671</v>
      </c>
      <c r="T68">
        <f t="shared" ref="T68" si="319">S68/1000</f>
        <v>-19.239383960506672</v>
      </c>
    </row>
    <row r="69" spans="1:20" x14ac:dyDescent="0.25">
      <c r="A69" s="5">
        <v>44524</v>
      </c>
      <c r="B69">
        <v>0.54959999999999998</v>
      </c>
      <c r="C69">
        <v>0.5524</v>
      </c>
      <c r="D69">
        <v>0.51549999999999996</v>
      </c>
      <c r="E69">
        <v>0.52100000000000002</v>
      </c>
      <c r="F69">
        <v>6043620</v>
      </c>
      <c r="G69">
        <v>0.52100000000000002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-0.70189701897018675</v>
      </c>
      <c r="Q69">
        <f t="shared" ref="Q69" si="321">F69*P69</f>
        <v>-4241998.8617885998</v>
      </c>
      <c r="R69">
        <f t="shared" ref="R69" si="322">R70+Q69</f>
        <v>-1924041388.8128295</v>
      </c>
      <c r="S69">
        <f t="shared" ref="S69" si="323">R69/100000</f>
        <v>-19240.413888128296</v>
      </c>
      <c r="T69">
        <f t="shared" ref="T69" si="324">S69/1000</f>
        <v>-19.240413888128295</v>
      </c>
    </row>
    <row r="70" spans="1:20" x14ac:dyDescent="0.25">
      <c r="A70" s="5">
        <v>44523</v>
      </c>
      <c r="B70">
        <v>0.54169999999999996</v>
      </c>
      <c r="C70">
        <v>0.5736</v>
      </c>
      <c r="D70">
        <v>0.52359999999999995</v>
      </c>
      <c r="E70">
        <v>0.55000000000000004</v>
      </c>
      <c r="F70">
        <v>21088450</v>
      </c>
      <c r="G70">
        <v>0.55000000000000004</v>
      </c>
      <c r="L70" t="s">
        <v>8</v>
      </c>
      <c r="M70" t="s">
        <v>7</v>
      </c>
      <c r="N70" t="s">
        <v>7</v>
      </c>
      <c r="P70">
        <f t="shared" ref="P70" si="325">IF(C70=D70,0,((E70-D70)-(C70-E70))/(C70-D70))</f>
        <v>5.6000000000002666E-2</v>
      </c>
      <c r="Q70">
        <f t="shared" ref="Q70" si="326">F70*P70</f>
        <v>1180953.2000000563</v>
      </c>
      <c r="R70">
        <f t="shared" ref="R70" si="327">R71+Q70</f>
        <v>-1919799389.951041</v>
      </c>
      <c r="S70">
        <f t="shared" ref="S70" si="328">R70/100000</f>
        <v>-19197.993899510409</v>
      </c>
      <c r="T70">
        <f t="shared" ref="T70" si="329">S70/1000</f>
        <v>-19.197993899510408</v>
      </c>
    </row>
    <row r="71" spans="1:20" x14ac:dyDescent="0.25">
      <c r="A71" s="5">
        <v>44522</v>
      </c>
      <c r="B71">
        <v>0.57130000000000003</v>
      </c>
      <c r="C71">
        <v>0.58989999999999998</v>
      </c>
      <c r="D71">
        <v>0.52190000000000003</v>
      </c>
      <c r="E71">
        <v>0.5423</v>
      </c>
      <c r="F71">
        <v>18381304</v>
      </c>
      <c r="G71">
        <v>0.5423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-0.4000000000000003</v>
      </c>
      <c r="Q71">
        <f t="shared" ref="Q71" si="331">F71*P71</f>
        <v>-7352521.6000000052</v>
      </c>
      <c r="R71">
        <f t="shared" ref="R71" si="332">R72+Q71</f>
        <v>-1920980343.151041</v>
      </c>
      <c r="S71">
        <f t="shared" ref="S71" si="333">R71/100000</f>
        <v>-19209.803431510409</v>
      </c>
      <c r="T71">
        <f t="shared" ref="T71" si="334">S71/1000</f>
        <v>-19.209803431510409</v>
      </c>
    </row>
    <row r="72" spans="1:20" x14ac:dyDescent="0.25">
      <c r="A72" s="5">
        <v>44521</v>
      </c>
      <c r="B72">
        <v>0.55279999999999996</v>
      </c>
      <c r="C72">
        <v>0.62119999999999997</v>
      </c>
      <c r="D72">
        <v>0.53759999999999997</v>
      </c>
      <c r="E72">
        <v>0.57140000000000002</v>
      </c>
      <c r="F72">
        <v>36643849</v>
      </c>
      <c r="G72">
        <v>0.57140000000000002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-0.19138755980861127</v>
      </c>
      <c r="Q72">
        <f t="shared" ref="Q72" si="336">F72*P72</f>
        <v>-7013176.8421052201</v>
      </c>
      <c r="R72">
        <f t="shared" ref="R72" si="337">R73+Q72</f>
        <v>-1913627821.5510411</v>
      </c>
      <c r="S72">
        <f t="shared" ref="S72" si="338">R72/100000</f>
        <v>-19136.278215510411</v>
      </c>
      <c r="T72">
        <f t="shared" ref="T72" si="339">S72/1000</f>
        <v>-19.136278215510412</v>
      </c>
    </row>
    <row r="73" spans="1:20" x14ac:dyDescent="0.25">
      <c r="A73" s="5">
        <v>44520</v>
      </c>
      <c r="B73">
        <v>0.53280000000000005</v>
      </c>
      <c r="C73">
        <v>0.57840000000000003</v>
      </c>
      <c r="D73">
        <v>0.50700000000000001</v>
      </c>
      <c r="E73">
        <v>0.55279999999999996</v>
      </c>
      <c r="F73">
        <v>21279108</v>
      </c>
      <c r="G73">
        <v>0.55279999999999996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0.28291316526610477</v>
      </c>
      <c r="Q73">
        <f t="shared" ref="Q73" si="341">F73*P73</f>
        <v>6020139.7983192923</v>
      </c>
      <c r="R73">
        <f t="shared" ref="R73" si="342">R74+Q73</f>
        <v>-1906614644.708936</v>
      </c>
      <c r="S73">
        <f t="shared" ref="S73" si="343">R73/100000</f>
        <v>-19066.146447089359</v>
      </c>
      <c r="T73">
        <f t="shared" ref="T73" si="344">S73/1000</f>
        <v>-19.066146447089359</v>
      </c>
    </row>
    <row r="74" spans="1:20" x14ac:dyDescent="0.25">
      <c r="A74" s="5">
        <v>44519</v>
      </c>
      <c r="B74">
        <v>0.51619999999999999</v>
      </c>
      <c r="C74">
        <v>0.54900000000000004</v>
      </c>
      <c r="D74">
        <v>0.49530000000000002</v>
      </c>
      <c r="E74">
        <v>0.53269999999999995</v>
      </c>
      <c r="F74">
        <v>13493619</v>
      </c>
      <c r="G74">
        <v>0.53269999999999995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0.392923649906887</v>
      </c>
      <c r="Q74">
        <f t="shared" ref="Q74" si="346">F74*P74</f>
        <v>5301962.0279329186</v>
      </c>
      <c r="R74">
        <f t="shared" ref="R74" si="347">R75+Q74</f>
        <v>-1912634784.5072553</v>
      </c>
      <c r="S74">
        <f t="shared" ref="S74" si="348">R74/100000</f>
        <v>-19126.347845072552</v>
      </c>
      <c r="T74">
        <f t="shared" ref="T74" si="349">S74/1000</f>
        <v>-19.126347845072551</v>
      </c>
    </row>
    <row r="75" spans="1:20" x14ac:dyDescent="0.25">
      <c r="A75" s="5">
        <v>44518</v>
      </c>
      <c r="B75">
        <v>0.56130000000000002</v>
      </c>
      <c r="C75">
        <v>0.56979999999999997</v>
      </c>
      <c r="D75">
        <v>0.49909999999999999</v>
      </c>
      <c r="E75">
        <v>0.51670000000000005</v>
      </c>
      <c r="F75">
        <v>18420457</v>
      </c>
      <c r="G75">
        <v>0.51670000000000005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-0.50212164073550036</v>
      </c>
      <c r="Q75">
        <f t="shared" ref="Q75" si="351">F75*P75</f>
        <v>-9249310.091937732</v>
      </c>
      <c r="R75">
        <f t="shared" ref="R75" si="352">R76+Q75</f>
        <v>-1917936746.5351882</v>
      </c>
      <c r="S75">
        <f t="shared" ref="S75" si="353">R75/100000</f>
        <v>-19179.367465351883</v>
      </c>
      <c r="T75">
        <f t="shared" ref="T75" si="354">S75/1000</f>
        <v>-19.179367465351884</v>
      </c>
    </row>
    <row r="76" spans="1:20" x14ac:dyDescent="0.25">
      <c r="A76" s="5">
        <v>44517</v>
      </c>
      <c r="B76">
        <v>0.57989999999999997</v>
      </c>
      <c r="C76">
        <v>0.60289999999999999</v>
      </c>
      <c r="D76">
        <v>0.54849999999999999</v>
      </c>
      <c r="E76">
        <v>0.5605</v>
      </c>
      <c r="F76">
        <v>16035053</v>
      </c>
      <c r="G76">
        <v>0.5605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-0.55882352941176439</v>
      </c>
      <c r="Q76">
        <f t="shared" ref="Q76" si="356">F76*P76</f>
        <v>-8960764.9117647</v>
      </c>
      <c r="R76">
        <f t="shared" ref="R76" si="357">R77+Q76</f>
        <v>-1908687436.4432504</v>
      </c>
      <c r="S76">
        <f t="shared" ref="S76" si="358">R76/100000</f>
        <v>-19086.874364432504</v>
      </c>
      <c r="T76">
        <f t="shared" ref="T76" si="359">S76/1000</f>
        <v>-19.086874364432504</v>
      </c>
    </row>
    <row r="77" spans="1:20" x14ac:dyDescent="0.25">
      <c r="A77" s="5">
        <v>44516</v>
      </c>
      <c r="B77">
        <v>0.64049999999999996</v>
      </c>
      <c r="C77">
        <v>0.64129999999999998</v>
      </c>
      <c r="D77">
        <v>0.53369999999999995</v>
      </c>
      <c r="E77">
        <v>0.57999999999999996</v>
      </c>
      <c r="F77">
        <v>29561811</v>
      </c>
      <c r="G77">
        <v>0.57999999999999996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-0.13940520446096663</v>
      </c>
      <c r="Q77">
        <f t="shared" ref="Q77" si="361">F77*P77</f>
        <v>-4121070.3066914524</v>
      </c>
      <c r="R77">
        <f t="shared" ref="R77" si="362">R78+Q77</f>
        <v>-1899726671.5314858</v>
      </c>
      <c r="S77">
        <f t="shared" ref="S77" si="363">R77/100000</f>
        <v>-18997.266715314858</v>
      </c>
      <c r="T77">
        <f t="shared" ref="T77" si="364">S77/1000</f>
        <v>-18.997266715314858</v>
      </c>
    </row>
    <row r="78" spans="1:20" x14ac:dyDescent="0.25">
      <c r="A78" s="5">
        <v>44515</v>
      </c>
      <c r="B78">
        <v>0.68930000000000002</v>
      </c>
      <c r="C78">
        <v>0.69179999999999997</v>
      </c>
      <c r="D78">
        <v>0.63270000000000004</v>
      </c>
      <c r="E78">
        <v>0.64039999999999997</v>
      </c>
      <c r="F78">
        <v>23260741</v>
      </c>
      <c r="G78">
        <v>0.64039999999999997</v>
      </c>
      <c r="L78" t="s">
        <v>7</v>
      </c>
      <c r="M78" t="s">
        <v>8</v>
      </c>
      <c r="N78" t="s">
        <v>8</v>
      </c>
      <c r="P78">
        <f t="shared" ref="P78" si="365">IF(C78=D78,0,((E78-D78)-(C78-E78))/(C78-D78))</f>
        <v>-0.73942470389171111</v>
      </c>
      <c r="Q78">
        <f t="shared" ref="Q78" si="366">F78*P78</f>
        <v>-17199566.526226785</v>
      </c>
      <c r="R78">
        <f t="shared" ref="R78" si="367">R79+Q78</f>
        <v>-1895605601.2247944</v>
      </c>
      <c r="S78">
        <f t="shared" ref="S78" si="368">R78/100000</f>
        <v>-18956.056012247944</v>
      </c>
      <c r="T78">
        <f t="shared" ref="T78" si="369">S78/1000</f>
        <v>-18.956056012247945</v>
      </c>
    </row>
    <row r="79" spans="1:20" x14ac:dyDescent="0.25">
      <c r="A79" s="5">
        <v>44514</v>
      </c>
      <c r="B79">
        <v>0.65880000000000005</v>
      </c>
      <c r="C79">
        <v>0.72409999999999997</v>
      </c>
      <c r="D79">
        <v>0.64149999999999996</v>
      </c>
      <c r="E79">
        <v>0.68959999999999999</v>
      </c>
      <c r="F79">
        <v>29996203</v>
      </c>
      <c r="G79">
        <v>0.68959999999999999</v>
      </c>
      <c r="L79" t="s">
        <v>7</v>
      </c>
      <c r="M79" t="s">
        <v>8</v>
      </c>
      <c r="N79" t="s">
        <v>8</v>
      </c>
      <c r="P79">
        <f t="shared" ref="P79" si="370">IF(C79=D79,0,((E79-D79)-(C79-E79))/(C79-D79))</f>
        <v>0.16464891041162294</v>
      </c>
      <c r="Q79">
        <f t="shared" ref="Q79" si="371">F79*P79</f>
        <v>4938842.1404358549</v>
      </c>
      <c r="R79">
        <f t="shared" ref="R79" si="372">R80+Q79</f>
        <v>-1878406034.6985676</v>
      </c>
      <c r="S79">
        <f t="shared" ref="S79" si="373">R79/100000</f>
        <v>-18784.060346985676</v>
      </c>
      <c r="T79">
        <f t="shared" ref="T79" si="374">S79/1000</f>
        <v>-18.784060346985676</v>
      </c>
    </row>
    <row r="80" spans="1:20" x14ac:dyDescent="0.25">
      <c r="A80" s="5">
        <v>44513</v>
      </c>
      <c r="B80">
        <v>0.70050000000000001</v>
      </c>
      <c r="C80">
        <v>0.74350000000000005</v>
      </c>
      <c r="D80">
        <v>0.65169999999999995</v>
      </c>
      <c r="E80">
        <v>0.65959999999999996</v>
      </c>
      <c r="F80">
        <v>35034290</v>
      </c>
      <c r="G80">
        <v>0.65959999999999996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-0.82788671023965121</v>
      </c>
      <c r="Q80">
        <f t="shared" ref="Q80" si="376">F80*P80</f>
        <v>-29004423.093681909</v>
      </c>
      <c r="R80">
        <f t="shared" ref="R80" si="377">R81+Q80</f>
        <v>-1883344876.8390036</v>
      </c>
      <c r="S80">
        <f t="shared" ref="S80" si="378">R80/100000</f>
        <v>-18833.448768390037</v>
      </c>
      <c r="T80">
        <f t="shared" ref="T80" si="379">S80/1000</f>
        <v>-18.833448768390038</v>
      </c>
    </row>
    <row r="81" spans="1:20" x14ac:dyDescent="0.25">
      <c r="A81" s="5">
        <v>44512</v>
      </c>
      <c r="B81">
        <v>0.69899999999999995</v>
      </c>
      <c r="C81">
        <v>0.74360000000000004</v>
      </c>
      <c r="D81">
        <v>0.61150000000000004</v>
      </c>
      <c r="E81">
        <v>0.7</v>
      </c>
      <c r="F81">
        <v>51667128</v>
      </c>
      <c r="G81">
        <v>0.7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0.33989401968205779</v>
      </c>
      <c r="Q81">
        <f t="shared" ref="Q81" si="381">F81*P81</f>
        <v>17561347.821347401</v>
      </c>
      <c r="R81">
        <f t="shared" ref="R81" si="382">R82+Q81</f>
        <v>-1854340453.7453218</v>
      </c>
      <c r="S81">
        <f t="shared" ref="S81" si="383">R81/100000</f>
        <v>-18543.404537453218</v>
      </c>
      <c r="T81">
        <f t="shared" ref="T81" si="384">S81/1000</f>
        <v>-18.543404537453217</v>
      </c>
    </row>
    <row r="82" spans="1:20" x14ac:dyDescent="0.25">
      <c r="A82" s="5">
        <v>44511</v>
      </c>
      <c r="B82">
        <v>0.57250000000000001</v>
      </c>
      <c r="C82">
        <v>0.81410000000000005</v>
      </c>
      <c r="D82">
        <v>0.56059999999999999</v>
      </c>
      <c r="E82">
        <v>0.7</v>
      </c>
      <c r="F82">
        <v>180655408.90000001</v>
      </c>
      <c r="G82">
        <v>0.7</v>
      </c>
      <c r="L82" t="s">
        <v>8</v>
      </c>
      <c r="M82" t="s">
        <v>8</v>
      </c>
      <c r="N82" t="s">
        <v>8</v>
      </c>
      <c r="P82">
        <f t="shared" ref="P82" si="385">IF(C82=D82,0,((E82-D82)-(C82-E82))/(C82-D82))</f>
        <v>9.9802761341222374E-2</v>
      </c>
      <c r="Q82">
        <f t="shared" ref="Q82" si="386">F82*P82</f>
        <v>18029908.65944764</v>
      </c>
      <c r="R82">
        <f t="shared" ref="R82" si="387">R83+Q82</f>
        <v>-1871901801.5666692</v>
      </c>
      <c r="S82">
        <f t="shared" ref="S82" si="388">R82/100000</f>
        <v>-18719.018015666694</v>
      </c>
      <c r="T82">
        <f t="shared" ref="T82" si="389">S82/1000</f>
        <v>-18.719018015666695</v>
      </c>
    </row>
    <row r="83" spans="1:20" x14ac:dyDescent="0.25">
      <c r="A83" s="5">
        <v>44510</v>
      </c>
      <c r="B83">
        <v>0.56279999999999997</v>
      </c>
      <c r="C83">
        <v>0.67869999999999997</v>
      </c>
      <c r="D83">
        <v>0.53249999999999997</v>
      </c>
      <c r="E83">
        <v>0.57330000000000003</v>
      </c>
      <c r="F83">
        <v>71742288</v>
      </c>
      <c r="G83">
        <v>0.57330000000000003</v>
      </c>
      <c r="L83" t="s">
        <v>7</v>
      </c>
      <c r="M83" t="s">
        <v>8</v>
      </c>
      <c r="N83" t="s">
        <v>8</v>
      </c>
      <c r="P83">
        <f t="shared" ref="P83" si="390">IF(C83=D83,0,((E83-D83)-(C83-E83))/(C83-D83))</f>
        <v>-0.44186046511627824</v>
      </c>
      <c r="Q83">
        <f t="shared" ref="Q83" si="391">F83*P83</f>
        <v>-31700080.744185988</v>
      </c>
      <c r="R83">
        <f t="shared" ref="R83" si="392">R84+Q83</f>
        <v>-1889931710.2261169</v>
      </c>
      <c r="S83">
        <f t="shared" ref="S83" si="393">R83/100000</f>
        <v>-18899.317102261168</v>
      </c>
      <c r="T83">
        <f t="shared" ref="T83" si="394">S83/1000</f>
        <v>-18.899317102261168</v>
      </c>
    </row>
    <row r="84" spans="1:20" x14ac:dyDescent="0.25">
      <c r="A84" s="5">
        <v>44509</v>
      </c>
      <c r="B84">
        <v>0.60740000000000005</v>
      </c>
      <c r="C84">
        <v>0.622</v>
      </c>
      <c r="D84">
        <v>0.55520000000000003</v>
      </c>
      <c r="E84">
        <v>0.56259999999999999</v>
      </c>
      <c r="F84">
        <v>25115108</v>
      </c>
      <c r="G84">
        <v>0.56259999999999999</v>
      </c>
      <c r="L84" t="s">
        <v>7</v>
      </c>
      <c r="M84" t="s">
        <v>7</v>
      </c>
      <c r="N84" t="s">
        <v>8</v>
      </c>
      <c r="P84">
        <f t="shared" ref="P84" si="395">IF(C84=D84,0,((E84-D84)-(C84-E84))/(C84-D84))</f>
        <v>-0.77844311377245612</v>
      </c>
      <c r="Q84">
        <f t="shared" ref="Q84" si="396">F84*P84</f>
        <v>-19550682.874251522</v>
      </c>
      <c r="R84">
        <f t="shared" ref="R84" si="397">R85+Q84</f>
        <v>-1858231629.481931</v>
      </c>
      <c r="S84">
        <f t="shared" ref="S84" si="398">R84/100000</f>
        <v>-18582.316294819309</v>
      </c>
      <c r="T84">
        <f t="shared" ref="T84" si="399">S84/1000</f>
        <v>-18.582316294819311</v>
      </c>
    </row>
    <row r="85" spans="1:20" x14ac:dyDescent="0.25">
      <c r="A85" s="5">
        <v>44508</v>
      </c>
      <c r="B85">
        <v>0.69469999999999998</v>
      </c>
      <c r="C85">
        <v>0.69889999999999997</v>
      </c>
      <c r="D85">
        <v>0.58279999999999998</v>
      </c>
      <c r="E85">
        <v>0.60799999999999998</v>
      </c>
      <c r="F85">
        <v>91341062</v>
      </c>
      <c r="G85">
        <v>0.60799999999999998</v>
      </c>
      <c r="L85" t="s">
        <v>7</v>
      </c>
      <c r="M85" t="s">
        <v>7</v>
      </c>
      <c r="N85" t="s">
        <v>8</v>
      </c>
      <c r="P85">
        <f t="shared" ref="P85" si="400">IF(C85=D85,0,((E85-D85)-(C85-E85))/(C85-D85))</f>
        <v>-0.56589147286821695</v>
      </c>
      <c r="Q85">
        <f t="shared" ref="Q85" si="401">F85*P85</f>
        <v>-51689128.108527124</v>
      </c>
      <c r="R85">
        <f t="shared" ref="R85" si="402">R86+Q85</f>
        <v>-1838680946.6076794</v>
      </c>
      <c r="S85">
        <f t="shared" ref="S85" si="403">R85/100000</f>
        <v>-18386.809466076793</v>
      </c>
      <c r="T85">
        <f t="shared" ref="T85" si="404">S85/1000</f>
        <v>-18.386809466076794</v>
      </c>
    </row>
    <row r="86" spans="1:20" x14ac:dyDescent="0.25">
      <c r="A86" s="5">
        <v>44507</v>
      </c>
      <c r="B86">
        <v>0.49349999999999999</v>
      </c>
      <c r="C86">
        <v>0.746</v>
      </c>
      <c r="D86">
        <v>0.48159999999999997</v>
      </c>
      <c r="E86">
        <v>0.69399999999999995</v>
      </c>
      <c r="F86">
        <v>208334397.69999999</v>
      </c>
      <c r="G86">
        <v>0.69399999999999995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0.60665658093797248</v>
      </c>
      <c r="Q86">
        <f t="shared" ref="Q86" si="406">F86*P86</f>
        <v>126387433.40045379</v>
      </c>
      <c r="R86">
        <f t="shared" ref="R86" si="407">R87+Q86</f>
        <v>-1786991818.4991522</v>
      </c>
      <c r="S86">
        <f t="shared" ref="S86" si="408">R86/100000</f>
        <v>-17869.918184991522</v>
      </c>
      <c r="T86">
        <f t="shared" ref="T86" si="409">S86/1000</f>
        <v>-17.869918184991523</v>
      </c>
    </row>
    <row r="87" spans="1:20" x14ac:dyDescent="0.25">
      <c r="A87" s="5">
        <v>44506</v>
      </c>
      <c r="B87">
        <v>0.47810000000000002</v>
      </c>
      <c r="C87">
        <v>0.49630000000000002</v>
      </c>
      <c r="D87">
        <v>0.44869999999999999</v>
      </c>
      <c r="E87">
        <v>0.49349999999999999</v>
      </c>
      <c r="F87">
        <v>15034123</v>
      </c>
      <c r="G87">
        <v>0.49349999999999999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0.88235294117646967</v>
      </c>
      <c r="Q87">
        <f t="shared" ref="Q87" si="411">F87*P87</f>
        <v>13265402.647058809</v>
      </c>
      <c r="R87">
        <f t="shared" ref="R87" si="412">R88+Q87</f>
        <v>-1913379251.899606</v>
      </c>
      <c r="S87">
        <f t="shared" ref="S87" si="413">R87/100000</f>
        <v>-19133.792518996059</v>
      </c>
      <c r="T87">
        <f t="shared" ref="T87" si="414">S87/1000</f>
        <v>-19.13379251899606</v>
      </c>
    </row>
    <row r="88" spans="1:20" x14ac:dyDescent="0.25">
      <c r="A88" s="5">
        <v>44505</v>
      </c>
      <c r="B88">
        <v>0.49919999999999998</v>
      </c>
      <c r="C88">
        <v>0.52</v>
      </c>
      <c r="D88">
        <v>0.4713</v>
      </c>
      <c r="E88">
        <v>0.47849999999999998</v>
      </c>
      <c r="F88">
        <v>15106700</v>
      </c>
      <c r="G88">
        <v>0.47849999999999998</v>
      </c>
      <c r="L88" t="s">
        <v>8</v>
      </c>
      <c r="M88" t="s">
        <v>7</v>
      </c>
      <c r="N88" t="s">
        <v>8</v>
      </c>
      <c r="P88">
        <f t="shared" ref="P88" si="415">IF(C88=D88,0,((E88-D88)-(C88-E88))/(C88-D88))</f>
        <v>-0.70431211498973378</v>
      </c>
      <c r="Q88">
        <f t="shared" ref="Q88" si="416">F88*P88</f>
        <v>-10639831.827515412</v>
      </c>
      <c r="R88">
        <f t="shared" ref="R88" si="417">R89+Q88</f>
        <v>-1926644654.5466647</v>
      </c>
      <c r="S88">
        <f t="shared" ref="S88" si="418">R88/100000</f>
        <v>-19266.446545466646</v>
      </c>
      <c r="T88">
        <f t="shared" ref="T88" si="419">S88/1000</f>
        <v>-19.266446545466646</v>
      </c>
    </row>
    <row r="89" spans="1:20" x14ac:dyDescent="0.25">
      <c r="A89" s="5">
        <v>44504</v>
      </c>
      <c r="B89">
        <v>0.50019999999999998</v>
      </c>
      <c r="C89">
        <v>0.53690000000000004</v>
      </c>
      <c r="D89">
        <v>0.48</v>
      </c>
      <c r="E89">
        <v>0.49959999999999999</v>
      </c>
      <c r="F89">
        <v>29603531</v>
      </c>
      <c r="G89">
        <v>0.49959999999999999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-0.31107205623901635</v>
      </c>
      <c r="Q89">
        <f t="shared" ref="Q89" si="421">F89*P89</f>
        <v>-9208831.2601054646</v>
      </c>
      <c r="R89">
        <f t="shared" ref="R89" si="422">R90+Q89</f>
        <v>-1916004822.7191494</v>
      </c>
      <c r="S89">
        <f t="shared" ref="S89" si="423">R89/100000</f>
        <v>-19160.048227191495</v>
      </c>
      <c r="T89">
        <f t="shared" ref="T89" si="424">S89/1000</f>
        <v>-19.160048227191496</v>
      </c>
    </row>
    <row r="90" spans="1:20" x14ac:dyDescent="0.25">
      <c r="A90" s="5">
        <v>44503</v>
      </c>
      <c r="B90">
        <v>0.53700000000000003</v>
      </c>
      <c r="C90">
        <v>0.55210000000000004</v>
      </c>
      <c r="D90">
        <v>0.49359999999999998</v>
      </c>
      <c r="E90">
        <v>0.50019999999999998</v>
      </c>
      <c r="F90">
        <v>33347274</v>
      </c>
      <c r="G90">
        <v>0.50019999999999998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-0.77435897435897472</v>
      </c>
      <c r="Q90">
        <f t="shared" ref="Q90" si="426">F90*P90</f>
        <v>-25822760.892307702</v>
      </c>
      <c r="R90">
        <f t="shared" ref="R90" si="427">R91+Q90</f>
        <v>-1906795991.459044</v>
      </c>
      <c r="S90">
        <f t="shared" ref="S90" si="428">R90/100000</f>
        <v>-19067.959914590439</v>
      </c>
      <c r="T90">
        <f t="shared" ref="T90" si="429">S90/1000</f>
        <v>-19.067959914590439</v>
      </c>
    </row>
    <row r="91" spans="1:20" x14ac:dyDescent="0.25">
      <c r="A91" s="5">
        <v>44502</v>
      </c>
      <c r="B91">
        <v>0.51929999999999998</v>
      </c>
      <c r="C91">
        <v>0.63600000000000001</v>
      </c>
      <c r="D91">
        <v>0.47799999999999998</v>
      </c>
      <c r="E91">
        <v>0.53779999999999994</v>
      </c>
      <c r="F91">
        <v>142092465</v>
      </c>
      <c r="G91">
        <v>0.53779999999999994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-0.24303797468354491</v>
      </c>
      <c r="Q91">
        <f t="shared" ref="Q91" si="431">F91*P91</f>
        <v>-34533864.911392488</v>
      </c>
      <c r="R91">
        <f t="shared" ref="R91" si="432">R92+Q91</f>
        <v>-1880973230.5667362</v>
      </c>
      <c r="S91">
        <f t="shared" ref="S91" si="433">R91/100000</f>
        <v>-18809.732305667363</v>
      </c>
      <c r="T91">
        <f t="shared" ref="T91" si="434">S91/1000</f>
        <v>-18.809732305667364</v>
      </c>
    </row>
    <row r="92" spans="1:20" x14ac:dyDescent="0.25">
      <c r="A92" s="5">
        <v>44501</v>
      </c>
      <c r="B92">
        <v>0.4335</v>
      </c>
      <c r="C92">
        <v>0.55630000000000002</v>
      </c>
      <c r="D92">
        <v>0.41</v>
      </c>
      <c r="E92">
        <v>0.51929999999999998</v>
      </c>
      <c r="F92">
        <v>98115296</v>
      </c>
      <c r="G92">
        <v>0.51929999999999998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0.49419002050580968</v>
      </c>
      <c r="Q92">
        <f t="shared" ref="Q92" si="436">F92*P92</f>
        <v>48487600.142173588</v>
      </c>
      <c r="R92">
        <f t="shared" ref="R92" si="437">R93+Q92</f>
        <v>-1846439365.6553438</v>
      </c>
      <c r="S92">
        <f t="shared" ref="S92" si="438">R92/100000</f>
        <v>-18464.393656553439</v>
      </c>
      <c r="T92">
        <f t="shared" ref="T92" si="439">S92/1000</f>
        <v>-18.46439365655344</v>
      </c>
    </row>
    <row r="93" spans="1:20" x14ac:dyDescent="0.25">
      <c r="A93" s="5">
        <v>44500</v>
      </c>
      <c r="B93">
        <v>0.41070000000000001</v>
      </c>
      <c r="C93">
        <v>0.50349999999999995</v>
      </c>
      <c r="D93">
        <v>0.40839999999999999</v>
      </c>
      <c r="E93">
        <v>0.4335</v>
      </c>
      <c r="F93">
        <v>61447325</v>
      </c>
      <c r="G93">
        <v>0.4335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-0.47213459516298589</v>
      </c>
      <c r="Q93">
        <f t="shared" ref="Q93" si="441">F93*P93</f>
        <v>-29011407.912723422</v>
      </c>
      <c r="R93">
        <f t="shared" ref="R93" si="442">R94+Q93</f>
        <v>-1894926965.7975173</v>
      </c>
      <c r="S93">
        <f t="shared" ref="S93" si="443">R93/100000</f>
        <v>-18949.269657975172</v>
      </c>
      <c r="T93">
        <f t="shared" ref="T93" si="444">S93/1000</f>
        <v>-18.949269657975172</v>
      </c>
    </row>
    <row r="94" spans="1:20" x14ac:dyDescent="0.25">
      <c r="A94" s="5">
        <v>44499</v>
      </c>
      <c r="B94">
        <v>0.41289999999999999</v>
      </c>
      <c r="C94">
        <v>0.43099999999999999</v>
      </c>
      <c r="D94">
        <v>0.39660000000000001</v>
      </c>
      <c r="E94">
        <v>0.41099999999999998</v>
      </c>
      <c r="F94">
        <v>14718858</v>
      </c>
      <c r="G94">
        <v>0.41099999999999998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-0.16279069767442012</v>
      </c>
      <c r="Q94">
        <f t="shared" ref="Q94" si="446">F94*P94</f>
        <v>-2396093.1627907199</v>
      </c>
      <c r="R94">
        <f t="shared" ref="R94" si="447">R95+Q94</f>
        <v>-1865915557.884794</v>
      </c>
      <c r="S94">
        <f t="shared" ref="S94" si="448">R94/100000</f>
        <v>-18659.155578847938</v>
      </c>
      <c r="T94">
        <f t="shared" ref="T94" si="449">S94/1000</f>
        <v>-18.659155578847937</v>
      </c>
    </row>
    <row r="95" spans="1:20" x14ac:dyDescent="0.25">
      <c r="A95" s="5">
        <v>44498</v>
      </c>
      <c r="B95">
        <v>0.40010000000000001</v>
      </c>
      <c r="C95">
        <v>0.42549999999999999</v>
      </c>
      <c r="D95">
        <v>0.3916</v>
      </c>
      <c r="E95">
        <v>0.41289999999999999</v>
      </c>
      <c r="F95">
        <v>11450679</v>
      </c>
      <c r="G95">
        <v>0.41289999999999999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0.2566371681415926</v>
      </c>
      <c r="Q95">
        <f t="shared" ref="Q95" si="451">F95*P95</f>
        <v>2938669.8318584035</v>
      </c>
      <c r="R95">
        <f t="shared" ref="R95" si="452">R96+Q95</f>
        <v>-1863519464.7220032</v>
      </c>
      <c r="S95">
        <f t="shared" ref="S95" si="453">R95/100000</f>
        <v>-18635.194647220032</v>
      </c>
      <c r="T95">
        <f t="shared" ref="T95" si="454">S95/1000</f>
        <v>-18.635194647220032</v>
      </c>
    </row>
    <row r="96" spans="1:20" x14ac:dyDescent="0.25">
      <c r="A96" s="5">
        <v>44497</v>
      </c>
      <c r="B96">
        <v>0.37040000000000001</v>
      </c>
      <c r="C96">
        <v>0.40870000000000001</v>
      </c>
      <c r="D96">
        <v>0.3649</v>
      </c>
      <c r="E96">
        <v>0.40060000000000001</v>
      </c>
      <c r="F96">
        <v>14191687</v>
      </c>
      <c r="G96">
        <v>0.40060000000000001</v>
      </c>
      <c r="L96" t="s">
        <v>8</v>
      </c>
      <c r="M96" t="s">
        <v>8</v>
      </c>
      <c r="N96" t="s">
        <v>7</v>
      </c>
      <c r="P96">
        <f t="shared" ref="P96" si="455">IF(C96=D96,0,((E96-D96)-(C96-E96))/(C96-D96))</f>
        <v>0.63013698630137005</v>
      </c>
      <c r="Q96">
        <f t="shared" ref="Q96" si="456">F96*P96</f>
        <v>8942706.8767123315</v>
      </c>
      <c r="R96">
        <f t="shared" ref="R96" si="457">R97+Q96</f>
        <v>-1866458134.5538616</v>
      </c>
      <c r="S96">
        <f t="shared" ref="S96" si="458">R96/100000</f>
        <v>-18664.581345538616</v>
      </c>
      <c r="T96">
        <f t="shared" ref="T96" si="459">S96/1000</f>
        <v>-18.664581345538615</v>
      </c>
    </row>
    <row r="97" spans="1:20" x14ac:dyDescent="0.25">
      <c r="A97" s="5">
        <v>44496</v>
      </c>
      <c r="B97">
        <v>0.4274</v>
      </c>
      <c r="C97">
        <v>0.43690000000000001</v>
      </c>
      <c r="D97">
        <v>0.33529999999999999</v>
      </c>
      <c r="E97">
        <v>0.3705</v>
      </c>
      <c r="F97">
        <v>24793311</v>
      </c>
      <c r="G97">
        <v>0.3705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-0.30708661417322836</v>
      </c>
      <c r="Q97">
        <f t="shared" ref="Q97" si="461">F97*P97</f>
        <v>-7613693.9291338585</v>
      </c>
      <c r="R97">
        <f t="shared" ref="R97" si="462">R98+Q97</f>
        <v>-1875400841.4305739</v>
      </c>
      <c r="S97">
        <f t="shared" ref="S97" si="463">R97/100000</f>
        <v>-18754.008414305739</v>
      </c>
      <c r="T97">
        <f t="shared" ref="T97" si="464">S97/1000</f>
        <v>-18.754008414305741</v>
      </c>
    </row>
    <row r="98" spans="1:20" x14ac:dyDescent="0.25">
      <c r="A98" s="5">
        <v>44495</v>
      </c>
      <c r="B98">
        <v>0.44519999999999998</v>
      </c>
      <c r="C98">
        <v>0.45350000000000001</v>
      </c>
      <c r="D98">
        <v>0.41980000000000001</v>
      </c>
      <c r="E98">
        <v>0.42720000000000002</v>
      </c>
      <c r="F98">
        <v>14850231</v>
      </c>
      <c r="G98">
        <v>0.42720000000000002</v>
      </c>
      <c r="L98" t="s">
        <v>8</v>
      </c>
      <c r="M98" t="s">
        <v>7</v>
      </c>
      <c r="N98" t="s">
        <v>7</v>
      </c>
      <c r="P98">
        <f t="shared" ref="P98" si="465">IF(C98=D98,0,((E98-D98)-(C98-E98))/(C98-D98))</f>
        <v>-0.56083086053412368</v>
      </c>
      <c r="Q98">
        <f t="shared" ref="Q98" si="466">F98*P98</f>
        <v>-8328467.8308605198</v>
      </c>
      <c r="R98">
        <f t="shared" ref="R98" si="467">R99+Q98</f>
        <v>-1867787147.50144</v>
      </c>
      <c r="S98">
        <f t="shared" ref="S98" si="468">R98/100000</f>
        <v>-18677.871475014399</v>
      </c>
      <c r="T98">
        <f t="shared" ref="T98" si="469">S98/1000</f>
        <v>-18.677871475014399</v>
      </c>
    </row>
    <row r="99" spans="1:20" x14ac:dyDescent="0.25">
      <c r="A99" s="5">
        <v>44494</v>
      </c>
      <c r="B99">
        <v>0.42199999999999999</v>
      </c>
      <c r="C99">
        <v>0.44529999999999997</v>
      </c>
      <c r="D99">
        <v>0.42009999999999997</v>
      </c>
      <c r="E99">
        <v>0.44490000000000002</v>
      </c>
      <c r="F99">
        <v>10535409</v>
      </c>
      <c r="G99">
        <v>0.44490000000000002</v>
      </c>
      <c r="L99" t="s">
        <v>8</v>
      </c>
      <c r="M99" t="s">
        <v>7</v>
      </c>
      <c r="N99" t="s">
        <v>7</v>
      </c>
      <c r="P99">
        <f t="shared" ref="P99" si="470">IF(C99=D99,0,((E99-D99)-(C99-E99))/(C99-D99))</f>
        <v>0.9682539682539717</v>
      </c>
      <c r="Q99">
        <f t="shared" ref="Q99" si="471">F99*P99</f>
        <v>10200951.571428608</v>
      </c>
      <c r="R99">
        <f t="shared" ref="R99" si="472">R100+Q99</f>
        <v>-1859458679.6705794</v>
      </c>
      <c r="S99">
        <f t="shared" ref="S99" si="473">R99/100000</f>
        <v>-18594.586796705793</v>
      </c>
      <c r="T99">
        <f t="shared" ref="T99" si="474">S99/1000</f>
        <v>-18.594586796705794</v>
      </c>
    </row>
    <row r="100" spans="1:20" x14ac:dyDescent="0.25">
      <c r="A100" s="5">
        <v>44493</v>
      </c>
      <c r="B100">
        <v>0.44829999999999998</v>
      </c>
      <c r="C100">
        <v>0.4491</v>
      </c>
      <c r="D100">
        <v>0.41470000000000001</v>
      </c>
      <c r="E100">
        <v>0.42230000000000001</v>
      </c>
      <c r="F100">
        <v>12683649</v>
      </c>
      <c r="G100">
        <v>0.42230000000000001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-0.55813953488372103</v>
      </c>
      <c r="Q100">
        <f t="shared" ref="Q100" si="476">F100*P100</f>
        <v>-7079245.9534883732</v>
      </c>
      <c r="R100">
        <f t="shared" ref="R100" si="477">R101+Q100</f>
        <v>-1869659631.242008</v>
      </c>
      <c r="S100">
        <f t="shared" ref="S100" si="478">R100/100000</f>
        <v>-18696.596312420079</v>
      </c>
      <c r="T100">
        <f t="shared" ref="T100" si="479">S100/1000</f>
        <v>-18.69659631242008</v>
      </c>
    </row>
    <row r="101" spans="1:20" x14ac:dyDescent="0.25">
      <c r="A101" s="5">
        <v>44492</v>
      </c>
      <c r="B101">
        <v>0.44900000000000001</v>
      </c>
      <c r="C101">
        <v>0.47010000000000002</v>
      </c>
      <c r="D101">
        <v>0.43519999999999998</v>
      </c>
      <c r="E101">
        <v>0.44790000000000002</v>
      </c>
      <c r="F101">
        <v>16030397</v>
      </c>
      <c r="G101">
        <v>0.44790000000000002</v>
      </c>
      <c r="L101" t="s">
        <v>8</v>
      </c>
      <c r="M101" t="s">
        <v>7</v>
      </c>
      <c r="N101" t="s">
        <v>7</v>
      </c>
      <c r="P101">
        <f t="shared" ref="P101" si="480">IF(C101=D101,0,((E101-D101)-(C101-E101))/(C101-D101))</f>
        <v>-0.27220630372492671</v>
      </c>
      <c r="Q101">
        <f t="shared" ref="Q101" si="481">F101*P101</f>
        <v>-4363575.114613154</v>
      </c>
      <c r="R101">
        <f t="shared" ref="R101" si="482">R102+Q101</f>
        <v>-1862580385.2885196</v>
      </c>
      <c r="S101">
        <f t="shared" ref="S101" si="483">R101/100000</f>
        <v>-18625.803852885198</v>
      </c>
      <c r="T101">
        <f t="shared" ref="T101" si="484">S101/1000</f>
        <v>-18.625803852885198</v>
      </c>
    </row>
    <row r="102" spans="1:20" x14ac:dyDescent="0.25">
      <c r="A102" s="5">
        <v>44491</v>
      </c>
      <c r="B102">
        <v>0.44429999999999997</v>
      </c>
      <c r="C102">
        <v>0.46079999999999999</v>
      </c>
      <c r="D102">
        <v>0.43190000000000001</v>
      </c>
      <c r="E102">
        <v>0.4486</v>
      </c>
      <c r="F102">
        <v>10082384</v>
      </c>
      <c r="G102">
        <v>0.4486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0.15570934256055388</v>
      </c>
      <c r="Q102">
        <f t="shared" ref="Q102" si="486">F102*P102</f>
        <v>1569921.3840830475</v>
      </c>
      <c r="R102">
        <f t="shared" ref="R102" si="487">R103+Q102</f>
        <v>-1858216810.1739066</v>
      </c>
      <c r="S102">
        <f t="shared" ref="S102" si="488">R102/100000</f>
        <v>-18582.168101739066</v>
      </c>
      <c r="T102">
        <f t="shared" ref="T102" si="489">S102/1000</f>
        <v>-18.582168101739065</v>
      </c>
    </row>
    <row r="103" spans="1:20" x14ac:dyDescent="0.25">
      <c r="A103" s="5">
        <v>44490</v>
      </c>
      <c r="B103">
        <v>0.47570000000000001</v>
      </c>
      <c r="C103">
        <v>0.47920000000000001</v>
      </c>
      <c r="D103">
        <v>0.43169999999999997</v>
      </c>
      <c r="E103">
        <v>0.44369999999999998</v>
      </c>
      <c r="F103">
        <v>17012004</v>
      </c>
      <c r="G103">
        <v>0.44369999999999998</v>
      </c>
      <c r="L103" t="s">
        <v>7</v>
      </c>
      <c r="M103" t="s">
        <v>7</v>
      </c>
      <c r="N103" t="s">
        <v>7</v>
      </c>
      <c r="P103">
        <f t="shared" ref="P103" si="490">IF(C103=D103,0,((E103-D103)-(C103-E103))/(C103-D103))</f>
        <v>-0.49473684210526314</v>
      </c>
      <c r="Q103">
        <f t="shared" ref="Q103" si="491">F103*P103</f>
        <v>-8416465.1368421055</v>
      </c>
      <c r="R103">
        <f t="shared" ref="R103" si="492">R104+Q103</f>
        <v>-1859786731.5579896</v>
      </c>
      <c r="S103">
        <f t="shared" ref="S103" si="493">R103/100000</f>
        <v>-18597.867315579897</v>
      </c>
      <c r="T103">
        <f t="shared" ref="T103" si="494">S103/1000</f>
        <v>-18.597867315579897</v>
      </c>
    </row>
    <row r="104" spans="1:20" x14ac:dyDescent="0.25">
      <c r="A104" s="5">
        <v>44489</v>
      </c>
      <c r="B104">
        <v>0.4677</v>
      </c>
      <c r="C104">
        <v>0.48580000000000001</v>
      </c>
      <c r="D104">
        <v>0.45610000000000001</v>
      </c>
      <c r="E104">
        <v>0.47570000000000001</v>
      </c>
      <c r="F104">
        <v>15300527</v>
      </c>
      <c r="G104">
        <v>0.47570000000000001</v>
      </c>
      <c r="L104" t="s">
        <v>7</v>
      </c>
      <c r="M104" t="s">
        <v>7</v>
      </c>
      <c r="N104" t="s">
        <v>7</v>
      </c>
      <c r="P104">
        <f t="shared" ref="P104" si="495">IF(C104=D104,0,((E104-D104)-(C104-E104))/(C104-D104))</f>
        <v>0.31986531986532013</v>
      </c>
      <c r="Q104">
        <f t="shared" ref="Q104" si="496">F104*P104</f>
        <v>4894107.9629629673</v>
      </c>
      <c r="R104">
        <f t="shared" ref="R104" si="497">R105+Q104</f>
        <v>-1851370266.4211476</v>
      </c>
      <c r="S104">
        <f t="shared" ref="S104" si="498">R104/100000</f>
        <v>-18513.702664211476</v>
      </c>
      <c r="T104">
        <f t="shared" ref="T104" si="499">S104/1000</f>
        <v>-18.513702664211475</v>
      </c>
    </row>
    <row r="105" spans="1:20" x14ac:dyDescent="0.25">
      <c r="A105" s="5">
        <v>44488</v>
      </c>
      <c r="B105">
        <v>0.48670000000000002</v>
      </c>
      <c r="C105">
        <v>0.50590000000000002</v>
      </c>
      <c r="D105">
        <v>0.46229999999999999</v>
      </c>
      <c r="E105">
        <v>0.4677</v>
      </c>
      <c r="F105">
        <v>28445267</v>
      </c>
      <c r="G105">
        <v>0.4677</v>
      </c>
      <c r="L105" t="s">
        <v>8</v>
      </c>
      <c r="M105" t="s">
        <v>7</v>
      </c>
      <c r="N105" t="s">
        <v>7</v>
      </c>
      <c r="P105">
        <f t="shared" ref="P105" si="500">IF(C105=D105,0,((E105-D105)-(C105-E105))/(C105-D105))</f>
        <v>-0.75229357798165075</v>
      </c>
      <c r="Q105">
        <f t="shared" ref="Q105" si="501">F105*P105</f>
        <v>-21399191.688073378</v>
      </c>
      <c r="R105">
        <f t="shared" ref="R105" si="502">R106+Q105</f>
        <v>-1856264374.3841105</v>
      </c>
      <c r="S105">
        <f t="shared" ref="S105" si="503">R105/100000</f>
        <v>-18562.643743841105</v>
      </c>
      <c r="T105">
        <f t="shared" ref="T105" si="504">S105/1000</f>
        <v>-18.562643743841104</v>
      </c>
    </row>
    <row r="106" spans="1:20" x14ac:dyDescent="0.25">
      <c r="A106" s="5">
        <v>44487</v>
      </c>
      <c r="B106">
        <v>0.47649999999999998</v>
      </c>
      <c r="C106">
        <v>0.54169999999999996</v>
      </c>
      <c r="D106">
        <v>0.45929999999999999</v>
      </c>
      <c r="E106">
        <v>0.48670000000000002</v>
      </c>
      <c r="F106">
        <v>55416134</v>
      </c>
      <c r="G106">
        <v>0.48670000000000002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-0.33495145631067852</v>
      </c>
      <c r="Q106">
        <f t="shared" ref="Q106" si="506">F106*P106</f>
        <v>-18561714.786407705</v>
      </c>
      <c r="R106">
        <f t="shared" ref="R106" si="507">R107+Q106</f>
        <v>-1834865182.6960371</v>
      </c>
      <c r="S106">
        <f t="shared" ref="S106" si="508">R106/100000</f>
        <v>-18348.651826960369</v>
      </c>
      <c r="T106">
        <f t="shared" ref="T106" si="509">S106/1000</f>
        <v>-18.348651826960371</v>
      </c>
    </row>
    <row r="107" spans="1:20" x14ac:dyDescent="0.25">
      <c r="A107" s="5">
        <v>44486</v>
      </c>
      <c r="B107">
        <v>0.49990000000000001</v>
      </c>
      <c r="C107">
        <v>0.57999999999999996</v>
      </c>
      <c r="D107">
        <v>0.47089999999999999</v>
      </c>
      <c r="E107">
        <v>0.47610000000000002</v>
      </c>
      <c r="F107">
        <v>93702571</v>
      </c>
      <c r="G107">
        <v>0.47610000000000002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-0.90467461044912856</v>
      </c>
      <c r="Q107">
        <f t="shared" ref="Q107" si="511">F107*P107</f>
        <v>-84770336.917506814</v>
      </c>
      <c r="R107">
        <f t="shared" ref="R107" si="512">R108+Q107</f>
        <v>-1816303467.9096293</v>
      </c>
      <c r="S107">
        <f t="shared" ref="S107" si="513">R107/100000</f>
        <v>-18163.034679096294</v>
      </c>
      <c r="T107">
        <f t="shared" ref="T107" si="514">S107/1000</f>
        <v>-18.163034679096295</v>
      </c>
    </row>
    <row r="108" spans="1:20" x14ac:dyDescent="0.25">
      <c r="A108" s="5">
        <v>44485</v>
      </c>
      <c r="B108">
        <v>0.45429999999999998</v>
      </c>
      <c r="C108">
        <v>0.74</v>
      </c>
      <c r="D108">
        <v>0.44419999999999998</v>
      </c>
      <c r="E108">
        <v>0.49980000000000002</v>
      </c>
      <c r="F108">
        <v>404604581.80000001</v>
      </c>
      <c r="G108">
        <v>0.49980000000000002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-0.62407031778228506</v>
      </c>
      <c r="Q108">
        <f t="shared" ref="Q108" si="516">F108*P108</f>
        <v>-252501709.94009456</v>
      </c>
      <c r="R108">
        <f t="shared" ref="R108" si="517">R109+Q108</f>
        <v>-1731533130.9921224</v>
      </c>
      <c r="S108">
        <f t="shared" ref="S108" si="518">R108/100000</f>
        <v>-17315.331309921225</v>
      </c>
      <c r="T108">
        <f t="shared" ref="T108" si="519">S108/1000</f>
        <v>-17.315331309921223</v>
      </c>
    </row>
    <row r="109" spans="1:20" x14ac:dyDescent="0.25">
      <c r="A109" s="5">
        <v>44484</v>
      </c>
      <c r="B109">
        <v>0.374</v>
      </c>
      <c r="C109">
        <v>0.48130000000000001</v>
      </c>
      <c r="D109">
        <v>0.36020000000000002</v>
      </c>
      <c r="E109">
        <v>0.45390000000000003</v>
      </c>
      <c r="F109">
        <v>75450036</v>
      </c>
      <c r="G109">
        <v>0.45390000000000003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0.54748142031379055</v>
      </c>
      <c r="Q109">
        <f t="shared" ref="Q109" si="521">F109*P109</f>
        <v>41307492.872006625</v>
      </c>
      <c r="R109">
        <f t="shared" ref="R109" si="522">R110+Q109</f>
        <v>-1479031421.0520279</v>
      </c>
      <c r="S109">
        <f t="shared" ref="S109" si="523">R109/100000</f>
        <v>-14790.314210520279</v>
      </c>
      <c r="T109">
        <f t="shared" ref="T109" si="524">S109/1000</f>
        <v>-14.790314210520279</v>
      </c>
    </row>
    <row r="110" spans="1:20" x14ac:dyDescent="0.25">
      <c r="A110" s="5">
        <v>44483</v>
      </c>
      <c r="B110">
        <v>0.36270000000000002</v>
      </c>
      <c r="C110">
        <v>0.38990000000000002</v>
      </c>
      <c r="D110">
        <v>0.3589</v>
      </c>
      <c r="E110">
        <v>0.374</v>
      </c>
      <c r="F110">
        <v>11322183</v>
      </c>
      <c r="G110">
        <v>0.374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-2.580645161290394E-2</v>
      </c>
      <c r="Q110">
        <f t="shared" ref="Q110" si="526">F110*P110</f>
        <v>-292185.36774194357</v>
      </c>
      <c r="R110">
        <f t="shared" ref="R110" si="527">R111+Q110</f>
        <v>-1520338913.9240346</v>
      </c>
      <c r="S110">
        <f t="shared" ref="S110" si="528">R110/100000</f>
        <v>-15203.389139240346</v>
      </c>
      <c r="T110">
        <f t="shared" ref="T110" si="529">S110/1000</f>
        <v>-15.203389139240345</v>
      </c>
    </row>
    <row r="111" spans="1:20" x14ac:dyDescent="0.25">
      <c r="A111" s="5">
        <v>44482</v>
      </c>
      <c r="B111">
        <v>0.36990000000000001</v>
      </c>
      <c r="C111">
        <v>0.37940000000000002</v>
      </c>
      <c r="D111">
        <v>0.35020000000000001</v>
      </c>
      <c r="E111">
        <v>0.36270000000000002</v>
      </c>
      <c r="F111">
        <v>14073944</v>
      </c>
      <c r="G111">
        <v>0.36270000000000002</v>
      </c>
      <c r="L111" t="s">
        <v>8</v>
      </c>
      <c r="M111" t="s">
        <v>8</v>
      </c>
      <c r="N111" t="s">
        <v>8</v>
      </c>
      <c r="P111">
        <f t="shared" ref="P111" si="530">IF(C111=D111,0,((E111-D111)-(C111-E111))/(C111-D111))</f>
        <v>-0.14383561643835552</v>
      </c>
      <c r="Q111">
        <f t="shared" ref="Q111" si="531">F111*P111</f>
        <v>-2024334.410958895</v>
      </c>
      <c r="R111">
        <f t="shared" ref="R111" si="532">R112+Q111</f>
        <v>-1520046728.5562925</v>
      </c>
      <c r="S111">
        <f t="shared" ref="S111" si="533">R111/100000</f>
        <v>-15200.467285562925</v>
      </c>
      <c r="T111">
        <f t="shared" ref="T111" si="534">S111/1000</f>
        <v>-15.200467285562926</v>
      </c>
    </row>
    <row r="112" spans="1:20" x14ac:dyDescent="0.25">
      <c r="A112" s="5">
        <v>44481</v>
      </c>
      <c r="B112">
        <v>0.36459999999999998</v>
      </c>
      <c r="C112">
        <v>0.39500000000000002</v>
      </c>
      <c r="D112">
        <v>0.32250000000000001</v>
      </c>
      <c r="E112">
        <v>0.36990000000000001</v>
      </c>
      <c r="F112">
        <v>50356506</v>
      </c>
      <c r="G112">
        <v>0.36990000000000001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0.30758620689655147</v>
      </c>
      <c r="Q112">
        <f t="shared" ref="Q112" si="536">F112*P112</f>
        <v>15488966.673103435</v>
      </c>
      <c r="R112">
        <f t="shared" ref="R112" si="537">R113+Q112</f>
        <v>-1518022394.1453335</v>
      </c>
      <c r="S112">
        <f t="shared" ref="S112" si="538">R112/100000</f>
        <v>-15180.223941453336</v>
      </c>
      <c r="T112">
        <f t="shared" ref="T112" si="539">S112/1000</f>
        <v>-15.180223941453336</v>
      </c>
    </row>
    <row r="113" spans="1:20" x14ac:dyDescent="0.25">
      <c r="A113" s="5">
        <v>44480</v>
      </c>
      <c r="B113">
        <v>0.34</v>
      </c>
      <c r="C113">
        <v>0.36549999999999999</v>
      </c>
      <c r="D113">
        <v>0.3342</v>
      </c>
      <c r="E113">
        <v>0.36459999999999998</v>
      </c>
      <c r="F113">
        <v>10822509</v>
      </c>
      <c r="G113">
        <v>0.36459999999999998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0.94249201277955197</v>
      </c>
      <c r="Q113">
        <f t="shared" ref="Q113" si="541">F113*P113</f>
        <v>10200128.290734816</v>
      </c>
      <c r="R113">
        <f t="shared" ref="R113" si="542">R114+Q113</f>
        <v>-1533511360.8184369</v>
      </c>
      <c r="S113">
        <f t="shared" ref="S113" si="543">R113/100000</f>
        <v>-15335.113608184369</v>
      </c>
      <c r="T113">
        <f t="shared" ref="T113" si="544">S113/1000</f>
        <v>-15.335113608184368</v>
      </c>
    </row>
    <row r="114" spans="1:20" x14ac:dyDescent="0.25">
      <c r="A114" s="5">
        <v>44479</v>
      </c>
      <c r="B114">
        <v>0.37040000000000001</v>
      </c>
      <c r="C114">
        <v>0.372</v>
      </c>
      <c r="D114">
        <v>0.33689999999999998</v>
      </c>
      <c r="E114">
        <v>0.34</v>
      </c>
      <c r="F114">
        <v>6958495</v>
      </c>
      <c r="G114">
        <v>0.34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-0.82336182336182073</v>
      </c>
      <c r="Q114">
        <f t="shared" ref="Q114" si="546">F114*P114</f>
        <v>-5729359.1310541127</v>
      </c>
      <c r="R114">
        <f t="shared" ref="R114" si="547">R115+Q114</f>
        <v>-1543711489.1091716</v>
      </c>
      <c r="S114">
        <f t="shared" ref="S114" si="548">R114/100000</f>
        <v>-15437.114891091716</v>
      </c>
      <c r="T114">
        <f t="shared" ref="T114" si="549">S114/1000</f>
        <v>-15.437114891091717</v>
      </c>
    </row>
    <row r="115" spans="1:20" x14ac:dyDescent="0.25">
      <c r="A115" s="5">
        <v>44478</v>
      </c>
      <c r="B115">
        <v>0.36969999999999997</v>
      </c>
      <c r="C115">
        <v>0.38690000000000002</v>
      </c>
      <c r="D115">
        <v>0.36370000000000002</v>
      </c>
      <c r="E115">
        <v>0.37</v>
      </c>
      <c r="F115">
        <v>9563120</v>
      </c>
      <c r="G115">
        <v>0.37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-0.45689655172414029</v>
      </c>
      <c r="Q115">
        <f t="shared" ref="Q115" si="551">F115*P115</f>
        <v>-4369356.5517241601</v>
      </c>
      <c r="R115">
        <f t="shared" ref="R115" si="552">R116+Q115</f>
        <v>-1537982129.9781175</v>
      </c>
      <c r="S115">
        <f t="shared" ref="S115" si="553">R115/100000</f>
        <v>-15379.821299781175</v>
      </c>
      <c r="T115">
        <f t="shared" ref="T115" si="554">S115/1000</f>
        <v>-15.379821299781176</v>
      </c>
    </row>
    <row r="116" spans="1:20" x14ac:dyDescent="0.25">
      <c r="A116" s="5">
        <v>44477</v>
      </c>
      <c r="B116">
        <v>0.37459999999999999</v>
      </c>
      <c r="C116">
        <v>0.38390000000000002</v>
      </c>
      <c r="D116">
        <v>0.36170000000000002</v>
      </c>
      <c r="E116">
        <v>0.36940000000000001</v>
      </c>
      <c r="F116">
        <v>13109813</v>
      </c>
      <c r="G116">
        <v>0.36940000000000001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-0.30630630630630762</v>
      </c>
      <c r="Q116">
        <f t="shared" ref="Q116" si="556">F116*P116</f>
        <v>-4015618.3963964134</v>
      </c>
      <c r="R116">
        <f t="shared" ref="R116" si="557">R117+Q116</f>
        <v>-1533612773.4263933</v>
      </c>
      <c r="S116">
        <f t="shared" ref="S116" si="558">R116/100000</f>
        <v>-15336.127734263933</v>
      </c>
      <c r="T116">
        <f t="shared" ref="T116" si="559">S116/1000</f>
        <v>-15.336127734263933</v>
      </c>
    </row>
    <row r="117" spans="1:20" x14ac:dyDescent="0.25">
      <c r="A117" s="5">
        <v>44476</v>
      </c>
      <c r="B117">
        <v>0.4002</v>
      </c>
      <c r="C117">
        <v>0.42470000000000002</v>
      </c>
      <c r="D117">
        <v>0.35970000000000002</v>
      </c>
      <c r="E117">
        <v>0.3745</v>
      </c>
      <c r="F117">
        <v>25909624</v>
      </c>
      <c r="G117">
        <v>0.3745</v>
      </c>
      <c r="L117" t="s">
        <v>7</v>
      </c>
      <c r="M117" t="s">
        <v>8</v>
      </c>
      <c r="N117" t="s">
        <v>8</v>
      </c>
      <c r="P117">
        <f t="shared" ref="P117" si="560">IF(C117=D117,0,((E117-D117)-(C117-E117))/(C117-D117))</f>
        <v>-0.54461538461538528</v>
      </c>
      <c r="Q117">
        <f t="shared" ref="Q117" si="561">F117*P117</f>
        <v>-14110779.840000017</v>
      </c>
      <c r="R117">
        <f t="shared" ref="R117" si="562">R118+Q117</f>
        <v>-1529597155.0299969</v>
      </c>
      <c r="S117">
        <f t="shared" ref="S117" si="563">R117/100000</f>
        <v>-15295.971550299968</v>
      </c>
      <c r="T117">
        <f t="shared" ref="T117" si="564">S117/1000</f>
        <v>-15.295971550299967</v>
      </c>
    </row>
    <row r="118" spans="1:20" x14ac:dyDescent="0.25">
      <c r="A118" s="5">
        <v>44475</v>
      </c>
      <c r="B118">
        <v>0.3488</v>
      </c>
      <c r="C118">
        <v>0.42670000000000002</v>
      </c>
      <c r="D118">
        <v>0.31850000000000001</v>
      </c>
      <c r="E118">
        <v>0.39979999999999999</v>
      </c>
      <c r="F118">
        <v>53782594</v>
      </c>
      <c r="G118">
        <v>0.39979999999999999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0.50277264325323423</v>
      </c>
      <c r="Q118">
        <f t="shared" ref="Q118" si="566">F118*P118</f>
        <v>27040416.946395535</v>
      </c>
      <c r="R118">
        <f t="shared" ref="R118" si="567">R119+Q118</f>
        <v>-1515486375.189997</v>
      </c>
      <c r="S118">
        <f t="shared" ref="S118" si="568">R118/100000</f>
        <v>-15154.863751899969</v>
      </c>
      <c r="T118">
        <f t="shared" ref="T118" si="569">S118/1000</f>
        <v>-15.154863751899969</v>
      </c>
    </row>
    <row r="119" spans="1:20" x14ac:dyDescent="0.25">
      <c r="A119" s="5">
        <v>44474</v>
      </c>
      <c r="B119">
        <v>0.33069999999999999</v>
      </c>
      <c r="C119">
        <v>0.36499999999999999</v>
      </c>
      <c r="D119">
        <v>0.32569999999999999</v>
      </c>
      <c r="E119">
        <v>0.34849999999999998</v>
      </c>
      <c r="F119">
        <v>13796081</v>
      </c>
      <c r="G119">
        <v>0.34849999999999998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0.16030534351144968</v>
      </c>
      <c r="Q119">
        <f t="shared" ref="Q119" si="571">F119*P119</f>
        <v>2211585.5038167844</v>
      </c>
      <c r="R119">
        <f t="shared" ref="R119" si="572">R120+Q119</f>
        <v>-1542526792.1363926</v>
      </c>
      <c r="S119">
        <f t="shared" ref="S119" si="573">R119/100000</f>
        <v>-15425.267921363926</v>
      </c>
      <c r="T119">
        <f t="shared" ref="T119" si="574">S119/1000</f>
        <v>-15.425267921363925</v>
      </c>
    </row>
    <row r="120" spans="1:20" x14ac:dyDescent="0.25">
      <c r="A120" s="5">
        <v>44473</v>
      </c>
      <c r="B120">
        <v>0.33829999999999999</v>
      </c>
      <c r="C120">
        <v>0.35959999999999998</v>
      </c>
      <c r="D120">
        <v>0.31340000000000001</v>
      </c>
      <c r="E120">
        <v>0.32979999999999998</v>
      </c>
      <c r="F120">
        <v>28537213</v>
      </c>
      <c r="G120">
        <v>0.32979999999999998</v>
      </c>
      <c r="L120" t="s">
        <v>8</v>
      </c>
      <c r="M120" t="s">
        <v>8</v>
      </c>
      <c r="N120" t="s">
        <v>7</v>
      </c>
      <c r="P120">
        <f t="shared" ref="P120" si="575">IF(C120=D120,0,((E120-D120)-(C120-E120))/(C120-D120))</f>
        <v>-0.29004329004329077</v>
      </c>
      <c r="Q120">
        <f t="shared" ref="Q120" si="576">F120*P120</f>
        <v>-8277027.1471861675</v>
      </c>
      <c r="R120">
        <f t="shared" ref="R120" si="577">R121+Q120</f>
        <v>-1544738377.6402094</v>
      </c>
      <c r="S120">
        <f t="shared" ref="S120" si="578">R120/100000</f>
        <v>-15447.383776402094</v>
      </c>
      <c r="T120">
        <f t="shared" ref="T120" si="579">S120/1000</f>
        <v>-15.447383776402093</v>
      </c>
    </row>
    <row r="121" spans="1:20" x14ac:dyDescent="0.25">
      <c r="A121" s="5">
        <v>44472</v>
      </c>
      <c r="B121">
        <v>0.32390000000000002</v>
      </c>
      <c r="C121">
        <v>0.35680000000000001</v>
      </c>
      <c r="D121">
        <v>0.31480000000000002</v>
      </c>
      <c r="E121">
        <v>0.33789999999999998</v>
      </c>
      <c r="F121">
        <v>18932716</v>
      </c>
      <c r="G121">
        <v>0.33789999999999998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9.9999999999998285E-2</v>
      </c>
      <c r="Q121">
        <f t="shared" ref="Q121" si="581">F121*P121</f>
        <v>1893271.5999999675</v>
      </c>
      <c r="R121">
        <f t="shared" ref="R121" si="582">R122+Q121</f>
        <v>-1536461350.4930232</v>
      </c>
      <c r="S121">
        <f t="shared" ref="S121" si="583">R121/100000</f>
        <v>-15364.613504930232</v>
      </c>
      <c r="T121">
        <f t="shared" ref="T121" si="584">S121/1000</f>
        <v>-15.364613504930231</v>
      </c>
    </row>
    <row r="122" spans="1:20" x14ac:dyDescent="0.25">
      <c r="A122" s="5">
        <v>44471</v>
      </c>
      <c r="B122">
        <v>0.31630000000000003</v>
      </c>
      <c r="C122">
        <v>0.33400000000000002</v>
      </c>
      <c r="D122">
        <v>0.31219999999999998</v>
      </c>
      <c r="E122">
        <v>0.32390000000000002</v>
      </c>
      <c r="F122">
        <v>11877047</v>
      </c>
      <c r="G122">
        <v>0.32390000000000002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7.3394495412845998E-2</v>
      </c>
      <c r="Q122">
        <f t="shared" ref="Q122" si="586">F122*P122</f>
        <v>871709.87155965634</v>
      </c>
      <c r="R122">
        <f t="shared" ref="R122" si="587">R123+Q122</f>
        <v>-1538354622.0930231</v>
      </c>
      <c r="S122">
        <f t="shared" ref="S122" si="588">R122/100000</f>
        <v>-15383.546220930231</v>
      </c>
      <c r="T122">
        <f t="shared" ref="T122" si="589">S122/1000</f>
        <v>-15.383546220930231</v>
      </c>
    </row>
    <row r="123" spans="1:20" x14ac:dyDescent="0.25">
      <c r="A123" s="5">
        <v>44470</v>
      </c>
      <c r="B123">
        <v>0.29330000000000001</v>
      </c>
      <c r="C123">
        <v>0.31769999999999998</v>
      </c>
      <c r="D123">
        <v>0.28810000000000002</v>
      </c>
      <c r="E123">
        <v>0.31669999999999998</v>
      </c>
      <c r="F123">
        <v>9427717</v>
      </c>
      <c r="G123">
        <v>0.31669999999999998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0.93243243243243223</v>
      </c>
      <c r="Q123">
        <f t="shared" ref="Q123" si="591">F123*P123</f>
        <v>8790709.0945945922</v>
      </c>
      <c r="R123">
        <f t="shared" ref="R123" si="592">R124+Q123</f>
        <v>-1539226331.9645827</v>
      </c>
      <c r="S123">
        <f t="shared" ref="S123" si="593">R123/100000</f>
        <v>-15392.263319645826</v>
      </c>
      <c r="T123">
        <f t="shared" ref="T123" si="594">S123/1000</f>
        <v>-15.392263319645826</v>
      </c>
    </row>
    <row r="124" spans="1:20" x14ac:dyDescent="0.25">
      <c r="A124" s="5">
        <v>44469</v>
      </c>
      <c r="B124">
        <v>0.27789999999999998</v>
      </c>
      <c r="C124">
        <v>0.29339999999999999</v>
      </c>
      <c r="D124">
        <v>0.27589999999999998</v>
      </c>
      <c r="E124">
        <v>0.29339999999999999</v>
      </c>
      <c r="F124">
        <v>5280067</v>
      </c>
      <c r="G124">
        <v>0.29339999999999999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1</v>
      </c>
      <c r="Q124">
        <f t="shared" ref="Q124" si="596">F124*P124</f>
        <v>5280067</v>
      </c>
      <c r="R124">
        <f t="shared" ref="R124" si="597">R125+Q124</f>
        <v>-1548017041.0591772</v>
      </c>
      <c r="S124">
        <f t="shared" ref="S124" si="598">R124/100000</f>
        <v>-15480.170410591772</v>
      </c>
      <c r="T124">
        <f t="shared" ref="T124" si="599">S124/1000</f>
        <v>-15.480170410591773</v>
      </c>
    </row>
    <row r="125" spans="1:20" x14ac:dyDescent="0.25">
      <c r="A125" s="5">
        <v>44468</v>
      </c>
      <c r="B125">
        <v>0.26590000000000003</v>
      </c>
      <c r="C125">
        <v>0.2893</v>
      </c>
      <c r="D125">
        <v>0.26479999999999998</v>
      </c>
      <c r="E125">
        <v>0.27789999999999998</v>
      </c>
      <c r="F125">
        <v>4679868</v>
      </c>
      <c r="G125">
        <v>0.27789999999999998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6.9387755102039914E-2</v>
      </c>
      <c r="Q125">
        <f t="shared" ref="Q125" si="601">F125*P125</f>
        <v>324725.53469387331</v>
      </c>
      <c r="R125">
        <f t="shared" ref="R125" si="602">R126+Q125</f>
        <v>-1553297108.0591772</v>
      </c>
      <c r="S125">
        <f t="shared" ref="S125" si="603">R125/100000</f>
        <v>-15532.971080591771</v>
      </c>
      <c r="T125">
        <f t="shared" ref="T125" si="604">S125/1000</f>
        <v>-15.532971080591771</v>
      </c>
    </row>
    <row r="126" spans="1:20" x14ac:dyDescent="0.25">
      <c r="A126" s="5">
        <v>44467</v>
      </c>
      <c r="B126">
        <v>0.28010000000000002</v>
      </c>
      <c r="C126">
        <v>0.2853</v>
      </c>
      <c r="D126">
        <v>0.26479999999999998</v>
      </c>
      <c r="E126">
        <v>0.26629999999999998</v>
      </c>
      <c r="F126">
        <v>5860373</v>
      </c>
      <c r="G126">
        <v>0.26629999999999998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-0.85365853658536583</v>
      </c>
      <c r="Q126">
        <f t="shared" ref="Q126" si="606">F126*P126</f>
        <v>-5002757.4390243897</v>
      </c>
      <c r="R126">
        <f t="shared" ref="R126" si="607">R127+Q126</f>
        <v>-1553621833.5938711</v>
      </c>
      <c r="S126">
        <f t="shared" ref="S126" si="608">R126/100000</f>
        <v>-15536.218335938711</v>
      </c>
      <c r="T126">
        <f t="shared" ref="T126" si="609">S126/1000</f>
        <v>-15.536218335938711</v>
      </c>
    </row>
    <row r="127" spans="1:20" x14ac:dyDescent="0.25">
      <c r="A127" s="5">
        <v>44466</v>
      </c>
      <c r="B127">
        <v>0.28820000000000001</v>
      </c>
      <c r="C127">
        <v>0.30980000000000002</v>
      </c>
      <c r="D127">
        <v>0.27900000000000003</v>
      </c>
      <c r="E127">
        <v>0.28050000000000003</v>
      </c>
      <c r="F127">
        <v>7753307</v>
      </c>
      <c r="G127">
        <v>0.28050000000000003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-0.90259740259740251</v>
      </c>
      <c r="Q127">
        <f t="shared" ref="Q127" si="611">F127*P127</f>
        <v>-6998114.7597402595</v>
      </c>
      <c r="R127">
        <f t="shared" ref="R127" si="612">R128+Q127</f>
        <v>-1548619076.1548467</v>
      </c>
      <c r="S127">
        <f t="shared" ref="S127" si="613">R127/100000</f>
        <v>-15486.190761548467</v>
      </c>
      <c r="T127">
        <f t="shared" ref="T127" si="614">S127/1000</f>
        <v>-15.486190761548468</v>
      </c>
    </row>
    <row r="128" spans="1:20" x14ac:dyDescent="0.25">
      <c r="A128" s="5">
        <v>44465</v>
      </c>
      <c r="B128">
        <v>0.29730000000000001</v>
      </c>
      <c r="C128">
        <v>0.2979</v>
      </c>
      <c r="D128">
        <v>0.26819999999999999</v>
      </c>
      <c r="E128">
        <v>0.2883</v>
      </c>
      <c r="F128">
        <v>11377472</v>
      </c>
      <c r="G128">
        <v>0.2883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0.35353535353535381</v>
      </c>
      <c r="Q128">
        <f t="shared" ref="Q128" si="616">F128*P128</f>
        <v>4022338.585858589</v>
      </c>
      <c r="R128">
        <f t="shared" ref="R128" si="617">R129+Q128</f>
        <v>-1541620961.3951063</v>
      </c>
      <c r="S128">
        <f t="shared" ref="S128" si="618">R128/100000</f>
        <v>-15416.209613951063</v>
      </c>
      <c r="T128">
        <f t="shared" ref="T128" si="619">S128/1000</f>
        <v>-15.416209613951063</v>
      </c>
    </row>
    <row r="129" spans="1:20" x14ac:dyDescent="0.25">
      <c r="A129" s="5">
        <v>44464</v>
      </c>
      <c r="B129">
        <v>0.29620000000000002</v>
      </c>
      <c r="C129">
        <v>0.30819999999999997</v>
      </c>
      <c r="D129">
        <v>0.28320000000000001</v>
      </c>
      <c r="E129">
        <v>0.29709999999999998</v>
      </c>
      <c r="F129">
        <v>8418558</v>
      </c>
      <c r="G129">
        <v>0.29709999999999998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0.11199999999999892</v>
      </c>
      <c r="Q129">
        <f t="shared" ref="Q129" si="621">F129*P129</f>
        <v>942878.49599999096</v>
      </c>
      <c r="R129">
        <f t="shared" ref="R129" si="622">R130+Q129</f>
        <v>-1545643299.9809649</v>
      </c>
      <c r="S129">
        <f t="shared" ref="S129" si="623">R129/100000</f>
        <v>-15456.432999809649</v>
      </c>
      <c r="T129">
        <f t="shared" ref="T129" si="624">S129/1000</f>
        <v>-15.45643299980965</v>
      </c>
    </row>
    <row r="130" spans="1:20" x14ac:dyDescent="0.25">
      <c r="A130" s="5">
        <v>44463</v>
      </c>
      <c r="B130">
        <v>0.33119999999999999</v>
      </c>
      <c r="C130">
        <v>0.33179999999999998</v>
      </c>
      <c r="D130">
        <v>0.2767</v>
      </c>
      <c r="E130">
        <v>0.29559999999999997</v>
      </c>
      <c r="F130">
        <v>13988431</v>
      </c>
      <c r="G130">
        <v>0.29559999999999997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-0.31397459165154346</v>
      </c>
      <c r="Q130">
        <f t="shared" ref="Q130" si="626">F130*P130</f>
        <v>-4392011.911070792</v>
      </c>
      <c r="R130">
        <f t="shared" ref="R130" si="627">R131+Q130</f>
        <v>-1546586178.476965</v>
      </c>
      <c r="S130">
        <f t="shared" ref="S130" si="628">R130/100000</f>
        <v>-15465.86178476965</v>
      </c>
      <c r="T130">
        <f t="shared" ref="T130" si="629">S130/1000</f>
        <v>-15.46586178476965</v>
      </c>
    </row>
    <row r="131" spans="1:20" x14ac:dyDescent="0.25">
      <c r="A131" s="5">
        <v>44462</v>
      </c>
      <c r="B131">
        <v>0.33150000000000002</v>
      </c>
      <c r="C131">
        <v>0.3397</v>
      </c>
      <c r="D131">
        <v>0.31490000000000001</v>
      </c>
      <c r="E131">
        <v>0.33110000000000001</v>
      </c>
      <c r="F131">
        <v>12208493</v>
      </c>
      <c r="G131">
        <v>0.33110000000000001</v>
      </c>
      <c r="L131" t="s">
        <v>7</v>
      </c>
      <c r="M131" t="s">
        <v>8</v>
      </c>
      <c r="N131" t="s">
        <v>7</v>
      </c>
      <c r="P131">
        <f t="shared" ref="P131" si="630">IF(C131=D131,0,((E131-D131)-(C131-E131))/(C131-D131))</f>
        <v>0.30645161290322576</v>
      </c>
      <c r="Q131">
        <f t="shared" ref="Q131" si="631">F131*P131</f>
        <v>3741312.3709677411</v>
      </c>
      <c r="R131">
        <f t="shared" ref="R131" si="632">R132+Q131</f>
        <v>-1542194166.5658941</v>
      </c>
      <c r="S131">
        <f t="shared" ref="S131" si="633">R131/100000</f>
        <v>-15421.941665658942</v>
      </c>
      <c r="T131">
        <f t="shared" ref="T131" si="634">S131/1000</f>
        <v>-15.421941665658942</v>
      </c>
    </row>
    <row r="132" spans="1:20" x14ac:dyDescent="0.25">
      <c r="A132" s="5">
        <v>44461</v>
      </c>
      <c r="B132">
        <v>0.2873</v>
      </c>
      <c r="C132">
        <v>0.33689999999999998</v>
      </c>
      <c r="D132">
        <v>0.27950000000000003</v>
      </c>
      <c r="E132">
        <v>0.33150000000000002</v>
      </c>
      <c r="F132">
        <v>10382210</v>
      </c>
      <c r="G132">
        <v>0.33150000000000002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0.8118466898954716</v>
      </c>
      <c r="Q132">
        <f t="shared" ref="Q132" si="636">F132*P132</f>
        <v>8428762.8222996648</v>
      </c>
      <c r="R132">
        <f t="shared" ref="R132" si="637">R133+Q132</f>
        <v>-1545935478.9368618</v>
      </c>
      <c r="S132">
        <f t="shared" ref="S132" si="638">R132/100000</f>
        <v>-15459.354789368617</v>
      </c>
      <c r="T132">
        <f t="shared" ref="T132" si="639">S132/1000</f>
        <v>-15.459354789368618</v>
      </c>
    </row>
    <row r="133" spans="1:20" x14ac:dyDescent="0.25">
      <c r="A133" s="5">
        <v>44460</v>
      </c>
      <c r="B133">
        <v>0.31530000000000002</v>
      </c>
      <c r="C133">
        <v>0.32800000000000001</v>
      </c>
      <c r="D133">
        <v>0.28100000000000003</v>
      </c>
      <c r="E133">
        <v>0.2863</v>
      </c>
      <c r="F133">
        <v>14291999.699999999</v>
      </c>
      <c r="G133">
        <v>0.2863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-0.7744680851063841</v>
      </c>
      <c r="Q133">
        <f t="shared" ref="Q133" si="641">F133*P133</f>
        <v>-11068697.640000015</v>
      </c>
      <c r="R133">
        <f t="shared" ref="R133" si="642">R134+Q133</f>
        <v>-1554364241.7591615</v>
      </c>
      <c r="S133">
        <f t="shared" ref="S133" si="643">R133/100000</f>
        <v>-15543.642417591615</v>
      </c>
      <c r="T133">
        <f t="shared" ref="T133" si="644">S133/1000</f>
        <v>-15.543642417591615</v>
      </c>
    </row>
    <row r="134" spans="1:20" x14ac:dyDescent="0.25">
      <c r="A134" s="5">
        <v>44459</v>
      </c>
      <c r="B134">
        <v>0.37040000000000001</v>
      </c>
      <c r="C134">
        <v>0.3705</v>
      </c>
      <c r="D134">
        <v>0.32879999999999998</v>
      </c>
      <c r="E134">
        <v>0.33429999999999999</v>
      </c>
      <c r="F134">
        <v>6772946.2999999998</v>
      </c>
      <c r="G134">
        <v>0.33429999999999999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-0.73621103117505982</v>
      </c>
      <c r="Q134">
        <f t="shared" ref="Q134" si="646">F134*P134</f>
        <v>-4986317.7796163056</v>
      </c>
      <c r="R134">
        <f t="shared" ref="R134" si="647">R135+Q134</f>
        <v>-1543295544.1191614</v>
      </c>
      <c r="S134">
        <f t="shared" ref="S134" si="648">R134/100000</f>
        <v>-15432.955441191614</v>
      </c>
      <c r="T134">
        <f t="shared" ref="T134" si="649">S134/1000</f>
        <v>-15.432955441191615</v>
      </c>
    </row>
    <row r="135" spans="1:20" x14ac:dyDescent="0.25">
      <c r="A135" s="5">
        <v>44458</v>
      </c>
      <c r="B135">
        <v>0.38300000000000001</v>
      </c>
      <c r="C135">
        <v>0.38600000000000001</v>
      </c>
      <c r="D135">
        <v>0.3634</v>
      </c>
      <c r="E135">
        <v>0.37</v>
      </c>
      <c r="F135">
        <v>7463938</v>
      </c>
      <c r="G135">
        <v>0.37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-0.41592920353982371</v>
      </c>
      <c r="Q135">
        <f t="shared" ref="Q135" si="651">F135*P135</f>
        <v>-3104469.7876106249</v>
      </c>
      <c r="R135">
        <f t="shared" ref="R135" si="652">R136+Q135</f>
        <v>-1538309226.339545</v>
      </c>
      <c r="S135">
        <f t="shared" ref="S135" si="653">R135/100000</f>
        <v>-15383.092263395451</v>
      </c>
      <c r="T135">
        <f t="shared" ref="T135" si="654">S135/1000</f>
        <v>-15.383092263395451</v>
      </c>
    </row>
    <row r="136" spans="1:20" x14ac:dyDescent="0.25">
      <c r="A136" s="5">
        <v>44457</v>
      </c>
      <c r="B136">
        <v>0.38009999999999999</v>
      </c>
      <c r="C136">
        <v>0.39489999999999997</v>
      </c>
      <c r="D136">
        <v>0.37180000000000002</v>
      </c>
      <c r="E136">
        <v>0.38300000000000001</v>
      </c>
      <c r="F136">
        <v>8884348</v>
      </c>
      <c r="G136">
        <v>0.38300000000000001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-3.030303030302943E-2</v>
      </c>
      <c r="Q136">
        <f t="shared" ref="Q136" si="656">F136*P136</f>
        <v>-269222.66666665889</v>
      </c>
      <c r="R136">
        <f t="shared" ref="R136" si="657">R137+Q136</f>
        <v>-1535204756.5519345</v>
      </c>
      <c r="S136">
        <f t="shared" ref="S136" si="658">R136/100000</f>
        <v>-15352.047565519344</v>
      </c>
      <c r="T136">
        <f t="shared" ref="T136" si="659">S136/1000</f>
        <v>-15.352047565519344</v>
      </c>
    </row>
    <row r="137" spans="1:20" x14ac:dyDescent="0.25">
      <c r="A137" s="5">
        <v>44456</v>
      </c>
      <c r="B137">
        <v>0.40350000000000003</v>
      </c>
      <c r="C137">
        <v>0.40479999999999999</v>
      </c>
      <c r="D137">
        <v>0.37059999999999998</v>
      </c>
      <c r="E137">
        <v>0.37990000000000002</v>
      </c>
      <c r="F137">
        <v>12356560</v>
      </c>
      <c r="G137">
        <v>0.37990000000000002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-0.45614035087719135</v>
      </c>
      <c r="Q137">
        <f t="shared" ref="Q137" si="661">F137*P137</f>
        <v>-5636325.6140350671</v>
      </c>
      <c r="R137">
        <f t="shared" ref="R137" si="662">R138+Q137</f>
        <v>-1534935533.8852677</v>
      </c>
      <c r="S137">
        <f t="shared" ref="S137" si="663">R137/100000</f>
        <v>-15349.355338852678</v>
      </c>
      <c r="T137">
        <f t="shared" ref="T137" si="664">S137/1000</f>
        <v>-15.349355338852678</v>
      </c>
    </row>
    <row r="138" spans="1:20" x14ac:dyDescent="0.25">
      <c r="A138" s="5">
        <v>44455</v>
      </c>
      <c r="B138">
        <v>0.40160000000000001</v>
      </c>
      <c r="C138">
        <v>0.43440000000000001</v>
      </c>
      <c r="D138">
        <v>0.38069999999999998</v>
      </c>
      <c r="E138">
        <v>0.40350000000000003</v>
      </c>
      <c r="F138">
        <v>31861565</v>
      </c>
      <c r="G138">
        <v>0.40350000000000003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-0.15083798882681446</v>
      </c>
      <c r="Q138">
        <f t="shared" ref="Q138" si="666">F138*P138</f>
        <v>-4805934.3854748225</v>
      </c>
      <c r="R138">
        <f t="shared" ref="R138" si="667">R139+Q138</f>
        <v>-1529299208.2712326</v>
      </c>
      <c r="S138">
        <f t="shared" ref="S138" si="668">R138/100000</f>
        <v>-15292.992082712326</v>
      </c>
      <c r="T138">
        <f t="shared" ref="T138" si="669">S138/1000</f>
        <v>-15.292992082712326</v>
      </c>
    </row>
    <row r="139" spans="1:20" x14ac:dyDescent="0.25">
      <c r="A139" s="5">
        <v>44454</v>
      </c>
      <c r="B139">
        <v>0.39190000000000003</v>
      </c>
      <c r="C139">
        <v>0.40739999999999998</v>
      </c>
      <c r="D139">
        <v>0.38779999999999998</v>
      </c>
      <c r="E139">
        <v>0.40139999999999998</v>
      </c>
      <c r="F139">
        <v>17279282</v>
      </c>
      <c r="G139">
        <v>0.40139999999999998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0.38775510204081598</v>
      </c>
      <c r="Q139">
        <f t="shared" ref="Q139" si="671">F139*P139</f>
        <v>6700129.7551020347</v>
      </c>
      <c r="R139">
        <f t="shared" ref="R139" si="672">R140+Q139</f>
        <v>-1524493273.8857577</v>
      </c>
      <c r="S139">
        <f t="shared" ref="S139" si="673">R139/100000</f>
        <v>-15244.932738857577</v>
      </c>
      <c r="T139">
        <f t="shared" ref="T139" si="674">S139/1000</f>
        <v>-15.244932738857576</v>
      </c>
    </row>
    <row r="140" spans="1:20" x14ac:dyDescent="0.25">
      <c r="A140" s="5">
        <v>44453</v>
      </c>
      <c r="B140">
        <v>0.36580000000000001</v>
      </c>
      <c r="C140">
        <v>0.39529999999999998</v>
      </c>
      <c r="D140">
        <v>0.35770000000000002</v>
      </c>
      <c r="E140">
        <v>0.3921</v>
      </c>
      <c r="F140">
        <v>18047063</v>
      </c>
      <c r="G140">
        <v>0.3921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0.82978723404255406</v>
      </c>
      <c r="Q140">
        <f t="shared" ref="Q140" si="676">F140*P140</f>
        <v>14975222.489361718</v>
      </c>
      <c r="R140">
        <f t="shared" ref="R140" si="677">R141+Q140</f>
        <v>-1531193403.6408596</v>
      </c>
      <c r="S140">
        <f t="shared" ref="S140" si="678">R140/100000</f>
        <v>-15311.934036408597</v>
      </c>
      <c r="T140">
        <f t="shared" ref="T140" si="679">S140/1000</f>
        <v>-15.311934036408596</v>
      </c>
    </row>
    <row r="141" spans="1:20" x14ac:dyDescent="0.25">
      <c r="A141" s="5">
        <v>44452</v>
      </c>
      <c r="B141">
        <v>0.38629999999999998</v>
      </c>
      <c r="C141">
        <v>0.38840000000000002</v>
      </c>
      <c r="D141">
        <v>0.33510000000000001</v>
      </c>
      <c r="E141">
        <v>0.3654</v>
      </c>
      <c r="F141">
        <v>16227669</v>
      </c>
      <c r="G141">
        <v>0.3654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0.13696060037523397</v>
      </c>
      <c r="Q141">
        <f t="shared" ref="Q141" si="681">F141*P141</f>
        <v>2222551.2889305726</v>
      </c>
      <c r="R141">
        <f t="shared" ref="R141" si="682">R142+Q141</f>
        <v>-1546168626.1302214</v>
      </c>
      <c r="S141">
        <f t="shared" ref="S141" si="683">R141/100000</f>
        <v>-15461.686261302213</v>
      </c>
      <c r="T141">
        <f t="shared" ref="T141" si="684">S141/1000</f>
        <v>-15.461686261302214</v>
      </c>
    </row>
    <row r="142" spans="1:20" x14ac:dyDescent="0.25">
      <c r="A142" s="5">
        <v>44451</v>
      </c>
      <c r="B142">
        <v>0.36909999999999998</v>
      </c>
      <c r="C142">
        <v>0.39500000000000002</v>
      </c>
      <c r="D142">
        <v>0.35920000000000002</v>
      </c>
      <c r="E142">
        <v>0.38619999999999999</v>
      </c>
      <c r="F142">
        <v>16411790</v>
      </c>
      <c r="G142">
        <v>0.38619999999999999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0.50837988826815472</v>
      </c>
      <c r="Q142">
        <f t="shared" ref="Q142" si="686">F142*P142</f>
        <v>8343423.966480419</v>
      </c>
      <c r="R142">
        <f t="shared" ref="R142" si="687">R143+Q142</f>
        <v>-1548391177.419152</v>
      </c>
      <c r="S142">
        <f t="shared" ref="S142" si="688">R142/100000</f>
        <v>-15483.91177419152</v>
      </c>
      <c r="T142">
        <f t="shared" ref="T142" si="689">S142/1000</f>
        <v>-15.483911774191519</v>
      </c>
    </row>
    <row r="143" spans="1:20" x14ac:dyDescent="0.25">
      <c r="A143" s="5">
        <v>44450</v>
      </c>
      <c r="B143">
        <v>0.36499999999999999</v>
      </c>
      <c r="C143">
        <v>0.39219999999999999</v>
      </c>
      <c r="D143">
        <v>0.35630000000000001</v>
      </c>
      <c r="E143">
        <v>0.36919999999999997</v>
      </c>
      <c r="F143">
        <v>15983462</v>
      </c>
      <c r="G143">
        <v>0.36919999999999997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-0.28133704735376203</v>
      </c>
      <c r="Q143">
        <f t="shared" ref="Q143" si="691">F143*P143</f>
        <v>-4496740.0055710562</v>
      </c>
      <c r="R143">
        <f t="shared" ref="R143" si="692">R144+Q143</f>
        <v>-1556734601.3856325</v>
      </c>
      <c r="S143">
        <f t="shared" ref="S143" si="693">R143/100000</f>
        <v>-15567.346013856326</v>
      </c>
      <c r="T143">
        <f t="shared" ref="T143" si="694">S143/1000</f>
        <v>-15.567346013856326</v>
      </c>
    </row>
    <row r="144" spans="1:20" x14ac:dyDescent="0.25">
      <c r="A144" s="5">
        <v>44449</v>
      </c>
      <c r="B144">
        <v>0.3987</v>
      </c>
      <c r="C144">
        <v>0.41099999999999998</v>
      </c>
      <c r="D144">
        <v>0.35470000000000002</v>
      </c>
      <c r="E144">
        <v>0.3649</v>
      </c>
      <c r="F144">
        <v>15950346</v>
      </c>
      <c r="G144">
        <v>0.3649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-0.6376554174067498</v>
      </c>
      <c r="Q144">
        <f t="shared" ref="Q144" si="696">F144*P144</f>
        <v>-10170824.536412083</v>
      </c>
      <c r="R144">
        <f t="shared" ref="R144" si="697">R145+Q144</f>
        <v>-1552237861.3800614</v>
      </c>
      <c r="S144">
        <f t="shared" ref="S144" si="698">R144/100000</f>
        <v>-15522.378613800614</v>
      </c>
      <c r="T144">
        <f t="shared" ref="T144" si="699">S144/1000</f>
        <v>-15.522378613800614</v>
      </c>
    </row>
    <row r="145" spans="1:20" x14ac:dyDescent="0.25">
      <c r="A145" s="5">
        <v>44448</v>
      </c>
      <c r="B145">
        <v>0.40379999999999999</v>
      </c>
      <c r="C145">
        <v>0.42220000000000002</v>
      </c>
      <c r="D145">
        <v>0.38529999999999998</v>
      </c>
      <c r="E145">
        <v>0.39789999999999998</v>
      </c>
      <c r="F145">
        <v>21120067</v>
      </c>
      <c r="G145">
        <v>0.39789999999999998</v>
      </c>
      <c r="L145" t="s">
        <v>7</v>
      </c>
      <c r="M145" t="s">
        <v>8</v>
      </c>
      <c r="N145" t="s">
        <v>7</v>
      </c>
      <c r="P145">
        <f t="shared" ref="P145" si="700">IF(C145=D145,0,((E145-D145)-(C145-E145))/(C145-D145))</f>
        <v>-0.3170731707317081</v>
      </c>
      <c r="Q145">
        <f t="shared" ref="Q145" si="701">F145*P145</f>
        <v>-6696606.609756114</v>
      </c>
      <c r="R145">
        <f t="shared" ref="R145" si="702">R146+Q145</f>
        <v>-1542067036.8436494</v>
      </c>
      <c r="S145">
        <f t="shared" ref="S145" si="703">R145/100000</f>
        <v>-15420.670368436495</v>
      </c>
      <c r="T145">
        <f t="shared" ref="T145" si="704">S145/1000</f>
        <v>-15.420670368436495</v>
      </c>
    </row>
    <row r="146" spans="1:20" x14ac:dyDescent="0.25">
      <c r="A146" s="5">
        <v>44447</v>
      </c>
      <c r="B146">
        <v>0.40060000000000001</v>
      </c>
      <c r="C146">
        <v>0.4199</v>
      </c>
      <c r="D146">
        <v>0.35139999999999999</v>
      </c>
      <c r="E146">
        <v>0.4042</v>
      </c>
      <c r="F146">
        <v>31310699</v>
      </c>
      <c r="G146">
        <v>0.4042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0.54160583941605867</v>
      </c>
      <c r="Q146">
        <f t="shared" ref="Q146" si="706">F146*P146</f>
        <v>16958057.414598547</v>
      </c>
      <c r="R146">
        <f t="shared" ref="R146" si="707">R147+Q146</f>
        <v>-1535370430.2338932</v>
      </c>
      <c r="S146">
        <f t="shared" ref="S146" si="708">R146/100000</f>
        <v>-15353.704302338932</v>
      </c>
      <c r="T146">
        <f t="shared" ref="T146" si="709">S146/1000</f>
        <v>-15.353704302338933</v>
      </c>
    </row>
    <row r="147" spans="1:20" x14ac:dyDescent="0.25">
      <c r="A147" s="5">
        <v>44446</v>
      </c>
      <c r="B147">
        <v>0.52270000000000005</v>
      </c>
      <c r="C147">
        <v>0.52290000000000003</v>
      </c>
      <c r="D147">
        <v>0.33600000000000002</v>
      </c>
      <c r="E147">
        <v>0.4002</v>
      </c>
      <c r="F147">
        <v>56283321.5</v>
      </c>
      <c r="G147">
        <v>0.4002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-0.31300160513643688</v>
      </c>
      <c r="Q147">
        <f t="shared" ref="Q147" si="711">F147*P147</f>
        <v>-17616769.971910127</v>
      </c>
      <c r="R147">
        <f t="shared" ref="R147" si="712">R148+Q147</f>
        <v>-1552328487.6484916</v>
      </c>
      <c r="S147">
        <f t="shared" ref="S147" si="713">R147/100000</f>
        <v>-15523.284876484917</v>
      </c>
      <c r="T147">
        <f t="shared" ref="T147" si="714">S147/1000</f>
        <v>-15.523284876484917</v>
      </c>
    </row>
    <row r="148" spans="1:20" x14ac:dyDescent="0.25">
      <c r="A148" s="5">
        <v>44445</v>
      </c>
      <c r="B148">
        <v>0.53239999999999998</v>
      </c>
      <c r="C148">
        <v>0.54990000000000006</v>
      </c>
      <c r="D148">
        <v>0.46899999999999997</v>
      </c>
      <c r="E148">
        <v>0.52239999999999998</v>
      </c>
      <c r="F148">
        <v>36620155</v>
      </c>
      <c r="G148">
        <v>0.52239999999999998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0.32014833127317549</v>
      </c>
      <c r="Q148">
        <f t="shared" ref="Q148" si="716">F148*P148</f>
        <v>11723881.514215034</v>
      </c>
      <c r="R148">
        <f t="shared" ref="R148" si="717">R149+Q148</f>
        <v>-1534711717.6765814</v>
      </c>
      <c r="S148">
        <f t="shared" ref="S148" si="718">R148/100000</f>
        <v>-15347.117176765814</v>
      </c>
      <c r="T148">
        <f t="shared" ref="T148" si="719">S148/1000</f>
        <v>-15.347117176765813</v>
      </c>
    </row>
    <row r="149" spans="1:20" x14ac:dyDescent="0.25">
      <c r="A149" s="5">
        <v>44444</v>
      </c>
      <c r="B149">
        <v>0.50270000000000004</v>
      </c>
      <c r="C149">
        <v>0.54</v>
      </c>
      <c r="D149">
        <v>0.48799999999999999</v>
      </c>
      <c r="E149">
        <v>0.53269999999999995</v>
      </c>
      <c r="F149">
        <v>38397140</v>
      </c>
      <c r="G149">
        <v>0.53269999999999995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0.71923076923076623</v>
      </c>
      <c r="Q149">
        <f t="shared" ref="Q149" si="721">F149*P149</f>
        <v>27616404.538461424</v>
      </c>
      <c r="R149">
        <f t="shared" ref="R149" si="722">R150+Q149</f>
        <v>-1546435599.1907964</v>
      </c>
      <c r="S149">
        <f t="shared" ref="S149" si="723">R149/100000</f>
        <v>-15464.355991907963</v>
      </c>
      <c r="T149">
        <f t="shared" ref="T149" si="724">S149/1000</f>
        <v>-15.464355991907963</v>
      </c>
    </row>
    <row r="150" spans="1:20" x14ac:dyDescent="0.25">
      <c r="A150" s="5">
        <v>44443</v>
      </c>
      <c r="B150">
        <v>0.4672</v>
      </c>
      <c r="C150">
        <v>0.57099999999999995</v>
      </c>
      <c r="D150">
        <v>0.46400000000000002</v>
      </c>
      <c r="E150">
        <v>0.50249999999999995</v>
      </c>
      <c r="F150">
        <v>72927033.700000003</v>
      </c>
      <c r="G150">
        <v>0.50249999999999995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-0.28037383177570191</v>
      </c>
      <c r="Q150">
        <f t="shared" ref="Q150" si="726">F150*P150</f>
        <v>-20446831.878504746</v>
      </c>
      <c r="R150">
        <f t="shared" ref="R150" si="727">R151+Q150</f>
        <v>-1574052003.7292578</v>
      </c>
      <c r="S150">
        <f t="shared" ref="S150" si="728">R150/100000</f>
        <v>-15740.520037292577</v>
      </c>
      <c r="T150">
        <f t="shared" ref="T150" si="729">S150/1000</f>
        <v>-15.740520037292578</v>
      </c>
    </row>
    <row r="151" spans="1:20" x14ac:dyDescent="0.25">
      <c r="A151" s="5">
        <v>44442</v>
      </c>
      <c r="B151">
        <v>0.47370000000000001</v>
      </c>
      <c r="C151">
        <v>0.48370000000000002</v>
      </c>
      <c r="D151">
        <v>0.45810000000000001</v>
      </c>
      <c r="E151">
        <v>0.4667</v>
      </c>
      <c r="F151">
        <v>21979137</v>
      </c>
      <c r="G151">
        <v>0.4667</v>
      </c>
      <c r="L151" t="s">
        <v>7</v>
      </c>
      <c r="M151" t="s">
        <v>8</v>
      </c>
      <c r="N151" t="s">
        <v>8</v>
      </c>
      <c r="P151">
        <f t="shared" ref="P151" si="730">IF(C151=D151,0,((E151-D151)-(C151-E151))/(C151-D151))</f>
        <v>-0.32812500000000056</v>
      </c>
      <c r="Q151">
        <f t="shared" ref="Q151" si="731">F151*P151</f>
        <v>-7211904.3281250121</v>
      </c>
      <c r="R151">
        <f t="shared" ref="R151" si="732">R152+Q151</f>
        <v>-1553605171.8507531</v>
      </c>
      <c r="S151">
        <f t="shared" ref="S151" si="733">R151/100000</f>
        <v>-15536.051718507531</v>
      </c>
      <c r="T151">
        <f t="shared" ref="T151" si="734">S151/1000</f>
        <v>-15.536051718507531</v>
      </c>
    </row>
    <row r="152" spans="1:20" x14ac:dyDescent="0.25">
      <c r="A152" s="5">
        <v>44441</v>
      </c>
      <c r="B152">
        <v>0.45190000000000002</v>
      </c>
      <c r="C152">
        <v>0.501</v>
      </c>
      <c r="D152">
        <v>0.44779999999999998</v>
      </c>
      <c r="E152">
        <v>0.47370000000000001</v>
      </c>
      <c r="F152">
        <v>44622899.799999997</v>
      </c>
      <c r="G152">
        <v>0.47370000000000001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-2.6315789473683387E-2</v>
      </c>
      <c r="Q152">
        <f t="shared" ref="Q152" si="736">F152*P152</f>
        <v>-1174286.8368420685</v>
      </c>
      <c r="R152">
        <f t="shared" ref="R152" si="737">R153+Q152</f>
        <v>-1546393267.5226281</v>
      </c>
      <c r="S152">
        <f t="shared" ref="S152" si="738">R152/100000</f>
        <v>-15463.93267522628</v>
      </c>
      <c r="T152">
        <f t="shared" ref="T152" si="739">S152/1000</f>
        <v>-15.46393267522628</v>
      </c>
    </row>
    <row r="153" spans="1:20" x14ac:dyDescent="0.25">
      <c r="A153" s="5">
        <v>44440</v>
      </c>
      <c r="B153">
        <v>0.43669999999999998</v>
      </c>
      <c r="C153">
        <v>0.4592</v>
      </c>
      <c r="D153">
        <v>0.42320000000000002</v>
      </c>
      <c r="E153">
        <v>0.45179999999999998</v>
      </c>
      <c r="F153">
        <v>15687680</v>
      </c>
      <c r="G153">
        <v>0.45179999999999998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0.58888888888888768</v>
      </c>
      <c r="Q153">
        <f t="shared" ref="Q153" si="741">F153*P153</f>
        <v>9238300.4444444254</v>
      </c>
      <c r="R153">
        <f t="shared" ref="R153" si="742">R154+Q153</f>
        <v>-1545218980.685786</v>
      </c>
      <c r="S153">
        <f t="shared" ref="S153" si="743">R153/100000</f>
        <v>-15452.189806857859</v>
      </c>
      <c r="T153">
        <f t="shared" ref="T153" si="744">S153/1000</f>
        <v>-15.452189806857859</v>
      </c>
    </row>
    <row r="154" spans="1:20" x14ac:dyDescent="0.25">
      <c r="A154" s="5">
        <v>44439</v>
      </c>
      <c r="B154">
        <v>0.44009999999999999</v>
      </c>
      <c r="C154">
        <v>0.45800000000000002</v>
      </c>
      <c r="D154">
        <v>0.42530000000000001</v>
      </c>
      <c r="E154">
        <v>0.43690000000000001</v>
      </c>
      <c r="F154">
        <v>18189170</v>
      </c>
      <c r="G154">
        <v>0.43690000000000001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-0.2905198776758412</v>
      </c>
      <c r="Q154">
        <f t="shared" ref="Q154" si="746">F154*P154</f>
        <v>-5284315.4434250807</v>
      </c>
      <c r="R154">
        <f t="shared" ref="R154" si="747">R155+Q154</f>
        <v>-1554457281.1302304</v>
      </c>
      <c r="S154">
        <f t="shared" ref="S154" si="748">R154/100000</f>
        <v>-15544.572811302305</v>
      </c>
      <c r="T154">
        <f t="shared" ref="T154" si="749">S154/1000</f>
        <v>-15.544572811302306</v>
      </c>
    </row>
    <row r="155" spans="1:20" x14ac:dyDescent="0.25">
      <c r="A155" s="5">
        <v>44438</v>
      </c>
      <c r="B155">
        <v>0.4476</v>
      </c>
      <c r="C155">
        <v>0.46489999999999998</v>
      </c>
      <c r="D155">
        <v>0.43480000000000002</v>
      </c>
      <c r="E155">
        <v>0.44009999999999999</v>
      </c>
      <c r="F155">
        <v>23102563</v>
      </c>
      <c r="G155">
        <v>0.44009999999999999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-0.64784053156146326</v>
      </c>
      <c r="Q155">
        <f t="shared" ref="Q155" si="751">F155*P155</f>
        <v>-14966776.694352193</v>
      </c>
      <c r="R155">
        <f t="shared" ref="R155" si="752">R156+Q155</f>
        <v>-1549172965.6868052</v>
      </c>
      <c r="S155">
        <f t="shared" ref="S155" si="753">R155/100000</f>
        <v>-15491.729656868052</v>
      </c>
      <c r="T155">
        <f t="shared" ref="T155" si="754">S155/1000</f>
        <v>-15.491729656868053</v>
      </c>
    </row>
    <row r="156" spans="1:20" x14ac:dyDescent="0.25">
      <c r="A156" s="5">
        <v>44437</v>
      </c>
      <c r="B156">
        <v>0.45650000000000002</v>
      </c>
      <c r="C156">
        <v>0.46960000000000002</v>
      </c>
      <c r="D156">
        <v>0.4274</v>
      </c>
      <c r="E156">
        <v>0.44740000000000002</v>
      </c>
      <c r="F156">
        <v>23225792</v>
      </c>
      <c r="G156">
        <v>0.44740000000000002</v>
      </c>
      <c r="L156" t="s">
        <v>7</v>
      </c>
      <c r="M156" t="s">
        <v>8</v>
      </c>
      <c r="N156" t="s">
        <v>8</v>
      </c>
      <c r="P156">
        <f t="shared" ref="P156" si="755">IF(C156=D156,0,((E156-D156)-(C156-E156))/(C156-D156))</f>
        <v>-5.2132701421800452E-2</v>
      </c>
      <c r="Q156">
        <f t="shared" ref="Q156" si="756">F156*P156</f>
        <v>-1210823.2796208416</v>
      </c>
      <c r="R156">
        <f t="shared" ref="R156" si="757">R157+Q156</f>
        <v>-1534206188.9924531</v>
      </c>
      <c r="S156">
        <f t="shared" ref="S156" si="758">R156/100000</f>
        <v>-15342.061889924531</v>
      </c>
      <c r="T156">
        <f t="shared" ref="T156" si="759">S156/1000</f>
        <v>-15.342061889924532</v>
      </c>
    </row>
    <row r="157" spans="1:20" x14ac:dyDescent="0.25">
      <c r="A157" s="5">
        <v>44436</v>
      </c>
      <c r="B157">
        <v>0.4385</v>
      </c>
      <c r="C157">
        <v>0.46579999999999999</v>
      </c>
      <c r="D157">
        <v>0.42080000000000001</v>
      </c>
      <c r="E157">
        <v>0.45579999999999998</v>
      </c>
      <c r="F157">
        <v>29584976.899999999</v>
      </c>
      <c r="G157">
        <v>0.45579999999999998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0.55555555555555503</v>
      </c>
      <c r="Q157">
        <f t="shared" ref="Q157" si="761">F157*P157</f>
        <v>16436098.277777761</v>
      </c>
      <c r="R157">
        <f t="shared" ref="R157" si="762">R158+Q157</f>
        <v>-1532995365.7128322</v>
      </c>
      <c r="S157">
        <f t="shared" ref="S157" si="763">R157/100000</f>
        <v>-15329.953657128322</v>
      </c>
      <c r="T157">
        <f t="shared" ref="T157" si="764">S157/1000</f>
        <v>-15.329953657128323</v>
      </c>
    </row>
    <row r="158" spans="1:20" x14ac:dyDescent="0.25">
      <c r="A158" s="5">
        <v>44435</v>
      </c>
      <c r="B158">
        <v>0.41349999999999998</v>
      </c>
      <c r="C158">
        <v>0.43969999999999998</v>
      </c>
      <c r="D158">
        <v>0.38979999999999998</v>
      </c>
      <c r="E158">
        <v>0.43809999999999999</v>
      </c>
      <c r="F158">
        <v>17744735.199999999</v>
      </c>
      <c r="G158">
        <v>0.43809999999999999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0.93587174348697433</v>
      </c>
      <c r="Q158">
        <f t="shared" ref="Q158" si="766">F158*P158</f>
        <v>16606796.269338684</v>
      </c>
      <c r="R158">
        <f t="shared" ref="R158" si="767">R159+Q158</f>
        <v>-1549431463.9906099</v>
      </c>
      <c r="S158">
        <f t="shared" ref="S158" si="768">R158/100000</f>
        <v>-15494.314639906099</v>
      </c>
      <c r="T158">
        <f t="shared" ref="T158" si="769">S158/1000</f>
        <v>-15.494314639906099</v>
      </c>
    </row>
    <row r="159" spans="1:20" x14ac:dyDescent="0.25">
      <c r="A159" s="5">
        <v>44434</v>
      </c>
      <c r="B159">
        <v>0.46146999999999999</v>
      </c>
      <c r="C159">
        <v>0.47633999999999999</v>
      </c>
      <c r="D159">
        <v>0.40689999999999998</v>
      </c>
      <c r="E159">
        <v>0.41310000000000002</v>
      </c>
      <c r="F159">
        <v>26365714.800000001</v>
      </c>
      <c r="G159">
        <v>0.41310000000000002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-0.82142857142857029</v>
      </c>
      <c r="Q159">
        <f t="shared" ref="Q159" si="771">F159*P159</f>
        <v>-21657551.442857113</v>
      </c>
      <c r="R159">
        <f t="shared" ref="R159" si="772">R160+Q159</f>
        <v>-1566038260.2599485</v>
      </c>
      <c r="S159">
        <f t="shared" ref="S159" si="773">R159/100000</f>
        <v>-15660.382602599484</v>
      </c>
      <c r="T159">
        <f t="shared" ref="T159" si="774">S159/1000</f>
        <v>-15.660382602599483</v>
      </c>
    </row>
    <row r="160" spans="1:20" x14ac:dyDescent="0.25">
      <c r="A160" s="5">
        <v>44433</v>
      </c>
      <c r="B160">
        <v>0.44601000000000002</v>
      </c>
      <c r="C160">
        <v>0.48699999999999999</v>
      </c>
      <c r="D160">
        <v>0.42885000000000001</v>
      </c>
      <c r="E160">
        <v>0.46153</v>
      </c>
      <c r="F160">
        <v>34385397.299999997</v>
      </c>
      <c r="G160">
        <v>0.46153</v>
      </c>
      <c r="L160" t="s">
        <v>8</v>
      </c>
      <c r="M160" t="s">
        <v>7</v>
      </c>
      <c r="N160" t="s">
        <v>8</v>
      </c>
      <c r="P160">
        <f t="shared" ref="P160" si="775">IF(C160=D160,0,((E160-D160)-(C160-E160))/(C160-D160))</f>
        <v>0.12398968185726564</v>
      </c>
      <c r="Q160">
        <f t="shared" ref="Q160" si="776">F160*P160</f>
        <v>4263434.4717626804</v>
      </c>
      <c r="R160">
        <f t="shared" ref="R160" si="777">R161+Q160</f>
        <v>-1544380708.8170915</v>
      </c>
      <c r="S160">
        <f t="shared" ref="S160" si="778">R160/100000</f>
        <v>-15443.807088170915</v>
      </c>
      <c r="T160">
        <f t="shared" ref="T160" si="779">S160/1000</f>
        <v>-15.443807088170916</v>
      </c>
    </row>
    <row r="161" spans="1:20" x14ac:dyDescent="0.25">
      <c r="A161" s="5">
        <v>44432</v>
      </c>
      <c r="B161">
        <v>0.48786000000000002</v>
      </c>
      <c r="C161">
        <v>0.49958999999999998</v>
      </c>
      <c r="D161">
        <v>0.42416999999999999</v>
      </c>
      <c r="E161">
        <v>0.44646999999999998</v>
      </c>
      <c r="F161">
        <v>40014993.200000003</v>
      </c>
      <c r="G161">
        <v>0.44646999999999998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-0.40864492177141365</v>
      </c>
      <c r="Q161">
        <f t="shared" ref="Q161" si="781">F161*P161</f>
        <v>-16351923.76589765</v>
      </c>
      <c r="R161">
        <f t="shared" ref="R161" si="782">R162+Q161</f>
        <v>-1548644143.2888541</v>
      </c>
      <c r="S161">
        <f t="shared" ref="S161" si="783">R161/100000</f>
        <v>-15486.441432888541</v>
      </c>
      <c r="T161">
        <f t="shared" ref="T161" si="784">S161/1000</f>
        <v>-15.486441432888542</v>
      </c>
    </row>
    <row r="162" spans="1:20" x14ac:dyDescent="0.25">
      <c r="A162" s="5">
        <v>44431</v>
      </c>
      <c r="B162">
        <v>0.42738999999999999</v>
      </c>
      <c r="C162">
        <v>0.51978999999999997</v>
      </c>
      <c r="D162">
        <v>0.42280000000000001</v>
      </c>
      <c r="E162">
        <v>0.48749999999999999</v>
      </c>
      <c r="F162">
        <v>85000763.200000003</v>
      </c>
      <c r="G162">
        <v>0.48749999999999999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0.33415816063511711</v>
      </c>
      <c r="Q162">
        <f t="shared" ref="Q162" si="786">F162*P162</f>
        <v>28403698.683493152</v>
      </c>
      <c r="R162">
        <f t="shared" ref="R162" si="787">R163+Q162</f>
        <v>-1532292219.5229564</v>
      </c>
      <c r="S162">
        <f t="shared" ref="S162" si="788">R162/100000</f>
        <v>-15322.922195229563</v>
      </c>
      <c r="T162">
        <f t="shared" ref="T162" si="789">S162/1000</f>
        <v>-15.322922195229562</v>
      </c>
    </row>
    <row r="163" spans="1:20" x14ac:dyDescent="0.25">
      <c r="A163" s="5">
        <v>44430</v>
      </c>
      <c r="B163">
        <v>0.40398000000000001</v>
      </c>
      <c r="C163">
        <v>0.44814999999999999</v>
      </c>
      <c r="D163">
        <v>0.40366999999999997</v>
      </c>
      <c r="E163">
        <v>0.43245</v>
      </c>
      <c r="F163">
        <v>15910233.699999999</v>
      </c>
      <c r="G163">
        <v>0.43245</v>
      </c>
      <c r="L163" t="s">
        <v>8</v>
      </c>
      <c r="M163" t="s">
        <v>8</v>
      </c>
      <c r="N163" t="s">
        <v>7</v>
      </c>
      <c r="P163">
        <f t="shared" ref="P163" si="790">IF(C163=D163,0,((E163-D163)-(C163-E163))/(C163-D163))</f>
        <v>0.29406474820143952</v>
      </c>
      <c r="Q163">
        <f t="shared" ref="Q163" si="791">F163*P163</f>
        <v>4678638.866816557</v>
      </c>
      <c r="R163">
        <f t="shared" ref="R163" si="792">R164+Q163</f>
        <v>-1560695918.2064495</v>
      </c>
      <c r="S163">
        <f t="shared" ref="S163" si="793">R163/100000</f>
        <v>-15606.959182064495</v>
      </c>
      <c r="T163">
        <f t="shared" ref="T163" si="794">S163/1000</f>
        <v>-15.606959182064495</v>
      </c>
    </row>
    <row r="164" spans="1:20" x14ac:dyDescent="0.25">
      <c r="A164" s="5">
        <v>44429</v>
      </c>
      <c r="B164">
        <v>0.40455999999999998</v>
      </c>
      <c r="C164">
        <v>0.43596000000000001</v>
      </c>
      <c r="D164">
        <v>0.39200000000000002</v>
      </c>
      <c r="E164">
        <v>0.4042</v>
      </c>
      <c r="F164">
        <v>26481580.399999999</v>
      </c>
      <c r="G164">
        <v>0.4042</v>
      </c>
      <c r="L164" t="s">
        <v>8</v>
      </c>
      <c r="M164" t="s">
        <v>8</v>
      </c>
      <c r="N164" t="s">
        <v>7</v>
      </c>
      <c r="P164">
        <f t="shared" ref="P164" si="795">IF(C164=D164,0,((E164-D164)-(C164-E164))/(C164-D164))</f>
        <v>-0.44494995450409514</v>
      </c>
      <c r="Q164">
        <f t="shared" ref="Q164" si="796">F164*P164</f>
        <v>-11782977.994176537</v>
      </c>
      <c r="R164">
        <f t="shared" ref="R164" si="797">R165+Q164</f>
        <v>-1565374557.073266</v>
      </c>
      <c r="S164">
        <f t="shared" ref="S164" si="798">R164/100000</f>
        <v>-15653.745570732661</v>
      </c>
      <c r="T164">
        <f t="shared" ref="T164" si="799">S164/1000</f>
        <v>-15.65374557073266</v>
      </c>
    </row>
    <row r="165" spans="1:20" x14ac:dyDescent="0.25">
      <c r="A165" s="5">
        <v>44428</v>
      </c>
      <c r="B165">
        <v>0.38013000000000002</v>
      </c>
      <c r="C165">
        <v>0.41665000000000002</v>
      </c>
      <c r="D165">
        <v>0.37757000000000002</v>
      </c>
      <c r="E165">
        <v>0.40486</v>
      </c>
      <c r="F165">
        <v>30957390.399999999</v>
      </c>
      <c r="G165">
        <v>0.40486</v>
      </c>
      <c r="L165" t="s">
        <v>8</v>
      </c>
      <c r="M165" t="s">
        <v>8</v>
      </c>
      <c r="N165" t="s">
        <v>7</v>
      </c>
      <c r="P165">
        <f t="shared" ref="P165" si="800">IF(C165=D165,0,((E165-D165)-(C165-E165))/(C165-D165))</f>
        <v>0.39662231320368363</v>
      </c>
      <c r="Q165">
        <f t="shared" ref="Q165" si="801">F165*P165</f>
        <v>12278391.791197509</v>
      </c>
      <c r="R165">
        <f t="shared" ref="R165" si="802">R166+Q165</f>
        <v>-1553591579.0790894</v>
      </c>
      <c r="S165">
        <f t="shared" ref="S165" si="803">R165/100000</f>
        <v>-15535.915790790894</v>
      </c>
      <c r="T165">
        <f t="shared" ref="T165" si="804">S165/1000</f>
        <v>-15.535915790790893</v>
      </c>
    </row>
    <row r="166" spans="1:20" x14ac:dyDescent="0.25">
      <c r="A166" s="5">
        <v>44427</v>
      </c>
      <c r="B166">
        <v>0.35733999999999999</v>
      </c>
      <c r="C166">
        <v>0.38350000000000001</v>
      </c>
      <c r="D166">
        <v>0.34693000000000002</v>
      </c>
      <c r="E166">
        <v>0.38009999999999999</v>
      </c>
      <c r="F166">
        <v>17058691.100000001</v>
      </c>
      <c r="G166">
        <v>0.38009999999999999</v>
      </c>
      <c r="L166" t="s">
        <v>8</v>
      </c>
      <c r="M166" t="s">
        <v>8</v>
      </c>
      <c r="N166" t="s">
        <v>7</v>
      </c>
      <c r="P166">
        <f t="shared" ref="P166" si="805">IF(C166=D166,0,((E166-D166)-(C166-E166))/(C166-D166))</f>
        <v>0.8140552365326762</v>
      </c>
      <c r="Q166">
        <f t="shared" ref="Q166" si="806">F166*P166</f>
        <v>13886716.818348359</v>
      </c>
      <c r="R166">
        <f t="shared" ref="R166" si="807">R167+Q166</f>
        <v>-1565869970.8702869</v>
      </c>
      <c r="S166">
        <f t="shared" ref="S166" si="808">R166/100000</f>
        <v>-15658.699708702869</v>
      </c>
      <c r="T166">
        <f t="shared" ref="T166" si="809">S166/1000</f>
        <v>-15.658699708702869</v>
      </c>
    </row>
    <row r="167" spans="1:20" x14ac:dyDescent="0.25">
      <c r="A167" s="5">
        <v>44426</v>
      </c>
      <c r="B167">
        <v>0.37407000000000001</v>
      </c>
      <c r="C167">
        <v>0.37957999999999997</v>
      </c>
      <c r="D167">
        <v>0.3241</v>
      </c>
      <c r="E167">
        <v>0.35665999999999998</v>
      </c>
      <c r="F167">
        <v>21259859</v>
      </c>
      <c r="G167">
        <v>0.35665999999999998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0.17375630857966812</v>
      </c>
      <c r="Q167">
        <f t="shared" ref="Q167" si="811">F167*P167</f>
        <v>3694034.6207642346</v>
      </c>
      <c r="R167">
        <f t="shared" ref="R167" si="812">R168+Q167</f>
        <v>-1579756687.6886353</v>
      </c>
      <c r="S167">
        <f t="shared" ref="S167" si="813">R167/100000</f>
        <v>-15797.566876886354</v>
      </c>
      <c r="T167">
        <f t="shared" ref="T167" si="814">S167/1000</f>
        <v>-15.797566876886354</v>
      </c>
    </row>
    <row r="168" spans="1:20" x14ac:dyDescent="0.25">
      <c r="A168" s="5">
        <v>44425</v>
      </c>
      <c r="B168">
        <v>0.38518999999999998</v>
      </c>
      <c r="C168">
        <v>0.41272999999999999</v>
      </c>
      <c r="D168">
        <v>0.36985000000000001</v>
      </c>
      <c r="E168">
        <v>0.37397000000000002</v>
      </c>
      <c r="F168">
        <v>26665150</v>
      </c>
      <c r="G168">
        <v>0.37397000000000002</v>
      </c>
      <c r="L168" t="s">
        <v>7</v>
      </c>
      <c r="M168" t="s">
        <v>7</v>
      </c>
      <c r="N168" t="s">
        <v>7</v>
      </c>
      <c r="P168">
        <f t="shared" ref="P168" si="815">IF(C168=D168,0,((E168-D168)-(C168-E168))/(C168-D168))</f>
        <v>-0.80783582089552164</v>
      </c>
      <c r="Q168">
        <f t="shared" ref="Q168" si="816">F168*P168</f>
        <v>-21541063.33955222</v>
      </c>
      <c r="R168">
        <f t="shared" ref="R168" si="817">R169+Q168</f>
        <v>-1583450722.3093996</v>
      </c>
      <c r="S168">
        <f t="shared" ref="S168" si="818">R168/100000</f>
        <v>-15834.507223093997</v>
      </c>
      <c r="T168">
        <f t="shared" ref="T168" si="819">S168/1000</f>
        <v>-15.834507223093997</v>
      </c>
    </row>
    <row r="169" spans="1:20" x14ac:dyDescent="0.25">
      <c r="A169" s="5">
        <v>44424</v>
      </c>
      <c r="B169">
        <v>0.40626000000000001</v>
      </c>
      <c r="C169">
        <v>0.42682999999999999</v>
      </c>
      <c r="D169">
        <v>0.37820999999999999</v>
      </c>
      <c r="E169">
        <v>0.38549</v>
      </c>
      <c r="F169">
        <v>27555424.800000001</v>
      </c>
      <c r="G169">
        <v>0.38549</v>
      </c>
      <c r="L169" t="s">
        <v>7</v>
      </c>
      <c r="M169" t="s">
        <v>8</v>
      </c>
      <c r="N169" t="s">
        <v>7</v>
      </c>
      <c r="P169">
        <f t="shared" ref="P169" si="820">IF(C169=D169,0,((E169-D169)-(C169-E169))/(C169-D169))</f>
        <v>-0.70053475935828835</v>
      </c>
      <c r="Q169">
        <f t="shared" ref="Q169" si="821">F169*P169</f>
        <v>-19303532.88128341</v>
      </c>
      <c r="R169">
        <f t="shared" ref="R169" si="822">R170+Q169</f>
        <v>-1561909658.9698474</v>
      </c>
      <c r="S169">
        <f t="shared" ref="S169" si="823">R169/100000</f>
        <v>-15619.096589698474</v>
      </c>
      <c r="T169">
        <f t="shared" ref="T169" si="824">S169/1000</f>
        <v>-15.619096589698474</v>
      </c>
    </row>
    <row r="170" spans="1:20" x14ac:dyDescent="0.25">
      <c r="A170" s="5">
        <v>44423</v>
      </c>
      <c r="B170">
        <v>0.41159000000000001</v>
      </c>
      <c r="C170">
        <v>0.42037000000000002</v>
      </c>
      <c r="D170">
        <v>0.38912000000000002</v>
      </c>
      <c r="E170">
        <v>0.40654000000000001</v>
      </c>
      <c r="F170">
        <v>26785750.399999999</v>
      </c>
      <c r="G170">
        <v>0.40654000000000001</v>
      </c>
      <c r="L170" t="s">
        <v>7</v>
      </c>
      <c r="M170" t="s">
        <v>8</v>
      </c>
      <c r="N170" t="s">
        <v>7</v>
      </c>
      <c r="P170">
        <f t="shared" ref="P170" si="825">IF(C170=D170,0,((E170-D170)-(C170-E170))/(C170-D170))</f>
        <v>0.11487999999999943</v>
      </c>
      <c r="Q170">
        <f t="shared" ref="Q170" si="826">F170*P170</f>
        <v>3077147.0059519843</v>
      </c>
      <c r="R170">
        <f t="shared" ref="R170" si="827">R171+Q170</f>
        <v>-1542606126.0885639</v>
      </c>
      <c r="S170">
        <f t="shared" ref="S170" si="828">R170/100000</f>
        <v>-15426.061260885639</v>
      </c>
      <c r="T170">
        <f t="shared" ref="T170" si="829">S170/1000</f>
        <v>-15.426061260885639</v>
      </c>
    </row>
    <row r="171" spans="1:20" x14ac:dyDescent="0.25">
      <c r="A171" s="5">
        <v>44422</v>
      </c>
      <c r="B171">
        <v>0.42494999999999999</v>
      </c>
      <c r="C171">
        <v>0.44586999999999999</v>
      </c>
      <c r="D171">
        <v>0.40277000000000002</v>
      </c>
      <c r="E171">
        <v>0.41139999999999999</v>
      </c>
      <c r="F171">
        <v>23241930</v>
      </c>
      <c r="G171">
        <v>0.41139999999999999</v>
      </c>
      <c r="L171" t="s">
        <v>8</v>
      </c>
      <c r="M171" t="s">
        <v>8</v>
      </c>
      <c r="N171" t="s">
        <v>7</v>
      </c>
      <c r="P171">
        <f t="shared" ref="P171" si="830">IF(C171=D171,0,((E171-D171)-(C171-E171))/(C171-D171))</f>
        <v>-0.59953596287703126</v>
      </c>
      <c r="Q171">
        <f t="shared" ref="Q171" si="831">F171*P171</f>
        <v>-13934372.881670559</v>
      </c>
      <c r="R171">
        <f t="shared" ref="R171" si="832">R172+Q171</f>
        <v>-1545683273.0945158</v>
      </c>
      <c r="S171">
        <f t="shared" ref="S171" si="833">R171/100000</f>
        <v>-15456.832730945158</v>
      </c>
      <c r="T171">
        <f t="shared" ref="T171" si="834">S171/1000</f>
        <v>-15.456832730945157</v>
      </c>
    </row>
    <row r="172" spans="1:20" x14ac:dyDescent="0.25">
      <c r="A172" s="5">
        <v>44421</v>
      </c>
      <c r="B172">
        <v>0.41421000000000002</v>
      </c>
      <c r="C172">
        <v>0.44074999999999998</v>
      </c>
      <c r="D172">
        <v>0.39634000000000003</v>
      </c>
      <c r="E172">
        <v>0.42459999999999998</v>
      </c>
      <c r="F172">
        <v>36292895.899999999</v>
      </c>
      <c r="G172">
        <v>0.42459999999999998</v>
      </c>
      <c r="L172" t="s">
        <v>8</v>
      </c>
      <c r="M172" t="s">
        <v>8</v>
      </c>
      <c r="N172" t="s">
        <v>7</v>
      </c>
      <c r="P172">
        <f t="shared" ref="P172" si="835">IF(C172=D172,0,((E172-D172)-(C172-E172))/(C172-D172))</f>
        <v>0.27268633190722735</v>
      </c>
      <c r="Q172">
        <f t="shared" ref="Q172" si="836">F172*P172</f>
        <v>9896576.6572618503</v>
      </c>
      <c r="R172">
        <f t="shared" ref="R172" si="837">R173+Q172</f>
        <v>-1531748900.2128453</v>
      </c>
      <c r="S172">
        <f t="shared" ref="S172" si="838">R172/100000</f>
        <v>-15317.489002128454</v>
      </c>
      <c r="T172">
        <f t="shared" ref="T172" si="839">S172/1000</f>
        <v>-15.317489002128454</v>
      </c>
    </row>
    <row r="173" spans="1:20" x14ac:dyDescent="0.25">
      <c r="A173" s="5">
        <v>44420</v>
      </c>
      <c r="B173">
        <v>0.35607</v>
      </c>
      <c r="C173">
        <v>0.46284999999999998</v>
      </c>
      <c r="D173">
        <v>0.33</v>
      </c>
      <c r="E173">
        <v>0.41421000000000002</v>
      </c>
      <c r="F173">
        <v>106439175.59999999</v>
      </c>
      <c r="G173">
        <v>0.41421000000000002</v>
      </c>
      <c r="L173" t="s">
        <v>7</v>
      </c>
      <c r="M173" t="s">
        <v>7</v>
      </c>
      <c r="N173" t="s">
        <v>7</v>
      </c>
      <c r="P173">
        <f t="shared" ref="P173" si="840">IF(C173=D173,0,((E173-D173)-(C173-E173))/(C173-D173))</f>
        <v>0.26774557771923263</v>
      </c>
      <c r="Q173">
        <f t="shared" ref="Q173" si="841">F173*P173</f>
        <v>28498618.562980849</v>
      </c>
      <c r="R173">
        <f t="shared" ref="R173" si="842">R174+Q173</f>
        <v>-1541645476.8701072</v>
      </c>
      <c r="S173">
        <f t="shared" ref="S173" si="843">R173/100000</f>
        <v>-15416.454768701071</v>
      </c>
      <c r="T173">
        <f t="shared" ref="T173" si="844">S173/1000</f>
        <v>-15.416454768701071</v>
      </c>
    </row>
    <row r="174" spans="1:20" x14ac:dyDescent="0.25">
      <c r="A174" s="5">
        <v>44419</v>
      </c>
      <c r="B174">
        <v>0.35354999999999998</v>
      </c>
      <c r="C174">
        <v>0.38886999999999999</v>
      </c>
      <c r="D174">
        <v>0.34699000000000002</v>
      </c>
      <c r="E174">
        <v>0.35593999999999998</v>
      </c>
      <c r="F174">
        <v>38971149.799999997</v>
      </c>
      <c r="G174">
        <v>0.35593999999999998</v>
      </c>
      <c r="L174" t="s">
        <v>7</v>
      </c>
      <c r="M174" t="s">
        <v>7</v>
      </c>
      <c r="N174" t="s">
        <v>7</v>
      </c>
      <c r="P174">
        <f t="shared" ref="P174" si="845">IF(C174=D174,0,((E174-D174)-(C174-E174))/(C174-D174))</f>
        <v>-0.57258834765998268</v>
      </c>
      <c r="Q174">
        <f t="shared" ref="Q174" si="846">F174*P174</f>
        <v>-22314426.270391662</v>
      </c>
      <c r="R174">
        <f t="shared" ref="R174" si="847">R175+Q174</f>
        <v>-1570144095.4330881</v>
      </c>
      <c r="S174">
        <f t="shared" ref="S174" si="848">R174/100000</f>
        <v>-15701.440954330881</v>
      </c>
      <c r="T174">
        <f t="shared" ref="T174" si="849">S174/1000</f>
        <v>-15.701440954330881</v>
      </c>
    </row>
    <row r="175" spans="1:20" x14ac:dyDescent="0.25">
      <c r="A175" s="5">
        <v>44418</v>
      </c>
      <c r="B175">
        <v>0.37412000000000001</v>
      </c>
      <c r="C175">
        <v>0.40739999999999998</v>
      </c>
      <c r="D175">
        <v>0.34200000000000003</v>
      </c>
      <c r="E175">
        <v>0.35306999999999999</v>
      </c>
      <c r="F175">
        <v>86047459.5</v>
      </c>
      <c r="G175">
        <v>0.35306999999999999</v>
      </c>
      <c r="L175" t="s">
        <v>8</v>
      </c>
      <c r="M175" t="s">
        <v>7</v>
      </c>
      <c r="N175" t="s">
        <v>7</v>
      </c>
      <c r="P175">
        <f t="shared" ref="P175" si="850">IF(C175=D175,0,((E175-D175)-(C175-E175))/(C175-D175))</f>
        <v>-0.66146788990825767</v>
      </c>
      <c r="Q175">
        <f t="shared" ref="Q175" si="851">F175*P175</f>
        <v>-56917631.467431262</v>
      </c>
      <c r="R175">
        <f t="shared" ref="R175" si="852">R176+Q175</f>
        <v>-1547829669.1626964</v>
      </c>
      <c r="S175">
        <f t="shared" ref="S175" si="853">R175/100000</f>
        <v>-15478.296691626963</v>
      </c>
      <c r="T175">
        <f t="shared" ref="T175" si="854">S175/1000</f>
        <v>-15.478296691626964</v>
      </c>
    </row>
    <row r="176" spans="1:20" x14ac:dyDescent="0.25">
      <c r="A176" s="5">
        <v>44417</v>
      </c>
      <c r="B176">
        <v>0.27018999999999999</v>
      </c>
      <c r="C176">
        <v>0.47</v>
      </c>
      <c r="D176">
        <v>0.26068999999999998</v>
      </c>
      <c r="E176">
        <v>0.37380000000000002</v>
      </c>
      <c r="F176">
        <v>203779171.5</v>
      </c>
      <c r="G176">
        <v>0.37380000000000002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8.0789259949357858E-2</v>
      </c>
      <c r="Q176">
        <f t="shared" ref="Q176" si="856">F176*P176</f>
        <v>16463168.458578276</v>
      </c>
      <c r="R176">
        <f t="shared" ref="R176" si="857">R177+Q176</f>
        <v>-1490912037.6952651</v>
      </c>
      <c r="S176">
        <f t="shared" ref="S176" si="858">R176/100000</f>
        <v>-14909.120376952651</v>
      </c>
      <c r="T176">
        <f t="shared" ref="T176" si="859">S176/1000</f>
        <v>-14.90912037695265</v>
      </c>
    </row>
    <row r="177" spans="1:20" x14ac:dyDescent="0.25">
      <c r="A177" s="5">
        <v>44416</v>
      </c>
      <c r="B177">
        <v>0.29418</v>
      </c>
      <c r="C177">
        <v>0.29663</v>
      </c>
      <c r="D177">
        <v>0.26568999999999998</v>
      </c>
      <c r="E177">
        <v>0.27061000000000002</v>
      </c>
      <c r="F177">
        <v>15127903.9</v>
      </c>
      <c r="G177">
        <v>0.27061000000000002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-0.68196509372979752</v>
      </c>
      <c r="Q177">
        <f t="shared" ref="Q177" si="861">F177*P177</f>
        <v>-10316702.40109887</v>
      </c>
      <c r="R177">
        <f t="shared" ref="R177" si="862">R178+Q177</f>
        <v>-1507375206.1538434</v>
      </c>
      <c r="S177">
        <f t="shared" ref="S177" si="863">R177/100000</f>
        <v>-15073.752061538435</v>
      </c>
      <c r="T177">
        <f t="shared" ref="T177" si="864">S177/1000</f>
        <v>-15.073752061538435</v>
      </c>
    </row>
    <row r="178" spans="1:20" x14ac:dyDescent="0.25">
      <c r="A178" s="5">
        <v>44415</v>
      </c>
      <c r="B178">
        <v>0.28220000000000001</v>
      </c>
      <c r="C178">
        <v>0.30820999999999998</v>
      </c>
      <c r="D178">
        <v>0.27914</v>
      </c>
      <c r="E178">
        <v>0.29404999999999998</v>
      </c>
      <c r="F178">
        <v>26844503.399999999</v>
      </c>
      <c r="G178">
        <v>0.29404999999999998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2.5799793601650269E-2</v>
      </c>
      <c r="Q178">
        <f t="shared" ref="Q178" si="866">F178*P178</f>
        <v>692582.64705879882</v>
      </c>
      <c r="R178">
        <f t="shared" ref="R178" si="867">R179+Q178</f>
        <v>-1497058503.7527444</v>
      </c>
      <c r="S178">
        <f t="shared" ref="S178" si="868">R178/100000</f>
        <v>-14970.585037527444</v>
      </c>
      <c r="T178">
        <f t="shared" ref="T178" si="869">S178/1000</f>
        <v>-14.970585037527444</v>
      </c>
    </row>
    <row r="179" spans="1:20" x14ac:dyDescent="0.25">
      <c r="A179" s="5">
        <v>44414</v>
      </c>
      <c r="B179">
        <v>0.27916000000000002</v>
      </c>
      <c r="C179">
        <v>0.28999999999999998</v>
      </c>
      <c r="D179">
        <v>0.27066000000000001</v>
      </c>
      <c r="E179">
        <v>0.28215000000000001</v>
      </c>
      <c r="F179">
        <v>17919981.800000001</v>
      </c>
      <c r="G179">
        <v>0.28215000000000001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0.18821096173733393</v>
      </c>
      <c r="Q179">
        <f t="shared" ref="Q179" si="871">F179*P179</f>
        <v>3372737.0088935206</v>
      </c>
      <c r="R179">
        <f t="shared" ref="R179" si="872">R180+Q179</f>
        <v>-1497751086.3998032</v>
      </c>
      <c r="S179">
        <f t="shared" ref="S179" si="873">R179/100000</f>
        <v>-14977.510863998032</v>
      </c>
      <c r="T179">
        <f t="shared" ref="T179" si="874">S179/1000</f>
        <v>-14.977510863998031</v>
      </c>
    </row>
    <row r="180" spans="1:20" x14ac:dyDescent="0.25">
      <c r="A180" s="5">
        <v>44413</v>
      </c>
      <c r="B180">
        <v>0.26534999999999997</v>
      </c>
      <c r="C180">
        <v>0.28266999999999998</v>
      </c>
      <c r="D180">
        <v>0.25790000000000002</v>
      </c>
      <c r="E180">
        <v>0.27916000000000002</v>
      </c>
      <c r="F180">
        <v>28990886.300000001</v>
      </c>
      <c r="G180">
        <v>0.27916000000000002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0.71659265240210224</v>
      </c>
      <c r="Q180">
        <f t="shared" ref="Q180" si="876">F180*P180</f>
        <v>20774656.109204769</v>
      </c>
      <c r="R180">
        <f t="shared" ref="R180" si="877">R181+Q180</f>
        <v>-1501123823.4086967</v>
      </c>
      <c r="S180">
        <f t="shared" ref="S180" si="878">R180/100000</f>
        <v>-15011.238234086966</v>
      </c>
      <c r="T180">
        <f t="shared" ref="T180" si="879">S180/1000</f>
        <v>-15.011238234086965</v>
      </c>
    </row>
    <row r="181" spans="1:20" x14ac:dyDescent="0.25">
      <c r="A181" s="5">
        <v>44412</v>
      </c>
      <c r="B181">
        <v>0.25977</v>
      </c>
      <c r="C181">
        <v>0.27554000000000001</v>
      </c>
      <c r="D181">
        <v>0.25590000000000002</v>
      </c>
      <c r="E181">
        <v>0.26554</v>
      </c>
      <c r="F181">
        <v>17069580.800000001</v>
      </c>
      <c r="G181">
        <v>0.26554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-1.8329938900205046E-2</v>
      </c>
      <c r="Q181">
        <f t="shared" ref="Q181" si="881">F181*P181</f>
        <v>-312884.37311611319</v>
      </c>
      <c r="R181">
        <f t="shared" ref="R181" si="882">R182+Q181</f>
        <v>-1521898479.5179014</v>
      </c>
      <c r="S181">
        <f t="shared" ref="S181" si="883">R181/100000</f>
        <v>-15218.984795179014</v>
      </c>
      <c r="T181">
        <f t="shared" ref="T181" si="884">S181/1000</f>
        <v>-15.218984795179015</v>
      </c>
    </row>
    <row r="182" spans="1:20" x14ac:dyDescent="0.25">
      <c r="A182" s="5">
        <v>44411</v>
      </c>
      <c r="B182">
        <v>0.28527999999999998</v>
      </c>
      <c r="C182">
        <v>0.2868</v>
      </c>
      <c r="D182">
        <v>0.25700000000000001</v>
      </c>
      <c r="E182">
        <v>0.25977</v>
      </c>
      <c r="F182">
        <v>33858670.299999997</v>
      </c>
      <c r="G182">
        <v>0.25977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-0.81409395973154397</v>
      </c>
      <c r="Q182">
        <f t="shared" ref="Q182" si="886">F182*P182</f>
        <v>-27564138.975771822</v>
      </c>
      <c r="R182">
        <f t="shared" ref="R182" si="887">R183+Q182</f>
        <v>-1521585595.1447854</v>
      </c>
      <c r="S182">
        <f t="shared" ref="S182" si="888">R182/100000</f>
        <v>-15215.855951447855</v>
      </c>
      <c r="T182">
        <f t="shared" ref="T182" si="889">S182/1000</f>
        <v>-15.215855951447855</v>
      </c>
    </row>
    <row r="183" spans="1:20" x14ac:dyDescent="0.25">
      <c r="A183" s="5">
        <v>44410</v>
      </c>
      <c r="B183">
        <v>0.24660000000000001</v>
      </c>
      <c r="C183">
        <v>0.28673999999999999</v>
      </c>
      <c r="D183">
        <v>0.24256</v>
      </c>
      <c r="E183">
        <v>0.28549000000000002</v>
      </c>
      <c r="F183">
        <v>23976882.300000001</v>
      </c>
      <c r="G183">
        <v>0.28549000000000002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0.94341330918967981</v>
      </c>
      <c r="Q183">
        <f t="shared" ref="Q183" si="891">F183*P183</f>
        <v>22620109.874694463</v>
      </c>
      <c r="R183">
        <f t="shared" ref="R183" si="892">R184+Q183</f>
        <v>-1494021456.1690135</v>
      </c>
      <c r="S183">
        <f t="shared" ref="S183" si="893">R183/100000</f>
        <v>-14940.214561690134</v>
      </c>
      <c r="T183">
        <f t="shared" ref="T183" si="894">S183/1000</f>
        <v>-14.940214561690134</v>
      </c>
    </row>
    <row r="184" spans="1:20" x14ac:dyDescent="0.25">
      <c r="A184" s="5">
        <v>44409</v>
      </c>
      <c r="B184">
        <v>0.25957000000000002</v>
      </c>
      <c r="C184">
        <v>0.27403</v>
      </c>
      <c r="D184">
        <v>0.24134</v>
      </c>
      <c r="E184">
        <v>0.24682000000000001</v>
      </c>
      <c r="F184">
        <v>24385839.899999999</v>
      </c>
      <c r="G184">
        <v>0.24682000000000001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-0.66472927500764678</v>
      </c>
      <c r="Q184">
        <f t="shared" ref="Q184" si="896">F184*P184</f>
        <v>-16209981.677179545</v>
      </c>
      <c r="R184">
        <f t="shared" ref="R184" si="897">R185+Q184</f>
        <v>-1516641566.0437078</v>
      </c>
      <c r="S184">
        <f t="shared" ref="S184" si="898">R184/100000</f>
        <v>-15166.415660437078</v>
      </c>
      <c r="T184">
        <f t="shared" ref="T184" si="899">S184/1000</f>
        <v>-15.166415660437078</v>
      </c>
    </row>
    <row r="185" spans="1:20" x14ac:dyDescent="0.25">
      <c r="A185" s="5">
        <v>44408</v>
      </c>
      <c r="B185">
        <v>0.26097999999999999</v>
      </c>
      <c r="C185">
        <v>0.27260000000000001</v>
      </c>
      <c r="D185">
        <v>0.25273000000000001</v>
      </c>
      <c r="E185">
        <v>0.25938</v>
      </c>
      <c r="F185">
        <v>26898812.699999999</v>
      </c>
      <c r="G185">
        <v>0.25938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-0.33064921992954305</v>
      </c>
      <c r="Q185">
        <f t="shared" ref="Q185" si="901">F185*P185</f>
        <v>-8894071.4362858851</v>
      </c>
      <c r="R185">
        <f t="shared" ref="R185" si="902">R186+Q185</f>
        <v>-1500431584.3665283</v>
      </c>
      <c r="S185">
        <f t="shared" ref="S185" si="903">R185/100000</f>
        <v>-15004.315843665283</v>
      </c>
      <c r="T185">
        <f t="shared" ref="T185" si="904">S185/1000</f>
        <v>-15.004315843665283</v>
      </c>
    </row>
    <row r="186" spans="1:20" x14ac:dyDescent="0.25">
      <c r="A186" s="5">
        <v>44407</v>
      </c>
      <c r="B186">
        <v>0.23021</v>
      </c>
      <c r="C186">
        <v>0.26740000000000003</v>
      </c>
      <c r="D186">
        <v>0.22703999999999999</v>
      </c>
      <c r="E186">
        <v>0.26111000000000001</v>
      </c>
      <c r="F186">
        <v>72203845.799999997</v>
      </c>
      <c r="G186">
        <v>0.26111000000000001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0.68830525272547016</v>
      </c>
      <c r="Q186">
        <f t="shared" ref="Q186" si="906">F186*P186</f>
        <v>49698286.331119873</v>
      </c>
      <c r="R186">
        <f t="shared" ref="R186" si="907">R187+Q186</f>
        <v>-1491537512.9302423</v>
      </c>
      <c r="S186">
        <f t="shared" ref="S186" si="908">R186/100000</f>
        <v>-14915.375129302423</v>
      </c>
      <c r="T186">
        <f t="shared" ref="T186" si="909">S186/1000</f>
        <v>-14.915375129302424</v>
      </c>
    </row>
    <row r="187" spans="1:20" x14ac:dyDescent="0.25">
      <c r="A187" s="5">
        <v>44406</v>
      </c>
      <c r="B187">
        <v>0.22</v>
      </c>
      <c r="C187">
        <v>0.23449999999999999</v>
      </c>
      <c r="D187">
        <v>0.21451000000000001</v>
      </c>
      <c r="E187">
        <v>0.22975999999999999</v>
      </c>
      <c r="F187">
        <v>11685286.5</v>
      </c>
      <c r="G187">
        <v>0.22975999999999999</v>
      </c>
      <c r="L187" t="s">
        <v>7</v>
      </c>
      <c r="M187" t="s">
        <v>8</v>
      </c>
      <c r="N187" t="s">
        <v>8</v>
      </c>
      <c r="P187">
        <f t="shared" ref="P187" si="910">IF(C187=D187,0,((E187-D187)-(C187-E187))/(C187-D187))</f>
        <v>0.52576288144072048</v>
      </c>
      <c r="Q187">
        <f t="shared" ref="Q187" si="911">F187*P187</f>
        <v>6143689.9007003512</v>
      </c>
      <c r="R187">
        <f t="shared" ref="R187" si="912">R188+Q187</f>
        <v>-1541235799.2613621</v>
      </c>
      <c r="S187">
        <f t="shared" ref="S187" si="913">R187/100000</f>
        <v>-15412.357992613621</v>
      </c>
      <c r="T187">
        <f t="shared" ref="T187" si="914">S187/1000</f>
        <v>-15.412357992613622</v>
      </c>
    </row>
    <row r="188" spans="1:20" x14ac:dyDescent="0.25">
      <c r="A188" s="5">
        <v>44405</v>
      </c>
      <c r="B188">
        <v>0.22614999999999999</v>
      </c>
      <c r="C188">
        <v>0.23394000000000001</v>
      </c>
      <c r="D188">
        <v>0.21607000000000001</v>
      </c>
      <c r="E188">
        <v>0.21967</v>
      </c>
      <c r="F188">
        <v>17078220.100000001</v>
      </c>
      <c r="G188">
        <v>0.21967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-0.59709009513150613</v>
      </c>
      <c r="Q188">
        <f t="shared" ref="Q188" si="916">F188*P188</f>
        <v>-10197236.064185802</v>
      </c>
      <c r="R188">
        <f t="shared" ref="R188" si="917">R189+Q188</f>
        <v>-1547379489.1620624</v>
      </c>
      <c r="S188">
        <f t="shared" ref="S188" si="918">R188/100000</f>
        <v>-15473.794891620624</v>
      </c>
      <c r="T188">
        <f t="shared" ref="T188" si="919">S188/1000</f>
        <v>-15.473794891620624</v>
      </c>
    </row>
    <row r="189" spans="1:20" x14ac:dyDescent="0.25">
      <c r="A189" s="5">
        <v>44404</v>
      </c>
      <c r="B189">
        <v>0.21995000000000001</v>
      </c>
      <c r="C189">
        <v>0.23766999999999999</v>
      </c>
      <c r="D189">
        <v>0.21038000000000001</v>
      </c>
      <c r="E189">
        <v>0.22620999999999999</v>
      </c>
      <c r="F189">
        <v>20544526.199999999</v>
      </c>
      <c r="G189">
        <v>0.22620999999999999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0.16013191645291272</v>
      </c>
      <c r="Q189">
        <f t="shared" ref="Q189" si="921">F189*P189</f>
        <v>3289834.3530230764</v>
      </c>
      <c r="R189">
        <f t="shared" ref="R189" si="922">R190+Q189</f>
        <v>-1537182253.0978765</v>
      </c>
      <c r="S189">
        <f t="shared" ref="S189" si="923">R189/100000</f>
        <v>-15371.822530978765</v>
      </c>
      <c r="T189">
        <f t="shared" ref="T189" si="924">S189/1000</f>
        <v>-15.371822530978765</v>
      </c>
    </row>
    <row r="190" spans="1:20" x14ac:dyDescent="0.25">
      <c r="A190" s="5">
        <v>44403</v>
      </c>
      <c r="B190">
        <v>0.22778999999999999</v>
      </c>
      <c r="C190">
        <v>0.24920999999999999</v>
      </c>
      <c r="D190">
        <v>0.21837999999999999</v>
      </c>
      <c r="E190">
        <v>0.22019</v>
      </c>
      <c r="F190">
        <v>41938578</v>
      </c>
      <c r="G190">
        <v>0.22019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-0.88258190074602616</v>
      </c>
      <c r="Q190">
        <f t="shared" ref="Q190" si="926">F190*P190</f>
        <v>-37014229.885825478</v>
      </c>
      <c r="R190">
        <f t="shared" ref="R190" si="927">R191+Q190</f>
        <v>-1540472087.4508996</v>
      </c>
      <c r="S190">
        <f t="shared" ref="S190" si="928">R190/100000</f>
        <v>-15404.720874508996</v>
      </c>
      <c r="T190">
        <f t="shared" ref="T190" si="929">S190/1000</f>
        <v>-15.404720874508996</v>
      </c>
    </row>
    <row r="191" spans="1:20" x14ac:dyDescent="0.25">
      <c r="A191" s="5">
        <v>44402</v>
      </c>
      <c r="B191">
        <v>0.20379</v>
      </c>
      <c r="C191">
        <v>0.22900000000000001</v>
      </c>
      <c r="D191">
        <v>0.19275999999999999</v>
      </c>
      <c r="E191">
        <v>0.22775000000000001</v>
      </c>
      <c r="F191">
        <v>37014854.200000003</v>
      </c>
      <c r="G191">
        <v>0.22775000000000001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0.93101545253863138</v>
      </c>
      <c r="Q191">
        <f t="shared" ref="Q191" si="931">F191*P191</f>
        <v>34461401.23366446</v>
      </c>
      <c r="R191">
        <f t="shared" ref="R191" si="932">R192+Q191</f>
        <v>-1503457857.5650742</v>
      </c>
      <c r="S191">
        <f t="shared" ref="S191" si="933">R191/100000</f>
        <v>-15034.578575650741</v>
      </c>
      <c r="T191">
        <f t="shared" ref="T191:T197" si="934">S191/1000</f>
        <v>-15.034578575650741</v>
      </c>
    </row>
    <row r="192" spans="1:20" x14ac:dyDescent="0.25">
      <c r="A192" s="5">
        <v>44401</v>
      </c>
      <c r="B192">
        <v>0.19203000000000001</v>
      </c>
      <c r="C192">
        <v>0.20960999999999999</v>
      </c>
      <c r="D192">
        <v>0.18975</v>
      </c>
      <c r="E192">
        <v>0.20358000000000001</v>
      </c>
      <c r="F192">
        <v>24466556.5</v>
      </c>
      <c r="G192">
        <v>0.20358000000000001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0.39274924471299261</v>
      </c>
      <c r="Q192">
        <f t="shared" ref="Q192" si="936">F192*P192</f>
        <v>9609221.5861027595</v>
      </c>
      <c r="R192">
        <f t="shared" ref="R192" si="937">R193+Q192</f>
        <v>-1537919258.7987387</v>
      </c>
      <c r="S192">
        <f t="shared" ref="S192" si="938">R192/100000</f>
        <v>-15379.192587987387</v>
      </c>
      <c r="T192">
        <f t="shared" si="934"/>
        <v>-15.379192587987387</v>
      </c>
    </row>
    <row r="193" spans="1:20" x14ac:dyDescent="0.25">
      <c r="A193" s="5">
        <v>44400</v>
      </c>
      <c r="B193">
        <v>0.18770999999999999</v>
      </c>
      <c r="C193">
        <v>0.20049</v>
      </c>
      <c r="D193">
        <v>0.18215999999999999</v>
      </c>
      <c r="E193">
        <v>0.19231000000000001</v>
      </c>
      <c r="F193">
        <v>16705534.6</v>
      </c>
      <c r="G193">
        <v>0.19231000000000001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0.10747408619749187</v>
      </c>
      <c r="Q193">
        <f t="shared" ref="Q193" si="940">F193*P193</f>
        <v>1795412.0655755827</v>
      </c>
      <c r="R193">
        <f t="shared" ref="R193" si="941">R194+Q193</f>
        <v>-1547528480.3848414</v>
      </c>
      <c r="S193">
        <f t="shared" ref="S193" si="942">R193/100000</f>
        <v>-15475.284803848415</v>
      </c>
      <c r="T193">
        <f t="shared" si="934"/>
        <v>-15.475284803848416</v>
      </c>
    </row>
    <row r="194" spans="1:20" x14ac:dyDescent="0.25">
      <c r="A194" s="5">
        <v>44399</v>
      </c>
      <c r="B194">
        <v>0.18507999999999999</v>
      </c>
      <c r="C194">
        <v>0.19500000000000001</v>
      </c>
      <c r="D194">
        <v>0.18114</v>
      </c>
      <c r="E194">
        <v>0.18720000000000001</v>
      </c>
      <c r="F194">
        <v>14382659.800000001</v>
      </c>
      <c r="G194">
        <v>0.18720000000000001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-0.12554112554112484</v>
      </c>
      <c r="Q194">
        <f t="shared" ref="Q194" si="944">F194*P194</f>
        <v>-1805615.2995670896</v>
      </c>
      <c r="R194">
        <f t="shared" ref="R194" si="945">R195+Q194</f>
        <v>-1549323892.450417</v>
      </c>
      <c r="S194">
        <f t="shared" ref="S194" si="946">R194/100000</f>
        <v>-15493.23892450417</v>
      </c>
      <c r="T194">
        <f t="shared" si="934"/>
        <v>-15.493238924504171</v>
      </c>
    </row>
    <row r="195" spans="1:20" x14ac:dyDescent="0.25">
      <c r="A195" s="5">
        <v>44398</v>
      </c>
      <c r="B195">
        <v>0.17169000000000001</v>
      </c>
      <c r="C195">
        <v>0.19023999999999999</v>
      </c>
      <c r="D195">
        <v>0.16728999999999999</v>
      </c>
      <c r="E195">
        <v>0.18509</v>
      </c>
      <c r="F195">
        <v>14230204</v>
      </c>
      <c r="G195">
        <v>0.18509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0.55119825708061099</v>
      </c>
      <c r="Q195">
        <f t="shared" ref="Q195" si="948">F195*P195</f>
        <v>7843663.6427015392</v>
      </c>
      <c r="R195">
        <f t="shared" ref="R195" si="949">R196+Q195</f>
        <v>-1547518277.1508501</v>
      </c>
      <c r="S195">
        <f t="shared" ref="S195" si="950">R195/100000</f>
        <v>-15475.1827715085</v>
      </c>
      <c r="T195">
        <f t="shared" si="934"/>
        <v>-15.4751827715085</v>
      </c>
    </row>
    <row r="196" spans="1:20" x14ac:dyDescent="0.25">
      <c r="A196" s="5">
        <v>44397</v>
      </c>
      <c r="B196">
        <v>0.18683</v>
      </c>
      <c r="C196">
        <v>0.19069</v>
      </c>
      <c r="D196">
        <v>0.16355</v>
      </c>
      <c r="E196">
        <v>0.17158999999999999</v>
      </c>
      <c r="F196">
        <v>13125888.199999999</v>
      </c>
      <c r="G196">
        <v>0.17158999999999999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-0.40751658069270508</v>
      </c>
      <c r="Q196">
        <f t="shared" ref="Q196" si="952">F196*P196</f>
        <v>-5349017.0778187253</v>
      </c>
      <c r="R196">
        <f t="shared" ref="R196" si="953">R197+Q196</f>
        <v>-1555361940.7935517</v>
      </c>
      <c r="S196">
        <f t="shared" ref="S196" si="954">R196/100000</f>
        <v>-15553.619407935517</v>
      </c>
      <c r="T196">
        <f t="shared" si="934"/>
        <v>-15.553619407935518</v>
      </c>
    </row>
    <row r="197" spans="1:20" x14ac:dyDescent="0.25">
      <c r="A197" s="5">
        <v>44396</v>
      </c>
      <c r="B197">
        <v>0.20605000000000001</v>
      </c>
      <c r="C197">
        <v>0.20666000000000001</v>
      </c>
      <c r="D197">
        <v>0.1832</v>
      </c>
      <c r="E197">
        <v>0.18701000000000001</v>
      </c>
      <c r="F197">
        <v>15022287.800000001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-0.6751918158567769</v>
      </c>
      <c r="Q197">
        <f t="shared" ref="Q197" si="956">F197*P197</f>
        <v>-10142925.778005106</v>
      </c>
      <c r="R197">
        <f t="shared" ref="R197" si="957">R198+Q197</f>
        <v>-1550012923.7157331</v>
      </c>
      <c r="S197">
        <f t="shared" ref="S197" si="958">R197/100000</f>
        <v>-15500.129237157331</v>
      </c>
      <c r="T197">
        <f t="shared" si="934"/>
        <v>-15.500129237157331</v>
      </c>
    </row>
    <row r="198" spans="1:20" x14ac:dyDescent="0.25">
      <c r="A198" s="5">
        <v>44395</v>
      </c>
      <c r="B198">
        <v>0.20158999999999999</v>
      </c>
      <c r="C198">
        <v>0.21246000000000001</v>
      </c>
      <c r="D198">
        <v>0.1981</v>
      </c>
      <c r="E198">
        <v>0.20630000000000001</v>
      </c>
      <c r="F198">
        <v>16726145.4</v>
      </c>
      <c r="G198">
        <v>0</v>
      </c>
      <c r="L198" t="s">
        <v>7</v>
      </c>
      <c r="M198" t="s">
        <v>7</v>
      </c>
      <c r="N198" t="s">
        <v>8</v>
      </c>
      <c r="P198">
        <f t="shared" ref="P198:P261" si="959">IF(C198=D198,0,((E198-D198)-(C198-E198))/(C198-D198))</f>
        <v>0.14206128133704821</v>
      </c>
      <c r="Q198">
        <f t="shared" ref="Q198:Q261" si="960">F198*P198</f>
        <v>2376137.6473537749</v>
      </c>
      <c r="R198">
        <f t="shared" ref="R198:R261" si="961">R199+Q198</f>
        <v>-1539869997.9377279</v>
      </c>
      <c r="S198">
        <f t="shared" ref="S198:S261" si="962">R198/100000</f>
        <v>-15398.699979377279</v>
      </c>
      <c r="T198">
        <f t="shared" ref="T198:T261" si="963">S198/1000</f>
        <v>-15.398699979377279</v>
      </c>
    </row>
    <row r="199" spans="1:20" x14ac:dyDescent="0.25">
      <c r="A199" s="5">
        <v>44394</v>
      </c>
      <c r="B199">
        <v>0.19811000000000001</v>
      </c>
      <c r="C199">
        <v>0.21665999999999999</v>
      </c>
      <c r="D199">
        <v>0.19667999999999999</v>
      </c>
      <c r="E199">
        <v>0.20177</v>
      </c>
      <c r="F199">
        <v>29054889.899999999</v>
      </c>
      <c r="G199">
        <v>0</v>
      </c>
      <c r="L199" t="s">
        <v>8</v>
      </c>
      <c r="M199" t="s">
        <v>7</v>
      </c>
      <c r="N199" t="s">
        <v>8</v>
      </c>
      <c r="P199">
        <f t="shared" si="959"/>
        <v>-0.49049049049048932</v>
      </c>
      <c r="Q199">
        <f t="shared" si="960"/>
        <v>-14251147.198198164</v>
      </c>
      <c r="R199">
        <f t="shared" si="961"/>
        <v>-1542246135.5850818</v>
      </c>
      <c r="S199">
        <f t="shared" si="962"/>
        <v>-15422.461355850819</v>
      </c>
      <c r="T199">
        <f t="shared" si="963"/>
        <v>-15.422461355850819</v>
      </c>
    </row>
    <row r="200" spans="1:20" x14ac:dyDescent="0.25">
      <c r="A200" s="5">
        <v>44393</v>
      </c>
      <c r="B200">
        <v>0.21273</v>
      </c>
      <c r="C200">
        <v>0.22233</v>
      </c>
      <c r="D200">
        <v>0.19505</v>
      </c>
      <c r="E200">
        <v>0.19844000000000001</v>
      </c>
      <c r="F200">
        <v>34816634.600000001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-0.75146627565982371</v>
      </c>
      <c r="Q200">
        <f t="shared" si="960"/>
        <v>-26163526.733870957</v>
      </c>
      <c r="R200">
        <f t="shared" si="961"/>
        <v>-1527994988.3868837</v>
      </c>
      <c r="S200">
        <f t="shared" si="962"/>
        <v>-15279.949883868838</v>
      </c>
      <c r="T200">
        <f t="shared" si="963"/>
        <v>-15.279949883868838</v>
      </c>
    </row>
    <row r="201" spans="1:20" x14ac:dyDescent="0.25">
      <c r="A201" s="5">
        <v>44392</v>
      </c>
      <c r="B201">
        <v>0.22933999999999999</v>
      </c>
      <c r="C201">
        <v>0.24671000000000001</v>
      </c>
      <c r="D201">
        <v>0.20899999999999999</v>
      </c>
      <c r="E201">
        <v>0.21209</v>
      </c>
      <c r="F201">
        <v>49926871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-0.83611774065234645</v>
      </c>
      <c r="Q201">
        <f t="shared" si="960"/>
        <v>-41744742.578361154</v>
      </c>
      <c r="R201">
        <f t="shared" si="961"/>
        <v>-1501831461.6530128</v>
      </c>
      <c r="S201">
        <f t="shared" si="962"/>
        <v>-15018.314616530128</v>
      </c>
      <c r="T201">
        <f t="shared" si="963"/>
        <v>-15.018314616530128</v>
      </c>
    </row>
    <row r="202" spans="1:20" x14ac:dyDescent="0.25">
      <c r="A202" s="5">
        <v>44391</v>
      </c>
      <c r="B202">
        <v>0.21151</v>
      </c>
      <c r="C202">
        <v>0.23499999999999999</v>
      </c>
      <c r="D202">
        <v>0.19</v>
      </c>
      <c r="E202">
        <v>0.22917999999999999</v>
      </c>
      <c r="F202">
        <v>32512995.899999999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0.74133333333333362</v>
      </c>
      <c r="Q202">
        <f t="shared" si="960"/>
        <v>24102967.627200007</v>
      </c>
      <c r="R202">
        <f t="shared" si="961"/>
        <v>-1460086719.0746517</v>
      </c>
      <c r="S202">
        <f t="shared" si="962"/>
        <v>-14600.867190746518</v>
      </c>
      <c r="T202">
        <f t="shared" si="963"/>
        <v>-14.600867190746518</v>
      </c>
    </row>
    <row r="203" spans="1:20" x14ac:dyDescent="0.25">
      <c r="A203" s="5">
        <v>44390</v>
      </c>
      <c r="B203">
        <v>0.21393000000000001</v>
      </c>
      <c r="C203">
        <v>0.21671000000000001</v>
      </c>
      <c r="D203">
        <v>0.20413999999999999</v>
      </c>
      <c r="E203">
        <v>0.21154999999999999</v>
      </c>
      <c r="F203">
        <v>11850125.300000001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0.17899761336515271</v>
      </c>
      <c r="Q203">
        <f t="shared" si="960"/>
        <v>2121144.1467780145</v>
      </c>
      <c r="R203">
        <f t="shared" si="961"/>
        <v>-1484189686.7018516</v>
      </c>
      <c r="S203">
        <f t="shared" si="962"/>
        <v>-14841.896867018517</v>
      </c>
      <c r="T203">
        <f t="shared" si="963"/>
        <v>-14.841896867018518</v>
      </c>
    </row>
    <row r="204" spans="1:20" x14ac:dyDescent="0.25">
      <c r="A204" s="5">
        <v>44389</v>
      </c>
      <c r="B204">
        <v>0.22405</v>
      </c>
      <c r="C204">
        <v>0.23616000000000001</v>
      </c>
      <c r="D204">
        <v>0.20807</v>
      </c>
      <c r="E204">
        <v>0.21407999999999999</v>
      </c>
      <c r="F204">
        <v>24263703.800000001</v>
      </c>
      <c r="G204">
        <v>0</v>
      </c>
      <c r="L204" t="s">
        <v>8</v>
      </c>
      <c r="M204" t="s">
        <v>7</v>
      </c>
      <c r="N204" t="s">
        <v>8</v>
      </c>
      <c r="P204">
        <f t="shared" si="959"/>
        <v>-0.57208971164115441</v>
      </c>
      <c r="Q204">
        <f t="shared" si="960"/>
        <v>-13881015.310288383</v>
      </c>
      <c r="R204">
        <f t="shared" si="961"/>
        <v>-1486310830.8486297</v>
      </c>
      <c r="S204">
        <f t="shared" si="962"/>
        <v>-14863.108308486297</v>
      </c>
      <c r="T204">
        <f t="shared" si="963"/>
        <v>-14.863108308486296</v>
      </c>
    </row>
    <row r="205" spans="1:20" x14ac:dyDescent="0.25">
      <c r="A205" s="5">
        <v>44388</v>
      </c>
      <c r="B205">
        <v>0.2142</v>
      </c>
      <c r="C205">
        <v>0.22491</v>
      </c>
      <c r="D205">
        <v>0.20977999999999999</v>
      </c>
      <c r="E205">
        <v>0.22406000000000001</v>
      </c>
      <c r="F205">
        <v>8720526.4000000004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0.88764044943820364</v>
      </c>
      <c r="Q205">
        <f t="shared" si="960"/>
        <v>7740691.9730337206</v>
      </c>
      <c r="R205">
        <f t="shared" si="961"/>
        <v>-1472429815.5383413</v>
      </c>
      <c r="S205">
        <f t="shared" si="962"/>
        <v>-14724.298155383412</v>
      </c>
      <c r="T205">
        <f t="shared" si="963"/>
        <v>-14.724298155383412</v>
      </c>
    </row>
    <row r="206" spans="1:20" x14ac:dyDescent="0.25">
      <c r="A206" s="5">
        <v>44387</v>
      </c>
      <c r="B206">
        <v>0.21919</v>
      </c>
      <c r="C206">
        <v>0.22524</v>
      </c>
      <c r="D206">
        <v>0.20777000000000001</v>
      </c>
      <c r="E206">
        <v>0.21439</v>
      </c>
      <c r="F206">
        <v>12842914.1</v>
      </c>
      <c r="G206">
        <v>0</v>
      </c>
      <c r="L206" t="s">
        <v>7</v>
      </c>
      <c r="M206" t="s">
        <v>7</v>
      </c>
      <c r="N206" t="s">
        <v>8</v>
      </c>
      <c r="P206">
        <f t="shared" si="959"/>
        <v>-0.24212936462507242</v>
      </c>
      <c r="Q206">
        <f t="shared" si="960"/>
        <v>-3109646.6309673837</v>
      </c>
      <c r="R206">
        <f t="shared" si="961"/>
        <v>-1480170507.511375</v>
      </c>
      <c r="S206">
        <f t="shared" si="962"/>
        <v>-14801.70507511375</v>
      </c>
      <c r="T206">
        <f t="shared" si="963"/>
        <v>-14.80170507511375</v>
      </c>
    </row>
    <row r="207" spans="1:20" x14ac:dyDescent="0.25">
      <c r="A207" s="5">
        <v>44386</v>
      </c>
      <c r="B207">
        <v>0.2145</v>
      </c>
      <c r="C207">
        <v>0.22298999999999999</v>
      </c>
      <c r="D207">
        <v>0.20252999999999999</v>
      </c>
      <c r="E207">
        <v>0.21870000000000001</v>
      </c>
      <c r="F207">
        <v>11710708.800000001</v>
      </c>
      <c r="G207">
        <v>0</v>
      </c>
      <c r="L207" t="s">
        <v>8</v>
      </c>
      <c r="M207" t="s">
        <v>7</v>
      </c>
      <c r="N207" t="s">
        <v>8</v>
      </c>
      <c r="P207">
        <f t="shared" si="959"/>
        <v>0.58064516129032384</v>
      </c>
      <c r="Q207">
        <f t="shared" si="960"/>
        <v>6799766.4000000153</v>
      </c>
      <c r="R207">
        <f t="shared" si="961"/>
        <v>-1477060860.8804076</v>
      </c>
      <c r="S207">
        <f t="shared" si="962"/>
        <v>-14770.608608804076</v>
      </c>
      <c r="T207">
        <f t="shared" si="963"/>
        <v>-14.770608608804075</v>
      </c>
    </row>
    <row r="208" spans="1:20" x14ac:dyDescent="0.25">
      <c r="A208" s="5">
        <v>44385</v>
      </c>
      <c r="B208">
        <v>0.22952</v>
      </c>
      <c r="C208">
        <v>0.22952</v>
      </c>
      <c r="D208">
        <v>0.20436000000000001</v>
      </c>
      <c r="E208">
        <v>0.21451999999999999</v>
      </c>
      <c r="F208">
        <v>25967976.399999999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-0.19236883942766458</v>
      </c>
      <c r="Q208">
        <f t="shared" si="960"/>
        <v>-4995429.4823529832</v>
      </c>
      <c r="R208">
        <f t="shared" si="961"/>
        <v>-1483860627.2804077</v>
      </c>
      <c r="S208">
        <f t="shared" si="962"/>
        <v>-14838.606272804076</v>
      </c>
      <c r="T208">
        <f t="shared" si="963"/>
        <v>-14.838606272804077</v>
      </c>
    </row>
    <row r="209" spans="1:20" x14ac:dyDescent="0.25">
      <c r="A209" s="5">
        <v>44384</v>
      </c>
      <c r="B209">
        <v>0.22242000000000001</v>
      </c>
      <c r="C209">
        <v>0.25</v>
      </c>
      <c r="D209">
        <v>0.21833</v>
      </c>
      <c r="E209">
        <v>0.22958000000000001</v>
      </c>
      <c r="F209">
        <v>35980242.100000001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-0.28954846858225397</v>
      </c>
      <c r="Q209">
        <f t="shared" si="960"/>
        <v>-10418023.999273742</v>
      </c>
      <c r="R209">
        <f t="shared" si="961"/>
        <v>-1478865197.7980547</v>
      </c>
      <c r="S209">
        <f t="shared" si="962"/>
        <v>-14788.651977980548</v>
      </c>
      <c r="T209">
        <f t="shared" si="963"/>
        <v>-14.788651977980548</v>
      </c>
    </row>
    <row r="210" spans="1:20" x14ac:dyDescent="0.25">
      <c r="A210" s="5">
        <v>44383</v>
      </c>
      <c r="B210">
        <v>0.20599999999999999</v>
      </c>
      <c r="C210">
        <v>0.2326</v>
      </c>
      <c r="D210">
        <v>0.20577999999999999</v>
      </c>
      <c r="E210">
        <v>0.22255</v>
      </c>
      <c r="F210">
        <v>36116502.399999999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0.25055928411633116</v>
      </c>
      <c r="Q210">
        <f t="shared" si="960"/>
        <v>9049324.9861297552</v>
      </c>
      <c r="R210">
        <f t="shared" si="961"/>
        <v>-1468447173.7987809</v>
      </c>
      <c r="S210">
        <f t="shared" si="962"/>
        <v>-14684.471737987809</v>
      </c>
      <c r="T210">
        <f t="shared" si="963"/>
        <v>-14.68447173798781</v>
      </c>
    </row>
    <row r="211" spans="1:20" x14ac:dyDescent="0.25">
      <c r="A211" s="5">
        <v>44382</v>
      </c>
      <c r="B211">
        <v>0.21636</v>
      </c>
      <c r="C211">
        <v>0.22489999999999999</v>
      </c>
      <c r="D211">
        <v>0.20171</v>
      </c>
      <c r="E211">
        <v>0.20613999999999999</v>
      </c>
      <c r="F211">
        <v>28101021.899999999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-0.61793876670978942</v>
      </c>
      <c r="Q211">
        <f t="shared" si="960"/>
        <v>-17364710.816170782</v>
      </c>
      <c r="R211">
        <f t="shared" si="961"/>
        <v>-1477496498.7849107</v>
      </c>
      <c r="S211">
        <f t="shared" si="962"/>
        <v>-14774.964987849107</v>
      </c>
      <c r="T211">
        <f t="shared" si="963"/>
        <v>-14.774964987849108</v>
      </c>
    </row>
    <row r="212" spans="1:20" x14ac:dyDescent="0.25">
      <c r="A212" s="5">
        <v>44381</v>
      </c>
      <c r="B212">
        <v>0.22003</v>
      </c>
      <c r="C212">
        <v>0.22267999999999999</v>
      </c>
      <c r="D212">
        <v>0.20845</v>
      </c>
      <c r="E212">
        <v>0.21634999999999999</v>
      </c>
      <c r="F212">
        <v>12626356.4</v>
      </c>
      <c r="G212">
        <v>0</v>
      </c>
      <c r="L212" t="s">
        <v>7</v>
      </c>
      <c r="M212" t="s">
        <v>7</v>
      </c>
      <c r="N212" t="s">
        <v>8</v>
      </c>
      <c r="P212">
        <f t="shared" si="959"/>
        <v>0.11033028812368158</v>
      </c>
      <c r="Q212">
        <f t="shared" si="960"/>
        <v>1393069.539564291</v>
      </c>
      <c r="R212">
        <f t="shared" si="961"/>
        <v>-1460131787.96874</v>
      </c>
      <c r="S212">
        <f t="shared" si="962"/>
        <v>-14601.3178796874</v>
      </c>
      <c r="T212">
        <f t="shared" si="963"/>
        <v>-14.6013178796874</v>
      </c>
    </row>
    <row r="213" spans="1:20" x14ac:dyDescent="0.25">
      <c r="A213" s="5">
        <v>44380</v>
      </c>
      <c r="B213">
        <v>0.21254000000000001</v>
      </c>
      <c r="C213">
        <v>0.22499</v>
      </c>
      <c r="D213">
        <v>0.2074</v>
      </c>
      <c r="E213">
        <v>0.22</v>
      </c>
      <c r="F213">
        <v>12891849.300000001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0.43263217737350812</v>
      </c>
      <c r="Q213">
        <f t="shared" si="960"/>
        <v>5577428.8330301372</v>
      </c>
      <c r="R213">
        <f t="shared" si="961"/>
        <v>-1461524857.5083044</v>
      </c>
      <c r="S213">
        <f t="shared" si="962"/>
        <v>-14615.248575083044</v>
      </c>
      <c r="T213">
        <f t="shared" si="963"/>
        <v>-14.615248575083044</v>
      </c>
    </row>
    <row r="214" spans="1:20" x14ac:dyDescent="0.25">
      <c r="A214" s="5">
        <v>44379</v>
      </c>
      <c r="B214">
        <v>0.21112</v>
      </c>
      <c r="C214">
        <v>0.21376000000000001</v>
      </c>
      <c r="D214">
        <v>0.20002</v>
      </c>
      <c r="E214">
        <v>0.21243000000000001</v>
      </c>
      <c r="F214">
        <v>6724692.7000000002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0.8064046579330425</v>
      </c>
      <c r="Q214">
        <f t="shared" si="960"/>
        <v>5422823.5164483283</v>
      </c>
      <c r="R214">
        <f t="shared" si="961"/>
        <v>-1467102286.3413346</v>
      </c>
      <c r="S214">
        <f t="shared" si="962"/>
        <v>-14671.022863413345</v>
      </c>
      <c r="T214">
        <f t="shared" si="963"/>
        <v>-14.671022863413345</v>
      </c>
    </row>
    <row r="215" spans="1:20" x14ac:dyDescent="0.25">
      <c r="A215" s="5">
        <v>44378</v>
      </c>
      <c r="B215">
        <v>0.22395000000000001</v>
      </c>
      <c r="C215">
        <v>0.22431999999999999</v>
      </c>
      <c r="D215">
        <v>0.20252000000000001</v>
      </c>
      <c r="E215">
        <v>0.21121000000000001</v>
      </c>
      <c r="F215">
        <v>10277406.800000001</v>
      </c>
      <c r="G215">
        <v>0</v>
      </c>
      <c r="L215" t="s">
        <v>8</v>
      </c>
      <c r="M215" t="s">
        <v>7</v>
      </c>
      <c r="N215" t="s">
        <v>8</v>
      </c>
      <c r="P215">
        <f t="shared" si="959"/>
        <v>-0.20275229357798083</v>
      </c>
      <c r="Q215">
        <f t="shared" si="960"/>
        <v>-2083767.8007339367</v>
      </c>
      <c r="R215">
        <f t="shared" si="961"/>
        <v>-1472525109.8577828</v>
      </c>
      <c r="S215">
        <f t="shared" si="962"/>
        <v>-14725.251098577828</v>
      </c>
      <c r="T215">
        <f t="shared" si="963"/>
        <v>-14.725251098577829</v>
      </c>
    </row>
    <row r="216" spans="1:20" x14ac:dyDescent="0.25">
      <c r="A216" s="5">
        <v>44377</v>
      </c>
      <c r="B216">
        <v>0.22906000000000001</v>
      </c>
      <c r="C216">
        <v>0.22908999999999999</v>
      </c>
      <c r="D216">
        <v>0.20460999999999999</v>
      </c>
      <c r="E216">
        <v>0.22392999999999999</v>
      </c>
      <c r="F216">
        <v>12502149.699999999</v>
      </c>
      <c r="G216">
        <v>0</v>
      </c>
      <c r="L216" t="s">
        <v>7</v>
      </c>
      <c r="M216" t="s">
        <v>7</v>
      </c>
      <c r="N216" t="s">
        <v>8</v>
      </c>
      <c r="P216">
        <f t="shared" si="959"/>
        <v>0.57843137254901977</v>
      </c>
      <c r="Q216">
        <f t="shared" si="960"/>
        <v>7231635.6107843155</v>
      </c>
      <c r="R216">
        <f t="shared" si="961"/>
        <v>-1470441342.0570488</v>
      </c>
      <c r="S216">
        <f t="shared" si="962"/>
        <v>-14704.413420570489</v>
      </c>
      <c r="T216">
        <f t="shared" si="963"/>
        <v>-14.704413420570489</v>
      </c>
    </row>
    <row r="217" spans="1:20" x14ac:dyDescent="0.25">
      <c r="A217" s="5">
        <v>44376</v>
      </c>
      <c r="B217">
        <v>0.22131999999999999</v>
      </c>
      <c r="C217">
        <v>0.23993</v>
      </c>
      <c r="D217">
        <v>0.21621000000000001</v>
      </c>
      <c r="E217">
        <v>0.22922999999999999</v>
      </c>
      <c r="F217">
        <v>14261330.5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9.7807757166946119E-2</v>
      </c>
      <c r="Q217">
        <f t="shared" si="960"/>
        <v>1394868.7504215622</v>
      </c>
      <c r="R217">
        <f t="shared" si="961"/>
        <v>-1477672977.6678331</v>
      </c>
      <c r="S217">
        <f t="shared" si="962"/>
        <v>-14776.72977667833</v>
      </c>
      <c r="T217">
        <f t="shared" si="963"/>
        <v>-14.77672977667833</v>
      </c>
    </row>
    <row r="218" spans="1:20" x14ac:dyDescent="0.25">
      <c r="A218" s="5">
        <v>44375</v>
      </c>
      <c r="B218">
        <v>0.22459000000000001</v>
      </c>
      <c r="C218">
        <v>0.22774</v>
      </c>
      <c r="D218">
        <v>0.21024999999999999</v>
      </c>
      <c r="E218">
        <v>0.22136</v>
      </c>
      <c r="F218">
        <v>17290059.199999999</v>
      </c>
      <c r="G218">
        <v>0</v>
      </c>
      <c r="L218" t="s">
        <v>7</v>
      </c>
      <c r="M218" t="s">
        <v>8</v>
      </c>
      <c r="N218" t="s">
        <v>8</v>
      </c>
      <c r="P218">
        <f t="shared" si="959"/>
        <v>0.27044025157232765</v>
      </c>
      <c r="Q218">
        <f t="shared" si="960"/>
        <v>4675927.9597484376</v>
      </c>
      <c r="R218">
        <f t="shared" si="961"/>
        <v>-1479067846.4182546</v>
      </c>
      <c r="S218">
        <f t="shared" si="962"/>
        <v>-14790.678464182547</v>
      </c>
      <c r="T218">
        <f t="shared" si="963"/>
        <v>-14.790678464182546</v>
      </c>
    </row>
    <row r="219" spans="1:20" x14ac:dyDescent="0.25">
      <c r="A219" s="5">
        <v>44374</v>
      </c>
      <c r="B219">
        <v>0.19900000000000001</v>
      </c>
      <c r="C219">
        <v>0.245</v>
      </c>
      <c r="D219">
        <v>0.19706000000000001</v>
      </c>
      <c r="E219">
        <v>0.22466</v>
      </c>
      <c r="F219">
        <v>28768333.399999999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0.15143929912390469</v>
      </c>
      <c r="Q219">
        <f t="shared" si="960"/>
        <v>4356656.2470588181</v>
      </c>
      <c r="R219">
        <f t="shared" si="961"/>
        <v>-1483743774.3780031</v>
      </c>
      <c r="S219">
        <f t="shared" si="962"/>
        <v>-14837.43774378003</v>
      </c>
      <c r="T219">
        <f t="shared" si="963"/>
        <v>-14.837437743780031</v>
      </c>
    </row>
    <row r="220" spans="1:20" x14ac:dyDescent="0.25">
      <c r="A220" s="5">
        <v>44373</v>
      </c>
      <c r="B220">
        <v>0.19897999999999999</v>
      </c>
      <c r="C220">
        <v>0.20569000000000001</v>
      </c>
      <c r="D220">
        <v>0.18787999999999999</v>
      </c>
      <c r="E220">
        <v>0.19866</v>
      </c>
      <c r="F220">
        <v>9801592.1999999993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0.21055586749017402</v>
      </c>
      <c r="Q220">
        <f t="shared" si="960"/>
        <v>2063782.7484559231</v>
      </c>
      <c r="R220">
        <f t="shared" si="961"/>
        <v>-1488100430.625062</v>
      </c>
      <c r="S220">
        <f t="shared" si="962"/>
        <v>-14881.004306250619</v>
      </c>
      <c r="T220">
        <f t="shared" si="963"/>
        <v>-14.881004306250619</v>
      </c>
    </row>
    <row r="221" spans="1:20" x14ac:dyDescent="0.25">
      <c r="A221" s="5">
        <v>44372</v>
      </c>
      <c r="B221">
        <v>0.22166</v>
      </c>
      <c r="C221">
        <v>0.2286</v>
      </c>
      <c r="D221">
        <v>0.19717999999999999</v>
      </c>
      <c r="E221">
        <v>0.19955000000000001</v>
      </c>
      <c r="F221">
        <v>11413225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-0.84914067472947097</v>
      </c>
      <c r="Q221">
        <f t="shared" si="960"/>
        <v>-9691433.5773392655</v>
      </c>
      <c r="R221">
        <f t="shared" si="961"/>
        <v>-1490164213.373518</v>
      </c>
      <c r="S221">
        <f t="shared" si="962"/>
        <v>-14901.64213373518</v>
      </c>
      <c r="T221">
        <f t="shared" si="963"/>
        <v>-14.90164213373518</v>
      </c>
    </row>
    <row r="222" spans="1:20" x14ac:dyDescent="0.25">
      <c r="A222" s="5">
        <v>44371</v>
      </c>
      <c r="B222">
        <v>0.21887000000000001</v>
      </c>
      <c r="C222">
        <v>0.22964000000000001</v>
      </c>
      <c r="D222">
        <v>0.20537</v>
      </c>
      <c r="E222">
        <v>0.22166</v>
      </c>
      <c r="F222">
        <v>11507570.5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0.34239802224969013</v>
      </c>
      <c r="Q222">
        <f t="shared" si="960"/>
        <v>3940169.3800988779</v>
      </c>
      <c r="R222">
        <f t="shared" si="961"/>
        <v>-1480472779.7961788</v>
      </c>
      <c r="S222">
        <f t="shared" si="962"/>
        <v>-14804.727797961788</v>
      </c>
      <c r="T222">
        <f t="shared" si="963"/>
        <v>-14.804727797961789</v>
      </c>
    </row>
    <row r="223" spans="1:20" x14ac:dyDescent="0.25">
      <c r="A223" s="5">
        <v>44370</v>
      </c>
      <c r="B223">
        <v>0.19571</v>
      </c>
      <c r="C223">
        <v>0.22628000000000001</v>
      </c>
      <c r="D223">
        <v>0.18632000000000001</v>
      </c>
      <c r="E223">
        <v>0.21879999999999999</v>
      </c>
      <c r="F223">
        <v>17956477.5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0.62562562562562485</v>
      </c>
      <c r="Q223">
        <f t="shared" si="960"/>
        <v>11234032.469969956</v>
      </c>
      <c r="R223">
        <f t="shared" si="961"/>
        <v>-1484412949.1762776</v>
      </c>
      <c r="S223">
        <f t="shared" si="962"/>
        <v>-14844.129491762777</v>
      </c>
      <c r="T223">
        <f t="shared" si="963"/>
        <v>-14.844129491762777</v>
      </c>
    </row>
    <row r="224" spans="1:20" x14ac:dyDescent="0.25">
      <c r="A224" s="5">
        <v>44369</v>
      </c>
      <c r="B224">
        <v>0.21134</v>
      </c>
      <c r="C224">
        <v>0.22733</v>
      </c>
      <c r="D224">
        <v>0.17499999999999999</v>
      </c>
      <c r="E224">
        <v>0.19536999999999999</v>
      </c>
      <c r="F224">
        <v>27995750.600000001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-0.22147907510032511</v>
      </c>
      <c r="Q224">
        <f t="shared" si="960"/>
        <v>-6200472.9496273724</v>
      </c>
      <c r="R224">
        <f t="shared" si="961"/>
        <v>-1495646981.6462476</v>
      </c>
      <c r="S224">
        <f t="shared" si="962"/>
        <v>-14956.469816462477</v>
      </c>
      <c r="T224">
        <f t="shared" si="963"/>
        <v>-14.956469816462477</v>
      </c>
    </row>
    <row r="225" spans="1:20" x14ac:dyDescent="0.25">
      <c r="A225" s="5">
        <v>44368</v>
      </c>
      <c r="B225">
        <v>0.27406999999999998</v>
      </c>
      <c r="C225">
        <v>0.27671000000000001</v>
      </c>
      <c r="D225">
        <v>0.20910999999999999</v>
      </c>
      <c r="E225">
        <v>0.21179999999999999</v>
      </c>
      <c r="F225">
        <v>18002143.199999999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-0.92041420118343209</v>
      </c>
      <c r="Q225">
        <f t="shared" si="960"/>
        <v>-16569428.253017753</v>
      </c>
      <c r="R225">
        <f t="shared" si="961"/>
        <v>-1489446508.6966202</v>
      </c>
      <c r="S225">
        <f t="shared" si="962"/>
        <v>-14894.465086966202</v>
      </c>
      <c r="T225">
        <f t="shared" si="963"/>
        <v>-14.894465086966202</v>
      </c>
    </row>
    <row r="226" spans="1:20" x14ac:dyDescent="0.25">
      <c r="A226" s="5">
        <v>44367</v>
      </c>
      <c r="B226">
        <v>0.26698</v>
      </c>
      <c r="C226">
        <v>0.28144999999999998</v>
      </c>
      <c r="D226">
        <v>0.25052999999999997</v>
      </c>
      <c r="E226">
        <v>0.27446999999999999</v>
      </c>
      <c r="F226">
        <v>11437223.800000001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0.5485122897800786</v>
      </c>
      <c r="Q226">
        <f t="shared" si="960"/>
        <v>6273457.8152652122</v>
      </c>
      <c r="R226">
        <f t="shared" si="961"/>
        <v>-1472877080.4436026</v>
      </c>
      <c r="S226">
        <f t="shared" si="962"/>
        <v>-14728.770804436026</v>
      </c>
      <c r="T226">
        <f t="shared" si="963"/>
        <v>-14.728770804436026</v>
      </c>
    </row>
    <row r="227" spans="1:20" x14ac:dyDescent="0.25">
      <c r="A227" s="5">
        <v>44366</v>
      </c>
      <c r="B227">
        <v>0.28472999999999998</v>
      </c>
      <c r="C227">
        <v>0.28793000000000002</v>
      </c>
      <c r="D227">
        <v>0.26637</v>
      </c>
      <c r="E227">
        <v>0.26708999999999999</v>
      </c>
      <c r="F227">
        <v>9397104.0999999996</v>
      </c>
      <c r="G227">
        <v>0</v>
      </c>
      <c r="L227" t="s">
        <v>7</v>
      </c>
      <c r="M227" t="s">
        <v>7</v>
      </c>
      <c r="N227" t="s">
        <v>8</v>
      </c>
      <c r="P227">
        <f t="shared" si="959"/>
        <v>-0.93320964749536195</v>
      </c>
      <c r="Q227">
        <f t="shared" si="960"/>
        <v>-8769468.2046382204</v>
      </c>
      <c r="R227">
        <f t="shared" si="961"/>
        <v>-1479150538.2588677</v>
      </c>
      <c r="S227">
        <f t="shared" si="962"/>
        <v>-14791.505382588677</v>
      </c>
      <c r="T227">
        <f t="shared" si="963"/>
        <v>-14.791505382588678</v>
      </c>
    </row>
    <row r="228" spans="1:20" x14ac:dyDescent="0.25">
      <c r="A228" s="5">
        <v>44365</v>
      </c>
      <c r="B228">
        <v>0.29781000000000002</v>
      </c>
      <c r="C228">
        <v>0.30403000000000002</v>
      </c>
      <c r="D228">
        <v>0.27146999999999999</v>
      </c>
      <c r="E228">
        <v>0.28525</v>
      </c>
      <c r="F228">
        <v>16697800.5</v>
      </c>
      <c r="G228">
        <v>0</v>
      </c>
      <c r="L228" t="s">
        <v>7</v>
      </c>
      <c r="M228" t="s">
        <v>7</v>
      </c>
      <c r="N228" t="s">
        <v>8</v>
      </c>
      <c r="P228">
        <f t="shared" si="959"/>
        <v>-0.15356265356265353</v>
      </c>
      <c r="Q228">
        <f t="shared" si="960"/>
        <v>-2564158.553439803</v>
      </c>
      <c r="R228">
        <f t="shared" si="961"/>
        <v>-1470381070.0542295</v>
      </c>
      <c r="S228">
        <f t="shared" si="962"/>
        <v>-14703.810700542295</v>
      </c>
      <c r="T228">
        <f t="shared" si="963"/>
        <v>-14.703810700542295</v>
      </c>
    </row>
    <row r="229" spans="1:20" x14ac:dyDescent="0.25">
      <c r="A229" s="5">
        <v>44364</v>
      </c>
      <c r="B229">
        <v>0.28331000000000001</v>
      </c>
      <c r="C229">
        <v>0.36862</v>
      </c>
      <c r="D229">
        <v>0.28312999999999999</v>
      </c>
      <c r="E229">
        <v>0.29798999999999998</v>
      </c>
      <c r="F229">
        <v>53085359.899999999</v>
      </c>
      <c r="G229">
        <v>0</v>
      </c>
      <c r="L229" t="s">
        <v>8</v>
      </c>
      <c r="M229" t="s">
        <v>8</v>
      </c>
      <c r="N229" t="s">
        <v>8</v>
      </c>
      <c r="P229">
        <f t="shared" si="959"/>
        <v>-0.65235700081880965</v>
      </c>
      <c r="Q229">
        <f t="shared" si="960"/>
        <v>-34630606.171751104</v>
      </c>
      <c r="R229">
        <f t="shared" si="961"/>
        <v>-1467816911.5007896</v>
      </c>
      <c r="S229">
        <f t="shared" si="962"/>
        <v>-14678.169115007897</v>
      </c>
      <c r="T229">
        <f t="shared" si="963"/>
        <v>-14.678169115007897</v>
      </c>
    </row>
    <row r="230" spans="1:20" x14ac:dyDescent="0.25">
      <c r="A230" s="5">
        <v>44363</v>
      </c>
      <c r="B230">
        <v>0.30077999999999999</v>
      </c>
      <c r="C230">
        <v>0.30324000000000001</v>
      </c>
      <c r="D230">
        <v>0.28171000000000002</v>
      </c>
      <c r="E230">
        <v>0.28342000000000001</v>
      </c>
      <c r="F230">
        <v>9347915.1999999993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-0.84115188109614591</v>
      </c>
      <c r="Q230">
        <f t="shared" si="960"/>
        <v>-7863016.4548072545</v>
      </c>
      <c r="R230">
        <f t="shared" si="961"/>
        <v>-1433186305.3290386</v>
      </c>
      <c r="S230">
        <f t="shared" si="962"/>
        <v>-14331.863053290386</v>
      </c>
      <c r="T230">
        <f t="shared" si="963"/>
        <v>-14.331863053290386</v>
      </c>
    </row>
    <row r="231" spans="1:20" x14ac:dyDescent="0.25">
      <c r="A231" s="5">
        <v>44362</v>
      </c>
      <c r="B231">
        <v>0.30454999999999999</v>
      </c>
      <c r="C231">
        <v>0.31667000000000001</v>
      </c>
      <c r="D231">
        <v>0.29799999999999999</v>
      </c>
      <c r="E231">
        <v>0.30064000000000002</v>
      </c>
      <c r="F231">
        <v>11478623.300000001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-0.71719335832886677</v>
      </c>
      <c r="Q231">
        <f t="shared" si="960"/>
        <v>-8232392.3935189797</v>
      </c>
      <c r="R231">
        <f t="shared" si="961"/>
        <v>-1425323288.8742313</v>
      </c>
      <c r="S231">
        <f t="shared" si="962"/>
        <v>-14253.232888742314</v>
      </c>
      <c r="T231">
        <f t="shared" si="963"/>
        <v>-14.253232888742314</v>
      </c>
    </row>
    <row r="232" spans="1:20" x14ac:dyDescent="0.25">
      <c r="A232" s="5">
        <v>44361</v>
      </c>
      <c r="B232">
        <v>0.29133999999999999</v>
      </c>
      <c r="C232">
        <v>0.32100000000000001</v>
      </c>
      <c r="D232">
        <v>0.28499999999999998</v>
      </c>
      <c r="E232">
        <v>0.30430000000000001</v>
      </c>
      <c r="F232">
        <v>15639801.9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7.2222222222223451E-2</v>
      </c>
      <c r="Q232">
        <f t="shared" si="960"/>
        <v>1129541.2483333526</v>
      </c>
      <c r="R232">
        <f t="shared" si="961"/>
        <v>-1417090896.4807124</v>
      </c>
      <c r="S232">
        <f t="shared" si="962"/>
        <v>-14170.908964807124</v>
      </c>
      <c r="T232">
        <f t="shared" si="963"/>
        <v>-14.170908964807124</v>
      </c>
    </row>
    <row r="233" spans="1:20" x14ac:dyDescent="0.25">
      <c r="A233" s="5">
        <v>44360</v>
      </c>
      <c r="B233">
        <v>0.27183000000000002</v>
      </c>
      <c r="C233">
        <v>0.30553000000000002</v>
      </c>
      <c r="D233">
        <v>0.26690000000000003</v>
      </c>
      <c r="E233">
        <v>0.29110999999999998</v>
      </c>
      <c r="F233">
        <v>19236580.399999999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0.2534299767020427</v>
      </c>
      <c r="Q233">
        <f t="shared" si="960"/>
        <v>4875126.1225989712</v>
      </c>
      <c r="R233">
        <f t="shared" si="961"/>
        <v>-1418220437.7290459</v>
      </c>
      <c r="S233">
        <f t="shared" si="962"/>
        <v>-14182.204377290458</v>
      </c>
      <c r="T233">
        <f t="shared" si="963"/>
        <v>-14.182204377290459</v>
      </c>
    </row>
    <row r="234" spans="1:20" x14ac:dyDescent="0.25">
      <c r="A234" s="5">
        <v>44359</v>
      </c>
      <c r="B234">
        <v>0.27178999999999998</v>
      </c>
      <c r="C234">
        <v>0.30535000000000001</v>
      </c>
      <c r="D234">
        <v>0.25</v>
      </c>
      <c r="E234">
        <v>0.27162999999999998</v>
      </c>
      <c r="F234">
        <v>25589933.5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-0.2184281842818436</v>
      </c>
      <c r="Q234">
        <f t="shared" si="960"/>
        <v>-5589562.7102981228</v>
      </c>
      <c r="R234">
        <f t="shared" si="961"/>
        <v>-1423095563.8516448</v>
      </c>
      <c r="S234">
        <f t="shared" si="962"/>
        <v>-14230.955638516447</v>
      </c>
      <c r="T234">
        <f t="shared" si="963"/>
        <v>-14.230955638516447</v>
      </c>
    </row>
    <row r="235" spans="1:20" x14ac:dyDescent="0.25">
      <c r="A235" s="5">
        <v>44358</v>
      </c>
      <c r="B235">
        <v>0.29287999999999997</v>
      </c>
      <c r="C235">
        <v>0.31291000000000002</v>
      </c>
      <c r="D235">
        <v>0.26751000000000003</v>
      </c>
      <c r="E235">
        <v>0.27207999999999999</v>
      </c>
      <c r="F235">
        <v>18209786.199999999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-0.79867841409691787</v>
      </c>
      <c r="Q235">
        <f t="shared" si="960"/>
        <v>-14543763.16325994</v>
      </c>
      <c r="R235">
        <f t="shared" si="961"/>
        <v>-1417506001.1413467</v>
      </c>
      <c r="S235">
        <f t="shared" si="962"/>
        <v>-14175.060011413467</v>
      </c>
      <c r="T235">
        <f t="shared" si="963"/>
        <v>-14.175060011413466</v>
      </c>
    </row>
    <row r="236" spans="1:20" x14ac:dyDescent="0.25">
      <c r="A236" s="5">
        <v>44357</v>
      </c>
      <c r="B236">
        <v>0.32305</v>
      </c>
      <c r="C236">
        <v>0.32984999999999998</v>
      </c>
      <c r="D236">
        <v>0.28938000000000003</v>
      </c>
      <c r="E236">
        <v>0.29288999999999998</v>
      </c>
      <c r="F236">
        <v>15003443.9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-0.82653817642698479</v>
      </c>
      <c r="Q236">
        <f t="shared" si="960"/>
        <v>-12400919.16123057</v>
      </c>
      <c r="R236">
        <f t="shared" si="961"/>
        <v>-1402962237.9780867</v>
      </c>
      <c r="S236">
        <f t="shared" si="962"/>
        <v>-14029.622379780867</v>
      </c>
      <c r="T236">
        <f t="shared" si="963"/>
        <v>-14.029622379780868</v>
      </c>
    </row>
    <row r="237" spans="1:20" x14ac:dyDescent="0.25">
      <c r="A237" s="5">
        <v>44356</v>
      </c>
      <c r="B237">
        <v>0.31196000000000002</v>
      </c>
      <c r="C237">
        <v>0.32691999999999999</v>
      </c>
      <c r="D237">
        <v>0.29848000000000002</v>
      </c>
      <c r="E237">
        <v>0.32216</v>
      </c>
      <c r="F237">
        <v>25380173.100000001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0.6652601969057671</v>
      </c>
      <c r="Q237">
        <f t="shared" si="960"/>
        <v>16884418.954008453</v>
      </c>
      <c r="R237">
        <f t="shared" si="961"/>
        <v>-1390561318.8168561</v>
      </c>
      <c r="S237">
        <f t="shared" si="962"/>
        <v>-13905.613188168561</v>
      </c>
      <c r="T237">
        <f t="shared" si="963"/>
        <v>-13.905613188168562</v>
      </c>
    </row>
    <row r="238" spans="1:20" x14ac:dyDescent="0.25">
      <c r="A238" s="5">
        <v>44355</v>
      </c>
      <c r="B238">
        <v>0.32202999999999998</v>
      </c>
      <c r="C238">
        <v>0.33402999999999999</v>
      </c>
      <c r="D238">
        <v>0.28401999999999999</v>
      </c>
      <c r="E238">
        <v>0.31165999999999999</v>
      </c>
      <c r="F238">
        <v>22258809.800000001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0.1053789242151569</v>
      </c>
      <c r="Q238">
        <f t="shared" si="960"/>
        <v>2345609.431033792</v>
      </c>
      <c r="R238">
        <f t="shared" si="961"/>
        <v>-1407445737.7708645</v>
      </c>
      <c r="S238">
        <f t="shared" si="962"/>
        <v>-14074.457377708644</v>
      </c>
      <c r="T238">
        <f t="shared" si="963"/>
        <v>-14.074457377708644</v>
      </c>
    </row>
    <row r="239" spans="1:20" x14ac:dyDescent="0.25">
      <c r="A239" s="5">
        <v>44354</v>
      </c>
      <c r="B239">
        <v>0.35315000000000002</v>
      </c>
      <c r="C239">
        <v>0.36998999999999999</v>
      </c>
      <c r="D239">
        <v>0.31551000000000001</v>
      </c>
      <c r="E239">
        <v>0.32246999999999998</v>
      </c>
      <c r="F239">
        <v>16363682.4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-0.7444933920704857</v>
      </c>
      <c r="Q239">
        <f t="shared" si="960"/>
        <v>-12182653.416740106</v>
      </c>
      <c r="R239">
        <f t="shared" si="961"/>
        <v>-1409791347.2018983</v>
      </c>
      <c r="S239">
        <f t="shared" si="962"/>
        <v>-14097.913472018983</v>
      </c>
      <c r="T239">
        <f t="shared" si="963"/>
        <v>-14.097913472018984</v>
      </c>
    </row>
    <row r="240" spans="1:20" x14ac:dyDescent="0.25">
      <c r="A240" s="5">
        <v>44353</v>
      </c>
      <c r="B240">
        <v>0.34436</v>
      </c>
      <c r="C240">
        <v>0.36414999999999997</v>
      </c>
      <c r="D240">
        <v>0.34226000000000001</v>
      </c>
      <c r="E240">
        <v>0.35344999999999999</v>
      </c>
      <c r="F240">
        <v>13943553.199999999</v>
      </c>
      <c r="G240">
        <v>0</v>
      </c>
      <c r="L240" t="s">
        <v>7</v>
      </c>
      <c r="M240" t="s">
        <v>7</v>
      </c>
      <c r="N240" t="s">
        <v>7</v>
      </c>
      <c r="P240">
        <f t="shared" si="959"/>
        <v>2.2384650525353642E-2</v>
      </c>
      <c r="Q240">
        <f t="shared" si="960"/>
        <v>312121.56546367641</v>
      </c>
      <c r="R240">
        <f t="shared" si="961"/>
        <v>-1397608693.7851582</v>
      </c>
      <c r="S240">
        <f t="shared" si="962"/>
        <v>-13976.086937851582</v>
      </c>
      <c r="T240">
        <f t="shared" si="963"/>
        <v>-13.976086937851582</v>
      </c>
    </row>
    <row r="241" spans="1:20" x14ac:dyDescent="0.25">
      <c r="A241" s="5">
        <v>44352</v>
      </c>
      <c r="B241">
        <v>0.35496</v>
      </c>
      <c r="C241">
        <v>0.39</v>
      </c>
      <c r="D241">
        <v>0.33800999999999998</v>
      </c>
      <c r="E241">
        <v>0.34400999999999998</v>
      </c>
      <c r="F241">
        <v>21323118.5</v>
      </c>
      <c r="G241">
        <v>0</v>
      </c>
      <c r="L241" t="s">
        <v>8</v>
      </c>
      <c r="M241" t="s">
        <v>7</v>
      </c>
      <c r="N241" t="s">
        <v>7</v>
      </c>
      <c r="P241">
        <f t="shared" si="959"/>
        <v>-0.76918638199653777</v>
      </c>
      <c r="Q241">
        <f t="shared" si="960"/>
        <v>-16401452.371898441</v>
      </c>
      <c r="R241">
        <f t="shared" si="961"/>
        <v>-1397920815.3506219</v>
      </c>
      <c r="S241">
        <f t="shared" si="962"/>
        <v>-13979.208153506219</v>
      </c>
      <c r="T241">
        <f t="shared" si="963"/>
        <v>-13.979208153506219</v>
      </c>
    </row>
    <row r="242" spans="1:20" x14ac:dyDescent="0.25">
      <c r="A242" s="5">
        <v>44351</v>
      </c>
      <c r="B242">
        <v>0.39355000000000001</v>
      </c>
      <c r="C242">
        <v>0.39590999999999998</v>
      </c>
      <c r="D242">
        <v>0.33500000000000002</v>
      </c>
      <c r="E242">
        <v>0.35447000000000001</v>
      </c>
      <c r="F242">
        <v>22898911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-0.36069610901329835</v>
      </c>
      <c r="Q242">
        <f t="shared" si="960"/>
        <v>-8259548.098341817</v>
      </c>
      <c r="R242">
        <f t="shared" si="961"/>
        <v>-1381519362.9787235</v>
      </c>
      <c r="S242">
        <f t="shared" si="962"/>
        <v>-13815.193629787234</v>
      </c>
      <c r="T242">
        <f t="shared" si="963"/>
        <v>-13.815193629787235</v>
      </c>
    </row>
    <row r="243" spans="1:20" x14ac:dyDescent="0.25">
      <c r="A243" s="5">
        <v>44350</v>
      </c>
      <c r="B243">
        <v>0.37701000000000001</v>
      </c>
      <c r="C243">
        <v>0.41994999999999999</v>
      </c>
      <c r="D243">
        <v>0.37057000000000001</v>
      </c>
      <c r="E243">
        <v>0.39267999999999997</v>
      </c>
      <c r="F243">
        <v>24737426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-0.10449574726610077</v>
      </c>
      <c r="Q243">
        <f t="shared" si="960"/>
        <v>-2584955.8153098701</v>
      </c>
      <c r="R243">
        <f t="shared" si="961"/>
        <v>-1373259814.8803818</v>
      </c>
      <c r="S243">
        <f t="shared" si="962"/>
        <v>-13732.598148803818</v>
      </c>
      <c r="T243">
        <f t="shared" si="963"/>
        <v>-13.732598148803818</v>
      </c>
    </row>
    <row r="244" spans="1:20" x14ac:dyDescent="0.25">
      <c r="A244" s="5">
        <v>44349</v>
      </c>
      <c r="B244">
        <v>0.37496000000000002</v>
      </c>
      <c r="C244">
        <v>0.40514</v>
      </c>
      <c r="D244">
        <v>0.36170999999999998</v>
      </c>
      <c r="E244">
        <v>0.37739</v>
      </c>
      <c r="F244">
        <v>28361402.899999999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-0.27791848952337012</v>
      </c>
      <c r="Q244">
        <f t="shared" si="960"/>
        <v>-7882158.2547317287</v>
      </c>
      <c r="R244">
        <f t="shared" si="961"/>
        <v>-1370674859.0650721</v>
      </c>
      <c r="S244">
        <f t="shared" si="962"/>
        <v>-13706.748590650721</v>
      </c>
      <c r="T244">
        <f t="shared" si="963"/>
        <v>-13.70674859065072</v>
      </c>
    </row>
    <row r="245" spans="1:20" x14ac:dyDescent="0.25">
      <c r="A245" s="5">
        <v>44348</v>
      </c>
      <c r="B245">
        <v>0.36992999999999998</v>
      </c>
      <c r="C245">
        <v>0.40999000000000002</v>
      </c>
      <c r="D245">
        <v>0.35829</v>
      </c>
      <c r="E245">
        <v>0.37494</v>
      </c>
      <c r="F245">
        <v>39204079.299999997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-0.35589941972920736</v>
      </c>
      <c r="Q245">
        <f t="shared" si="960"/>
        <v>-13952709.073887829</v>
      </c>
      <c r="R245">
        <f t="shared" si="961"/>
        <v>-1362792700.8103404</v>
      </c>
      <c r="S245">
        <f t="shared" si="962"/>
        <v>-13627.927008103405</v>
      </c>
      <c r="T245">
        <f t="shared" si="963"/>
        <v>-13.627927008103404</v>
      </c>
    </row>
    <row r="246" spans="1:20" x14ac:dyDescent="0.25">
      <c r="A246" s="5">
        <v>44347</v>
      </c>
      <c r="B246">
        <v>0.35478999999999999</v>
      </c>
      <c r="C246">
        <v>0.38689000000000001</v>
      </c>
      <c r="D246">
        <v>0.32905000000000001</v>
      </c>
      <c r="E246">
        <v>0.37074000000000001</v>
      </c>
      <c r="F246">
        <v>16380329.1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0.44156293222683274</v>
      </c>
      <c r="Q246">
        <f t="shared" si="960"/>
        <v>7232946.1482365159</v>
      </c>
      <c r="R246">
        <f t="shared" si="961"/>
        <v>-1348839991.7364526</v>
      </c>
      <c r="S246">
        <f t="shared" si="962"/>
        <v>-13488.399917364526</v>
      </c>
      <c r="T246">
        <f t="shared" si="963"/>
        <v>-13.488399917364527</v>
      </c>
    </row>
    <row r="247" spans="1:20" x14ac:dyDescent="0.25">
      <c r="A247" s="5">
        <v>44346</v>
      </c>
      <c r="B247">
        <v>0.34943999999999997</v>
      </c>
      <c r="C247">
        <v>0.37634000000000001</v>
      </c>
      <c r="D247">
        <v>0.32101000000000002</v>
      </c>
      <c r="E247">
        <v>0.35439999999999999</v>
      </c>
      <c r="F247">
        <v>19213632.600000001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0.20694017711910287</v>
      </c>
      <c r="Q247">
        <f t="shared" si="960"/>
        <v>3976072.5333453692</v>
      </c>
      <c r="R247">
        <f t="shared" si="961"/>
        <v>-1356072937.8846891</v>
      </c>
      <c r="S247">
        <f t="shared" si="962"/>
        <v>-13560.729378846891</v>
      </c>
      <c r="T247">
        <f t="shared" si="963"/>
        <v>-13.56072937884689</v>
      </c>
    </row>
    <row r="248" spans="1:20" x14ac:dyDescent="0.25">
      <c r="A248" s="5">
        <v>44345</v>
      </c>
      <c r="B248">
        <v>0.35120000000000001</v>
      </c>
      <c r="C248">
        <v>0.44990000000000002</v>
      </c>
      <c r="D248">
        <v>0.32500000000000001</v>
      </c>
      <c r="E248">
        <v>0.34827000000000002</v>
      </c>
      <c r="F248">
        <v>47774482.899999999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-0.62738190552441941</v>
      </c>
      <c r="Q248">
        <f t="shared" si="960"/>
        <v>-29972846.11724579</v>
      </c>
      <c r="R248">
        <f t="shared" si="961"/>
        <v>-1360049010.4180346</v>
      </c>
      <c r="S248">
        <f t="shared" si="962"/>
        <v>-13600.490104180346</v>
      </c>
      <c r="T248">
        <f t="shared" si="963"/>
        <v>-13.600490104180347</v>
      </c>
    </row>
    <row r="249" spans="1:20" x14ac:dyDescent="0.25">
      <c r="A249" s="5">
        <v>44344</v>
      </c>
      <c r="B249">
        <v>0.40099000000000001</v>
      </c>
      <c r="C249">
        <v>0.40787000000000001</v>
      </c>
      <c r="D249">
        <v>0.33061000000000001</v>
      </c>
      <c r="E249">
        <v>0.35066999999999998</v>
      </c>
      <c r="F249">
        <v>22171137.699999999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-0.48071447061869099</v>
      </c>
      <c r="Q249">
        <f t="shared" si="960"/>
        <v>-10657986.722469602</v>
      </c>
      <c r="R249">
        <f t="shared" si="961"/>
        <v>-1330076164.3007889</v>
      </c>
      <c r="S249">
        <f t="shared" si="962"/>
        <v>-13300.761643007889</v>
      </c>
      <c r="T249">
        <f t="shared" si="963"/>
        <v>-13.300761643007888</v>
      </c>
    </row>
    <row r="250" spans="1:20" x14ac:dyDescent="0.25">
      <c r="A250" s="5">
        <v>44343</v>
      </c>
      <c r="B250">
        <v>0.42420000000000002</v>
      </c>
      <c r="C250">
        <v>0.45300000000000001</v>
      </c>
      <c r="D250">
        <v>0.39500000000000002</v>
      </c>
      <c r="E250">
        <v>0.39954000000000001</v>
      </c>
      <c r="F250">
        <v>30753205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-0.84344827586206939</v>
      </c>
      <c r="Q250">
        <f t="shared" si="960"/>
        <v>-25938737.734482773</v>
      </c>
      <c r="R250">
        <f t="shared" si="961"/>
        <v>-1319418177.5783193</v>
      </c>
      <c r="S250">
        <f t="shared" si="962"/>
        <v>-13194.181775783192</v>
      </c>
      <c r="T250">
        <f t="shared" si="963"/>
        <v>-13.194181775783193</v>
      </c>
    </row>
    <row r="251" spans="1:20" x14ac:dyDescent="0.25">
      <c r="A251" s="5">
        <v>44342</v>
      </c>
      <c r="B251">
        <v>0.41298000000000001</v>
      </c>
      <c r="C251">
        <v>0.47610999999999998</v>
      </c>
      <c r="D251">
        <v>0.37659999999999999</v>
      </c>
      <c r="E251">
        <v>0.42424000000000001</v>
      </c>
      <c r="F251">
        <v>40397381.200000003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-4.2508290624057449E-2</v>
      </c>
      <c r="Q251">
        <f t="shared" si="960"/>
        <v>-1717223.6205004349</v>
      </c>
      <c r="R251">
        <f t="shared" si="961"/>
        <v>-1293479439.8438365</v>
      </c>
      <c r="S251">
        <f t="shared" si="962"/>
        <v>-12934.794398438366</v>
      </c>
      <c r="T251">
        <f t="shared" si="963"/>
        <v>-12.934794398438365</v>
      </c>
    </row>
    <row r="252" spans="1:20" x14ac:dyDescent="0.25">
      <c r="A252" s="5">
        <v>44341</v>
      </c>
      <c r="B252">
        <v>0.32879999999999998</v>
      </c>
      <c r="C252">
        <v>0.43</v>
      </c>
      <c r="D252">
        <v>0.31335000000000002</v>
      </c>
      <c r="E252">
        <v>0.41210000000000002</v>
      </c>
      <c r="F252">
        <v>68771784.900000006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0.69309901414487829</v>
      </c>
      <c r="Q252">
        <f t="shared" si="960"/>
        <v>47665656.315173633</v>
      </c>
      <c r="R252">
        <f t="shared" si="961"/>
        <v>-1291762216.2233362</v>
      </c>
      <c r="S252">
        <f t="shared" si="962"/>
        <v>-12917.622162233361</v>
      </c>
      <c r="T252">
        <f t="shared" si="963"/>
        <v>-12.917622162233361</v>
      </c>
    </row>
    <row r="253" spans="1:20" x14ac:dyDescent="0.25">
      <c r="A253" s="5">
        <v>44340</v>
      </c>
      <c r="B253">
        <v>0.28005000000000002</v>
      </c>
      <c r="C253">
        <v>0.33472000000000002</v>
      </c>
      <c r="D253">
        <v>0.26667999999999997</v>
      </c>
      <c r="E253">
        <v>0.32929000000000003</v>
      </c>
      <c r="F253">
        <v>32054141.100000001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0.84038800705467409</v>
      </c>
      <c r="Q253">
        <f t="shared" si="960"/>
        <v>26937915.75687832</v>
      </c>
      <c r="R253">
        <f t="shared" si="961"/>
        <v>-1339427872.5385098</v>
      </c>
      <c r="S253">
        <f t="shared" si="962"/>
        <v>-13394.278725385098</v>
      </c>
      <c r="T253">
        <f t="shared" si="963"/>
        <v>-13.394278725385098</v>
      </c>
    </row>
    <row r="254" spans="1:20" x14ac:dyDescent="0.25">
      <c r="A254" s="5">
        <v>44339</v>
      </c>
      <c r="B254">
        <v>0.32328000000000001</v>
      </c>
      <c r="C254">
        <v>0.33661000000000002</v>
      </c>
      <c r="D254">
        <v>0.22212999999999999</v>
      </c>
      <c r="E254">
        <v>0.27955000000000002</v>
      </c>
      <c r="F254">
        <v>42538593.200000003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3.1446540880505493E-3</v>
      </c>
      <c r="Q254">
        <f t="shared" si="960"/>
        <v>133769.16100629931</v>
      </c>
      <c r="R254">
        <f t="shared" si="961"/>
        <v>-1366365788.2953882</v>
      </c>
      <c r="S254">
        <f t="shared" si="962"/>
        <v>-13663.657882953883</v>
      </c>
      <c r="T254">
        <f t="shared" si="963"/>
        <v>-13.663657882953883</v>
      </c>
    </row>
    <row r="255" spans="1:20" x14ac:dyDescent="0.25">
      <c r="A255" s="5">
        <v>44338</v>
      </c>
      <c r="B255">
        <v>0.34903000000000001</v>
      </c>
      <c r="C255">
        <v>0.38785999999999998</v>
      </c>
      <c r="D255">
        <v>0.3175</v>
      </c>
      <c r="E255">
        <v>0.32328000000000001</v>
      </c>
      <c r="F255">
        <v>31874931.800000001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-0.83570210346787921</v>
      </c>
      <c r="Q255">
        <f t="shared" si="960"/>
        <v>-26637947.553155195</v>
      </c>
      <c r="R255">
        <f t="shared" si="961"/>
        <v>-1366499557.4563944</v>
      </c>
      <c r="S255">
        <f t="shared" si="962"/>
        <v>-13664.995574563944</v>
      </c>
      <c r="T255">
        <f t="shared" si="963"/>
        <v>-13.664995574563944</v>
      </c>
    </row>
    <row r="256" spans="1:20" x14ac:dyDescent="0.25">
      <c r="A256" s="5">
        <v>44337</v>
      </c>
      <c r="B256">
        <v>0.42363000000000001</v>
      </c>
      <c r="C256">
        <v>0.51219000000000003</v>
      </c>
      <c r="D256">
        <v>0.29505999999999999</v>
      </c>
      <c r="E256">
        <v>0.34903000000000001</v>
      </c>
      <c r="F256">
        <v>68846789.200000003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-0.5028784599088103</v>
      </c>
      <c r="Q256">
        <f t="shared" si="960"/>
        <v>-34621567.322562516</v>
      </c>
      <c r="R256">
        <f t="shared" si="961"/>
        <v>-1339861609.9032393</v>
      </c>
      <c r="S256">
        <f t="shared" si="962"/>
        <v>-13398.616099032393</v>
      </c>
      <c r="T256">
        <f t="shared" si="963"/>
        <v>-13.398616099032393</v>
      </c>
    </row>
    <row r="257" spans="1:20" x14ac:dyDescent="0.25">
      <c r="A257" s="5">
        <v>44336</v>
      </c>
      <c r="B257">
        <v>0.32756000000000002</v>
      </c>
      <c r="C257">
        <v>0.43869000000000002</v>
      </c>
      <c r="D257">
        <v>0.28789999999999999</v>
      </c>
      <c r="E257">
        <v>0.42365000000000003</v>
      </c>
      <c r="F257">
        <v>61222070.700000003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0.80051727568141129</v>
      </c>
      <c r="Q257">
        <f t="shared" si="960"/>
        <v>49009325.248338751</v>
      </c>
      <c r="R257">
        <f t="shared" si="961"/>
        <v>-1305240042.5806768</v>
      </c>
      <c r="S257">
        <f t="shared" si="962"/>
        <v>-13052.400425806767</v>
      </c>
      <c r="T257">
        <f t="shared" si="963"/>
        <v>-13.052400425806766</v>
      </c>
    </row>
    <row r="258" spans="1:20" x14ac:dyDescent="0.25">
      <c r="A258" s="5">
        <v>44335</v>
      </c>
      <c r="B258">
        <v>0.53154999999999997</v>
      </c>
      <c r="C258">
        <v>0.54617000000000004</v>
      </c>
      <c r="D258">
        <v>0.19287000000000001</v>
      </c>
      <c r="E258">
        <v>0.32712000000000002</v>
      </c>
      <c r="F258">
        <v>74313404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-0.24002264364562695</v>
      </c>
      <c r="Q258">
        <f t="shared" si="960"/>
        <v>-17836899.686385509</v>
      </c>
      <c r="R258">
        <f t="shared" si="961"/>
        <v>-1354249367.8290155</v>
      </c>
      <c r="S258">
        <f t="shared" si="962"/>
        <v>-13542.493678290155</v>
      </c>
      <c r="T258">
        <f t="shared" si="963"/>
        <v>-13.542493678290155</v>
      </c>
    </row>
    <row r="259" spans="1:20" x14ac:dyDescent="0.25">
      <c r="A259" s="5">
        <v>44334</v>
      </c>
      <c r="B259">
        <v>0.52824000000000004</v>
      </c>
      <c r="C259">
        <v>0.56999999999999995</v>
      </c>
      <c r="D259">
        <v>0.51809000000000005</v>
      </c>
      <c r="E259">
        <v>0.53127999999999997</v>
      </c>
      <c r="F259">
        <v>29073688.899999999</v>
      </c>
      <c r="G259">
        <v>0</v>
      </c>
      <c r="L259" t="s">
        <v>8</v>
      </c>
      <c r="M259" t="s">
        <v>7</v>
      </c>
      <c r="N259" t="s">
        <v>8</v>
      </c>
      <c r="P259">
        <f t="shared" si="959"/>
        <v>-0.49181275284145831</v>
      </c>
      <c r="Q259">
        <f t="shared" si="960"/>
        <v>-14298810.973165149</v>
      </c>
      <c r="R259">
        <f t="shared" si="961"/>
        <v>-1336412468.1426301</v>
      </c>
      <c r="S259">
        <f t="shared" si="962"/>
        <v>-13364.124681426301</v>
      </c>
      <c r="T259">
        <f t="shared" si="963"/>
        <v>-13.364124681426301</v>
      </c>
    </row>
    <row r="260" spans="1:20" x14ac:dyDescent="0.25">
      <c r="A260" s="5">
        <v>44333</v>
      </c>
      <c r="B260">
        <v>0.58553999999999995</v>
      </c>
      <c r="C260">
        <v>0.58809999999999996</v>
      </c>
      <c r="D260">
        <v>0.51463000000000003</v>
      </c>
      <c r="E260">
        <v>0.52620999999999996</v>
      </c>
      <c r="F260">
        <v>43418064.299999997</v>
      </c>
      <c r="G260">
        <v>0</v>
      </c>
      <c r="L260" t="s">
        <v>7</v>
      </c>
      <c r="M260" t="s">
        <v>7</v>
      </c>
      <c r="N260" t="s">
        <v>8</v>
      </c>
      <c r="P260">
        <f t="shared" si="959"/>
        <v>-0.68476929358922189</v>
      </c>
      <c r="Q260">
        <f t="shared" si="960"/>
        <v>-29731357.219722413</v>
      </c>
      <c r="R260">
        <f t="shared" si="961"/>
        <v>-1322113657.1694651</v>
      </c>
      <c r="S260">
        <f t="shared" si="962"/>
        <v>-13221.136571694651</v>
      </c>
      <c r="T260">
        <f t="shared" si="963"/>
        <v>-13.22113657169465</v>
      </c>
    </row>
    <row r="261" spans="1:20" x14ac:dyDescent="0.25">
      <c r="A261" s="5">
        <v>44332</v>
      </c>
      <c r="B261">
        <v>0.58750999999999998</v>
      </c>
      <c r="C261">
        <v>0.74</v>
      </c>
      <c r="D261">
        <v>0.55000000000000004</v>
      </c>
      <c r="E261">
        <v>0.58492</v>
      </c>
      <c r="F261">
        <v>91422012.299999997</v>
      </c>
      <c r="G261">
        <v>0</v>
      </c>
      <c r="L261" t="s">
        <v>8</v>
      </c>
      <c r="M261" t="s">
        <v>8</v>
      </c>
      <c r="N261" t="s">
        <v>8</v>
      </c>
      <c r="P261">
        <f t="shared" si="959"/>
        <v>-0.63242105263157933</v>
      </c>
      <c r="Q261">
        <f t="shared" si="960"/>
        <v>-57817205.252463192</v>
      </c>
      <c r="R261">
        <f t="shared" si="961"/>
        <v>-1292382299.9497426</v>
      </c>
      <c r="S261">
        <f t="shared" si="962"/>
        <v>-12923.822999497426</v>
      </c>
      <c r="T261">
        <f t="shared" si="963"/>
        <v>-12.923822999497427</v>
      </c>
    </row>
    <row r="262" spans="1:20" x14ac:dyDescent="0.25">
      <c r="A262" s="5">
        <v>44331</v>
      </c>
      <c r="B262">
        <v>0.54656000000000005</v>
      </c>
      <c r="C262">
        <v>0.64426000000000005</v>
      </c>
      <c r="D262">
        <v>0.53593999999999997</v>
      </c>
      <c r="E262">
        <v>0.58774999999999999</v>
      </c>
      <c r="F262">
        <v>51772401.100000001</v>
      </c>
      <c r="G262">
        <v>0</v>
      </c>
      <c r="L262" t="s">
        <v>8</v>
      </c>
      <c r="M262" t="s">
        <v>8</v>
      </c>
      <c r="N262" t="s">
        <v>7</v>
      </c>
      <c r="P262">
        <f t="shared" ref="P262:P325" si="964">IF(C262=D262,0,((E262-D262)-(C262-E262))/(C262-D262))</f>
        <v>-4.3389955686854081E-2</v>
      </c>
      <c r="Q262">
        <f t="shared" ref="Q262:Q325" si="965">F262*P262</f>
        <v>-2246402.1895310357</v>
      </c>
      <c r="R262">
        <f t="shared" ref="R262:R325" si="966">R263+Q262</f>
        <v>-1234565094.6972795</v>
      </c>
      <c r="S262">
        <f t="shared" ref="S262:S325" si="967">R262/100000</f>
        <v>-12345.650946972795</v>
      </c>
      <c r="T262">
        <f t="shared" ref="T262:T325" si="968">S262/1000</f>
        <v>-12.345650946972794</v>
      </c>
    </row>
    <row r="263" spans="1:20" x14ac:dyDescent="0.25">
      <c r="A263" s="5">
        <v>44330</v>
      </c>
      <c r="B263">
        <v>0.53368000000000004</v>
      </c>
      <c r="C263">
        <v>0.57879000000000003</v>
      </c>
      <c r="D263">
        <v>0.52203999999999995</v>
      </c>
      <c r="E263">
        <v>0.54664000000000001</v>
      </c>
      <c r="F263">
        <v>21856362.800000001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-0.13303964757709136</v>
      </c>
      <c r="Q263">
        <f t="shared" si="965"/>
        <v>-2907762.8042290499</v>
      </c>
      <c r="R263">
        <f t="shared" si="966"/>
        <v>-1232318692.5077484</v>
      </c>
      <c r="S263">
        <f t="shared" si="967"/>
        <v>-12323.186925077483</v>
      </c>
      <c r="T263">
        <f t="shared" si="968"/>
        <v>-12.323186925077483</v>
      </c>
    </row>
    <row r="264" spans="1:20" x14ac:dyDescent="0.25">
      <c r="A264" s="5">
        <v>44329</v>
      </c>
      <c r="B264">
        <v>0.50749999999999995</v>
      </c>
      <c r="C264">
        <v>0.56930000000000003</v>
      </c>
      <c r="D264">
        <v>0.48288999999999999</v>
      </c>
      <c r="E264">
        <v>0.53312000000000004</v>
      </c>
      <c r="F264">
        <v>38459017.600000001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0.16259692165258716</v>
      </c>
      <c r="Q264">
        <f t="shared" si="965"/>
        <v>6253317.8715426708</v>
      </c>
      <c r="R264">
        <f t="shared" si="966"/>
        <v>-1229410929.7035193</v>
      </c>
      <c r="S264">
        <f t="shared" si="967"/>
        <v>-12294.109297035193</v>
      </c>
      <c r="T264">
        <f t="shared" si="968"/>
        <v>-12.294109297035194</v>
      </c>
    </row>
    <row r="265" spans="1:20" x14ac:dyDescent="0.25">
      <c r="A265" s="5">
        <v>44328</v>
      </c>
      <c r="B265">
        <v>0.62309999999999999</v>
      </c>
      <c r="C265">
        <v>0.66013999999999995</v>
      </c>
      <c r="D265">
        <v>0.50229999999999997</v>
      </c>
      <c r="E265">
        <v>0.50692999999999999</v>
      </c>
      <c r="F265">
        <v>35696169.5</v>
      </c>
      <c r="G265">
        <v>0</v>
      </c>
      <c r="L265" t="s">
        <v>8</v>
      </c>
      <c r="M265" t="s">
        <v>8</v>
      </c>
      <c r="N265" t="s">
        <v>7</v>
      </c>
      <c r="P265">
        <f t="shared" si="964"/>
        <v>-0.94133299543841831</v>
      </c>
      <c r="Q265">
        <f t="shared" si="965"/>
        <v>-33601982.16111251</v>
      </c>
      <c r="R265">
        <f t="shared" si="966"/>
        <v>-1235664247.575062</v>
      </c>
      <c r="S265">
        <f t="shared" si="967"/>
        <v>-12356.642475750621</v>
      </c>
      <c r="T265">
        <f t="shared" si="968"/>
        <v>-12.356642475750622</v>
      </c>
    </row>
    <row r="266" spans="1:20" x14ac:dyDescent="0.25">
      <c r="A266" s="5">
        <v>44327</v>
      </c>
      <c r="B266">
        <v>0.57550999999999997</v>
      </c>
      <c r="C266">
        <v>0.63</v>
      </c>
      <c r="D266">
        <v>0.5</v>
      </c>
      <c r="E266">
        <v>0.62236999999999998</v>
      </c>
      <c r="F266">
        <v>44103399.700000003</v>
      </c>
      <c r="G266">
        <v>0</v>
      </c>
      <c r="L266" t="s">
        <v>7</v>
      </c>
      <c r="M266" t="s">
        <v>7</v>
      </c>
      <c r="N266" t="s">
        <v>7</v>
      </c>
      <c r="P266">
        <f t="shared" si="964"/>
        <v>0.88261538461538425</v>
      </c>
      <c r="Q266">
        <f t="shared" si="965"/>
        <v>38926339.089061528</v>
      </c>
      <c r="R266">
        <f t="shared" si="966"/>
        <v>-1202062265.4139495</v>
      </c>
      <c r="S266">
        <f t="shared" si="967"/>
        <v>-12020.622654139495</v>
      </c>
      <c r="T266">
        <f t="shared" si="968"/>
        <v>-12.020622654139496</v>
      </c>
    </row>
    <row r="267" spans="1:20" x14ac:dyDescent="0.25">
      <c r="A267" s="5">
        <v>44326</v>
      </c>
      <c r="B267">
        <v>0.62409999999999999</v>
      </c>
      <c r="C267">
        <v>0.75</v>
      </c>
      <c r="D267">
        <v>0.53612000000000004</v>
      </c>
      <c r="E267">
        <v>0.57552000000000003</v>
      </c>
      <c r="F267">
        <v>88947142.200000003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-0.631569104170563</v>
      </c>
      <c r="Q267">
        <f t="shared" si="965"/>
        <v>-56176266.917785682</v>
      </c>
      <c r="R267">
        <f t="shared" si="966"/>
        <v>-1240988604.503011</v>
      </c>
      <c r="S267">
        <f t="shared" si="967"/>
        <v>-12409.886045030109</v>
      </c>
      <c r="T267">
        <f t="shared" si="968"/>
        <v>-12.40988604503011</v>
      </c>
    </row>
    <row r="268" spans="1:20" x14ac:dyDescent="0.25">
      <c r="A268" s="5">
        <v>44325</v>
      </c>
      <c r="B268">
        <v>0.65344000000000002</v>
      </c>
      <c r="C268">
        <v>0.65866000000000002</v>
      </c>
      <c r="D268">
        <v>0.6</v>
      </c>
      <c r="E268">
        <v>0.62365000000000004</v>
      </c>
      <c r="F268">
        <v>27373237.600000001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-0.19365837026934737</v>
      </c>
      <c r="Q268">
        <f t="shared" si="965"/>
        <v>-5301056.5826116223</v>
      </c>
      <c r="R268">
        <f t="shared" si="966"/>
        <v>-1184812337.5852253</v>
      </c>
      <c r="S268">
        <f t="shared" si="967"/>
        <v>-11848.123375852254</v>
      </c>
      <c r="T268">
        <f t="shared" si="968"/>
        <v>-11.848123375852254</v>
      </c>
    </row>
    <row r="269" spans="1:20" x14ac:dyDescent="0.25">
      <c r="A269" s="5">
        <v>44324</v>
      </c>
      <c r="B269">
        <v>0.65800000000000003</v>
      </c>
      <c r="C269">
        <v>0.67842999999999998</v>
      </c>
      <c r="D269">
        <v>0.63</v>
      </c>
      <c r="E269">
        <v>0.65344000000000002</v>
      </c>
      <c r="F269">
        <v>26951798.399999999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-3.2004955606028104E-2</v>
      </c>
      <c r="Q269">
        <f t="shared" si="965"/>
        <v>-862591.11129461927</v>
      </c>
      <c r="R269">
        <f t="shared" si="966"/>
        <v>-1179511281.0026138</v>
      </c>
      <c r="S269">
        <f t="shared" si="967"/>
        <v>-11795.112810026138</v>
      </c>
      <c r="T269">
        <f t="shared" si="968"/>
        <v>-11.795112810026138</v>
      </c>
    </row>
    <row r="270" spans="1:20" x14ac:dyDescent="0.25">
      <c r="A270" s="5">
        <v>44323</v>
      </c>
      <c r="B270">
        <v>0.64344000000000001</v>
      </c>
      <c r="C270">
        <v>0.69499999999999995</v>
      </c>
      <c r="D270">
        <v>0.625</v>
      </c>
      <c r="E270">
        <v>0.65842000000000001</v>
      </c>
      <c r="F270">
        <v>36464805.299999997</v>
      </c>
      <c r="G270">
        <v>0</v>
      </c>
      <c r="L270" t="s">
        <v>8</v>
      </c>
      <c r="M270" t="s">
        <v>7</v>
      </c>
      <c r="N270" t="s">
        <v>8</v>
      </c>
      <c r="P270">
        <f t="shared" si="964"/>
        <v>-4.5142857142856326E-2</v>
      </c>
      <c r="Q270">
        <f t="shared" si="965"/>
        <v>-1646125.49639997</v>
      </c>
      <c r="R270">
        <f t="shared" si="966"/>
        <v>-1178648689.8913193</v>
      </c>
      <c r="S270">
        <f t="shared" si="967"/>
        <v>-11786.486898913192</v>
      </c>
      <c r="T270">
        <f t="shared" si="968"/>
        <v>-11.786486898913193</v>
      </c>
    </row>
    <row r="271" spans="1:20" x14ac:dyDescent="0.25">
      <c r="A271" s="5">
        <v>44322</v>
      </c>
      <c r="B271">
        <v>0.69211999999999996</v>
      </c>
      <c r="C271">
        <v>0.69699999999999995</v>
      </c>
      <c r="D271">
        <v>0.62882000000000005</v>
      </c>
      <c r="E271">
        <v>0.64344000000000001</v>
      </c>
      <c r="F271">
        <v>44012351.200000003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-0.57113523027280766</v>
      </c>
      <c r="Q271">
        <f t="shared" si="965"/>
        <v>-25137004.337459683</v>
      </c>
      <c r="R271">
        <f t="shared" si="966"/>
        <v>-1177002564.3949194</v>
      </c>
      <c r="S271">
        <f t="shared" si="967"/>
        <v>-11770.025643949193</v>
      </c>
      <c r="T271">
        <f t="shared" si="968"/>
        <v>-11.770025643949193</v>
      </c>
    </row>
    <row r="272" spans="1:20" x14ac:dyDescent="0.25">
      <c r="A272" s="5">
        <v>44321</v>
      </c>
      <c r="B272">
        <v>0.66908000000000001</v>
      </c>
      <c r="C272">
        <v>0.70923999999999998</v>
      </c>
      <c r="D272">
        <v>0.65502000000000005</v>
      </c>
      <c r="E272">
        <v>0.69199999999999995</v>
      </c>
      <c r="F272">
        <v>45205104.899999999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0.36407229804499985</v>
      </c>
      <c r="Q272">
        <f t="shared" si="965"/>
        <v>16457926.424308283</v>
      </c>
      <c r="R272">
        <f t="shared" si="966"/>
        <v>-1151865560.0574596</v>
      </c>
      <c r="S272">
        <f t="shared" si="967"/>
        <v>-11518.655600574595</v>
      </c>
      <c r="T272">
        <f t="shared" si="968"/>
        <v>-11.518655600574595</v>
      </c>
    </row>
    <row r="273" spans="1:20" x14ac:dyDescent="0.25">
      <c r="A273" s="5">
        <v>44320</v>
      </c>
      <c r="B273">
        <v>0.76107000000000002</v>
      </c>
      <c r="C273">
        <v>0.76315999999999995</v>
      </c>
      <c r="D273">
        <v>0.65</v>
      </c>
      <c r="E273">
        <v>0.66922999999999999</v>
      </c>
      <c r="F273">
        <v>61280226.600000001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-0.66012725344644785</v>
      </c>
      <c r="Q273">
        <f t="shared" si="965"/>
        <v>-40452747.676033959</v>
      </c>
      <c r="R273">
        <f t="shared" si="966"/>
        <v>-1168323486.4817679</v>
      </c>
      <c r="S273">
        <f t="shared" si="967"/>
        <v>-11683.234864817679</v>
      </c>
      <c r="T273">
        <f t="shared" si="968"/>
        <v>-11.683234864817679</v>
      </c>
    </row>
    <row r="274" spans="1:20" x14ac:dyDescent="0.25">
      <c r="A274" s="5">
        <v>44319</v>
      </c>
      <c r="B274">
        <v>0.75663999999999998</v>
      </c>
      <c r="C274">
        <v>0.81999</v>
      </c>
      <c r="D274">
        <v>0.73599999999999999</v>
      </c>
      <c r="E274">
        <v>0.76107000000000002</v>
      </c>
      <c r="F274">
        <v>60387969.299999997</v>
      </c>
      <c r="G274">
        <v>0</v>
      </c>
      <c r="L274" t="s">
        <v>8</v>
      </c>
      <c r="M274" t="s">
        <v>7</v>
      </c>
      <c r="N274" t="s">
        <v>8</v>
      </c>
      <c r="P274">
        <f t="shared" si="964"/>
        <v>-0.40302416954399251</v>
      </c>
      <c r="Q274">
        <f t="shared" si="965"/>
        <v>-24337811.177580614</v>
      </c>
      <c r="R274">
        <f t="shared" si="966"/>
        <v>-1127870738.8057339</v>
      </c>
      <c r="S274">
        <f t="shared" si="967"/>
        <v>-11278.707388057339</v>
      </c>
      <c r="T274">
        <f t="shared" si="968"/>
        <v>-11.278707388057338</v>
      </c>
    </row>
    <row r="275" spans="1:20" x14ac:dyDescent="0.25">
      <c r="A275" s="5">
        <v>44318</v>
      </c>
      <c r="B275">
        <v>0.76707999999999998</v>
      </c>
      <c r="C275">
        <v>0.79890000000000005</v>
      </c>
      <c r="D275">
        <v>0.71</v>
      </c>
      <c r="E275">
        <v>0.75653000000000004</v>
      </c>
      <c r="F275">
        <v>60527626.899999999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4.6794150731159147E-2</v>
      </c>
      <c r="Q275">
        <f t="shared" si="965"/>
        <v>2832338.896557963</v>
      </c>
      <c r="R275">
        <f t="shared" si="966"/>
        <v>-1103532927.6281533</v>
      </c>
      <c r="S275">
        <f t="shared" si="967"/>
        <v>-11035.329276281533</v>
      </c>
      <c r="T275">
        <f t="shared" si="968"/>
        <v>-11.035329276281532</v>
      </c>
    </row>
    <row r="276" spans="1:20" x14ac:dyDescent="0.25">
      <c r="A276" s="5">
        <v>44317</v>
      </c>
      <c r="B276">
        <v>0.69105000000000005</v>
      </c>
      <c r="C276">
        <v>0.88349999999999995</v>
      </c>
      <c r="D276">
        <v>0.68493999999999999</v>
      </c>
      <c r="E276">
        <v>0.76707999999999998</v>
      </c>
      <c r="F276">
        <v>144156440.09999999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-0.17264302981466551</v>
      </c>
      <c r="Q276">
        <f t="shared" si="965"/>
        <v>-24887604.586160339</v>
      </c>
      <c r="R276">
        <f t="shared" si="966"/>
        <v>-1106365266.5247114</v>
      </c>
      <c r="S276">
        <f t="shared" si="967"/>
        <v>-11063.652665247113</v>
      </c>
      <c r="T276">
        <f t="shared" si="968"/>
        <v>-11.063652665247114</v>
      </c>
    </row>
    <row r="277" spans="1:20" x14ac:dyDescent="0.25">
      <c r="A277" s="5">
        <v>44316</v>
      </c>
      <c r="B277">
        <v>0.64858000000000005</v>
      </c>
      <c r="C277">
        <v>0.70984999999999998</v>
      </c>
      <c r="D277">
        <v>0.63031999999999999</v>
      </c>
      <c r="E277">
        <v>0.69035999999999997</v>
      </c>
      <c r="F277">
        <v>38298432.799999997</v>
      </c>
      <c r="G277">
        <v>0</v>
      </c>
      <c r="L277" t="s">
        <v>8</v>
      </c>
      <c r="M277" t="s">
        <v>7</v>
      </c>
      <c r="N277" t="s">
        <v>8</v>
      </c>
      <c r="P277">
        <f t="shared" si="964"/>
        <v>0.50987048912360089</v>
      </c>
      <c r="Q277">
        <f t="shared" si="965"/>
        <v>19527240.664403357</v>
      </c>
      <c r="R277">
        <f t="shared" si="966"/>
        <v>-1081477661.9385509</v>
      </c>
      <c r="S277">
        <f t="shared" si="967"/>
        <v>-10814.77661938551</v>
      </c>
      <c r="T277">
        <f t="shared" si="968"/>
        <v>-10.81477661938551</v>
      </c>
    </row>
    <row r="278" spans="1:20" x14ac:dyDescent="0.25">
      <c r="A278" s="5">
        <v>44315</v>
      </c>
      <c r="B278">
        <v>0.65459999999999996</v>
      </c>
      <c r="C278">
        <v>0.69235000000000002</v>
      </c>
      <c r="D278">
        <v>0.62241999999999997</v>
      </c>
      <c r="E278">
        <v>0.64849999999999997</v>
      </c>
      <c r="F278">
        <v>39695596.799999997</v>
      </c>
      <c r="G278">
        <v>0</v>
      </c>
      <c r="L278" t="s">
        <v>8</v>
      </c>
      <c r="M278" t="s">
        <v>7</v>
      </c>
      <c r="N278" t="s">
        <v>8</v>
      </c>
      <c r="P278">
        <f t="shared" si="964"/>
        <v>-0.25411125411125485</v>
      </c>
      <c r="Q278">
        <f t="shared" si="965"/>
        <v>-10087097.885542713</v>
      </c>
      <c r="R278">
        <f t="shared" si="966"/>
        <v>-1101004902.6029544</v>
      </c>
      <c r="S278">
        <f t="shared" si="967"/>
        <v>-11010.049026029545</v>
      </c>
      <c r="T278">
        <f t="shared" si="968"/>
        <v>-11.010049026029545</v>
      </c>
    </row>
    <row r="279" spans="1:20" x14ac:dyDescent="0.25">
      <c r="A279" s="5">
        <v>44314</v>
      </c>
      <c r="B279">
        <v>0.67996000000000001</v>
      </c>
      <c r="C279">
        <v>0.70992999999999995</v>
      </c>
      <c r="D279">
        <v>0.61380000000000001</v>
      </c>
      <c r="E279">
        <v>0.65459999999999996</v>
      </c>
      <c r="F279">
        <v>43310585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-0.15114948507229847</v>
      </c>
      <c r="Q279">
        <f t="shared" si="965"/>
        <v>-6546372.6209300142</v>
      </c>
      <c r="R279">
        <f t="shared" si="966"/>
        <v>-1090917804.7174118</v>
      </c>
      <c r="S279">
        <f t="shared" si="967"/>
        <v>-10909.178047174117</v>
      </c>
      <c r="T279">
        <f t="shared" si="968"/>
        <v>-10.909178047174116</v>
      </c>
    </row>
    <row r="280" spans="1:20" x14ac:dyDescent="0.25">
      <c r="A280" s="5">
        <v>44313</v>
      </c>
      <c r="B280">
        <v>0.65900999999999998</v>
      </c>
      <c r="C280">
        <v>0.72</v>
      </c>
      <c r="D280">
        <v>0.64217000000000002</v>
      </c>
      <c r="E280">
        <v>0.67949999999999999</v>
      </c>
      <c r="F280">
        <v>50028727.200000003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-4.0729795708595758E-2</v>
      </c>
      <c r="Q280">
        <f t="shared" si="965"/>
        <v>-2037659.8384170679</v>
      </c>
      <c r="R280">
        <f t="shared" si="966"/>
        <v>-1084371432.0964818</v>
      </c>
      <c r="S280">
        <f t="shared" si="967"/>
        <v>-10843.714320964818</v>
      </c>
      <c r="T280">
        <f t="shared" si="968"/>
        <v>-10.843714320964818</v>
      </c>
    </row>
    <row r="281" spans="1:20" x14ac:dyDescent="0.25">
      <c r="A281" s="5">
        <v>44312</v>
      </c>
      <c r="B281">
        <v>0.61597999999999997</v>
      </c>
      <c r="C281">
        <v>0.69</v>
      </c>
      <c r="D281">
        <v>0.59301000000000004</v>
      </c>
      <c r="E281">
        <v>0.66039000000000003</v>
      </c>
      <c r="F281">
        <v>73611259.700000003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0.38942158985462538</v>
      </c>
      <c r="Q281">
        <f t="shared" si="965"/>
        <v>28665813.783575714</v>
      </c>
      <c r="R281">
        <f t="shared" si="966"/>
        <v>-1082333772.2580647</v>
      </c>
      <c r="S281">
        <f t="shared" si="967"/>
        <v>-10823.337722580647</v>
      </c>
      <c r="T281">
        <f t="shared" si="968"/>
        <v>-10.823337722580646</v>
      </c>
    </row>
    <row r="282" spans="1:20" x14ac:dyDescent="0.25">
      <c r="A282" s="5">
        <v>44311</v>
      </c>
      <c r="B282">
        <v>0.55079999999999996</v>
      </c>
      <c r="C282">
        <v>0.67061999999999999</v>
      </c>
      <c r="D282">
        <v>0.53327999999999998</v>
      </c>
      <c r="E282">
        <v>0.61597999999999997</v>
      </c>
      <c r="F282">
        <v>62550232.600000001</v>
      </c>
      <c r="G282">
        <v>0</v>
      </c>
      <c r="L282" t="s">
        <v>8</v>
      </c>
      <c r="M282" t="s">
        <v>8</v>
      </c>
      <c r="N282" t="s">
        <v>8</v>
      </c>
      <c r="P282">
        <f t="shared" si="964"/>
        <v>0.20431047036551603</v>
      </c>
      <c r="Q282">
        <f t="shared" si="965"/>
        <v>12779667.443978434</v>
      </c>
      <c r="R282">
        <f t="shared" si="966"/>
        <v>-1110999586.0416405</v>
      </c>
      <c r="S282">
        <f t="shared" si="967"/>
        <v>-11109.995860416406</v>
      </c>
      <c r="T282">
        <f t="shared" si="968"/>
        <v>-11.109995860416406</v>
      </c>
    </row>
    <row r="283" spans="1:20" x14ac:dyDescent="0.25">
      <c r="A283" s="5">
        <v>44310</v>
      </c>
      <c r="B283">
        <v>0.59930000000000005</v>
      </c>
      <c r="C283">
        <v>0.64200000000000002</v>
      </c>
      <c r="D283">
        <v>0.54354999999999998</v>
      </c>
      <c r="E283">
        <v>0.54925999999999997</v>
      </c>
      <c r="F283">
        <v>48989397.100000001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-0.88400203148806522</v>
      </c>
      <c r="Q283">
        <f t="shared" si="965"/>
        <v>-43306726.557775535</v>
      </c>
      <c r="R283">
        <f t="shared" si="966"/>
        <v>-1123779253.4856191</v>
      </c>
      <c r="S283">
        <f t="shared" si="967"/>
        <v>-11237.792534856191</v>
      </c>
      <c r="T283">
        <f t="shared" si="968"/>
        <v>-11.237792534856192</v>
      </c>
    </row>
    <row r="284" spans="1:20" x14ac:dyDescent="0.25">
      <c r="A284" s="5">
        <v>44309</v>
      </c>
      <c r="B284">
        <v>0.60760000000000003</v>
      </c>
      <c r="C284">
        <v>0.65</v>
      </c>
      <c r="D284">
        <v>0.45800000000000002</v>
      </c>
      <c r="E284">
        <v>0.59933000000000003</v>
      </c>
      <c r="F284">
        <v>93745920.200000003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0.47218750000000009</v>
      </c>
      <c r="Q284">
        <f t="shared" si="965"/>
        <v>44265651.694437511</v>
      </c>
      <c r="R284">
        <f t="shared" si="966"/>
        <v>-1080472526.9278436</v>
      </c>
      <c r="S284">
        <f t="shared" si="967"/>
        <v>-10804.725269278435</v>
      </c>
      <c r="T284">
        <f t="shared" si="968"/>
        <v>-10.804725269278435</v>
      </c>
    </row>
    <row r="285" spans="1:20" x14ac:dyDescent="0.25">
      <c r="A285" s="5">
        <v>44308</v>
      </c>
      <c r="B285">
        <v>0.72987000000000002</v>
      </c>
      <c r="C285">
        <v>0.75</v>
      </c>
      <c r="D285">
        <v>0.57937000000000005</v>
      </c>
      <c r="E285">
        <v>0.60750000000000004</v>
      </c>
      <c r="F285">
        <v>113259546.7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-0.67028072437437736</v>
      </c>
      <c r="Q285">
        <f t="shared" si="965"/>
        <v>-75915691.004389629</v>
      </c>
      <c r="R285">
        <f t="shared" si="966"/>
        <v>-1124738178.6222811</v>
      </c>
      <c r="S285">
        <f t="shared" si="967"/>
        <v>-11247.381786222812</v>
      </c>
      <c r="T285">
        <f t="shared" si="968"/>
        <v>-11.247381786222812</v>
      </c>
    </row>
    <row r="286" spans="1:20" x14ac:dyDescent="0.25">
      <c r="A286" s="5">
        <v>44307</v>
      </c>
      <c r="B286">
        <v>0.60550000000000004</v>
      </c>
      <c r="C286">
        <v>0.88500000000000001</v>
      </c>
      <c r="D286">
        <v>0.59006000000000003</v>
      </c>
      <c r="E286">
        <v>0.73382000000000003</v>
      </c>
      <c r="F286">
        <v>277817306.39999998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-2.5157659184918909E-2</v>
      </c>
      <c r="Q286">
        <f t="shared" si="965"/>
        <v>-6989233.11008339</v>
      </c>
      <c r="R286">
        <f t="shared" si="966"/>
        <v>-1048822487.6178916</v>
      </c>
      <c r="S286">
        <f t="shared" si="967"/>
        <v>-10488.224876178916</v>
      </c>
      <c r="T286">
        <f t="shared" si="968"/>
        <v>-10.488224876178917</v>
      </c>
    </row>
    <row r="287" spans="1:20" x14ac:dyDescent="0.25">
      <c r="A287" s="5">
        <v>44306</v>
      </c>
      <c r="B287">
        <v>0.58742000000000005</v>
      </c>
      <c r="C287">
        <v>0.60704999999999998</v>
      </c>
      <c r="D287">
        <v>0.51695000000000002</v>
      </c>
      <c r="E287">
        <v>0.60550999999999999</v>
      </c>
      <c r="F287">
        <v>47658692.700000003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0.96581576026637095</v>
      </c>
      <c r="Q287">
        <f t="shared" si="965"/>
        <v>46029516.523351848</v>
      </c>
      <c r="R287">
        <f t="shared" si="966"/>
        <v>-1041833254.5078082</v>
      </c>
      <c r="S287">
        <f t="shared" si="967"/>
        <v>-10418.332545078081</v>
      </c>
      <c r="T287">
        <f t="shared" si="968"/>
        <v>-10.418332545078082</v>
      </c>
    </row>
    <row r="288" spans="1:20" x14ac:dyDescent="0.25">
      <c r="A288" s="5">
        <v>44305</v>
      </c>
      <c r="B288">
        <v>0.66183999999999998</v>
      </c>
      <c r="C288">
        <v>0.69779999999999998</v>
      </c>
      <c r="D288">
        <v>0.57469999999999999</v>
      </c>
      <c r="E288">
        <v>0.58672000000000002</v>
      </c>
      <c r="F288">
        <v>49061470.600000001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-0.80471161657189227</v>
      </c>
      <c r="Q288">
        <f t="shared" si="965"/>
        <v>-39480335.317920364</v>
      </c>
      <c r="R288">
        <f t="shared" si="966"/>
        <v>-1087862771.0311601</v>
      </c>
      <c r="S288">
        <f t="shared" si="967"/>
        <v>-10878.627710311601</v>
      </c>
      <c r="T288">
        <f t="shared" si="968"/>
        <v>-10.878627710311601</v>
      </c>
    </row>
    <row r="289" spans="1:20" x14ac:dyDescent="0.25">
      <c r="A289" s="5">
        <v>44304</v>
      </c>
      <c r="B289">
        <v>0.77673999999999999</v>
      </c>
      <c r="C289">
        <v>0.8</v>
      </c>
      <c r="D289">
        <v>0.53108999999999995</v>
      </c>
      <c r="E289">
        <v>0.66183000000000003</v>
      </c>
      <c r="F289">
        <v>80845970.599999994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-2.7630062102561949E-2</v>
      </c>
      <c r="Q289">
        <f t="shared" si="965"/>
        <v>-2233779.1884198971</v>
      </c>
      <c r="R289">
        <f t="shared" si="966"/>
        <v>-1048382435.7132398</v>
      </c>
      <c r="S289">
        <f t="shared" si="967"/>
        <v>-10483.824357132398</v>
      </c>
      <c r="T289">
        <f t="shared" si="968"/>
        <v>-10.483824357132399</v>
      </c>
    </row>
    <row r="290" spans="1:20" x14ac:dyDescent="0.25">
      <c r="A290" s="5">
        <v>44303</v>
      </c>
      <c r="B290">
        <v>0.77412000000000003</v>
      </c>
      <c r="C290">
        <v>0.84187000000000001</v>
      </c>
      <c r="D290">
        <v>0.75734999999999997</v>
      </c>
      <c r="E290">
        <v>0.77675000000000005</v>
      </c>
      <c r="F290">
        <v>64632302.200000003</v>
      </c>
      <c r="G290">
        <v>0</v>
      </c>
      <c r="L290" t="s">
        <v>8</v>
      </c>
      <c r="M290" t="s">
        <v>7</v>
      </c>
      <c r="N290" t="s">
        <v>7</v>
      </c>
      <c r="P290">
        <f t="shared" si="964"/>
        <v>-0.54093705631802946</v>
      </c>
      <c r="Q290">
        <f t="shared" si="965"/>
        <v>-34962007.295125298</v>
      </c>
      <c r="R290">
        <f t="shared" si="966"/>
        <v>-1046148656.5248199</v>
      </c>
      <c r="S290">
        <f t="shared" si="967"/>
        <v>-10461.486565248199</v>
      </c>
      <c r="T290">
        <f t="shared" si="968"/>
        <v>-10.461486565248199</v>
      </c>
    </row>
    <row r="291" spans="1:20" x14ac:dyDescent="0.25">
      <c r="A291" s="5">
        <v>44302</v>
      </c>
      <c r="B291">
        <v>0.81050999999999995</v>
      </c>
      <c r="C291">
        <v>0.82923999999999998</v>
      </c>
      <c r="D291">
        <v>0.73485</v>
      </c>
      <c r="E291">
        <v>0.77390000000000003</v>
      </c>
      <c r="F291">
        <v>85797771.200000003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-0.1725818412967467</v>
      </c>
      <c r="Q291">
        <f t="shared" si="965"/>
        <v>-14807137.332852986</v>
      </c>
      <c r="R291">
        <f t="shared" si="966"/>
        <v>-1011186649.2296946</v>
      </c>
      <c r="S291">
        <f t="shared" si="967"/>
        <v>-10111.866492296946</v>
      </c>
      <c r="T291">
        <f t="shared" si="968"/>
        <v>-10.111866492296945</v>
      </c>
    </row>
    <row r="292" spans="1:20" x14ac:dyDescent="0.25">
      <c r="A292" s="5">
        <v>44301</v>
      </c>
      <c r="B292">
        <v>0.78654000000000002</v>
      </c>
      <c r="C292">
        <v>0.94</v>
      </c>
      <c r="D292">
        <v>0.75194000000000005</v>
      </c>
      <c r="E292">
        <v>0.81050999999999995</v>
      </c>
      <c r="F292">
        <v>157934195.80000001</v>
      </c>
      <c r="G292">
        <v>0</v>
      </c>
      <c r="L292" t="s">
        <v>8</v>
      </c>
      <c r="M292" t="s">
        <v>8</v>
      </c>
      <c r="N292" t="s">
        <v>7</v>
      </c>
      <c r="P292">
        <f t="shared" si="964"/>
        <v>-0.37711368712113225</v>
      </c>
      <c r="Q292">
        <f t="shared" si="965"/>
        <v>-59559146.90064884</v>
      </c>
      <c r="R292">
        <f t="shared" si="966"/>
        <v>-996379511.89684165</v>
      </c>
      <c r="S292">
        <f t="shared" si="967"/>
        <v>-9963.7951189684172</v>
      </c>
      <c r="T292">
        <f t="shared" si="968"/>
        <v>-9.9637951189684166</v>
      </c>
    </row>
    <row r="293" spans="1:20" x14ac:dyDescent="0.25">
      <c r="A293" s="5">
        <v>44300</v>
      </c>
      <c r="B293">
        <v>0.84906999999999999</v>
      </c>
      <c r="C293">
        <v>0.85533999999999999</v>
      </c>
      <c r="D293">
        <v>0.72924</v>
      </c>
      <c r="E293">
        <v>0.78607000000000005</v>
      </c>
      <c r="F293">
        <v>127422732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-9.8651863600316386E-2</v>
      </c>
      <c r="Q293">
        <f t="shared" si="965"/>
        <v>-12570489.97684367</v>
      </c>
      <c r="R293">
        <f t="shared" si="966"/>
        <v>-936820364.99619281</v>
      </c>
      <c r="S293">
        <f t="shared" si="967"/>
        <v>-9368.203649961928</v>
      </c>
      <c r="T293">
        <f t="shared" si="968"/>
        <v>-9.3682036499619272</v>
      </c>
    </row>
    <row r="294" spans="1:20" x14ac:dyDescent="0.25">
      <c r="A294" s="5">
        <v>44299</v>
      </c>
      <c r="B294">
        <v>0.86848999999999998</v>
      </c>
      <c r="C294">
        <v>0.93262999999999996</v>
      </c>
      <c r="D294">
        <v>0.82364000000000004</v>
      </c>
      <c r="E294">
        <v>0.84906999999999999</v>
      </c>
      <c r="F294">
        <v>90284968.700000003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-0.53335168364070151</v>
      </c>
      <c r="Q294">
        <f t="shared" si="965"/>
        <v>-48153640.063593037</v>
      </c>
      <c r="R294">
        <f t="shared" si="966"/>
        <v>-924249875.0193491</v>
      </c>
      <c r="S294">
        <f t="shared" si="967"/>
        <v>-9242.4987501934902</v>
      </c>
      <c r="T294">
        <f t="shared" si="968"/>
        <v>-9.2424987501934908</v>
      </c>
    </row>
    <row r="295" spans="1:20" x14ac:dyDescent="0.25">
      <c r="A295" s="5">
        <v>44298</v>
      </c>
      <c r="B295">
        <v>0.95250999999999997</v>
      </c>
      <c r="C295">
        <v>0.97453999999999996</v>
      </c>
      <c r="D295">
        <v>0.83742000000000005</v>
      </c>
      <c r="E295">
        <v>0.86816000000000004</v>
      </c>
      <c r="F295">
        <v>126203525.90000001</v>
      </c>
      <c r="G295">
        <v>0</v>
      </c>
      <c r="L295" t="s">
        <v>7</v>
      </c>
      <c r="M295" t="s">
        <v>7</v>
      </c>
      <c r="N295" t="s">
        <v>7</v>
      </c>
      <c r="P295">
        <f t="shared" si="964"/>
        <v>-0.55163360560093333</v>
      </c>
      <c r="Q295">
        <f t="shared" si="965"/>
        <v>-69618106.031767771</v>
      </c>
      <c r="R295">
        <f t="shared" si="966"/>
        <v>-876096234.95575607</v>
      </c>
      <c r="S295">
        <f t="shared" si="967"/>
        <v>-8760.9623495575615</v>
      </c>
      <c r="T295">
        <f t="shared" si="968"/>
        <v>-8.7609623495575608</v>
      </c>
    </row>
    <row r="296" spans="1:20" x14ac:dyDescent="0.25">
      <c r="A296" s="5">
        <v>44297</v>
      </c>
      <c r="B296">
        <v>1.0221499999999999</v>
      </c>
      <c r="C296">
        <v>1.0591600000000001</v>
      </c>
      <c r="D296">
        <v>0.92030999999999996</v>
      </c>
      <c r="E296">
        <v>0.95372999999999997</v>
      </c>
      <c r="F296">
        <v>155350504.90000001</v>
      </c>
      <c r="G296">
        <v>0</v>
      </c>
      <c r="L296" t="s">
        <v>7</v>
      </c>
      <c r="M296" t="s">
        <v>7</v>
      </c>
      <c r="N296" t="s">
        <v>7</v>
      </c>
      <c r="P296">
        <f t="shared" si="964"/>
        <v>-0.51861721281958995</v>
      </c>
      <c r="Q296">
        <f t="shared" si="965"/>
        <v>-80567445.861354053</v>
      </c>
      <c r="R296">
        <f t="shared" si="966"/>
        <v>-806478128.92398834</v>
      </c>
      <c r="S296">
        <f t="shared" si="967"/>
        <v>-8064.7812892398833</v>
      </c>
      <c r="T296">
        <f t="shared" si="968"/>
        <v>-8.0647812892398836</v>
      </c>
    </row>
    <row r="297" spans="1:20" x14ac:dyDescent="0.25">
      <c r="A297" s="5">
        <v>44296</v>
      </c>
      <c r="B297">
        <v>1.29122</v>
      </c>
      <c r="C297">
        <v>1.32402</v>
      </c>
      <c r="D297">
        <v>0.98272000000000004</v>
      </c>
      <c r="E297">
        <v>1.0207299999999999</v>
      </c>
      <c r="F297">
        <v>283356106.60000002</v>
      </c>
      <c r="G297">
        <v>0</v>
      </c>
      <c r="L297" t="s">
        <v>7</v>
      </c>
      <c r="M297" t="s">
        <v>7</v>
      </c>
      <c r="N297" t="s">
        <v>7</v>
      </c>
      <c r="P297">
        <f t="shared" si="964"/>
        <v>-0.77726340462935906</v>
      </c>
      <c r="Q297">
        <f t="shared" si="965"/>
        <v>-220242332.1384356</v>
      </c>
      <c r="R297">
        <f t="shared" si="966"/>
        <v>-725910683.06263423</v>
      </c>
      <c r="S297">
        <f t="shared" si="967"/>
        <v>-7259.1068306263423</v>
      </c>
      <c r="T297">
        <f t="shared" si="968"/>
        <v>-7.259106830626342</v>
      </c>
    </row>
    <row r="298" spans="1:20" x14ac:dyDescent="0.25">
      <c r="A298" s="5">
        <v>44295</v>
      </c>
      <c r="B298">
        <v>0.92911999999999995</v>
      </c>
      <c r="C298">
        <v>1.4890000000000001</v>
      </c>
      <c r="D298">
        <v>0.85599999999999998</v>
      </c>
      <c r="E298">
        <v>1.29122</v>
      </c>
      <c r="F298">
        <v>642061754.39999998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0.37510268562401256</v>
      </c>
      <c r="Q298">
        <f t="shared" si="965"/>
        <v>240839088.41190514</v>
      </c>
      <c r="R298">
        <f t="shared" si="966"/>
        <v>-505668350.92419863</v>
      </c>
      <c r="S298">
        <f t="shared" si="967"/>
        <v>-5056.683509241986</v>
      </c>
      <c r="T298">
        <f t="shared" si="968"/>
        <v>-5.056683509241986</v>
      </c>
    </row>
    <row r="299" spans="1:20" x14ac:dyDescent="0.25">
      <c r="A299" s="5">
        <v>44294</v>
      </c>
      <c r="B299">
        <v>0.82691000000000003</v>
      </c>
      <c r="C299">
        <v>0.98251999999999995</v>
      </c>
      <c r="D299">
        <v>0.75</v>
      </c>
      <c r="E299">
        <v>0.92911999999999995</v>
      </c>
      <c r="F299">
        <v>312822067.89999998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0.54068467228625483</v>
      </c>
      <c r="Q299">
        <f t="shared" si="965"/>
        <v>169138097.26642004</v>
      </c>
      <c r="R299">
        <f t="shared" si="966"/>
        <v>-746507439.3361038</v>
      </c>
      <c r="S299">
        <f t="shared" si="967"/>
        <v>-7465.0743933610383</v>
      </c>
      <c r="T299">
        <f t="shared" si="968"/>
        <v>-7.4650743933610384</v>
      </c>
    </row>
    <row r="300" spans="1:20" x14ac:dyDescent="0.25">
      <c r="A300" s="5">
        <v>44293</v>
      </c>
      <c r="B300">
        <v>0.52456000000000003</v>
      </c>
      <c r="C300">
        <v>0.93799999999999994</v>
      </c>
      <c r="D300">
        <v>0.44</v>
      </c>
      <c r="E300">
        <v>0.82320000000000004</v>
      </c>
      <c r="F300">
        <v>397003864.60000002</v>
      </c>
      <c r="G300">
        <v>0</v>
      </c>
      <c r="L300" t="s">
        <v>8</v>
      </c>
      <c r="M300" t="s">
        <v>8</v>
      </c>
      <c r="N300" t="s">
        <v>8</v>
      </c>
      <c r="P300">
        <f t="shared" si="964"/>
        <v>0.53895582329317304</v>
      </c>
      <c r="Q300">
        <f t="shared" si="965"/>
        <v>213967544.69606441</v>
      </c>
      <c r="R300">
        <f t="shared" si="966"/>
        <v>-915645536.6025238</v>
      </c>
      <c r="S300">
        <f t="shared" si="967"/>
        <v>-9156.4553660252386</v>
      </c>
      <c r="T300">
        <f t="shared" si="968"/>
        <v>-9.1564553660252379</v>
      </c>
    </row>
    <row r="301" spans="1:20" x14ac:dyDescent="0.25">
      <c r="A301" s="5">
        <v>44292</v>
      </c>
      <c r="B301">
        <v>0.56569000000000003</v>
      </c>
      <c r="C301">
        <v>0.78</v>
      </c>
      <c r="D301">
        <v>0.51171</v>
      </c>
      <c r="E301">
        <v>0.52500000000000002</v>
      </c>
      <c r="F301">
        <v>511519887.19999999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-0.90092810019009262</v>
      </c>
      <c r="Q301">
        <f t="shared" si="965"/>
        <v>-460842640.18454647</v>
      </c>
      <c r="R301">
        <f t="shared" si="966"/>
        <v>-1129613081.2985883</v>
      </c>
      <c r="S301">
        <f t="shared" si="967"/>
        <v>-11296.130812985883</v>
      </c>
      <c r="T301">
        <f t="shared" si="968"/>
        <v>-11.296130812985883</v>
      </c>
    </row>
    <row r="302" spans="1:20" x14ac:dyDescent="0.25">
      <c r="A302" s="5">
        <v>44291</v>
      </c>
      <c r="B302">
        <v>0.30552000000000001</v>
      </c>
      <c r="C302">
        <v>0.65791999999999995</v>
      </c>
      <c r="D302">
        <v>0.28416999999999998</v>
      </c>
      <c r="E302">
        <v>0.56605000000000005</v>
      </c>
      <c r="F302">
        <v>433051456</v>
      </c>
      <c r="G302">
        <v>0</v>
      </c>
      <c r="L302" t="s">
        <v>7</v>
      </c>
      <c r="M302" t="s">
        <v>7</v>
      </c>
      <c r="N302" t="s">
        <v>8</v>
      </c>
      <c r="P302">
        <f t="shared" si="964"/>
        <v>0.50838795986622121</v>
      </c>
      <c r="Q302">
        <f t="shared" si="965"/>
        <v>220158146.23293665</v>
      </c>
      <c r="R302">
        <f t="shared" si="966"/>
        <v>-668770441.11404192</v>
      </c>
      <c r="S302">
        <f t="shared" si="967"/>
        <v>-6687.7044111404193</v>
      </c>
      <c r="T302">
        <f t="shared" si="968"/>
        <v>-6.6877044111404196</v>
      </c>
    </row>
    <row r="303" spans="1:20" x14ac:dyDescent="0.25">
      <c r="A303" s="5">
        <v>44290</v>
      </c>
      <c r="B303">
        <v>0.32023000000000001</v>
      </c>
      <c r="C303">
        <v>0.40400000000000003</v>
      </c>
      <c r="D303">
        <v>0.29637999999999998</v>
      </c>
      <c r="E303">
        <v>0.30649999999999999</v>
      </c>
      <c r="F303">
        <v>347300716.30000001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-0.81193086786842572</v>
      </c>
      <c r="Q303">
        <f t="shared" si="965"/>
        <v>-281984171.99678493</v>
      </c>
      <c r="R303">
        <f t="shared" si="966"/>
        <v>-888928587.34697855</v>
      </c>
      <c r="S303">
        <f t="shared" si="967"/>
        <v>-8889.2858734697857</v>
      </c>
      <c r="T303">
        <f t="shared" si="968"/>
        <v>-8.8892858734697864</v>
      </c>
    </row>
    <row r="304" spans="1:20" x14ac:dyDescent="0.25">
      <c r="A304" s="5">
        <v>44289</v>
      </c>
      <c r="B304">
        <v>0.19869000000000001</v>
      </c>
      <c r="C304">
        <v>0.41195999999999999</v>
      </c>
      <c r="D304">
        <v>0.19356999999999999</v>
      </c>
      <c r="E304">
        <v>0.32</v>
      </c>
      <c r="F304">
        <v>612762106.20000005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0.15783689729383227</v>
      </c>
      <c r="Q304">
        <f t="shared" si="965"/>
        <v>96716469.621841744</v>
      </c>
      <c r="R304">
        <f t="shared" si="966"/>
        <v>-606944415.35019362</v>
      </c>
      <c r="S304">
        <f t="shared" si="967"/>
        <v>-6069.4441535019359</v>
      </c>
      <c r="T304">
        <f t="shared" si="968"/>
        <v>-6.0694441535019363</v>
      </c>
    </row>
    <row r="305" spans="1:20" x14ac:dyDescent="0.25">
      <c r="A305" s="5">
        <v>44288</v>
      </c>
      <c r="B305">
        <v>0.18107999999999999</v>
      </c>
      <c r="C305">
        <v>0.22413</v>
      </c>
      <c r="D305">
        <v>0.17879999999999999</v>
      </c>
      <c r="E305">
        <v>0.19864999999999999</v>
      </c>
      <c r="F305">
        <v>46720708.899999999</v>
      </c>
      <c r="G305">
        <v>0</v>
      </c>
      <c r="L305" t="s">
        <v>8</v>
      </c>
      <c r="M305" t="s">
        <v>8</v>
      </c>
      <c r="N305" t="s">
        <v>7</v>
      </c>
      <c r="P305">
        <f t="shared" si="964"/>
        <v>-0.12420030884623859</v>
      </c>
      <c r="Q305">
        <f t="shared" si="965"/>
        <v>-5802726.4748952081</v>
      </c>
      <c r="R305">
        <f t="shared" si="966"/>
        <v>-703660884.97203541</v>
      </c>
      <c r="S305">
        <f t="shared" si="967"/>
        <v>-7036.6088497203536</v>
      </c>
      <c r="T305">
        <f t="shared" si="968"/>
        <v>-7.0366088497203538</v>
      </c>
    </row>
    <row r="306" spans="1:20" x14ac:dyDescent="0.25">
      <c r="A306" s="5">
        <v>44287</v>
      </c>
      <c r="B306">
        <v>0.18826000000000001</v>
      </c>
      <c r="C306">
        <v>0.19331000000000001</v>
      </c>
      <c r="D306">
        <v>0.17841000000000001</v>
      </c>
      <c r="E306">
        <v>0.18107999999999999</v>
      </c>
      <c r="F306">
        <v>18592026.899999999</v>
      </c>
      <c r="G306">
        <v>0</v>
      </c>
      <c r="L306" t="s">
        <v>8</v>
      </c>
      <c r="M306" t="s">
        <v>7</v>
      </c>
      <c r="N306" t="s">
        <v>7</v>
      </c>
      <c r="P306">
        <f t="shared" si="964"/>
        <v>-0.64161073825503645</v>
      </c>
      <c r="Q306">
        <f t="shared" si="965"/>
        <v>-11928844.104966495</v>
      </c>
      <c r="R306">
        <f t="shared" si="966"/>
        <v>-697858158.49714017</v>
      </c>
      <c r="S306">
        <f t="shared" si="967"/>
        <v>-6978.5815849714018</v>
      </c>
      <c r="T306">
        <f t="shared" si="968"/>
        <v>-6.9785815849714021</v>
      </c>
    </row>
    <row r="307" spans="1:20" x14ac:dyDescent="0.25">
      <c r="A307" s="5">
        <v>44286</v>
      </c>
      <c r="B307">
        <v>0.19250999999999999</v>
      </c>
      <c r="C307">
        <v>0.20229</v>
      </c>
      <c r="D307">
        <v>0.17344000000000001</v>
      </c>
      <c r="E307">
        <v>0.18779999999999999</v>
      </c>
      <c r="F307">
        <v>29204710.600000001</v>
      </c>
      <c r="G307">
        <v>0</v>
      </c>
      <c r="L307" t="s">
        <v>7</v>
      </c>
      <c r="M307" t="s">
        <v>7</v>
      </c>
      <c r="N307" t="s">
        <v>7</v>
      </c>
      <c r="P307">
        <f t="shared" si="964"/>
        <v>-4.5060658578862751E-3</v>
      </c>
      <c r="Q307">
        <f t="shared" si="965"/>
        <v>-131598.34932410941</v>
      </c>
      <c r="R307">
        <f t="shared" si="966"/>
        <v>-685929314.39217365</v>
      </c>
      <c r="S307">
        <f t="shared" si="967"/>
        <v>-6859.2931439217364</v>
      </c>
      <c r="T307">
        <f t="shared" si="968"/>
        <v>-6.8592931439217359</v>
      </c>
    </row>
    <row r="308" spans="1:20" x14ac:dyDescent="0.25">
      <c r="A308" s="5">
        <v>44285</v>
      </c>
      <c r="B308">
        <v>0.20499000000000001</v>
      </c>
      <c r="C308">
        <v>0.21668000000000001</v>
      </c>
      <c r="D308">
        <v>0.18748000000000001</v>
      </c>
      <c r="E308">
        <v>0.19308</v>
      </c>
      <c r="F308">
        <v>48367500.799999997</v>
      </c>
      <c r="G308">
        <v>0</v>
      </c>
      <c r="L308" t="s">
        <v>7</v>
      </c>
      <c r="M308" t="s">
        <v>7</v>
      </c>
      <c r="N308" t="s">
        <v>8</v>
      </c>
      <c r="P308">
        <f t="shared" si="964"/>
        <v>-0.61643835616438403</v>
      </c>
      <c r="Q308">
        <f t="shared" si="965"/>
        <v>-29815582.684931528</v>
      </c>
      <c r="R308">
        <f t="shared" si="966"/>
        <v>-685797716.04284954</v>
      </c>
      <c r="S308">
        <f t="shared" si="967"/>
        <v>-6857.9771604284952</v>
      </c>
      <c r="T308">
        <f t="shared" si="968"/>
        <v>-6.8579771604284954</v>
      </c>
    </row>
    <row r="309" spans="1:20" x14ac:dyDescent="0.25">
      <c r="A309" s="5">
        <v>44284</v>
      </c>
      <c r="B309">
        <v>0.17896000000000001</v>
      </c>
      <c r="C309">
        <v>0.24765999999999999</v>
      </c>
      <c r="D309">
        <v>0.16982</v>
      </c>
      <c r="E309">
        <v>0.20516000000000001</v>
      </c>
      <c r="F309">
        <v>168500446.69999999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-9.1983556012332643E-2</v>
      </c>
      <c r="Q309">
        <f t="shared" si="965"/>
        <v>-15499270.27713252</v>
      </c>
      <c r="R309">
        <f t="shared" si="966"/>
        <v>-655982133.35791802</v>
      </c>
      <c r="S309">
        <f t="shared" si="967"/>
        <v>-6559.8213335791806</v>
      </c>
      <c r="T309">
        <f t="shared" si="968"/>
        <v>-6.5598213335791806</v>
      </c>
    </row>
    <row r="310" spans="1:20" x14ac:dyDescent="0.25">
      <c r="A310" s="5">
        <v>44283</v>
      </c>
      <c r="B310">
        <v>0.18293000000000001</v>
      </c>
      <c r="C310">
        <v>0.20077</v>
      </c>
      <c r="D310">
        <v>0.17027</v>
      </c>
      <c r="E310">
        <v>0.17874000000000001</v>
      </c>
      <c r="F310">
        <v>43779614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-0.44459016393442585</v>
      </c>
      <c r="Q310">
        <f t="shared" si="965"/>
        <v>-19463985.765245885</v>
      </c>
      <c r="R310">
        <f t="shared" si="966"/>
        <v>-640482863.08078551</v>
      </c>
      <c r="S310">
        <f t="shared" si="967"/>
        <v>-6404.828630807855</v>
      </c>
      <c r="T310">
        <f t="shared" si="968"/>
        <v>-6.404828630807855</v>
      </c>
    </row>
    <row r="311" spans="1:20" x14ac:dyDescent="0.25">
      <c r="A311" s="5">
        <v>44282</v>
      </c>
      <c r="B311">
        <v>0.16793</v>
      </c>
      <c r="C311">
        <v>0.19456000000000001</v>
      </c>
      <c r="D311">
        <v>0.16144</v>
      </c>
      <c r="E311">
        <v>0.18234</v>
      </c>
      <c r="F311">
        <v>39868073.899999999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0.26207729468599006</v>
      </c>
      <c r="Q311">
        <f t="shared" si="965"/>
        <v>10448516.952053128</v>
      </c>
      <c r="R311">
        <f t="shared" si="966"/>
        <v>-621018877.3155396</v>
      </c>
      <c r="S311">
        <f t="shared" si="967"/>
        <v>-6210.1887731553961</v>
      </c>
      <c r="T311">
        <f t="shared" si="968"/>
        <v>-6.2101887731553962</v>
      </c>
    </row>
    <row r="312" spans="1:20" x14ac:dyDescent="0.25">
      <c r="A312" s="5">
        <v>44281</v>
      </c>
      <c r="B312">
        <v>0.15257999999999999</v>
      </c>
      <c r="C312">
        <v>0.182</v>
      </c>
      <c r="D312">
        <v>0.15234</v>
      </c>
      <c r="E312">
        <v>0.16792000000000001</v>
      </c>
      <c r="F312">
        <v>38356495.899999999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5.0573162508429852E-2</v>
      </c>
      <c r="Q312">
        <f t="shared" si="965"/>
        <v>1939809.3004046232</v>
      </c>
      <c r="R312">
        <f t="shared" si="966"/>
        <v>-631467394.26759267</v>
      </c>
      <c r="S312">
        <f t="shared" si="967"/>
        <v>-6314.6739426759268</v>
      </c>
      <c r="T312">
        <f t="shared" si="968"/>
        <v>-6.3146739426759266</v>
      </c>
    </row>
    <row r="313" spans="1:20" x14ac:dyDescent="0.25">
      <c r="A313" s="5">
        <v>44280</v>
      </c>
      <c r="B313">
        <v>0.15825</v>
      </c>
      <c r="C313">
        <v>0.16189000000000001</v>
      </c>
      <c r="D313">
        <v>0.14193</v>
      </c>
      <c r="E313">
        <v>0.15298999999999999</v>
      </c>
      <c r="F313">
        <v>33862577.799999997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0.10821643286572981</v>
      </c>
      <c r="Q313">
        <f t="shared" si="965"/>
        <v>3664487.3771542525</v>
      </c>
      <c r="R313">
        <f t="shared" si="966"/>
        <v>-633407203.56799734</v>
      </c>
      <c r="S313">
        <f t="shared" si="967"/>
        <v>-6334.0720356799729</v>
      </c>
      <c r="T313">
        <f t="shared" si="968"/>
        <v>-6.3340720356799727</v>
      </c>
    </row>
    <row r="314" spans="1:20" x14ac:dyDescent="0.25">
      <c r="A314" s="5">
        <v>44279</v>
      </c>
      <c r="B314">
        <v>0.16303999999999999</v>
      </c>
      <c r="C314">
        <v>0.186</v>
      </c>
      <c r="D314">
        <v>0.15417</v>
      </c>
      <c r="E314">
        <v>0.15817999999999999</v>
      </c>
      <c r="F314">
        <v>56647553.5</v>
      </c>
      <c r="G314">
        <v>0</v>
      </c>
      <c r="L314" t="s">
        <v>8</v>
      </c>
      <c r="M314" t="s">
        <v>8</v>
      </c>
      <c r="N314" t="s">
        <v>7</v>
      </c>
      <c r="P314">
        <f t="shared" si="964"/>
        <v>-0.74803644360666122</v>
      </c>
      <c r="Q314">
        <f t="shared" si="965"/>
        <v>-42374434.459158078</v>
      </c>
      <c r="R314">
        <f t="shared" si="966"/>
        <v>-637071690.94515157</v>
      </c>
      <c r="S314">
        <f t="shared" si="967"/>
        <v>-6370.7169094515157</v>
      </c>
      <c r="T314">
        <f t="shared" si="968"/>
        <v>-6.3707169094515157</v>
      </c>
    </row>
    <row r="315" spans="1:20" x14ac:dyDescent="0.25">
      <c r="A315" s="5">
        <v>44278</v>
      </c>
      <c r="B315">
        <v>0.16802</v>
      </c>
      <c r="C315">
        <v>0.17499999999999999</v>
      </c>
      <c r="D315">
        <v>0.15176999999999999</v>
      </c>
      <c r="E315">
        <v>0.16378999999999999</v>
      </c>
      <c r="F315">
        <v>44055601.799999997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3.4868704261730742E-2</v>
      </c>
      <c r="Q315">
        <f t="shared" si="965"/>
        <v>1536161.7502367725</v>
      </c>
      <c r="R315">
        <f t="shared" si="966"/>
        <v>-594697256.4859935</v>
      </c>
      <c r="S315">
        <f t="shared" si="967"/>
        <v>-5946.9725648599351</v>
      </c>
      <c r="T315">
        <f t="shared" si="968"/>
        <v>-5.9469725648599354</v>
      </c>
    </row>
    <row r="316" spans="1:20" x14ac:dyDescent="0.25">
      <c r="A316" s="5">
        <v>44277</v>
      </c>
      <c r="B316">
        <v>0.18754999999999999</v>
      </c>
      <c r="C316">
        <v>0.19828999999999999</v>
      </c>
      <c r="D316">
        <v>0.15697</v>
      </c>
      <c r="E316">
        <v>0.16839999999999999</v>
      </c>
      <c r="F316">
        <v>112901930.5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-0.44675701839303017</v>
      </c>
      <c r="Q316">
        <f t="shared" si="965"/>
        <v>-50439729.840997115</v>
      </c>
      <c r="R316">
        <f t="shared" si="966"/>
        <v>-596233418.23623025</v>
      </c>
      <c r="S316">
        <f t="shared" si="967"/>
        <v>-5962.3341823623023</v>
      </c>
      <c r="T316">
        <f t="shared" si="968"/>
        <v>-5.9623341823623024</v>
      </c>
    </row>
    <row r="317" spans="1:20" x14ac:dyDescent="0.25">
      <c r="A317" s="5">
        <v>44276</v>
      </c>
      <c r="B317">
        <v>0.24598999999999999</v>
      </c>
      <c r="C317">
        <v>0.246</v>
      </c>
      <c r="D317">
        <v>0.17781</v>
      </c>
      <c r="E317">
        <v>0.187</v>
      </c>
      <c r="F317">
        <v>355891431.10000002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-0.73045901158527637</v>
      </c>
      <c r="Q317">
        <f t="shared" si="965"/>
        <v>-259964102.9929755</v>
      </c>
      <c r="R317">
        <f t="shared" si="966"/>
        <v>-545793688.39523315</v>
      </c>
      <c r="S317">
        <f t="shared" si="967"/>
        <v>-5457.9368839523313</v>
      </c>
      <c r="T317">
        <f t="shared" si="968"/>
        <v>-5.457936883952331</v>
      </c>
    </row>
    <row r="318" spans="1:20" x14ac:dyDescent="0.25">
      <c r="A318" s="5">
        <v>44275</v>
      </c>
      <c r="B318">
        <v>0.14893000000000001</v>
      </c>
      <c r="C318">
        <v>0.25912000000000002</v>
      </c>
      <c r="D318">
        <v>0.14423</v>
      </c>
      <c r="E318">
        <v>0.24528</v>
      </c>
      <c r="F318">
        <v>324494132.39999998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0.75907389677082393</v>
      </c>
      <c r="Q318">
        <f t="shared" si="965"/>
        <v>246315025.56013566</v>
      </c>
      <c r="R318">
        <f t="shared" si="966"/>
        <v>-285829585.40225768</v>
      </c>
      <c r="S318">
        <f t="shared" si="967"/>
        <v>-2858.2958540225768</v>
      </c>
      <c r="T318">
        <f t="shared" si="968"/>
        <v>-2.8582958540225767</v>
      </c>
    </row>
    <row r="319" spans="1:20" x14ac:dyDescent="0.25">
      <c r="A319" s="5">
        <v>44274</v>
      </c>
      <c r="B319">
        <v>0.15226999999999999</v>
      </c>
      <c r="C319">
        <v>0.15282999999999999</v>
      </c>
      <c r="D319">
        <v>0.14000000000000001</v>
      </c>
      <c r="E319">
        <v>0.1492</v>
      </c>
      <c r="F319">
        <v>30970684.300000001</v>
      </c>
      <c r="G319">
        <v>0</v>
      </c>
      <c r="L319" t="s">
        <v>7</v>
      </c>
      <c r="M319" t="s">
        <v>7</v>
      </c>
      <c r="N319" t="s">
        <v>7</v>
      </c>
      <c r="P319">
        <f t="shared" si="964"/>
        <v>0.43413873733437258</v>
      </c>
      <c r="Q319">
        <f t="shared" si="965"/>
        <v>13445573.776383476</v>
      </c>
      <c r="R319">
        <f t="shared" si="966"/>
        <v>-532144610.96239334</v>
      </c>
      <c r="S319">
        <f t="shared" si="967"/>
        <v>-5321.4461096239338</v>
      </c>
      <c r="T319">
        <f t="shared" si="968"/>
        <v>-5.3214461096239338</v>
      </c>
    </row>
    <row r="320" spans="1:20" x14ac:dyDescent="0.25">
      <c r="A320" s="5">
        <v>44273</v>
      </c>
      <c r="B320">
        <v>0.14032</v>
      </c>
      <c r="C320">
        <v>0.16711000000000001</v>
      </c>
      <c r="D320">
        <v>0.13774</v>
      </c>
      <c r="E320">
        <v>0.1522</v>
      </c>
      <c r="F320">
        <v>52746010.299999997</v>
      </c>
      <c r="G320">
        <v>0</v>
      </c>
      <c r="L320" t="s">
        <v>8</v>
      </c>
      <c r="M320" t="s">
        <v>8</v>
      </c>
      <c r="N320" t="s">
        <v>7</v>
      </c>
      <c r="P320">
        <f t="shared" si="964"/>
        <v>-1.5321756894790801E-2</v>
      </c>
      <c r="Q320">
        <f t="shared" si="965"/>
        <v>-808161.54698673158</v>
      </c>
      <c r="R320">
        <f t="shared" si="966"/>
        <v>-545590184.7387768</v>
      </c>
      <c r="S320">
        <f t="shared" si="967"/>
        <v>-5455.9018473877677</v>
      </c>
      <c r="T320">
        <f t="shared" si="968"/>
        <v>-5.4559018473877678</v>
      </c>
    </row>
    <row r="321" spans="1:20" x14ac:dyDescent="0.25">
      <c r="A321" s="5">
        <v>44272</v>
      </c>
      <c r="B321">
        <v>0.14371</v>
      </c>
      <c r="C321">
        <v>0.152</v>
      </c>
      <c r="D321">
        <v>0.13320000000000001</v>
      </c>
      <c r="E321">
        <v>0.14069000000000001</v>
      </c>
      <c r="F321">
        <v>69689997.700000003</v>
      </c>
      <c r="G321">
        <v>0</v>
      </c>
      <c r="L321" t="s">
        <v>8</v>
      </c>
      <c r="M321" t="s">
        <v>7</v>
      </c>
      <c r="N321" t="s">
        <v>7</v>
      </c>
      <c r="P321">
        <f t="shared" si="964"/>
        <v>-0.20319148936170178</v>
      </c>
      <c r="Q321">
        <f t="shared" si="965"/>
        <v>-14160414.426276572</v>
      </c>
      <c r="R321">
        <f t="shared" si="966"/>
        <v>-544782023.1917901</v>
      </c>
      <c r="S321">
        <f t="shared" si="967"/>
        <v>-5447.8202319179009</v>
      </c>
      <c r="T321">
        <f t="shared" si="968"/>
        <v>-5.447820231917901</v>
      </c>
    </row>
    <row r="322" spans="1:20" x14ac:dyDescent="0.25">
      <c r="A322" s="5">
        <v>44271</v>
      </c>
      <c r="B322">
        <v>0.14804</v>
      </c>
      <c r="C322">
        <v>0.1573</v>
      </c>
      <c r="D322">
        <v>0.1353</v>
      </c>
      <c r="E322">
        <v>0.14368</v>
      </c>
      <c r="F322">
        <v>37438196.700000003</v>
      </c>
      <c r="G322">
        <v>0</v>
      </c>
      <c r="L322" t="s">
        <v>7</v>
      </c>
      <c r="M322" t="s">
        <v>7</v>
      </c>
      <c r="N322" t="s">
        <v>7</v>
      </c>
      <c r="P322">
        <f t="shared" si="964"/>
        <v>-0.23818181818181802</v>
      </c>
      <c r="Q322">
        <f t="shared" si="965"/>
        <v>-8917097.7594545409</v>
      </c>
      <c r="R322">
        <f t="shared" si="966"/>
        <v>-530621608.76551354</v>
      </c>
      <c r="S322">
        <f t="shared" si="967"/>
        <v>-5306.2160876551352</v>
      </c>
      <c r="T322">
        <f t="shared" si="968"/>
        <v>-5.3062160876551356</v>
      </c>
    </row>
    <row r="323" spans="1:20" x14ac:dyDescent="0.25">
      <c r="A323" s="5">
        <v>44270</v>
      </c>
      <c r="B323">
        <v>0.16225000000000001</v>
      </c>
      <c r="C323">
        <v>0.17099</v>
      </c>
      <c r="D323">
        <v>0.13582</v>
      </c>
      <c r="E323">
        <v>0.14774000000000001</v>
      </c>
      <c r="F323">
        <v>83002260.799999997</v>
      </c>
      <c r="G323">
        <v>0</v>
      </c>
      <c r="L323" t="s">
        <v>7</v>
      </c>
      <c r="M323" t="s">
        <v>7</v>
      </c>
      <c r="N323" t="s">
        <v>7</v>
      </c>
      <c r="P323">
        <f t="shared" si="964"/>
        <v>-0.3221495592834796</v>
      </c>
      <c r="Q323">
        <f t="shared" si="965"/>
        <v>-26739141.736252435</v>
      </c>
      <c r="R323">
        <f t="shared" si="966"/>
        <v>-521704511.00605899</v>
      </c>
      <c r="S323">
        <f t="shared" si="967"/>
        <v>-5217.0451100605896</v>
      </c>
      <c r="T323">
        <f t="shared" si="968"/>
        <v>-5.2170451100605897</v>
      </c>
    </row>
    <row r="324" spans="1:20" x14ac:dyDescent="0.25">
      <c r="A324" s="5">
        <v>44269</v>
      </c>
      <c r="B324">
        <v>0.16295999999999999</v>
      </c>
      <c r="C324">
        <v>0.186</v>
      </c>
      <c r="D324">
        <v>0.1565</v>
      </c>
      <c r="E324">
        <v>0.16222</v>
      </c>
      <c r="F324">
        <v>86263397.099999994</v>
      </c>
      <c r="G324">
        <v>0</v>
      </c>
      <c r="L324" t="s">
        <v>8</v>
      </c>
      <c r="M324" t="s">
        <v>8</v>
      </c>
      <c r="N324" t="s">
        <v>7</v>
      </c>
      <c r="P324">
        <f t="shared" si="964"/>
        <v>-0.61220338983050826</v>
      </c>
      <c r="Q324">
        <f t="shared" si="965"/>
        <v>-52810744.122915231</v>
      </c>
      <c r="R324">
        <f t="shared" si="966"/>
        <v>-494965369.26980656</v>
      </c>
      <c r="S324">
        <f t="shared" si="967"/>
        <v>-4949.6536926980652</v>
      </c>
      <c r="T324">
        <f t="shared" si="968"/>
        <v>-4.9496536926980657</v>
      </c>
    </row>
    <row r="325" spans="1:20" x14ac:dyDescent="0.25">
      <c r="A325" s="5">
        <v>44268</v>
      </c>
      <c r="B325">
        <v>0.17882000000000001</v>
      </c>
      <c r="C325">
        <v>0.18851999999999999</v>
      </c>
      <c r="D325">
        <v>0.15348000000000001</v>
      </c>
      <c r="E325">
        <v>0.16214999999999999</v>
      </c>
      <c r="F325">
        <v>196820815.40000001</v>
      </c>
      <c r="G325">
        <v>0</v>
      </c>
      <c r="L325" t="s">
        <v>7</v>
      </c>
      <c r="M325" t="s">
        <v>7</v>
      </c>
      <c r="N325" t="s">
        <v>7</v>
      </c>
      <c r="P325">
        <f t="shared" si="964"/>
        <v>-0.50513698630137061</v>
      </c>
      <c r="Q325">
        <f t="shared" si="965"/>
        <v>-99421473.532534391</v>
      </c>
      <c r="R325">
        <f t="shared" si="966"/>
        <v>-442154625.14689136</v>
      </c>
      <c r="S325">
        <f t="shared" si="967"/>
        <v>-4421.5462514689134</v>
      </c>
      <c r="T325">
        <f t="shared" si="968"/>
        <v>-4.4215462514689134</v>
      </c>
    </row>
    <row r="326" spans="1:20" x14ac:dyDescent="0.25">
      <c r="A326" s="5">
        <v>44267</v>
      </c>
      <c r="B326">
        <v>0.11328000000000001</v>
      </c>
      <c r="C326">
        <v>0.23499999999999999</v>
      </c>
      <c r="D326">
        <v>0.1085</v>
      </c>
      <c r="E326">
        <v>0.17938000000000001</v>
      </c>
      <c r="F326">
        <v>763438321.89999998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0.12063241106719397</v>
      </c>
      <c r="Q326">
        <f t="shared" ref="Q326:Q389" si="970">F326*P326</f>
        <v>92095405.471889541</v>
      </c>
      <c r="R326">
        <f t="shared" ref="R326:R389" si="971">R327+Q326</f>
        <v>-342733151.61435694</v>
      </c>
      <c r="S326">
        <f t="shared" ref="S326:S389" si="972">R326/100000</f>
        <v>-3427.3315161435694</v>
      </c>
      <c r="T326">
        <f t="shared" ref="T326:T389" si="973">S326/1000</f>
        <v>-3.4273315161435693</v>
      </c>
    </row>
    <row r="327" spans="1:20" x14ac:dyDescent="0.25">
      <c r="A327" s="5">
        <v>44266</v>
      </c>
      <c r="B327">
        <v>0.10085</v>
      </c>
      <c r="C327">
        <v>0.12447</v>
      </c>
      <c r="D327">
        <v>9.0999999999999998E-2</v>
      </c>
      <c r="E327">
        <v>0.11268</v>
      </c>
      <c r="F327">
        <v>196542258.90000001</v>
      </c>
      <c r="G327">
        <v>0</v>
      </c>
      <c r="L327" t="s">
        <v>7</v>
      </c>
      <c r="M327" t="s">
        <v>7</v>
      </c>
      <c r="N327" t="s">
        <v>7</v>
      </c>
      <c r="P327">
        <f t="shared" si="969"/>
        <v>0.29548849716163761</v>
      </c>
      <c r="Q327">
        <f t="shared" si="970"/>
        <v>58075976.711114496</v>
      </c>
      <c r="R327">
        <f t="shared" si="971"/>
        <v>-434828557.08624649</v>
      </c>
      <c r="S327">
        <f t="shared" si="972"/>
        <v>-4348.2855708624647</v>
      </c>
      <c r="T327">
        <f t="shared" si="973"/>
        <v>-4.3482855708624646</v>
      </c>
    </row>
    <row r="328" spans="1:20" x14ac:dyDescent="0.25">
      <c r="A328" s="5">
        <v>44265</v>
      </c>
      <c r="B328">
        <v>0.1205</v>
      </c>
      <c r="C328">
        <v>0.12639</v>
      </c>
      <c r="D328">
        <v>9.672E-2</v>
      </c>
      <c r="E328">
        <v>0.10088</v>
      </c>
      <c r="F328">
        <v>119597889.2</v>
      </c>
      <c r="G328">
        <v>0</v>
      </c>
      <c r="L328" t="s">
        <v>7</v>
      </c>
      <c r="M328" t="s">
        <v>7</v>
      </c>
      <c r="N328" t="s">
        <v>7</v>
      </c>
      <c r="P328">
        <f t="shared" si="969"/>
        <v>-0.71958206943040126</v>
      </c>
      <c r="Q328">
        <f t="shared" si="970"/>
        <v>-86060496.610043839</v>
      </c>
      <c r="R328">
        <f t="shared" si="971"/>
        <v>-492904533.79736102</v>
      </c>
      <c r="S328">
        <f t="shared" si="972"/>
        <v>-4929.04533797361</v>
      </c>
      <c r="T328">
        <f t="shared" si="973"/>
        <v>-4.9290453379736103</v>
      </c>
    </row>
    <row r="329" spans="1:20" x14ac:dyDescent="0.25">
      <c r="A329" s="5">
        <v>44264</v>
      </c>
      <c r="B329">
        <v>6.7530000000000007E-2</v>
      </c>
      <c r="C329">
        <v>0.14318</v>
      </c>
      <c r="D329">
        <v>6.6180000000000003E-2</v>
      </c>
      <c r="E329">
        <v>0.12078999999999999</v>
      </c>
      <c r="F329">
        <v>732152697.20000005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0.41844155844155823</v>
      </c>
      <c r="Q329">
        <f t="shared" si="970"/>
        <v>306363115.63355833</v>
      </c>
      <c r="R329">
        <f t="shared" si="971"/>
        <v>-406844037.18731719</v>
      </c>
      <c r="S329">
        <f t="shared" si="972"/>
        <v>-4068.4403718731719</v>
      </c>
      <c r="T329">
        <f t="shared" si="973"/>
        <v>-4.0684403718731721</v>
      </c>
    </row>
    <row r="330" spans="1:20" x14ac:dyDescent="0.25">
      <c r="A330" s="5">
        <v>44263</v>
      </c>
      <c r="B330">
        <v>5.4539999999999998E-2</v>
      </c>
      <c r="C330">
        <v>7.0999999999999994E-2</v>
      </c>
      <c r="D330">
        <v>5.2150000000000002E-2</v>
      </c>
      <c r="E330">
        <v>6.7000000000000004E-2</v>
      </c>
      <c r="F330">
        <v>33599395.399999999</v>
      </c>
      <c r="G330">
        <v>0</v>
      </c>
      <c r="L330" t="s">
        <v>7</v>
      </c>
      <c r="M330" t="s">
        <v>8</v>
      </c>
      <c r="N330" t="s">
        <v>8</v>
      </c>
      <c r="P330">
        <f t="shared" si="969"/>
        <v>0.57559681697612819</v>
      </c>
      <c r="Q330">
        <f t="shared" si="970"/>
        <v>19339705.044562362</v>
      </c>
      <c r="R330">
        <f t="shared" si="971"/>
        <v>-713207152.82087553</v>
      </c>
      <c r="S330">
        <f t="shared" si="972"/>
        <v>-7132.0715282087549</v>
      </c>
      <c r="T330">
        <f t="shared" si="973"/>
        <v>-7.1320715282087548</v>
      </c>
    </row>
    <row r="331" spans="1:20" x14ac:dyDescent="0.25">
      <c r="A331" s="5">
        <v>44262</v>
      </c>
      <c r="B331">
        <v>5.6059999999999999E-2</v>
      </c>
      <c r="C331">
        <v>5.6300000000000003E-2</v>
      </c>
      <c r="D331">
        <v>5.2900000000000003E-2</v>
      </c>
      <c r="E331">
        <v>5.4429999999999999E-2</v>
      </c>
      <c r="F331">
        <v>9997267.4000000004</v>
      </c>
      <c r="G331">
        <v>0</v>
      </c>
      <c r="L331" t="s">
        <v>7</v>
      </c>
      <c r="M331" t="s">
        <v>8</v>
      </c>
      <c r="N331" t="s">
        <v>8</v>
      </c>
      <c r="P331">
        <f t="shared" si="969"/>
        <v>-0.10000000000000205</v>
      </c>
      <c r="Q331">
        <f t="shared" si="970"/>
        <v>-999726.74000002048</v>
      </c>
      <c r="R331">
        <f t="shared" si="971"/>
        <v>-732546857.86543787</v>
      </c>
      <c r="S331">
        <f t="shared" si="972"/>
        <v>-7325.4685786543787</v>
      </c>
      <c r="T331">
        <f t="shared" si="973"/>
        <v>-7.3254685786543785</v>
      </c>
    </row>
    <row r="332" spans="1:20" x14ac:dyDescent="0.25">
      <c r="A332" s="5">
        <v>44261</v>
      </c>
      <c r="B332">
        <v>5.5849999999999997E-2</v>
      </c>
      <c r="C332">
        <v>5.6950000000000001E-2</v>
      </c>
      <c r="D332">
        <v>5.2200000000000003E-2</v>
      </c>
      <c r="E332">
        <v>5.6230000000000002E-2</v>
      </c>
      <c r="F332">
        <v>8943707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0.69684210526315837</v>
      </c>
      <c r="Q332">
        <f t="shared" si="970"/>
        <v>6232351.6147368466</v>
      </c>
      <c r="R332">
        <f t="shared" si="971"/>
        <v>-731547131.12543786</v>
      </c>
      <c r="S332">
        <f t="shared" si="972"/>
        <v>-7315.4713112543786</v>
      </c>
      <c r="T332">
        <f t="shared" si="973"/>
        <v>-7.3154713112543783</v>
      </c>
    </row>
    <row r="333" spans="1:20" x14ac:dyDescent="0.25">
      <c r="A333" s="5">
        <v>44260</v>
      </c>
      <c r="B333">
        <v>5.2560000000000003E-2</v>
      </c>
      <c r="C333">
        <v>5.645E-2</v>
      </c>
      <c r="D333">
        <v>4.9090000000000002E-2</v>
      </c>
      <c r="E333">
        <v>5.5849999999999997E-2</v>
      </c>
      <c r="F333">
        <v>32923212.600000001</v>
      </c>
      <c r="G333">
        <v>0</v>
      </c>
      <c r="L333" t="s">
        <v>7</v>
      </c>
      <c r="M333" t="s">
        <v>8</v>
      </c>
      <c r="N333" t="s">
        <v>8</v>
      </c>
      <c r="P333">
        <f t="shared" si="969"/>
        <v>0.83695652173912949</v>
      </c>
      <c r="Q333">
        <f t="shared" si="970"/>
        <v>27555297.502173882</v>
      </c>
      <c r="R333">
        <f t="shared" si="971"/>
        <v>-737779482.74017465</v>
      </c>
      <c r="S333">
        <f t="shared" si="972"/>
        <v>-7377.7948274017463</v>
      </c>
      <c r="T333">
        <f t="shared" si="973"/>
        <v>-7.377794827401746</v>
      </c>
    </row>
    <row r="334" spans="1:20" x14ac:dyDescent="0.25">
      <c r="A334" s="5">
        <v>44259</v>
      </c>
      <c r="B334">
        <v>5.459E-2</v>
      </c>
      <c r="C334">
        <v>5.6680000000000001E-2</v>
      </c>
      <c r="D334">
        <v>5.0430000000000003E-2</v>
      </c>
      <c r="E334">
        <v>5.2560000000000003E-2</v>
      </c>
      <c r="F334">
        <v>24014938.699999999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-0.31839999999999985</v>
      </c>
      <c r="Q334">
        <f t="shared" si="970"/>
        <v>-7646356.4820799958</v>
      </c>
      <c r="R334">
        <f t="shared" si="971"/>
        <v>-765334780.24234855</v>
      </c>
      <c r="S334">
        <f t="shared" si="972"/>
        <v>-7653.3478024234855</v>
      </c>
      <c r="T334">
        <f t="shared" si="973"/>
        <v>-7.6533478024234851</v>
      </c>
    </row>
    <row r="335" spans="1:20" x14ac:dyDescent="0.25">
      <c r="A335" s="5">
        <v>44258</v>
      </c>
      <c r="B335">
        <v>4.7849999999999997E-2</v>
      </c>
      <c r="C335">
        <v>5.5E-2</v>
      </c>
      <c r="D335">
        <v>4.777E-2</v>
      </c>
      <c r="E335">
        <v>5.4300000000000001E-2</v>
      </c>
      <c r="F335">
        <v>19856895.300000001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0.8063623789764871</v>
      </c>
      <c r="Q335">
        <f t="shared" si="970"/>
        <v>16011853.333195027</v>
      </c>
      <c r="R335">
        <f t="shared" si="971"/>
        <v>-757688423.76026857</v>
      </c>
      <c r="S335">
        <f t="shared" si="972"/>
        <v>-7576.884237602686</v>
      </c>
      <c r="T335">
        <f t="shared" si="973"/>
        <v>-7.5768842376026857</v>
      </c>
    </row>
    <row r="336" spans="1:20" x14ac:dyDescent="0.25">
      <c r="A336" s="5">
        <v>44257</v>
      </c>
      <c r="B336">
        <v>4.6859999999999999E-2</v>
      </c>
      <c r="C336">
        <v>5.144E-2</v>
      </c>
      <c r="D336">
        <v>4.4450000000000003E-2</v>
      </c>
      <c r="E336">
        <v>4.7840000000000001E-2</v>
      </c>
      <c r="F336">
        <v>26292650.399999999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-3.0042918454935903E-2</v>
      </c>
      <c r="Q336">
        <f t="shared" si="970"/>
        <v>-789907.95193133783</v>
      </c>
      <c r="R336">
        <f t="shared" si="971"/>
        <v>-773700277.09346354</v>
      </c>
      <c r="S336">
        <f t="shared" si="972"/>
        <v>-7737.002770934635</v>
      </c>
      <c r="T336">
        <f t="shared" si="973"/>
        <v>-7.7370027709346347</v>
      </c>
    </row>
    <row r="337" spans="1:20" x14ac:dyDescent="0.25">
      <c r="A337" s="5">
        <v>44256</v>
      </c>
      <c r="B337">
        <v>4.2860000000000002E-2</v>
      </c>
      <c r="C337">
        <v>4.7160000000000001E-2</v>
      </c>
      <c r="D337">
        <v>4.2509999999999999E-2</v>
      </c>
      <c r="E337">
        <v>4.666E-2</v>
      </c>
      <c r="F337">
        <v>7741856.7000000002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0.78494623655913964</v>
      </c>
      <c r="Q337">
        <f t="shared" si="970"/>
        <v>6076941.28064516</v>
      </c>
      <c r="R337">
        <f t="shared" si="971"/>
        <v>-772910369.14153218</v>
      </c>
      <c r="S337">
        <f t="shared" si="972"/>
        <v>-7729.1036914153219</v>
      </c>
      <c r="T337">
        <f t="shared" si="973"/>
        <v>-7.7291036914153217</v>
      </c>
    </row>
    <row r="338" spans="1:20" x14ac:dyDescent="0.25">
      <c r="A338" s="5">
        <v>44255</v>
      </c>
      <c r="B338">
        <v>4.3409999999999997E-2</v>
      </c>
      <c r="C338">
        <v>4.8000000000000001E-2</v>
      </c>
      <c r="D338">
        <v>3.8159999999999999E-2</v>
      </c>
      <c r="E338">
        <v>4.2590000000000003E-2</v>
      </c>
      <c r="F338">
        <v>38639027.600000001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-9.9593495934958809E-2</v>
      </c>
      <c r="Q338">
        <f t="shared" si="970"/>
        <v>-3848195.8382113613</v>
      </c>
      <c r="R338">
        <f t="shared" si="971"/>
        <v>-778987310.42217731</v>
      </c>
      <c r="S338">
        <f t="shared" si="972"/>
        <v>-7789.8731042217732</v>
      </c>
      <c r="T338">
        <f t="shared" si="973"/>
        <v>-7.7898731042217735</v>
      </c>
    </row>
    <row r="339" spans="1:20" x14ac:dyDescent="0.25">
      <c r="A339" s="5">
        <v>44254</v>
      </c>
      <c r="B339">
        <v>4.1500000000000002E-2</v>
      </c>
      <c r="C339">
        <v>5.1999999999999998E-2</v>
      </c>
      <c r="D339">
        <v>4.0739999999999998E-2</v>
      </c>
      <c r="E339">
        <v>4.3139999999999998E-2</v>
      </c>
      <c r="F339">
        <v>29206841.100000001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-0.57371225577264662</v>
      </c>
      <c r="Q339">
        <f t="shared" si="970"/>
        <v>-16756322.691474248</v>
      </c>
      <c r="R339">
        <f t="shared" si="971"/>
        <v>-775139114.5839659</v>
      </c>
      <c r="S339">
        <f t="shared" si="972"/>
        <v>-7751.3911458396587</v>
      </c>
      <c r="T339">
        <f t="shared" si="973"/>
        <v>-7.7513911458396585</v>
      </c>
    </row>
    <row r="340" spans="1:20" x14ac:dyDescent="0.25">
      <c r="A340" s="5">
        <v>44253</v>
      </c>
      <c r="B340">
        <v>4.3459999999999999E-2</v>
      </c>
      <c r="C340">
        <v>4.4249999999999998E-2</v>
      </c>
      <c r="D340">
        <v>3.7789999999999997E-2</v>
      </c>
      <c r="E340">
        <v>4.1250000000000002E-2</v>
      </c>
      <c r="F340">
        <v>9395032.9000000004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7.1207430340558667E-2</v>
      </c>
      <c r="Q340">
        <f t="shared" si="970"/>
        <v>668996.15077400685</v>
      </c>
      <c r="R340">
        <f t="shared" si="971"/>
        <v>-758382791.8924917</v>
      </c>
      <c r="S340">
        <f t="shared" si="972"/>
        <v>-7583.827918924917</v>
      </c>
      <c r="T340">
        <f t="shared" si="973"/>
        <v>-7.5838279189249169</v>
      </c>
    </row>
    <row r="341" spans="1:20" x14ac:dyDescent="0.25">
      <c r="A341" s="5">
        <v>44252</v>
      </c>
      <c r="B341">
        <v>4.5769999999999998E-2</v>
      </c>
      <c r="C341">
        <v>5.0599999999999999E-2</v>
      </c>
      <c r="D341">
        <v>4.3450000000000003E-2</v>
      </c>
      <c r="E341">
        <v>4.3450000000000003E-2</v>
      </c>
      <c r="F341">
        <v>28775940.300000001</v>
      </c>
      <c r="G341">
        <v>0</v>
      </c>
      <c r="L341" t="s">
        <v>8</v>
      </c>
      <c r="M341" t="s">
        <v>8</v>
      </c>
      <c r="N341" t="s">
        <v>7</v>
      </c>
      <c r="P341">
        <f t="shared" si="969"/>
        <v>-1</v>
      </c>
      <c r="Q341">
        <f t="shared" si="970"/>
        <v>-28775940.300000001</v>
      </c>
      <c r="R341">
        <f t="shared" si="971"/>
        <v>-759051788.0432657</v>
      </c>
      <c r="S341">
        <f t="shared" si="972"/>
        <v>-7590.517880432657</v>
      </c>
      <c r="T341">
        <f t="shared" si="973"/>
        <v>-7.5905178804326567</v>
      </c>
    </row>
    <row r="342" spans="1:20" x14ac:dyDescent="0.25">
      <c r="A342" s="5">
        <v>44251</v>
      </c>
      <c r="B342">
        <v>4.5600000000000002E-2</v>
      </c>
      <c r="C342">
        <v>5.0090000000000003E-2</v>
      </c>
      <c r="D342">
        <v>4.3630000000000002E-2</v>
      </c>
      <c r="E342">
        <v>4.5760000000000002E-2</v>
      </c>
      <c r="F342">
        <v>22013676.300000001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-0.34055727554179571</v>
      </c>
      <c r="Q342">
        <f t="shared" si="970"/>
        <v>-7496917.6253869981</v>
      </c>
      <c r="R342">
        <f t="shared" si="971"/>
        <v>-730275847.74326575</v>
      </c>
      <c r="S342">
        <f t="shared" si="972"/>
        <v>-7302.7584774326579</v>
      </c>
      <c r="T342">
        <f t="shared" si="973"/>
        <v>-7.3027584774326577</v>
      </c>
    </row>
    <row r="343" spans="1:20" x14ac:dyDescent="0.25">
      <c r="A343" s="5">
        <v>44250</v>
      </c>
      <c r="B343">
        <v>5.1310000000000001E-2</v>
      </c>
      <c r="C343">
        <v>5.1330000000000001E-2</v>
      </c>
      <c r="D343">
        <v>3.6499999999999998E-2</v>
      </c>
      <c r="E343">
        <v>4.5589999999999999E-2</v>
      </c>
      <c r="F343">
        <v>16718983.300000001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0.22589345920431544</v>
      </c>
      <c r="Q343">
        <f t="shared" si="970"/>
        <v>3776708.9720161813</v>
      </c>
      <c r="R343">
        <f t="shared" si="971"/>
        <v>-722778930.11787879</v>
      </c>
      <c r="S343">
        <f t="shared" si="972"/>
        <v>-7227.7893011787883</v>
      </c>
      <c r="T343">
        <f t="shared" si="973"/>
        <v>-7.2277893011787882</v>
      </c>
    </row>
    <row r="344" spans="1:20" x14ac:dyDescent="0.25">
      <c r="A344" s="5">
        <v>44249</v>
      </c>
      <c r="B344">
        <v>5.8139999999999997E-2</v>
      </c>
      <c r="C344">
        <v>5.8880000000000002E-2</v>
      </c>
      <c r="D344">
        <v>4.3479999999999998E-2</v>
      </c>
      <c r="E344">
        <v>5.1279999999999999E-2</v>
      </c>
      <c r="F344">
        <v>16285770.1</v>
      </c>
      <c r="G344">
        <v>0</v>
      </c>
      <c r="L344" t="s">
        <v>7</v>
      </c>
      <c r="M344" t="s">
        <v>7</v>
      </c>
      <c r="N344" t="s">
        <v>8</v>
      </c>
      <c r="P344">
        <f t="shared" si="969"/>
        <v>1.2987012987012905E-2</v>
      </c>
      <c r="Q344">
        <f t="shared" si="970"/>
        <v>211503.50779220645</v>
      </c>
      <c r="R344">
        <f t="shared" si="971"/>
        <v>-726555639.08989501</v>
      </c>
      <c r="S344">
        <f t="shared" si="972"/>
        <v>-7265.5563908989498</v>
      </c>
      <c r="T344">
        <f t="shared" si="973"/>
        <v>-7.2655563908989498</v>
      </c>
    </row>
    <row r="345" spans="1:20" x14ac:dyDescent="0.25">
      <c r="A345" s="5">
        <v>44248</v>
      </c>
      <c r="B345">
        <v>5.1970000000000002E-2</v>
      </c>
      <c r="C345">
        <v>6.2379999999999998E-2</v>
      </c>
      <c r="D345">
        <v>5.0909999999999997E-2</v>
      </c>
      <c r="E345">
        <v>5.8069999999999997E-2</v>
      </c>
      <c r="F345">
        <v>35323887.799999997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0.24847428073234509</v>
      </c>
      <c r="Q345">
        <f t="shared" si="970"/>
        <v>8777077.6137750596</v>
      </c>
      <c r="R345">
        <f t="shared" si="971"/>
        <v>-726767142.59768724</v>
      </c>
      <c r="S345">
        <f t="shared" si="972"/>
        <v>-7267.6714259768723</v>
      </c>
      <c r="T345">
        <f t="shared" si="973"/>
        <v>-7.2676714259768724</v>
      </c>
    </row>
    <row r="346" spans="1:20" x14ac:dyDescent="0.25">
      <c r="A346" s="5">
        <v>44247</v>
      </c>
      <c r="B346">
        <v>5.4449999999999998E-2</v>
      </c>
      <c r="C346">
        <v>5.6000000000000001E-2</v>
      </c>
      <c r="D346">
        <v>0.05</v>
      </c>
      <c r="E346">
        <v>5.1630000000000002E-2</v>
      </c>
      <c r="F346">
        <v>16238994.699999999</v>
      </c>
      <c r="G346">
        <v>0</v>
      </c>
      <c r="L346" t="s">
        <v>7</v>
      </c>
      <c r="M346" t="s">
        <v>8</v>
      </c>
      <c r="N346" t="s">
        <v>8</v>
      </c>
      <c r="P346">
        <f t="shared" si="969"/>
        <v>-0.45666666666666667</v>
      </c>
      <c r="Q346">
        <f t="shared" si="970"/>
        <v>-7415807.5796666667</v>
      </c>
      <c r="R346">
        <f t="shared" si="971"/>
        <v>-735544220.21146226</v>
      </c>
      <c r="S346">
        <f t="shared" si="972"/>
        <v>-7355.4422021146229</v>
      </c>
      <c r="T346">
        <f t="shared" si="973"/>
        <v>-7.3554422021146229</v>
      </c>
    </row>
    <row r="347" spans="1:20" x14ac:dyDescent="0.25">
      <c r="A347" s="5">
        <v>44246</v>
      </c>
      <c r="B347">
        <v>5.4129999999999998E-2</v>
      </c>
      <c r="C347">
        <v>5.5E-2</v>
      </c>
      <c r="D347">
        <v>5.2019999999999997E-2</v>
      </c>
      <c r="E347">
        <v>5.4460000000000001E-2</v>
      </c>
      <c r="F347">
        <v>9674870.5</v>
      </c>
      <c r="G347">
        <v>0</v>
      </c>
      <c r="L347" t="s">
        <v>7</v>
      </c>
      <c r="M347" t="s">
        <v>8</v>
      </c>
      <c r="N347" t="s">
        <v>8</v>
      </c>
      <c r="P347">
        <f t="shared" si="969"/>
        <v>0.63758389261745085</v>
      </c>
      <c r="Q347">
        <f t="shared" si="970"/>
        <v>6168541.5939597432</v>
      </c>
      <c r="R347">
        <f t="shared" si="971"/>
        <v>-728128412.63179564</v>
      </c>
      <c r="S347">
        <f t="shared" si="972"/>
        <v>-7281.2841263179562</v>
      </c>
      <c r="T347">
        <f t="shared" si="973"/>
        <v>-7.2812841263179564</v>
      </c>
    </row>
    <row r="348" spans="1:20" x14ac:dyDescent="0.25">
      <c r="A348" s="5">
        <v>44245</v>
      </c>
      <c r="B348">
        <v>5.3240000000000003E-2</v>
      </c>
      <c r="C348">
        <v>5.67E-2</v>
      </c>
      <c r="D348">
        <v>4.9590000000000002E-2</v>
      </c>
      <c r="E348">
        <v>5.3940000000000002E-2</v>
      </c>
      <c r="F348">
        <v>33799808.799999997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0.22362869198312257</v>
      </c>
      <c r="Q348">
        <f t="shared" si="970"/>
        <v>7558607.0312236352</v>
      </c>
      <c r="R348">
        <f t="shared" si="971"/>
        <v>-734296954.22575533</v>
      </c>
      <c r="S348">
        <f t="shared" si="972"/>
        <v>-7342.9695422575533</v>
      </c>
      <c r="T348">
        <f t="shared" si="973"/>
        <v>-7.3429695422575536</v>
      </c>
    </row>
    <row r="349" spans="1:20" x14ac:dyDescent="0.25">
      <c r="A349" s="5">
        <v>44244</v>
      </c>
      <c r="B349">
        <v>5.135E-2</v>
      </c>
      <c r="C349">
        <v>5.5E-2</v>
      </c>
      <c r="D349">
        <v>4.795E-2</v>
      </c>
      <c r="E349">
        <v>5.3199999999999997E-2</v>
      </c>
      <c r="F349">
        <v>13842537.9</v>
      </c>
      <c r="G349">
        <v>0</v>
      </c>
      <c r="L349" t="s">
        <v>8</v>
      </c>
      <c r="M349" t="s">
        <v>7</v>
      </c>
      <c r="N349" t="s">
        <v>8</v>
      </c>
      <c r="P349">
        <f t="shared" si="969"/>
        <v>0.48936170212765878</v>
      </c>
      <c r="Q349">
        <f t="shared" si="970"/>
        <v>6774007.9085106272</v>
      </c>
      <c r="R349">
        <f t="shared" si="971"/>
        <v>-741855561.25697899</v>
      </c>
      <c r="S349">
        <f t="shared" si="972"/>
        <v>-7418.5556125697894</v>
      </c>
      <c r="T349">
        <f t="shared" si="973"/>
        <v>-7.4185556125697891</v>
      </c>
    </row>
    <row r="350" spans="1:20" x14ac:dyDescent="0.25">
      <c r="A350" s="5">
        <v>44243</v>
      </c>
      <c r="B350">
        <v>5.2749999999999998E-2</v>
      </c>
      <c r="C350">
        <v>5.475E-2</v>
      </c>
      <c r="D350">
        <v>4.8239999999999998E-2</v>
      </c>
      <c r="E350">
        <v>5.0950000000000002E-2</v>
      </c>
      <c r="F350">
        <v>23349113.800000001</v>
      </c>
      <c r="G350">
        <v>0</v>
      </c>
      <c r="L350" t="s">
        <v>7</v>
      </c>
      <c r="M350" t="s">
        <v>7</v>
      </c>
      <c r="N350" t="s">
        <v>8</v>
      </c>
      <c r="P350">
        <f t="shared" si="969"/>
        <v>-0.16743471582181157</v>
      </c>
      <c r="Q350">
        <f t="shared" si="970"/>
        <v>-3909452.2337941392</v>
      </c>
      <c r="R350">
        <f t="shared" si="971"/>
        <v>-748629569.16548967</v>
      </c>
      <c r="S350">
        <f t="shared" si="972"/>
        <v>-7486.2956916548965</v>
      </c>
      <c r="T350">
        <f t="shared" si="973"/>
        <v>-7.4862956916548962</v>
      </c>
    </row>
    <row r="351" spans="1:20" x14ac:dyDescent="0.25">
      <c r="A351" s="5">
        <v>44242</v>
      </c>
      <c r="B351">
        <v>5.6090000000000001E-2</v>
      </c>
      <c r="C351">
        <v>5.8450000000000002E-2</v>
      </c>
      <c r="D351">
        <v>4.8779999999999997E-2</v>
      </c>
      <c r="E351">
        <v>5.3170000000000002E-2</v>
      </c>
      <c r="F351">
        <v>20973845.100000001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-9.2037228541881538E-2</v>
      </c>
      <c r="Q351">
        <f t="shared" si="970"/>
        <v>-1930374.5748707224</v>
      </c>
      <c r="R351">
        <f t="shared" si="971"/>
        <v>-744720116.93169558</v>
      </c>
      <c r="S351">
        <f t="shared" si="972"/>
        <v>-7447.2011693169561</v>
      </c>
      <c r="T351">
        <f t="shared" si="973"/>
        <v>-7.4472011693169557</v>
      </c>
    </row>
    <row r="352" spans="1:20" x14ac:dyDescent="0.25">
      <c r="A352" s="5">
        <v>44241</v>
      </c>
      <c r="B352">
        <v>5.7430000000000002E-2</v>
      </c>
      <c r="C352">
        <v>5.8340000000000003E-2</v>
      </c>
      <c r="D352">
        <v>5.101E-2</v>
      </c>
      <c r="E352">
        <v>5.602E-2</v>
      </c>
      <c r="F352">
        <v>19481348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0.36698499317871713</v>
      </c>
      <c r="Q352">
        <f t="shared" si="970"/>
        <v>7149362.3628922151</v>
      </c>
      <c r="R352">
        <f t="shared" si="971"/>
        <v>-742789742.35682487</v>
      </c>
      <c r="S352">
        <f t="shared" si="972"/>
        <v>-7427.897423568249</v>
      </c>
      <c r="T352">
        <f t="shared" si="973"/>
        <v>-7.4278974235682487</v>
      </c>
    </row>
    <row r="353" spans="1:20" x14ac:dyDescent="0.25">
      <c r="A353" s="5">
        <v>44240</v>
      </c>
      <c r="B353">
        <v>5.7389999999999997E-2</v>
      </c>
      <c r="C353">
        <v>6.2E-2</v>
      </c>
      <c r="D353">
        <v>5.355E-2</v>
      </c>
      <c r="E353">
        <v>5.7169999999999999E-2</v>
      </c>
      <c r="F353">
        <v>19897814.699999999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-0.14319526627218968</v>
      </c>
      <c r="Q353">
        <f t="shared" si="970"/>
        <v>-2849272.8742011897</v>
      </c>
      <c r="R353">
        <f t="shared" si="971"/>
        <v>-749939104.71971714</v>
      </c>
      <c r="S353">
        <f t="shared" si="972"/>
        <v>-7499.3910471971712</v>
      </c>
      <c r="T353">
        <f t="shared" si="973"/>
        <v>-7.4993910471971716</v>
      </c>
    </row>
    <row r="354" spans="1:20" x14ac:dyDescent="0.25">
      <c r="A354" s="5">
        <v>44239</v>
      </c>
      <c r="B354">
        <v>5.5829999999999998E-2</v>
      </c>
      <c r="C354">
        <v>5.8900000000000001E-2</v>
      </c>
      <c r="D354">
        <v>5.2600000000000001E-2</v>
      </c>
      <c r="E354">
        <v>5.6950000000000001E-2</v>
      </c>
      <c r="F354">
        <v>19487166.199999999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0.38095238095238082</v>
      </c>
      <c r="Q354">
        <f t="shared" si="970"/>
        <v>7423682.361904759</v>
      </c>
      <c r="R354">
        <f t="shared" si="971"/>
        <v>-747089831.84551597</v>
      </c>
      <c r="S354">
        <f t="shared" si="972"/>
        <v>-7470.8983184551598</v>
      </c>
      <c r="T354">
        <f t="shared" si="973"/>
        <v>-7.4708983184551601</v>
      </c>
    </row>
    <row r="355" spans="1:20" x14ac:dyDescent="0.25">
      <c r="A355" s="5">
        <v>44238</v>
      </c>
      <c r="B355">
        <v>5.1479999999999998E-2</v>
      </c>
      <c r="C355">
        <v>5.5899999999999998E-2</v>
      </c>
      <c r="D355">
        <v>5.0459999999999998E-2</v>
      </c>
      <c r="E355">
        <v>5.5730000000000002E-2</v>
      </c>
      <c r="F355">
        <v>15673451.6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0.93750000000000122</v>
      </c>
      <c r="Q355">
        <f t="shared" si="970"/>
        <v>14693860.875000019</v>
      </c>
      <c r="R355">
        <f t="shared" si="971"/>
        <v>-754513514.20742071</v>
      </c>
      <c r="S355">
        <f t="shared" si="972"/>
        <v>-7545.1351420742067</v>
      </c>
      <c r="T355">
        <f t="shared" si="973"/>
        <v>-7.5451351420742068</v>
      </c>
    </row>
    <row r="356" spans="1:20" x14ac:dyDescent="0.25">
      <c r="A356" s="5">
        <v>44237</v>
      </c>
      <c r="B356">
        <v>5.1279999999999999E-2</v>
      </c>
      <c r="C356">
        <v>5.4300000000000001E-2</v>
      </c>
      <c r="D356">
        <v>4.4830000000000002E-2</v>
      </c>
      <c r="E356">
        <v>5.1479999999999998E-2</v>
      </c>
      <c r="F356">
        <v>28615397.5</v>
      </c>
      <c r="G356">
        <v>0</v>
      </c>
      <c r="L356" t="s">
        <v>7</v>
      </c>
      <c r="M356" t="s">
        <v>7</v>
      </c>
      <c r="N356" t="s">
        <v>8</v>
      </c>
      <c r="P356">
        <f t="shared" si="969"/>
        <v>0.40443505807814079</v>
      </c>
      <c r="Q356">
        <f t="shared" si="970"/>
        <v>11573069.949841585</v>
      </c>
      <c r="R356">
        <f t="shared" si="971"/>
        <v>-769207375.08242071</v>
      </c>
      <c r="S356">
        <f t="shared" si="972"/>
        <v>-7692.0737508242073</v>
      </c>
      <c r="T356">
        <f t="shared" si="973"/>
        <v>-7.692073750824207</v>
      </c>
    </row>
    <row r="357" spans="1:20" x14ac:dyDescent="0.25">
      <c r="A357" s="5">
        <v>44236</v>
      </c>
      <c r="B357">
        <v>4.727E-2</v>
      </c>
      <c r="C357">
        <v>5.5289999999999999E-2</v>
      </c>
      <c r="D357">
        <v>4.666E-2</v>
      </c>
      <c r="E357">
        <v>5.1119999999999999E-2</v>
      </c>
      <c r="F357">
        <v>49974724.600000001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3.360370799536485E-2</v>
      </c>
      <c r="Q357">
        <f t="shared" si="970"/>
        <v>1679336.0526071766</v>
      </c>
      <c r="R357">
        <f t="shared" si="971"/>
        <v>-780780445.03226233</v>
      </c>
      <c r="S357">
        <f t="shared" si="972"/>
        <v>-7807.8044503226229</v>
      </c>
      <c r="T357">
        <f t="shared" si="973"/>
        <v>-7.8078044503226227</v>
      </c>
    </row>
    <row r="358" spans="1:20" x14ac:dyDescent="0.25">
      <c r="A358" s="5">
        <v>44235</v>
      </c>
      <c r="B358">
        <v>4.1029999999999997E-2</v>
      </c>
      <c r="C358">
        <v>5.1659999999999998E-2</v>
      </c>
      <c r="D358">
        <v>4.0899999999999999E-2</v>
      </c>
      <c r="E358">
        <v>4.7199999999999999E-2</v>
      </c>
      <c r="F358">
        <v>67979939.299999997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0.17100371747211909</v>
      </c>
      <c r="Q358">
        <f t="shared" si="970"/>
        <v>11624822.333829004</v>
      </c>
      <c r="R358">
        <f t="shared" si="971"/>
        <v>-782459781.0848695</v>
      </c>
      <c r="S358">
        <f t="shared" si="972"/>
        <v>-7824.5978108486952</v>
      </c>
      <c r="T358">
        <f t="shared" si="973"/>
        <v>-7.8245978108486955</v>
      </c>
    </row>
    <row r="359" spans="1:20" x14ac:dyDescent="0.25">
      <c r="A359" s="5">
        <v>44234</v>
      </c>
      <c r="B359">
        <v>4.1369999999999997E-2</v>
      </c>
      <c r="C359">
        <v>4.3459999999999999E-2</v>
      </c>
      <c r="D359">
        <v>3.7999999999999999E-2</v>
      </c>
      <c r="E359">
        <v>4.1029999999999997E-2</v>
      </c>
      <c r="F359">
        <v>13212500</v>
      </c>
      <c r="G359">
        <v>0</v>
      </c>
      <c r="L359" t="s">
        <v>8</v>
      </c>
      <c r="M359" t="s">
        <v>7</v>
      </c>
      <c r="N359" t="s">
        <v>8</v>
      </c>
      <c r="P359">
        <f t="shared" si="969"/>
        <v>0.10989010989010924</v>
      </c>
      <c r="Q359">
        <f t="shared" si="970"/>
        <v>1451923.0769230684</v>
      </c>
      <c r="R359">
        <f t="shared" si="971"/>
        <v>-794084603.41869855</v>
      </c>
      <c r="S359">
        <f t="shared" si="972"/>
        <v>-7940.8460341869859</v>
      </c>
      <c r="T359">
        <f t="shared" si="973"/>
        <v>-7.9408460341869862</v>
      </c>
    </row>
    <row r="360" spans="1:20" x14ac:dyDescent="0.25">
      <c r="A360" s="5">
        <v>44233</v>
      </c>
      <c r="B360">
        <v>4.2299999999999997E-2</v>
      </c>
      <c r="C360">
        <v>4.4240000000000002E-2</v>
      </c>
      <c r="D360">
        <v>3.7499999999999999E-2</v>
      </c>
      <c r="E360">
        <v>4.1489999999999999E-2</v>
      </c>
      <c r="F360">
        <v>28880061.800000001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0.18397626112759607</v>
      </c>
      <c r="Q360">
        <f t="shared" si="970"/>
        <v>5313245.791097912</v>
      </c>
      <c r="R360">
        <f t="shared" si="971"/>
        <v>-795536526.49562156</v>
      </c>
      <c r="S360">
        <f t="shared" si="972"/>
        <v>-7955.3652649562155</v>
      </c>
      <c r="T360">
        <f t="shared" si="973"/>
        <v>-7.9553652649562157</v>
      </c>
    </row>
    <row r="361" spans="1:20" x14ac:dyDescent="0.25">
      <c r="A361" s="5">
        <v>44232</v>
      </c>
      <c r="B361">
        <v>3.4950000000000002E-2</v>
      </c>
      <c r="C361">
        <v>4.9489999999999999E-2</v>
      </c>
      <c r="D361">
        <v>3.4340000000000002E-2</v>
      </c>
      <c r="E361">
        <v>4.2479999999999997E-2</v>
      </c>
      <c r="F361">
        <v>78067213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7.458745874587408E-2</v>
      </c>
      <c r="Q361">
        <f t="shared" si="970"/>
        <v>5822835.0290428642</v>
      </c>
      <c r="R361">
        <f t="shared" si="971"/>
        <v>-800849772.28671944</v>
      </c>
      <c r="S361">
        <f t="shared" si="972"/>
        <v>-8008.4977228671942</v>
      </c>
      <c r="T361">
        <f t="shared" si="973"/>
        <v>-8.0084977228671939</v>
      </c>
    </row>
    <row r="362" spans="1:20" x14ac:dyDescent="0.25">
      <c r="A362" s="5">
        <v>44231</v>
      </c>
      <c r="B362">
        <v>3.5009999999999999E-2</v>
      </c>
      <c r="C362">
        <v>3.6720000000000003E-2</v>
      </c>
      <c r="D362">
        <v>3.2539999999999999E-2</v>
      </c>
      <c r="E362">
        <v>3.517E-2</v>
      </c>
      <c r="F362">
        <v>21632328.600000001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0.25837320574162603</v>
      </c>
      <c r="Q362">
        <f t="shared" si="970"/>
        <v>5589214.088038261</v>
      </c>
      <c r="R362">
        <f t="shared" si="971"/>
        <v>-806672607.31576228</v>
      </c>
      <c r="S362">
        <f t="shared" si="972"/>
        <v>-8066.7260731576225</v>
      </c>
      <c r="T362">
        <f t="shared" si="973"/>
        <v>-8.0667260731576231</v>
      </c>
    </row>
    <row r="363" spans="1:20" x14ac:dyDescent="0.25">
      <c r="A363" s="5">
        <v>44230</v>
      </c>
      <c r="B363">
        <v>3.091E-2</v>
      </c>
      <c r="C363">
        <v>3.6139999999999999E-2</v>
      </c>
      <c r="D363">
        <v>3.082E-2</v>
      </c>
      <c r="E363">
        <v>3.5009999999999999E-2</v>
      </c>
      <c r="F363">
        <v>23558658.5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0.57518796992481225</v>
      </c>
      <c r="Q363">
        <f t="shared" si="970"/>
        <v>13550656.956766922</v>
      </c>
      <c r="R363">
        <f t="shared" si="971"/>
        <v>-812261821.40380049</v>
      </c>
      <c r="S363">
        <f t="shared" si="972"/>
        <v>-8122.6182140380051</v>
      </c>
      <c r="T363">
        <f t="shared" si="973"/>
        <v>-8.1226182140380043</v>
      </c>
    </row>
    <row r="364" spans="1:20" x14ac:dyDescent="0.25">
      <c r="A364" s="5">
        <v>44229</v>
      </c>
      <c r="B364">
        <v>2.963E-2</v>
      </c>
      <c r="C364">
        <v>3.2539999999999999E-2</v>
      </c>
      <c r="D364">
        <v>2.9080000000000002E-2</v>
      </c>
      <c r="E364">
        <v>3.091E-2</v>
      </c>
      <c r="F364">
        <v>16806827.300000001</v>
      </c>
      <c r="G364">
        <v>0</v>
      </c>
      <c r="L364" t="s">
        <v>8</v>
      </c>
      <c r="M364" t="s">
        <v>7</v>
      </c>
      <c r="N364" t="s">
        <v>8</v>
      </c>
      <c r="P364">
        <f t="shared" si="969"/>
        <v>5.7803468208092172E-2</v>
      </c>
      <c r="Q364">
        <f t="shared" si="970"/>
        <v>971492.9075144456</v>
      </c>
      <c r="R364">
        <f t="shared" si="971"/>
        <v>-825812478.36056745</v>
      </c>
      <c r="S364">
        <f t="shared" si="972"/>
        <v>-8258.1247836056737</v>
      </c>
      <c r="T364">
        <f t="shared" si="973"/>
        <v>-8.2581247836056733</v>
      </c>
    </row>
    <row r="365" spans="1:20" x14ac:dyDescent="0.25">
      <c r="A365" s="5">
        <v>44228</v>
      </c>
      <c r="B365">
        <v>2.887E-2</v>
      </c>
      <c r="C365">
        <v>3.2009999999999997E-2</v>
      </c>
      <c r="D365">
        <v>2.8199999999999999E-2</v>
      </c>
      <c r="E365">
        <v>2.964E-2</v>
      </c>
      <c r="F365">
        <v>33945787.899999999</v>
      </c>
      <c r="G365">
        <v>0</v>
      </c>
      <c r="L365" t="s">
        <v>7</v>
      </c>
      <c r="M365" t="s">
        <v>7</v>
      </c>
      <c r="N365" t="s">
        <v>8</v>
      </c>
      <c r="P365">
        <f t="shared" si="969"/>
        <v>-0.24409448818897569</v>
      </c>
      <c r="Q365">
        <f t="shared" si="970"/>
        <v>-8285979.7236220241</v>
      </c>
      <c r="R365">
        <f t="shared" si="971"/>
        <v>-826783971.2680819</v>
      </c>
      <c r="S365">
        <f t="shared" si="972"/>
        <v>-8267.8397126808195</v>
      </c>
      <c r="T365">
        <f t="shared" si="973"/>
        <v>-8.2678397126808196</v>
      </c>
    </row>
    <row r="366" spans="1:20" x14ac:dyDescent="0.25">
      <c r="A366" s="5">
        <v>44227</v>
      </c>
      <c r="B366">
        <v>2.9749999999999999E-2</v>
      </c>
      <c r="C366">
        <v>3.2890000000000003E-2</v>
      </c>
      <c r="D366">
        <v>2.784E-2</v>
      </c>
      <c r="E366">
        <v>2.8969999999999999E-2</v>
      </c>
      <c r="F366">
        <v>55964644.200000003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-0.55247524752475308</v>
      </c>
      <c r="Q366">
        <f t="shared" si="970"/>
        <v>-30919080.657029737</v>
      </c>
      <c r="R366">
        <f t="shared" si="971"/>
        <v>-818497991.54445994</v>
      </c>
      <c r="S366">
        <f t="shared" si="972"/>
        <v>-8184.9799154445991</v>
      </c>
      <c r="T366">
        <f t="shared" si="973"/>
        <v>-8.1849799154445986</v>
      </c>
    </row>
    <row r="367" spans="1:20" x14ac:dyDescent="0.25">
      <c r="A367" s="5">
        <v>44226</v>
      </c>
      <c r="B367">
        <v>2.8289999999999999E-2</v>
      </c>
      <c r="C367">
        <v>3.2390000000000002E-2</v>
      </c>
      <c r="D367">
        <v>2.7E-2</v>
      </c>
      <c r="E367">
        <v>2.9690000000000001E-2</v>
      </c>
      <c r="F367">
        <v>34874547.100000001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-1.8552875695732073E-3</v>
      </c>
      <c r="Q367">
        <f t="shared" si="970"/>
        <v>-64702.313729125352</v>
      </c>
      <c r="R367">
        <f t="shared" si="971"/>
        <v>-787578910.88743019</v>
      </c>
      <c r="S367">
        <f t="shared" si="972"/>
        <v>-7875.7891088743017</v>
      </c>
      <c r="T367">
        <f t="shared" si="973"/>
        <v>-7.8757891088743017</v>
      </c>
    </row>
    <row r="368" spans="1:20" x14ac:dyDescent="0.25">
      <c r="A368" s="5">
        <v>44225</v>
      </c>
      <c r="B368">
        <v>2.8060000000000002E-2</v>
      </c>
      <c r="C368">
        <v>3.0099999999999998E-2</v>
      </c>
      <c r="D368">
        <v>2.64E-2</v>
      </c>
      <c r="E368">
        <v>2.8420000000000001E-2</v>
      </c>
      <c r="F368">
        <v>31459171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9.1891891891892868E-2</v>
      </c>
      <c r="Q368">
        <f t="shared" si="970"/>
        <v>2890842.740540571</v>
      </c>
      <c r="R368">
        <f t="shared" si="971"/>
        <v>-787514208.57370102</v>
      </c>
      <c r="S368">
        <f t="shared" si="972"/>
        <v>-7875.1420857370103</v>
      </c>
      <c r="T368">
        <f t="shared" si="973"/>
        <v>-7.8751420857370107</v>
      </c>
    </row>
    <row r="369" spans="1:20" x14ac:dyDescent="0.25">
      <c r="A369" s="5">
        <v>44224</v>
      </c>
      <c r="B369">
        <v>3.099E-2</v>
      </c>
      <c r="C369">
        <v>3.456E-2</v>
      </c>
      <c r="D369">
        <v>2.7830000000000001E-2</v>
      </c>
      <c r="E369">
        <v>2.8299999999999999E-2</v>
      </c>
      <c r="F369">
        <v>93599514.400000006</v>
      </c>
      <c r="G369">
        <v>0</v>
      </c>
      <c r="L369" t="s">
        <v>8</v>
      </c>
      <c r="M369" t="s">
        <v>7</v>
      </c>
      <c r="N369" t="s">
        <v>8</v>
      </c>
      <c r="P369">
        <f t="shared" si="969"/>
        <v>-0.86032689450222932</v>
      </c>
      <c r="Q369">
        <f t="shared" si="970"/>
        <v>-80526179.550668702</v>
      </c>
      <c r="R369">
        <f t="shared" si="971"/>
        <v>-790405051.31424165</v>
      </c>
      <c r="S369">
        <f t="shared" si="972"/>
        <v>-7904.0505131424161</v>
      </c>
      <c r="T369">
        <f t="shared" si="973"/>
        <v>-7.9040505131424164</v>
      </c>
    </row>
    <row r="370" spans="1:20" x14ac:dyDescent="0.25">
      <c r="A370" s="5">
        <v>44223</v>
      </c>
      <c r="B370">
        <v>2.6030000000000001E-2</v>
      </c>
      <c r="C370">
        <v>3.5000000000000003E-2</v>
      </c>
      <c r="D370">
        <v>2.205E-2</v>
      </c>
      <c r="E370">
        <v>3.0980000000000001E-2</v>
      </c>
      <c r="F370">
        <v>86545913.400000006</v>
      </c>
      <c r="G370">
        <v>0</v>
      </c>
      <c r="L370" t="s">
        <v>7</v>
      </c>
      <c r="M370" t="s">
        <v>8</v>
      </c>
      <c r="N370" t="s">
        <v>8</v>
      </c>
      <c r="P370">
        <f t="shared" si="969"/>
        <v>0.37915057915057887</v>
      </c>
      <c r="Q370">
        <f t="shared" si="970"/>
        <v>32813933.188725848</v>
      </c>
      <c r="R370">
        <f t="shared" si="971"/>
        <v>-709878871.76357293</v>
      </c>
      <c r="S370">
        <f t="shared" si="972"/>
        <v>-7098.788717635729</v>
      </c>
      <c r="T370">
        <f t="shared" si="973"/>
        <v>-7.0987887176357294</v>
      </c>
    </row>
    <row r="371" spans="1:20" x14ac:dyDescent="0.25">
      <c r="A371" s="5">
        <v>44222</v>
      </c>
      <c r="B371">
        <v>2.7220000000000001E-2</v>
      </c>
      <c r="C371">
        <v>2.7619999999999999E-2</v>
      </c>
      <c r="D371">
        <v>2.477E-2</v>
      </c>
      <c r="E371">
        <v>2.6030000000000001E-2</v>
      </c>
      <c r="F371">
        <v>7554134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-0.11578947368420953</v>
      </c>
      <c r="Q371">
        <f t="shared" si="970"/>
        <v>-874689.1999999925</v>
      </c>
      <c r="R371">
        <f t="shared" si="971"/>
        <v>-742692804.95229876</v>
      </c>
      <c r="S371">
        <f t="shared" si="972"/>
        <v>-7426.9280495229877</v>
      </c>
      <c r="T371">
        <f t="shared" si="973"/>
        <v>-7.4269280495229877</v>
      </c>
    </row>
    <row r="372" spans="1:20" x14ac:dyDescent="0.25">
      <c r="A372" s="5">
        <v>44221</v>
      </c>
      <c r="B372">
        <v>2.8060000000000002E-2</v>
      </c>
      <c r="C372">
        <v>2.913E-2</v>
      </c>
      <c r="D372">
        <v>2.6370000000000001E-2</v>
      </c>
      <c r="E372">
        <v>2.7220000000000001E-2</v>
      </c>
      <c r="F372">
        <v>59795078.700000003</v>
      </c>
      <c r="G372">
        <v>0</v>
      </c>
      <c r="L372" t="s">
        <v>7</v>
      </c>
      <c r="M372" t="s">
        <v>8</v>
      </c>
      <c r="N372" t="s">
        <v>8</v>
      </c>
      <c r="P372">
        <f t="shared" si="969"/>
        <v>-0.38405797101449241</v>
      </c>
      <c r="Q372">
        <f t="shared" si="970"/>
        <v>-22964776.602173895</v>
      </c>
      <c r="R372">
        <f t="shared" si="971"/>
        <v>-741818115.75229871</v>
      </c>
      <c r="S372">
        <f t="shared" si="972"/>
        <v>-7418.1811575229867</v>
      </c>
      <c r="T372">
        <f t="shared" si="973"/>
        <v>-7.4181811575229863</v>
      </c>
    </row>
    <row r="373" spans="1:20" x14ac:dyDescent="0.25">
      <c r="A373" s="5">
        <v>44220</v>
      </c>
      <c r="B373">
        <v>2.4930000000000001E-2</v>
      </c>
      <c r="C373">
        <v>2.9510000000000002E-2</v>
      </c>
      <c r="D373">
        <v>2.4930000000000001E-2</v>
      </c>
      <c r="E373">
        <v>2.8150000000000001E-2</v>
      </c>
      <c r="F373">
        <v>192760539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0.40611353711790399</v>
      </c>
      <c r="Q373">
        <f t="shared" si="970"/>
        <v>78282664.310043678</v>
      </c>
      <c r="R373">
        <f t="shared" si="971"/>
        <v>-718853339.15012479</v>
      </c>
      <c r="S373">
        <f t="shared" si="972"/>
        <v>-7188.5333915012479</v>
      </c>
      <c r="T373">
        <f t="shared" si="973"/>
        <v>-7.1885333915012479</v>
      </c>
    </row>
    <row r="374" spans="1:20" x14ac:dyDescent="0.25">
      <c r="A374" s="5">
        <v>44219</v>
      </c>
      <c r="B374">
        <v>2.5270000000000001E-2</v>
      </c>
      <c r="C374">
        <v>2.7480000000000001E-2</v>
      </c>
      <c r="D374">
        <v>2.3650000000000001E-2</v>
      </c>
      <c r="E374">
        <v>2.5080000000000002E-2</v>
      </c>
      <c r="F374">
        <v>65393271.200000003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-0.25326370757180122</v>
      </c>
      <c r="Q374">
        <f t="shared" si="970"/>
        <v>-16561742.314360291</v>
      </c>
      <c r="R374">
        <f t="shared" si="971"/>
        <v>-797136003.46016848</v>
      </c>
      <c r="S374">
        <f t="shared" si="972"/>
        <v>-7971.3600346016847</v>
      </c>
      <c r="T374">
        <f t="shared" si="973"/>
        <v>-7.9713600346016849</v>
      </c>
    </row>
    <row r="375" spans="1:20" x14ac:dyDescent="0.25">
      <c r="A375" s="5">
        <v>44218</v>
      </c>
      <c r="B375">
        <v>2.3890000000000002E-2</v>
      </c>
      <c r="C375">
        <v>2.7E-2</v>
      </c>
      <c r="D375">
        <v>2.215E-2</v>
      </c>
      <c r="E375">
        <v>2.5399999999999999E-2</v>
      </c>
      <c r="F375">
        <v>31038724.300000001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0.34020618556701004</v>
      </c>
      <c r="Q375">
        <f t="shared" si="970"/>
        <v>10559565.998969065</v>
      </c>
      <c r="R375">
        <f t="shared" si="971"/>
        <v>-780574261.14580822</v>
      </c>
      <c r="S375">
        <f t="shared" si="972"/>
        <v>-7805.7426114580821</v>
      </c>
      <c r="T375">
        <f t="shared" si="973"/>
        <v>-7.8057426114580819</v>
      </c>
    </row>
    <row r="376" spans="1:20" x14ac:dyDescent="0.25">
      <c r="A376" s="5">
        <v>44217</v>
      </c>
      <c r="B376">
        <v>2.477E-2</v>
      </c>
      <c r="C376">
        <v>2.75E-2</v>
      </c>
      <c r="D376">
        <v>2.2859999999999998E-2</v>
      </c>
      <c r="E376">
        <v>2.4080000000000001E-2</v>
      </c>
      <c r="F376">
        <v>150323080.30000001</v>
      </c>
      <c r="G376">
        <v>0</v>
      </c>
      <c r="L376" t="s">
        <v>8</v>
      </c>
      <c r="M376" t="s">
        <v>8</v>
      </c>
      <c r="N376" t="s">
        <v>8</v>
      </c>
      <c r="P376">
        <f t="shared" si="969"/>
        <v>-0.47413793103448193</v>
      </c>
      <c r="Q376">
        <f t="shared" si="970"/>
        <v>-71273874.280172288</v>
      </c>
      <c r="R376">
        <f t="shared" si="971"/>
        <v>-791133827.1447773</v>
      </c>
      <c r="S376">
        <f t="shared" si="972"/>
        <v>-7911.338271447773</v>
      </c>
      <c r="T376">
        <f t="shared" si="973"/>
        <v>-7.9113382714477734</v>
      </c>
    </row>
    <row r="377" spans="1:20" x14ac:dyDescent="0.25">
      <c r="A377" s="5">
        <v>44216</v>
      </c>
      <c r="B377">
        <v>2.5100000000000001E-2</v>
      </c>
      <c r="C377">
        <v>2.6409999999999999E-2</v>
      </c>
      <c r="D377">
        <v>2.1780000000000001E-2</v>
      </c>
      <c r="E377">
        <v>2.4750000000000001E-2</v>
      </c>
      <c r="F377">
        <v>185577535</v>
      </c>
      <c r="G377">
        <v>0</v>
      </c>
      <c r="L377" t="s">
        <v>8</v>
      </c>
      <c r="M377" t="s">
        <v>7</v>
      </c>
      <c r="N377" t="s">
        <v>8</v>
      </c>
      <c r="P377">
        <f t="shared" si="969"/>
        <v>0.28293736501079969</v>
      </c>
      <c r="Q377">
        <f t="shared" si="970"/>
        <v>52506818.758099452</v>
      </c>
      <c r="R377">
        <f t="shared" si="971"/>
        <v>-719859952.86460507</v>
      </c>
      <c r="S377">
        <f t="shared" si="972"/>
        <v>-7198.5995286460511</v>
      </c>
      <c r="T377">
        <f t="shared" si="973"/>
        <v>-7.1985995286460511</v>
      </c>
    </row>
    <row r="378" spans="1:20" x14ac:dyDescent="0.25">
      <c r="A378" s="5">
        <v>44215</v>
      </c>
      <c r="B378">
        <v>2.3560000000000001E-2</v>
      </c>
      <c r="C378">
        <v>2.5999999999999999E-2</v>
      </c>
      <c r="D378">
        <v>2.3400000000000001E-2</v>
      </c>
      <c r="E378">
        <v>2.512E-2</v>
      </c>
      <c r="F378">
        <v>30902412.899999999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0.32307692307692348</v>
      </c>
      <c r="Q378">
        <f t="shared" si="970"/>
        <v>9983856.4753846265</v>
      </c>
      <c r="R378">
        <f t="shared" si="971"/>
        <v>-772366771.62270451</v>
      </c>
      <c r="S378">
        <f t="shared" si="972"/>
        <v>-7723.6677162270453</v>
      </c>
      <c r="T378">
        <f t="shared" si="973"/>
        <v>-7.7236677162270455</v>
      </c>
    </row>
    <row r="379" spans="1:20" x14ac:dyDescent="0.25">
      <c r="A379" s="5">
        <v>44214</v>
      </c>
      <c r="B379">
        <v>2.1389999999999999E-2</v>
      </c>
      <c r="C379">
        <v>2.4500000000000001E-2</v>
      </c>
      <c r="D379">
        <v>2.12E-2</v>
      </c>
      <c r="E379">
        <v>2.3369999999999998E-2</v>
      </c>
      <c r="F379">
        <v>19157827.399999999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0.31515151515151379</v>
      </c>
      <c r="Q379">
        <f t="shared" si="970"/>
        <v>6037618.332121186</v>
      </c>
      <c r="R379">
        <f t="shared" si="971"/>
        <v>-782350628.0980891</v>
      </c>
      <c r="S379">
        <f t="shared" si="972"/>
        <v>-7823.5062809808906</v>
      </c>
      <c r="T379">
        <f t="shared" si="973"/>
        <v>-7.8235062809808902</v>
      </c>
    </row>
    <row r="380" spans="1:20" x14ac:dyDescent="0.25">
      <c r="A380" s="5">
        <v>44213</v>
      </c>
      <c r="B380">
        <v>2.1260000000000001E-2</v>
      </c>
      <c r="C380">
        <v>2.2679999999999999E-2</v>
      </c>
      <c r="D380">
        <v>1.9890000000000001E-2</v>
      </c>
      <c r="E380">
        <v>2.1389999999999999E-2</v>
      </c>
      <c r="F380">
        <v>19135368.300000001</v>
      </c>
      <c r="G380">
        <v>0</v>
      </c>
      <c r="L380" t="s">
        <v>7</v>
      </c>
      <c r="M380" t="s">
        <v>8</v>
      </c>
      <c r="N380" t="s">
        <v>7</v>
      </c>
      <c r="P380">
        <f t="shared" si="969"/>
        <v>7.5268817204300564E-2</v>
      </c>
      <c r="Q380">
        <f t="shared" si="970"/>
        <v>1440296.5387096677</v>
      </c>
      <c r="R380">
        <f t="shared" si="971"/>
        <v>-788388246.43021023</v>
      </c>
      <c r="S380">
        <f t="shared" si="972"/>
        <v>-7883.8824643021026</v>
      </c>
      <c r="T380">
        <f t="shared" si="973"/>
        <v>-7.8838824643021024</v>
      </c>
    </row>
    <row r="381" spans="1:20" x14ac:dyDescent="0.25">
      <c r="A381" s="5">
        <v>44212</v>
      </c>
      <c r="B381">
        <v>2.068E-2</v>
      </c>
      <c r="C381">
        <v>2.2849999999999999E-2</v>
      </c>
      <c r="D381">
        <v>1.9970000000000002E-2</v>
      </c>
      <c r="E381">
        <v>2.1239999999999998E-2</v>
      </c>
      <c r="F381">
        <v>21020223.199999999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-0.11805555555555688</v>
      </c>
      <c r="Q381">
        <f t="shared" si="970"/>
        <v>-2481554.1277778056</v>
      </c>
      <c r="R381">
        <f t="shared" si="971"/>
        <v>-789828542.96891987</v>
      </c>
      <c r="S381">
        <f t="shared" si="972"/>
        <v>-7898.2854296891983</v>
      </c>
      <c r="T381">
        <f t="shared" si="973"/>
        <v>-7.8982854296891984</v>
      </c>
    </row>
    <row r="382" spans="1:20" x14ac:dyDescent="0.25">
      <c r="A382" s="5">
        <v>44211</v>
      </c>
      <c r="B382">
        <v>2.0299999999999999E-2</v>
      </c>
      <c r="C382">
        <v>2.1319999999999999E-2</v>
      </c>
      <c r="D382">
        <v>1.9109999999999999E-2</v>
      </c>
      <c r="E382">
        <v>2.068E-2</v>
      </c>
      <c r="F382">
        <v>18640811</v>
      </c>
      <c r="G382">
        <v>0</v>
      </c>
      <c r="L382" t="s">
        <v>8</v>
      </c>
      <c r="M382" t="s">
        <v>8</v>
      </c>
      <c r="N382" t="s">
        <v>7</v>
      </c>
      <c r="P382">
        <f t="shared" si="969"/>
        <v>0.42081447963801072</v>
      </c>
      <c r="Q382">
        <f t="shared" si="970"/>
        <v>7844323.1809955062</v>
      </c>
      <c r="R382">
        <f t="shared" si="971"/>
        <v>-787346988.84114206</v>
      </c>
      <c r="S382">
        <f t="shared" si="972"/>
        <v>-7873.4698884114205</v>
      </c>
      <c r="T382">
        <f t="shared" si="973"/>
        <v>-7.87346988841142</v>
      </c>
    </row>
    <row r="383" spans="1:20" x14ac:dyDescent="0.25">
      <c r="A383" s="5">
        <v>44210</v>
      </c>
      <c r="B383">
        <v>2.0539999999999999E-2</v>
      </c>
      <c r="C383">
        <v>2.0840000000000001E-2</v>
      </c>
      <c r="D383">
        <v>1.9689999999999999E-2</v>
      </c>
      <c r="E383">
        <v>2.0279999999999999E-2</v>
      </c>
      <c r="F383">
        <v>8693531.1999999993</v>
      </c>
      <c r="G383">
        <v>0</v>
      </c>
      <c r="L383" t="s">
        <v>8</v>
      </c>
      <c r="M383" t="s">
        <v>7</v>
      </c>
      <c r="N383" t="s">
        <v>7</v>
      </c>
      <c r="P383">
        <f t="shared" si="969"/>
        <v>2.6086956521738029E-2</v>
      </c>
      <c r="Q383">
        <f t="shared" si="970"/>
        <v>226787.770434773</v>
      </c>
      <c r="R383">
        <f t="shared" si="971"/>
        <v>-795191312.02213752</v>
      </c>
      <c r="S383">
        <f t="shared" si="972"/>
        <v>-7951.9131202213748</v>
      </c>
      <c r="T383">
        <f t="shared" si="973"/>
        <v>-7.9519131202213744</v>
      </c>
    </row>
    <row r="384" spans="1:20" x14ac:dyDescent="0.25">
      <c r="A384" s="5">
        <v>44209</v>
      </c>
      <c r="B384">
        <v>1.9599999999999999E-2</v>
      </c>
      <c r="C384">
        <v>2.1000000000000001E-2</v>
      </c>
      <c r="D384">
        <v>1.9E-2</v>
      </c>
      <c r="E384">
        <v>2.0310000000000002E-2</v>
      </c>
      <c r="F384">
        <v>5093528.0999999996</v>
      </c>
      <c r="G384">
        <v>0</v>
      </c>
      <c r="L384" t="s">
        <v>7</v>
      </c>
      <c r="M384" t="s">
        <v>7</v>
      </c>
      <c r="N384" t="s">
        <v>7</v>
      </c>
      <c r="P384">
        <f t="shared" si="969"/>
        <v>0.310000000000001</v>
      </c>
      <c r="Q384">
        <f t="shared" si="970"/>
        <v>1578993.711000005</v>
      </c>
      <c r="R384">
        <f t="shared" si="971"/>
        <v>-795418099.79257226</v>
      </c>
      <c r="S384">
        <f t="shared" si="972"/>
        <v>-7954.1809979257223</v>
      </c>
      <c r="T384">
        <f t="shared" si="973"/>
        <v>-7.9541809979257225</v>
      </c>
    </row>
    <row r="385" spans="1:20" x14ac:dyDescent="0.25">
      <c r="A385" s="5">
        <v>44208</v>
      </c>
      <c r="B385">
        <v>2.0150000000000001E-2</v>
      </c>
      <c r="C385">
        <v>2.0889999999999999E-2</v>
      </c>
      <c r="D385">
        <v>1.8519999999999998E-2</v>
      </c>
      <c r="E385">
        <v>1.9699999999999999E-2</v>
      </c>
      <c r="F385">
        <v>6250526.4000000004</v>
      </c>
      <c r="G385">
        <v>0</v>
      </c>
      <c r="L385" t="s">
        <v>8</v>
      </c>
      <c r="M385" t="s">
        <v>7</v>
      </c>
      <c r="N385" t="s">
        <v>7</v>
      </c>
      <c r="P385">
        <f t="shared" si="969"/>
        <v>-4.219409282700249E-3</v>
      </c>
      <c r="Q385">
        <f t="shared" si="970"/>
        <v>-26373.52911392297</v>
      </c>
      <c r="R385">
        <f t="shared" si="971"/>
        <v>-796997093.50357223</v>
      </c>
      <c r="S385">
        <f t="shared" si="972"/>
        <v>-7969.9709350357225</v>
      </c>
      <c r="T385">
        <f t="shared" si="973"/>
        <v>-7.9699709350357226</v>
      </c>
    </row>
    <row r="386" spans="1:20" x14ac:dyDescent="0.25">
      <c r="A386" s="5">
        <v>44207</v>
      </c>
      <c r="B386">
        <v>2.2679999999999999E-2</v>
      </c>
      <c r="C386">
        <v>2.2890000000000001E-2</v>
      </c>
      <c r="D386">
        <v>1.8180000000000002E-2</v>
      </c>
      <c r="E386">
        <v>2.0230000000000001E-2</v>
      </c>
      <c r="F386">
        <v>12357224.300000001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-0.12951167728237784</v>
      </c>
      <c r="Q386">
        <f t="shared" si="970"/>
        <v>-1600404.8456475574</v>
      </c>
      <c r="R386">
        <f t="shared" si="971"/>
        <v>-796970719.97445834</v>
      </c>
      <c r="S386">
        <f t="shared" si="972"/>
        <v>-7969.7071997445837</v>
      </c>
      <c r="T386">
        <f t="shared" si="973"/>
        <v>-7.9697071997445841</v>
      </c>
    </row>
    <row r="387" spans="1:20" x14ac:dyDescent="0.25">
      <c r="A387" s="5">
        <v>44206</v>
      </c>
      <c r="B387">
        <v>2.3369999999999998E-2</v>
      </c>
      <c r="C387">
        <v>2.4809999999999999E-2</v>
      </c>
      <c r="D387">
        <v>2.0160000000000001E-2</v>
      </c>
      <c r="E387">
        <v>2.283E-2</v>
      </c>
      <c r="F387">
        <v>12408251.6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0.14838709677419354</v>
      </c>
      <c r="Q387">
        <f t="shared" si="970"/>
        <v>1841224.4309677416</v>
      </c>
      <c r="R387">
        <f t="shared" si="971"/>
        <v>-795370315.12881076</v>
      </c>
      <c r="S387">
        <f t="shared" si="972"/>
        <v>-7953.7031512881076</v>
      </c>
      <c r="T387">
        <f t="shared" si="973"/>
        <v>-7.9537031512881073</v>
      </c>
    </row>
    <row r="388" spans="1:20" x14ac:dyDescent="0.25">
      <c r="A388" s="5">
        <v>44205</v>
      </c>
      <c r="B388">
        <v>2.1360000000000001E-2</v>
      </c>
      <c r="C388">
        <v>2.547E-2</v>
      </c>
      <c r="D388">
        <v>2.0750000000000001E-2</v>
      </c>
      <c r="E388">
        <v>2.3369999999999998E-2</v>
      </c>
      <c r="F388">
        <v>26167741.399999999</v>
      </c>
      <c r="G388">
        <v>0</v>
      </c>
      <c r="L388" t="s">
        <v>7</v>
      </c>
      <c r="M388" t="s">
        <v>7</v>
      </c>
      <c r="N388" t="s">
        <v>8</v>
      </c>
      <c r="P388">
        <f t="shared" si="969"/>
        <v>0.11016949152542295</v>
      </c>
      <c r="Q388">
        <f t="shared" si="970"/>
        <v>2882886.7644067593</v>
      </c>
      <c r="R388">
        <f t="shared" si="971"/>
        <v>-797211539.55977845</v>
      </c>
      <c r="S388">
        <f t="shared" si="972"/>
        <v>-7972.1153955977843</v>
      </c>
      <c r="T388">
        <f t="shared" si="973"/>
        <v>-7.9721153955977844</v>
      </c>
    </row>
    <row r="389" spans="1:20" x14ac:dyDescent="0.25">
      <c r="A389" s="5">
        <v>44204</v>
      </c>
      <c r="B389">
        <v>2.1160000000000002E-2</v>
      </c>
      <c r="C389">
        <v>2.6429999999999999E-2</v>
      </c>
      <c r="D389">
        <v>1.9009999999999999E-2</v>
      </c>
      <c r="E389">
        <v>2.1239999999999998E-2</v>
      </c>
      <c r="F389">
        <v>36848945.600000001</v>
      </c>
      <c r="G389">
        <v>0</v>
      </c>
      <c r="L389" t="s">
        <v>8</v>
      </c>
      <c r="M389" t="s">
        <v>8</v>
      </c>
      <c r="N389" t="s">
        <v>8</v>
      </c>
      <c r="P389">
        <f t="shared" si="969"/>
        <v>-0.39892183288409716</v>
      </c>
      <c r="Q389">
        <f t="shared" si="970"/>
        <v>-14699848.918598387</v>
      </c>
      <c r="R389">
        <f t="shared" si="971"/>
        <v>-800094426.32418525</v>
      </c>
      <c r="S389">
        <f t="shared" si="972"/>
        <v>-8000.9442632418522</v>
      </c>
      <c r="T389">
        <f t="shared" si="973"/>
        <v>-8.0009442632418519</v>
      </c>
    </row>
    <row r="390" spans="1:20" x14ac:dyDescent="0.25">
      <c r="A390" s="5">
        <v>44203</v>
      </c>
      <c r="B390">
        <v>2.0029999999999999E-2</v>
      </c>
      <c r="C390">
        <v>2.2069999999999999E-2</v>
      </c>
      <c r="D390">
        <v>1.9890000000000001E-2</v>
      </c>
      <c r="E390">
        <v>2.1160000000000002E-2</v>
      </c>
      <c r="F390">
        <v>13233359.1</v>
      </c>
      <c r="G390">
        <v>0</v>
      </c>
      <c r="L390" t="s">
        <v>8</v>
      </c>
      <c r="M390" t="s">
        <v>8</v>
      </c>
      <c r="N390" t="s">
        <v>7</v>
      </c>
      <c r="P390">
        <f t="shared" ref="P390:P453" si="974">IF(C390=D390,0,((E390-D390)-(C390-E390))/(C390-D390))</f>
        <v>0.16513761467890048</v>
      </c>
      <c r="Q390">
        <f t="shared" ref="Q390:Q453" si="975">F390*P390</f>
        <v>2185325.3559633214</v>
      </c>
      <c r="R390">
        <f t="shared" ref="R390:R453" si="976">R391+Q390</f>
        <v>-785394577.40558684</v>
      </c>
      <c r="S390">
        <f t="shared" ref="S390:S453" si="977">R390/100000</f>
        <v>-7853.9457740558682</v>
      </c>
      <c r="T390">
        <f t="shared" ref="T390:T453" si="978">S390/1000</f>
        <v>-7.8539457740558678</v>
      </c>
    </row>
    <row r="391" spans="1:20" x14ac:dyDescent="0.25">
      <c r="A391" s="5">
        <v>44202</v>
      </c>
      <c r="B391">
        <v>1.865E-2</v>
      </c>
      <c r="C391">
        <v>2.1000000000000001E-2</v>
      </c>
      <c r="D391">
        <v>1.805E-2</v>
      </c>
      <c r="E391">
        <v>1.9959999999999999E-2</v>
      </c>
      <c r="F391">
        <v>37263574.100000001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0.29491525423728659</v>
      </c>
      <c r="Q391">
        <f t="shared" si="975"/>
        <v>10989596.429491468</v>
      </c>
      <c r="R391">
        <f t="shared" si="976"/>
        <v>-787579902.76155019</v>
      </c>
      <c r="S391">
        <f t="shared" si="977"/>
        <v>-7875.7990276155015</v>
      </c>
      <c r="T391">
        <f t="shared" si="978"/>
        <v>-7.8757990276155017</v>
      </c>
    </row>
    <row r="392" spans="1:20" x14ac:dyDescent="0.25">
      <c r="A392" s="5">
        <v>44201</v>
      </c>
      <c r="B392">
        <v>1.8280000000000001E-2</v>
      </c>
      <c r="C392">
        <v>2.0219999999999998E-2</v>
      </c>
      <c r="D392">
        <v>1.6920000000000001E-2</v>
      </c>
      <c r="E392">
        <v>1.8579999999999999E-2</v>
      </c>
      <c r="F392">
        <v>21004372.899999999</v>
      </c>
      <c r="G392">
        <v>0</v>
      </c>
      <c r="L392" t="s">
        <v>8</v>
      </c>
      <c r="M392" t="s">
        <v>8</v>
      </c>
      <c r="N392" t="s">
        <v>7</v>
      </c>
      <c r="P392">
        <f t="shared" si="974"/>
        <v>6.0606060606058186E-3</v>
      </c>
      <c r="Q392">
        <f t="shared" si="975"/>
        <v>127299.2296969646</v>
      </c>
      <c r="R392">
        <f t="shared" si="976"/>
        <v>-798569499.19104171</v>
      </c>
      <c r="S392">
        <f t="shared" si="977"/>
        <v>-7985.6949919104172</v>
      </c>
      <c r="T392">
        <f t="shared" si="978"/>
        <v>-7.9856949919104174</v>
      </c>
    </row>
    <row r="393" spans="1:20" x14ac:dyDescent="0.25">
      <c r="A393" s="5">
        <v>44200</v>
      </c>
      <c r="B393">
        <v>1.7989999999999999E-2</v>
      </c>
      <c r="C393">
        <v>1.9400000000000001E-2</v>
      </c>
      <c r="D393">
        <v>1.6410000000000001E-2</v>
      </c>
      <c r="E393">
        <v>1.8280000000000001E-2</v>
      </c>
      <c r="F393">
        <v>11872591.9</v>
      </c>
      <c r="G393">
        <v>0</v>
      </c>
      <c r="L393" t="s">
        <v>7</v>
      </c>
      <c r="M393" t="s">
        <v>7</v>
      </c>
      <c r="N393" t="s">
        <v>7</v>
      </c>
      <c r="P393">
        <f t="shared" si="974"/>
        <v>0.25083612040133807</v>
      </c>
      <c r="Q393">
        <f t="shared" si="975"/>
        <v>2978074.8913043514</v>
      </c>
      <c r="R393">
        <f t="shared" si="976"/>
        <v>-798696798.4207387</v>
      </c>
      <c r="S393">
        <f t="shared" si="977"/>
        <v>-7986.9679842073874</v>
      </c>
      <c r="T393">
        <f t="shared" si="978"/>
        <v>-7.9869679842073875</v>
      </c>
    </row>
    <row r="394" spans="1:20" x14ac:dyDescent="0.25">
      <c r="A394" s="5">
        <v>44199</v>
      </c>
      <c r="B394">
        <v>1.8890000000000001E-2</v>
      </c>
      <c r="C394">
        <v>1.9E-2</v>
      </c>
      <c r="D394">
        <v>1.7590000000000001E-2</v>
      </c>
      <c r="E394">
        <v>1.7979999999999999E-2</v>
      </c>
      <c r="F394">
        <v>4005300.7</v>
      </c>
      <c r="G394">
        <v>0</v>
      </c>
      <c r="L394" t="s">
        <v>7</v>
      </c>
      <c r="M394" t="s">
        <v>7</v>
      </c>
      <c r="N394" t="s">
        <v>8</v>
      </c>
      <c r="P394">
        <f t="shared" si="974"/>
        <v>-0.44680851063829996</v>
      </c>
      <c r="Q394">
        <f t="shared" si="975"/>
        <v>-1789602.4404255403</v>
      </c>
      <c r="R394">
        <f t="shared" si="976"/>
        <v>-801674873.31204307</v>
      </c>
      <c r="S394">
        <f t="shared" si="977"/>
        <v>-8016.7487331204311</v>
      </c>
      <c r="T394">
        <f t="shared" si="978"/>
        <v>-8.0167487331204317</v>
      </c>
    </row>
    <row r="395" spans="1:20" x14ac:dyDescent="0.25">
      <c r="A395" s="5">
        <v>44198</v>
      </c>
      <c r="B395">
        <v>1.8280000000000001E-2</v>
      </c>
      <c r="C395">
        <v>1.9310000000000001E-2</v>
      </c>
      <c r="D395">
        <v>1.7569999999999999E-2</v>
      </c>
      <c r="E395">
        <v>1.89E-2</v>
      </c>
      <c r="F395">
        <v>14434006.699999999</v>
      </c>
      <c r="G395">
        <v>0</v>
      </c>
      <c r="L395" t="s">
        <v>8</v>
      </c>
      <c r="M395" t="s">
        <v>7</v>
      </c>
      <c r="N395" t="s">
        <v>8</v>
      </c>
      <c r="P395">
        <f t="shared" si="974"/>
        <v>0.52873563218390784</v>
      </c>
      <c r="Q395">
        <f t="shared" si="975"/>
        <v>7631773.657471261</v>
      </c>
      <c r="R395">
        <f t="shared" si="976"/>
        <v>-799885270.87161756</v>
      </c>
      <c r="S395">
        <f t="shared" si="977"/>
        <v>-7998.8527087161756</v>
      </c>
      <c r="T395">
        <f t="shared" si="978"/>
        <v>-7.9988527087161758</v>
      </c>
    </row>
    <row r="396" spans="1:20" x14ac:dyDescent="0.25">
      <c r="A396" s="5">
        <v>44197</v>
      </c>
      <c r="B396">
        <v>1.7229999999999999E-2</v>
      </c>
      <c r="C396">
        <v>1.8769999999999998E-2</v>
      </c>
      <c r="D396">
        <v>1.7000000000000001E-2</v>
      </c>
      <c r="E396">
        <v>1.8280000000000001E-2</v>
      </c>
      <c r="F396">
        <v>4081877.5</v>
      </c>
      <c r="G396">
        <v>0</v>
      </c>
      <c r="L396" t="s">
        <v>8</v>
      </c>
      <c r="M396" t="s">
        <v>7</v>
      </c>
      <c r="N396" t="s">
        <v>8</v>
      </c>
      <c r="P396">
        <f t="shared" si="974"/>
        <v>0.44632768361582131</v>
      </c>
      <c r="Q396">
        <f t="shared" si="975"/>
        <v>1821854.9293785396</v>
      </c>
      <c r="R396">
        <f t="shared" si="976"/>
        <v>-807517044.52908885</v>
      </c>
      <c r="S396">
        <f t="shared" si="977"/>
        <v>-8075.1704452908889</v>
      </c>
      <c r="T396">
        <f t="shared" si="978"/>
        <v>-8.0751704452908886</v>
      </c>
    </row>
    <row r="397" spans="1:20" x14ac:dyDescent="0.25">
      <c r="A397" s="5">
        <v>44196</v>
      </c>
      <c r="B397">
        <v>1.711E-2</v>
      </c>
      <c r="C397">
        <v>1.8100000000000002E-2</v>
      </c>
      <c r="D397">
        <v>1.6910000000000001E-2</v>
      </c>
      <c r="E397">
        <v>1.7010000000000001E-2</v>
      </c>
      <c r="F397">
        <v>5200664.9000000004</v>
      </c>
      <c r="G397">
        <v>0</v>
      </c>
      <c r="L397" t="s">
        <v>8</v>
      </c>
      <c r="M397" t="s">
        <v>7</v>
      </c>
      <c r="N397" t="s">
        <v>8</v>
      </c>
      <c r="P397">
        <f t="shared" si="974"/>
        <v>-0.83193277310924474</v>
      </c>
      <c r="Q397">
        <f t="shared" si="975"/>
        <v>-4326603.5722689135</v>
      </c>
      <c r="R397">
        <f t="shared" si="976"/>
        <v>-809338899.45846736</v>
      </c>
      <c r="S397">
        <f t="shared" si="977"/>
        <v>-8093.388994584674</v>
      </c>
      <c r="T397">
        <f t="shared" si="978"/>
        <v>-8.0933889945846733</v>
      </c>
    </row>
    <row r="398" spans="1:20" x14ac:dyDescent="0.25">
      <c r="A398" s="5">
        <v>44195</v>
      </c>
      <c r="B398">
        <v>1.8360000000000001E-2</v>
      </c>
      <c r="C398">
        <v>1.8939999999999999E-2</v>
      </c>
      <c r="D398">
        <v>1.6889999999999999E-2</v>
      </c>
      <c r="E398">
        <v>1.711E-2</v>
      </c>
      <c r="F398">
        <v>16334496.1</v>
      </c>
      <c r="G398">
        <v>0</v>
      </c>
      <c r="L398" t="s">
        <v>7</v>
      </c>
      <c r="M398" t="s">
        <v>7</v>
      </c>
      <c r="N398" t="s">
        <v>8</v>
      </c>
      <c r="P398">
        <f t="shared" si="974"/>
        <v>-0.78536585365853517</v>
      </c>
      <c r="Q398">
        <f t="shared" si="975"/>
        <v>-12828555.473658513</v>
      </c>
      <c r="R398">
        <f t="shared" si="976"/>
        <v>-805012295.8861984</v>
      </c>
      <c r="S398">
        <f t="shared" si="977"/>
        <v>-8050.1229588619844</v>
      </c>
      <c r="T398">
        <f t="shared" si="978"/>
        <v>-8.0501229588619836</v>
      </c>
    </row>
    <row r="399" spans="1:20" x14ac:dyDescent="0.25">
      <c r="A399" s="5">
        <v>44194</v>
      </c>
      <c r="B399">
        <v>1.874E-2</v>
      </c>
      <c r="C399">
        <v>1.8769999999999998E-2</v>
      </c>
      <c r="D399">
        <v>1.7899999999999999E-2</v>
      </c>
      <c r="E399">
        <v>1.8339999999999999E-2</v>
      </c>
      <c r="F399">
        <v>4776633.0999999996</v>
      </c>
      <c r="G399">
        <v>0</v>
      </c>
      <c r="L399" t="s">
        <v>7</v>
      </c>
      <c r="M399" t="s">
        <v>7</v>
      </c>
      <c r="N399" t="s">
        <v>8</v>
      </c>
      <c r="P399">
        <f t="shared" si="974"/>
        <v>1.149425287356276E-2</v>
      </c>
      <c r="Q399">
        <f t="shared" si="975"/>
        <v>54903.828735629992</v>
      </c>
      <c r="R399">
        <f t="shared" si="976"/>
        <v>-792183740.41253984</v>
      </c>
      <c r="S399">
        <f t="shared" si="977"/>
        <v>-7921.8374041253983</v>
      </c>
      <c r="T399">
        <f t="shared" si="978"/>
        <v>-7.9218374041253981</v>
      </c>
    </row>
    <row r="400" spans="1:20" x14ac:dyDescent="0.25">
      <c r="A400" s="5">
        <v>44193</v>
      </c>
      <c r="B400">
        <v>1.8679999999999999E-2</v>
      </c>
      <c r="C400">
        <v>1.9460000000000002E-2</v>
      </c>
      <c r="D400">
        <v>1.8020000000000001E-2</v>
      </c>
      <c r="E400">
        <v>1.8759999999999999E-2</v>
      </c>
      <c r="F400">
        <v>4620075.8</v>
      </c>
      <c r="G400">
        <v>0</v>
      </c>
      <c r="L400" t="s">
        <v>7</v>
      </c>
      <c r="M400" t="s">
        <v>7</v>
      </c>
      <c r="N400" t="s">
        <v>8</v>
      </c>
      <c r="P400">
        <f t="shared" si="974"/>
        <v>2.777777777777423E-2</v>
      </c>
      <c r="Q400">
        <f t="shared" si="975"/>
        <v>128335.43888887249</v>
      </c>
      <c r="R400">
        <f t="shared" si="976"/>
        <v>-792238644.24127543</v>
      </c>
      <c r="S400">
        <f t="shared" si="977"/>
        <v>-7922.3864424127541</v>
      </c>
      <c r="T400">
        <f t="shared" si="978"/>
        <v>-7.9223864424127539</v>
      </c>
    </row>
    <row r="401" spans="1:20" x14ac:dyDescent="0.25">
      <c r="A401" s="5">
        <v>44192</v>
      </c>
      <c r="B401">
        <v>2.0549999999999999E-2</v>
      </c>
      <c r="C401">
        <v>2.0559999999999998E-2</v>
      </c>
      <c r="D401">
        <v>1.7940000000000001E-2</v>
      </c>
      <c r="E401">
        <v>1.8509999999999999E-2</v>
      </c>
      <c r="F401">
        <v>12780750.1</v>
      </c>
      <c r="G401">
        <v>0</v>
      </c>
      <c r="L401" t="s">
        <v>8</v>
      </c>
      <c r="M401" t="s">
        <v>7</v>
      </c>
      <c r="N401" t="s">
        <v>8</v>
      </c>
      <c r="P401">
        <f t="shared" si="974"/>
        <v>-0.56488549618320749</v>
      </c>
      <c r="Q401">
        <f t="shared" si="975"/>
        <v>-7219660.3618320785</v>
      </c>
      <c r="R401">
        <f t="shared" si="976"/>
        <v>-792366979.68016434</v>
      </c>
      <c r="S401">
        <f t="shared" si="977"/>
        <v>-7923.6697968016433</v>
      </c>
      <c r="T401">
        <f t="shared" si="978"/>
        <v>-7.9236697968016436</v>
      </c>
    </row>
    <row r="402" spans="1:20" x14ac:dyDescent="0.25">
      <c r="A402" s="5">
        <v>44191</v>
      </c>
      <c r="B402">
        <v>1.8169999999999999E-2</v>
      </c>
      <c r="C402">
        <v>2.3E-2</v>
      </c>
      <c r="D402">
        <v>1.7659999999999999E-2</v>
      </c>
      <c r="E402">
        <v>2.036E-2</v>
      </c>
      <c r="F402">
        <v>20730316.100000001</v>
      </c>
      <c r="G402">
        <v>0</v>
      </c>
      <c r="L402" t="s">
        <v>7</v>
      </c>
      <c r="M402" t="s">
        <v>8</v>
      </c>
      <c r="N402" t="s">
        <v>8</v>
      </c>
      <c r="P402">
        <f t="shared" si="974"/>
        <v>1.1235955056179966E-2</v>
      </c>
      <c r="Q402">
        <f t="shared" si="975"/>
        <v>232924.90000000395</v>
      </c>
      <c r="R402">
        <f t="shared" si="976"/>
        <v>-785147319.31833231</v>
      </c>
      <c r="S402">
        <f t="shared" si="977"/>
        <v>-7851.473193183323</v>
      </c>
      <c r="T402">
        <f t="shared" si="978"/>
        <v>-7.851473193183323</v>
      </c>
    </row>
    <row r="403" spans="1:20" x14ac:dyDescent="0.25">
      <c r="A403" s="5">
        <v>44190</v>
      </c>
      <c r="B403">
        <v>1.959E-2</v>
      </c>
      <c r="C403">
        <v>1.959E-2</v>
      </c>
      <c r="D403">
        <v>1.7999999999999999E-2</v>
      </c>
      <c r="E403">
        <v>1.8190000000000001E-2</v>
      </c>
      <c r="F403">
        <v>3740897.8</v>
      </c>
      <c r="G403">
        <v>0</v>
      </c>
      <c r="L403" t="s">
        <v>7</v>
      </c>
      <c r="M403" t="s">
        <v>8</v>
      </c>
      <c r="N403" t="s">
        <v>7</v>
      </c>
      <c r="P403">
        <f t="shared" si="974"/>
        <v>-0.76100628930817293</v>
      </c>
      <c r="Q403">
        <f t="shared" si="975"/>
        <v>-2846846.7534591076</v>
      </c>
      <c r="R403">
        <f t="shared" si="976"/>
        <v>-785380244.21833229</v>
      </c>
      <c r="S403">
        <f t="shared" si="977"/>
        <v>-7853.8024421833225</v>
      </c>
      <c r="T403">
        <f t="shared" si="978"/>
        <v>-7.8538024421833228</v>
      </c>
    </row>
    <row r="404" spans="1:20" x14ac:dyDescent="0.25">
      <c r="A404" s="5">
        <v>44189</v>
      </c>
      <c r="B404">
        <v>1.7319999999999999E-2</v>
      </c>
      <c r="C404">
        <v>1.9900000000000001E-2</v>
      </c>
      <c r="D404">
        <v>1.6959999999999999E-2</v>
      </c>
      <c r="E404">
        <v>1.9449999999999999E-2</v>
      </c>
      <c r="F404">
        <v>14039635.5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0.6938775510204066</v>
      </c>
      <c r="Q404">
        <f t="shared" si="975"/>
        <v>9741787.8979591615</v>
      </c>
      <c r="R404">
        <f t="shared" si="976"/>
        <v>-782533397.46487319</v>
      </c>
      <c r="S404">
        <f t="shared" si="977"/>
        <v>-7825.3339746487318</v>
      </c>
      <c r="T404">
        <f t="shared" si="978"/>
        <v>-7.825333974648732</v>
      </c>
    </row>
    <row r="405" spans="1:20" x14ac:dyDescent="0.25">
      <c r="A405" s="5">
        <v>44188</v>
      </c>
      <c r="B405">
        <v>2.274E-2</v>
      </c>
      <c r="C405">
        <v>2.2890000000000001E-2</v>
      </c>
      <c r="D405">
        <v>1.635E-2</v>
      </c>
      <c r="E405">
        <v>1.7270000000000001E-2</v>
      </c>
      <c r="F405">
        <v>17874849.800000001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-0.71865443425076436</v>
      </c>
      <c r="Q405">
        <f t="shared" si="975"/>
        <v>-12845840.070336388</v>
      </c>
      <c r="R405">
        <f t="shared" si="976"/>
        <v>-792275185.36283231</v>
      </c>
      <c r="S405">
        <f t="shared" si="977"/>
        <v>-7922.7518536283233</v>
      </c>
      <c r="T405">
        <f t="shared" si="978"/>
        <v>-7.9227518536283235</v>
      </c>
    </row>
    <row r="406" spans="1:20" x14ac:dyDescent="0.25">
      <c r="A406" s="5">
        <v>44187</v>
      </c>
      <c r="B406">
        <v>2.3609999999999999E-2</v>
      </c>
      <c r="C406">
        <v>2.3879999999999998E-2</v>
      </c>
      <c r="D406">
        <v>2.2450000000000001E-2</v>
      </c>
      <c r="E406">
        <v>2.274E-2</v>
      </c>
      <c r="F406">
        <v>5529482.5</v>
      </c>
      <c r="G406">
        <v>0</v>
      </c>
      <c r="L406" t="s">
        <v>8</v>
      </c>
      <c r="M406" t="s">
        <v>7</v>
      </c>
      <c r="N406" t="s">
        <v>8</v>
      </c>
      <c r="P406">
        <f t="shared" si="974"/>
        <v>-0.59440559440559559</v>
      </c>
      <c r="Q406">
        <f t="shared" si="975"/>
        <v>-3286755.3321678387</v>
      </c>
      <c r="R406">
        <f t="shared" si="976"/>
        <v>-779429345.29249597</v>
      </c>
      <c r="S406">
        <f t="shared" si="977"/>
        <v>-7794.2934529249596</v>
      </c>
      <c r="T406">
        <f t="shared" si="978"/>
        <v>-7.7942934529249595</v>
      </c>
    </row>
    <row r="407" spans="1:20" x14ac:dyDescent="0.25">
      <c r="A407" s="5">
        <v>44186</v>
      </c>
      <c r="B407">
        <v>2.3009999999999999E-2</v>
      </c>
      <c r="C407">
        <v>2.4889999999999999E-2</v>
      </c>
      <c r="D407">
        <v>2.1579999999999998E-2</v>
      </c>
      <c r="E407">
        <v>2.3599999999999999E-2</v>
      </c>
      <c r="F407">
        <v>9571019.5999999996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0.22054380664652609</v>
      </c>
      <c r="Q407">
        <f t="shared" si="975"/>
        <v>2110829.0960725113</v>
      </c>
      <c r="R407">
        <f t="shared" si="976"/>
        <v>-776142589.9603281</v>
      </c>
      <c r="S407">
        <f t="shared" si="977"/>
        <v>-7761.4258996032813</v>
      </c>
      <c r="T407">
        <f t="shared" si="978"/>
        <v>-7.7614258996032817</v>
      </c>
    </row>
    <row r="408" spans="1:20" x14ac:dyDescent="0.25">
      <c r="A408" s="5">
        <v>44185</v>
      </c>
      <c r="B408">
        <v>2.3900000000000001E-2</v>
      </c>
      <c r="C408">
        <v>2.699E-2</v>
      </c>
      <c r="D408">
        <v>2.232E-2</v>
      </c>
      <c r="E408">
        <v>2.3120000000000002E-2</v>
      </c>
      <c r="F408">
        <v>53053767.100000001</v>
      </c>
      <c r="G408">
        <v>0</v>
      </c>
      <c r="L408" t="s">
        <v>8</v>
      </c>
      <c r="M408" t="s">
        <v>8</v>
      </c>
      <c r="N408" t="s">
        <v>8</v>
      </c>
      <c r="P408">
        <f t="shared" si="974"/>
        <v>-0.65738758029978506</v>
      </c>
      <c r="Q408">
        <f t="shared" si="975"/>
        <v>-34876887.579657346</v>
      </c>
      <c r="R408">
        <f t="shared" si="976"/>
        <v>-778253419.05640066</v>
      </c>
      <c r="S408">
        <f t="shared" si="977"/>
        <v>-7782.5341905640062</v>
      </c>
      <c r="T408">
        <f t="shared" si="978"/>
        <v>-7.7825341905640064</v>
      </c>
    </row>
    <row r="409" spans="1:20" x14ac:dyDescent="0.25">
      <c r="A409" s="5">
        <v>44184</v>
      </c>
      <c r="B409">
        <v>2.358E-2</v>
      </c>
      <c r="C409">
        <v>2.4379999999999999E-2</v>
      </c>
      <c r="D409">
        <v>2.3279999999999999E-2</v>
      </c>
      <c r="E409">
        <v>2.393E-2</v>
      </c>
      <c r="F409">
        <v>5344397.9000000004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0.18181818181818382</v>
      </c>
      <c r="Q409">
        <f t="shared" si="975"/>
        <v>971708.70909091982</v>
      </c>
      <c r="R409">
        <f t="shared" si="976"/>
        <v>-743376531.47674334</v>
      </c>
      <c r="S409">
        <f t="shared" si="977"/>
        <v>-7433.7653147674337</v>
      </c>
      <c r="T409">
        <f t="shared" si="978"/>
        <v>-7.4337653147674336</v>
      </c>
    </row>
    <row r="410" spans="1:20" x14ac:dyDescent="0.25">
      <c r="A410" s="5">
        <v>44183</v>
      </c>
      <c r="B410">
        <v>2.2270000000000002E-2</v>
      </c>
      <c r="C410">
        <v>2.4E-2</v>
      </c>
      <c r="D410">
        <v>2.1919999999999999E-2</v>
      </c>
      <c r="E410">
        <v>2.3570000000000001E-2</v>
      </c>
      <c r="F410">
        <v>12988448.6</v>
      </c>
      <c r="G410">
        <v>0</v>
      </c>
      <c r="L410" t="s">
        <v>8</v>
      </c>
      <c r="M410" t="s">
        <v>8</v>
      </c>
      <c r="N410" t="s">
        <v>7</v>
      </c>
      <c r="P410">
        <f t="shared" si="974"/>
        <v>0.58653846153846212</v>
      </c>
      <c r="Q410">
        <f t="shared" si="975"/>
        <v>7618224.6596153919</v>
      </c>
      <c r="R410">
        <f t="shared" si="976"/>
        <v>-744348240.18583429</v>
      </c>
      <c r="S410">
        <f t="shared" si="977"/>
        <v>-7443.4824018583431</v>
      </c>
      <c r="T410">
        <f t="shared" si="978"/>
        <v>-7.4434824018583434</v>
      </c>
    </row>
    <row r="411" spans="1:20" x14ac:dyDescent="0.25">
      <c r="A411" s="5">
        <v>44182</v>
      </c>
      <c r="B411">
        <v>2.2759999999999999E-2</v>
      </c>
      <c r="C411">
        <v>2.3529999999999999E-2</v>
      </c>
      <c r="D411">
        <v>2.1700000000000001E-2</v>
      </c>
      <c r="E411">
        <v>2.2270000000000002E-2</v>
      </c>
      <c r="F411">
        <v>11062988.5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-0.37704918032786711</v>
      </c>
      <c r="Q411">
        <f t="shared" si="975"/>
        <v>-4171290.74590162</v>
      </c>
      <c r="R411">
        <f t="shared" si="976"/>
        <v>-751966464.84544969</v>
      </c>
      <c r="S411">
        <f t="shared" si="977"/>
        <v>-7519.6646484544972</v>
      </c>
      <c r="T411">
        <f t="shared" si="978"/>
        <v>-7.5196646484544969</v>
      </c>
    </row>
    <row r="412" spans="1:20" x14ac:dyDescent="0.25">
      <c r="A412" s="5">
        <v>44181</v>
      </c>
      <c r="B412">
        <v>2.163E-2</v>
      </c>
      <c r="C412">
        <v>2.2890000000000001E-2</v>
      </c>
      <c r="D412">
        <v>2.0889999999999999E-2</v>
      </c>
      <c r="E412">
        <v>2.2780000000000002E-2</v>
      </c>
      <c r="F412">
        <v>5404003.9000000004</v>
      </c>
      <c r="G412">
        <v>0</v>
      </c>
      <c r="L412" t="s">
        <v>8</v>
      </c>
      <c r="M412" t="s">
        <v>8</v>
      </c>
      <c r="N412" t="s">
        <v>7</v>
      </c>
      <c r="P412">
        <f t="shared" si="974"/>
        <v>0.89000000000000112</v>
      </c>
      <c r="Q412">
        <f t="shared" si="975"/>
        <v>4809563.4710000064</v>
      </c>
      <c r="R412">
        <f t="shared" si="976"/>
        <v>-747795174.0995481</v>
      </c>
      <c r="S412">
        <f t="shared" si="977"/>
        <v>-7477.9517409954806</v>
      </c>
      <c r="T412">
        <f t="shared" si="978"/>
        <v>-7.477951740995481</v>
      </c>
    </row>
    <row r="413" spans="1:20" x14ac:dyDescent="0.25">
      <c r="A413" s="5">
        <v>44180</v>
      </c>
      <c r="B413">
        <v>2.1780000000000001E-2</v>
      </c>
      <c r="C413">
        <v>2.2249999999999999E-2</v>
      </c>
      <c r="D413">
        <v>2.138E-2</v>
      </c>
      <c r="E413">
        <v>2.1680000000000001E-2</v>
      </c>
      <c r="F413">
        <v>3739207.5</v>
      </c>
      <c r="G413">
        <v>0</v>
      </c>
      <c r="L413" t="s">
        <v>7</v>
      </c>
      <c r="M413" t="s">
        <v>8</v>
      </c>
      <c r="N413" t="s">
        <v>7</v>
      </c>
      <c r="P413">
        <f t="shared" si="974"/>
        <v>-0.31034482758620252</v>
      </c>
      <c r="Q413">
        <f t="shared" si="975"/>
        <v>-1160443.7068965354</v>
      </c>
      <c r="R413">
        <f t="shared" si="976"/>
        <v>-752604737.57054806</v>
      </c>
      <c r="S413">
        <f t="shared" si="977"/>
        <v>-7526.0473757054806</v>
      </c>
      <c r="T413">
        <f t="shared" si="978"/>
        <v>-7.5260473757054802</v>
      </c>
    </row>
    <row r="414" spans="1:20" x14ac:dyDescent="0.25">
      <c r="A414" s="5">
        <v>44179</v>
      </c>
      <c r="B414">
        <v>2.1350000000000001E-2</v>
      </c>
      <c r="C414">
        <v>2.24E-2</v>
      </c>
      <c r="D414">
        <v>2.1000000000000001E-2</v>
      </c>
      <c r="E414">
        <v>2.1770000000000001E-2</v>
      </c>
      <c r="F414">
        <v>2416616.9</v>
      </c>
      <c r="G414">
        <v>0</v>
      </c>
      <c r="L414" t="s">
        <v>7</v>
      </c>
      <c r="M414" t="s">
        <v>8</v>
      </c>
      <c r="N414" t="s">
        <v>7</v>
      </c>
      <c r="P414">
        <f t="shared" si="974"/>
        <v>0.10000000000000099</v>
      </c>
      <c r="Q414">
        <f t="shared" si="975"/>
        <v>241661.69000000239</v>
      </c>
      <c r="R414">
        <f t="shared" si="976"/>
        <v>-751444293.86365151</v>
      </c>
      <c r="S414">
        <f t="shared" si="977"/>
        <v>-7514.4429386365155</v>
      </c>
      <c r="T414">
        <f t="shared" si="978"/>
        <v>-7.514442938636515</v>
      </c>
    </row>
    <row r="415" spans="1:20" x14ac:dyDescent="0.25">
      <c r="A415" s="5">
        <v>44178</v>
      </c>
      <c r="B415">
        <v>2.078E-2</v>
      </c>
      <c r="C415">
        <v>2.2499999999999999E-2</v>
      </c>
      <c r="D415">
        <v>2.061E-2</v>
      </c>
      <c r="E415">
        <v>2.1350000000000001E-2</v>
      </c>
      <c r="F415">
        <v>11702032.699999999</v>
      </c>
      <c r="G415">
        <v>0</v>
      </c>
      <c r="L415" t="s">
        <v>8</v>
      </c>
      <c r="M415" t="s">
        <v>8</v>
      </c>
      <c r="N415" t="s">
        <v>7</v>
      </c>
      <c r="P415">
        <f t="shared" si="974"/>
        <v>-0.2169312169312155</v>
      </c>
      <c r="Q415">
        <f t="shared" si="975"/>
        <v>-2538536.1941798772</v>
      </c>
      <c r="R415">
        <f t="shared" si="976"/>
        <v>-751685955.55365157</v>
      </c>
      <c r="S415">
        <f t="shared" si="977"/>
        <v>-7516.8595555365155</v>
      </c>
      <c r="T415">
        <f t="shared" si="978"/>
        <v>-7.5168595555365156</v>
      </c>
    </row>
    <row r="416" spans="1:20" x14ac:dyDescent="0.25">
      <c r="A416" s="5">
        <v>44177</v>
      </c>
      <c r="B416">
        <v>1.9879999999999998E-2</v>
      </c>
      <c r="C416">
        <v>2.172E-2</v>
      </c>
      <c r="D416">
        <v>1.9879999999999998E-2</v>
      </c>
      <c r="E416">
        <v>2.0830000000000001E-2</v>
      </c>
      <c r="F416">
        <v>14924459.199999999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3.2608695652176334E-2</v>
      </c>
      <c r="Q416">
        <f t="shared" si="975"/>
        <v>486667.14782612305</v>
      </c>
      <c r="R416">
        <f t="shared" si="976"/>
        <v>-749147419.35947168</v>
      </c>
      <c r="S416">
        <f t="shared" si="977"/>
        <v>-7491.4741935947168</v>
      </c>
      <c r="T416">
        <f t="shared" si="978"/>
        <v>-7.4914741935947164</v>
      </c>
    </row>
    <row r="417" spans="1:20" x14ac:dyDescent="0.25">
      <c r="A417" s="5">
        <v>44176</v>
      </c>
      <c r="B417">
        <v>2.095E-2</v>
      </c>
      <c r="C417">
        <v>2.095E-2</v>
      </c>
      <c r="D417">
        <v>1.907E-2</v>
      </c>
      <c r="E417">
        <v>1.9959999999999999E-2</v>
      </c>
      <c r="F417">
        <v>4399318.0999999996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-5.3191489361703662E-2</v>
      </c>
      <c r="Q417">
        <f t="shared" si="975"/>
        <v>-234006.28191490035</v>
      </c>
      <c r="R417">
        <f t="shared" si="976"/>
        <v>-749634086.50729775</v>
      </c>
      <c r="S417">
        <f t="shared" si="977"/>
        <v>-7496.340865072978</v>
      </c>
      <c r="T417">
        <f t="shared" si="978"/>
        <v>-7.4963408650729777</v>
      </c>
    </row>
    <row r="418" spans="1:20" x14ac:dyDescent="0.25">
      <c r="A418" s="5">
        <v>44175</v>
      </c>
      <c r="B418">
        <v>2.1579999999999998E-2</v>
      </c>
      <c r="C418">
        <v>2.1579999999999998E-2</v>
      </c>
      <c r="D418">
        <v>2.0459999999999999E-2</v>
      </c>
      <c r="E418">
        <v>2.102E-2</v>
      </c>
      <c r="F418">
        <v>7400401.5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3.0977204928157283E-15</v>
      </c>
      <c r="Q418">
        <f t="shared" si="975"/>
        <v>2.2924375381614254E-8</v>
      </c>
      <c r="R418">
        <f t="shared" si="976"/>
        <v>-749400080.2253828</v>
      </c>
      <c r="S418">
        <f t="shared" si="977"/>
        <v>-7494.0008022538277</v>
      </c>
      <c r="T418">
        <f t="shared" si="978"/>
        <v>-7.4940008022538276</v>
      </c>
    </row>
    <row r="419" spans="1:20" x14ac:dyDescent="0.25">
      <c r="A419" s="5">
        <v>44174</v>
      </c>
      <c r="B419">
        <v>2.1129999999999999E-2</v>
      </c>
      <c r="C419">
        <v>2.1649999999999999E-2</v>
      </c>
      <c r="D419">
        <v>2.002E-2</v>
      </c>
      <c r="E419">
        <v>2.1600000000000001E-2</v>
      </c>
      <c r="F419">
        <v>4009548.6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0.93865030674846872</v>
      </c>
      <c r="Q419">
        <f t="shared" si="975"/>
        <v>3763564.0233128932</v>
      </c>
      <c r="R419">
        <f t="shared" si="976"/>
        <v>-749400080.2253828</v>
      </c>
      <c r="S419">
        <f t="shared" si="977"/>
        <v>-7494.0008022538277</v>
      </c>
      <c r="T419">
        <f t="shared" si="978"/>
        <v>-7.4940008022538276</v>
      </c>
    </row>
    <row r="420" spans="1:20" x14ac:dyDescent="0.25">
      <c r="A420" s="5">
        <v>44173</v>
      </c>
      <c r="B420">
        <v>2.1999999999999999E-2</v>
      </c>
      <c r="C420">
        <v>2.2499999999999999E-2</v>
      </c>
      <c r="D420">
        <v>2.0820000000000002E-2</v>
      </c>
      <c r="E420">
        <v>2.1139999999999999E-2</v>
      </c>
      <c r="F420">
        <v>6746745.7000000002</v>
      </c>
      <c r="G420">
        <v>0</v>
      </c>
      <c r="L420" t="s">
        <v>7</v>
      </c>
      <c r="M420" t="s">
        <v>8</v>
      </c>
      <c r="N420" t="s">
        <v>7</v>
      </c>
      <c r="P420">
        <f t="shared" si="974"/>
        <v>-0.61904761904762162</v>
      </c>
      <c r="Q420">
        <f t="shared" si="975"/>
        <v>-4176556.8619047794</v>
      </c>
      <c r="R420">
        <f t="shared" si="976"/>
        <v>-753163644.24869573</v>
      </c>
      <c r="S420">
        <f t="shared" si="977"/>
        <v>-7531.6364424869571</v>
      </c>
      <c r="T420">
        <f t="shared" si="978"/>
        <v>-7.5316364424869571</v>
      </c>
    </row>
    <row r="421" spans="1:20" x14ac:dyDescent="0.25">
      <c r="A421" s="5">
        <v>44172</v>
      </c>
      <c r="B421">
        <v>2.2749999999999999E-2</v>
      </c>
      <c r="C421">
        <v>2.376E-2</v>
      </c>
      <c r="D421">
        <v>2.145E-2</v>
      </c>
      <c r="E421">
        <v>2.1999999999999999E-2</v>
      </c>
      <c r="F421">
        <v>15138945.6</v>
      </c>
      <c r="G421">
        <v>0</v>
      </c>
      <c r="L421" t="s">
        <v>7</v>
      </c>
      <c r="M421" t="s">
        <v>8</v>
      </c>
      <c r="N421" t="s">
        <v>7</v>
      </c>
      <c r="P421">
        <f t="shared" si="974"/>
        <v>-0.52380952380952506</v>
      </c>
      <c r="Q421">
        <f t="shared" si="975"/>
        <v>-7929923.8857143046</v>
      </c>
      <c r="R421">
        <f t="shared" si="976"/>
        <v>-748987087.38679099</v>
      </c>
      <c r="S421">
        <f t="shared" si="977"/>
        <v>-7489.8708738679097</v>
      </c>
      <c r="T421">
        <f t="shared" si="978"/>
        <v>-7.4898708738679094</v>
      </c>
    </row>
    <row r="422" spans="1:20" x14ac:dyDescent="0.25">
      <c r="A422" s="5">
        <v>44171</v>
      </c>
      <c r="B422">
        <v>2.1499999999999998E-2</v>
      </c>
      <c r="C422">
        <v>2.3980000000000001E-2</v>
      </c>
      <c r="D422">
        <v>2.0830000000000001E-2</v>
      </c>
      <c r="E422">
        <v>2.2579999999999999E-2</v>
      </c>
      <c r="F422">
        <v>25518267.300000001</v>
      </c>
      <c r="G422">
        <v>0</v>
      </c>
      <c r="L422" t="s">
        <v>8</v>
      </c>
      <c r="M422" t="s">
        <v>8</v>
      </c>
      <c r="N422" t="s">
        <v>7</v>
      </c>
      <c r="P422">
        <f t="shared" si="974"/>
        <v>0.11111111111110988</v>
      </c>
      <c r="Q422">
        <f t="shared" si="975"/>
        <v>2835363.033333302</v>
      </c>
      <c r="R422">
        <f t="shared" si="976"/>
        <v>-741057163.5010767</v>
      </c>
      <c r="S422">
        <f t="shared" si="977"/>
        <v>-7410.5716350107668</v>
      </c>
      <c r="T422">
        <f t="shared" si="978"/>
        <v>-7.4105716350107667</v>
      </c>
    </row>
    <row r="423" spans="1:20" x14ac:dyDescent="0.25">
      <c r="A423" s="5">
        <v>44170</v>
      </c>
      <c r="B423">
        <v>2.0879999999999999E-2</v>
      </c>
      <c r="C423">
        <v>2.1600000000000001E-2</v>
      </c>
      <c r="D423">
        <v>2.0820000000000002E-2</v>
      </c>
      <c r="E423">
        <v>2.146E-2</v>
      </c>
      <c r="F423">
        <v>2112000.5</v>
      </c>
      <c r="G423">
        <v>0</v>
      </c>
      <c r="L423" t="s">
        <v>7</v>
      </c>
      <c r="M423" t="s">
        <v>8</v>
      </c>
      <c r="N423" t="s">
        <v>7</v>
      </c>
      <c r="P423">
        <f t="shared" si="974"/>
        <v>0.64102564102563764</v>
      </c>
      <c r="Q423">
        <f t="shared" si="975"/>
        <v>1353846.4743589673</v>
      </c>
      <c r="R423">
        <f t="shared" si="976"/>
        <v>-743892526.53441</v>
      </c>
      <c r="S423">
        <f t="shared" si="977"/>
        <v>-7438.9252653440999</v>
      </c>
      <c r="T423">
        <f t="shared" si="978"/>
        <v>-7.4389252653440998</v>
      </c>
    </row>
    <row r="424" spans="1:20" x14ac:dyDescent="0.25">
      <c r="A424" s="5">
        <v>44169</v>
      </c>
      <c r="B424">
        <v>2.1899999999999999E-2</v>
      </c>
      <c r="C424">
        <v>2.2190000000000001E-2</v>
      </c>
      <c r="D424">
        <v>2.052E-2</v>
      </c>
      <c r="E424">
        <v>2.0959999999999999E-2</v>
      </c>
      <c r="F424">
        <v>4982290.5</v>
      </c>
      <c r="G424">
        <v>0</v>
      </c>
      <c r="L424" t="s">
        <v>7</v>
      </c>
      <c r="M424" t="s">
        <v>8</v>
      </c>
      <c r="N424" t="s">
        <v>7</v>
      </c>
      <c r="P424">
        <f t="shared" si="974"/>
        <v>-0.47305389221556998</v>
      </c>
      <c r="Q424">
        <f t="shared" si="975"/>
        <v>-2356891.9131736583</v>
      </c>
      <c r="R424">
        <f t="shared" si="976"/>
        <v>-745246373.00876892</v>
      </c>
      <c r="S424">
        <f t="shared" si="977"/>
        <v>-7452.4637300876893</v>
      </c>
      <c r="T424">
        <f t="shared" si="978"/>
        <v>-7.4524637300876897</v>
      </c>
    </row>
    <row r="425" spans="1:20" x14ac:dyDescent="0.25">
      <c r="A425" s="5">
        <v>44168</v>
      </c>
      <c r="B425">
        <v>2.2169999999999999E-2</v>
      </c>
      <c r="C425">
        <v>2.2599999999999999E-2</v>
      </c>
      <c r="D425">
        <v>2.1499999999999998E-2</v>
      </c>
      <c r="E425">
        <v>2.1909999999999999E-2</v>
      </c>
      <c r="F425">
        <v>2701833.8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-0.25454545454545358</v>
      </c>
      <c r="Q425">
        <f t="shared" si="975"/>
        <v>-687739.51272727002</v>
      </c>
      <c r="R425">
        <f t="shared" si="976"/>
        <v>-742889481.09559524</v>
      </c>
      <c r="S425">
        <f t="shared" si="977"/>
        <v>-7428.8948109559524</v>
      </c>
      <c r="T425">
        <f t="shared" si="978"/>
        <v>-7.4288948109559527</v>
      </c>
    </row>
    <row r="426" spans="1:20" x14ac:dyDescent="0.25">
      <c r="A426" s="5">
        <v>44167</v>
      </c>
      <c r="B426">
        <v>2.1250000000000002E-2</v>
      </c>
      <c r="C426">
        <v>2.223E-2</v>
      </c>
      <c r="D426">
        <v>2.077E-2</v>
      </c>
      <c r="E426">
        <v>2.2159999999999999E-2</v>
      </c>
      <c r="F426">
        <v>2229844.4</v>
      </c>
      <c r="G426">
        <v>0</v>
      </c>
      <c r="L426" t="s">
        <v>8</v>
      </c>
      <c r="M426" t="s">
        <v>8</v>
      </c>
      <c r="N426" t="s">
        <v>7</v>
      </c>
      <c r="P426">
        <f t="shared" si="974"/>
        <v>0.90410958904109506</v>
      </c>
      <c r="Q426">
        <f t="shared" si="975"/>
        <v>2016023.704109587</v>
      </c>
      <c r="R426">
        <f t="shared" si="976"/>
        <v>-742201741.58286798</v>
      </c>
      <c r="S426">
        <f t="shared" si="977"/>
        <v>-7422.01741582868</v>
      </c>
      <c r="T426">
        <f t="shared" si="978"/>
        <v>-7.4220174158286802</v>
      </c>
    </row>
    <row r="427" spans="1:20" x14ac:dyDescent="0.25">
      <c r="A427" s="5">
        <v>44166</v>
      </c>
      <c r="B427">
        <v>2.2179999999999998E-2</v>
      </c>
      <c r="C427">
        <v>2.2700000000000001E-2</v>
      </c>
      <c r="D427">
        <v>2.0199999999999999E-2</v>
      </c>
      <c r="E427">
        <v>2.138E-2</v>
      </c>
      <c r="F427">
        <v>7164861.2000000002</v>
      </c>
      <c r="G427">
        <v>0</v>
      </c>
      <c r="L427" t="s">
        <v>7</v>
      </c>
      <c r="M427" t="s">
        <v>8</v>
      </c>
      <c r="N427" t="s">
        <v>7</v>
      </c>
      <c r="P427">
        <f t="shared" si="974"/>
        <v>-5.6000000000000445E-2</v>
      </c>
      <c r="Q427">
        <f t="shared" si="975"/>
        <v>-401232.22720000322</v>
      </c>
      <c r="R427">
        <f t="shared" si="976"/>
        <v>-744217765.28697753</v>
      </c>
      <c r="S427">
        <f t="shared" si="977"/>
        <v>-7442.1776528697756</v>
      </c>
      <c r="T427">
        <f t="shared" si="978"/>
        <v>-7.4421776528697752</v>
      </c>
    </row>
    <row r="428" spans="1:20" x14ac:dyDescent="0.25">
      <c r="A428" s="5">
        <v>44165</v>
      </c>
      <c r="B428">
        <v>2.24E-2</v>
      </c>
      <c r="C428">
        <v>2.29E-2</v>
      </c>
      <c r="D428">
        <v>2.112E-2</v>
      </c>
      <c r="E428">
        <v>2.2239999999999999E-2</v>
      </c>
      <c r="F428">
        <v>6863311.4000000004</v>
      </c>
      <c r="G428">
        <v>0</v>
      </c>
      <c r="L428" t="s">
        <v>7</v>
      </c>
      <c r="M428" t="s">
        <v>8</v>
      </c>
      <c r="N428" t="s">
        <v>7</v>
      </c>
      <c r="P428">
        <f t="shared" si="974"/>
        <v>0.25842696629213402</v>
      </c>
      <c r="Q428">
        <f t="shared" si="975"/>
        <v>1773664.7438202193</v>
      </c>
      <c r="R428">
        <f t="shared" si="976"/>
        <v>-743816533.0597775</v>
      </c>
      <c r="S428">
        <f t="shared" si="977"/>
        <v>-7438.1653305977752</v>
      </c>
      <c r="T428">
        <f t="shared" si="978"/>
        <v>-7.4381653305977755</v>
      </c>
    </row>
    <row r="429" spans="1:20" x14ac:dyDescent="0.25">
      <c r="A429" s="5">
        <v>44164</v>
      </c>
      <c r="B429">
        <v>2.0670000000000001E-2</v>
      </c>
      <c r="C429">
        <v>2.2800000000000001E-2</v>
      </c>
      <c r="D429">
        <v>2.0500000000000001E-2</v>
      </c>
      <c r="E429">
        <v>2.2380000000000001E-2</v>
      </c>
      <c r="F429">
        <v>5289680.7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0.63478260869565195</v>
      </c>
      <c r="Q429">
        <f t="shared" si="975"/>
        <v>3357797.3139130422</v>
      </c>
      <c r="R429">
        <f t="shared" si="976"/>
        <v>-745590197.80359769</v>
      </c>
      <c r="S429">
        <f t="shared" si="977"/>
        <v>-7455.9019780359768</v>
      </c>
      <c r="T429">
        <f t="shared" si="978"/>
        <v>-7.4559019780359765</v>
      </c>
    </row>
    <row r="430" spans="1:20" x14ac:dyDescent="0.25">
      <c r="A430" s="5">
        <v>44163</v>
      </c>
      <c r="B430">
        <v>2.0289999999999999E-2</v>
      </c>
      <c r="C430">
        <v>2.12E-2</v>
      </c>
      <c r="D430">
        <v>1.9810000000000001E-2</v>
      </c>
      <c r="E430">
        <v>2.078E-2</v>
      </c>
      <c r="F430">
        <v>2850780.4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0.39568345323740922</v>
      </c>
      <c r="Q430">
        <f t="shared" si="975"/>
        <v>1128006.6330935226</v>
      </c>
      <c r="R430">
        <f t="shared" si="976"/>
        <v>-748947995.11751068</v>
      </c>
      <c r="S430">
        <f t="shared" si="977"/>
        <v>-7489.4799511751071</v>
      </c>
      <c r="T430">
        <f t="shared" si="978"/>
        <v>-7.4894799511751069</v>
      </c>
    </row>
    <row r="431" spans="1:20" x14ac:dyDescent="0.25">
      <c r="A431" s="5">
        <v>44162</v>
      </c>
      <c r="B431">
        <v>1.9980000000000001E-2</v>
      </c>
      <c r="C431">
        <v>2.044E-2</v>
      </c>
      <c r="D431">
        <v>1.9120000000000002E-2</v>
      </c>
      <c r="E431">
        <v>2.0289999999999999E-2</v>
      </c>
      <c r="F431">
        <v>4370720.0999999996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0.77272727272727115</v>
      </c>
      <c r="Q431">
        <f t="shared" si="975"/>
        <v>3377374.6227272656</v>
      </c>
      <c r="R431">
        <f t="shared" si="976"/>
        <v>-750076001.75060415</v>
      </c>
      <c r="S431">
        <f t="shared" si="977"/>
        <v>-7500.7600175060415</v>
      </c>
      <c r="T431">
        <f t="shared" si="978"/>
        <v>-7.5007600175060416</v>
      </c>
    </row>
    <row r="432" spans="1:20" x14ac:dyDescent="0.25">
      <c r="A432" s="5">
        <v>44161</v>
      </c>
      <c r="B432">
        <v>2.291E-2</v>
      </c>
      <c r="C432">
        <v>2.341E-2</v>
      </c>
      <c r="D432">
        <v>1.78E-2</v>
      </c>
      <c r="E432">
        <v>1.9869999999999999E-2</v>
      </c>
      <c r="F432">
        <v>16591580.199999999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-0.26203208556149776</v>
      </c>
      <c r="Q432">
        <f t="shared" si="975"/>
        <v>-4347526.362566852</v>
      </c>
      <c r="R432">
        <f t="shared" si="976"/>
        <v>-753453376.37333143</v>
      </c>
      <c r="S432">
        <f t="shared" si="977"/>
        <v>-7534.5337637333141</v>
      </c>
      <c r="T432">
        <f t="shared" si="978"/>
        <v>-7.5345337637333145</v>
      </c>
    </row>
    <row r="433" spans="1:20" x14ac:dyDescent="0.25">
      <c r="A433" s="5">
        <v>44160</v>
      </c>
      <c r="B433">
        <v>2.213E-2</v>
      </c>
      <c r="C433">
        <v>2.3959999999999999E-2</v>
      </c>
      <c r="D433">
        <v>2.1000000000000001E-2</v>
      </c>
      <c r="E433">
        <v>2.2669999999999999E-2</v>
      </c>
      <c r="F433">
        <v>21440965.399999999</v>
      </c>
      <c r="G433">
        <v>0</v>
      </c>
      <c r="L433" t="s">
        <v>8</v>
      </c>
      <c r="M433" t="s">
        <v>8</v>
      </c>
      <c r="N433" t="s">
        <v>7</v>
      </c>
      <c r="P433">
        <f t="shared" si="974"/>
        <v>0.12837837837837796</v>
      </c>
      <c r="Q433">
        <f t="shared" si="975"/>
        <v>2752556.3689189097</v>
      </c>
      <c r="R433">
        <f t="shared" si="976"/>
        <v>-749105850.0107646</v>
      </c>
      <c r="S433">
        <f t="shared" si="977"/>
        <v>-7491.0585001076461</v>
      </c>
      <c r="T433">
        <f t="shared" si="978"/>
        <v>-7.4910585001076457</v>
      </c>
    </row>
    <row r="434" spans="1:20" x14ac:dyDescent="0.25">
      <c r="A434" s="5">
        <v>44159</v>
      </c>
      <c r="B434">
        <v>2.1340000000000001E-2</v>
      </c>
      <c r="C434">
        <v>2.2870000000000001E-2</v>
      </c>
      <c r="D434">
        <v>2.069E-2</v>
      </c>
      <c r="E434">
        <v>2.2120000000000001E-2</v>
      </c>
      <c r="F434">
        <v>16165730.199999999</v>
      </c>
      <c r="G434">
        <v>0</v>
      </c>
      <c r="L434" t="s">
        <v>8</v>
      </c>
      <c r="M434" t="s">
        <v>8</v>
      </c>
      <c r="N434" t="s">
        <v>7</v>
      </c>
      <c r="P434">
        <f t="shared" si="974"/>
        <v>0.31192660550458701</v>
      </c>
      <c r="Q434">
        <f t="shared" si="975"/>
        <v>5042521.3467889884</v>
      </c>
      <c r="R434">
        <f t="shared" si="976"/>
        <v>-751858406.37968349</v>
      </c>
      <c r="S434">
        <f t="shared" si="977"/>
        <v>-7518.5840637968349</v>
      </c>
      <c r="T434">
        <f t="shared" si="978"/>
        <v>-7.5185840637968351</v>
      </c>
    </row>
    <row r="435" spans="1:20" x14ac:dyDescent="0.25">
      <c r="A435" s="5">
        <v>44158</v>
      </c>
      <c r="B435">
        <v>2.0320000000000001E-2</v>
      </c>
      <c r="C435">
        <v>2.1489999999999999E-2</v>
      </c>
      <c r="D435">
        <v>1.9970000000000002E-2</v>
      </c>
      <c r="E435">
        <v>2.1180000000000001E-2</v>
      </c>
      <c r="F435">
        <v>10295405.1</v>
      </c>
      <c r="G435">
        <v>0</v>
      </c>
      <c r="L435" t="s">
        <v>8</v>
      </c>
      <c r="M435" t="s">
        <v>8</v>
      </c>
      <c r="N435" t="s">
        <v>7</v>
      </c>
      <c r="P435">
        <f t="shared" si="974"/>
        <v>0.59210526315789691</v>
      </c>
      <c r="Q435">
        <f t="shared" si="975"/>
        <v>6095963.5460526533</v>
      </c>
      <c r="R435">
        <f t="shared" si="976"/>
        <v>-756900927.7264725</v>
      </c>
      <c r="S435">
        <f t="shared" si="977"/>
        <v>-7569.0092772647249</v>
      </c>
      <c r="T435">
        <f t="shared" si="978"/>
        <v>-7.5690092772647253</v>
      </c>
    </row>
    <row r="436" spans="1:20" x14ac:dyDescent="0.25">
      <c r="A436" s="5">
        <v>44157</v>
      </c>
      <c r="B436">
        <v>2.0809999999999999E-2</v>
      </c>
      <c r="C436">
        <v>2.1010000000000001E-2</v>
      </c>
      <c r="D436">
        <v>1.9029999999999998E-2</v>
      </c>
      <c r="E436">
        <v>2.0140000000000002E-2</v>
      </c>
      <c r="F436">
        <v>9121303</v>
      </c>
      <c r="G436">
        <v>0</v>
      </c>
      <c r="L436" t="s">
        <v>7</v>
      </c>
      <c r="M436" t="s">
        <v>7</v>
      </c>
      <c r="N436" t="s">
        <v>7</v>
      </c>
      <c r="P436">
        <f t="shared" si="974"/>
        <v>0.12121212121212312</v>
      </c>
      <c r="Q436">
        <f t="shared" si="975"/>
        <v>1105612.4848485023</v>
      </c>
      <c r="R436">
        <f t="shared" si="976"/>
        <v>-762996891.27252519</v>
      </c>
      <c r="S436">
        <f t="shared" si="977"/>
        <v>-7629.9689127252523</v>
      </c>
      <c r="T436">
        <f t="shared" si="978"/>
        <v>-7.6299689127252526</v>
      </c>
    </row>
    <row r="437" spans="1:20" x14ac:dyDescent="0.25">
      <c r="A437" s="5">
        <v>44156</v>
      </c>
      <c r="B437">
        <v>1.9859999999999999E-2</v>
      </c>
      <c r="C437">
        <v>2.1049999999999999E-2</v>
      </c>
      <c r="D437">
        <v>1.9359999999999999E-2</v>
      </c>
      <c r="E437">
        <v>2.0750000000000001E-2</v>
      </c>
      <c r="F437">
        <v>7925960.9000000004</v>
      </c>
      <c r="G437">
        <v>0</v>
      </c>
      <c r="L437" t="s">
        <v>8</v>
      </c>
      <c r="M437" t="s">
        <v>7</v>
      </c>
      <c r="N437" t="s">
        <v>7</v>
      </c>
      <c r="P437">
        <f t="shared" si="974"/>
        <v>0.64497041420118573</v>
      </c>
      <c r="Q437">
        <f t="shared" si="975"/>
        <v>5112010.284615403</v>
      </c>
      <c r="R437">
        <f t="shared" si="976"/>
        <v>-764102503.75737369</v>
      </c>
      <c r="S437">
        <f t="shared" si="977"/>
        <v>-7641.0250375737369</v>
      </c>
      <c r="T437">
        <f t="shared" si="978"/>
        <v>-7.641025037573737</v>
      </c>
    </row>
    <row r="438" spans="1:20" x14ac:dyDescent="0.25">
      <c r="A438" s="5">
        <v>44155</v>
      </c>
      <c r="B438">
        <v>1.9029999999999998E-2</v>
      </c>
      <c r="C438">
        <v>2.0539999999999999E-2</v>
      </c>
      <c r="D438">
        <v>1.8790000000000001E-2</v>
      </c>
      <c r="E438">
        <v>1.9709999999999998E-2</v>
      </c>
      <c r="F438">
        <v>9801344.9000000004</v>
      </c>
      <c r="G438">
        <v>0</v>
      </c>
      <c r="L438" t="s">
        <v>8</v>
      </c>
      <c r="M438" t="s">
        <v>7</v>
      </c>
      <c r="N438" t="s">
        <v>7</v>
      </c>
      <c r="P438">
        <f t="shared" si="974"/>
        <v>5.1428571428569388E-2</v>
      </c>
      <c r="Q438">
        <f t="shared" si="975"/>
        <v>504069.16628569429</v>
      </c>
      <c r="R438">
        <f t="shared" si="976"/>
        <v>-769214514.04198909</v>
      </c>
      <c r="S438">
        <f t="shared" si="977"/>
        <v>-7692.1451404198906</v>
      </c>
      <c r="T438">
        <f t="shared" si="978"/>
        <v>-7.6921451404198908</v>
      </c>
    </row>
    <row r="439" spans="1:20" x14ac:dyDescent="0.25">
      <c r="A439" s="5">
        <v>44154</v>
      </c>
      <c r="B439">
        <v>1.925E-2</v>
      </c>
      <c r="C439">
        <v>1.9650000000000001E-2</v>
      </c>
      <c r="D439">
        <v>1.821E-2</v>
      </c>
      <c r="E439">
        <v>1.9040000000000001E-2</v>
      </c>
      <c r="F439">
        <v>10011664.800000001</v>
      </c>
      <c r="G439">
        <v>0</v>
      </c>
      <c r="L439" t="s">
        <v>7</v>
      </c>
      <c r="M439" t="s">
        <v>7</v>
      </c>
      <c r="N439" t="s">
        <v>7</v>
      </c>
      <c r="P439">
        <f t="shared" si="974"/>
        <v>0.15277777777777876</v>
      </c>
      <c r="Q439">
        <f t="shared" si="975"/>
        <v>1529559.9000000099</v>
      </c>
      <c r="R439">
        <f t="shared" si="976"/>
        <v>-769718583.20827484</v>
      </c>
      <c r="S439">
        <f t="shared" si="977"/>
        <v>-7697.1858320827487</v>
      </c>
      <c r="T439">
        <f t="shared" si="978"/>
        <v>-7.6971858320827486</v>
      </c>
    </row>
    <row r="440" spans="1:20" x14ac:dyDescent="0.25">
      <c r="A440" s="5">
        <v>44153</v>
      </c>
      <c r="B440">
        <v>2.0199999999999999E-2</v>
      </c>
      <c r="C440">
        <v>2.0809999999999999E-2</v>
      </c>
      <c r="D440">
        <v>1.8800000000000001E-2</v>
      </c>
      <c r="E440">
        <v>1.933E-2</v>
      </c>
      <c r="F440">
        <v>15560868.5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-0.47263681592039825</v>
      </c>
      <c r="Q440">
        <f t="shared" si="975"/>
        <v>-7354639.3407960236</v>
      </c>
      <c r="R440">
        <f t="shared" si="976"/>
        <v>-771248143.10827482</v>
      </c>
      <c r="S440">
        <f t="shared" si="977"/>
        <v>-7712.4814310827478</v>
      </c>
      <c r="T440">
        <f t="shared" si="978"/>
        <v>-7.7124814310827476</v>
      </c>
    </row>
    <row r="441" spans="1:20" x14ac:dyDescent="0.25">
      <c r="A441" s="5">
        <v>44152</v>
      </c>
      <c r="B441">
        <v>2.002E-2</v>
      </c>
      <c r="C441">
        <v>2.2200000000000001E-2</v>
      </c>
      <c r="D441">
        <v>1.9189999999999999E-2</v>
      </c>
      <c r="E441">
        <v>2.0199999999999999E-2</v>
      </c>
      <c r="F441">
        <v>18366682.5</v>
      </c>
      <c r="G441">
        <v>0</v>
      </c>
      <c r="L441" t="s">
        <v>7</v>
      </c>
      <c r="M441" t="s">
        <v>7</v>
      </c>
      <c r="N441" t="s">
        <v>8</v>
      </c>
      <c r="P441">
        <f t="shared" si="974"/>
        <v>-0.32890365448505005</v>
      </c>
      <c r="Q441">
        <f t="shared" si="975"/>
        <v>-6040868.9950166149</v>
      </c>
      <c r="R441">
        <f t="shared" si="976"/>
        <v>-763893503.76747882</v>
      </c>
      <c r="S441">
        <f t="shared" si="977"/>
        <v>-7638.935037674788</v>
      </c>
      <c r="T441">
        <f t="shared" si="978"/>
        <v>-7.6389350376747878</v>
      </c>
    </row>
    <row r="442" spans="1:20" x14ac:dyDescent="0.25">
      <c r="A442" s="5">
        <v>44151</v>
      </c>
      <c r="B442">
        <v>2.0539999999999999E-2</v>
      </c>
      <c r="C442">
        <v>2.1510000000000001E-2</v>
      </c>
      <c r="D442">
        <v>1.985E-2</v>
      </c>
      <c r="E442">
        <v>1.9890000000000001E-2</v>
      </c>
      <c r="F442">
        <v>10810475.4</v>
      </c>
      <c r="G442">
        <v>0</v>
      </c>
      <c r="L442" t="s">
        <v>7</v>
      </c>
      <c r="M442" t="s">
        <v>7</v>
      </c>
      <c r="N442" t="s">
        <v>8</v>
      </c>
      <c r="P442">
        <f t="shared" si="974"/>
        <v>-0.9518072289156605</v>
      </c>
      <c r="Q442">
        <f t="shared" si="975"/>
        <v>-10289488.633734917</v>
      </c>
      <c r="R442">
        <f t="shared" si="976"/>
        <v>-757852634.77246225</v>
      </c>
      <c r="S442">
        <f t="shared" si="977"/>
        <v>-7578.5263477246226</v>
      </c>
      <c r="T442">
        <f t="shared" si="978"/>
        <v>-7.5785263477246225</v>
      </c>
    </row>
    <row r="443" spans="1:20" x14ac:dyDescent="0.25">
      <c r="A443" s="5">
        <v>44150</v>
      </c>
      <c r="B443">
        <v>2.1700000000000001E-2</v>
      </c>
      <c r="C443">
        <v>2.3230000000000001E-2</v>
      </c>
      <c r="D443">
        <v>1.9859999999999999E-2</v>
      </c>
      <c r="E443">
        <v>2.0559999999999998E-2</v>
      </c>
      <c r="F443">
        <v>6391117.5999999996</v>
      </c>
      <c r="G443">
        <v>0</v>
      </c>
      <c r="L443" t="s">
        <v>8</v>
      </c>
      <c r="M443" t="s">
        <v>7</v>
      </c>
      <c r="N443" t="s">
        <v>8</v>
      </c>
      <c r="P443">
        <f t="shared" si="974"/>
        <v>-0.5845697329376861</v>
      </c>
      <c r="Q443">
        <f t="shared" si="975"/>
        <v>-3736053.9086053451</v>
      </c>
      <c r="R443">
        <f t="shared" si="976"/>
        <v>-747563146.13872731</v>
      </c>
      <c r="S443">
        <f t="shared" si="977"/>
        <v>-7475.6314613872728</v>
      </c>
      <c r="T443">
        <f t="shared" si="978"/>
        <v>-7.4756314613872732</v>
      </c>
    </row>
    <row r="444" spans="1:20" x14ac:dyDescent="0.25">
      <c r="A444" s="5">
        <v>44149</v>
      </c>
      <c r="B444">
        <v>2.163E-2</v>
      </c>
      <c r="C444">
        <v>2.181E-2</v>
      </c>
      <c r="D444">
        <v>2.06E-2</v>
      </c>
      <c r="E444">
        <v>2.1559999999999999E-2</v>
      </c>
      <c r="F444">
        <v>4250837.9000000004</v>
      </c>
      <c r="G444">
        <v>0</v>
      </c>
      <c r="L444" t="s">
        <v>8</v>
      </c>
      <c r="M444" t="s">
        <v>7</v>
      </c>
      <c r="N444" t="s">
        <v>8</v>
      </c>
      <c r="P444">
        <f t="shared" si="974"/>
        <v>0.58677685950413161</v>
      </c>
      <c r="Q444">
        <f t="shared" si="975"/>
        <v>2494293.313223138</v>
      </c>
      <c r="R444">
        <f t="shared" si="976"/>
        <v>-743827092.23012197</v>
      </c>
      <c r="S444">
        <f t="shared" si="977"/>
        <v>-7438.2709223012198</v>
      </c>
      <c r="T444">
        <f t="shared" si="978"/>
        <v>-7.4382709223012196</v>
      </c>
    </row>
    <row r="445" spans="1:20" x14ac:dyDescent="0.25">
      <c r="A445" s="5">
        <v>44148</v>
      </c>
      <c r="B445">
        <v>2.1190000000000001E-2</v>
      </c>
      <c r="C445">
        <v>2.1950000000000001E-2</v>
      </c>
      <c r="D445">
        <v>2.0119999999999999E-2</v>
      </c>
      <c r="E445">
        <v>2.1690000000000001E-2</v>
      </c>
      <c r="F445">
        <v>8305288.9000000004</v>
      </c>
      <c r="G445">
        <v>0</v>
      </c>
      <c r="L445" t="s">
        <v>7</v>
      </c>
      <c r="M445" t="s">
        <v>7</v>
      </c>
      <c r="N445" t="s">
        <v>8</v>
      </c>
      <c r="P445">
        <f t="shared" si="974"/>
        <v>0.71584699453551959</v>
      </c>
      <c r="Q445">
        <f t="shared" si="975"/>
        <v>5945316.0978142116</v>
      </c>
      <c r="R445">
        <f t="shared" si="976"/>
        <v>-746321385.54334509</v>
      </c>
      <c r="S445">
        <f t="shared" si="977"/>
        <v>-7463.2138554334506</v>
      </c>
      <c r="T445">
        <f t="shared" si="978"/>
        <v>-7.4632138554334508</v>
      </c>
    </row>
    <row r="446" spans="1:20" x14ac:dyDescent="0.25">
      <c r="A446" s="5">
        <v>44147</v>
      </c>
      <c r="B446">
        <v>2.2200000000000001E-2</v>
      </c>
      <c r="C446">
        <v>2.359E-2</v>
      </c>
      <c r="D446">
        <v>2.0930000000000001E-2</v>
      </c>
      <c r="E446">
        <v>2.1170000000000001E-2</v>
      </c>
      <c r="F446">
        <v>13455115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-0.81954887218045058</v>
      </c>
      <c r="Q446">
        <f t="shared" si="975"/>
        <v>-11027124.323308263</v>
      </c>
      <c r="R446">
        <f t="shared" si="976"/>
        <v>-752266701.6411593</v>
      </c>
      <c r="S446">
        <f t="shared" si="977"/>
        <v>-7522.6670164115931</v>
      </c>
      <c r="T446">
        <f t="shared" si="978"/>
        <v>-7.5226670164115932</v>
      </c>
    </row>
    <row r="447" spans="1:20" x14ac:dyDescent="0.25">
      <c r="A447" s="5">
        <v>44146</v>
      </c>
      <c r="B447">
        <v>2.496E-2</v>
      </c>
      <c r="C447">
        <v>2.4989999999999998E-2</v>
      </c>
      <c r="D447">
        <v>2.1680000000000001E-2</v>
      </c>
      <c r="E447">
        <v>2.2179999999999998E-2</v>
      </c>
      <c r="F447">
        <v>14975581.1</v>
      </c>
      <c r="G447">
        <v>0</v>
      </c>
      <c r="L447" t="s">
        <v>7</v>
      </c>
      <c r="M447" t="s">
        <v>7</v>
      </c>
      <c r="N447" t="s">
        <v>8</v>
      </c>
      <c r="P447">
        <f t="shared" si="974"/>
        <v>-0.69788519637462387</v>
      </c>
      <c r="Q447">
        <f t="shared" si="975"/>
        <v>-10451236.356797606</v>
      </c>
      <c r="R447">
        <f t="shared" si="976"/>
        <v>-741239577.31785107</v>
      </c>
      <c r="S447">
        <f t="shared" si="977"/>
        <v>-7412.3957731785104</v>
      </c>
      <c r="T447">
        <f t="shared" si="978"/>
        <v>-7.4123957731785106</v>
      </c>
    </row>
    <row r="448" spans="1:20" x14ac:dyDescent="0.25">
      <c r="A448" s="5">
        <v>44145</v>
      </c>
      <c r="B448">
        <v>2.018E-2</v>
      </c>
      <c r="C448">
        <v>2.64E-2</v>
      </c>
      <c r="D448">
        <v>2.001E-2</v>
      </c>
      <c r="E448">
        <v>2.5069999999999999E-2</v>
      </c>
      <c r="F448">
        <v>38697810.299999997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0.58372456964006214</v>
      </c>
      <c r="Q448">
        <f t="shared" si="975"/>
        <v>22588862.663380262</v>
      </c>
      <c r="R448">
        <f t="shared" si="976"/>
        <v>-730788340.96105349</v>
      </c>
      <c r="S448">
        <f t="shared" si="977"/>
        <v>-7307.8834096105347</v>
      </c>
      <c r="T448">
        <f t="shared" si="978"/>
        <v>-7.3078834096105343</v>
      </c>
    </row>
    <row r="449" spans="1:20" x14ac:dyDescent="0.25">
      <c r="A449" s="5">
        <v>44144</v>
      </c>
      <c r="B449">
        <v>2.0140000000000002E-2</v>
      </c>
      <c r="C449">
        <v>2.0580000000000001E-2</v>
      </c>
      <c r="D449">
        <v>1.9089999999999999E-2</v>
      </c>
      <c r="E449">
        <v>2.0160000000000001E-2</v>
      </c>
      <c r="F449">
        <v>3725645.7</v>
      </c>
      <c r="G449">
        <v>0</v>
      </c>
      <c r="L449" t="s">
        <v>8</v>
      </c>
      <c r="M449" t="s">
        <v>8</v>
      </c>
      <c r="N449" t="s">
        <v>7</v>
      </c>
      <c r="P449">
        <f t="shared" si="974"/>
        <v>0.4362416107382554</v>
      </c>
      <c r="Q449">
        <f t="shared" si="975"/>
        <v>1625281.6812080552</v>
      </c>
      <c r="R449">
        <f t="shared" si="976"/>
        <v>-753377203.62443376</v>
      </c>
      <c r="S449">
        <f t="shared" si="977"/>
        <v>-7533.7720362443379</v>
      </c>
      <c r="T449">
        <f t="shared" si="978"/>
        <v>-7.5337720362443381</v>
      </c>
    </row>
    <row r="450" spans="1:20" x14ac:dyDescent="0.25">
      <c r="A450" s="5">
        <v>44143</v>
      </c>
      <c r="B450">
        <v>1.8800000000000001E-2</v>
      </c>
      <c r="C450">
        <v>2.0760000000000001E-2</v>
      </c>
      <c r="D450">
        <v>1.8630000000000001E-2</v>
      </c>
      <c r="E450">
        <v>2.0080000000000001E-2</v>
      </c>
      <c r="F450">
        <v>6341123.2999999998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0.36150234741784032</v>
      </c>
      <c r="Q450">
        <f t="shared" si="975"/>
        <v>2292330.9582159622</v>
      </c>
      <c r="R450">
        <f t="shared" si="976"/>
        <v>-755002485.30564177</v>
      </c>
      <c r="S450">
        <f t="shared" si="977"/>
        <v>-7550.0248530564177</v>
      </c>
      <c r="T450">
        <f t="shared" si="978"/>
        <v>-7.550024853056418</v>
      </c>
    </row>
    <row r="451" spans="1:20" x14ac:dyDescent="0.25">
      <c r="A451" s="5">
        <v>44142</v>
      </c>
      <c r="B451">
        <v>1.9300000000000001E-2</v>
      </c>
      <c r="C451">
        <v>2.0979999999999999E-2</v>
      </c>
      <c r="D451">
        <v>1.822E-2</v>
      </c>
      <c r="E451">
        <v>1.8749999999999999E-2</v>
      </c>
      <c r="F451">
        <v>10451371.6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-0.61594202898550765</v>
      </c>
      <c r="Q451">
        <f t="shared" si="975"/>
        <v>-6437439.0289855115</v>
      </c>
      <c r="R451">
        <f t="shared" si="976"/>
        <v>-757294816.26385772</v>
      </c>
      <c r="S451">
        <f t="shared" si="977"/>
        <v>-7572.9481626385768</v>
      </c>
      <c r="T451">
        <f t="shared" si="978"/>
        <v>-7.5729481626385766</v>
      </c>
    </row>
    <row r="452" spans="1:20" x14ac:dyDescent="0.25">
      <c r="A452" s="5">
        <v>44141</v>
      </c>
      <c r="B452">
        <v>1.7770000000000001E-2</v>
      </c>
      <c r="C452">
        <v>1.9699999999999999E-2</v>
      </c>
      <c r="D452">
        <v>1.7559999999999999E-2</v>
      </c>
      <c r="E452">
        <v>1.9279999999999999E-2</v>
      </c>
      <c r="F452">
        <v>6752674.0999999996</v>
      </c>
      <c r="G452">
        <v>0</v>
      </c>
      <c r="L452" t="s">
        <v>8</v>
      </c>
      <c r="M452" t="s">
        <v>7</v>
      </c>
      <c r="N452" t="s">
        <v>7</v>
      </c>
      <c r="P452">
        <f t="shared" si="974"/>
        <v>0.60747663551401843</v>
      </c>
      <c r="Q452">
        <f t="shared" si="975"/>
        <v>4102091.7429906521</v>
      </c>
      <c r="R452">
        <f t="shared" si="976"/>
        <v>-750857377.23487222</v>
      </c>
      <c r="S452">
        <f t="shared" si="977"/>
        <v>-7508.5737723487218</v>
      </c>
      <c r="T452">
        <f t="shared" si="978"/>
        <v>-7.508573772348722</v>
      </c>
    </row>
    <row r="453" spans="1:20" x14ac:dyDescent="0.25">
      <c r="A453" s="5">
        <v>44140</v>
      </c>
      <c r="B453">
        <v>1.7510000000000001E-2</v>
      </c>
      <c r="C453">
        <v>1.8530000000000001E-2</v>
      </c>
      <c r="D453">
        <v>1.7100000000000001E-2</v>
      </c>
      <c r="E453">
        <v>1.7729999999999999E-2</v>
      </c>
      <c r="F453">
        <v>4874705.9000000004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-0.11888111888112125</v>
      </c>
      <c r="Q453">
        <f t="shared" si="975"/>
        <v>-579510.49160840327</v>
      </c>
      <c r="R453">
        <f t="shared" si="976"/>
        <v>-754959468.97786283</v>
      </c>
      <c r="S453">
        <f t="shared" si="977"/>
        <v>-7549.594689778628</v>
      </c>
      <c r="T453">
        <f t="shared" si="978"/>
        <v>-7.5495946897786279</v>
      </c>
    </row>
    <row r="454" spans="1:20" x14ac:dyDescent="0.25">
      <c r="A454" s="5">
        <v>44139</v>
      </c>
      <c r="B454">
        <v>1.7239999999999998E-2</v>
      </c>
      <c r="C454">
        <v>1.7840000000000002E-2</v>
      </c>
      <c r="D454">
        <v>1.686E-2</v>
      </c>
      <c r="E454">
        <v>1.7469999999999999E-2</v>
      </c>
      <c r="F454">
        <v>1418077.7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0.24489795918367013</v>
      </c>
      <c r="Q454">
        <f t="shared" ref="Q454:Q517" si="980">F454*P454</f>
        <v>347284.33469387284</v>
      </c>
      <c r="R454">
        <f t="shared" ref="R454:R517" si="981">R455+Q454</f>
        <v>-754379958.48625445</v>
      </c>
      <c r="S454">
        <f t="shared" ref="S454:S517" si="982">R454/100000</f>
        <v>-7543.7995848625442</v>
      </c>
      <c r="T454">
        <f t="shared" ref="T454:T517" si="983">S454/1000</f>
        <v>-7.5437995848625441</v>
      </c>
    </row>
    <row r="455" spans="1:20" x14ac:dyDescent="0.25">
      <c r="A455" s="5">
        <v>44138</v>
      </c>
      <c r="B455">
        <v>1.8280000000000001E-2</v>
      </c>
      <c r="C455">
        <v>1.8700000000000001E-2</v>
      </c>
      <c r="D455">
        <v>1.687E-2</v>
      </c>
      <c r="E455">
        <v>1.7219999999999999E-2</v>
      </c>
      <c r="F455">
        <v>10234066.300000001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-0.617486338797815</v>
      </c>
      <c r="Q455">
        <f t="shared" si="980"/>
        <v>-6319396.1306011016</v>
      </c>
      <c r="R455">
        <f t="shared" si="981"/>
        <v>-754727242.82094836</v>
      </c>
      <c r="S455">
        <f t="shared" si="982"/>
        <v>-7547.2724282094832</v>
      </c>
      <c r="T455">
        <f t="shared" si="983"/>
        <v>-7.5472724282094834</v>
      </c>
    </row>
    <row r="456" spans="1:20" x14ac:dyDescent="0.25">
      <c r="A456" s="5">
        <v>44137</v>
      </c>
      <c r="B456">
        <v>1.8409999999999999E-2</v>
      </c>
      <c r="C456">
        <v>1.8509999999999999E-2</v>
      </c>
      <c r="D456">
        <v>1.7610000000000001E-2</v>
      </c>
      <c r="E456">
        <v>1.8319999999999999E-2</v>
      </c>
      <c r="F456">
        <v>3790374</v>
      </c>
      <c r="G456">
        <v>0</v>
      </c>
      <c r="L456" t="s">
        <v>7</v>
      </c>
      <c r="M456" t="s">
        <v>8</v>
      </c>
      <c r="N456" t="s">
        <v>7</v>
      </c>
      <c r="P456">
        <f t="shared" si="979"/>
        <v>0.57777777777777861</v>
      </c>
      <c r="Q456">
        <f t="shared" si="980"/>
        <v>2189993.86666667</v>
      </c>
      <c r="R456">
        <f t="shared" si="981"/>
        <v>-748407846.69034731</v>
      </c>
      <c r="S456">
        <f t="shared" si="982"/>
        <v>-7484.0784669034729</v>
      </c>
      <c r="T456">
        <f t="shared" si="983"/>
        <v>-7.4840784669034726</v>
      </c>
    </row>
    <row r="457" spans="1:20" x14ac:dyDescent="0.25">
      <c r="A457" s="5">
        <v>44136</v>
      </c>
      <c r="B457">
        <v>1.9480000000000001E-2</v>
      </c>
      <c r="C457">
        <v>1.9640000000000001E-2</v>
      </c>
      <c r="D457">
        <v>1.823E-2</v>
      </c>
      <c r="E457">
        <v>1.8409999999999999E-2</v>
      </c>
      <c r="F457">
        <v>5225404.5</v>
      </c>
      <c r="G457">
        <v>0</v>
      </c>
      <c r="L457" t="s">
        <v>7</v>
      </c>
      <c r="M457" t="s">
        <v>8</v>
      </c>
      <c r="N457" t="s">
        <v>7</v>
      </c>
      <c r="P457">
        <f t="shared" si="979"/>
        <v>-0.74468085106383064</v>
      </c>
      <c r="Q457">
        <f t="shared" si="980"/>
        <v>-3891258.6702127703</v>
      </c>
      <c r="R457">
        <f t="shared" si="981"/>
        <v>-750597840.55701399</v>
      </c>
      <c r="S457">
        <f t="shared" si="982"/>
        <v>-7505.9784055701402</v>
      </c>
      <c r="T457">
        <f t="shared" si="983"/>
        <v>-7.50597840557014</v>
      </c>
    </row>
    <row r="458" spans="1:20" x14ac:dyDescent="0.25">
      <c r="A458" s="5">
        <v>44135</v>
      </c>
      <c r="B458">
        <v>1.695E-2</v>
      </c>
      <c r="C458">
        <v>2.1000000000000001E-2</v>
      </c>
      <c r="D458">
        <v>1.695E-2</v>
      </c>
      <c r="E458">
        <v>1.9369999999999998E-2</v>
      </c>
      <c r="F458">
        <v>18170677.300000001</v>
      </c>
      <c r="G458">
        <v>0</v>
      </c>
      <c r="L458" t="s">
        <v>8</v>
      </c>
      <c r="M458" t="s">
        <v>8</v>
      </c>
      <c r="N458" t="s">
        <v>7</v>
      </c>
      <c r="P458">
        <f t="shared" si="979"/>
        <v>0.19506172839506056</v>
      </c>
      <c r="Q458">
        <f t="shared" si="980"/>
        <v>3544403.7202468924</v>
      </c>
      <c r="R458">
        <f t="shared" si="981"/>
        <v>-746706581.88680124</v>
      </c>
      <c r="S458">
        <f t="shared" si="982"/>
        <v>-7467.0658188680127</v>
      </c>
      <c r="T458">
        <f t="shared" si="983"/>
        <v>-7.4670658188680124</v>
      </c>
    </row>
    <row r="459" spans="1:20" x14ac:dyDescent="0.25">
      <c r="A459" s="5">
        <v>44134</v>
      </c>
      <c r="B459">
        <v>1.695E-2</v>
      </c>
      <c r="C459">
        <v>1.78E-2</v>
      </c>
      <c r="D459">
        <v>1.5270000000000001E-2</v>
      </c>
      <c r="E459">
        <v>1.695E-2</v>
      </c>
      <c r="F459">
        <v>7122084.5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0.32806324110671914</v>
      </c>
      <c r="Q459">
        <f t="shared" si="980"/>
        <v>2336494.1245059273</v>
      </c>
      <c r="R459">
        <f t="shared" si="981"/>
        <v>-750250985.60704815</v>
      </c>
      <c r="S459">
        <f t="shared" si="982"/>
        <v>-7502.5098560704819</v>
      </c>
      <c r="T459">
        <f t="shared" si="983"/>
        <v>-7.5025098560704819</v>
      </c>
    </row>
    <row r="460" spans="1:20" x14ac:dyDescent="0.25">
      <c r="A460" s="5">
        <v>44133</v>
      </c>
      <c r="B460">
        <v>1.755E-2</v>
      </c>
      <c r="C460">
        <v>2.0400000000000001E-2</v>
      </c>
      <c r="D460">
        <v>1.6799999999999999E-2</v>
      </c>
      <c r="E460">
        <v>1.703E-2</v>
      </c>
      <c r="F460">
        <v>13463386.1</v>
      </c>
      <c r="G460">
        <v>0</v>
      </c>
      <c r="L460" t="s">
        <v>8</v>
      </c>
      <c r="M460" t="s">
        <v>8</v>
      </c>
      <c r="N460" t="s">
        <v>7</v>
      </c>
      <c r="P460">
        <f t="shared" si="979"/>
        <v>-0.87222222222222179</v>
      </c>
      <c r="Q460">
        <f t="shared" si="980"/>
        <v>-11743064.542777771</v>
      </c>
      <c r="R460">
        <f t="shared" si="981"/>
        <v>-752587479.73155403</v>
      </c>
      <c r="S460">
        <f t="shared" si="982"/>
        <v>-7525.8747973155405</v>
      </c>
      <c r="T460">
        <f t="shared" si="983"/>
        <v>-7.5258747973155407</v>
      </c>
    </row>
    <row r="461" spans="1:20" x14ac:dyDescent="0.25">
      <c r="A461" s="5">
        <v>44132</v>
      </c>
      <c r="B461">
        <v>1.7770000000000001E-2</v>
      </c>
      <c r="C461">
        <v>1.8010000000000002E-2</v>
      </c>
      <c r="D461">
        <v>1.6910000000000001E-2</v>
      </c>
      <c r="E461">
        <v>1.745E-2</v>
      </c>
      <c r="F461">
        <v>5389093.2999999998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-1.8181818181820589E-2</v>
      </c>
      <c r="Q461">
        <f t="shared" si="980"/>
        <v>-97983.514545467508</v>
      </c>
      <c r="R461">
        <f t="shared" si="981"/>
        <v>-740844415.18877625</v>
      </c>
      <c r="S461">
        <f t="shared" si="982"/>
        <v>-7408.4441518877629</v>
      </c>
      <c r="T461">
        <f t="shared" si="983"/>
        <v>-7.4084441518877631</v>
      </c>
    </row>
    <row r="462" spans="1:20" x14ac:dyDescent="0.25">
      <c r="A462" s="5">
        <v>44131</v>
      </c>
      <c r="B462">
        <v>1.8509999999999999E-2</v>
      </c>
      <c r="C462">
        <v>1.8769999999999998E-2</v>
      </c>
      <c r="D462">
        <v>1.763E-2</v>
      </c>
      <c r="E462">
        <v>1.7690000000000001E-2</v>
      </c>
      <c r="F462">
        <v>4480924.7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-0.89473684210526128</v>
      </c>
      <c r="Q462">
        <f t="shared" si="980"/>
        <v>-4009248.4157894654</v>
      </c>
      <c r="R462">
        <f t="shared" si="981"/>
        <v>-740746431.67423081</v>
      </c>
      <c r="S462">
        <f t="shared" si="982"/>
        <v>-7407.4643167423083</v>
      </c>
      <c r="T462">
        <f t="shared" si="983"/>
        <v>-7.407464316742308</v>
      </c>
    </row>
    <row r="463" spans="1:20" x14ac:dyDescent="0.25">
      <c r="A463" s="5">
        <v>44130</v>
      </c>
      <c r="B463">
        <v>1.873E-2</v>
      </c>
      <c r="C463">
        <v>1.9009999999999999E-2</v>
      </c>
      <c r="D463">
        <v>1.84E-2</v>
      </c>
      <c r="E463">
        <v>1.8519999999999998E-2</v>
      </c>
      <c r="F463">
        <v>2589163.2000000002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-0.60655737704918467</v>
      </c>
      <c r="Q463">
        <f t="shared" si="980"/>
        <v>-1570476.0393442737</v>
      </c>
      <c r="R463">
        <f t="shared" si="981"/>
        <v>-736737183.25844133</v>
      </c>
      <c r="S463">
        <f t="shared" si="982"/>
        <v>-7367.3718325844129</v>
      </c>
      <c r="T463">
        <f t="shared" si="983"/>
        <v>-7.3673718325844133</v>
      </c>
    </row>
    <row r="464" spans="1:20" x14ac:dyDescent="0.25">
      <c r="A464" s="5">
        <v>44129</v>
      </c>
      <c r="B464">
        <v>1.9109999999999999E-2</v>
      </c>
      <c r="C464">
        <v>1.9269999999999999E-2</v>
      </c>
      <c r="D464">
        <v>1.8550000000000001E-2</v>
      </c>
      <c r="E464">
        <v>1.8780000000000002E-2</v>
      </c>
      <c r="F464">
        <v>3752175.7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-0.36111111111110683</v>
      </c>
      <c r="Q464">
        <f t="shared" si="980"/>
        <v>-1354952.336111095</v>
      </c>
      <c r="R464">
        <f t="shared" si="981"/>
        <v>-735166707.21909702</v>
      </c>
      <c r="S464">
        <f t="shared" si="982"/>
        <v>-7351.6670721909704</v>
      </c>
      <c r="T464">
        <f t="shared" si="983"/>
        <v>-7.3516670721909705</v>
      </c>
    </row>
    <row r="465" spans="1:20" x14ac:dyDescent="0.25">
      <c r="A465" s="5">
        <v>44128</v>
      </c>
      <c r="B465">
        <v>1.8849999999999999E-2</v>
      </c>
      <c r="C465">
        <v>1.993E-2</v>
      </c>
      <c r="D465">
        <v>1.8700000000000001E-2</v>
      </c>
      <c r="E465">
        <v>1.9109999999999999E-2</v>
      </c>
      <c r="F465">
        <v>2367671.9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-0.33333333333333709</v>
      </c>
      <c r="Q465">
        <f t="shared" si="980"/>
        <v>-789223.96666667552</v>
      </c>
      <c r="R465">
        <f t="shared" si="981"/>
        <v>-733811754.88298595</v>
      </c>
      <c r="S465">
        <f t="shared" si="982"/>
        <v>-7338.1175488298595</v>
      </c>
      <c r="T465">
        <f t="shared" si="983"/>
        <v>-7.3381175488298593</v>
      </c>
    </row>
    <row r="466" spans="1:20" x14ac:dyDescent="0.25">
      <c r="A466" s="5">
        <v>44127</v>
      </c>
      <c r="B466">
        <v>1.9109999999999999E-2</v>
      </c>
      <c r="C466">
        <v>2.017E-2</v>
      </c>
      <c r="D466">
        <v>1.856E-2</v>
      </c>
      <c r="E466">
        <v>1.8890000000000001E-2</v>
      </c>
      <c r="F466">
        <v>6373107.5999999996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-0.5900621118012418</v>
      </c>
      <c r="Q466">
        <f t="shared" si="980"/>
        <v>-3760529.3291925434</v>
      </c>
      <c r="R466">
        <f t="shared" si="981"/>
        <v>-733022530.91631925</v>
      </c>
      <c r="S466">
        <f t="shared" si="982"/>
        <v>-7330.2253091631928</v>
      </c>
      <c r="T466">
        <f t="shared" si="983"/>
        <v>-7.3302253091631933</v>
      </c>
    </row>
    <row r="467" spans="1:20" x14ac:dyDescent="0.25">
      <c r="A467" s="5">
        <v>44126</v>
      </c>
      <c r="B467">
        <v>1.8069999999999999E-2</v>
      </c>
      <c r="C467">
        <v>1.9970000000000002E-2</v>
      </c>
      <c r="D467">
        <v>1.8069999999999999E-2</v>
      </c>
      <c r="E467">
        <v>1.9199999999999998E-2</v>
      </c>
      <c r="F467">
        <v>4217889.2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0.18947368421052382</v>
      </c>
      <c r="Q467">
        <f t="shared" si="980"/>
        <v>799179.00631577894</v>
      </c>
      <c r="R467">
        <f t="shared" si="981"/>
        <v>-729262001.58712673</v>
      </c>
      <c r="S467">
        <f t="shared" si="982"/>
        <v>-7292.6200158712672</v>
      </c>
      <c r="T467">
        <f t="shared" si="983"/>
        <v>-7.2926200158712673</v>
      </c>
    </row>
    <row r="468" spans="1:20" x14ac:dyDescent="0.25">
      <c r="A468" s="5">
        <v>44125</v>
      </c>
      <c r="B468">
        <v>1.797E-2</v>
      </c>
      <c r="C468">
        <v>1.8679999999999999E-2</v>
      </c>
      <c r="D468">
        <v>1.7860000000000001E-2</v>
      </c>
      <c r="E468">
        <v>1.7950000000000001E-2</v>
      </c>
      <c r="F468">
        <v>3430165.9</v>
      </c>
      <c r="G468">
        <v>0</v>
      </c>
      <c r="L468" t="s">
        <v>7</v>
      </c>
      <c r="M468" t="s">
        <v>7</v>
      </c>
      <c r="N468" t="s">
        <v>7</v>
      </c>
      <c r="P468">
        <f t="shared" si="979"/>
        <v>-0.7804878048780487</v>
      </c>
      <c r="Q468">
        <f t="shared" si="980"/>
        <v>-2677202.6536585363</v>
      </c>
      <c r="R468">
        <f t="shared" si="981"/>
        <v>-730061180.59344256</v>
      </c>
      <c r="S468">
        <f t="shared" si="982"/>
        <v>-7300.6118059344253</v>
      </c>
      <c r="T468">
        <f t="shared" si="983"/>
        <v>-7.3006118059344249</v>
      </c>
    </row>
    <row r="469" spans="1:20" x14ac:dyDescent="0.25">
      <c r="A469" s="5">
        <v>44124</v>
      </c>
      <c r="B469">
        <v>1.8460000000000001E-2</v>
      </c>
      <c r="C469">
        <v>1.865E-2</v>
      </c>
      <c r="D469">
        <v>1.7770000000000001E-2</v>
      </c>
      <c r="E469">
        <v>1.797E-2</v>
      </c>
      <c r="F469">
        <v>5199704.4000000004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-0.54545454545454763</v>
      </c>
      <c r="Q469">
        <f t="shared" si="980"/>
        <v>-2836202.4000000115</v>
      </c>
      <c r="R469">
        <f t="shared" si="981"/>
        <v>-727383977.93978405</v>
      </c>
      <c r="S469">
        <f t="shared" si="982"/>
        <v>-7273.8397793978402</v>
      </c>
      <c r="T469">
        <f t="shared" si="983"/>
        <v>-7.2738397793978402</v>
      </c>
    </row>
    <row r="470" spans="1:20" x14ac:dyDescent="0.25">
      <c r="A470" s="5">
        <v>44123</v>
      </c>
      <c r="B470">
        <v>1.8499999999999999E-2</v>
      </c>
      <c r="C470">
        <v>1.8710000000000001E-2</v>
      </c>
      <c r="D470">
        <v>1.796E-2</v>
      </c>
      <c r="E470">
        <v>1.8509999999999999E-2</v>
      </c>
      <c r="F470">
        <v>3383722.8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0.46666666666666112</v>
      </c>
      <c r="Q470">
        <f t="shared" si="980"/>
        <v>1579070.639999981</v>
      </c>
      <c r="R470">
        <f t="shared" si="981"/>
        <v>-724547775.53978407</v>
      </c>
      <c r="S470">
        <f t="shared" si="982"/>
        <v>-7245.4777553978411</v>
      </c>
      <c r="T470">
        <f t="shared" si="983"/>
        <v>-7.2454777553978413</v>
      </c>
    </row>
    <row r="471" spans="1:20" x14ac:dyDescent="0.25">
      <c r="A471" s="5">
        <v>44122</v>
      </c>
      <c r="B471">
        <v>1.848E-2</v>
      </c>
      <c r="C471">
        <v>1.8759999999999999E-2</v>
      </c>
      <c r="D471">
        <v>1.8180000000000002E-2</v>
      </c>
      <c r="E471">
        <v>1.8460000000000001E-2</v>
      </c>
      <c r="F471">
        <v>4802280.5999999996</v>
      </c>
      <c r="G471">
        <v>0</v>
      </c>
      <c r="L471" t="s">
        <v>7</v>
      </c>
      <c r="M471" t="s">
        <v>7</v>
      </c>
      <c r="N471" t="s">
        <v>7</v>
      </c>
      <c r="P471">
        <f t="shared" si="979"/>
        <v>-3.448275862068842E-2</v>
      </c>
      <c r="Q471">
        <f t="shared" si="980"/>
        <v>-165595.88275861475</v>
      </c>
      <c r="R471">
        <f t="shared" si="981"/>
        <v>-726126846.17978406</v>
      </c>
      <c r="S471">
        <f t="shared" si="982"/>
        <v>-7261.2684617978402</v>
      </c>
      <c r="T471">
        <f t="shared" si="983"/>
        <v>-7.2612684617978402</v>
      </c>
    </row>
    <row r="472" spans="1:20" x14ac:dyDescent="0.25">
      <c r="A472" s="5">
        <v>44121</v>
      </c>
      <c r="B472">
        <v>1.847E-2</v>
      </c>
      <c r="C472">
        <v>1.9740000000000001E-2</v>
      </c>
      <c r="D472">
        <v>1.8339999999999999E-2</v>
      </c>
      <c r="E472">
        <v>1.857E-2</v>
      </c>
      <c r="F472">
        <v>5733354.2999999998</v>
      </c>
      <c r="G472">
        <v>0</v>
      </c>
      <c r="L472" t="s">
        <v>8</v>
      </c>
      <c r="M472" t="s">
        <v>7</v>
      </c>
      <c r="N472" t="s">
        <v>7</v>
      </c>
      <c r="P472">
        <f t="shared" si="979"/>
        <v>-0.67142857142857038</v>
      </c>
      <c r="Q472">
        <f t="shared" si="980"/>
        <v>-3849537.887142851</v>
      </c>
      <c r="R472">
        <f t="shared" si="981"/>
        <v>-725961250.29702544</v>
      </c>
      <c r="S472">
        <f t="shared" si="982"/>
        <v>-7259.6125029702544</v>
      </c>
      <c r="T472">
        <f t="shared" si="983"/>
        <v>-7.2596125029702545</v>
      </c>
    </row>
    <row r="473" spans="1:20" x14ac:dyDescent="0.25">
      <c r="A473" s="5">
        <v>44120</v>
      </c>
      <c r="B473">
        <v>1.8110000000000001E-2</v>
      </c>
      <c r="C473">
        <v>1.8800000000000001E-2</v>
      </c>
      <c r="D473">
        <v>1.7330000000000002E-2</v>
      </c>
      <c r="E473">
        <v>1.857E-2</v>
      </c>
      <c r="F473">
        <v>6611879.5</v>
      </c>
      <c r="G473">
        <v>0</v>
      </c>
      <c r="L473" t="s">
        <v>8</v>
      </c>
      <c r="M473" t="s">
        <v>7</v>
      </c>
      <c r="N473" t="s">
        <v>7</v>
      </c>
      <c r="P473">
        <f t="shared" si="979"/>
        <v>0.68707482993197122</v>
      </c>
      <c r="Q473">
        <f t="shared" si="980"/>
        <v>4542855.9829931865</v>
      </c>
      <c r="R473">
        <f t="shared" si="981"/>
        <v>-722111712.40988255</v>
      </c>
      <c r="S473">
        <f t="shared" si="982"/>
        <v>-7221.1171240988251</v>
      </c>
      <c r="T473">
        <f t="shared" si="983"/>
        <v>-7.221117124098825</v>
      </c>
    </row>
    <row r="474" spans="1:20" x14ac:dyDescent="0.25">
      <c r="A474" s="5">
        <v>44119</v>
      </c>
      <c r="B474">
        <v>1.8450000000000001E-2</v>
      </c>
      <c r="C474">
        <v>1.856E-2</v>
      </c>
      <c r="D474">
        <v>1.7569999999999999E-2</v>
      </c>
      <c r="E474">
        <v>1.8069999999999999E-2</v>
      </c>
      <c r="F474">
        <v>4090794.7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1.0101010101009677E-2</v>
      </c>
      <c r="Q474">
        <f t="shared" si="980"/>
        <v>41321.158585856851</v>
      </c>
      <c r="R474">
        <f t="shared" si="981"/>
        <v>-726654568.39287579</v>
      </c>
      <c r="S474">
        <f t="shared" si="982"/>
        <v>-7266.5456839287581</v>
      </c>
      <c r="T474">
        <f t="shared" si="983"/>
        <v>-7.2665456839287579</v>
      </c>
    </row>
    <row r="475" spans="1:20" x14ac:dyDescent="0.25">
      <c r="A475" s="5">
        <v>44118</v>
      </c>
      <c r="B475">
        <v>1.9599999999999999E-2</v>
      </c>
      <c r="C475">
        <v>1.9619999999999999E-2</v>
      </c>
      <c r="D475">
        <v>1.813E-2</v>
      </c>
      <c r="E475">
        <v>1.848E-2</v>
      </c>
      <c r="F475">
        <v>7622426.5999999996</v>
      </c>
      <c r="G475">
        <v>0</v>
      </c>
      <c r="L475" t="s">
        <v>7</v>
      </c>
      <c r="M475" t="s">
        <v>7</v>
      </c>
      <c r="N475" t="s">
        <v>7</v>
      </c>
      <c r="P475">
        <f t="shared" si="979"/>
        <v>-0.53020134228187921</v>
      </c>
      <c r="Q475">
        <f t="shared" si="980"/>
        <v>-4041420.8147651004</v>
      </c>
      <c r="R475">
        <f t="shared" si="981"/>
        <v>-726695889.5514617</v>
      </c>
      <c r="S475">
        <f t="shared" si="982"/>
        <v>-7266.9588955146173</v>
      </c>
      <c r="T475">
        <f t="shared" si="983"/>
        <v>-7.2669588955146169</v>
      </c>
    </row>
    <row r="476" spans="1:20" x14ac:dyDescent="0.25">
      <c r="A476" s="5">
        <v>44117</v>
      </c>
      <c r="B476">
        <v>1.9560000000000001E-2</v>
      </c>
      <c r="C476">
        <v>1.9890000000000001E-2</v>
      </c>
      <c r="D476">
        <v>1.9269999999999999E-2</v>
      </c>
      <c r="E476">
        <v>1.951E-2</v>
      </c>
      <c r="F476">
        <v>1868796</v>
      </c>
      <c r="G476">
        <v>0</v>
      </c>
      <c r="L476" t="s">
        <v>8</v>
      </c>
      <c r="M476" t="s">
        <v>7</v>
      </c>
      <c r="N476" t="s">
        <v>7</v>
      </c>
      <c r="P476">
        <f t="shared" si="979"/>
        <v>-0.2258064516129043</v>
      </c>
      <c r="Q476">
        <f t="shared" si="980"/>
        <v>-421986.19354838913</v>
      </c>
      <c r="R476">
        <f t="shared" si="981"/>
        <v>-722654468.7366966</v>
      </c>
      <c r="S476">
        <f t="shared" si="982"/>
        <v>-7226.5446873669662</v>
      </c>
      <c r="T476">
        <f t="shared" si="983"/>
        <v>-7.2265446873669665</v>
      </c>
    </row>
    <row r="477" spans="1:20" x14ac:dyDescent="0.25">
      <c r="A477" s="5">
        <v>44116</v>
      </c>
      <c r="B477">
        <v>1.9560000000000001E-2</v>
      </c>
      <c r="C477">
        <v>2.0250000000000001E-2</v>
      </c>
      <c r="D477">
        <v>1.9140000000000001E-2</v>
      </c>
      <c r="E477">
        <v>1.9470000000000001E-2</v>
      </c>
      <c r="F477">
        <v>3425598.6</v>
      </c>
      <c r="G477">
        <v>0</v>
      </c>
      <c r="L477" t="s">
        <v>8</v>
      </c>
      <c r="M477" t="s">
        <v>7</v>
      </c>
      <c r="N477" t="s">
        <v>7</v>
      </c>
      <c r="P477">
        <f t="shared" si="979"/>
        <v>-0.40540540540540454</v>
      </c>
      <c r="Q477">
        <f t="shared" si="980"/>
        <v>-1388756.1891891863</v>
      </c>
      <c r="R477">
        <f t="shared" si="981"/>
        <v>-722232482.54314816</v>
      </c>
      <c r="S477">
        <f t="shared" si="982"/>
        <v>-7222.3248254314813</v>
      </c>
      <c r="T477">
        <f t="shared" si="983"/>
        <v>-7.2223248254314809</v>
      </c>
    </row>
    <row r="478" spans="1:20" x14ac:dyDescent="0.25">
      <c r="A478" s="5">
        <v>44115</v>
      </c>
      <c r="B478">
        <v>1.891E-2</v>
      </c>
      <c r="C478">
        <v>1.967E-2</v>
      </c>
      <c r="D478">
        <v>1.8890000000000001E-2</v>
      </c>
      <c r="E478">
        <v>1.951E-2</v>
      </c>
      <c r="F478">
        <v>2780794.9</v>
      </c>
      <c r="G478">
        <v>0</v>
      </c>
      <c r="L478" t="s">
        <v>8</v>
      </c>
      <c r="M478" t="s">
        <v>7</v>
      </c>
      <c r="N478" t="s">
        <v>7</v>
      </c>
      <c r="P478">
        <f t="shared" si="979"/>
        <v>0.58974358974358843</v>
      </c>
      <c r="Q478">
        <f t="shared" si="980"/>
        <v>1639955.9666666628</v>
      </c>
      <c r="R478">
        <f t="shared" si="981"/>
        <v>-720843726.35395896</v>
      </c>
      <c r="S478">
        <f t="shared" si="982"/>
        <v>-7208.4372635395894</v>
      </c>
      <c r="T478">
        <f t="shared" si="983"/>
        <v>-7.2084372635395892</v>
      </c>
    </row>
    <row r="479" spans="1:20" x14ac:dyDescent="0.25">
      <c r="A479" s="5">
        <v>44114</v>
      </c>
      <c r="B479">
        <v>1.95E-2</v>
      </c>
      <c r="C479">
        <v>1.993E-2</v>
      </c>
      <c r="D479">
        <v>1.882E-2</v>
      </c>
      <c r="E479">
        <v>1.9060000000000001E-2</v>
      </c>
      <c r="F479">
        <v>4278904.5999999996</v>
      </c>
      <c r="G479">
        <v>0</v>
      </c>
      <c r="L479" t="s">
        <v>8</v>
      </c>
      <c r="M479" t="s">
        <v>7</v>
      </c>
      <c r="N479" t="s">
        <v>7</v>
      </c>
      <c r="P479">
        <f t="shared" si="979"/>
        <v>-0.56756756756756643</v>
      </c>
      <c r="Q479">
        <f t="shared" si="980"/>
        <v>-2428567.4756756704</v>
      </c>
      <c r="R479">
        <f t="shared" si="981"/>
        <v>-722483682.32062566</v>
      </c>
      <c r="S479">
        <f t="shared" si="982"/>
        <v>-7224.8368232062567</v>
      </c>
      <c r="T479">
        <f t="shared" si="983"/>
        <v>-7.2248368232062568</v>
      </c>
    </row>
    <row r="480" spans="1:20" x14ac:dyDescent="0.25">
      <c r="A480" s="5">
        <v>44113</v>
      </c>
      <c r="B480">
        <v>1.8339999999999999E-2</v>
      </c>
      <c r="C480">
        <v>1.966E-2</v>
      </c>
      <c r="D480">
        <v>1.8180000000000002E-2</v>
      </c>
      <c r="E480">
        <v>1.9470000000000001E-2</v>
      </c>
      <c r="F480">
        <v>7783129.0999999996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0.74324324324324409</v>
      </c>
      <c r="Q480">
        <f t="shared" si="980"/>
        <v>5784758.1148648709</v>
      </c>
      <c r="R480">
        <f t="shared" si="981"/>
        <v>-720055114.84494996</v>
      </c>
      <c r="S480">
        <f t="shared" si="982"/>
        <v>-7200.5511484495</v>
      </c>
      <c r="T480">
        <f t="shared" si="983"/>
        <v>-7.2005511484494997</v>
      </c>
    </row>
    <row r="481" spans="1:20" x14ac:dyDescent="0.25">
      <c r="A481" s="5">
        <v>44112</v>
      </c>
      <c r="B481">
        <v>1.8550000000000001E-2</v>
      </c>
      <c r="C481">
        <v>1.934E-2</v>
      </c>
      <c r="D481">
        <v>1.787E-2</v>
      </c>
      <c r="E481">
        <v>1.8440000000000002E-2</v>
      </c>
      <c r="F481">
        <v>12228209.9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-0.22448979591836543</v>
      </c>
      <c r="Q481">
        <f t="shared" si="980"/>
        <v>-2745108.3448979356</v>
      </c>
      <c r="R481">
        <f t="shared" si="981"/>
        <v>-725839872.95981479</v>
      </c>
      <c r="S481">
        <f t="shared" si="982"/>
        <v>-7258.3987295981478</v>
      </c>
      <c r="T481">
        <f t="shared" si="983"/>
        <v>-7.2583987295981478</v>
      </c>
    </row>
    <row r="482" spans="1:20" x14ac:dyDescent="0.25">
      <c r="A482" s="5">
        <v>44111</v>
      </c>
      <c r="B482">
        <v>1.788E-2</v>
      </c>
      <c r="C482">
        <v>1.866E-2</v>
      </c>
      <c r="D482">
        <v>1.7600000000000001E-2</v>
      </c>
      <c r="E482">
        <v>1.8499999999999999E-2</v>
      </c>
      <c r="F482">
        <v>3854630.4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0.69811320754716855</v>
      </c>
      <c r="Q482">
        <f t="shared" si="980"/>
        <v>2690968.3924528253</v>
      </c>
      <c r="R482">
        <f t="shared" si="981"/>
        <v>-723094764.6149168</v>
      </c>
      <c r="S482">
        <f t="shared" si="982"/>
        <v>-7230.9476461491677</v>
      </c>
      <c r="T482">
        <f t="shared" si="983"/>
        <v>-7.2309476461491675</v>
      </c>
    </row>
    <row r="483" spans="1:20" x14ac:dyDescent="0.25">
      <c r="A483" s="5">
        <v>44110</v>
      </c>
      <c r="B483">
        <v>2.01E-2</v>
      </c>
      <c r="C483">
        <v>2.2190000000000001E-2</v>
      </c>
      <c r="D483">
        <v>1.7690000000000001E-2</v>
      </c>
      <c r="E483">
        <v>1.789E-2</v>
      </c>
      <c r="F483">
        <v>22248385.300000001</v>
      </c>
      <c r="G483">
        <v>0</v>
      </c>
      <c r="L483" t="s">
        <v>8</v>
      </c>
      <c r="M483" t="s">
        <v>8</v>
      </c>
      <c r="N483" t="s">
        <v>7</v>
      </c>
      <c r="P483">
        <f t="shared" si="979"/>
        <v>-0.91111111111111165</v>
      </c>
      <c r="Q483">
        <f t="shared" si="980"/>
        <v>-20270751.051111124</v>
      </c>
      <c r="R483">
        <f t="shared" si="981"/>
        <v>-725785733.00736964</v>
      </c>
      <c r="S483">
        <f t="shared" si="982"/>
        <v>-7257.8573300736962</v>
      </c>
      <c r="T483">
        <f t="shared" si="983"/>
        <v>-7.2578573300736959</v>
      </c>
    </row>
    <row r="484" spans="1:20" x14ac:dyDescent="0.25">
      <c r="A484" s="5">
        <v>44109</v>
      </c>
      <c r="B484">
        <v>1.8450000000000001E-2</v>
      </c>
      <c r="C484">
        <v>2.0150000000000001E-2</v>
      </c>
      <c r="D484">
        <v>1.831E-2</v>
      </c>
      <c r="E484">
        <v>2.01E-2</v>
      </c>
      <c r="F484">
        <v>5440247.2000000002</v>
      </c>
      <c r="G484">
        <v>0</v>
      </c>
      <c r="L484" t="s">
        <v>8</v>
      </c>
      <c r="M484" t="s">
        <v>8</v>
      </c>
      <c r="N484" t="s">
        <v>7</v>
      </c>
      <c r="P484">
        <f t="shared" si="979"/>
        <v>0.94565217391304202</v>
      </c>
      <c r="Q484">
        <f t="shared" si="980"/>
        <v>5144581.5913043404</v>
      </c>
      <c r="R484">
        <f t="shared" si="981"/>
        <v>-705514981.95625854</v>
      </c>
      <c r="S484">
        <f t="shared" si="982"/>
        <v>-7055.1498195625854</v>
      </c>
      <c r="T484">
        <f t="shared" si="983"/>
        <v>-7.055149819562585</v>
      </c>
    </row>
    <row r="485" spans="1:20" x14ac:dyDescent="0.25">
      <c r="A485" s="5">
        <v>44108</v>
      </c>
      <c r="B485">
        <v>1.847E-2</v>
      </c>
      <c r="C485">
        <v>1.8589999999999999E-2</v>
      </c>
      <c r="D485">
        <v>1.813E-2</v>
      </c>
      <c r="E485">
        <v>1.8440000000000002E-2</v>
      </c>
      <c r="F485">
        <v>1745363.6</v>
      </c>
      <c r="G485">
        <v>0</v>
      </c>
      <c r="L485" t="s">
        <v>7</v>
      </c>
      <c r="M485" t="s">
        <v>8</v>
      </c>
      <c r="N485" t="s">
        <v>7</v>
      </c>
      <c r="P485">
        <f t="shared" si="979"/>
        <v>0.34782608695653122</v>
      </c>
      <c r="Q485">
        <f t="shared" si="980"/>
        <v>607082.9913043644</v>
      </c>
      <c r="R485">
        <f t="shared" si="981"/>
        <v>-710659563.54756284</v>
      </c>
      <c r="S485">
        <f t="shared" si="982"/>
        <v>-7106.5956354756281</v>
      </c>
      <c r="T485">
        <f t="shared" si="983"/>
        <v>-7.1065956354756281</v>
      </c>
    </row>
    <row r="486" spans="1:20" x14ac:dyDescent="0.25">
      <c r="A486" s="5">
        <v>44107</v>
      </c>
      <c r="B486">
        <v>1.8790000000000001E-2</v>
      </c>
      <c r="C486">
        <v>1.9029999999999998E-2</v>
      </c>
      <c r="D486">
        <v>1.8419999999999999E-2</v>
      </c>
      <c r="E486">
        <v>1.8440000000000002E-2</v>
      </c>
      <c r="F486">
        <v>1635185</v>
      </c>
      <c r="G486">
        <v>0</v>
      </c>
      <c r="L486" t="s">
        <v>7</v>
      </c>
      <c r="M486" t="s">
        <v>8</v>
      </c>
      <c r="N486" t="s">
        <v>7</v>
      </c>
      <c r="P486">
        <f t="shared" si="979"/>
        <v>-0.93442622950818799</v>
      </c>
      <c r="Q486">
        <f t="shared" si="980"/>
        <v>-1527959.7540983465</v>
      </c>
      <c r="R486">
        <f t="shared" si="981"/>
        <v>-711266646.53886724</v>
      </c>
      <c r="S486">
        <f t="shared" si="982"/>
        <v>-7112.6664653886728</v>
      </c>
      <c r="T486">
        <f t="shared" si="983"/>
        <v>-7.1126664653886724</v>
      </c>
    </row>
    <row r="487" spans="1:20" x14ac:dyDescent="0.25">
      <c r="A487" s="5">
        <v>44106</v>
      </c>
      <c r="B487">
        <v>1.882E-2</v>
      </c>
      <c r="C487">
        <v>2.036E-2</v>
      </c>
      <c r="D487">
        <v>1.797E-2</v>
      </c>
      <c r="E487">
        <v>1.8800000000000001E-2</v>
      </c>
      <c r="F487">
        <v>11865067.300000001</v>
      </c>
      <c r="G487">
        <v>0</v>
      </c>
      <c r="L487" t="s">
        <v>8</v>
      </c>
      <c r="M487" t="s">
        <v>8</v>
      </c>
      <c r="N487" t="s">
        <v>7</v>
      </c>
      <c r="P487">
        <f t="shared" si="979"/>
        <v>-0.30543933054393224</v>
      </c>
      <c r="Q487">
        <f t="shared" si="980"/>
        <v>-3624058.212970702</v>
      </c>
      <c r="R487">
        <f t="shared" si="981"/>
        <v>-709738686.78476894</v>
      </c>
      <c r="S487">
        <f t="shared" si="982"/>
        <v>-7097.3868678476892</v>
      </c>
      <c r="T487">
        <f t="shared" si="983"/>
        <v>-7.097386867847689</v>
      </c>
    </row>
    <row r="488" spans="1:20" x14ac:dyDescent="0.25">
      <c r="A488" s="5">
        <v>44105</v>
      </c>
      <c r="B488">
        <v>1.9E-2</v>
      </c>
      <c r="C488">
        <v>1.949E-2</v>
      </c>
      <c r="D488">
        <v>1.83E-2</v>
      </c>
      <c r="E488">
        <v>1.883E-2</v>
      </c>
      <c r="F488">
        <v>5721712.5</v>
      </c>
      <c r="G488">
        <v>0</v>
      </c>
      <c r="L488" t="s">
        <v>7</v>
      </c>
      <c r="M488" t="s">
        <v>8</v>
      </c>
      <c r="N488" t="s">
        <v>7</v>
      </c>
      <c r="P488">
        <f t="shared" si="979"/>
        <v>-0.10924369747899297</v>
      </c>
      <c r="Q488">
        <f t="shared" si="980"/>
        <v>-625061.02941177262</v>
      </c>
      <c r="R488">
        <f t="shared" si="981"/>
        <v>-706114628.57179821</v>
      </c>
      <c r="S488">
        <f t="shared" si="982"/>
        <v>-7061.1462857179822</v>
      </c>
      <c r="T488">
        <f t="shared" si="983"/>
        <v>-7.0611462857179825</v>
      </c>
    </row>
    <row r="489" spans="1:20" x14ac:dyDescent="0.25">
      <c r="A489" s="5">
        <v>44104</v>
      </c>
      <c r="B489">
        <v>1.9369999999999998E-2</v>
      </c>
      <c r="C489">
        <v>1.9599999999999999E-2</v>
      </c>
      <c r="D489">
        <v>1.864E-2</v>
      </c>
      <c r="E489">
        <v>1.898E-2</v>
      </c>
      <c r="F489">
        <v>8381859.5</v>
      </c>
      <c r="G489">
        <v>0</v>
      </c>
      <c r="L489" t="s">
        <v>7</v>
      </c>
      <c r="M489" t="s">
        <v>8</v>
      </c>
      <c r="N489" t="s">
        <v>7</v>
      </c>
      <c r="P489">
        <f t="shared" si="979"/>
        <v>-0.29166666666666591</v>
      </c>
      <c r="Q489">
        <f t="shared" si="980"/>
        <v>-2444709.020833327</v>
      </c>
      <c r="R489">
        <f t="shared" si="981"/>
        <v>-705489567.54238641</v>
      </c>
      <c r="S489">
        <f t="shared" si="982"/>
        <v>-7054.8956754238643</v>
      </c>
      <c r="T489">
        <f t="shared" si="983"/>
        <v>-7.0548956754238645</v>
      </c>
    </row>
    <row r="490" spans="1:20" x14ac:dyDescent="0.25">
      <c r="A490" s="5">
        <v>44103</v>
      </c>
      <c r="B490">
        <v>1.9220000000000001E-2</v>
      </c>
      <c r="C490">
        <v>1.942E-2</v>
      </c>
      <c r="D490">
        <v>1.848E-2</v>
      </c>
      <c r="E490">
        <v>1.9259999999999999E-2</v>
      </c>
      <c r="F490">
        <v>11903731.300000001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0.65957446808510545</v>
      </c>
      <c r="Q490">
        <f t="shared" si="980"/>
        <v>7851397.2404255215</v>
      </c>
      <c r="R490">
        <f t="shared" si="981"/>
        <v>-703044858.52155304</v>
      </c>
      <c r="S490">
        <f t="shared" si="982"/>
        <v>-7030.4485852155303</v>
      </c>
      <c r="T490">
        <f t="shared" si="983"/>
        <v>-7.0304485852155301</v>
      </c>
    </row>
    <row r="491" spans="1:20" x14ac:dyDescent="0.25">
      <c r="A491" s="5">
        <v>44102</v>
      </c>
      <c r="B491">
        <v>1.9519999999999999E-2</v>
      </c>
      <c r="C491">
        <v>0.02</v>
      </c>
      <c r="D491">
        <v>1.9060000000000001E-2</v>
      </c>
      <c r="E491">
        <v>1.9230000000000001E-2</v>
      </c>
      <c r="F491">
        <v>7069949.7000000002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-0.63829787234042545</v>
      </c>
      <c r="Q491">
        <f t="shared" si="980"/>
        <v>-4512733.8510638289</v>
      </c>
      <c r="R491">
        <f t="shared" si="981"/>
        <v>-710896255.76197851</v>
      </c>
      <c r="S491">
        <f t="shared" si="982"/>
        <v>-7108.962557619785</v>
      </c>
      <c r="T491">
        <f t="shared" si="983"/>
        <v>-7.108962557619785</v>
      </c>
    </row>
    <row r="492" spans="1:20" x14ac:dyDescent="0.25">
      <c r="A492" s="5">
        <v>44101</v>
      </c>
      <c r="B492">
        <v>1.9089999999999999E-2</v>
      </c>
      <c r="C492">
        <v>1.967E-2</v>
      </c>
      <c r="D492">
        <v>1.8280000000000001E-2</v>
      </c>
      <c r="E492">
        <v>1.9390000000000001E-2</v>
      </c>
      <c r="F492">
        <v>12646692.9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0.59712230215827444</v>
      </c>
      <c r="Q492">
        <f t="shared" si="980"/>
        <v>7551622.3791367039</v>
      </c>
      <c r="R492">
        <f t="shared" si="981"/>
        <v>-706383521.91091466</v>
      </c>
      <c r="S492">
        <f t="shared" si="982"/>
        <v>-7063.8352191091462</v>
      </c>
      <c r="T492">
        <f t="shared" si="983"/>
        <v>-7.063835219109146</v>
      </c>
    </row>
    <row r="493" spans="1:20" x14ac:dyDescent="0.25">
      <c r="A493" s="5">
        <v>44100</v>
      </c>
      <c r="B493">
        <v>1.916E-2</v>
      </c>
      <c r="C493">
        <v>2.0490000000000001E-2</v>
      </c>
      <c r="D493">
        <v>1.899E-2</v>
      </c>
      <c r="E493">
        <v>1.9050000000000001E-2</v>
      </c>
      <c r="F493">
        <v>9927981.3000000007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-0.91999999999999871</v>
      </c>
      <c r="Q493">
        <f t="shared" si="980"/>
        <v>-9133742.7959999871</v>
      </c>
      <c r="R493">
        <f t="shared" si="981"/>
        <v>-713935144.29005134</v>
      </c>
      <c r="S493">
        <f t="shared" si="982"/>
        <v>-7139.3514429005136</v>
      </c>
      <c r="T493">
        <f t="shared" si="983"/>
        <v>-7.1393514429005132</v>
      </c>
    </row>
    <row r="494" spans="1:20" x14ac:dyDescent="0.25">
      <c r="A494" s="5">
        <v>44099</v>
      </c>
      <c r="B494">
        <v>1.9140000000000001E-2</v>
      </c>
      <c r="C494">
        <v>1.951E-2</v>
      </c>
      <c r="D494">
        <v>1.8579999999999999E-2</v>
      </c>
      <c r="E494">
        <v>1.9199999999999998E-2</v>
      </c>
      <c r="F494">
        <v>8625277.4000000004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0.33333333333333087</v>
      </c>
      <c r="Q494">
        <f t="shared" si="980"/>
        <v>2875092.4666666454</v>
      </c>
      <c r="R494">
        <f t="shared" si="981"/>
        <v>-704801401.49405134</v>
      </c>
      <c r="S494">
        <f t="shared" si="982"/>
        <v>-7048.0140149405133</v>
      </c>
      <c r="T494">
        <f t="shared" si="983"/>
        <v>-7.0480140149405131</v>
      </c>
    </row>
    <row r="495" spans="1:20" x14ac:dyDescent="0.25">
      <c r="A495" s="5">
        <v>44098</v>
      </c>
      <c r="B495">
        <v>1.7340000000000001E-2</v>
      </c>
      <c r="C495">
        <v>1.9210000000000001E-2</v>
      </c>
      <c r="D495">
        <v>1.7260000000000001E-2</v>
      </c>
      <c r="E495">
        <v>1.9009999999999999E-2</v>
      </c>
      <c r="F495">
        <v>13126863.699999999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0.7948717948717926</v>
      </c>
      <c r="Q495">
        <f t="shared" si="980"/>
        <v>10434173.710256379</v>
      </c>
      <c r="R495">
        <f t="shared" si="981"/>
        <v>-707676493.96071804</v>
      </c>
      <c r="S495">
        <f t="shared" si="982"/>
        <v>-7076.7649396071802</v>
      </c>
      <c r="T495">
        <f t="shared" si="983"/>
        <v>-7.0767649396071803</v>
      </c>
    </row>
    <row r="496" spans="1:20" x14ac:dyDescent="0.25">
      <c r="A496" s="5">
        <v>44097</v>
      </c>
      <c r="B496">
        <v>1.8200000000000001E-2</v>
      </c>
      <c r="C496">
        <v>1.992E-2</v>
      </c>
      <c r="D496">
        <v>1.7000000000000001E-2</v>
      </c>
      <c r="E496">
        <v>1.736E-2</v>
      </c>
      <c r="F496">
        <v>21455045.399999999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-0.75342465753424703</v>
      </c>
      <c r="Q496">
        <f t="shared" si="980"/>
        <v>-16164760.232876722</v>
      </c>
      <c r="R496">
        <f t="shared" si="981"/>
        <v>-718110667.67097437</v>
      </c>
      <c r="S496">
        <f t="shared" si="982"/>
        <v>-7181.1066767097436</v>
      </c>
      <c r="T496">
        <f t="shared" si="983"/>
        <v>-7.181106676709744</v>
      </c>
    </row>
    <row r="497" spans="1:20" x14ac:dyDescent="0.25">
      <c r="A497" s="5">
        <v>44096</v>
      </c>
      <c r="B497">
        <v>1.9019999999999999E-2</v>
      </c>
      <c r="C497">
        <v>2.1010000000000001E-2</v>
      </c>
      <c r="D497">
        <v>1.7319999999999999E-2</v>
      </c>
      <c r="E497">
        <v>1.8280000000000001E-2</v>
      </c>
      <c r="F497">
        <v>26215198.899999999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-0.47967479674796643</v>
      </c>
      <c r="Q497">
        <f t="shared" si="980"/>
        <v>-12574770.204065012</v>
      </c>
      <c r="R497">
        <f t="shared" si="981"/>
        <v>-701945907.4380976</v>
      </c>
      <c r="S497">
        <f t="shared" si="982"/>
        <v>-7019.4590743809758</v>
      </c>
      <c r="T497">
        <f t="shared" si="983"/>
        <v>-7.0194590743809755</v>
      </c>
    </row>
    <row r="498" spans="1:20" x14ac:dyDescent="0.25">
      <c r="A498" s="5">
        <v>44095</v>
      </c>
      <c r="B498">
        <v>2.5430000000000001E-2</v>
      </c>
      <c r="C498">
        <v>2.741E-2</v>
      </c>
      <c r="D498">
        <v>1.788E-2</v>
      </c>
      <c r="E498">
        <v>1.9019999999999999E-2</v>
      </c>
      <c r="F498">
        <v>135361218.59999999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-0.76075550891920285</v>
      </c>
      <c r="Q498">
        <f t="shared" si="980"/>
        <v>-102976792.74396646</v>
      </c>
      <c r="R498">
        <f t="shared" si="981"/>
        <v>-689371137.23403263</v>
      </c>
      <c r="S498">
        <f t="shared" si="982"/>
        <v>-6893.7113723403263</v>
      </c>
      <c r="T498">
        <f t="shared" si="983"/>
        <v>-6.8937113723403263</v>
      </c>
    </row>
    <row r="499" spans="1:20" x14ac:dyDescent="0.25">
      <c r="A499" s="5">
        <v>44094</v>
      </c>
      <c r="B499">
        <v>1.916E-2</v>
      </c>
      <c r="C499">
        <v>3.2349999999999997E-2</v>
      </c>
      <c r="D499">
        <v>1.891E-2</v>
      </c>
      <c r="E499">
        <v>2.5399999999999999E-2</v>
      </c>
      <c r="F499">
        <v>233489815.59999999</v>
      </c>
      <c r="G499">
        <v>0</v>
      </c>
      <c r="L499" t="s">
        <v>8</v>
      </c>
      <c r="M499" t="s">
        <v>8</v>
      </c>
      <c r="N499" t="s">
        <v>8</v>
      </c>
      <c r="P499">
        <f t="shared" si="979"/>
        <v>-3.4226190476190382E-2</v>
      </c>
      <c r="Q499">
        <f t="shared" si="980"/>
        <v>-7991466.9029761683</v>
      </c>
      <c r="R499">
        <f t="shared" si="981"/>
        <v>-586394344.49006617</v>
      </c>
      <c r="S499">
        <f t="shared" si="982"/>
        <v>-5863.9434449006621</v>
      </c>
      <c r="T499">
        <f t="shared" si="983"/>
        <v>-5.863943444900662</v>
      </c>
    </row>
    <row r="500" spans="1:20" x14ac:dyDescent="0.25">
      <c r="A500" s="5">
        <v>44093</v>
      </c>
      <c r="B500">
        <v>1.983E-2</v>
      </c>
      <c r="C500">
        <v>1.9980000000000001E-2</v>
      </c>
      <c r="D500">
        <v>1.8939999999999999E-2</v>
      </c>
      <c r="E500">
        <v>1.916E-2</v>
      </c>
      <c r="F500">
        <v>7242413.4000000004</v>
      </c>
      <c r="G500">
        <v>0</v>
      </c>
      <c r="L500" t="s">
        <v>7</v>
      </c>
      <c r="M500" t="s">
        <v>8</v>
      </c>
      <c r="N500" t="s">
        <v>7</v>
      </c>
      <c r="P500">
        <f t="shared" si="979"/>
        <v>-0.57692307692307521</v>
      </c>
      <c r="Q500">
        <f t="shared" si="980"/>
        <v>-4178315.4230769109</v>
      </c>
      <c r="R500">
        <f t="shared" si="981"/>
        <v>-578402877.58709002</v>
      </c>
      <c r="S500">
        <f t="shared" si="982"/>
        <v>-5784.0287758709001</v>
      </c>
      <c r="T500">
        <f t="shared" si="983"/>
        <v>-5.7840287758709001</v>
      </c>
    </row>
    <row r="501" spans="1:20" x14ac:dyDescent="0.25">
      <c r="A501" s="5">
        <v>44092</v>
      </c>
      <c r="B501">
        <v>1.9939999999999999E-2</v>
      </c>
      <c r="C501">
        <v>2.0230000000000001E-2</v>
      </c>
      <c r="D501">
        <v>1.9310000000000001E-2</v>
      </c>
      <c r="E501">
        <v>1.984E-2</v>
      </c>
      <c r="F501">
        <v>3797635.8</v>
      </c>
      <c r="G501">
        <v>0</v>
      </c>
      <c r="L501" t="s">
        <v>7</v>
      </c>
      <c r="M501" t="s">
        <v>8</v>
      </c>
      <c r="N501" t="s">
        <v>7</v>
      </c>
      <c r="P501">
        <f t="shared" si="979"/>
        <v>0.15217391304347572</v>
      </c>
      <c r="Q501">
        <f t="shared" si="980"/>
        <v>577901.09999999031</v>
      </c>
      <c r="R501">
        <f t="shared" si="981"/>
        <v>-574224562.16401315</v>
      </c>
      <c r="S501">
        <f t="shared" si="982"/>
        <v>-5742.2456216401315</v>
      </c>
      <c r="T501">
        <f t="shared" si="983"/>
        <v>-5.7422456216401319</v>
      </c>
    </row>
    <row r="502" spans="1:20" x14ac:dyDescent="0.25">
      <c r="A502" s="5">
        <v>44091</v>
      </c>
      <c r="B502">
        <v>2.0379999999999999E-2</v>
      </c>
      <c r="C502">
        <v>2.1229999999999999E-2</v>
      </c>
      <c r="D502">
        <v>1.9310000000000001E-2</v>
      </c>
      <c r="E502">
        <v>1.992E-2</v>
      </c>
      <c r="F502">
        <v>5830467.9000000004</v>
      </c>
      <c r="G502">
        <v>0</v>
      </c>
      <c r="L502" t="s">
        <v>8</v>
      </c>
      <c r="M502" t="s">
        <v>8</v>
      </c>
      <c r="N502" t="s">
        <v>7</v>
      </c>
      <c r="P502">
        <f t="shared" si="979"/>
        <v>-0.36458333333333331</v>
      </c>
      <c r="Q502">
        <f t="shared" si="980"/>
        <v>-2125691.421875</v>
      </c>
      <c r="R502">
        <f t="shared" si="981"/>
        <v>-574802463.26401317</v>
      </c>
      <c r="S502">
        <f t="shared" si="982"/>
        <v>-5748.024632640132</v>
      </c>
      <c r="T502">
        <f t="shared" si="983"/>
        <v>-5.7480246326401323</v>
      </c>
    </row>
    <row r="503" spans="1:20" x14ac:dyDescent="0.25">
      <c r="A503" s="5">
        <v>44090</v>
      </c>
      <c r="B503">
        <v>1.9120000000000002E-2</v>
      </c>
      <c r="C503">
        <v>2.1430000000000001E-2</v>
      </c>
      <c r="D503">
        <v>1.8290000000000001E-2</v>
      </c>
      <c r="E503">
        <v>2.0379999999999999E-2</v>
      </c>
      <c r="F503">
        <v>6386562.9000000004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0.33121019108280114</v>
      </c>
      <c r="Q503">
        <f t="shared" si="980"/>
        <v>2115294.7184713287</v>
      </c>
      <c r="R503">
        <f t="shared" si="981"/>
        <v>-572676771.84213817</v>
      </c>
      <c r="S503">
        <f t="shared" si="982"/>
        <v>-5726.7677184213817</v>
      </c>
      <c r="T503">
        <f t="shared" si="983"/>
        <v>-5.7267677184213817</v>
      </c>
    </row>
    <row r="504" spans="1:20" x14ac:dyDescent="0.25">
      <c r="A504" s="5">
        <v>44089</v>
      </c>
      <c r="B504">
        <v>2.0799999999999999E-2</v>
      </c>
      <c r="C504">
        <v>2.147E-2</v>
      </c>
      <c r="D504">
        <v>1.907E-2</v>
      </c>
      <c r="E504">
        <v>1.9279999999999999E-2</v>
      </c>
      <c r="F504">
        <v>4541422.2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-0.82500000000000129</v>
      </c>
      <c r="Q504">
        <f t="shared" si="980"/>
        <v>-3746673.315000006</v>
      </c>
      <c r="R504">
        <f t="shared" si="981"/>
        <v>-574792066.56060946</v>
      </c>
      <c r="S504">
        <f t="shared" si="982"/>
        <v>-5747.9206656060942</v>
      </c>
      <c r="T504">
        <f t="shared" si="983"/>
        <v>-5.7479206656060944</v>
      </c>
    </row>
    <row r="505" spans="1:20" x14ac:dyDescent="0.25">
      <c r="A505" s="5">
        <v>44088</v>
      </c>
      <c r="B505">
        <v>2.0449999999999999E-2</v>
      </c>
      <c r="C505">
        <v>2.146E-2</v>
      </c>
      <c r="D505">
        <v>1.9939999999999999E-2</v>
      </c>
      <c r="E505">
        <v>2.069E-2</v>
      </c>
      <c r="F505">
        <v>3051921.4</v>
      </c>
      <c r="G505">
        <v>0</v>
      </c>
      <c r="L505" t="s">
        <v>8</v>
      </c>
      <c r="M505" t="s">
        <v>8</v>
      </c>
      <c r="N505" t="s">
        <v>7</v>
      </c>
      <c r="P505">
        <f t="shared" si="979"/>
        <v>-1.3157894736841565E-2</v>
      </c>
      <c r="Q505">
        <f t="shared" si="980"/>
        <v>-40156.860526314136</v>
      </c>
      <c r="R505">
        <f t="shared" si="981"/>
        <v>-571045393.2456094</v>
      </c>
      <c r="S505">
        <f t="shared" si="982"/>
        <v>-5710.4539324560938</v>
      </c>
      <c r="T505">
        <f t="shared" si="983"/>
        <v>-5.7104539324560939</v>
      </c>
    </row>
    <row r="506" spans="1:20" x14ac:dyDescent="0.25">
      <c r="A506" s="5">
        <v>44087</v>
      </c>
      <c r="B506">
        <v>2.1899999999999999E-2</v>
      </c>
      <c r="C506">
        <v>2.2030000000000001E-2</v>
      </c>
      <c r="D506">
        <v>1.992E-2</v>
      </c>
      <c r="E506">
        <v>2.0420000000000001E-2</v>
      </c>
      <c r="F506">
        <v>5558262.7000000002</v>
      </c>
      <c r="G506">
        <v>0</v>
      </c>
      <c r="L506" t="s">
        <v>7</v>
      </c>
      <c r="M506" t="s">
        <v>8</v>
      </c>
      <c r="N506" t="s">
        <v>7</v>
      </c>
      <c r="P506">
        <f t="shared" si="979"/>
        <v>-0.52606635071090024</v>
      </c>
      <c r="Q506">
        <f t="shared" si="980"/>
        <v>-2924014.9748815154</v>
      </c>
      <c r="R506">
        <f t="shared" si="981"/>
        <v>-571005236.38508308</v>
      </c>
      <c r="S506">
        <f t="shared" si="982"/>
        <v>-5710.0523638508312</v>
      </c>
      <c r="T506">
        <f t="shared" si="983"/>
        <v>-5.7100523638508314</v>
      </c>
    </row>
    <row r="507" spans="1:20" x14ac:dyDescent="0.25">
      <c r="A507" s="5">
        <v>44086</v>
      </c>
      <c r="B507">
        <v>2.2599999999999999E-2</v>
      </c>
      <c r="C507">
        <v>2.334E-2</v>
      </c>
      <c r="D507">
        <v>2.181E-2</v>
      </c>
      <c r="E507">
        <v>2.188E-2</v>
      </c>
      <c r="F507">
        <v>8612865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-0.90849673202614301</v>
      </c>
      <c r="Q507">
        <f t="shared" si="980"/>
        <v>-7824759.7058823463</v>
      </c>
      <c r="R507">
        <f t="shared" si="981"/>
        <v>-568081221.41020155</v>
      </c>
      <c r="S507">
        <f t="shared" si="982"/>
        <v>-5680.8122141020158</v>
      </c>
      <c r="T507">
        <f t="shared" si="983"/>
        <v>-5.6808122141020156</v>
      </c>
    </row>
    <row r="508" spans="1:20" x14ac:dyDescent="0.25">
      <c r="A508" s="5">
        <v>44085</v>
      </c>
      <c r="B508">
        <v>2.1610000000000001E-2</v>
      </c>
      <c r="C508">
        <v>2.2720000000000001E-2</v>
      </c>
      <c r="D508">
        <v>2.0559999999999998E-2</v>
      </c>
      <c r="E508">
        <v>2.2530000000000001E-2</v>
      </c>
      <c r="F508">
        <v>5211340.4000000004</v>
      </c>
      <c r="G508">
        <v>0</v>
      </c>
      <c r="L508" t="s">
        <v>8</v>
      </c>
      <c r="M508" t="s">
        <v>8</v>
      </c>
      <c r="N508" t="s">
        <v>7</v>
      </c>
      <c r="P508">
        <f t="shared" si="979"/>
        <v>0.82407407407407496</v>
      </c>
      <c r="Q508">
        <f t="shared" si="980"/>
        <v>4294530.5148148201</v>
      </c>
      <c r="R508">
        <f t="shared" si="981"/>
        <v>-560256461.70431924</v>
      </c>
      <c r="S508">
        <f t="shared" si="982"/>
        <v>-5602.5646170431928</v>
      </c>
      <c r="T508">
        <f t="shared" si="983"/>
        <v>-5.6025646170431926</v>
      </c>
    </row>
    <row r="509" spans="1:20" x14ac:dyDescent="0.25">
      <c r="A509" s="5">
        <v>44084</v>
      </c>
      <c r="B509">
        <v>1.976E-2</v>
      </c>
      <c r="C509">
        <v>2.1819999999999999E-2</v>
      </c>
      <c r="D509">
        <v>1.95E-2</v>
      </c>
      <c r="E509">
        <v>2.154E-2</v>
      </c>
      <c r="F509">
        <v>8182280.0999999996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0.75862068965517315</v>
      </c>
      <c r="Q509">
        <f t="shared" si="980"/>
        <v>6207246.9724137988</v>
      </c>
      <c r="R509">
        <f t="shared" si="981"/>
        <v>-564550992.21913409</v>
      </c>
      <c r="S509">
        <f t="shared" si="982"/>
        <v>-5645.5099221913406</v>
      </c>
      <c r="T509">
        <f t="shared" si="983"/>
        <v>-5.6455099221913407</v>
      </c>
    </row>
    <row r="510" spans="1:20" x14ac:dyDescent="0.25">
      <c r="A510" s="5">
        <v>44083</v>
      </c>
      <c r="B510">
        <v>1.925E-2</v>
      </c>
      <c r="C510">
        <v>2.0990000000000002E-2</v>
      </c>
      <c r="D510">
        <v>1.8710000000000001E-2</v>
      </c>
      <c r="E510">
        <v>1.9769999999999999E-2</v>
      </c>
      <c r="F510">
        <v>14322873.6</v>
      </c>
      <c r="G510">
        <v>0</v>
      </c>
      <c r="L510" t="s">
        <v>7</v>
      </c>
      <c r="M510" t="s">
        <v>8</v>
      </c>
      <c r="N510" t="s">
        <v>7</v>
      </c>
      <c r="P510">
        <f t="shared" si="979"/>
        <v>-7.0175438596492903E-2</v>
      </c>
      <c r="Q510">
        <f t="shared" si="980"/>
        <v>-1005113.9368421292</v>
      </c>
      <c r="R510">
        <f t="shared" si="981"/>
        <v>-570758239.19154787</v>
      </c>
      <c r="S510">
        <f t="shared" si="982"/>
        <v>-5707.5823919154791</v>
      </c>
      <c r="T510">
        <f t="shared" si="983"/>
        <v>-5.7075823919154791</v>
      </c>
    </row>
    <row r="511" spans="1:20" x14ac:dyDescent="0.25">
      <c r="A511" s="5">
        <v>44082</v>
      </c>
      <c r="B511">
        <v>1.9109999999999999E-2</v>
      </c>
      <c r="C511">
        <v>2.1309999999999999E-2</v>
      </c>
      <c r="D511">
        <v>1.7500000000000002E-2</v>
      </c>
      <c r="E511">
        <v>1.933E-2</v>
      </c>
      <c r="F511">
        <v>16441193.4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-3.9370078740157723E-2</v>
      </c>
      <c r="Q511">
        <f t="shared" si="980"/>
        <v>-647291.07874016149</v>
      </c>
      <c r="R511">
        <f t="shared" si="981"/>
        <v>-569753125.25470579</v>
      </c>
      <c r="S511">
        <f t="shared" si="982"/>
        <v>-5697.5312525470581</v>
      </c>
      <c r="T511">
        <f t="shared" si="983"/>
        <v>-5.6975312525470585</v>
      </c>
    </row>
    <row r="512" spans="1:20" x14ac:dyDescent="0.25">
      <c r="A512" s="5">
        <v>44081</v>
      </c>
      <c r="B512">
        <v>1.9709999999999998E-2</v>
      </c>
      <c r="C512">
        <v>1.9769999999999999E-2</v>
      </c>
      <c r="D512">
        <v>1.753E-2</v>
      </c>
      <c r="E512">
        <v>1.899E-2</v>
      </c>
      <c r="F512">
        <v>7032338.7000000002</v>
      </c>
      <c r="G512">
        <v>0</v>
      </c>
      <c r="L512" t="s">
        <v>8</v>
      </c>
      <c r="M512" t="s">
        <v>7</v>
      </c>
      <c r="N512" t="s">
        <v>7</v>
      </c>
      <c r="P512">
        <f t="shared" si="979"/>
        <v>0.30357142857142871</v>
      </c>
      <c r="Q512">
        <f t="shared" si="980"/>
        <v>2134817.105357144</v>
      </c>
      <c r="R512">
        <f t="shared" si="981"/>
        <v>-569105834.17596567</v>
      </c>
      <c r="S512">
        <f t="shared" si="982"/>
        <v>-5691.0583417596563</v>
      </c>
      <c r="T512">
        <f t="shared" si="983"/>
        <v>-5.6910583417596561</v>
      </c>
    </row>
    <row r="513" spans="1:20" x14ac:dyDescent="0.25">
      <c r="A513" s="5">
        <v>44080</v>
      </c>
      <c r="B513">
        <v>1.8509999999999999E-2</v>
      </c>
      <c r="C513">
        <v>1.9879999999999998E-2</v>
      </c>
      <c r="D513">
        <v>1.703E-2</v>
      </c>
      <c r="E513">
        <v>1.9789999999999999E-2</v>
      </c>
      <c r="F513">
        <v>10700007.699999999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0.93684210526315803</v>
      </c>
      <c r="Q513">
        <f t="shared" si="980"/>
        <v>10024217.74</v>
      </c>
      <c r="R513">
        <f t="shared" si="981"/>
        <v>-571240651.28132284</v>
      </c>
      <c r="S513">
        <f t="shared" si="982"/>
        <v>-5712.4065128132288</v>
      </c>
      <c r="T513">
        <f t="shared" si="983"/>
        <v>-5.7124065128132289</v>
      </c>
    </row>
    <row r="514" spans="1:20" x14ac:dyDescent="0.25">
      <c r="A514" s="5">
        <v>44079</v>
      </c>
      <c r="B514">
        <v>2.2179999999999998E-2</v>
      </c>
      <c r="C514">
        <v>2.2919999999999999E-2</v>
      </c>
      <c r="D514">
        <v>1.7409999999999998E-2</v>
      </c>
      <c r="E514">
        <v>1.8429999999999998E-2</v>
      </c>
      <c r="F514">
        <v>12901150.6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-0.62976406533575324</v>
      </c>
      <c r="Q514">
        <f t="shared" si="980"/>
        <v>-8124681.0493647922</v>
      </c>
      <c r="R514">
        <f t="shared" si="981"/>
        <v>-581264869.02132285</v>
      </c>
      <c r="S514">
        <f t="shared" si="982"/>
        <v>-5812.6486902132283</v>
      </c>
      <c r="T514">
        <f t="shared" si="983"/>
        <v>-5.8126486902132282</v>
      </c>
    </row>
    <row r="515" spans="1:20" x14ac:dyDescent="0.25">
      <c r="A515" s="5">
        <v>44078</v>
      </c>
      <c r="B515">
        <v>2.017E-2</v>
      </c>
      <c r="C515">
        <v>2.3869999999999999E-2</v>
      </c>
      <c r="D515">
        <v>1.9789999999999999E-2</v>
      </c>
      <c r="E515">
        <v>2.2179999999999998E-2</v>
      </c>
      <c r="F515">
        <v>21764890.600000001</v>
      </c>
      <c r="G515">
        <v>0</v>
      </c>
      <c r="L515" t="s">
        <v>8</v>
      </c>
      <c r="M515" t="s">
        <v>8</v>
      </c>
      <c r="N515" t="s">
        <v>7</v>
      </c>
      <c r="P515">
        <f t="shared" si="979"/>
        <v>0.1715686274509802</v>
      </c>
      <c r="Q515">
        <f t="shared" si="980"/>
        <v>3734172.4068627413</v>
      </c>
      <c r="R515">
        <f t="shared" si="981"/>
        <v>-573140187.97195804</v>
      </c>
      <c r="S515">
        <f t="shared" si="982"/>
        <v>-5731.4018797195804</v>
      </c>
      <c r="T515">
        <f t="shared" si="983"/>
        <v>-5.7314018797195807</v>
      </c>
    </row>
    <row r="516" spans="1:20" x14ac:dyDescent="0.25">
      <c r="A516" s="5">
        <v>44077</v>
      </c>
      <c r="B516">
        <v>2.5999999999999999E-2</v>
      </c>
      <c r="C516">
        <v>2.6839999999999999E-2</v>
      </c>
      <c r="D516">
        <v>1.9429999999999999E-2</v>
      </c>
      <c r="E516">
        <v>2.019E-2</v>
      </c>
      <c r="F516">
        <v>21113509.5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-0.79487179487179482</v>
      </c>
      <c r="Q516">
        <f t="shared" si="980"/>
        <v>-16782533.192307692</v>
      </c>
      <c r="R516">
        <f t="shared" si="981"/>
        <v>-576874360.37882078</v>
      </c>
      <c r="S516">
        <f t="shared" si="982"/>
        <v>-5768.743603788208</v>
      </c>
      <c r="T516">
        <f t="shared" si="983"/>
        <v>-5.7687436037882076</v>
      </c>
    </row>
    <row r="517" spans="1:20" x14ac:dyDescent="0.25">
      <c r="A517" s="5">
        <v>44076</v>
      </c>
      <c r="B517">
        <v>2.8369999999999999E-2</v>
      </c>
      <c r="C517">
        <v>2.8490000000000001E-2</v>
      </c>
      <c r="D517">
        <v>2.5270000000000001E-2</v>
      </c>
      <c r="E517">
        <v>2.5999999999999999E-2</v>
      </c>
      <c r="F517">
        <v>14183255.699999999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-0.54658385093167838</v>
      </c>
      <c r="Q517">
        <f t="shared" si="980"/>
        <v>-7752338.519254677</v>
      </c>
      <c r="R517">
        <f t="shared" si="981"/>
        <v>-560091827.18651307</v>
      </c>
      <c r="S517">
        <f t="shared" si="982"/>
        <v>-5600.9182718651309</v>
      </c>
      <c r="T517">
        <f t="shared" si="983"/>
        <v>-5.6009182718651314</v>
      </c>
    </row>
    <row r="518" spans="1:20" x14ac:dyDescent="0.25">
      <c r="A518" s="5">
        <v>44075</v>
      </c>
      <c r="B518">
        <v>3.1800000000000002E-2</v>
      </c>
      <c r="C518">
        <v>3.1989999999999998E-2</v>
      </c>
      <c r="D518">
        <v>2.8049999999999999E-2</v>
      </c>
      <c r="E518">
        <v>2.836E-2</v>
      </c>
      <c r="F518">
        <v>13205431</v>
      </c>
      <c r="G518">
        <v>0</v>
      </c>
      <c r="L518" t="s">
        <v>7</v>
      </c>
      <c r="M518" t="s">
        <v>8</v>
      </c>
      <c r="N518" t="s">
        <v>7</v>
      </c>
      <c r="P518">
        <f t="shared" ref="P518:P581" si="984">IF(C518=D518,0,((E518-D518)-(C518-E518))/(C518-D518))</f>
        <v>-0.84263959390862875</v>
      </c>
      <c r="Q518">
        <f t="shared" ref="Q518:Q581" si="985">F518*P518</f>
        <v>-11127419.015228417</v>
      </c>
      <c r="R518">
        <f t="shared" ref="R518:R581" si="986">R519+Q518</f>
        <v>-552339488.66725838</v>
      </c>
      <c r="S518">
        <f t="shared" ref="S518:S581" si="987">R518/100000</f>
        <v>-5523.3948866725841</v>
      </c>
      <c r="T518">
        <f t="shared" ref="T518:T581" si="988">S518/1000</f>
        <v>-5.5233948866725839</v>
      </c>
    </row>
    <row r="519" spans="1:20" x14ac:dyDescent="0.25">
      <c r="A519" s="5">
        <v>44074</v>
      </c>
      <c r="B519">
        <v>3.0509999999999999E-2</v>
      </c>
      <c r="C519">
        <v>3.1899999999999998E-2</v>
      </c>
      <c r="D519">
        <v>3.0349999999999999E-2</v>
      </c>
      <c r="E519">
        <v>3.1820000000000001E-2</v>
      </c>
      <c r="F519">
        <v>10508671.6</v>
      </c>
      <c r="G519">
        <v>0</v>
      </c>
      <c r="L519" t="s">
        <v>8</v>
      </c>
      <c r="M519" t="s">
        <v>8</v>
      </c>
      <c r="N519" t="s">
        <v>7</v>
      </c>
      <c r="P519">
        <f t="shared" si="984"/>
        <v>0.89677419354839127</v>
      </c>
      <c r="Q519">
        <f t="shared" si="985"/>
        <v>9423905.4993548822</v>
      </c>
      <c r="R519">
        <f t="shared" si="986"/>
        <v>-541212069.65202999</v>
      </c>
      <c r="S519">
        <f t="shared" si="987"/>
        <v>-5412.1206965203</v>
      </c>
      <c r="T519">
        <f t="shared" si="988"/>
        <v>-5.4121206965202999</v>
      </c>
    </row>
    <row r="520" spans="1:20" x14ac:dyDescent="0.25">
      <c r="A520" s="5">
        <v>44073</v>
      </c>
      <c r="B520">
        <v>2.9399999999999999E-2</v>
      </c>
      <c r="C520">
        <v>3.1E-2</v>
      </c>
      <c r="D520">
        <v>2.8899999999999999E-2</v>
      </c>
      <c r="E520">
        <v>3.0550000000000001E-2</v>
      </c>
      <c r="F520">
        <v>8590240.4000000004</v>
      </c>
      <c r="G520">
        <v>0</v>
      </c>
      <c r="L520" t="s">
        <v>8</v>
      </c>
      <c r="M520" t="s">
        <v>7</v>
      </c>
      <c r="N520" t="s">
        <v>7</v>
      </c>
      <c r="P520">
        <f t="shared" si="984"/>
        <v>0.57142857142857262</v>
      </c>
      <c r="Q520">
        <f t="shared" si="985"/>
        <v>4908708.8000000101</v>
      </c>
      <c r="R520">
        <f t="shared" si="986"/>
        <v>-550635975.15138483</v>
      </c>
      <c r="S520">
        <f t="shared" si="987"/>
        <v>-5506.3597515138481</v>
      </c>
      <c r="T520">
        <f t="shared" si="988"/>
        <v>-5.5063597515138483</v>
      </c>
    </row>
    <row r="521" spans="1:20" x14ac:dyDescent="0.25">
      <c r="A521" s="5">
        <v>44072</v>
      </c>
      <c r="B521">
        <v>2.9139999999999999E-2</v>
      </c>
      <c r="C521">
        <v>3.0249999999999999E-2</v>
      </c>
      <c r="D521">
        <v>2.8500000000000001E-2</v>
      </c>
      <c r="E521">
        <v>2.9499999999999998E-2</v>
      </c>
      <c r="F521">
        <v>6688553.5999999996</v>
      </c>
      <c r="G521">
        <v>0</v>
      </c>
      <c r="L521" t="s">
        <v>8</v>
      </c>
      <c r="M521" t="s">
        <v>7</v>
      </c>
      <c r="N521" t="s">
        <v>7</v>
      </c>
      <c r="P521">
        <f t="shared" si="984"/>
        <v>0.14285714285714116</v>
      </c>
      <c r="Q521">
        <f t="shared" si="985"/>
        <v>955507.65714284568</v>
      </c>
      <c r="R521">
        <f t="shared" si="986"/>
        <v>-555544683.95138478</v>
      </c>
      <c r="S521">
        <f t="shared" si="987"/>
        <v>-5555.4468395138474</v>
      </c>
      <c r="T521">
        <f t="shared" si="988"/>
        <v>-5.5554468395138477</v>
      </c>
    </row>
    <row r="522" spans="1:20" x14ac:dyDescent="0.25">
      <c r="A522" s="5">
        <v>44071</v>
      </c>
      <c r="B522">
        <v>2.7879999999999999E-2</v>
      </c>
      <c r="C522">
        <v>3.006E-2</v>
      </c>
      <c r="D522">
        <v>2.7699999999999999E-2</v>
      </c>
      <c r="E522">
        <v>2.9139999999999999E-2</v>
      </c>
      <c r="F522">
        <v>9979710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0.2203389830508472</v>
      </c>
      <c r="Q522">
        <f t="shared" si="985"/>
        <v>2198919.1525423704</v>
      </c>
      <c r="R522">
        <f t="shared" si="986"/>
        <v>-556500191.60852766</v>
      </c>
      <c r="S522">
        <f t="shared" si="987"/>
        <v>-5565.0019160852762</v>
      </c>
      <c r="T522">
        <f t="shared" si="988"/>
        <v>-5.5650019160852766</v>
      </c>
    </row>
    <row r="523" spans="1:20" x14ac:dyDescent="0.25">
      <c r="A523" s="5">
        <v>44070</v>
      </c>
      <c r="B523">
        <v>3.0120000000000001E-2</v>
      </c>
      <c r="C523">
        <v>3.0300000000000001E-2</v>
      </c>
      <c r="D523">
        <v>2.7029999999999998E-2</v>
      </c>
      <c r="E523">
        <v>2.7959999999999999E-2</v>
      </c>
      <c r="F523">
        <v>11836927.800000001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-0.43119266055045891</v>
      </c>
      <c r="Q523">
        <f t="shared" si="985"/>
        <v>-5103996.3908256907</v>
      </c>
      <c r="R523">
        <f t="shared" si="986"/>
        <v>-558699110.76107001</v>
      </c>
      <c r="S523">
        <f t="shared" si="987"/>
        <v>-5586.9911076107001</v>
      </c>
      <c r="T523">
        <f t="shared" si="988"/>
        <v>-5.5869911076107002</v>
      </c>
    </row>
    <row r="524" spans="1:20" x14ac:dyDescent="0.25">
      <c r="A524" s="5">
        <v>44069</v>
      </c>
      <c r="B524">
        <v>3.0870000000000002E-2</v>
      </c>
      <c r="C524">
        <v>3.1489999999999997E-2</v>
      </c>
      <c r="D524">
        <v>2.9170000000000001E-2</v>
      </c>
      <c r="E524">
        <v>3.022E-2</v>
      </c>
      <c r="F524">
        <v>6625941.2000000002</v>
      </c>
      <c r="G524">
        <v>0</v>
      </c>
      <c r="L524" t="s">
        <v>7</v>
      </c>
      <c r="M524" t="s">
        <v>8</v>
      </c>
      <c r="N524" t="s">
        <v>7</v>
      </c>
      <c r="P524">
        <f t="shared" si="984"/>
        <v>-9.4827586206895853E-2</v>
      </c>
      <c r="Q524">
        <f t="shared" si="985"/>
        <v>-628322.01034482301</v>
      </c>
      <c r="R524">
        <f t="shared" si="986"/>
        <v>-553595114.37024426</v>
      </c>
      <c r="S524">
        <f t="shared" si="987"/>
        <v>-5535.951143702443</v>
      </c>
      <c r="T524">
        <f t="shared" si="988"/>
        <v>-5.5359511437024427</v>
      </c>
    </row>
    <row r="525" spans="1:20" x14ac:dyDescent="0.25">
      <c r="A525" s="5">
        <v>44068</v>
      </c>
      <c r="B525">
        <v>3.1989999999999998E-2</v>
      </c>
      <c r="C525">
        <v>3.4000000000000002E-2</v>
      </c>
      <c r="D525">
        <v>2.962E-2</v>
      </c>
      <c r="E525">
        <v>3.1099999999999999E-2</v>
      </c>
      <c r="F525">
        <v>11381928.199999999</v>
      </c>
      <c r="G525">
        <v>0</v>
      </c>
      <c r="L525" t="s">
        <v>7</v>
      </c>
      <c r="M525" t="s">
        <v>8</v>
      </c>
      <c r="N525" t="s">
        <v>7</v>
      </c>
      <c r="P525">
        <f t="shared" si="984"/>
        <v>-0.32420091324201006</v>
      </c>
      <c r="Q525">
        <f t="shared" si="985"/>
        <v>-3690031.5168949873</v>
      </c>
      <c r="R525">
        <f t="shared" si="986"/>
        <v>-552966792.3598994</v>
      </c>
      <c r="S525">
        <f t="shared" si="987"/>
        <v>-5529.6679235989941</v>
      </c>
      <c r="T525">
        <f t="shared" si="988"/>
        <v>-5.5296679235989945</v>
      </c>
    </row>
    <row r="526" spans="1:20" x14ac:dyDescent="0.25">
      <c r="A526" s="5">
        <v>44067</v>
      </c>
      <c r="B526">
        <v>3.109E-2</v>
      </c>
      <c r="C526">
        <v>3.4500000000000003E-2</v>
      </c>
      <c r="D526">
        <v>3.0380000000000001E-2</v>
      </c>
      <c r="E526">
        <v>3.1829999999999997E-2</v>
      </c>
      <c r="F526">
        <v>10231496.9</v>
      </c>
      <c r="G526">
        <v>0</v>
      </c>
      <c r="L526" t="s">
        <v>8</v>
      </c>
      <c r="M526" t="s">
        <v>8</v>
      </c>
      <c r="N526" t="s">
        <v>7</v>
      </c>
      <c r="P526">
        <f t="shared" si="984"/>
        <v>-0.29611650485437102</v>
      </c>
      <c r="Q526">
        <f t="shared" si="985"/>
        <v>-3029715.101456332</v>
      </c>
      <c r="R526">
        <f t="shared" si="986"/>
        <v>-549276760.84300447</v>
      </c>
      <c r="S526">
        <f t="shared" si="987"/>
        <v>-5492.7676084300447</v>
      </c>
      <c r="T526">
        <f t="shared" si="988"/>
        <v>-5.4927676084300447</v>
      </c>
    </row>
    <row r="527" spans="1:20" x14ac:dyDescent="0.25">
      <c r="A527" s="5">
        <v>44066</v>
      </c>
      <c r="B527">
        <v>3.2219999999999999E-2</v>
      </c>
      <c r="C527">
        <v>3.2419999999999997E-2</v>
      </c>
      <c r="D527">
        <v>3.031E-2</v>
      </c>
      <c r="E527">
        <v>3.125E-2</v>
      </c>
      <c r="F527">
        <v>4686858.5999999996</v>
      </c>
      <c r="G527">
        <v>0</v>
      </c>
      <c r="L527" t="s">
        <v>8</v>
      </c>
      <c r="M527" t="s">
        <v>7</v>
      </c>
      <c r="N527" t="s">
        <v>7</v>
      </c>
      <c r="P527">
        <f t="shared" si="984"/>
        <v>-0.10900473933649188</v>
      </c>
      <c r="Q527">
        <f t="shared" si="985"/>
        <v>-510889.79999999522</v>
      </c>
      <c r="R527">
        <f t="shared" si="986"/>
        <v>-546247045.74154818</v>
      </c>
      <c r="S527">
        <f t="shared" si="987"/>
        <v>-5462.4704574154821</v>
      </c>
      <c r="T527">
        <f t="shared" si="988"/>
        <v>-5.4624704574154821</v>
      </c>
    </row>
    <row r="528" spans="1:20" x14ac:dyDescent="0.25">
      <c r="A528" s="5">
        <v>44065</v>
      </c>
      <c r="B528">
        <v>3.0370000000000001E-2</v>
      </c>
      <c r="C528">
        <v>3.4799999999999998E-2</v>
      </c>
      <c r="D528">
        <v>2.8000000000000001E-2</v>
      </c>
      <c r="E528">
        <v>3.2410000000000001E-2</v>
      </c>
      <c r="F528">
        <v>16017024.699999999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0.29705882352941254</v>
      </c>
      <c r="Q528">
        <f t="shared" si="985"/>
        <v>4757998.5138235418</v>
      </c>
      <c r="R528">
        <f t="shared" si="986"/>
        <v>-545736155.94154823</v>
      </c>
      <c r="S528">
        <f t="shared" si="987"/>
        <v>-5457.3615594154826</v>
      </c>
      <c r="T528">
        <f t="shared" si="988"/>
        <v>-5.4573615594154825</v>
      </c>
    </row>
    <row r="529" spans="1:20" x14ac:dyDescent="0.25">
      <c r="A529" s="5">
        <v>44064</v>
      </c>
      <c r="B529">
        <v>3.415E-2</v>
      </c>
      <c r="C529">
        <v>3.7999999999999999E-2</v>
      </c>
      <c r="D529">
        <v>2.9360000000000001E-2</v>
      </c>
      <c r="E529">
        <v>3.0370000000000001E-2</v>
      </c>
      <c r="F529">
        <v>37882156</v>
      </c>
      <c r="G529">
        <v>0</v>
      </c>
      <c r="L529" t="s">
        <v>8</v>
      </c>
      <c r="M529" t="s">
        <v>7</v>
      </c>
      <c r="N529" t="s">
        <v>7</v>
      </c>
      <c r="P529">
        <f t="shared" si="984"/>
        <v>-0.7662037037037035</v>
      </c>
      <c r="Q529">
        <f t="shared" si="985"/>
        <v>-29025448.231481474</v>
      </c>
      <c r="R529">
        <f t="shared" si="986"/>
        <v>-550494154.45537174</v>
      </c>
      <c r="S529">
        <f t="shared" si="987"/>
        <v>-5504.941544553717</v>
      </c>
      <c r="T529">
        <f t="shared" si="988"/>
        <v>-5.5049415445537173</v>
      </c>
    </row>
    <row r="530" spans="1:20" x14ac:dyDescent="0.25">
      <c r="A530" s="5">
        <v>44063</v>
      </c>
      <c r="B530">
        <v>3.1199999999999999E-2</v>
      </c>
      <c r="C530">
        <v>3.6600000000000001E-2</v>
      </c>
      <c r="D530">
        <v>3.1130000000000001E-2</v>
      </c>
      <c r="E530">
        <v>3.422E-2</v>
      </c>
      <c r="F530">
        <v>24953926.399999999</v>
      </c>
      <c r="G530">
        <v>0</v>
      </c>
      <c r="L530" t="s">
        <v>8</v>
      </c>
      <c r="M530" t="s">
        <v>8</v>
      </c>
      <c r="N530" t="s">
        <v>7</v>
      </c>
      <c r="P530">
        <f t="shared" si="984"/>
        <v>0.12979890310786085</v>
      </c>
      <c r="Q530">
        <f t="shared" si="985"/>
        <v>3238992.2749542906</v>
      </c>
      <c r="R530">
        <f t="shared" si="986"/>
        <v>-521468706.22389024</v>
      </c>
      <c r="S530">
        <f t="shared" si="987"/>
        <v>-5214.6870622389024</v>
      </c>
      <c r="T530">
        <f t="shared" si="988"/>
        <v>-5.2146870622389025</v>
      </c>
    </row>
    <row r="531" spans="1:20" x14ac:dyDescent="0.25">
      <c r="A531" s="5">
        <v>44062</v>
      </c>
      <c r="B531">
        <v>3.5659999999999997E-2</v>
      </c>
      <c r="C531">
        <v>3.6450000000000003E-2</v>
      </c>
      <c r="D531">
        <v>3.0009999999999998E-2</v>
      </c>
      <c r="E531">
        <v>3.1119999999999998E-2</v>
      </c>
      <c r="F531">
        <v>27623952.5</v>
      </c>
      <c r="G531">
        <v>0</v>
      </c>
      <c r="L531" t="s">
        <v>7</v>
      </c>
      <c r="M531" t="s">
        <v>7</v>
      </c>
      <c r="N531" t="s">
        <v>7</v>
      </c>
      <c r="P531">
        <f t="shared" si="984"/>
        <v>-0.65527950310559036</v>
      </c>
      <c r="Q531">
        <f t="shared" si="985"/>
        <v>-18101409.868012432</v>
      </c>
      <c r="R531">
        <f t="shared" si="986"/>
        <v>-524707698.49884456</v>
      </c>
      <c r="S531">
        <f t="shared" si="987"/>
        <v>-5247.0769849884455</v>
      </c>
      <c r="T531">
        <f t="shared" si="988"/>
        <v>-5.2470769849884453</v>
      </c>
    </row>
    <row r="532" spans="1:20" x14ac:dyDescent="0.25">
      <c r="A532" s="5">
        <v>44061</v>
      </c>
      <c r="B532">
        <v>3.7350000000000001E-2</v>
      </c>
      <c r="C532">
        <v>4.3369999999999999E-2</v>
      </c>
      <c r="D532">
        <v>3.5360000000000003E-2</v>
      </c>
      <c r="E532">
        <v>3.5659999999999997E-2</v>
      </c>
      <c r="F532">
        <v>62632693.600000001</v>
      </c>
      <c r="G532">
        <v>0</v>
      </c>
      <c r="L532" t="s">
        <v>8</v>
      </c>
      <c r="M532" t="s">
        <v>8</v>
      </c>
      <c r="N532" t="s">
        <v>8</v>
      </c>
      <c r="P532">
        <f t="shared" si="984"/>
        <v>-0.92509363295880276</v>
      </c>
      <c r="Q532">
        <f t="shared" si="985"/>
        <v>-57941106.064419553</v>
      </c>
      <c r="R532">
        <f t="shared" si="986"/>
        <v>-506606288.63083214</v>
      </c>
      <c r="S532">
        <f t="shared" si="987"/>
        <v>-5066.0628863083211</v>
      </c>
      <c r="T532">
        <f t="shared" si="988"/>
        <v>-5.0660628863083215</v>
      </c>
    </row>
    <row r="533" spans="1:20" x14ac:dyDescent="0.25">
      <c r="A533" s="5">
        <v>44060</v>
      </c>
      <c r="B533">
        <v>3.4540000000000001E-2</v>
      </c>
      <c r="C533">
        <v>3.959E-2</v>
      </c>
      <c r="D533">
        <v>3.116E-2</v>
      </c>
      <c r="E533">
        <v>3.7150000000000002E-2</v>
      </c>
      <c r="F533">
        <v>52877256.100000001</v>
      </c>
      <c r="G533">
        <v>0</v>
      </c>
      <c r="L533" t="s">
        <v>7</v>
      </c>
      <c r="M533" t="s">
        <v>8</v>
      </c>
      <c r="N533" t="s">
        <v>8</v>
      </c>
      <c r="P533">
        <f t="shared" si="984"/>
        <v>0.42111506524317965</v>
      </c>
      <c r="Q533">
        <f t="shared" si="985"/>
        <v>22267409.15243182</v>
      </c>
      <c r="R533">
        <f t="shared" si="986"/>
        <v>-448665182.56641257</v>
      </c>
      <c r="S533">
        <f t="shared" si="987"/>
        <v>-4486.6518256641257</v>
      </c>
      <c r="T533">
        <f t="shared" si="988"/>
        <v>-4.4866518256641257</v>
      </c>
    </row>
    <row r="534" spans="1:20" x14ac:dyDescent="0.25">
      <c r="A534" s="5">
        <v>44059</v>
      </c>
      <c r="B534">
        <v>3.4619999999999998E-2</v>
      </c>
      <c r="C534">
        <v>3.5650000000000001E-2</v>
      </c>
      <c r="D534">
        <v>3.3099999999999997E-2</v>
      </c>
      <c r="E534">
        <v>3.458E-2</v>
      </c>
      <c r="F534">
        <v>12789599.300000001</v>
      </c>
      <c r="G534">
        <v>0</v>
      </c>
      <c r="L534" t="s">
        <v>7</v>
      </c>
      <c r="M534" t="s">
        <v>8</v>
      </c>
      <c r="N534" t="s">
        <v>8</v>
      </c>
      <c r="P534">
        <f t="shared" si="984"/>
        <v>0.16078431372549021</v>
      </c>
      <c r="Q534">
        <f t="shared" si="985"/>
        <v>2056366.9462745101</v>
      </c>
      <c r="R534">
        <f t="shared" si="986"/>
        <v>-470932591.71884441</v>
      </c>
      <c r="S534">
        <f t="shared" si="987"/>
        <v>-4709.3259171884438</v>
      </c>
      <c r="T534">
        <f t="shared" si="988"/>
        <v>-4.7093259171884441</v>
      </c>
    </row>
    <row r="535" spans="1:20" x14ac:dyDescent="0.25">
      <c r="A535" s="5">
        <v>44058</v>
      </c>
      <c r="B535">
        <v>3.3070000000000002E-2</v>
      </c>
      <c r="C535">
        <v>3.7740000000000003E-2</v>
      </c>
      <c r="D535">
        <v>3.184E-2</v>
      </c>
      <c r="E535">
        <v>3.4619999999999998E-2</v>
      </c>
      <c r="F535">
        <v>33325554.600000001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-5.7627118644068956E-2</v>
      </c>
      <c r="Q535">
        <f t="shared" si="985"/>
        <v>-1920455.6888135981</v>
      </c>
      <c r="R535">
        <f t="shared" si="986"/>
        <v>-472988958.66511893</v>
      </c>
      <c r="S535">
        <f t="shared" si="987"/>
        <v>-4729.8895866511893</v>
      </c>
      <c r="T535">
        <f t="shared" si="988"/>
        <v>-4.729889586651189</v>
      </c>
    </row>
    <row r="536" spans="1:20" x14ac:dyDescent="0.25">
      <c r="A536" s="5">
        <v>44057</v>
      </c>
      <c r="B536">
        <v>3.0589999999999999E-2</v>
      </c>
      <c r="C536">
        <v>3.4569999999999997E-2</v>
      </c>
      <c r="D536">
        <v>2.9950000000000001E-2</v>
      </c>
      <c r="E536">
        <v>3.3070000000000002E-2</v>
      </c>
      <c r="F536">
        <v>27569628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0.35064935064935249</v>
      </c>
      <c r="Q536">
        <f t="shared" si="985"/>
        <v>9667272.155844206</v>
      </c>
      <c r="R536">
        <f t="shared" si="986"/>
        <v>-471068502.97630531</v>
      </c>
      <c r="S536">
        <f t="shared" si="987"/>
        <v>-4710.6850297630526</v>
      </c>
      <c r="T536">
        <f t="shared" si="988"/>
        <v>-4.7106850297630523</v>
      </c>
    </row>
    <row r="537" spans="1:20" x14ac:dyDescent="0.25">
      <c r="A537" s="5">
        <v>44056</v>
      </c>
      <c r="B537">
        <v>3.2320000000000002E-2</v>
      </c>
      <c r="C537">
        <v>3.2599999999999997E-2</v>
      </c>
      <c r="D537">
        <v>2.9329999999999998E-2</v>
      </c>
      <c r="E537">
        <v>3.0499999999999999E-2</v>
      </c>
      <c r="F537">
        <v>29777446.399999999</v>
      </c>
      <c r="G537">
        <v>0</v>
      </c>
      <c r="L537" t="s">
        <v>7</v>
      </c>
      <c r="M537" t="s">
        <v>8</v>
      </c>
      <c r="N537" t="s">
        <v>8</v>
      </c>
      <c r="P537">
        <f t="shared" si="984"/>
        <v>-0.28440366972476977</v>
      </c>
      <c r="Q537">
        <f t="shared" si="985"/>
        <v>-8468815.0311926343</v>
      </c>
      <c r="R537">
        <f t="shared" si="986"/>
        <v>-480735775.13214952</v>
      </c>
      <c r="S537">
        <f t="shared" si="987"/>
        <v>-4807.357751321495</v>
      </c>
      <c r="T537">
        <f t="shared" si="988"/>
        <v>-4.8073577513214953</v>
      </c>
    </row>
    <row r="538" spans="1:20" x14ac:dyDescent="0.25">
      <c r="A538" s="5">
        <v>44055</v>
      </c>
      <c r="B538">
        <v>2.8049999999999999E-2</v>
      </c>
      <c r="C538">
        <v>3.4229999999999997E-2</v>
      </c>
      <c r="D538">
        <v>2.7449999999999999E-2</v>
      </c>
      <c r="E538">
        <v>3.2320000000000002E-2</v>
      </c>
      <c r="F538">
        <v>42158279.100000001</v>
      </c>
      <c r="G538">
        <v>0</v>
      </c>
      <c r="L538" t="s">
        <v>8</v>
      </c>
      <c r="M538" t="s">
        <v>8</v>
      </c>
      <c r="N538" t="s">
        <v>8</v>
      </c>
      <c r="P538">
        <f t="shared" si="984"/>
        <v>0.4365781710914467</v>
      </c>
      <c r="Q538">
        <f t="shared" si="985"/>
        <v>18405384.385840762</v>
      </c>
      <c r="R538">
        <f t="shared" si="986"/>
        <v>-472266960.10095686</v>
      </c>
      <c r="S538">
        <f t="shared" si="987"/>
        <v>-4722.6696010095684</v>
      </c>
      <c r="T538">
        <f t="shared" si="988"/>
        <v>-4.7226696010095681</v>
      </c>
    </row>
    <row r="539" spans="1:20" x14ac:dyDescent="0.25">
      <c r="A539" s="5">
        <v>44054</v>
      </c>
      <c r="B539">
        <v>3.014E-2</v>
      </c>
      <c r="C539">
        <v>3.0540000000000001E-2</v>
      </c>
      <c r="D539">
        <v>2.7099999999999999E-2</v>
      </c>
      <c r="E539">
        <v>2.8000000000000001E-2</v>
      </c>
      <c r="F539">
        <v>12029083.6</v>
      </c>
      <c r="G539">
        <v>0</v>
      </c>
      <c r="L539" t="s">
        <v>7</v>
      </c>
      <c r="M539" t="s">
        <v>8</v>
      </c>
      <c r="N539" t="s">
        <v>8</v>
      </c>
      <c r="P539">
        <f t="shared" si="984"/>
        <v>-0.47674418604651109</v>
      </c>
      <c r="Q539">
        <f t="shared" si="985"/>
        <v>-5734795.6697674356</v>
      </c>
      <c r="R539">
        <f t="shared" si="986"/>
        <v>-490672344.48679763</v>
      </c>
      <c r="S539">
        <f t="shared" si="987"/>
        <v>-4906.7234448679765</v>
      </c>
      <c r="T539">
        <f t="shared" si="988"/>
        <v>-4.9067234448679766</v>
      </c>
    </row>
    <row r="540" spans="1:20" x14ac:dyDescent="0.25">
      <c r="A540" s="5">
        <v>44053</v>
      </c>
      <c r="B540">
        <v>2.9669999999999998E-2</v>
      </c>
      <c r="C540">
        <v>3.1050000000000001E-2</v>
      </c>
      <c r="D540">
        <v>2.7969999999999998E-2</v>
      </c>
      <c r="E540">
        <v>3.014E-2</v>
      </c>
      <c r="F540">
        <v>19567944.199999999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0.40909090909090895</v>
      </c>
      <c r="Q540">
        <f t="shared" si="985"/>
        <v>8005068.0818181783</v>
      </c>
      <c r="R540">
        <f t="shared" si="986"/>
        <v>-484937548.81703019</v>
      </c>
      <c r="S540">
        <f t="shared" si="987"/>
        <v>-4849.3754881703017</v>
      </c>
      <c r="T540">
        <f t="shared" si="988"/>
        <v>-4.8493754881703017</v>
      </c>
    </row>
    <row r="541" spans="1:20" x14ac:dyDescent="0.25">
      <c r="A541" s="5">
        <v>44052</v>
      </c>
      <c r="B541">
        <v>2.7629999999999998E-2</v>
      </c>
      <c r="C541">
        <v>3.0679999999999999E-2</v>
      </c>
      <c r="D541">
        <v>2.63E-2</v>
      </c>
      <c r="E541">
        <v>2.9669999999999998E-2</v>
      </c>
      <c r="F541">
        <v>27533755.100000001</v>
      </c>
      <c r="G541">
        <v>0</v>
      </c>
      <c r="L541" t="s">
        <v>7</v>
      </c>
      <c r="M541" t="s">
        <v>8</v>
      </c>
      <c r="N541" t="s">
        <v>8</v>
      </c>
      <c r="P541">
        <f t="shared" si="984"/>
        <v>0.53881278538812749</v>
      </c>
      <c r="Q541">
        <f t="shared" si="985"/>
        <v>14835539.277625561</v>
      </c>
      <c r="R541">
        <f t="shared" si="986"/>
        <v>-492942616.89884835</v>
      </c>
      <c r="S541">
        <f t="shared" si="987"/>
        <v>-4929.4261689884834</v>
      </c>
      <c r="T541">
        <f t="shared" si="988"/>
        <v>-4.9294261689884831</v>
      </c>
    </row>
    <row r="542" spans="1:20" x14ac:dyDescent="0.25">
      <c r="A542" s="5">
        <v>44051</v>
      </c>
      <c r="B542">
        <v>2.707E-2</v>
      </c>
      <c r="C542">
        <v>2.937E-2</v>
      </c>
      <c r="D542">
        <v>2.6950000000000002E-2</v>
      </c>
      <c r="E542">
        <v>2.7629999999999998E-2</v>
      </c>
      <c r="F542">
        <v>21034391</v>
      </c>
      <c r="G542">
        <v>0</v>
      </c>
      <c r="L542" t="s">
        <v>7</v>
      </c>
      <c r="M542" t="s">
        <v>8</v>
      </c>
      <c r="N542" t="s">
        <v>8</v>
      </c>
      <c r="P542">
        <f t="shared" si="984"/>
        <v>-0.43801652892562232</v>
      </c>
      <c r="Q542">
        <f t="shared" si="985"/>
        <v>-9213410.9338843506</v>
      </c>
      <c r="R542">
        <f t="shared" si="986"/>
        <v>-507778156.17647392</v>
      </c>
      <c r="S542">
        <f t="shared" si="987"/>
        <v>-5077.7815617647393</v>
      </c>
      <c r="T542">
        <f t="shared" si="988"/>
        <v>-5.0777815617647395</v>
      </c>
    </row>
    <row r="543" spans="1:20" x14ac:dyDescent="0.25">
      <c r="A543" s="5">
        <v>44050</v>
      </c>
      <c r="B543">
        <v>2.4969999999999999E-2</v>
      </c>
      <c r="C543">
        <v>2.9170000000000001E-2</v>
      </c>
      <c r="D543">
        <v>2.4969999999999999E-2</v>
      </c>
      <c r="E543">
        <v>2.7060000000000001E-2</v>
      </c>
      <c r="F543">
        <v>26106121.699999999</v>
      </c>
      <c r="G543">
        <v>0</v>
      </c>
      <c r="L543" t="s">
        <v>8</v>
      </c>
      <c r="M543" t="s">
        <v>8</v>
      </c>
      <c r="N543" t="s">
        <v>8</v>
      </c>
      <c r="P543">
        <f t="shared" si="984"/>
        <v>-4.7619047619045654E-3</v>
      </c>
      <c r="Q543">
        <f t="shared" si="985"/>
        <v>-124314.8652380901</v>
      </c>
      <c r="R543">
        <f t="shared" si="986"/>
        <v>-498564745.24258959</v>
      </c>
      <c r="S543">
        <f t="shared" si="987"/>
        <v>-4985.6474524258956</v>
      </c>
      <c r="T543">
        <f t="shared" si="988"/>
        <v>-4.985647452425896</v>
      </c>
    </row>
    <row r="544" spans="1:20" x14ac:dyDescent="0.25">
      <c r="A544" s="5">
        <v>44049</v>
      </c>
      <c r="B544">
        <v>2.3199999999999998E-2</v>
      </c>
      <c r="C544">
        <v>2.5579999999999999E-2</v>
      </c>
      <c r="D544">
        <v>2.3199999999999998E-2</v>
      </c>
      <c r="E544">
        <v>2.511E-2</v>
      </c>
      <c r="F544">
        <v>18043019.899999999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0.6050420168067242</v>
      </c>
      <c r="Q544">
        <f t="shared" si="985"/>
        <v>10916785.149579858</v>
      </c>
      <c r="R544">
        <f t="shared" si="986"/>
        <v>-498440430.37735152</v>
      </c>
      <c r="S544">
        <f t="shared" si="987"/>
        <v>-4984.4043037735155</v>
      </c>
      <c r="T544">
        <f t="shared" si="988"/>
        <v>-4.9844043037735153</v>
      </c>
    </row>
    <row r="545" spans="1:20" x14ac:dyDescent="0.25">
      <c r="A545" s="5">
        <v>44048</v>
      </c>
      <c r="B545">
        <v>2.367E-2</v>
      </c>
      <c r="C545">
        <v>2.41E-2</v>
      </c>
      <c r="D545">
        <v>2.2849999999999999E-2</v>
      </c>
      <c r="E545">
        <v>2.316E-2</v>
      </c>
      <c r="F545">
        <v>9576866.1999999993</v>
      </c>
      <c r="G545">
        <v>0</v>
      </c>
      <c r="L545" t="s">
        <v>8</v>
      </c>
      <c r="M545" t="s">
        <v>8</v>
      </c>
      <c r="N545" t="s">
        <v>8</v>
      </c>
      <c r="P545">
        <f t="shared" si="984"/>
        <v>-0.50399999999999845</v>
      </c>
      <c r="Q545">
        <f t="shared" si="985"/>
        <v>-4826740.5647999849</v>
      </c>
      <c r="R545">
        <f t="shared" si="986"/>
        <v>-509357215.52693141</v>
      </c>
      <c r="S545">
        <f t="shared" si="987"/>
        <v>-5093.572155269314</v>
      </c>
      <c r="T545">
        <f t="shared" si="988"/>
        <v>-5.0935721552693138</v>
      </c>
    </row>
    <row r="546" spans="1:20" x14ac:dyDescent="0.25">
      <c r="A546" s="5">
        <v>44047</v>
      </c>
      <c r="B546">
        <v>2.2620000000000001E-2</v>
      </c>
      <c r="C546">
        <v>2.4240000000000001E-2</v>
      </c>
      <c r="D546">
        <v>2.206E-2</v>
      </c>
      <c r="E546">
        <v>2.3800000000000002E-2</v>
      </c>
      <c r="F546">
        <v>16159680.9</v>
      </c>
      <c r="G546">
        <v>0</v>
      </c>
      <c r="L546" t="s">
        <v>8</v>
      </c>
      <c r="M546" t="s">
        <v>8</v>
      </c>
      <c r="N546" t="s">
        <v>8</v>
      </c>
      <c r="P546">
        <f t="shared" si="984"/>
        <v>0.59633027522935855</v>
      </c>
      <c r="Q546">
        <f t="shared" si="985"/>
        <v>9636506.9587156083</v>
      </c>
      <c r="R546">
        <f t="shared" si="986"/>
        <v>-504530474.96213144</v>
      </c>
      <c r="S546">
        <f t="shared" si="987"/>
        <v>-5045.3047496213148</v>
      </c>
      <c r="T546">
        <f t="shared" si="988"/>
        <v>-5.045304749621315</v>
      </c>
    </row>
    <row r="547" spans="1:20" x14ac:dyDescent="0.25">
      <c r="A547" s="5">
        <v>44046</v>
      </c>
      <c r="B547">
        <v>2.2380000000000001E-2</v>
      </c>
      <c r="C547">
        <v>2.4E-2</v>
      </c>
      <c r="D547">
        <v>2.2249999999999999E-2</v>
      </c>
      <c r="E547">
        <v>2.2550000000000001E-2</v>
      </c>
      <c r="F547">
        <v>9530802.5</v>
      </c>
      <c r="G547">
        <v>0</v>
      </c>
      <c r="L547" t="s">
        <v>8</v>
      </c>
      <c r="M547" t="s">
        <v>8</v>
      </c>
      <c r="N547" t="s">
        <v>8</v>
      </c>
      <c r="P547">
        <f t="shared" si="984"/>
        <v>-0.65714285714285559</v>
      </c>
      <c r="Q547">
        <f t="shared" si="985"/>
        <v>-6263098.7857142705</v>
      </c>
      <c r="R547">
        <f t="shared" si="986"/>
        <v>-514166981.92084706</v>
      </c>
      <c r="S547">
        <f t="shared" si="987"/>
        <v>-5141.6698192084705</v>
      </c>
      <c r="T547">
        <f t="shared" si="988"/>
        <v>-5.1416698192084702</v>
      </c>
    </row>
    <row r="548" spans="1:20" x14ac:dyDescent="0.25">
      <c r="A548" s="5">
        <v>44045</v>
      </c>
      <c r="B548">
        <v>2.264E-2</v>
      </c>
      <c r="C548">
        <v>2.3009999999999999E-2</v>
      </c>
      <c r="D548">
        <v>2.1350000000000001E-2</v>
      </c>
      <c r="E548">
        <v>2.2429999999999999E-2</v>
      </c>
      <c r="F548">
        <v>6487948.5</v>
      </c>
      <c r="G548">
        <v>0</v>
      </c>
      <c r="L548" t="s">
        <v>7</v>
      </c>
      <c r="M548" t="s">
        <v>8</v>
      </c>
      <c r="N548" t="s">
        <v>8</v>
      </c>
      <c r="P548">
        <f t="shared" si="984"/>
        <v>0.30120481927710691</v>
      </c>
      <c r="Q548">
        <f t="shared" si="985"/>
        <v>1954201.3554216768</v>
      </c>
      <c r="R548">
        <f t="shared" si="986"/>
        <v>-507903883.13513279</v>
      </c>
      <c r="S548">
        <f t="shared" si="987"/>
        <v>-5079.0388313513276</v>
      </c>
      <c r="T548">
        <f t="shared" si="988"/>
        <v>-5.0790388313513279</v>
      </c>
    </row>
    <row r="549" spans="1:20" x14ac:dyDescent="0.25">
      <c r="A549" s="5">
        <v>44044</v>
      </c>
      <c r="B549">
        <v>2.1989999999999999E-2</v>
      </c>
      <c r="C549">
        <v>2.3730000000000001E-2</v>
      </c>
      <c r="D549">
        <v>2.18E-2</v>
      </c>
      <c r="E549">
        <v>2.2759999999999999E-2</v>
      </c>
      <c r="F549">
        <v>7960382.4000000004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-5.1813471502606505E-3</v>
      </c>
      <c r="Q549">
        <f t="shared" si="985"/>
        <v>-41245.504663225038</v>
      </c>
      <c r="R549">
        <f t="shared" si="986"/>
        <v>-509858084.49055445</v>
      </c>
      <c r="S549">
        <f t="shared" si="987"/>
        <v>-5098.5808449055448</v>
      </c>
      <c r="T549">
        <f t="shared" si="988"/>
        <v>-5.0985808449055448</v>
      </c>
    </row>
    <row r="550" spans="1:20" x14ac:dyDescent="0.25">
      <c r="A550" s="5">
        <v>44043</v>
      </c>
      <c r="B550">
        <v>2.3550000000000001E-2</v>
      </c>
      <c r="C550">
        <v>2.3789999999999999E-2</v>
      </c>
      <c r="D550">
        <v>2.1700000000000001E-2</v>
      </c>
      <c r="E550">
        <v>2.1989999999999999E-2</v>
      </c>
      <c r="F550">
        <v>7216193.7999999998</v>
      </c>
      <c r="G550">
        <v>0</v>
      </c>
      <c r="L550" t="s">
        <v>7</v>
      </c>
      <c r="M550" t="s">
        <v>8</v>
      </c>
      <c r="N550" t="s">
        <v>8</v>
      </c>
      <c r="P550">
        <f t="shared" si="984"/>
        <v>-0.72248803827751307</v>
      </c>
      <c r="Q550">
        <f t="shared" si="985"/>
        <v>-5213613.7023923527</v>
      </c>
      <c r="R550">
        <f t="shared" si="986"/>
        <v>-509816838.98589122</v>
      </c>
      <c r="S550">
        <f t="shared" si="987"/>
        <v>-5098.1683898589126</v>
      </c>
      <c r="T550">
        <f t="shared" si="988"/>
        <v>-5.0981683898589125</v>
      </c>
    </row>
    <row r="551" spans="1:20" x14ac:dyDescent="0.25">
      <c r="A551" s="5">
        <v>44042</v>
      </c>
      <c r="B551">
        <v>2.3179999999999999E-2</v>
      </c>
      <c r="C551">
        <v>2.4760000000000001E-2</v>
      </c>
      <c r="D551">
        <v>2.2870000000000001E-2</v>
      </c>
      <c r="E551">
        <v>2.3439999999999999E-2</v>
      </c>
      <c r="F551">
        <v>7864938.7999999998</v>
      </c>
      <c r="G551">
        <v>0</v>
      </c>
      <c r="L551" t="s">
        <v>8</v>
      </c>
      <c r="M551" t="s">
        <v>8</v>
      </c>
      <c r="N551" t="s">
        <v>8</v>
      </c>
      <c r="P551">
        <f t="shared" si="984"/>
        <v>-0.39682539682539913</v>
      </c>
      <c r="Q551">
        <f t="shared" si="985"/>
        <v>-3121007.4603174785</v>
      </c>
      <c r="R551">
        <f t="shared" si="986"/>
        <v>-504603225.28349888</v>
      </c>
      <c r="S551">
        <f t="shared" si="987"/>
        <v>-5046.0322528349889</v>
      </c>
      <c r="T551">
        <f t="shared" si="988"/>
        <v>-5.0460322528349888</v>
      </c>
    </row>
    <row r="552" spans="1:20" x14ac:dyDescent="0.25">
      <c r="A552" s="5">
        <v>44041</v>
      </c>
      <c r="B552">
        <v>2.2509999999999999E-2</v>
      </c>
      <c r="C552">
        <v>2.4629999999999999E-2</v>
      </c>
      <c r="D552">
        <v>2.2020000000000001E-2</v>
      </c>
      <c r="E552">
        <v>2.315E-2</v>
      </c>
      <c r="F552">
        <v>10136694.9</v>
      </c>
      <c r="G552">
        <v>0</v>
      </c>
      <c r="L552" t="s">
        <v>8</v>
      </c>
      <c r="M552" t="s">
        <v>8</v>
      </c>
      <c r="N552" t="s">
        <v>8</v>
      </c>
      <c r="P552">
        <f t="shared" si="984"/>
        <v>-0.13409961685823751</v>
      </c>
      <c r="Q552">
        <f t="shared" si="985"/>
        <v>-1359326.9022988502</v>
      </c>
      <c r="R552">
        <f t="shared" si="986"/>
        <v>-501482217.82318139</v>
      </c>
      <c r="S552">
        <f t="shared" si="987"/>
        <v>-5014.8221782318142</v>
      </c>
      <c r="T552">
        <f t="shared" si="988"/>
        <v>-5.0148221782318139</v>
      </c>
    </row>
    <row r="553" spans="1:20" x14ac:dyDescent="0.25">
      <c r="A553" s="5">
        <v>44040</v>
      </c>
      <c r="B553">
        <v>2.1850000000000001E-2</v>
      </c>
      <c r="C553">
        <v>2.3040000000000001E-2</v>
      </c>
      <c r="D553">
        <v>2.1270000000000001E-2</v>
      </c>
      <c r="E553">
        <v>2.2419999999999999E-2</v>
      </c>
      <c r="F553">
        <v>8784793.1999999993</v>
      </c>
      <c r="G553">
        <v>0</v>
      </c>
      <c r="L553" t="s">
        <v>8</v>
      </c>
      <c r="M553" t="s">
        <v>7</v>
      </c>
      <c r="N553" t="s">
        <v>8</v>
      </c>
      <c r="P553">
        <f t="shared" si="984"/>
        <v>0.29943502824858503</v>
      </c>
      <c r="Q553">
        <f t="shared" si="985"/>
        <v>2630474.7999999775</v>
      </c>
      <c r="R553">
        <f t="shared" si="986"/>
        <v>-500122890.92088252</v>
      </c>
      <c r="S553">
        <f t="shared" si="987"/>
        <v>-5001.2289092088249</v>
      </c>
      <c r="T553">
        <f t="shared" si="988"/>
        <v>-5.0012289092088249</v>
      </c>
    </row>
    <row r="554" spans="1:20" x14ac:dyDescent="0.25">
      <c r="A554" s="5">
        <v>44039</v>
      </c>
      <c r="B554">
        <v>2.4709999999999999E-2</v>
      </c>
      <c r="C554">
        <v>2.4709999999999999E-2</v>
      </c>
      <c r="D554">
        <v>2.0719999999999999E-2</v>
      </c>
      <c r="E554">
        <v>2.1940000000000001E-2</v>
      </c>
      <c r="F554">
        <v>20551315.899999999</v>
      </c>
      <c r="G554">
        <v>0</v>
      </c>
      <c r="L554" t="s">
        <v>7</v>
      </c>
      <c r="M554" t="s">
        <v>7</v>
      </c>
      <c r="N554" t="s">
        <v>8</v>
      </c>
      <c r="P554">
        <f t="shared" si="984"/>
        <v>-0.38847117794486108</v>
      </c>
      <c r="Q554">
        <f t="shared" si="985"/>
        <v>-7983593.8959899526</v>
      </c>
      <c r="R554">
        <f t="shared" si="986"/>
        <v>-502753365.72088248</v>
      </c>
      <c r="S554">
        <f t="shared" si="987"/>
        <v>-5027.5336572088245</v>
      </c>
      <c r="T554">
        <f t="shared" si="988"/>
        <v>-5.0275336572088243</v>
      </c>
    </row>
    <row r="555" spans="1:20" x14ac:dyDescent="0.25">
      <c r="A555" s="5">
        <v>44038</v>
      </c>
      <c r="B555">
        <v>2.4549999999999999E-2</v>
      </c>
      <c r="C555">
        <v>2.5159999999999998E-2</v>
      </c>
      <c r="D555">
        <v>2.3470000000000001E-2</v>
      </c>
      <c r="E555">
        <v>2.4709999999999999E-2</v>
      </c>
      <c r="F555">
        <v>7984224.0999999996</v>
      </c>
      <c r="G555">
        <v>0</v>
      </c>
      <c r="L555" t="s">
        <v>7</v>
      </c>
      <c r="M555" t="s">
        <v>8</v>
      </c>
      <c r="N555" t="s">
        <v>8</v>
      </c>
      <c r="P555">
        <f t="shared" si="984"/>
        <v>0.46745562130177537</v>
      </c>
      <c r="Q555">
        <f t="shared" si="985"/>
        <v>3732270.4372781082</v>
      </c>
      <c r="R555">
        <f t="shared" si="986"/>
        <v>-494769771.82489252</v>
      </c>
      <c r="S555">
        <f t="shared" si="987"/>
        <v>-4947.6977182489254</v>
      </c>
      <c r="T555">
        <f t="shared" si="988"/>
        <v>-4.947697718248925</v>
      </c>
    </row>
    <row r="556" spans="1:20" x14ac:dyDescent="0.25">
      <c r="A556" s="5">
        <v>44037</v>
      </c>
      <c r="B556">
        <v>2.3720000000000001E-2</v>
      </c>
      <c r="C556">
        <v>2.5669999999999998E-2</v>
      </c>
      <c r="D556">
        <v>2.3720000000000001E-2</v>
      </c>
      <c r="E556">
        <v>2.4670000000000001E-2</v>
      </c>
      <c r="F556">
        <v>8161703.2000000002</v>
      </c>
      <c r="G556">
        <v>0</v>
      </c>
      <c r="L556" t="s">
        <v>8</v>
      </c>
      <c r="M556" t="s">
        <v>8</v>
      </c>
      <c r="N556" t="s">
        <v>8</v>
      </c>
      <c r="P556">
        <f t="shared" si="984"/>
        <v>-2.5641025641024637E-2</v>
      </c>
      <c r="Q556">
        <f t="shared" si="985"/>
        <v>-209274.44102563284</v>
      </c>
      <c r="R556">
        <f t="shared" si="986"/>
        <v>-498502042.26217061</v>
      </c>
      <c r="S556">
        <f t="shared" si="987"/>
        <v>-4985.0204226217065</v>
      </c>
      <c r="T556">
        <f t="shared" si="988"/>
        <v>-4.985020422621707</v>
      </c>
    </row>
    <row r="557" spans="1:20" x14ac:dyDescent="0.25">
      <c r="A557" s="5">
        <v>44036</v>
      </c>
      <c r="B557">
        <v>2.4639999999999999E-2</v>
      </c>
      <c r="C557">
        <v>2.5190000000000001E-2</v>
      </c>
      <c r="D557">
        <v>2.35E-2</v>
      </c>
      <c r="E557">
        <v>2.3720000000000001E-2</v>
      </c>
      <c r="F557">
        <v>13674763.6</v>
      </c>
      <c r="G557">
        <v>0</v>
      </c>
      <c r="L557" t="s">
        <v>8</v>
      </c>
      <c r="M557" t="s">
        <v>8</v>
      </c>
      <c r="N557" t="s">
        <v>8</v>
      </c>
      <c r="P557">
        <f t="shared" si="984"/>
        <v>-0.73964497041419952</v>
      </c>
      <c r="Q557">
        <f t="shared" si="985"/>
        <v>-10114470.118343173</v>
      </c>
      <c r="R557">
        <f t="shared" si="986"/>
        <v>-498292767.821145</v>
      </c>
      <c r="S557">
        <f t="shared" si="987"/>
        <v>-4982.9276782114503</v>
      </c>
      <c r="T557">
        <f t="shared" si="988"/>
        <v>-4.9829276782114507</v>
      </c>
    </row>
    <row r="558" spans="1:20" x14ac:dyDescent="0.25">
      <c r="A558" s="5">
        <v>44035</v>
      </c>
      <c r="B558">
        <v>2.5600000000000001E-2</v>
      </c>
      <c r="C558">
        <v>2.6630000000000001E-2</v>
      </c>
      <c r="D558">
        <v>2.3439999999999999E-2</v>
      </c>
      <c r="E558">
        <v>2.4590000000000001E-2</v>
      </c>
      <c r="F558">
        <v>18453461.399999999</v>
      </c>
      <c r="G558">
        <v>0</v>
      </c>
      <c r="L558" t="s">
        <v>7</v>
      </c>
      <c r="M558" t="s">
        <v>8</v>
      </c>
      <c r="N558" t="s">
        <v>8</v>
      </c>
      <c r="P558">
        <f t="shared" si="984"/>
        <v>-0.2789968652037611</v>
      </c>
      <c r="Q558">
        <f t="shared" si="985"/>
        <v>-5148457.8827586081</v>
      </c>
      <c r="R558">
        <f t="shared" si="986"/>
        <v>-488178297.70280182</v>
      </c>
      <c r="S558">
        <f t="shared" si="987"/>
        <v>-4881.7829770280186</v>
      </c>
      <c r="T558">
        <f t="shared" si="988"/>
        <v>-4.8817829770280188</v>
      </c>
    </row>
    <row r="559" spans="1:20" x14ac:dyDescent="0.25">
      <c r="A559" s="5">
        <v>44034</v>
      </c>
      <c r="B559">
        <v>2.3060000000000001E-2</v>
      </c>
      <c r="C559">
        <v>2.7519999999999999E-2</v>
      </c>
      <c r="D559">
        <v>2.2800000000000001E-2</v>
      </c>
      <c r="E559">
        <v>2.5510000000000001E-2</v>
      </c>
      <c r="F559">
        <v>39914600.200000003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0.14830508474576334</v>
      </c>
      <c r="Q559">
        <f t="shared" si="985"/>
        <v>5919538.1652542632</v>
      </c>
      <c r="R559">
        <f t="shared" si="986"/>
        <v>-483029839.82004321</v>
      </c>
      <c r="S559">
        <f t="shared" si="987"/>
        <v>-4830.2983982004316</v>
      </c>
      <c r="T559">
        <f t="shared" si="988"/>
        <v>-4.8302983982004317</v>
      </c>
    </row>
    <row r="560" spans="1:20" x14ac:dyDescent="0.25">
      <c r="A560" s="5">
        <v>44033</v>
      </c>
      <c r="B560">
        <v>2.264E-2</v>
      </c>
      <c r="C560">
        <v>2.4289999999999999E-2</v>
      </c>
      <c r="D560">
        <v>2.1919999999999999E-2</v>
      </c>
      <c r="E560">
        <v>2.3060000000000001E-2</v>
      </c>
      <c r="F560">
        <v>17942054</v>
      </c>
      <c r="G560">
        <v>0</v>
      </c>
      <c r="L560" t="s">
        <v>8</v>
      </c>
      <c r="M560" t="s">
        <v>8</v>
      </c>
      <c r="N560" t="s">
        <v>7</v>
      </c>
      <c r="P560">
        <f t="shared" si="984"/>
        <v>-3.7974683544302244E-2</v>
      </c>
      <c r="Q560">
        <f t="shared" si="985"/>
        <v>-681343.82278478227</v>
      </c>
      <c r="R560">
        <f t="shared" si="986"/>
        <v>-488949377.98529744</v>
      </c>
      <c r="S560">
        <f t="shared" si="987"/>
        <v>-4889.4937798529745</v>
      </c>
      <c r="T560">
        <f t="shared" si="988"/>
        <v>-4.889493779852975</v>
      </c>
    </row>
    <row r="561" spans="1:104" x14ac:dyDescent="0.25">
      <c r="A561" s="5">
        <v>44032</v>
      </c>
      <c r="B561">
        <v>2.172E-2</v>
      </c>
      <c r="C561">
        <v>2.3769999999999999E-2</v>
      </c>
      <c r="D561">
        <v>2.1399999999999999E-2</v>
      </c>
      <c r="E561">
        <v>2.2599999999999999E-2</v>
      </c>
      <c r="F561">
        <v>13679050.5</v>
      </c>
      <c r="G561">
        <v>0</v>
      </c>
      <c r="L561" t="s">
        <v>8</v>
      </c>
      <c r="M561" t="s">
        <v>8</v>
      </c>
      <c r="N561" t="s">
        <v>7</v>
      </c>
      <c r="P561">
        <f t="shared" si="984"/>
        <v>1.2658227848100747E-2</v>
      </c>
      <c r="Q561">
        <f t="shared" si="985"/>
        <v>173152.53797467644</v>
      </c>
      <c r="R561">
        <f t="shared" si="986"/>
        <v>-488268034.16251266</v>
      </c>
      <c r="S561">
        <f t="shared" si="987"/>
        <v>-4882.6803416251269</v>
      </c>
      <c r="T561">
        <f t="shared" si="988"/>
        <v>-4.882680341625127</v>
      </c>
      <c r="CZ561" t="s">
        <v>7</v>
      </c>
    </row>
    <row r="562" spans="1:104" x14ac:dyDescent="0.25">
      <c r="A562" s="5">
        <v>44031</v>
      </c>
      <c r="B562">
        <v>2.1559999999999999E-2</v>
      </c>
      <c r="C562">
        <v>2.2329999999999999E-2</v>
      </c>
      <c r="D562">
        <v>2.0809999999999999E-2</v>
      </c>
      <c r="E562">
        <v>2.171E-2</v>
      </c>
      <c r="F562">
        <v>7610985.2999999998</v>
      </c>
      <c r="G562">
        <v>0</v>
      </c>
      <c r="L562" t="s">
        <v>8</v>
      </c>
      <c r="M562" t="s">
        <v>7</v>
      </c>
      <c r="N562" t="s">
        <v>7</v>
      </c>
      <c r="P562">
        <f t="shared" si="984"/>
        <v>0.18421052631579105</v>
      </c>
      <c r="Q562">
        <f t="shared" si="985"/>
        <v>1402023.6078947487</v>
      </c>
      <c r="R562">
        <f t="shared" si="986"/>
        <v>-488441186.70048732</v>
      </c>
      <c r="S562">
        <f t="shared" si="987"/>
        <v>-4884.4118670048729</v>
      </c>
      <c r="T562">
        <f t="shared" si="988"/>
        <v>-4.8844118670048733</v>
      </c>
      <c r="CZ562" t="s">
        <v>7</v>
      </c>
    </row>
    <row r="563" spans="1:104" x14ac:dyDescent="0.25">
      <c r="A563" s="5">
        <v>44030</v>
      </c>
      <c r="B563">
        <v>2.0910000000000002E-2</v>
      </c>
      <c r="C563">
        <v>2.1680000000000001E-2</v>
      </c>
      <c r="D563">
        <v>2.0670000000000001E-2</v>
      </c>
      <c r="E563">
        <v>2.1659999999999999E-2</v>
      </c>
      <c r="F563">
        <v>3659578.9</v>
      </c>
      <c r="G563">
        <v>0</v>
      </c>
      <c r="L563" t="s">
        <v>8</v>
      </c>
      <c r="M563" t="s">
        <v>7</v>
      </c>
      <c r="N563" t="s">
        <v>7</v>
      </c>
      <c r="P563">
        <f t="shared" si="984"/>
        <v>0.96039603960395514</v>
      </c>
      <c r="Q563">
        <f t="shared" si="985"/>
        <v>3514645.0821781987</v>
      </c>
      <c r="R563">
        <f t="shared" si="986"/>
        <v>-489843210.30838209</v>
      </c>
      <c r="S563">
        <f t="shared" si="987"/>
        <v>-4898.4321030838209</v>
      </c>
      <c r="T563">
        <f t="shared" si="988"/>
        <v>-4.8984321030838212</v>
      </c>
      <c r="CZ563" t="s">
        <v>7</v>
      </c>
    </row>
    <row r="564" spans="1:104" x14ac:dyDescent="0.25">
      <c r="A564" s="5">
        <v>44029</v>
      </c>
      <c r="B564">
        <v>2.0809999999999999E-2</v>
      </c>
      <c r="C564">
        <v>2.1080000000000002E-2</v>
      </c>
      <c r="D564">
        <v>2.0129999999999999E-2</v>
      </c>
      <c r="E564">
        <v>2.0920000000000001E-2</v>
      </c>
      <c r="F564">
        <v>5925450</v>
      </c>
      <c r="G564">
        <v>0</v>
      </c>
      <c r="L564" t="s">
        <v>8</v>
      </c>
      <c r="M564" t="s">
        <v>7</v>
      </c>
      <c r="N564" t="s">
        <v>7</v>
      </c>
      <c r="P564">
        <f t="shared" si="984"/>
        <v>0.66315789473684228</v>
      </c>
      <c r="Q564">
        <f t="shared" si="985"/>
        <v>3929508.9473684221</v>
      </c>
      <c r="R564">
        <f t="shared" si="986"/>
        <v>-493357855.39056027</v>
      </c>
      <c r="S564">
        <f t="shared" si="987"/>
        <v>-4933.5785539056023</v>
      </c>
      <c r="T564">
        <f t="shared" si="988"/>
        <v>-4.9335785539056021</v>
      </c>
    </row>
    <row r="565" spans="1:104" x14ac:dyDescent="0.25">
      <c r="A565" s="5">
        <v>44028</v>
      </c>
      <c r="B565">
        <v>2.2040000000000001E-2</v>
      </c>
      <c r="C565">
        <v>2.2200000000000001E-2</v>
      </c>
      <c r="D565">
        <v>1.9740000000000001E-2</v>
      </c>
      <c r="E565">
        <v>2.095E-2</v>
      </c>
      <c r="F565">
        <v>13870598.300000001</v>
      </c>
      <c r="G565">
        <v>0</v>
      </c>
      <c r="L565" t="s">
        <v>7</v>
      </c>
      <c r="M565" t="s">
        <v>7</v>
      </c>
      <c r="N565" t="s">
        <v>7</v>
      </c>
      <c r="P565">
        <f t="shared" si="984"/>
        <v>-1.626016260162676E-2</v>
      </c>
      <c r="Q565">
        <f t="shared" si="985"/>
        <v>-225538.18373984774</v>
      </c>
      <c r="R565">
        <f t="shared" si="986"/>
        <v>-497287364.33792871</v>
      </c>
      <c r="S565">
        <f t="shared" si="987"/>
        <v>-4972.8736433792874</v>
      </c>
      <c r="T565">
        <f t="shared" si="988"/>
        <v>-4.9728736433792875</v>
      </c>
    </row>
    <row r="566" spans="1:104" x14ac:dyDescent="0.25">
      <c r="A566" s="5">
        <v>44027</v>
      </c>
      <c r="B566">
        <v>2.223E-2</v>
      </c>
      <c r="C566">
        <v>2.2700000000000001E-2</v>
      </c>
      <c r="D566">
        <v>2.18E-2</v>
      </c>
      <c r="E566">
        <v>2.2040000000000001E-2</v>
      </c>
      <c r="F566">
        <v>5669736.7000000002</v>
      </c>
      <c r="G566">
        <v>0</v>
      </c>
      <c r="L566" t="s">
        <v>7</v>
      </c>
      <c r="M566" t="s">
        <v>8</v>
      </c>
      <c r="N566" t="s">
        <v>7</v>
      </c>
      <c r="P566">
        <f t="shared" si="984"/>
        <v>-0.46666666666666617</v>
      </c>
      <c r="Q566">
        <f t="shared" si="985"/>
        <v>-2645877.1266666641</v>
      </c>
      <c r="R566">
        <f t="shared" si="986"/>
        <v>-497061826.15418887</v>
      </c>
      <c r="S566">
        <f t="shared" si="987"/>
        <v>-4970.6182615418884</v>
      </c>
      <c r="T566">
        <f t="shared" si="988"/>
        <v>-4.9706182615418886</v>
      </c>
    </row>
    <row r="567" spans="1:104" x14ac:dyDescent="0.25">
      <c r="A567" s="5">
        <v>44026</v>
      </c>
      <c r="B567">
        <v>2.181E-2</v>
      </c>
      <c r="C567">
        <v>2.3619999999999999E-2</v>
      </c>
      <c r="D567">
        <v>2.1510000000000001E-2</v>
      </c>
      <c r="E567">
        <v>2.2120000000000001E-2</v>
      </c>
      <c r="F567">
        <v>16466805.9</v>
      </c>
      <c r="G567">
        <v>0</v>
      </c>
      <c r="L567" t="s">
        <v>8</v>
      </c>
      <c r="M567" t="s">
        <v>8</v>
      </c>
      <c r="N567" t="s">
        <v>7</v>
      </c>
      <c r="P567">
        <f t="shared" si="984"/>
        <v>-0.42180094786729838</v>
      </c>
      <c r="Q567">
        <f t="shared" si="985"/>
        <v>-6945714.3369668219</v>
      </c>
      <c r="R567">
        <f t="shared" si="986"/>
        <v>-494415949.02752221</v>
      </c>
      <c r="S567">
        <f t="shared" si="987"/>
        <v>-4944.1594902752222</v>
      </c>
      <c r="T567">
        <f t="shared" si="988"/>
        <v>-4.9441594902752222</v>
      </c>
    </row>
    <row r="568" spans="1:104" x14ac:dyDescent="0.25">
      <c r="A568" s="5">
        <v>44025</v>
      </c>
      <c r="B568">
        <v>2.3980000000000001E-2</v>
      </c>
      <c r="C568">
        <v>2.409E-2</v>
      </c>
      <c r="D568">
        <v>2.1329999999999998E-2</v>
      </c>
      <c r="E568">
        <v>2.181E-2</v>
      </c>
      <c r="F568">
        <v>15559539.800000001</v>
      </c>
      <c r="G568">
        <v>0</v>
      </c>
      <c r="L568" t="s">
        <v>7</v>
      </c>
      <c r="M568" t="s">
        <v>8</v>
      </c>
      <c r="N568" t="s">
        <v>7</v>
      </c>
      <c r="P568">
        <f t="shared" si="984"/>
        <v>-0.6521739130434776</v>
      </c>
      <c r="Q568">
        <f t="shared" si="985"/>
        <v>-10147525.956521729</v>
      </c>
      <c r="R568">
        <f t="shared" si="986"/>
        <v>-487470234.69055539</v>
      </c>
      <c r="S568">
        <f t="shared" si="987"/>
        <v>-4874.7023469055539</v>
      </c>
      <c r="T568">
        <f t="shared" si="988"/>
        <v>-4.8747023469055542</v>
      </c>
    </row>
    <row r="569" spans="1:104" x14ac:dyDescent="0.25">
      <c r="A569" s="5">
        <v>44024</v>
      </c>
      <c r="B569">
        <v>2.4379999999999999E-2</v>
      </c>
      <c r="C569">
        <v>2.4879999999999999E-2</v>
      </c>
      <c r="D569">
        <v>2.3050000000000001E-2</v>
      </c>
      <c r="E569">
        <v>2.3869999999999999E-2</v>
      </c>
      <c r="F569">
        <v>10600286.800000001</v>
      </c>
      <c r="G569">
        <v>0</v>
      </c>
      <c r="L569" t="s">
        <v>7</v>
      </c>
      <c r="M569" t="s">
        <v>8</v>
      </c>
      <c r="N569" t="s">
        <v>7</v>
      </c>
      <c r="P569">
        <f t="shared" si="984"/>
        <v>-0.10382513661202342</v>
      </c>
      <c r="Q569">
        <f t="shared" si="985"/>
        <v>-1100576.2251366286</v>
      </c>
      <c r="R569">
        <f t="shared" si="986"/>
        <v>-477322708.73403364</v>
      </c>
      <c r="S569">
        <f t="shared" si="987"/>
        <v>-4773.2270873403368</v>
      </c>
      <c r="T569">
        <f t="shared" si="988"/>
        <v>-4.7732270873403371</v>
      </c>
    </row>
    <row r="570" spans="1:104" x14ac:dyDescent="0.25">
      <c r="A570" s="5">
        <v>44023</v>
      </c>
      <c r="B570">
        <v>2.4410000000000001E-2</v>
      </c>
      <c r="C570">
        <v>2.4899999999999999E-2</v>
      </c>
      <c r="D570">
        <v>2.358E-2</v>
      </c>
      <c r="E570">
        <v>2.4299999999999999E-2</v>
      </c>
      <c r="F570">
        <v>9679834.5999999996</v>
      </c>
      <c r="G570">
        <v>0</v>
      </c>
      <c r="L570" t="s">
        <v>8</v>
      </c>
      <c r="M570" t="s">
        <v>8</v>
      </c>
      <c r="N570" t="s">
        <v>7</v>
      </c>
      <c r="P570">
        <f t="shared" si="984"/>
        <v>9.0909090909089954E-2</v>
      </c>
      <c r="Q570">
        <f t="shared" si="985"/>
        <v>879984.96363635431</v>
      </c>
      <c r="R570">
        <f t="shared" si="986"/>
        <v>-476222132.50889701</v>
      </c>
      <c r="S570">
        <f t="shared" si="987"/>
        <v>-4762.2213250889699</v>
      </c>
      <c r="T570">
        <f t="shared" si="988"/>
        <v>-4.7622213250889702</v>
      </c>
    </row>
    <row r="571" spans="1:104" x14ac:dyDescent="0.25">
      <c r="A571" s="5">
        <v>44022</v>
      </c>
      <c r="B571">
        <v>2.222E-2</v>
      </c>
      <c r="C571">
        <v>2.478E-2</v>
      </c>
      <c r="D571">
        <v>2.1850000000000001E-2</v>
      </c>
      <c r="E571">
        <v>2.453E-2</v>
      </c>
      <c r="F571">
        <v>18286381.800000001</v>
      </c>
      <c r="G571">
        <v>0</v>
      </c>
      <c r="L571" t="s">
        <v>8</v>
      </c>
      <c r="M571" t="s">
        <v>8</v>
      </c>
      <c r="N571" t="s">
        <v>7</v>
      </c>
      <c r="P571">
        <f t="shared" si="984"/>
        <v>0.82935153583617727</v>
      </c>
      <c r="Q571">
        <f t="shared" si="985"/>
        <v>15165838.83071672</v>
      </c>
      <c r="R571">
        <f t="shared" si="986"/>
        <v>-477102117.47253335</v>
      </c>
      <c r="S571">
        <f t="shared" si="987"/>
        <v>-4771.0211747253334</v>
      </c>
      <c r="T571">
        <f t="shared" si="988"/>
        <v>-4.771021174725333</v>
      </c>
    </row>
    <row r="572" spans="1:104" x14ac:dyDescent="0.25">
      <c r="A572" s="5">
        <v>44021</v>
      </c>
      <c r="B572">
        <v>2.2759999999999999E-2</v>
      </c>
      <c r="C572">
        <v>2.383E-2</v>
      </c>
      <c r="D572">
        <v>2.1700000000000001E-2</v>
      </c>
      <c r="E572">
        <v>2.222E-2</v>
      </c>
      <c r="F572">
        <v>14379440</v>
      </c>
      <c r="G572">
        <v>0</v>
      </c>
      <c r="L572" t="s">
        <v>8</v>
      </c>
      <c r="M572" t="s">
        <v>7</v>
      </c>
      <c r="N572" t="s">
        <v>7</v>
      </c>
      <c r="P572">
        <f t="shared" si="984"/>
        <v>-0.51173708920187833</v>
      </c>
      <c r="Q572">
        <f t="shared" si="985"/>
        <v>-7358492.7699530572</v>
      </c>
      <c r="R572">
        <f t="shared" si="986"/>
        <v>-492267956.30325007</v>
      </c>
      <c r="S572">
        <f t="shared" si="987"/>
        <v>-4922.6795630325005</v>
      </c>
      <c r="T572">
        <f t="shared" si="988"/>
        <v>-4.9226795630325002</v>
      </c>
    </row>
    <row r="573" spans="1:104" x14ac:dyDescent="0.25">
      <c r="A573" s="5">
        <v>44020</v>
      </c>
      <c r="B573">
        <v>2.1600000000000001E-2</v>
      </c>
      <c r="C573">
        <v>2.2970000000000001E-2</v>
      </c>
      <c r="D573">
        <v>2.129E-2</v>
      </c>
      <c r="E573">
        <v>2.273E-2</v>
      </c>
      <c r="F573">
        <v>11863023.300000001</v>
      </c>
      <c r="G573">
        <v>0</v>
      </c>
      <c r="L573" t="s">
        <v>8</v>
      </c>
      <c r="M573" t="s">
        <v>7</v>
      </c>
      <c r="N573" t="s">
        <v>7</v>
      </c>
      <c r="P573">
        <f t="shared" si="984"/>
        <v>0.71428571428571375</v>
      </c>
      <c r="Q573">
        <f t="shared" si="985"/>
        <v>8473588.0714285653</v>
      </c>
      <c r="R573">
        <f t="shared" si="986"/>
        <v>-484909463.533297</v>
      </c>
      <c r="S573">
        <f t="shared" si="987"/>
        <v>-4849.09463533297</v>
      </c>
      <c r="T573">
        <f t="shared" si="988"/>
        <v>-4.8490946353329702</v>
      </c>
    </row>
    <row r="574" spans="1:104" x14ac:dyDescent="0.25">
      <c r="A574" s="5">
        <v>44019</v>
      </c>
      <c r="B574">
        <v>2.172E-2</v>
      </c>
      <c r="C574">
        <v>2.2880000000000001E-2</v>
      </c>
      <c r="D574">
        <v>2.0899999999999998E-2</v>
      </c>
      <c r="E574">
        <v>2.1610000000000001E-2</v>
      </c>
      <c r="F574">
        <v>12972811.6</v>
      </c>
      <c r="G574">
        <v>0</v>
      </c>
      <c r="L574" t="s">
        <v>7</v>
      </c>
      <c r="M574" t="s">
        <v>7</v>
      </c>
      <c r="N574" t="s">
        <v>7</v>
      </c>
      <c r="P574">
        <f t="shared" si="984"/>
        <v>-0.28282828282828143</v>
      </c>
      <c r="Q574">
        <f t="shared" si="985"/>
        <v>-3669078.02828281</v>
      </c>
      <c r="R574">
        <f t="shared" si="986"/>
        <v>-493383051.60472554</v>
      </c>
      <c r="S574">
        <f t="shared" si="987"/>
        <v>-4933.8305160472555</v>
      </c>
      <c r="T574">
        <f t="shared" si="988"/>
        <v>-4.9338305160472551</v>
      </c>
    </row>
    <row r="575" spans="1:104" x14ac:dyDescent="0.25">
      <c r="A575" s="5">
        <v>44018</v>
      </c>
      <c r="B575">
        <v>2.104E-2</v>
      </c>
      <c r="C575">
        <v>2.3709999999999998E-2</v>
      </c>
      <c r="D575">
        <v>2.104E-2</v>
      </c>
      <c r="E575">
        <v>2.179E-2</v>
      </c>
      <c r="F575">
        <v>15161936.800000001</v>
      </c>
      <c r="G575">
        <v>0</v>
      </c>
      <c r="L575" t="s">
        <v>8</v>
      </c>
      <c r="M575" t="s">
        <v>7</v>
      </c>
      <c r="N575" t="s">
        <v>7</v>
      </c>
      <c r="P575">
        <f t="shared" si="984"/>
        <v>-0.43820224719101047</v>
      </c>
      <c r="Q575">
        <f t="shared" si="985"/>
        <v>-6643994.7775280783</v>
      </c>
      <c r="R575">
        <f t="shared" si="986"/>
        <v>-489713973.57644272</v>
      </c>
      <c r="S575">
        <f t="shared" si="987"/>
        <v>-4897.1397357644273</v>
      </c>
      <c r="T575">
        <f t="shared" si="988"/>
        <v>-4.8971397357644273</v>
      </c>
    </row>
    <row r="576" spans="1:104" x14ac:dyDescent="0.25">
      <c r="A576" s="5">
        <v>44017</v>
      </c>
      <c r="B576">
        <v>2.215E-2</v>
      </c>
      <c r="C576">
        <v>2.2159999999999999E-2</v>
      </c>
      <c r="D576">
        <v>2.044E-2</v>
      </c>
      <c r="E576">
        <v>2.111E-2</v>
      </c>
      <c r="F576">
        <v>5890161.5999999996</v>
      </c>
      <c r="G576">
        <v>0</v>
      </c>
      <c r="L576" t="s">
        <v>7</v>
      </c>
      <c r="M576" t="s">
        <v>7</v>
      </c>
      <c r="N576" t="s">
        <v>7</v>
      </c>
      <c r="P576">
        <f t="shared" si="984"/>
        <v>-0.22093023255813868</v>
      </c>
      <c r="Q576">
        <f t="shared" si="985"/>
        <v>-1301314.7720930181</v>
      </c>
      <c r="R576">
        <f t="shared" si="986"/>
        <v>-483069978.79891461</v>
      </c>
      <c r="S576">
        <f t="shared" si="987"/>
        <v>-4830.699787989146</v>
      </c>
      <c r="T576">
        <f t="shared" si="988"/>
        <v>-4.830699787989146</v>
      </c>
    </row>
    <row r="577" spans="1:20" x14ac:dyDescent="0.25">
      <c r="A577" s="5">
        <v>44016</v>
      </c>
      <c r="B577">
        <v>2.1299999999999999E-2</v>
      </c>
      <c r="C577">
        <v>2.2239999999999999E-2</v>
      </c>
      <c r="D577">
        <v>2.1299999999999999E-2</v>
      </c>
      <c r="E577">
        <v>2.2020000000000001E-2</v>
      </c>
      <c r="F577">
        <v>7506352.2000000002</v>
      </c>
      <c r="G577">
        <v>0</v>
      </c>
      <c r="L577" t="s">
        <v>8</v>
      </c>
      <c r="M577" t="s">
        <v>7</v>
      </c>
      <c r="N577" t="s">
        <v>7</v>
      </c>
      <c r="P577">
        <f t="shared" si="984"/>
        <v>0.53191489361702549</v>
      </c>
      <c r="Q577">
        <f t="shared" si="985"/>
        <v>3992740.5319149252</v>
      </c>
      <c r="R577">
        <f t="shared" si="986"/>
        <v>-481768664.02682161</v>
      </c>
      <c r="S577">
        <f t="shared" si="987"/>
        <v>-4817.6866402682163</v>
      </c>
      <c r="T577">
        <f t="shared" si="988"/>
        <v>-4.8176866402682164</v>
      </c>
    </row>
    <row r="578" spans="1:20" x14ac:dyDescent="0.25">
      <c r="A578" s="5">
        <v>44015</v>
      </c>
      <c r="B578">
        <v>2.146E-2</v>
      </c>
      <c r="C578">
        <v>2.2550000000000001E-2</v>
      </c>
      <c r="D578">
        <v>2.102E-2</v>
      </c>
      <c r="E578">
        <v>2.1299999999999999E-2</v>
      </c>
      <c r="F578">
        <v>15484273.300000001</v>
      </c>
      <c r="G578">
        <v>0</v>
      </c>
      <c r="L578" t="s">
        <v>8</v>
      </c>
      <c r="M578" t="s">
        <v>7</v>
      </c>
      <c r="N578" t="s">
        <v>7</v>
      </c>
      <c r="P578">
        <f t="shared" si="984"/>
        <v>-0.63398692810457646</v>
      </c>
      <c r="Q578">
        <f t="shared" si="985"/>
        <v>-9816826.863398714</v>
      </c>
      <c r="R578">
        <f t="shared" si="986"/>
        <v>-485761404.55873656</v>
      </c>
      <c r="S578">
        <f t="shared" si="987"/>
        <v>-4857.6140455873656</v>
      </c>
      <c r="T578">
        <f t="shared" si="988"/>
        <v>-4.8576140455873658</v>
      </c>
    </row>
    <row r="579" spans="1:20" x14ac:dyDescent="0.25">
      <c r="A579" s="5">
        <v>44014</v>
      </c>
      <c r="B579">
        <v>2.1229999999999999E-2</v>
      </c>
      <c r="C579">
        <v>2.1739999999999999E-2</v>
      </c>
      <c r="D579">
        <v>2.0459999999999999E-2</v>
      </c>
      <c r="E579">
        <v>2.154E-2</v>
      </c>
      <c r="F579">
        <v>11138371.699999999</v>
      </c>
      <c r="G579">
        <v>0</v>
      </c>
      <c r="L579" t="s">
        <v>7</v>
      </c>
      <c r="M579" t="s">
        <v>7</v>
      </c>
      <c r="N579" t="s">
        <v>7</v>
      </c>
      <c r="P579">
        <f t="shared" si="984"/>
        <v>0.68750000000000189</v>
      </c>
      <c r="Q579">
        <f t="shared" si="985"/>
        <v>7657630.5437500207</v>
      </c>
      <c r="R579">
        <f t="shared" si="986"/>
        <v>-475944577.69533783</v>
      </c>
      <c r="S579">
        <f t="shared" si="987"/>
        <v>-4759.4457769533783</v>
      </c>
      <c r="T579">
        <f t="shared" si="988"/>
        <v>-4.7594457769533784</v>
      </c>
    </row>
    <row r="580" spans="1:20" x14ac:dyDescent="0.25">
      <c r="A580" s="5">
        <v>44013</v>
      </c>
      <c r="B580">
        <v>2.1680000000000001E-2</v>
      </c>
      <c r="C580">
        <v>2.1999999999999999E-2</v>
      </c>
      <c r="D580">
        <v>2.0789999999999999E-2</v>
      </c>
      <c r="E580">
        <v>2.1260000000000001E-2</v>
      </c>
      <c r="F580">
        <v>9079169.6999999993</v>
      </c>
      <c r="G580">
        <v>0</v>
      </c>
      <c r="L580" t="s">
        <v>7</v>
      </c>
      <c r="M580" t="s">
        <v>7</v>
      </c>
      <c r="N580" t="s">
        <v>7</v>
      </c>
      <c r="P580">
        <f t="shared" si="984"/>
        <v>-0.22314049586776538</v>
      </c>
      <c r="Q580">
        <f t="shared" si="985"/>
        <v>-2025930.4289255906</v>
      </c>
      <c r="R580">
        <f t="shared" si="986"/>
        <v>-483602208.23908788</v>
      </c>
      <c r="S580">
        <f t="shared" si="987"/>
        <v>-4836.0220823908785</v>
      </c>
      <c r="T580">
        <f t="shared" si="988"/>
        <v>-4.8360220823908788</v>
      </c>
    </row>
    <row r="581" spans="1:20" x14ac:dyDescent="0.25">
      <c r="A581" s="5">
        <v>44012</v>
      </c>
      <c r="B581">
        <v>2.274E-2</v>
      </c>
      <c r="C581">
        <v>2.383E-2</v>
      </c>
      <c r="D581">
        <v>2.1399999999999999E-2</v>
      </c>
      <c r="E581">
        <v>2.179E-2</v>
      </c>
      <c r="F581">
        <v>11497209.5</v>
      </c>
      <c r="G581">
        <v>0</v>
      </c>
      <c r="L581" t="s">
        <v>7</v>
      </c>
      <c r="M581" t="s">
        <v>8</v>
      </c>
      <c r="N581" t="s">
        <v>7</v>
      </c>
      <c r="P581">
        <f t="shared" si="984"/>
        <v>-0.67901234567901136</v>
      </c>
      <c r="Q581">
        <f t="shared" si="985"/>
        <v>-7806747.1913580131</v>
      </c>
      <c r="R581">
        <f t="shared" si="986"/>
        <v>-481576277.81016231</v>
      </c>
      <c r="S581">
        <f t="shared" si="987"/>
        <v>-4815.7627781016226</v>
      </c>
      <c r="T581">
        <f t="shared" si="988"/>
        <v>-4.8157627781016226</v>
      </c>
    </row>
    <row r="582" spans="1:20" x14ac:dyDescent="0.25">
      <c r="A582" s="5">
        <v>44011</v>
      </c>
      <c r="B582">
        <v>2.358E-2</v>
      </c>
      <c r="C582">
        <v>2.3970000000000002E-2</v>
      </c>
      <c r="D582">
        <v>2.1940000000000001E-2</v>
      </c>
      <c r="E582">
        <v>2.2610000000000002E-2</v>
      </c>
      <c r="F582">
        <v>11045066.699999999</v>
      </c>
      <c r="G582">
        <v>0</v>
      </c>
      <c r="L582" t="s">
        <v>8</v>
      </c>
      <c r="M582" t="s">
        <v>8</v>
      </c>
      <c r="N582" t="s">
        <v>7</v>
      </c>
      <c r="P582">
        <f t="shared" ref="P582:P645" si="989">IF(C582=D582,0,((E582-D582)-(C582-E582))/(C582-D582))</f>
        <v>-0.33990147783251207</v>
      </c>
      <c r="Q582">
        <f t="shared" ref="Q582:Q645" si="990">F582*P582</f>
        <v>-3754234.494088667</v>
      </c>
      <c r="R582">
        <f t="shared" ref="R582:R645" si="991">R583+Q582</f>
        <v>-473769530.61880428</v>
      </c>
      <c r="S582">
        <f t="shared" ref="S582:S645" si="992">R582/100000</f>
        <v>-4737.6953061880431</v>
      </c>
      <c r="T582">
        <f t="shared" ref="T582:T645" si="993">S582/1000</f>
        <v>-4.7376953061880434</v>
      </c>
    </row>
    <row r="583" spans="1:20" x14ac:dyDescent="0.25">
      <c r="A583" s="5">
        <v>44010</v>
      </c>
      <c r="B583">
        <v>2.1160000000000002E-2</v>
      </c>
      <c r="C583">
        <v>2.4729999999999999E-2</v>
      </c>
      <c r="D583">
        <v>2.0580000000000001E-2</v>
      </c>
      <c r="E583">
        <v>2.358E-2</v>
      </c>
      <c r="F583">
        <v>16279538.9</v>
      </c>
      <c r="G583">
        <v>0</v>
      </c>
      <c r="L583" t="s">
        <v>7</v>
      </c>
      <c r="M583" t="s">
        <v>8</v>
      </c>
      <c r="N583" t="s">
        <v>7</v>
      </c>
      <c r="P583">
        <f t="shared" si="989"/>
        <v>0.44578313253012097</v>
      </c>
      <c r="Q583">
        <f t="shared" si="990"/>
        <v>7257143.8469879599</v>
      </c>
      <c r="R583">
        <f t="shared" si="991"/>
        <v>-470015296.12471563</v>
      </c>
      <c r="S583">
        <f t="shared" si="992"/>
        <v>-4700.1529612471559</v>
      </c>
      <c r="T583">
        <f t="shared" si="993"/>
        <v>-4.7001529612471558</v>
      </c>
    </row>
    <row r="584" spans="1:20" x14ac:dyDescent="0.25">
      <c r="A584" s="5">
        <v>44009</v>
      </c>
      <c r="B584">
        <v>2.4129999999999999E-2</v>
      </c>
      <c r="C584">
        <v>2.436E-2</v>
      </c>
      <c r="D584">
        <v>2.068E-2</v>
      </c>
      <c r="E584">
        <v>2.128E-2</v>
      </c>
      <c r="F584">
        <v>17599740.699999999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-0.67391304347826086</v>
      </c>
      <c r="Q584">
        <f t="shared" si="990"/>
        <v>-11860694.819565216</v>
      </c>
      <c r="R584">
        <f t="shared" si="991"/>
        <v>-477272439.97170359</v>
      </c>
      <c r="S584">
        <f t="shared" si="992"/>
        <v>-4772.7243997170362</v>
      </c>
      <c r="T584">
        <f t="shared" si="993"/>
        <v>-4.7727243997170365</v>
      </c>
    </row>
    <row r="585" spans="1:20" x14ac:dyDescent="0.25">
      <c r="A585" s="5">
        <v>44008</v>
      </c>
      <c r="B585">
        <v>2.6679999999999999E-2</v>
      </c>
      <c r="C585">
        <v>2.6849999999999999E-2</v>
      </c>
      <c r="D585">
        <v>2.3599999999999999E-2</v>
      </c>
      <c r="E585">
        <v>2.4140000000000002E-2</v>
      </c>
      <c r="F585">
        <v>21884014.100000001</v>
      </c>
      <c r="G585">
        <v>0</v>
      </c>
      <c r="L585" t="s">
        <v>7</v>
      </c>
      <c r="M585" t="s">
        <v>7</v>
      </c>
      <c r="N585" t="s">
        <v>8</v>
      </c>
      <c r="P585">
        <f t="shared" si="989"/>
        <v>-0.66769230769230625</v>
      </c>
      <c r="Q585">
        <f t="shared" si="990"/>
        <v>-14611787.87599997</v>
      </c>
      <c r="R585">
        <f t="shared" si="991"/>
        <v>-465411745.15213835</v>
      </c>
      <c r="S585">
        <f t="shared" si="992"/>
        <v>-4654.1174515213834</v>
      </c>
      <c r="T585">
        <f t="shared" si="993"/>
        <v>-4.6541174515213832</v>
      </c>
    </row>
    <row r="586" spans="1:20" x14ac:dyDescent="0.25">
      <c r="A586" s="5">
        <v>44007</v>
      </c>
      <c r="B586">
        <v>2.845E-2</v>
      </c>
      <c r="C586">
        <v>2.8709999999999999E-2</v>
      </c>
      <c r="D586">
        <v>2.639E-2</v>
      </c>
      <c r="E586">
        <v>2.6679999999999999E-2</v>
      </c>
      <c r="F586">
        <v>10636478.6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-0.75000000000000111</v>
      </c>
      <c r="Q586">
        <f t="shared" si="990"/>
        <v>-7977358.9500000114</v>
      </c>
      <c r="R586">
        <f t="shared" si="991"/>
        <v>-450799957.27613837</v>
      </c>
      <c r="S586">
        <f t="shared" si="992"/>
        <v>-4507.9995727613832</v>
      </c>
      <c r="T586">
        <f t="shared" si="993"/>
        <v>-4.5079995727613831</v>
      </c>
    </row>
    <row r="587" spans="1:20" x14ac:dyDescent="0.25">
      <c r="A587" s="5">
        <v>44006</v>
      </c>
      <c r="B587">
        <v>2.7820000000000001E-2</v>
      </c>
      <c r="C587">
        <v>2.9819999999999999E-2</v>
      </c>
      <c r="D587">
        <v>2.7459999999999998E-2</v>
      </c>
      <c r="E587">
        <v>2.835E-2</v>
      </c>
      <c r="F587">
        <v>17194409.800000001</v>
      </c>
      <c r="G587">
        <v>0</v>
      </c>
      <c r="L587" t="s">
        <v>7</v>
      </c>
      <c r="M587" t="s">
        <v>8</v>
      </c>
      <c r="N587" t="s">
        <v>8</v>
      </c>
      <c r="P587">
        <f t="shared" si="989"/>
        <v>-0.24576271186440549</v>
      </c>
      <c r="Q587">
        <f t="shared" si="990"/>
        <v>-4225744.78135591</v>
      </c>
      <c r="R587">
        <f t="shared" si="991"/>
        <v>-442822598.32613838</v>
      </c>
      <c r="S587">
        <f t="shared" si="992"/>
        <v>-4428.2259832613836</v>
      </c>
      <c r="T587">
        <f t="shared" si="993"/>
        <v>-4.4282259832613837</v>
      </c>
    </row>
    <row r="588" spans="1:20" x14ac:dyDescent="0.25">
      <c r="A588" s="5">
        <v>44005</v>
      </c>
      <c r="B588">
        <v>2.8809999999999999E-2</v>
      </c>
      <c r="C588">
        <v>2.954E-2</v>
      </c>
      <c r="D588">
        <v>2.7519999999999999E-2</v>
      </c>
      <c r="E588">
        <v>2.785E-2</v>
      </c>
      <c r="F588">
        <v>12916126.5</v>
      </c>
      <c r="G588">
        <v>0</v>
      </c>
      <c r="L588" t="s">
        <v>8</v>
      </c>
      <c r="M588" t="s">
        <v>8</v>
      </c>
      <c r="N588" t="s">
        <v>8</v>
      </c>
      <c r="P588">
        <f t="shared" si="989"/>
        <v>-0.67326732673267298</v>
      </c>
      <c r="Q588">
        <f t="shared" si="990"/>
        <v>-8696005.9603960365</v>
      </c>
      <c r="R588">
        <f t="shared" si="991"/>
        <v>-438596853.54478246</v>
      </c>
      <c r="S588">
        <f t="shared" si="992"/>
        <v>-4385.9685354478243</v>
      </c>
      <c r="T588">
        <f t="shared" si="993"/>
        <v>-4.3859685354478239</v>
      </c>
    </row>
    <row r="589" spans="1:20" x14ac:dyDescent="0.25">
      <c r="A589" s="5">
        <v>44004</v>
      </c>
      <c r="B589">
        <v>2.8170000000000001E-2</v>
      </c>
      <c r="C589">
        <v>3.0429999999999999E-2</v>
      </c>
      <c r="D589">
        <v>2.751E-2</v>
      </c>
      <c r="E589">
        <v>2.8809999999999999E-2</v>
      </c>
      <c r="F589">
        <v>18008218.300000001</v>
      </c>
      <c r="G589">
        <v>0</v>
      </c>
      <c r="L589" t="s">
        <v>7</v>
      </c>
      <c r="M589" t="s">
        <v>8</v>
      </c>
      <c r="N589" t="s">
        <v>8</v>
      </c>
      <c r="P589">
        <f t="shared" si="989"/>
        <v>-0.10958904109589074</v>
      </c>
      <c r="Q589">
        <f t="shared" si="990"/>
        <v>-1973503.3753424718</v>
      </c>
      <c r="R589">
        <f t="shared" si="991"/>
        <v>-429900847.58438641</v>
      </c>
      <c r="S589">
        <f t="shared" si="992"/>
        <v>-4299.0084758438643</v>
      </c>
      <c r="T589">
        <f t="shared" si="993"/>
        <v>-4.2990084758438645</v>
      </c>
    </row>
    <row r="590" spans="1:20" x14ac:dyDescent="0.25">
      <c r="A590" s="5">
        <v>44003</v>
      </c>
      <c r="B590">
        <v>3.107E-2</v>
      </c>
      <c r="C590">
        <v>3.1660000000000001E-2</v>
      </c>
      <c r="D590">
        <v>2.8000000000000001E-2</v>
      </c>
      <c r="E590">
        <v>2.828E-2</v>
      </c>
      <c r="F590">
        <v>12121563</v>
      </c>
      <c r="G590">
        <v>0</v>
      </c>
      <c r="L590" t="s">
        <v>7</v>
      </c>
      <c r="M590" t="s">
        <v>8</v>
      </c>
      <c r="N590" t="s">
        <v>8</v>
      </c>
      <c r="P590">
        <f t="shared" si="989"/>
        <v>-0.84699453551912618</v>
      </c>
      <c r="Q590">
        <f t="shared" si="990"/>
        <v>-10266897.622950826</v>
      </c>
      <c r="R590">
        <f t="shared" si="991"/>
        <v>-427927344.20904392</v>
      </c>
      <c r="S590">
        <f t="shared" si="992"/>
        <v>-4279.2734420904389</v>
      </c>
      <c r="T590">
        <f t="shared" si="993"/>
        <v>-4.2792734420904388</v>
      </c>
    </row>
    <row r="591" spans="1:20" x14ac:dyDescent="0.25">
      <c r="A591" s="5">
        <v>44002</v>
      </c>
      <c r="B591">
        <v>3.124E-2</v>
      </c>
      <c r="C591">
        <v>3.2219999999999999E-2</v>
      </c>
      <c r="D591">
        <v>2.9000000000000001E-2</v>
      </c>
      <c r="E591">
        <v>3.107E-2</v>
      </c>
      <c r="F591">
        <v>15277535.800000001</v>
      </c>
      <c r="G591">
        <v>0</v>
      </c>
      <c r="L591" t="s">
        <v>7</v>
      </c>
      <c r="M591" t="s">
        <v>8</v>
      </c>
      <c r="N591" t="s">
        <v>8</v>
      </c>
      <c r="P591">
        <f t="shared" si="989"/>
        <v>0.2857142857142862</v>
      </c>
      <c r="Q591">
        <f t="shared" si="990"/>
        <v>4365010.2285714364</v>
      </c>
      <c r="R591">
        <f t="shared" si="991"/>
        <v>-417660446.58609307</v>
      </c>
      <c r="S591">
        <f t="shared" si="992"/>
        <v>-4176.6044658609308</v>
      </c>
      <c r="T591">
        <f t="shared" si="993"/>
        <v>-4.1766044658609305</v>
      </c>
    </row>
    <row r="592" spans="1:20" x14ac:dyDescent="0.25">
      <c r="A592" s="5">
        <v>44001</v>
      </c>
      <c r="B592">
        <v>2.9899999999999999E-2</v>
      </c>
      <c r="C592">
        <v>3.1980000000000001E-2</v>
      </c>
      <c r="D592">
        <v>2.801E-2</v>
      </c>
      <c r="E592">
        <v>3.1119999999999998E-2</v>
      </c>
      <c r="F592">
        <v>19352844.399999999</v>
      </c>
      <c r="G592">
        <v>0</v>
      </c>
      <c r="L592" t="s">
        <v>8</v>
      </c>
      <c r="M592" t="s">
        <v>8</v>
      </c>
      <c r="N592" t="s">
        <v>8</v>
      </c>
      <c r="P592">
        <f t="shared" si="989"/>
        <v>0.56675062972292045</v>
      </c>
      <c r="Q592">
        <f t="shared" si="990"/>
        <v>10968236.750629693</v>
      </c>
      <c r="R592">
        <f t="shared" si="991"/>
        <v>-422025456.81466448</v>
      </c>
      <c r="S592">
        <f t="shared" si="992"/>
        <v>-4220.2545681466445</v>
      </c>
      <c r="T592">
        <f t="shared" si="993"/>
        <v>-4.2202545681466441</v>
      </c>
    </row>
    <row r="593" spans="1:20" x14ac:dyDescent="0.25">
      <c r="A593" s="5">
        <v>44000</v>
      </c>
      <c r="B593">
        <v>2.7820000000000001E-2</v>
      </c>
      <c r="C593">
        <v>3.1350000000000003E-2</v>
      </c>
      <c r="D593">
        <v>2.7380000000000002E-2</v>
      </c>
      <c r="E593">
        <v>3.0009999999999998E-2</v>
      </c>
      <c r="F593">
        <v>19297481.100000001</v>
      </c>
      <c r="G593">
        <v>0</v>
      </c>
      <c r="L593" t="s">
        <v>8</v>
      </c>
      <c r="M593" t="s">
        <v>8</v>
      </c>
      <c r="N593" t="s">
        <v>8</v>
      </c>
      <c r="P593">
        <f t="shared" si="989"/>
        <v>0.32493702770780658</v>
      </c>
      <c r="Q593">
        <f t="shared" si="990"/>
        <v>6270466.1508815745</v>
      </c>
      <c r="R593">
        <f t="shared" si="991"/>
        <v>-432993693.56529415</v>
      </c>
      <c r="S593">
        <f t="shared" si="992"/>
        <v>-4329.9369356529414</v>
      </c>
      <c r="T593">
        <f t="shared" si="993"/>
        <v>-4.3299369356529418</v>
      </c>
    </row>
    <row r="594" spans="1:20" x14ac:dyDescent="0.25">
      <c r="A594" s="5">
        <v>43999</v>
      </c>
      <c r="B594">
        <v>2.7609999999999999E-2</v>
      </c>
      <c r="C594">
        <v>2.8400000000000002E-2</v>
      </c>
      <c r="D594">
        <v>2.69E-2</v>
      </c>
      <c r="E594">
        <v>2.7910000000000001E-2</v>
      </c>
      <c r="F594">
        <v>6723856.5</v>
      </c>
      <c r="G594">
        <v>0</v>
      </c>
      <c r="L594" t="s">
        <v>8</v>
      </c>
      <c r="M594" t="s">
        <v>8</v>
      </c>
      <c r="N594" t="s">
        <v>8</v>
      </c>
      <c r="P594">
        <f t="shared" si="989"/>
        <v>0.34666666666666612</v>
      </c>
      <c r="Q594">
        <f t="shared" si="990"/>
        <v>2330936.9199999962</v>
      </c>
      <c r="R594">
        <f t="shared" si="991"/>
        <v>-439264159.71617573</v>
      </c>
      <c r="S594">
        <f t="shared" si="992"/>
        <v>-4392.6415971617571</v>
      </c>
      <c r="T594">
        <f t="shared" si="993"/>
        <v>-4.3926415971617567</v>
      </c>
    </row>
    <row r="595" spans="1:20" x14ac:dyDescent="0.25">
      <c r="A595" s="5">
        <v>43998</v>
      </c>
      <c r="B595">
        <v>2.7019999999999999E-2</v>
      </c>
      <c r="C595">
        <v>2.811E-2</v>
      </c>
      <c r="D595">
        <v>2.6780000000000002E-2</v>
      </c>
      <c r="E595">
        <v>2.7560000000000001E-2</v>
      </c>
      <c r="F595">
        <v>7213522.7000000002</v>
      </c>
      <c r="G595">
        <v>0</v>
      </c>
      <c r="L595" t="s">
        <v>8</v>
      </c>
      <c r="M595" t="s">
        <v>7</v>
      </c>
      <c r="N595" t="s">
        <v>8</v>
      </c>
      <c r="P595">
        <f t="shared" si="989"/>
        <v>0.17293233082706874</v>
      </c>
      <c r="Q595">
        <f t="shared" si="990"/>
        <v>1247451.2939849701</v>
      </c>
      <c r="R595">
        <f t="shared" si="991"/>
        <v>-441595096.63617575</v>
      </c>
      <c r="S595">
        <f t="shared" si="992"/>
        <v>-4415.9509663617573</v>
      </c>
      <c r="T595">
        <f t="shared" si="993"/>
        <v>-4.4159509663617573</v>
      </c>
    </row>
    <row r="596" spans="1:20" x14ac:dyDescent="0.25">
      <c r="A596" s="5">
        <v>43997</v>
      </c>
      <c r="B596">
        <v>2.8070000000000001E-2</v>
      </c>
      <c r="C596">
        <v>2.8799999999999999E-2</v>
      </c>
      <c r="D596">
        <v>2.4279999999999999E-2</v>
      </c>
      <c r="E596">
        <v>2.7019999999999999E-2</v>
      </c>
      <c r="F596">
        <v>22668550.899999999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0.21238938053097325</v>
      </c>
      <c r="Q596">
        <f t="shared" si="990"/>
        <v>4814559.4831858361</v>
      </c>
      <c r="R596">
        <f t="shared" si="991"/>
        <v>-442842547.9301607</v>
      </c>
      <c r="S596">
        <f t="shared" si="992"/>
        <v>-4428.4254793016071</v>
      </c>
      <c r="T596">
        <f t="shared" si="993"/>
        <v>-4.4284254793016071</v>
      </c>
    </row>
    <row r="597" spans="1:20" x14ac:dyDescent="0.25">
      <c r="A597" s="5">
        <v>43996</v>
      </c>
      <c r="B597">
        <v>2.9489999999999999E-2</v>
      </c>
      <c r="C597">
        <v>0.03</v>
      </c>
      <c r="D597">
        <v>2.8070000000000001E-2</v>
      </c>
      <c r="E597">
        <v>2.826E-2</v>
      </c>
      <c r="F597">
        <v>10574364.699999999</v>
      </c>
      <c r="G597">
        <v>0</v>
      </c>
      <c r="L597" t="s">
        <v>7</v>
      </c>
      <c r="M597" t="s">
        <v>7</v>
      </c>
      <c r="N597" t="s">
        <v>8</v>
      </c>
      <c r="P597">
        <f t="shared" si="989"/>
        <v>-0.80310880829015607</v>
      </c>
      <c r="Q597">
        <f t="shared" si="990"/>
        <v>-8492365.4326424934</v>
      </c>
      <c r="R597">
        <f t="shared" si="991"/>
        <v>-447657107.41334653</v>
      </c>
      <c r="S597">
        <f t="shared" si="992"/>
        <v>-4476.5710741334651</v>
      </c>
      <c r="T597">
        <f t="shared" si="993"/>
        <v>-4.4765710741334654</v>
      </c>
    </row>
    <row r="598" spans="1:20" x14ac:dyDescent="0.25">
      <c r="A598" s="5">
        <v>43995</v>
      </c>
      <c r="B598">
        <v>2.81E-2</v>
      </c>
      <c r="C598">
        <v>3.041E-2</v>
      </c>
      <c r="D598">
        <v>2.7570000000000001E-2</v>
      </c>
      <c r="E598">
        <v>2.9489999999999999E-2</v>
      </c>
      <c r="F598">
        <v>14532059.199999999</v>
      </c>
      <c r="G598">
        <v>0</v>
      </c>
      <c r="L598" t="s">
        <v>8</v>
      </c>
      <c r="M598" t="s">
        <v>7</v>
      </c>
      <c r="N598" t="s">
        <v>8</v>
      </c>
      <c r="P598">
        <f t="shared" si="989"/>
        <v>0.35211267605633728</v>
      </c>
      <c r="Q598">
        <f t="shared" si="990"/>
        <v>5116922.2535211155</v>
      </c>
      <c r="R598">
        <f t="shared" si="991"/>
        <v>-439164741.98070401</v>
      </c>
      <c r="S598">
        <f t="shared" si="992"/>
        <v>-4391.64741980704</v>
      </c>
      <c r="T598">
        <f t="shared" si="993"/>
        <v>-4.3916474198070397</v>
      </c>
    </row>
    <row r="599" spans="1:20" x14ac:dyDescent="0.25">
      <c r="A599" s="5">
        <v>43994</v>
      </c>
      <c r="B599">
        <v>2.9270000000000001E-2</v>
      </c>
      <c r="C599">
        <v>2.98E-2</v>
      </c>
      <c r="D599">
        <v>2.664E-2</v>
      </c>
      <c r="E599">
        <v>2.8199999999999999E-2</v>
      </c>
      <c r="F599">
        <v>21711421.699999999</v>
      </c>
      <c r="G599">
        <v>0</v>
      </c>
      <c r="L599" t="s">
        <v>7</v>
      </c>
      <c r="M599" t="s">
        <v>7</v>
      </c>
      <c r="N599" t="s">
        <v>8</v>
      </c>
      <c r="P599">
        <f t="shared" si="989"/>
        <v>-1.265822784810185E-2</v>
      </c>
      <c r="Q599">
        <f t="shared" si="990"/>
        <v>-274828.12278482283</v>
      </c>
      <c r="R599">
        <f t="shared" si="991"/>
        <v>-444281664.23422515</v>
      </c>
      <c r="S599">
        <f t="shared" si="992"/>
        <v>-4442.8166423422517</v>
      </c>
      <c r="T599">
        <f t="shared" si="993"/>
        <v>-4.4428166423422519</v>
      </c>
    </row>
    <row r="600" spans="1:20" x14ac:dyDescent="0.25">
      <c r="A600" s="5">
        <v>43993</v>
      </c>
      <c r="B600">
        <v>2.7550000000000002E-2</v>
      </c>
      <c r="C600">
        <v>3.1629999999999998E-2</v>
      </c>
      <c r="D600">
        <v>2.6630000000000001E-2</v>
      </c>
      <c r="E600">
        <v>2.9180000000000001E-2</v>
      </c>
      <c r="F600">
        <v>47326040.100000001</v>
      </c>
      <c r="G600">
        <v>0</v>
      </c>
      <c r="L600" t="s">
        <v>8</v>
      </c>
      <c r="M600" t="s">
        <v>8</v>
      </c>
      <c r="N600" t="s">
        <v>8</v>
      </c>
      <c r="P600">
        <f t="shared" si="989"/>
        <v>2.0000000000000583E-2</v>
      </c>
      <c r="Q600">
        <f t="shared" si="990"/>
        <v>946520.80200002762</v>
      </c>
      <c r="R600">
        <f t="shared" si="991"/>
        <v>-444006836.11144036</v>
      </c>
      <c r="S600">
        <f t="shared" si="992"/>
        <v>-4440.0683611144032</v>
      </c>
      <c r="T600">
        <f t="shared" si="993"/>
        <v>-4.4400683611144034</v>
      </c>
    </row>
    <row r="601" spans="1:20" x14ac:dyDescent="0.25">
      <c r="A601" s="5">
        <v>43992</v>
      </c>
      <c r="B601">
        <v>2.6880000000000001E-2</v>
      </c>
      <c r="C601">
        <v>2.7890000000000002E-2</v>
      </c>
      <c r="D601">
        <v>2.5760000000000002E-2</v>
      </c>
      <c r="E601">
        <v>2.7550000000000002E-2</v>
      </c>
      <c r="F601">
        <v>15275901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0.68075117370892013</v>
      </c>
      <c r="Q601">
        <f t="shared" si="990"/>
        <v>10399087.535211267</v>
      </c>
      <c r="R601">
        <f t="shared" si="991"/>
        <v>-444953356.91344041</v>
      </c>
      <c r="S601">
        <f t="shared" si="992"/>
        <v>-4449.5335691344044</v>
      </c>
      <c r="T601">
        <f t="shared" si="993"/>
        <v>-4.4495335691344042</v>
      </c>
    </row>
    <row r="602" spans="1:20" x14ac:dyDescent="0.25">
      <c r="A602" s="5">
        <v>43991</v>
      </c>
      <c r="B602">
        <v>2.453E-2</v>
      </c>
      <c r="C602">
        <v>2.76E-2</v>
      </c>
      <c r="D602">
        <v>2.3949999999999999E-2</v>
      </c>
      <c r="E602">
        <v>2.7009999999999999E-2</v>
      </c>
      <c r="F602">
        <v>18408348.600000001</v>
      </c>
      <c r="G602">
        <v>0</v>
      </c>
      <c r="L602" t="s">
        <v>8</v>
      </c>
      <c r="M602" t="s">
        <v>8</v>
      </c>
      <c r="N602" t="s">
        <v>8</v>
      </c>
      <c r="P602">
        <f t="shared" si="989"/>
        <v>0.67671232876712317</v>
      </c>
      <c r="Q602">
        <f t="shared" si="990"/>
        <v>12457156.449863013</v>
      </c>
      <c r="R602">
        <f t="shared" si="991"/>
        <v>-455352444.44865167</v>
      </c>
      <c r="S602">
        <f t="shared" si="992"/>
        <v>-4553.5244444865166</v>
      </c>
      <c r="T602">
        <f t="shared" si="993"/>
        <v>-4.5535244444865164</v>
      </c>
    </row>
    <row r="603" spans="1:20" x14ac:dyDescent="0.25">
      <c r="A603" s="5">
        <v>43990</v>
      </c>
      <c r="B603">
        <v>2.564E-2</v>
      </c>
      <c r="C603">
        <v>2.5989999999999999E-2</v>
      </c>
      <c r="D603">
        <v>2.4309999999999998E-2</v>
      </c>
      <c r="E603">
        <v>2.4500000000000001E-2</v>
      </c>
      <c r="F603">
        <v>9548281.4000000004</v>
      </c>
      <c r="G603">
        <v>0</v>
      </c>
      <c r="L603" t="s">
        <v>8</v>
      </c>
      <c r="M603" t="s">
        <v>8</v>
      </c>
      <c r="N603" t="s">
        <v>8</v>
      </c>
      <c r="P603">
        <f t="shared" si="989"/>
        <v>-0.77380952380952073</v>
      </c>
      <c r="Q603">
        <f t="shared" si="990"/>
        <v>-7388551.0833333042</v>
      </c>
      <c r="R603">
        <f t="shared" si="991"/>
        <v>-467809600.89851469</v>
      </c>
      <c r="S603">
        <f t="shared" si="992"/>
        <v>-4678.0960089851469</v>
      </c>
      <c r="T603">
        <f t="shared" si="993"/>
        <v>-4.6780960089851469</v>
      </c>
    </row>
    <row r="604" spans="1:20" x14ac:dyDescent="0.25">
      <c r="A604" s="5">
        <v>43989</v>
      </c>
      <c r="B604">
        <v>2.4E-2</v>
      </c>
      <c r="C604">
        <v>2.5930000000000002E-2</v>
      </c>
      <c r="D604">
        <v>2.2579999999999999E-2</v>
      </c>
      <c r="E604">
        <v>2.563E-2</v>
      </c>
      <c r="F604">
        <v>21078318.800000001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0.82089552238805885</v>
      </c>
      <c r="Q604">
        <f t="shared" si="990"/>
        <v>17303097.522388041</v>
      </c>
      <c r="R604">
        <f t="shared" si="991"/>
        <v>-460421049.81518137</v>
      </c>
      <c r="S604">
        <f t="shared" si="992"/>
        <v>-4604.2104981518141</v>
      </c>
      <c r="T604">
        <f t="shared" si="993"/>
        <v>-4.6042104981518142</v>
      </c>
    </row>
    <row r="605" spans="1:20" x14ac:dyDescent="0.25">
      <c r="A605" s="5">
        <v>43988</v>
      </c>
      <c r="B605">
        <v>2.504E-2</v>
      </c>
      <c r="C605">
        <v>2.699E-2</v>
      </c>
      <c r="D605">
        <v>2.3439999999999999E-2</v>
      </c>
      <c r="E605">
        <v>2.3990000000000001E-2</v>
      </c>
      <c r="F605">
        <v>33419575.100000001</v>
      </c>
      <c r="G605">
        <v>0</v>
      </c>
      <c r="L605" t="s">
        <v>8</v>
      </c>
      <c r="M605" t="s">
        <v>8</v>
      </c>
      <c r="N605" t="s">
        <v>8</v>
      </c>
      <c r="P605">
        <f t="shared" si="989"/>
        <v>-0.69014084507042162</v>
      </c>
      <c r="Q605">
        <f t="shared" si="990"/>
        <v>-23064213.801408421</v>
      </c>
      <c r="R605">
        <f t="shared" si="991"/>
        <v>-477724147.33756942</v>
      </c>
      <c r="S605">
        <f t="shared" si="992"/>
        <v>-4777.2414733756941</v>
      </c>
      <c r="T605">
        <f t="shared" si="993"/>
        <v>-4.7772414733756943</v>
      </c>
    </row>
    <row r="606" spans="1:20" x14ac:dyDescent="0.25">
      <c r="A606" s="5">
        <v>43987</v>
      </c>
      <c r="B606">
        <v>2.1010000000000001E-2</v>
      </c>
      <c r="C606">
        <v>2.648E-2</v>
      </c>
      <c r="D606">
        <v>2.0719999999999999E-2</v>
      </c>
      <c r="E606">
        <v>2.504E-2</v>
      </c>
      <c r="F606">
        <v>40701529.799999997</v>
      </c>
      <c r="G606">
        <v>0</v>
      </c>
      <c r="L606" t="s">
        <v>8</v>
      </c>
      <c r="M606" t="s">
        <v>8</v>
      </c>
      <c r="N606" t="s">
        <v>8</v>
      </c>
      <c r="P606">
        <f t="shared" si="989"/>
        <v>0.5</v>
      </c>
      <c r="Q606">
        <f t="shared" si="990"/>
        <v>20350764.899999999</v>
      </c>
      <c r="R606">
        <f t="shared" si="991"/>
        <v>-454659933.53616101</v>
      </c>
      <c r="S606">
        <f t="shared" si="992"/>
        <v>-4546.5993353616104</v>
      </c>
      <c r="T606">
        <f t="shared" si="993"/>
        <v>-4.5465993353616101</v>
      </c>
    </row>
    <row r="607" spans="1:20" x14ac:dyDescent="0.25">
      <c r="A607" s="5">
        <v>43986</v>
      </c>
      <c r="B607">
        <v>2.231E-2</v>
      </c>
      <c r="C607">
        <v>2.3040000000000001E-2</v>
      </c>
      <c r="D607">
        <v>2.068E-2</v>
      </c>
      <c r="E607">
        <v>2.1000000000000001E-2</v>
      </c>
      <c r="F607">
        <v>19017045.699999999</v>
      </c>
      <c r="G607">
        <v>0</v>
      </c>
      <c r="L607" t="s">
        <v>7</v>
      </c>
      <c r="M607" t="s">
        <v>8</v>
      </c>
      <c r="N607" t="s">
        <v>8</v>
      </c>
      <c r="P607">
        <f t="shared" si="989"/>
        <v>-0.72881355932203329</v>
      </c>
      <c r="Q607">
        <f t="shared" si="990"/>
        <v>-13859880.764406767</v>
      </c>
      <c r="R607">
        <f t="shared" si="991"/>
        <v>-475010698.43616098</v>
      </c>
      <c r="S607">
        <f t="shared" si="992"/>
        <v>-4750.1069843616096</v>
      </c>
      <c r="T607">
        <f t="shared" si="993"/>
        <v>-4.7501069843616097</v>
      </c>
    </row>
    <row r="608" spans="1:20" x14ac:dyDescent="0.25">
      <c r="A608" s="5">
        <v>43985</v>
      </c>
      <c r="B608">
        <v>1.9609999999999999E-2</v>
      </c>
      <c r="C608">
        <v>2.2859999999999998E-2</v>
      </c>
      <c r="D608">
        <v>1.916E-2</v>
      </c>
      <c r="E608">
        <v>2.231E-2</v>
      </c>
      <c r="F608">
        <v>32507555.100000001</v>
      </c>
      <c r="G608">
        <v>0</v>
      </c>
      <c r="L608" t="s">
        <v>8</v>
      </c>
      <c r="M608" t="s">
        <v>8</v>
      </c>
      <c r="N608" t="s">
        <v>8</v>
      </c>
      <c r="P608">
        <f t="shared" si="989"/>
        <v>0.70270270270270341</v>
      </c>
      <c r="Q608">
        <f t="shared" si="990"/>
        <v>22843146.827027053</v>
      </c>
      <c r="R608">
        <f t="shared" si="991"/>
        <v>-461150817.67175424</v>
      </c>
      <c r="S608">
        <f t="shared" si="992"/>
        <v>-4611.5081767175425</v>
      </c>
      <c r="T608">
        <f t="shared" si="993"/>
        <v>-4.6115081767175425</v>
      </c>
    </row>
    <row r="609" spans="1:20" x14ac:dyDescent="0.25">
      <c r="A609" s="5">
        <v>43984</v>
      </c>
      <c r="B609">
        <v>1.915E-2</v>
      </c>
      <c r="C609">
        <v>2.0459999999999999E-2</v>
      </c>
      <c r="D609">
        <v>1.7399999999999999E-2</v>
      </c>
      <c r="E609">
        <v>1.958E-2</v>
      </c>
      <c r="F609">
        <v>19851049.800000001</v>
      </c>
      <c r="G609">
        <v>0</v>
      </c>
      <c r="L609" t="s">
        <v>8</v>
      </c>
      <c r="M609" t="s">
        <v>8</v>
      </c>
      <c r="N609" t="s">
        <v>8</v>
      </c>
      <c r="P609">
        <f t="shared" si="989"/>
        <v>0.42483660130719036</v>
      </c>
      <c r="Q609">
        <f t="shared" si="990"/>
        <v>8433452.5294117816</v>
      </c>
      <c r="R609">
        <f t="shared" si="991"/>
        <v>-483993964.49878126</v>
      </c>
      <c r="S609">
        <f t="shared" si="992"/>
        <v>-4839.9396449878122</v>
      </c>
      <c r="T609">
        <f t="shared" si="993"/>
        <v>-4.8399396449878118</v>
      </c>
    </row>
    <row r="610" spans="1:20" x14ac:dyDescent="0.25">
      <c r="A610" s="5">
        <v>43983</v>
      </c>
      <c r="B610">
        <v>1.8020000000000001E-2</v>
      </c>
      <c r="C610">
        <v>1.958E-2</v>
      </c>
      <c r="D610">
        <v>1.763E-2</v>
      </c>
      <c r="E610">
        <v>1.9120000000000002E-2</v>
      </c>
      <c r="F610">
        <v>13091603.800000001</v>
      </c>
      <c r="G610">
        <v>0</v>
      </c>
      <c r="L610" t="s">
        <v>8</v>
      </c>
      <c r="M610" t="s">
        <v>7</v>
      </c>
      <c r="N610" t="s">
        <v>8</v>
      </c>
      <c r="P610">
        <f t="shared" si="989"/>
        <v>0.52820512820512977</v>
      </c>
      <c r="Q610">
        <f t="shared" si="990"/>
        <v>6915052.263589764</v>
      </c>
      <c r="R610">
        <f t="shared" si="991"/>
        <v>-492427417.02819306</v>
      </c>
      <c r="S610">
        <f t="shared" si="992"/>
        <v>-4924.2741702819303</v>
      </c>
      <c r="T610">
        <f t="shared" si="993"/>
        <v>-4.9242741702819304</v>
      </c>
    </row>
    <row r="611" spans="1:20" x14ac:dyDescent="0.25">
      <c r="A611" s="5">
        <v>43982</v>
      </c>
      <c r="B611">
        <v>1.8620000000000001E-2</v>
      </c>
      <c r="C611">
        <v>1.941E-2</v>
      </c>
      <c r="D611">
        <v>1.7639999999999999E-2</v>
      </c>
      <c r="E611">
        <v>1.8030000000000001E-2</v>
      </c>
      <c r="F611">
        <v>11609305.6</v>
      </c>
      <c r="G611">
        <v>0</v>
      </c>
      <c r="L611" t="s">
        <v>8</v>
      </c>
      <c r="M611" t="s">
        <v>7</v>
      </c>
      <c r="N611" t="s">
        <v>8</v>
      </c>
      <c r="P611">
        <f t="shared" si="989"/>
        <v>-0.55932203389830359</v>
      </c>
      <c r="Q611">
        <f t="shared" si="990"/>
        <v>-6493340.420338966</v>
      </c>
      <c r="R611">
        <f t="shared" si="991"/>
        <v>-499342469.2917828</v>
      </c>
      <c r="S611">
        <f t="shared" si="992"/>
        <v>-4993.424692917828</v>
      </c>
      <c r="T611">
        <f t="shared" si="993"/>
        <v>-4.9934246929178281</v>
      </c>
    </row>
    <row r="612" spans="1:20" x14ac:dyDescent="0.25">
      <c r="A612" s="5">
        <v>43981</v>
      </c>
      <c r="B612">
        <v>1.856E-2</v>
      </c>
      <c r="C612">
        <v>1.8749999999999999E-2</v>
      </c>
      <c r="D612">
        <v>1.7809999999999999E-2</v>
      </c>
      <c r="E612">
        <v>1.8509999999999999E-2</v>
      </c>
      <c r="F612">
        <v>9055994.5999999996</v>
      </c>
      <c r="G612">
        <v>0</v>
      </c>
      <c r="L612" t="s">
        <v>7</v>
      </c>
      <c r="M612" t="s">
        <v>7</v>
      </c>
      <c r="N612" t="s">
        <v>8</v>
      </c>
      <c r="P612">
        <f t="shared" si="989"/>
        <v>0.48936170212765817</v>
      </c>
      <c r="Q612">
        <f t="shared" si="990"/>
        <v>4431656.9319148809</v>
      </c>
      <c r="R612">
        <f t="shared" si="991"/>
        <v>-492849128.87144381</v>
      </c>
      <c r="S612">
        <f t="shared" si="992"/>
        <v>-4928.4912887144383</v>
      </c>
      <c r="T612">
        <f t="shared" si="993"/>
        <v>-4.9284912887144383</v>
      </c>
    </row>
    <row r="613" spans="1:20" x14ac:dyDescent="0.25">
      <c r="A613" s="5">
        <v>43980</v>
      </c>
      <c r="B613">
        <v>1.7940000000000001E-2</v>
      </c>
      <c r="C613">
        <v>1.925E-2</v>
      </c>
      <c r="D613">
        <v>1.7819999999999999E-2</v>
      </c>
      <c r="E613">
        <v>1.8440000000000002E-2</v>
      </c>
      <c r="F613">
        <v>7537162.2000000002</v>
      </c>
      <c r="G613">
        <v>0</v>
      </c>
      <c r="L613" t="s">
        <v>8</v>
      </c>
      <c r="M613" t="s">
        <v>7</v>
      </c>
      <c r="N613" t="s">
        <v>8</v>
      </c>
      <c r="P613">
        <f t="shared" si="989"/>
        <v>-0.13286713286712981</v>
      </c>
      <c r="Q613">
        <f t="shared" si="990"/>
        <v>-1001441.1314685085</v>
      </c>
      <c r="R613">
        <f t="shared" si="991"/>
        <v>-497280785.80335867</v>
      </c>
      <c r="S613">
        <f t="shared" si="992"/>
        <v>-4972.8078580335869</v>
      </c>
      <c r="T613">
        <f t="shared" si="993"/>
        <v>-4.9728078580335868</v>
      </c>
    </row>
    <row r="614" spans="1:20" x14ac:dyDescent="0.25">
      <c r="A614" s="5">
        <v>43979</v>
      </c>
      <c r="B614">
        <v>1.7579999999999998E-2</v>
      </c>
      <c r="C614">
        <v>1.8339999999999999E-2</v>
      </c>
      <c r="D614">
        <v>1.704E-2</v>
      </c>
      <c r="E614">
        <v>1.797E-2</v>
      </c>
      <c r="F614">
        <v>14543392</v>
      </c>
      <c r="G614">
        <v>0</v>
      </c>
      <c r="L614" t="s">
        <v>7</v>
      </c>
      <c r="M614" t="s">
        <v>7</v>
      </c>
      <c r="N614" t="s">
        <v>8</v>
      </c>
      <c r="P614">
        <f t="shared" si="989"/>
        <v>0.43076923076923218</v>
      </c>
      <c r="Q614">
        <f t="shared" si="990"/>
        <v>6264845.7846154049</v>
      </c>
      <c r="R614">
        <f t="shared" si="991"/>
        <v>-496279344.67189014</v>
      </c>
      <c r="S614">
        <f t="shared" si="992"/>
        <v>-4962.7934467189016</v>
      </c>
      <c r="T614">
        <f t="shared" si="993"/>
        <v>-4.9627934467189014</v>
      </c>
    </row>
    <row r="615" spans="1:20" x14ac:dyDescent="0.25">
      <c r="A615" s="5">
        <v>43978</v>
      </c>
      <c r="B615">
        <v>1.9300000000000001E-2</v>
      </c>
      <c r="C615">
        <v>2.1409999999999998E-2</v>
      </c>
      <c r="D615">
        <v>1.7299999999999999E-2</v>
      </c>
      <c r="E615">
        <v>1.7579999999999998E-2</v>
      </c>
      <c r="F615">
        <v>41940474.899999999</v>
      </c>
      <c r="G615">
        <v>0</v>
      </c>
      <c r="L615" t="s">
        <v>8</v>
      </c>
      <c r="M615" t="s">
        <v>8</v>
      </c>
      <c r="N615" t="s">
        <v>8</v>
      </c>
      <c r="P615">
        <f t="shared" si="989"/>
        <v>-0.86374695863747009</v>
      </c>
      <c r="Q615">
        <f t="shared" si="990"/>
        <v>-36225957.63868615</v>
      </c>
      <c r="R615">
        <f t="shared" si="991"/>
        <v>-502544190.45650554</v>
      </c>
      <c r="S615">
        <f t="shared" si="992"/>
        <v>-5025.4419045650557</v>
      </c>
      <c r="T615">
        <f t="shared" si="993"/>
        <v>-5.0254419045650556</v>
      </c>
    </row>
    <row r="616" spans="1:20" x14ac:dyDescent="0.25">
      <c r="A616" s="5">
        <v>43977</v>
      </c>
      <c r="B616">
        <v>1.7489999999999999E-2</v>
      </c>
      <c r="C616">
        <v>2.0140000000000002E-2</v>
      </c>
      <c r="D616">
        <v>1.7239999999999998E-2</v>
      </c>
      <c r="E616">
        <v>1.9199999999999998E-2</v>
      </c>
      <c r="F616">
        <v>31266473.800000001</v>
      </c>
      <c r="G616">
        <v>0</v>
      </c>
      <c r="L616" t="s">
        <v>8</v>
      </c>
      <c r="M616" t="s">
        <v>8</v>
      </c>
      <c r="N616" t="s">
        <v>8</v>
      </c>
      <c r="P616">
        <f t="shared" si="989"/>
        <v>0.35172413793103291</v>
      </c>
      <c r="Q616">
        <f t="shared" si="990"/>
        <v>10997173.543448227</v>
      </c>
      <c r="R616">
        <f t="shared" si="991"/>
        <v>-466318232.81781942</v>
      </c>
      <c r="S616">
        <f t="shared" si="992"/>
        <v>-4663.1823281781944</v>
      </c>
      <c r="T616">
        <f t="shared" si="993"/>
        <v>-4.6631823281781948</v>
      </c>
    </row>
    <row r="617" spans="1:20" x14ac:dyDescent="0.25">
      <c r="A617" s="5">
        <v>43976</v>
      </c>
      <c r="B617">
        <v>1.6500000000000001E-2</v>
      </c>
      <c r="C617">
        <v>1.9290000000000002E-2</v>
      </c>
      <c r="D617">
        <v>1.6140000000000002E-2</v>
      </c>
      <c r="E617">
        <v>1.746E-2</v>
      </c>
      <c r="F617">
        <v>29631483.199999999</v>
      </c>
      <c r="G617">
        <v>0</v>
      </c>
      <c r="L617" t="s">
        <v>7</v>
      </c>
      <c r="M617" t="s">
        <v>7</v>
      </c>
      <c r="N617" t="s">
        <v>8</v>
      </c>
      <c r="P617">
        <f t="shared" si="989"/>
        <v>-0.16190476190476302</v>
      </c>
      <c r="Q617">
        <f t="shared" si="990"/>
        <v>-4797478.2323809853</v>
      </c>
      <c r="R617">
        <f t="shared" si="991"/>
        <v>-477315406.36126763</v>
      </c>
      <c r="S617">
        <f t="shared" si="992"/>
        <v>-4773.1540636126765</v>
      </c>
      <c r="T617">
        <f t="shared" si="993"/>
        <v>-4.7731540636126768</v>
      </c>
    </row>
    <row r="618" spans="1:20" x14ac:dyDescent="0.25">
      <c r="A618" s="5">
        <v>43975</v>
      </c>
      <c r="B618">
        <v>1.541E-2</v>
      </c>
      <c r="C618">
        <v>2.0299999999999999E-2</v>
      </c>
      <c r="D618">
        <v>1.54E-2</v>
      </c>
      <c r="E618">
        <v>1.6539999999999999E-2</v>
      </c>
      <c r="F618">
        <v>62505563.600000001</v>
      </c>
      <c r="G618">
        <v>0</v>
      </c>
      <c r="L618" t="s">
        <v>8</v>
      </c>
      <c r="M618" t="s">
        <v>8</v>
      </c>
      <c r="N618" t="s">
        <v>8</v>
      </c>
      <c r="P618">
        <f t="shared" si="989"/>
        <v>-0.53469387755102082</v>
      </c>
      <c r="Q618">
        <f t="shared" si="990"/>
        <v>-33421342.169795945</v>
      </c>
      <c r="R618">
        <f t="shared" si="991"/>
        <v>-472517928.12888664</v>
      </c>
      <c r="S618">
        <f t="shared" si="992"/>
        <v>-4725.1792812888662</v>
      </c>
      <c r="T618">
        <f t="shared" si="993"/>
        <v>-4.7251792812888658</v>
      </c>
    </row>
    <row r="619" spans="1:20" x14ac:dyDescent="0.25">
      <c r="A619" s="5">
        <v>43974</v>
      </c>
      <c r="B619">
        <v>1.6289999999999999E-2</v>
      </c>
      <c r="C619">
        <v>1.653E-2</v>
      </c>
      <c r="D619">
        <v>1.536E-2</v>
      </c>
      <c r="E619">
        <v>1.54E-2</v>
      </c>
      <c r="F619">
        <v>5766017.0999999996</v>
      </c>
      <c r="G619">
        <v>0</v>
      </c>
      <c r="L619" t="s">
        <v>8</v>
      </c>
      <c r="M619" t="s">
        <v>7</v>
      </c>
      <c r="N619" t="s">
        <v>8</v>
      </c>
      <c r="P619">
        <f t="shared" si="989"/>
        <v>-0.93162393162393142</v>
      </c>
      <c r="Q619">
        <f t="shared" si="990"/>
        <v>-5371759.5205128193</v>
      </c>
      <c r="R619">
        <f t="shared" si="991"/>
        <v>-439096585.95909071</v>
      </c>
      <c r="S619">
        <f t="shared" si="992"/>
        <v>-4390.9658595909068</v>
      </c>
      <c r="T619">
        <f t="shared" si="993"/>
        <v>-4.3909658595909065</v>
      </c>
    </row>
    <row r="620" spans="1:20" x14ac:dyDescent="0.25">
      <c r="A620" s="5">
        <v>43973</v>
      </c>
      <c r="B620">
        <v>1.507E-2</v>
      </c>
      <c r="C620">
        <v>1.6289999999999999E-2</v>
      </c>
      <c r="D620">
        <v>1.482E-2</v>
      </c>
      <c r="E620">
        <v>1.6289999999999999E-2</v>
      </c>
      <c r="F620">
        <v>6970948.4000000004</v>
      </c>
      <c r="G620">
        <v>0</v>
      </c>
      <c r="L620" t="s">
        <v>8</v>
      </c>
      <c r="M620" t="s">
        <v>7</v>
      </c>
      <c r="N620" t="s">
        <v>8</v>
      </c>
      <c r="P620">
        <f t="shared" si="989"/>
        <v>1</v>
      </c>
      <c r="Q620">
        <f t="shared" si="990"/>
        <v>6970948.4000000004</v>
      </c>
      <c r="R620">
        <f t="shared" si="991"/>
        <v>-433724826.43857789</v>
      </c>
      <c r="S620">
        <f t="shared" si="992"/>
        <v>-4337.2482643857793</v>
      </c>
      <c r="T620">
        <f t="shared" si="993"/>
        <v>-4.3372482643857797</v>
      </c>
    </row>
    <row r="621" spans="1:20" x14ac:dyDescent="0.25">
      <c r="A621" s="5">
        <v>43972</v>
      </c>
      <c r="B621">
        <v>1.5800000000000002E-2</v>
      </c>
      <c r="C621">
        <v>1.7340000000000001E-2</v>
      </c>
      <c r="D621">
        <v>1.451E-2</v>
      </c>
      <c r="E621">
        <v>1.4959999999999999E-2</v>
      </c>
      <c r="F621">
        <v>13528997.6</v>
      </c>
      <c r="G621">
        <v>0</v>
      </c>
      <c r="L621" t="s">
        <v>7</v>
      </c>
      <c r="M621" t="s">
        <v>7</v>
      </c>
      <c r="N621" t="s">
        <v>8</v>
      </c>
      <c r="P621">
        <f t="shared" si="989"/>
        <v>-0.68197879858657329</v>
      </c>
      <c r="Q621">
        <f t="shared" si="990"/>
        <v>-9226489.5293286331</v>
      </c>
      <c r="R621">
        <f t="shared" si="991"/>
        <v>-440695774.83857787</v>
      </c>
      <c r="S621">
        <f t="shared" si="992"/>
        <v>-4406.9577483857784</v>
      </c>
      <c r="T621">
        <f t="shared" si="993"/>
        <v>-4.4069577483857785</v>
      </c>
    </row>
    <row r="622" spans="1:20" x14ac:dyDescent="0.25">
      <c r="A622" s="5">
        <v>43971</v>
      </c>
      <c r="B622">
        <v>1.5679999999999999E-2</v>
      </c>
      <c r="C622">
        <v>1.6150000000000001E-2</v>
      </c>
      <c r="D622">
        <v>1.5100000000000001E-2</v>
      </c>
      <c r="E622">
        <v>1.575E-2</v>
      </c>
      <c r="F622">
        <v>5038911.0999999996</v>
      </c>
      <c r="G622">
        <v>0</v>
      </c>
      <c r="L622" t="s">
        <v>7</v>
      </c>
      <c r="M622" t="s">
        <v>8</v>
      </c>
      <c r="N622" t="s">
        <v>8</v>
      </c>
      <c r="P622">
        <f t="shared" si="989"/>
        <v>0.23809523809523653</v>
      </c>
      <c r="Q622">
        <f t="shared" si="990"/>
        <v>1199740.7380952302</v>
      </c>
      <c r="R622">
        <f t="shared" si="991"/>
        <v>-431469285.30924922</v>
      </c>
      <c r="S622">
        <f t="shared" si="992"/>
        <v>-4314.6928530924924</v>
      </c>
      <c r="T622">
        <f t="shared" si="993"/>
        <v>-4.3146928530924926</v>
      </c>
    </row>
    <row r="623" spans="1:20" x14ac:dyDescent="0.25">
      <c r="A623" s="5">
        <v>43970</v>
      </c>
      <c r="B623">
        <v>1.5310000000000001E-2</v>
      </c>
      <c r="C623">
        <v>1.5720000000000001E-2</v>
      </c>
      <c r="D623">
        <v>1.5100000000000001E-2</v>
      </c>
      <c r="E623">
        <v>1.5679999999999999E-2</v>
      </c>
      <c r="F623">
        <v>3755123.2</v>
      </c>
      <c r="G623">
        <v>0</v>
      </c>
      <c r="L623" t="s">
        <v>7</v>
      </c>
      <c r="M623" t="s">
        <v>8</v>
      </c>
      <c r="N623" t="s">
        <v>8</v>
      </c>
      <c r="P623">
        <f t="shared" si="989"/>
        <v>0.8709677419354781</v>
      </c>
      <c r="Q623">
        <f t="shared" si="990"/>
        <v>3270591.1741935271</v>
      </c>
      <c r="R623">
        <f t="shared" si="991"/>
        <v>-432669026.04734445</v>
      </c>
      <c r="S623">
        <f t="shared" si="992"/>
        <v>-4326.6902604734441</v>
      </c>
      <c r="T623">
        <f t="shared" si="993"/>
        <v>-4.3266902604734438</v>
      </c>
    </row>
    <row r="624" spans="1:20" x14ac:dyDescent="0.25">
      <c r="A624" s="5">
        <v>43969</v>
      </c>
      <c r="B624">
        <v>1.559E-2</v>
      </c>
      <c r="C624">
        <v>1.5810000000000001E-2</v>
      </c>
      <c r="D624">
        <v>1.5259999999999999E-2</v>
      </c>
      <c r="E624">
        <v>1.536E-2</v>
      </c>
      <c r="F624">
        <v>3187171.5</v>
      </c>
      <c r="G624">
        <v>0</v>
      </c>
      <c r="L624" t="s">
        <v>7</v>
      </c>
      <c r="M624" t="s">
        <v>8</v>
      </c>
      <c r="N624" t="s">
        <v>8</v>
      </c>
      <c r="P624">
        <f t="shared" si="989"/>
        <v>-0.63636363636363347</v>
      </c>
      <c r="Q624">
        <f t="shared" si="990"/>
        <v>-2028200.0454545363</v>
      </c>
      <c r="R624">
        <f t="shared" si="991"/>
        <v>-435939617.22153795</v>
      </c>
      <c r="S624">
        <f t="shared" si="992"/>
        <v>-4359.3961722153799</v>
      </c>
      <c r="T624">
        <f t="shared" si="993"/>
        <v>-4.35939617221538</v>
      </c>
    </row>
    <row r="625" spans="1:20" x14ac:dyDescent="0.25">
      <c r="A625" s="5">
        <v>43968</v>
      </c>
      <c r="B625">
        <v>1.537E-2</v>
      </c>
      <c r="C625">
        <v>1.5990000000000001E-2</v>
      </c>
      <c r="D625">
        <v>1.521E-2</v>
      </c>
      <c r="E625">
        <v>1.5509999999999999E-2</v>
      </c>
      <c r="F625">
        <v>5509694.2000000002</v>
      </c>
      <c r="G625">
        <v>0</v>
      </c>
      <c r="L625" t="s">
        <v>7</v>
      </c>
      <c r="M625" t="s">
        <v>8</v>
      </c>
      <c r="N625" t="s">
        <v>8</v>
      </c>
      <c r="P625">
        <f t="shared" si="989"/>
        <v>-0.23076923076923214</v>
      </c>
      <c r="Q625">
        <f t="shared" si="990"/>
        <v>-1271467.8923076999</v>
      </c>
      <c r="R625">
        <f t="shared" si="991"/>
        <v>-433911417.17608339</v>
      </c>
      <c r="S625">
        <f t="shared" si="992"/>
        <v>-4339.1141717608334</v>
      </c>
      <c r="T625">
        <f t="shared" si="993"/>
        <v>-4.3391141717608335</v>
      </c>
    </row>
    <row r="626" spans="1:20" x14ac:dyDescent="0.25">
      <c r="A626" s="5">
        <v>43967</v>
      </c>
      <c r="B626">
        <v>1.5089999999999999E-2</v>
      </c>
      <c r="C626">
        <v>1.7809999999999999E-2</v>
      </c>
      <c r="D626">
        <v>1.4710000000000001E-2</v>
      </c>
      <c r="E626">
        <v>1.538E-2</v>
      </c>
      <c r="F626">
        <v>21503144.5</v>
      </c>
      <c r="G626">
        <v>0</v>
      </c>
      <c r="L626" t="s">
        <v>8</v>
      </c>
      <c r="M626" t="s">
        <v>8</v>
      </c>
      <c r="N626" t="s">
        <v>8</v>
      </c>
      <c r="P626">
        <f t="shared" si="989"/>
        <v>-0.56774193548387164</v>
      </c>
      <c r="Q626">
        <f t="shared" si="990"/>
        <v>-12208236.877419369</v>
      </c>
      <c r="R626">
        <f t="shared" si="991"/>
        <v>-432639949.28377569</v>
      </c>
      <c r="S626">
        <f t="shared" si="992"/>
        <v>-4326.399492837757</v>
      </c>
      <c r="T626">
        <f t="shared" si="993"/>
        <v>-4.3263994928377567</v>
      </c>
    </row>
    <row r="627" spans="1:20" x14ac:dyDescent="0.25">
      <c r="A627" s="5">
        <v>43966</v>
      </c>
      <c r="B627">
        <v>1.5100000000000001E-2</v>
      </c>
      <c r="C627">
        <v>1.525E-2</v>
      </c>
      <c r="D627">
        <v>1.4749999999999999E-2</v>
      </c>
      <c r="E627">
        <v>1.5089999999999999E-2</v>
      </c>
      <c r="F627">
        <v>3540305</v>
      </c>
      <c r="G627">
        <v>0</v>
      </c>
      <c r="L627" t="s">
        <v>7</v>
      </c>
      <c r="M627" t="s">
        <v>7</v>
      </c>
      <c r="N627" t="s">
        <v>8</v>
      </c>
      <c r="P627">
        <f t="shared" si="989"/>
        <v>0.35999999999999888</v>
      </c>
      <c r="Q627">
        <f t="shared" si="990"/>
        <v>1274509.7999999961</v>
      </c>
      <c r="R627">
        <f t="shared" si="991"/>
        <v>-420431712.40635633</v>
      </c>
      <c r="S627">
        <f t="shared" si="992"/>
        <v>-4204.3171240635629</v>
      </c>
      <c r="T627">
        <f t="shared" si="993"/>
        <v>-4.2043171240635626</v>
      </c>
    </row>
    <row r="628" spans="1:20" x14ac:dyDescent="0.25">
      <c r="A628" s="5">
        <v>43965</v>
      </c>
      <c r="B628">
        <v>1.4919999999999999E-2</v>
      </c>
      <c r="C628">
        <v>1.549E-2</v>
      </c>
      <c r="D628">
        <v>1.4800000000000001E-2</v>
      </c>
      <c r="E628">
        <v>1.5180000000000001E-2</v>
      </c>
      <c r="F628">
        <v>5925150.4000000004</v>
      </c>
      <c r="G628">
        <v>0</v>
      </c>
      <c r="L628" t="s">
        <v>7</v>
      </c>
      <c r="M628" t="s">
        <v>7</v>
      </c>
      <c r="N628" t="s">
        <v>8</v>
      </c>
      <c r="P628">
        <f t="shared" si="989"/>
        <v>0.10144927536231979</v>
      </c>
      <c r="Q628">
        <f t="shared" si="990"/>
        <v>601102.21449275932</v>
      </c>
      <c r="R628">
        <f t="shared" si="991"/>
        <v>-421706222.20635635</v>
      </c>
      <c r="S628">
        <f t="shared" si="992"/>
        <v>-4217.0622220635632</v>
      </c>
      <c r="T628">
        <f t="shared" si="993"/>
        <v>-4.2170622220635634</v>
      </c>
    </row>
    <row r="629" spans="1:20" x14ac:dyDescent="0.25">
      <c r="A629" s="5">
        <v>43964</v>
      </c>
      <c r="B629">
        <v>1.502E-2</v>
      </c>
      <c r="C629">
        <v>1.516E-2</v>
      </c>
      <c r="D629">
        <v>1.472E-2</v>
      </c>
      <c r="E629">
        <v>1.49E-2</v>
      </c>
      <c r="F629">
        <v>3543056.9</v>
      </c>
      <c r="G629">
        <v>0</v>
      </c>
      <c r="L629" t="s">
        <v>7</v>
      </c>
      <c r="M629" t="s">
        <v>7</v>
      </c>
      <c r="N629" t="s">
        <v>8</v>
      </c>
      <c r="P629">
        <f t="shared" si="989"/>
        <v>-0.18181818181818254</v>
      </c>
      <c r="Q629">
        <f t="shared" si="990"/>
        <v>-644192.16363636614</v>
      </c>
      <c r="R629">
        <f t="shared" si="991"/>
        <v>-422307324.42084908</v>
      </c>
      <c r="S629">
        <f t="shared" si="992"/>
        <v>-4223.0732442084909</v>
      </c>
      <c r="T629">
        <f t="shared" si="993"/>
        <v>-4.2230732442084911</v>
      </c>
    </row>
    <row r="630" spans="1:20" x14ac:dyDescent="0.25">
      <c r="A630" s="5">
        <v>43963</v>
      </c>
      <c r="B630">
        <v>1.439E-2</v>
      </c>
      <c r="C630">
        <v>1.5699999999999999E-2</v>
      </c>
      <c r="D630">
        <v>1.4330000000000001E-2</v>
      </c>
      <c r="E630">
        <v>1.495E-2</v>
      </c>
      <c r="F630">
        <v>12804015.300000001</v>
      </c>
      <c r="G630">
        <v>0</v>
      </c>
      <c r="L630" t="s">
        <v>8</v>
      </c>
      <c r="M630" t="s">
        <v>7</v>
      </c>
      <c r="N630" t="s">
        <v>8</v>
      </c>
      <c r="P630">
        <f t="shared" si="989"/>
        <v>-9.4890510948905188E-2</v>
      </c>
      <c r="Q630">
        <f t="shared" si="990"/>
        <v>-1214979.5540145996</v>
      </c>
      <c r="R630">
        <f t="shared" si="991"/>
        <v>-421663132.2572127</v>
      </c>
      <c r="S630">
        <f t="shared" si="992"/>
        <v>-4216.6313225721269</v>
      </c>
      <c r="T630">
        <f t="shared" si="993"/>
        <v>-4.2166313225721268</v>
      </c>
    </row>
    <row r="631" spans="1:20" x14ac:dyDescent="0.25">
      <c r="A631" s="5">
        <v>43962</v>
      </c>
      <c r="B631">
        <v>1.52E-2</v>
      </c>
      <c r="C631">
        <v>1.5440000000000001E-2</v>
      </c>
      <c r="D631">
        <v>1.4120000000000001E-2</v>
      </c>
      <c r="E631">
        <v>1.447E-2</v>
      </c>
      <c r="F631">
        <v>8034827.4000000004</v>
      </c>
      <c r="G631">
        <v>0</v>
      </c>
      <c r="L631" t="s">
        <v>8</v>
      </c>
      <c r="M631" t="s">
        <v>7</v>
      </c>
      <c r="N631" t="s">
        <v>8</v>
      </c>
      <c r="P631">
        <f t="shared" si="989"/>
        <v>-0.46969696969697028</v>
      </c>
      <c r="Q631">
        <f t="shared" si="990"/>
        <v>-3773934.0818181867</v>
      </c>
      <c r="R631">
        <f t="shared" si="991"/>
        <v>-420448152.70319808</v>
      </c>
      <c r="S631">
        <f t="shared" si="992"/>
        <v>-4204.4815270319805</v>
      </c>
      <c r="T631">
        <f t="shared" si="993"/>
        <v>-4.2044815270319802</v>
      </c>
    </row>
    <row r="632" spans="1:20" x14ac:dyDescent="0.25">
      <c r="A632" s="5">
        <v>43961</v>
      </c>
      <c r="B632">
        <v>1.6150000000000001E-2</v>
      </c>
      <c r="C632">
        <v>1.678E-2</v>
      </c>
      <c r="D632">
        <v>1.371E-2</v>
      </c>
      <c r="E632">
        <v>1.5299999999999999E-2</v>
      </c>
      <c r="F632">
        <v>17083492.399999999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3.5830618892507812E-2</v>
      </c>
      <c r="Q632">
        <f t="shared" si="990"/>
        <v>612112.10553745355</v>
      </c>
      <c r="R632">
        <f t="shared" si="991"/>
        <v>-416674218.62137991</v>
      </c>
      <c r="S632">
        <f t="shared" si="992"/>
        <v>-4166.742186213799</v>
      </c>
      <c r="T632">
        <f t="shared" si="993"/>
        <v>-4.1667421862137992</v>
      </c>
    </row>
    <row r="633" spans="1:20" x14ac:dyDescent="0.25">
      <c r="A633" s="5">
        <v>43960</v>
      </c>
      <c r="B633">
        <v>1.5789999999999998E-2</v>
      </c>
      <c r="C633">
        <v>1.6990000000000002E-2</v>
      </c>
      <c r="D633">
        <v>1.5299999999999999E-2</v>
      </c>
      <c r="E633">
        <v>1.6080000000000001E-2</v>
      </c>
      <c r="F633">
        <v>12611741.699999999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-7.6923076923076761E-2</v>
      </c>
      <c r="Q633">
        <f t="shared" si="990"/>
        <v>-970133.97692307481</v>
      </c>
      <c r="R633">
        <f t="shared" si="991"/>
        <v>-417286330.72691739</v>
      </c>
      <c r="S633">
        <f t="shared" si="992"/>
        <v>-4172.8633072691737</v>
      </c>
      <c r="T633">
        <f t="shared" si="993"/>
        <v>-4.1728633072691741</v>
      </c>
    </row>
    <row r="634" spans="1:20" x14ac:dyDescent="0.25">
      <c r="A634" s="5">
        <v>43959</v>
      </c>
      <c r="B634">
        <v>1.499E-2</v>
      </c>
      <c r="C634">
        <v>1.66E-2</v>
      </c>
      <c r="D634">
        <v>1.4829999999999999E-2</v>
      </c>
      <c r="E634">
        <v>1.567E-2</v>
      </c>
      <c r="F634">
        <v>7778175</v>
      </c>
      <c r="G634">
        <v>0</v>
      </c>
      <c r="L634" t="s">
        <v>8</v>
      </c>
      <c r="M634" t="s">
        <v>8</v>
      </c>
      <c r="N634" t="s">
        <v>8</v>
      </c>
      <c r="P634">
        <f t="shared" si="989"/>
        <v>-5.0847457627118509E-2</v>
      </c>
      <c r="Q634">
        <f t="shared" si="990"/>
        <v>-395500.42372881249</v>
      </c>
      <c r="R634">
        <f t="shared" si="991"/>
        <v>-416316196.74999434</v>
      </c>
      <c r="S634">
        <f t="shared" si="992"/>
        <v>-4163.1619674999438</v>
      </c>
      <c r="T634">
        <f t="shared" si="993"/>
        <v>-4.1631619674999438</v>
      </c>
    </row>
    <row r="635" spans="1:20" x14ac:dyDescent="0.25">
      <c r="A635" s="5">
        <v>43958</v>
      </c>
      <c r="B635">
        <v>1.545E-2</v>
      </c>
      <c r="C635">
        <v>1.5730000000000001E-2</v>
      </c>
      <c r="D635">
        <v>1.4579999999999999E-2</v>
      </c>
      <c r="E635">
        <v>1.508E-2</v>
      </c>
      <c r="F635">
        <v>7177823.0999999996</v>
      </c>
      <c r="G635">
        <v>0</v>
      </c>
      <c r="L635" t="s">
        <v>7</v>
      </c>
      <c r="M635" t="s">
        <v>8</v>
      </c>
      <c r="N635" t="s">
        <v>8</v>
      </c>
      <c r="P635">
        <f t="shared" si="989"/>
        <v>-0.13043478260869618</v>
      </c>
      <c r="Q635">
        <f t="shared" si="990"/>
        <v>-936237.79565217765</v>
      </c>
      <c r="R635">
        <f t="shared" si="991"/>
        <v>-415920696.32626551</v>
      </c>
      <c r="S635">
        <f t="shared" si="992"/>
        <v>-4159.2069632626553</v>
      </c>
      <c r="T635">
        <f t="shared" si="993"/>
        <v>-4.1592069632626556</v>
      </c>
    </row>
    <row r="636" spans="1:20" x14ac:dyDescent="0.25">
      <c r="A636" s="5">
        <v>43957</v>
      </c>
      <c r="B636">
        <v>1.61E-2</v>
      </c>
      <c r="C636">
        <v>1.6230000000000001E-2</v>
      </c>
      <c r="D636">
        <v>1.5429999999999999E-2</v>
      </c>
      <c r="E636">
        <v>1.5429999999999999E-2</v>
      </c>
      <c r="F636">
        <v>6654275.0999999996</v>
      </c>
      <c r="G636">
        <v>0</v>
      </c>
      <c r="L636" t="s">
        <v>7</v>
      </c>
      <c r="M636" t="s">
        <v>8</v>
      </c>
      <c r="N636" t="s">
        <v>8</v>
      </c>
      <c r="P636">
        <f t="shared" si="989"/>
        <v>-1</v>
      </c>
      <c r="Q636">
        <f t="shared" si="990"/>
        <v>-6654275.0999999996</v>
      </c>
      <c r="R636">
        <f t="shared" si="991"/>
        <v>-414984458.53061336</v>
      </c>
      <c r="S636">
        <f t="shared" si="992"/>
        <v>-4149.8445853061339</v>
      </c>
      <c r="T636">
        <f t="shared" si="993"/>
        <v>-4.1498445853061341</v>
      </c>
    </row>
    <row r="637" spans="1:20" x14ac:dyDescent="0.25">
      <c r="A637" s="5">
        <v>43956</v>
      </c>
      <c r="B637">
        <v>1.6289999999999999E-2</v>
      </c>
      <c r="C637">
        <v>1.653E-2</v>
      </c>
      <c r="D637">
        <v>1.5769999999999999E-2</v>
      </c>
      <c r="E637">
        <v>1.627E-2</v>
      </c>
      <c r="F637">
        <v>7627981.0999999996</v>
      </c>
      <c r="G637">
        <v>0</v>
      </c>
      <c r="L637" t="s">
        <v>7</v>
      </c>
      <c r="M637" t="s">
        <v>8</v>
      </c>
      <c r="N637" t="s">
        <v>8</v>
      </c>
      <c r="P637">
        <f t="shared" si="989"/>
        <v>0.31578947368421123</v>
      </c>
      <c r="Q637">
        <f t="shared" si="990"/>
        <v>2408836.1368421107</v>
      </c>
      <c r="R637">
        <f t="shared" si="991"/>
        <v>-408330183.43061334</v>
      </c>
      <c r="S637">
        <f t="shared" si="992"/>
        <v>-4083.3018343061335</v>
      </c>
      <c r="T637">
        <f t="shared" si="993"/>
        <v>-4.0833018343061331</v>
      </c>
    </row>
    <row r="638" spans="1:20" x14ac:dyDescent="0.25">
      <c r="A638" s="5">
        <v>43955</v>
      </c>
      <c r="B638">
        <v>1.5970000000000002E-2</v>
      </c>
      <c r="C638">
        <v>1.7299999999999999E-2</v>
      </c>
      <c r="D638">
        <v>1.5879999999999998E-2</v>
      </c>
      <c r="E638">
        <v>1.6320000000000001E-2</v>
      </c>
      <c r="F638">
        <v>24129689.800000001</v>
      </c>
      <c r="G638">
        <v>0</v>
      </c>
      <c r="L638" t="s">
        <v>8</v>
      </c>
      <c r="M638" t="s">
        <v>8</v>
      </c>
      <c r="N638" t="s">
        <v>8</v>
      </c>
      <c r="P638">
        <f t="shared" si="989"/>
        <v>-0.38028169014084151</v>
      </c>
      <c r="Q638">
        <f t="shared" si="990"/>
        <v>-9176079.2197182234</v>
      </c>
      <c r="R638">
        <f t="shared" si="991"/>
        <v>-410739019.56745547</v>
      </c>
      <c r="S638">
        <f t="shared" si="992"/>
        <v>-4107.3901956745549</v>
      </c>
      <c r="T638">
        <f t="shared" si="993"/>
        <v>-4.1073901956745553</v>
      </c>
    </row>
    <row r="639" spans="1:20" x14ac:dyDescent="0.25">
      <c r="A639" s="5">
        <v>43954</v>
      </c>
      <c r="B639">
        <v>1.6650000000000002E-2</v>
      </c>
      <c r="C639">
        <v>1.6650000000000002E-2</v>
      </c>
      <c r="D639">
        <v>1.5640000000000001E-2</v>
      </c>
      <c r="E639">
        <v>1.584E-2</v>
      </c>
      <c r="F639">
        <v>6771532</v>
      </c>
      <c r="G639">
        <v>0</v>
      </c>
      <c r="L639" t="s">
        <v>7</v>
      </c>
      <c r="M639" t="s">
        <v>8</v>
      </c>
      <c r="N639" t="s">
        <v>8</v>
      </c>
      <c r="P639">
        <f t="shared" si="989"/>
        <v>-0.6039603960396065</v>
      </c>
      <c r="Q639">
        <f t="shared" si="990"/>
        <v>-4089737.1485148687</v>
      </c>
      <c r="R639">
        <f t="shared" si="991"/>
        <v>-401562940.34773725</v>
      </c>
      <c r="S639">
        <f t="shared" si="992"/>
        <v>-4015.6294034773723</v>
      </c>
      <c r="T639">
        <f t="shared" si="993"/>
        <v>-4.0156294034773721</v>
      </c>
    </row>
    <row r="640" spans="1:20" x14ac:dyDescent="0.25">
      <c r="A640" s="5">
        <v>43953</v>
      </c>
      <c r="B640">
        <v>1.601E-2</v>
      </c>
      <c r="C640">
        <v>1.7309999999999999E-2</v>
      </c>
      <c r="D640">
        <v>1.5949999999999999E-2</v>
      </c>
      <c r="E640">
        <v>1.6539999999999999E-2</v>
      </c>
      <c r="F640">
        <v>10156157.5</v>
      </c>
      <c r="G640">
        <v>0</v>
      </c>
      <c r="L640" t="s">
        <v>8</v>
      </c>
      <c r="M640" t="s">
        <v>8</v>
      </c>
      <c r="N640" t="s">
        <v>8</v>
      </c>
      <c r="P640">
        <f t="shared" si="989"/>
        <v>-0.13235294117647028</v>
      </c>
      <c r="Q640">
        <f t="shared" si="990"/>
        <v>-1344197.3161764676</v>
      </c>
      <c r="R640">
        <f t="shared" si="991"/>
        <v>-397473203.19922239</v>
      </c>
      <c r="S640">
        <f t="shared" si="992"/>
        <v>-3974.7320319922237</v>
      </c>
      <c r="T640">
        <f t="shared" si="993"/>
        <v>-3.9747320319922239</v>
      </c>
    </row>
    <row r="641" spans="1:20" x14ac:dyDescent="0.25">
      <c r="A641" s="5">
        <v>43952</v>
      </c>
      <c r="B641">
        <v>1.576E-2</v>
      </c>
      <c r="C641">
        <v>1.6160000000000001E-2</v>
      </c>
      <c r="D641">
        <v>1.5689999999999999E-2</v>
      </c>
      <c r="E641">
        <v>1.6129999999999999E-2</v>
      </c>
      <c r="F641">
        <v>5088997.8</v>
      </c>
      <c r="G641">
        <v>0</v>
      </c>
      <c r="L641" t="s">
        <v>8</v>
      </c>
      <c r="M641" t="s">
        <v>7</v>
      </c>
      <c r="N641" t="s">
        <v>8</v>
      </c>
      <c r="P641">
        <f t="shared" si="989"/>
        <v>0.87234042553190583</v>
      </c>
      <c r="Q641">
        <f t="shared" si="990"/>
        <v>4439338.5063829329</v>
      </c>
      <c r="R641">
        <f t="shared" si="991"/>
        <v>-396129005.88304591</v>
      </c>
      <c r="S641">
        <f t="shared" si="992"/>
        <v>-3961.2900588304592</v>
      </c>
      <c r="T641">
        <f t="shared" si="993"/>
        <v>-3.9612900588304591</v>
      </c>
    </row>
    <row r="642" spans="1:20" x14ac:dyDescent="0.25">
      <c r="A642" s="5">
        <v>43951</v>
      </c>
      <c r="B642">
        <v>1.601E-2</v>
      </c>
      <c r="C642">
        <v>1.617E-2</v>
      </c>
      <c r="D642">
        <v>1.54E-2</v>
      </c>
      <c r="E642">
        <v>1.567E-2</v>
      </c>
      <c r="F642">
        <v>9439542.6999999993</v>
      </c>
      <c r="G642">
        <v>0</v>
      </c>
      <c r="L642" t="s">
        <v>8</v>
      </c>
      <c r="M642" t="s">
        <v>7</v>
      </c>
      <c r="N642" t="s">
        <v>8</v>
      </c>
      <c r="P642">
        <f t="shared" si="989"/>
        <v>-0.29870129870130013</v>
      </c>
      <c r="Q642">
        <f t="shared" si="990"/>
        <v>-2819603.6636363771</v>
      </c>
      <c r="R642">
        <f t="shared" si="991"/>
        <v>-400568344.38942885</v>
      </c>
      <c r="S642">
        <f t="shared" si="992"/>
        <v>-4005.6834438942888</v>
      </c>
      <c r="T642">
        <f t="shared" si="993"/>
        <v>-4.0056834438942888</v>
      </c>
    </row>
    <row r="643" spans="1:20" x14ac:dyDescent="0.25">
      <c r="A643" s="5">
        <v>43950</v>
      </c>
      <c r="B643">
        <v>1.6E-2</v>
      </c>
      <c r="C643">
        <v>1.6140000000000002E-2</v>
      </c>
      <c r="D643">
        <v>1.491E-2</v>
      </c>
      <c r="E643">
        <v>1.6049999999999998E-2</v>
      </c>
      <c r="F643">
        <v>17364989.800000001</v>
      </c>
      <c r="G643">
        <v>0</v>
      </c>
      <c r="L643" t="s">
        <v>7</v>
      </c>
      <c r="M643" t="s">
        <v>7</v>
      </c>
      <c r="N643" t="s">
        <v>8</v>
      </c>
      <c r="P643">
        <f t="shared" si="989"/>
        <v>0.85365853658536073</v>
      </c>
      <c r="Q643">
        <f t="shared" si="990"/>
        <v>14823771.780487716</v>
      </c>
      <c r="R643">
        <f t="shared" si="991"/>
        <v>-397748740.72579247</v>
      </c>
      <c r="S643">
        <f t="shared" si="992"/>
        <v>-3977.4874072579246</v>
      </c>
      <c r="T643">
        <f t="shared" si="993"/>
        <v>-3.9774874072579247</v>
      </c>
    </row>
    <row r="644" spans="1:20" x14ac:dyDescent="0.25">
      <c r="A644" s="5">
        <v>43949</v>
      </c>
      <c r="B644">
        <v>1.5900000000000001E-2</v>
      </c>
      <c r="C644">
        <v>1.618E-2</v>
      </c>
      <c r="D644">
        <v>1.536E-2</v>
      </c>
      <c r="E644">
        <v>1.5939999999999999E-2</v>
      </c>
      <c r="F644">
        <v>5131069.7</v>
      </c>
      <c r="G644">
        <v>0</v>
      </c>
      <c r="L644" t="s">
        <v>8</v>
      </c>
      <c r="M644" t="s">
        <v>7</v>
      </c>
      <c r="N644" t="s">
        <v>8</v>
      </c>
      <c r="P644">
        <f t="shared" si="989"/>
        <v>0.41463414634146156</v>
      </c>
      <c r="Q644">
        <f t="shared" si="990"/>
        <v>2127516.7048780392</v>
      </c>
      <c r="R644">
        <f t="shared" si="991"/>
        <v>-412572512.50628018</v>
      </c>
      <c r="S644">
        <f t="shared" si="992"/>
        <v>-4125.7251250628015</v>
      </c>
      <c r="T644">
        <f t="shared" si="993"/>
        <v>-4.1257251250628011</v>
      </c>
    </row>
    <row r="645" spans="1:20" x14ac:dyDescent="0.25">
      <c r="A645" s="5">
        <v>43948</v>
      </c>
      <c r="B645">
        <v>1.6250000000000001E-2</v>
      </c>
      <c r="C645">
        <v>1.6539999999999999E-2</v>
      </c>
      <c r="D645">
        <v>1.5350000000000001E-2</v>
      </c>
      <c r="E645">
        <v>1.5879999999999998E-2</v>
      </c>
      <c r="F645">
        <v>9411026.0999999996</v>
      </c>
      <c r="G645">
        <v>0</v>
      </c>
      <c r="L645" t="s">
        <v>8</v>
      </c>
      <c r="M645" t="s">
        <v>7</v>
      </c>
      <c r="N645" t="s">
        <v>8</v>
      </c>
      <c r="P645">
        <f t="shared" si="989"/>
        <v>-0.10924369747899458</v>
      </c>
      <c r="Q645">
        <f t="shared" si="990"/>
        <v>-1028095.2882353221</v>
      </c>
      <c r="R645">
        <f t="shared" si="991"/>
        <v>-414700029.21115822</v>
      </c>
      <c r="S645">
        <f t="shared" si="992"/>
        <v>-4147.000292111582</v>
      </c>
      <c r="T645">
        <f t="shared" si="993"/>
        <v>-4.1470002921115823</v>
      </c>
    </row>
    <row r="646" spans="1:20" x14ac:dyDescent="0.25">
      <c r="A646" s="5">
        <v>43947</v>
      </c>
      <c r="B646">
        <v>1.5810000000000001E-2</v>
      </c>
      <c r="C646">
        <v>1.6459999999999999E-2</v>
      </c>
      <c r="D646">
        <v>1.562E-2</v>
      </c>
      <c r="E646">
        <v>1.6209999999999999E-2</v>
      </c>
      <c r="F646">
        <v>10247480.699999999</v>
      </c>
      <c r="G646">
        <v>0</v>
      </c>
      <c r="L646" t="s">
        <v>8</v>
      </c>
      <c r="M646" t="s">
        <v>7</v>
      </c>
      <c r="N646" t="s">
        <v>8</v>
      </c>
      <c r="P646">
        <f t="shared" ref="P646:P709" si="994">IF(C646=D646,0,((E646-D646)-(C646-E646))/(C646-D646))</f>
        <v>0.40476190476190332</v>
      </c>
      <c r="Q646">
        <f t="shared" ref="Q646:Q709" si="995">F646*P646</f>
        <v>4147789.8071428421</v>
      </c>
      <c r="R646">
        <f t="shared" ref="R646:R709" si="996">R647+Q646</f>
        <v>-413671933.92292291</v>
      </c>
      <c r="S646">
        <f t="shared" ref="S646:S709" si="997">R646/100000</f>
        <v>-4136.7193392292293</v>
      </c>
      <c r="T646">
        <f t="shared" ref="T646:T709" si="998">S646/1000</f>
        <v>-4.136719339229229</v>
      </c>
    </row>
    <row r="647" spans="1:20" x14ac:dyDescent="0.25">
      <c r="A647" s="5">
        <v>43946</v>
      </c>
      <c r="B647">
        <v>1.5879999999999998E-2</v>
      </c>
      <c r="C647">
        <v>1.6400000000000001E-2</v>
      </c>
      <c r="D647">
        <v>1.5789999999999998E-2</v>
      </c>
      <c r="E647">
        <v>1.5810000000000001E-2</v>
      </c>
      <c r="F647">
        <v>9018643.0999999996</v>
      </c>
      <c r="G647">
        <v>0</v>
      </c>
      <c r="L647" t="s">
        <v>8</v>
      </c>
      <c r="M647" t="s">
        <v>7</v>
      </c>
      <c r="N647" t="s">
        <v>8</v>
      </c>
      <c r="P647">
        <f t="shared" si="994"/>
        <v>-0.93442622950818832</v>
      </c>
      <c r="Q647">
        <f t="shared" si="995"/>
        <v>-8427256.6672130395</v>
      </c>
      <c r="R647">
        <f t="shared" si="996"/>
        <v>-417819723.73006576</v>
      </c>
      <c r="S647">
        <f t="shared" si="997"/>
        <v>-4178.1972373006574</v>
      </c>
      <c r="T647">
        <f t="shared" si="998"/>
        <v>-4.1781972373006573</v>
      </c>
    </row>
    <row r="648" spans="1:20" x14ac:dyDescent="0.25">
      <c r="A648" s="5">
        <v>43945</v>
      </c>
      <c r="B648">
        <v>1.549E-2</v>
      </c>
      <c r="C648">
        <v>1.6320000000000001E-2</v>
      </c>
      <c r="D648">
        <v>1.5429999999999999E-2</v>
      </c>
      <c r="E648">
        <v>1.5900000000000001E-2</v>
      </c>
      <c r="F648">
        <v>10917806.9</v>
      </c>
      <c r="G648">
        <v>0</v>
      </c>
      <c r="L648" t="s">
        <v>8</v>
      </c>
      <c r="M648" t="s">
        <v>7</v>
      </c>
      <c r="N648" t="s">
        <v>8</v>
      </c>
      <c r="P648">
        <f t="shared" si="994"/>
        <v>5.6179775280900367E-2</v>
      </c>
      <c r="Q648">
        <f t="shared" si="995"/>
        <v>613359.93820226344</v>
      </c>
      <c r="R648">
        <f t="shared" si="996"/>
        <v>-409392467.06285274</v>
      </c>
      <c r="S648">
        <f t="shared" si="997"/>
        <v>-4093.9246706285276</v>
      </c>
      <c r="T648">
        <f t="shared" si="998"/>
        <v>-4.0939246706285273</v>
      </c>
    </row>
    <row r="649" spans="1:20" x14ac:dyDescent="0.25">
      <c r="A649" s="5">
        <v>43944</v>
      </c>
      <c r="B649">
        <v>1.5509999999999999E-2</v>
      </c>
      <c r="C649">
        <v>1.5890000000000001E-2</v>
      </c>
      <c r="D649">
        <v>1.4800000000000001E-2</v>
      </c>
      <c r="E649">
        <v>1.549E-2</v>
      </c>
      <c r="F649">
        <v>15459941</v>
      </c>
      <c r="G649">
        <v>0</v>
      </c>
      <c r="L649" t="s">
        <v>7</v>
      </c>
      <c r="M649" t="s">
        <v>7</v>
      </c>
      <c r="N649" t="s">
        <v>8</v>
      </c>
      <c r="P649">
        <f t="shared" si="994"/>
        <v>0.26605504587155815</v>
      </c>
      <c r="Q649">
        <f t="shared" si="995"/>
        <v>4113195.3119265824</v>
      </c>
      <c r="R649">
        <f t="shared" si="996"/>
        <v>-410005827.001055</v>
      </c>
      <c r="S649">
        <f t="shared" si="997"/>
        <v>-4100.0582700105497</v>
      </c>
      <c r="T649">
        <f t="shared" si="998"/>
        <v>-4.1000582700105497</v>
      </c>
    </row>
    <row r="650" spans="1:20" x14ac:dyDescent="0.25">
      <c r="A650" s="5">
        <v>43943</v>
      </c>
      <c r="B650">
        <v>1.558E-2</v>
      </c>
      <c r="C650">
        <v>1.6E-2</v>
      </c>
      <c r="D650">
        <v>1.4970000000000001E-2</v>
      </c>
      <c r="E650">
        <v>1.5650000000000001E-2</v>
      </c>
      <c r="F650">
        <v>14018856.6</v>
      </c>
      <c r="G650">
        <v>0</v>
      </c>
      <c r="L650" t="s">
        <v>7</v>
      </c>
      <c r="M650" t="s">
        <v>7</v>
      </c>
      <c r="N650" t="s">
        <v>8</v>
      </c>
      <c r="P650">
        <f t="shared" si="994"/>
        <v>0.32038834951456363</v>
      </c>
      <c r="Q650">
        <f t="shared" si="995"/>
        <v>4491478.3281553471</v>
      </c>
      <c r="R650">
        <f t="shared" si="996"/>
        <v>-414119022.31298161</v>
      </c>
      <c r="S650">
        <f t="shared" si="997"/>
        <v>-4141.1902231298163</v>
      </c>
      <c r="T650">
        <f t="shared" si="998"/>
        <v>-4.1411902231298168</v>
      </c>
    </row>
    <row r="651" spans="1:20" x14ac:dyDescent="0.25">
      <c r="A651" s="5">
        <v>43942</v>
      </c>
      <c r="B651">
        <v>1.4829999999999999E-2</v>
      </c>
      <c r="C651">
        <v>1.6250000000000001E-2</v>
      </c>
      <c r="D651">
        <v>1.4829999999999999E-2</v>
      </c>
      <c r="E651">
        <v>1.558E-2</v>
      </c>
      <c r="F651">
        <v>17336049.100000001</v>
      </c>
      <c r="G651">
        <v>0</v>
      </c>
      <c r="L651" t="s">
        <v>8</v>
      </c>
      <c r="M651" t="s">
        <v>7</v>
      </c>
      <c r="N651" t="s">
        <v>8</v>
      </c>
      <c r="P651">
        <f t="shared" si="994"/>
        <v>5.633802816901419E-2</v>
      </c>
      <c r="Q651">
        <f t="shared" si="995"/>
        <v>976678.8225352132</v>
      </c>
      <c r="R651">
        <f t="shared" si="996"/>
        <v>-418610500.64113694</v>
      </c>
      <c r="S651">
        <f t="shared" si="997"/>
        <v>-4186.1050064113697</v>
      </c>
      <c r="T651">
        <f t="shared" si="998"/>
        <v>-4.1861050064113696</v>
      </c>
    </row>
    <row r="652" spans="1:20" x14ac:dyDescent="0.25">
      <c r="A652" s="5">
        <v>43941</v>
      </c>
      <c r="B652">
        <v>1.593E-2</v>
      </c>
      <c r="C652">
        <v>1.6400000000000001E-2</v>
      </c>
      <c r="D652">
        <v>1.452E-2</v>
      </c>
      <c r="E652">
        <v>1.4829999999999999E-2</v>
      </c>
      <c r="F652">
        <v>28510561.699999999</v>
      </c>
      <c r="G652">
        <v>0</v>
      </c>
      <c r="L652" t="s">
        <v>7</v>
      </c>
      <c r="M652" t="s">
        <v>7</v>
      </c>
      <c r="N652" t="s">
        <v>8</v>
      </c>
      <c r="P652">
        <f t="shared" si="994"/>
        <v>-0.67021276595744761</v>
      </c>
      <c r="Q652">
        <f t="shared" si="995"/>
        <v>-19108142.415957469</v>
      </c>
      <c r="R652">
        <f t="shared" si="996"/>
        <v>-419587179.46367216</v>
      </c>
      <c r="S652">
        <f t="shared" si="997"/>
        <v>-4195.8717946367215</v>
      </c>
      <c r="T652">
        <f t="shared" si="998"/>
        <v>-4.1958717946367212</v>
      </c>
    </row>
    <row r="653" spans="1:20" x14ac:dyDescent="0.25">
      <c r="A653" s="5">
        <v>43940</v>
      </c>
      <c r="B653">
        <v>1.562E-2</v>
      </c>
      <c r="C653">
        <v>1.6539999999999999E-2</v>
      </c>
      <c r="D653">
        <v>1.5350000000000001E-2</v>
      </c>
      <c r="E653">
        <v>1.583E-2</v>
      </c>
      <c r="F653">
        <v>13634853.4</v>
      </c>
      <c r="G653">
        <v>0</v>
      </c>
      <c r="L653" t="s">
        <v>8</v>
      </c>
      <c r="M653" t="s">
        <v>7</v>
      </c>
      <c r="N653" t="s">
        <v>8</v>
      </c>
      <c r="P653">
        <f t="shared" si="994"/>
        <v>-0.19327731092436942</v>
      </c>
      <c r="Q653">
        <f t="shared" si="995"/>
        <v>-2635307.7999999956</v>
      </c>
      <c r="R653">
        <f t="shared" si="996"/>
        <v>-400479037.04771471</v>
      </c>
      <c r="S653">
        <f t="shared" si="997"/>
        <v>-4004.790370477147</v>
      </c>
      <c r="T653">
        <f t="shared" si="998"/>
        <v>-4.0047903704771466</v>
      </c>
    </row>
    <row r="654" spans="1:20" x14ac:dyDescent="0.25">
      <c r="A654" s="5">
        <v>43939</v>
      </c>
      <c r="B654">
        <v>1.5339999999999999E-2</v>
      </c>
      <c r="C654">
        <v>1.583E-2</v>
      </c>
      <c r="D654">
        <v>1.506E-2</v>
      </c>
      <c r="E654">
        <v>1.5630000000000002E-2</v>
      </c>
      <c r="F654">
        <v>5849426.5</v>
      </c>
      <c r="G654">
        <v>0</v>
      </c>
      <c r="L654" t="s">
        <v>8</v>
      </c>
      <c r="M654" t="s">
        <v>7</v>
      </c>
      <c r="N654" t="s">
        <v>8</v>
      </c>
      <c r="P654">
        <f t="shared" si="994"/>
        <v>0.48051948051948357</v>
      </c>
      <c r="Q654">
        <f t="shared" si="995"/>
        <v>2810763.3831169009</v>
      </c>
      <c r="R654">
        <f t="shared" si="996"/>
        <v>-397843729.2477147</v>
      </c>
      <c r="S654">
        <f t="shared" si="997"/>
        <v>-3978.4372924771469</v>
      </c>
      <c r="T654">
        <f t="shared" si="998"/>
        <v>-3.9784372924771469</v>
      </c>
    </row>
    <row r="655" spans="1:20" x14ac:dyDescent="0.25">
      <c r="A655" s="5">
        <v>43938</v>
      </c>
      <c r="B655">
        <v>1.5610000000000001E-2</v>
      </c>
      <c r="C655">
        <v>1.6039999999999999E-2</v>
      </c>
      <c r="D655">
        <v>1.523E-2</v>
      </c>
      <c r="E655">
        <v>1.5310000000000001E-2</v>
      </c>
      <c r="F655">
        <v>4624478.3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-0.80246913580246815</v>
      </c>
      <c r="Q655">
        <f t="shared" si="995"/>
        <v>-3711001.1049382668</v>
      </c>
      <c r="R655">
        <f t="shared" si="996"/>
        <v>-400654492.6308316</v>
      </c>
      <c r="S655">
        <f t="shared" si="997"/>
        <v>-4006.544926308316</v>
      </c>
      <c r="T655">
        <f t="shared" si="998"/>
        <v>-4.0065449263083162</v>
      </c>
    </row>
    <row r="656" spans="1:20" x14ac:dyDescent="0.25">
      <c r="A656" s="5">
        <v>43937</v>
      </c>
      <c r="B656">
        <v>1.486E-2</v>
      </c>
      <c r="C656">
        <v>1.6150000000000001E-2</v>
      </c>
      <c r="D656">
        <v>1.431E-2</v>
      </c>
      <c r="E656">
        <v>1.5610000000000001E-2</v>
      </c>
      <c r="F656">
        <v>21141581</v>
      </c>
      <c r="G656">
        <v>0</v>
      </c>
      <c r="L656" t="s">
        <v>7</v>
      </c>
      <c r="M656" t="s">
        <v>7</v>
      </c>
      <c r="N656" t="s">
        <v>8</v>
      </c>
      <c r="P656">
        <f t="shared" si="994"/>
        <v>0.4130434782608694</v>
      </c>
      <c r="Q656">
        <f t="shared" si="995"/>
        <v>8732392.1521739103</v>
      </c>
      <c r="R656">
        <f t="shared" si="996"/>
        <v>-396943491.52589333</v>
      </c>
      <c r="S656">
        <f t="shared" si="997"/>
        <v>-3969.4349152589334</v>
      </c>
      <c r="T656">
        <f t="shared" si="998"/>
        <v>-3.9694349152589332</v>
      </c>
    </row>
    <row r="657" spans="1:20" x14ac:dyDescent="0.25">
      <c r="A657" s="5">
        <v>43936</v>
      </c>
      <c r="B657">
        <v>1.516E-2</v>
      </c>
      <c r="C657">
        <v>1.6879999999999999E-2</v>
      </c>
      <c r="D657">
        <v>1.4789999999999999E-2</v>
      </c>
      <c r="E657">
        <v>1.4930000000000001E-2</v>
      </c>
      <c r="F657">
        <v>24538507.899999999</v>
      </c>
      <c r="G657">
        <v>0</v>
      </c>
      <c r="L657" t="s">
        <v>7</v>
      </c>
      <c r="M657" t="s">
        <v>8</v>
      </c>
      <c r="N657" t="s">
        <v>8</v>
      </c>
      <c r="P657">
        <f t="shared" si="994"/>
        <v>-0.86602870813397015</v>
      </c>
      <c r="Q657">
        <f t="shared" si="995"/>
        <v>-21251052.29617222</v>
      </c>
      <c r="R657">
        <f t="shared" si="996"/>
        <v>-405675883.67806727</v>
      </c>
      <c r="S657">
        <f t="shared" si="997"/>
        <v>-4056.7588367806725</v>
      </c>
      <c r="T657">
        <f t="shared" si="998"/>
        <v>-4.0567588367806726</v>
      </c>
    </row>
    <row r="658" spans="1:20" x14ac:dyDescent="0.25">
      <c r="A658" s="5">
        <v>43935</v>
      </c>
      <c r="B658">
        <v>1.3860000000000001E-2</v>
      </c>
      <c r="C658">
        <v>1.7000000000000001E-2</v>
      </c>
      <c r="D658">
        <v>1.341E-2</v>
      </c>
      <c r="E658">
        <v>1.525E-2</v>
      </c>
      <c r="F658">
        <v>48532673.700000003</v>
      </c>
      <c r="G658">
        <v>0</v>
      </c>
      <c r="L658" t="s">
        <v>8</v>
      </c>
      <c r="M658" t="s">
        <v>8</v>
      </c>
      <c r="N658" t="s">
        <v>8</v>
      </c>
      <c r="P658">
        <f t="shared" si="994"/>
        <v>2.5069637883007811E-2</v>
      </c>
      <c r="Q658">
        <f t="shared" si="995"/>
        <v>1216696.5551531769</v>
      </c>
      <c r="R658">
        <f t="shared" si="996"/>
        <v>-384424831.38189507</v>
      </c>
      <c r="S658">
        <f t="shared" si="997"/>
        <v>-3844.2483138189505</v>
      </c>
      <c r="T658">
        <f t="shared" si="998"/>
        <v>-3.8442483138189503</v>
      </c>
    </row>
    <row r="659" spans="1:20" x14ac:dyDescent="0.25">
      <c r="A659" s="5">
        <v>43934</v>
      </c>
      <c r="B659">
        <v>1.4370000000000001E-2</v>
      </c>
      <c r="C659">
        <v>1.439E-2</v>
      </c>
      <c r="D659">
        <v>1.3390000000000001E-2</v>
      </c>
      <c r="E659">
        <v>1.3860000000000001E-2</v>
      </c>
      <c r="F659">
        <v>4517655.2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-5.9999999999999339E-2</v>
      </c>
      <c r="Q659">
        <f t="shared" si="995"/>
        <v>-271059.31199999701</v>
      </c>
      <c r="R659">
        <f t="shared" si="996"/>
        <v>-385641527.93704826</v>
      </c>
      <c r="S659">
        <f t="shared" si="997"/>
        <v>-3856.4152793704825</v>
      </c>
      <c r="T659">
        <f t="shared" si="998"/>
        <v>-3.8564152793704825</v>
      </c>
    </row>
    <row r="660" spans="1:20" x14ac:dyDescent="0.25">
      <c r="A660" s="5">
        <v>43933</v>
      </c>
      <c r="B660">
        <v>1.396E-2</v>
      </c>
      <c r="C660">
        <v>1.4999999999999999E-2</v>
      </c>
      <c r="D660">
        <v>1.375E-2</v>
      </c>
      <c r="E660">
        <v>1.434E-2</v>
      </c>
      <c r="F660">
        <v>4692656.2</v>
      </c>
      <c r="G660">
        <v>0</v>
      </c>
      <c r="L660" t="s">
        <v>8</v>
      </c>
      <c r="M660" t="s">
        <v>7</v>
      </c>
      <c r="N660" t="s">
        <v>8</v>
      </c>
      <c r="P660">
        <f t="shared" si="994"/>
        <v>-5.5999999999999134E-2</v>
      </c>
      <c r="Q660">
        <f t="shared" si="995"/>
        <v>-262788.74719999597</v>
      </c>
      <c r="R660">
        <f t="shared" si="996"/>
        <v>-385370468.62504828</v>
      </c>
      <c r="S660">
        <f t="shared" si="997"/>
        <v>-3853.7046862504826</v>
      </c>
      <c r="T660">
        <f t="shared" si="998"/>
        <v>-3.8537046862504827</v>
      </c>
    </row>
    <row r="661" spans="1:20" x14ac:dyDescent="0.25">
      <c r="A661" s="5">
        <v>43932</v>
      </c>
      <c r="B661">
        <v>1.3979999999999999E-2</v>
      </c>
      <c r="C661">
        <v>1.4579999999999999E-2</v>
      </c>
      <c r="D661">
        <v>1.379E-2</v>
      </c>
      <c r="E661">
        <v>1.393E-2</v>
      </c>
      <c r="F661">
        <v>2684070.7999999998</v>
      </c>
      <c r="G661">
        <v>0</v>
      </c>
      <c r="L661" t="s">
        <v>7</v>
      </c>
      <c r="M661" t="s">
        <v>7</v>
      </c>
      <c r="N661" t="s">
        <v>8</v>
      </c>
      <c r="P661">
        <f t="shared" si="994"/>
        <v>-0.64556962025316544</v>
      </c>
      <c r="Q661">
        <f t="shared" si="995"/>
        <v>-1732754.5670886098</v>
      </c>
      <c r="R661">
        <f t="shared" si="996"/>
        <v>-385107679.87784827</v>
      </c>
      <c r="S661">
        <f t="shared" si="997"/>
        <v>-3851.0767987784825</v>
      </c>
      <c r="T661">
        <f t="shared" si="998"/>
        <v>-3.8510767987784824</v>
      </c>
    </row>
    <row r="662" spans="1:20" x14ac:dyDescent="0.25">
      <c r="A662" s="5">
        <v>43931</v>
      </c>
      <c r="B662">
        <v>1.502E-2</v>
      </c>
      <c r="C662">
        <v>1.523E-2</v>
      </c>
      <c r="D662">
        <v>1.3650000000000001E-2</v>
      </c>
      <c r="E662">
        <v>1.3990000000000001E-2</v>
      </c>
      <c r="F662">
        <v>11225930.800000001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-0.56962025316455689</v>
      </c>
      <c r="Q662">
        <f t="shared" si="995"/>
        <v>-6394517.5443037972</v>
      </c>
      <c r="R662">
        <f t="shared" si="996"/>
        <v>-383374925.31075966</v>
      </c>
      <c r="S662">
        <f t="shared" si="997"/>
        <v>-3833.7492531075968</v>
      </c>
      <c r="T662">
        <f t="shared" si="998"/>
        <v>-3.8337492531075967</v>
      </c>
    </row>
    <row r="663" spans="1:20" x14ac:dyDescent="0.25">
      <c r="A663" s="5">
        <v>43930</v>
      </c>
      <c r="B663">
        <v>1.558E-2</v>
      </c>
      <c r="C663">
        <v>1.558E-2</v>
      </c>
      <c r="D663">
        <v>1.4800000000000001E-2</v>
      </c>
      <c r="E663">
        <v>1.512E-2</v>
      </c>
      <c r="F663">
        <v>12126269.6</v>
      </c>
      <c r="G663">
        <v>0</v>
      </c>
      <c r="L663" t="s">
        <v>7</v>
      </c>
      <c r="M663" t="s">
        <v>8</v>
      </c>
      <c r="N663" t="s">
        <v>8</v>
      </c>
      <c r="P663">
        <f t="shared" si="994"/>
        <v>-0.17948717948718121</v>
      </c>
      <c r="Q663">
        <f t="shared" si="995"/>
        <v>-2176509.9282051488</v>
      </c>
      <c r="R663">
        <f t="shared" si="996"/>
        <v>-376980407.76645589</v>
      </c>
      <c r="S663">
        <f t="shared" si="997"/>
        <v>-3769.8040776645589</v>
      </c>
      <c r="T663">
        <f t="shared" si="998"/>
        <v>-3.7698040776645589</v>
      </c>
    </row>
    <row r="664" spans="1:20" x14ac:dyDescent="0.25">
      <c r="A664" s="5">
        <v>43929</v>
      </c>
      <c r="B664">
        <v>1.4930000000000001E-2</v>
      </c>
      <c r="C664">
        <v>1.6289999999999999E-2</v>
      </c>
      <c r="D664">
        <v>1.4710000000000001E-2</v>
      </c>
      <c r="E664">
        <v>1.559E-2</v>
      </c>
      <c r="F664">
        <v>11534011.6</v>
      </c>
      <c r="G664">
        <v>0</v>
      </c>
      <c r="L664" t="s">
        <v>8</v>
      </c>
      <c r="M664" t="s">
        <v>8</v>
      </c>
      <c r="N664" t="s">
        <v>8</v>
      </c>
      <c r="P664">
        <f t="shared" si="994"/>
        <v>0.11392405063291128</v>
      </c>
      <c r="Q664">
        <f t="shared" si="995"/>
        <v>1314001.321518986</v>
      </c>
      <c r="R664">
        <f t="shared" si="996"/>
        <v>-374803897.83825076</v>
      </c>
      <c r="S664">
        <f t="shared" si="997"/>
        <v>-3748.0389783825076</v>
      </c>
      <c r="T664">
        <f t="shared" si="998"/>
        <v>-3.7480389783825077</v>
      </c>
    </row>
    <row r="665" spans="1:20" x14ac:dyDescent="0.25">
      <c r="A665" s="5">
        <v>43928</v>
      </c>
      <c r="B665">
        <v>1.511E-2</v>
      </c>
      <c r="C665">
        <v>1.5559999999999999E-2</v>
      </c>
      <c r="D665">
        <v>1.4760000000000001E-2</v>
      </c>
      <c r="E665">
        <v>1.4829999999999999E-2</v>
      </c>
      <c r="F665">
        <v>18003879.399999999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-0.82500000000000251</v>
      </c>
      <c r="Q665">
        <f t="shared" si="995"/>
        <v>-14853200.505000044</v>
      </c>
      <c r="R665">
        <f t="shared" si="996"/>
        <v>-376117899.15976971</v>
      </c>
      <c r="S665">
        <f t="shared" si="997"/>
        <v>-3761.1789915976969</v>
      </c>
      <c r="T665">
        <f t="shared" si="998"/>
        <v>-3.761178991597697</v>
      </c>
    </row>
    <row r="666" spans="1:20" x14ac:dyDescent="0.25">
      <c r="A666" s="5">
        <v>43927</v>
      </c>
      <c r="B666">
        <v>1.486E-2</v>
      </c>
      <c r="C666">
        <v>1.5720000000000001E-2</v>
      </c>
      <c r="D666">
        <v>1.4800000000000001E-2</v>
      </c>
      <c r="E666">
        <v>1.5219999999999999E-2</v>
      </c>
      <c r="F666">
        <v>16130356.800000001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-8.6956521739134374E-2</v>
      </c>
      <c r="Q666">
        <f t="shared" si="995"/>
        <v>-1402639.7217391941</v>
      </c>
      <c r="R666">
        <f t="shared" si="996"/>
        <v>-361264698.65476966</v>
      </c>
      <c r="S666">
        <f t="shared" si="997"/>
        <v>-3612.6469865476965</v>
      </c>
      <c r="T666">
        <f t="shared" si="998"/>
        <v>-3.6126469865476967</v>
      </c>
    </row>
    <row r="667" spans="1:20" x14ac:dyDescent="0.25">
      <c r="A667" s="5">
        <v>43926</v>
      </c>
      <c r="B667">
        <v>1.5779999999999999E-2</v>
      </c>
      <c r="C667">
        <v>1.6060000000000001E-2</v>
      </c>
      <c r="D667">
        <v>1.47E-2</v>
      </c>
      <c r="E667">
        <v>1.494E-2</v>
      </c>
      <c r="F667">
        <v>13561883.9</v>
      </c>
      <c r="G667">
        <v>0</v>
      </c>
      <c r="L667" t="s">
        <v>7</v>
      </c>
      <c r="M667" t="s">
        <v>8</v>
      </c>
      <c r="N667" t="s">
        <v>8</v>
      </c>
      <c r="P667">
        <f t="shared" si="994"/>
        <v>-0.64705882352941135</v>
      </c>
      <c r="Q667">
        <f t="shared" si="995"/>
        <v>-8775336.6411764659</v>
      </c>
      <c r="R667">
        <f t="shared" si="996"/>
        <v>-359862058.93303049</v>
      </c>
      <c r="S667">
        <f t="shared" si="997"/>
        <v>-3598.6205893303049</v>
      </c>
      <c r="T667">
        <f t="shared" si="998"/>
        <v>-3.5986205893303049</v>
      </c>
    </row>
    <row r="668" spans="1:20" x14ac:dyDescent="0.25">
      <c r="A668" s="5">
        <v>43925</v>
      </c>
      <c r="B668">
        <v>1.512E-2</v>
      </c>
      <c r="C668">
        <v>1.6930000000000001E-2</v>
      </c>
      <c r="D668">
        <v>1.461E-2</v>
      </c>
      <c r="E668">
        <v>1.575E-2</v>
      </c>
      <c r="F668">
        <v>39025166.799999997</v>
      </c>
      <c r="G668">
        <v>0</v>
      </c>
      <c r="L668" t="s">
        <v>8</v>
      </c>
      <c r="M668" t="s">
        <v>8</v>
      </c>
      <c r="N668" t="s">
        <v>8</v>
      </c>
      <c r="P668">
        <f t="shared" si="994"/>
        <v>-1.7241379310344866E-2</v>
      </c>
      <c r="Q668">
        <f t="shared" si="995"/>
        <v>-672847.70344827732</v>
      </c>
      <c r="R668">
        <f t="shared" si="996"/>
        <v>-351086722.29185402</v>
      </c>
      <c r="S668">
        <f t="shared" si="997"/>
        <v>-3510.8672229185404</v>
      </c>
      <c r="T668">
        <f t="shared" si="998"/>
        <v>-3.5108672229185403</v>
      </c>
    </row>
    <row r="669" spans="1:20" x14ac:dyDescent="0.25">
      <c r="A669" s="5">
        <v>43924</v>
      </c>
      <c r="B669">
        <v>1.414E-2</v>
      </c>
      <c r="C669">
        <v>1.5900000000000001E-2</v>
      </c>
      <c r="D669">
        <v>1.414E-2</v>
      </c>
      <c r="E669">
        <v>1.511E-2</v>
      </c>
      <c r="F669">
        <v>31737341.199999999</v>
      </c>
      <c r="G669">
        <v>0</v>
      </c>
      <c r="L669" t="s">
        <v>8</v>
      </c>
      <c r="M669" t="s">
        <v>8</v>
      </c>
      <c r="N669" t="s">
        <v>8</v>
      </c>
      <c r="P669">
        <f t="shared" si="994"/>
        <v>0.10227272727272699</v>
      </c>
      <c r="Q669">
        <f t="shared" si="995"/>
        <v>3245864.4409090816</v>
      </c>
      <c r="R669">
        <f t="shared" si="996"/>
        <v>-350413874.58840573</v>
      </c>
      <c r="S669">
        <f t="shared" si="997"/>
        <v>-3504.1387458840572</v>
      </c>
      <c r="T669">
        <f t="shared" si="998"/>
        <v>-3.5041387458840574</v>
      </c>
    </row>
    <row r="670" spans="1:20" x14ac:dyDescent="0.25">
      <c r="A670" s="5">
        <v>43923</v>
      </c>
      <c r="B670">
        <v>1.397E-2</v>
      </c>
      <c r="C670">
        <v>1.5599999999999999E-2</v>
      </c>
      <c r="D670">
        <v>1.3440000000000001E-2</v>
      </c>
      <c r="E670">
        <v>1.4149999999999999E-2</v>
      </c>
      <c r="F670">
        <v>21800636.600000001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-0.34259259259259328</v>
      </c>
      <c r="Q670">
        <f t="shared" si="995"/>
        <v>-7468736.6129629789</v>
      </c>
      <c r="R670">
        <f t="shared" si="996"/>
        <v>-353659739.02931482</v>
      </c>
      <c r="S670">
        <f t="shared" si="997"/>
        <v>-3536.5973902931482</v>
      </c>
      <c r="T670">
        <f t="shared" si="998"/>
        <v>-3.5365973902931485</v>
      </c>
    </row>
    <row r="671" spans="1:20" x14ac:dyDescent="0.25">
      <c r="A671" s="5">
        <v>43922</v>
      </c>
      <c r="B671">
        <v>1.503E-2</v>
      </c>
      <c r="C671">
        <v>1.504E-2</v>
      </c>
      <c r="D671">
        <v>1.2959999999999999E-2</v>
      </c>
      <c r="E671">
        <v>1.3950000000000001E-2</v>
      </c>
      <c r="F671">
        <v>28867501.199999999</v>
      </c>
      <c r="G671">
        <v>0</v>
      </c>
      <c r="L671" t="s">
        <v>7</v>
      </c>
      <c r="M671" t="s">
        <v>7</v>
      </c>
      <c r="N671" t="s">
        <v>8</v>
      </c>
      <c r="P671">
        <f t="shared" si="994"/>
        <v>-4.8076923076921949E-2</v>
      </c>
      <c r="Q671">
        <f t="shared" si="995"/>
        <v>-1387860.6346153519</v>
      </c>
      <c r="R671">
        <f t="shared" si="996"/>
        <v>-346191002.41635185</v>
      </c>
      <c r="S671">
        <f t="shared" si="997"/>
        <v>-3461.9100241635188</v>
      </c>
      <c r="T671">
        <f t="shared" si="998"/>
        <v>-3.4619100241635188</v>
      </c>
    </row>
    <row r="672" spans="1:20" x14ac:dyDescent="0.25">
      <c r="A672" s="5">
        <v>43921</v>
      </c>
      <c r="B672">
        <v>1.308E-2</v>
      </c>
      <c r="C672">
        <v>1.6500000000000001E-2</v>
      </c>
      <c r="D672">
        <v>1.308E-2</v>
      </c>
      <c r="E672">
        <v>1.504E-2</v>
      </c>
      <c r="F672">
        <v>71122771.299999997</v>
      </c>
      <c r="G672">
        <v>0</v>
      </c>
      <c r="L672" t="s">
        <v>8</v>
      </c>
      <c r="M672" t="s">
        <v>8</v>
      </c>
      <c r="N672" t="s">
        <v>8</v>
      </c>
      <c r="P672">
        <f t="shared" si="994"/>
        <v>0.1461988304093563</v>
      </c>
      <c r="Q672">
        <f t="shared" si="995"/>
        <v>10398065.979532134</v>
      </c>
      <c r="R672">
        <f t="shared" si="996"/>
        <v>-344803141.78173649</v>
      </c>
      <c r="S672">
        <f t="shared" si="997"/>
        <v>-3448.0314178173649</v>
      </c>
      <c r="T672">
        <f t="shared" si="998"/>
        <v>-3.448031417817365</v>
      </c>
    </row>
    <row r="673" spans="1:20" x14ac:dyDescent="0.25">
      <c r="A673" s="5">
        <v>43920</v>
      </c>
      <c r="B673">
        <v>1.1050000000000001E-2</v>
      </c>
      <c r="C673">
        <v>1.485E-2</v>
      </c>
      <c r="D673">
        <v>1.1039999999999999E-2</v>
      </c>
      <c r="E673">
        <v>1.302E-2</v>
      </c>
      <c r="F673">
        <v>45546163.399999999</v>
      </c>
      <c r="G673">
        <v>0</v>
      </c>
      <c r="L673" t="s">
        <v>8</v>
      </c>
      <c r="M673" t="s">
        <v>8</v>
      </c>
      <c r="N673" t="s">
        <v>7</v>
      </c>
      <c r="P673">
        <f t="shared" si="994"/>
        <v>3.9370078740157688E-2</v>
      </c>
      <c r="Q673">
        <f t="shared" si="995"/>
        <v>1793156.0393700881</v>
      </c>
      <c r="R673">
        <f t="shared" si="996"/>
        <v>-355201207.76126862</v>
      </c>
      <c r="S673">
        <f t="shared" si="997"/>
        <v>-3552.012077612686</v>
      </c>
      <c r="T673">
        <f t="shared" si="998"/>
        <v>-3.552012077612686</v>
      </c>
    </row>
    <row r="674" spans="1:20" x14ac:dyDescent="0.25">
      <c r="A674" s="5">
        <v>43919</v>
      </c>
      <c r="B674">
        <v>1.166E-2</v>
      </c>
      <c r="C674">
        <v>1.197E-2</v>
      </c>
      <c r="D674">
        <v>1.0789999999999999E-2</v>
      </c>
      <c r="E674">
        <v>1.106E-2</v>
      </c>
      <c r="F674">
        <v>6450124</v>
      </c>
      <c r="G674">
        <v>0</v>
      </c>
      <c r="L674" t="s">
        <v>8</v>
      </c>
      <c r="M674" t="s">
        <v>7</v>
      </c>
      <c r="N674" t="s">
        <v>7</v>
      </c>
      <c r="P674">
        <f t="shared" si="994"/>
        <v>-0.54237288135593043</v>
      </c>
      <c r="Q674">
        <f t="shared" si="995"/>
        <v>-3498372.3389830394</v>
      </c>
      <c r="R674">
        <f t="shared" si="996"/>
        <v>-356994363.80063868</v>
      </c>
      <c r="S674">
        <f t="shared" si="997"/>
        <v>-3569.9436380063867</v>
      </c>
      <c r="T674">
        <f t="shared" si="998"/>
        <v>-3.5699436380063867</v>
      </c>
    </row>
    <row r="675" spans="1:20" x14ac:dyDescent="0.25">
      <c r="A675" s="5">
        <v>43918</v>
      </c>
      <c r="B675">
        <v>1.175E-2</v>
      </c>
      <c r="C675">
        <v>1.234E-2</v>
      </c>
      <c r="D675">
        <v>1.085E-2</v>
      </c>
      <c r="E675">
        <v>1.158E-2</v>
      </c>
      <c r="F675">
        <v>8674086</v>
      </c>
      <c r="G675">
        <v>0</v>
      </c>
      <c r="L675" t="s">
        <v>7</v>
      </c>
      <c r="M675" t="s">
        <v>7</v>
      </c>
      <c r="N675" t="s">
        <v>7</v>
      </c>
      <c r="P675">
        <f t="shared" si="994"/>
        <v>-2.0134228187919805E-2</v>
      </c>
      <c r="Q675">
        <f t="shared" si="995"/>
        <v>-174646.02684564056</v>
      </c>
      <c r="R675">
        <f t="shared" si="996"/>
        <v>-353495991.46165562</v>
      </c>
      <c r="S675">
        <f t="shared" si="997"/>
        <v>-3534.959914616556</v>
      </c>
      <c r="T675">
        <f t="shared" si="998"/>
        <v>-3.534959914616556</v>
      </c>
    </row>
    <row r="676" spans="1:20" x14ac:dyDescent="0.25">
      <c r="A676" s="5">
        <v>43917</v>
      </c>
      <c r="B676">
        <v>1.251E-2</v>
      </c>
      <c r="C676">
        <v>1.289E-2</v>
      </c>
      <c r="D676">
        <v>1.175E-2</v>
      </c>
      <c r="E676">
        <v>1.176E-2</v>
      </c>
      <c r="F676">
        <v>5340771.0999999996</v>
      </c>
      <c r="G676">
        <v>0</v>
      </c>
      <c r="L676" t="s">
        <v>7</v>
      </c>
      <c r="M676" t="s">
        <v>7</v>
      </c>
      <c r="N676" t="s">
        <v>7</v>
      </c>
      <c r="P676">
        <f t="shared" si="994"/>
        <v>-0.98245614035087792</v>
      </c>
      <c r="Q676">
        <f t="shared" si="995"/>
        <v>-5247073.3614035118</v>
      </c>
      <c r="R676">
        <f t="shared" si="996"/>
        <v>-353321345.43480998</v>
      </c>
      <c r="S676">
        <f t="shared" si="997"/>
        <v>-3533.2134543480997</v>
      </c>
      <c r="T676">
        <f t="shared" si="998"/>
        <v>-3.5332134543480995</v>
      </c>
    </row>
    <row r="677" spans="1:20" x14ac:dyDescent="0.25">
      <c r="A677" s="5">
        <v>43916</v>
      </c>
      <c r="B677">
        <v>1.2919999999999999E-2</v>
      </c>
      <c r="C677">
        <v>1.2999999999999999E-2</v>
      </c>
      <c r="D677">
        <v>1.2120000000000001E-2</v>
      </c>
      <c r="E677">
        <v>1.251E-2</v>
      </c>
      <c r="F677">
        <v>6063485.2000000002</v>
      </c>
      <c r="G677">
        <v>0</v>
      </c>
      <c r="L677" t="s">
        <v>7</v>
      </c>
      <c r="M677" t="s">
        <v>7</v>
      </c>
      <c r="N677" t="s">
        <v>7</v>
      </c>
      <c r="P677">
        <f t="shared" si="994"/>
        <v>-0.11363636363636311</v>
      </c>
      <c r="Q677">
        <f t="shared" si="995"/>
        <v>-689032.40909090592</v>
      </c>
      <c r="R677">
        <f t="shared" si="996"/>
        <v>-348074272.07340646</v>
      </c>
      <c r="S677">
        <f t="shared" si="997"/>
        <v>-3480.7427207340647</v>
      </c>
      <c r="T677">
        <f t="shared" si="998"/>
        <v>-3.4807427207340647</v>
      </c>
    </row>
    <row r="678" spans="1:20" x14ac:dyDescent="0.25">
      <c r="A678" s="5">
        <v>43915</v>
      </c>
      <c r="B678">
        <v>1.332E-2</v>
      </c>
      <c r="C678">
        <v>1.333E-2</v>
      </c>
      <c r="D678">
        <v>1.2290000000000001E-2</v>
      </c>
      <c r="E678">
        <v>1.2930000000000001E-2</v>
      </c>
      <c r="F678">
        <v>15019048.4</v>
      </c>
      <c r="G678">
        <v>0</v>
      </c>
      <c r="L678" t="s">
        <v>7</v>
      </c>
      <c r="M678" t="s">
        <v>7</v>
      </c>
      <c r="N678" t="s">
        <v>7</v>
      </c>
      <c r="P678">
        <f t="shared" si="994"/>
        <v>0.23076923076923153</v>
      </c>
      <c r="Q678">
        <f t="shared" si="995"/>
        <v>3465934.2461538576</v>
      </c>
      <c r="R678">
        <f t="shared" si="996"/>
        <v>-347385239.66431558</v>
      </c>
      <c r="S678">
        <f t="shared" si="997"/>
        <v>-3473.8523966431558</v>
      </c>
      <c r="T678">
        <f t="shared" si="998"/>
        <v>-3.4738523966431556</v>
      </c>
    </row>
    <row r="679" spans="1:20" x14ac:dyDescent="0.25">
      <c r="A679" s="5">
        <v>43914</v>
      </c>
      <c r="B679">
        <v>1.259E-2</v>
      </c>
      <c r="C679">
        <v>1.456E-2</v>
      </c>
      <c r="D679">
        <v>1.2E-2</v>
      </c>
      <c r="E679">
        <v>1.3390000000000001E-2</v>
      </c>
      <c r="F679">
        <v>27611127.300000001</v>
      </c>
      <c r="G679">
        <v>0</v>
      </c>
      <c r="L679" t="s">
        <v>8</v>
      </c>
      <c r="M679" t="s">
        <v>8</v>
      </c>
      <c r="N679" t="s">
        <v>7</v>
      </c>
      <c r="P679">
        <f t="shared" si="994"/>
        <v>8.5937500000000569E-2</v>
      </c>
      <c r="Q679">
        <f t="shared" si="995"/>
        <v>2372831.2523437659</v>
      </c>
      <c r="R679">
        <f t="shared" si="996"/>
        <v>-350851173.91046941</v>
      </c>
      <c r="S679">
        <f t="shared" si="997"/>
        <v>-3508.5117391046942</v>
      </c>
      <c r="T679">
        <f t="shared" si="998"/>
        <v>-3.5085117391046943</v>
      </c>
    </row>
    <row r="680" spans="1:20" x14ac:dyDescent="0.25">
      <c r="A680" s="5">
        <v>43913</v>
      </c>
      <c r="B680">
        <v>1.116E-2</v>
      </c>
      <c r="C680">
        <v>1.4189999999999999E-2</v>
      </c>
      <c r="D680">
        <v>1.085E-2</v>
      </c>
      <c r="E680">
        <v>1.2579999999999999E-2</v>
      </c>
      <c r="F680">
        <v>22129795.399999999</v>
      </c>
      <c r="G680">
        <v>0</v>
      </c>
      <c r="L680" t="s">
        <v>7</v>
      </c>
      <c r="M680" t="s">
        <v>8</v>
      </c>
      <c r="N680" t="s">
        <v>7</v>
      </c>
      <c r="P680">
        <f t="shared" si="994"/>
        <v>3.5928143712574433E-2</v>
      </c>
      <c r="Q680">
        <f t="shared" si="995"/>
        <v>795082.46946106851</v>
      </c>
      <c r="R680">
        <f t="shared" si="996"/>
        <v>-353224005.16281319</v>
      </c>
      <c r="S680">
        <f t="shared" si="997"/>
        <v>-3532.2400516281318</v>
      </c>
      <c r="T680">
        <f t="shared" si="998"/>
        <v>-3.5322400516281318</v>
      </c>
    </row>
    <row r="681" spans="1:20" x14ac:dyDescent="0.25">
      <c r="A681" s="5">
        <v>43912</v>
      </c>
      <c r="B681">
        <v>1.3050000000000001E-2</v>
      </c>
      <c r="C681">
        <v>1.481E-2</v>
      </c>
      <c r="D681">
        <v>1.0970000000000001E-2</v>
      </c>
      <c r="E681">
        <v>1.123E-2</v>
      </c>
      <c r="F681">
        <v>32663644.5</v>
      </c>
      <c r="G681">
        <v>0</v>
      </c>
      <c r="L681" t="s">
        <v>7</v>
      </c>
      <c r="M681" t="s">
        <v>7</v>
      </c>
      <c r="N681" t="s">
        <v>7</v>
      </c>
      <c r="P681">
        <f t="shared" si="994"/>
        <v>-0.86458333333333337</v>
      </c>
      <c r="Q681">
        <f t="shared" si="995"/>
        <v>-28240442.640625</v>
      </c>
      <c r="R681">
        <f t="shared" si="996"/>
        <v>-354019087.63227427</v>
      </c>
      <c r="S681">
        <f t="shared" si="997"/>
        <v>-3540.1908763227425</v>
      </c>
      <c r="T681">
        <f t="shared" si="998"/>
        <v>-3.5401908763227423</v>
      </c>
    </row>
    <row r="682" spans="1:20" x14ac:dyDescent="0.25">
      <c r="A682" s="5">
        <v>43911</v>
      </c>
      <c r="B682">
        <v>1.5559999999999999E-2</v>
      </c>
      <c r="C682">
        <v>1.6650000000000002E-2</v>
      </c>
      <c r="D682">
        <v>1.272E-2</v>
      </c>
      <c r="E682">
        <v>1.304E-2</v>
      </c>
      <c r="F682">
        <v>43704429.399999999</v>
      </c>
      <c r="G682">
        <v>0</v>
      </c>
      <c r="L682" t="s">
        <v>7</v>
      </c>
      <c r="M682" t="s">
        <v>7</v>
      </c>
      <c r="N682" t="s">
        <v>7</v>
      </c>
      <c r="P682">
        <f t="shared" si="994"/>
        <v>-0.83715012722646365</v>
      </c>
      <c r="Q682">
        <f t="shared" si="995"/>
        <v>-36587168.632569999</v>
      </c>
      <c r="R682">
        <f t="shared" si="996"/>
        <v>-325778644.99164927</v>
      </c>
      <c r="S682">
        <f t="shared" si="997"/>
        <v>-3257.7864499164925</v>
      </c>
      <c r="T682">
        <f t="shared" si="998"/>
        <v>-3.2577864499164924</v>
      </c>
    </row>
    <row r="683" spans="1:20" x14ac:dyDescent="0.25">
      <c r="A683" s="5">
        <v>43910</v>
      </c>
      <c r="B683">
        <v>1.068E-2</v>
      </c>
      <c r="C683">
        <v>1.95E-2</v>
      </c>
      <c r="D683">
        <v>1.0460000000000001E-2</v>
      </c>
      <c r="E683">
        <v>1.542E-2</v>
      </c>
      <c r="F683">
        <v>217108581.80000001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9.7345132743362706E-2</v>
      </c>
      <c r="Q683">
        <f t="shared" si="995"/>
        <v>21134463.715044223</v>
      </c>
      <c r="R683">
        <f t="shared" si="996"/>
        <v>-289191476.3590793</v>
      </c>
      <c r="S683">
        <f t="shared" si="997"/>
        <v>-2891.914763590793</v>
      </c>
      <c r="T683">
        <f t="shared" si="998"/>
        <v>-2.8919147635907931</v>
      </c>
    </row>
    <row r="684" spans="1:20" x14ac:dyDescent="0.25">
      <c r="A684" s="5">
        <v>43909</v>
      </c>
      <c r="B684">
        <v>8.4899999999999993E-3</v>
      </c>
      <c r="C684">
        <v>1.068E-2</v>
      </c>
      <c r="D684">
        <v>8.2199999999999999E-3</v>
      </c>
      <c r="E684">
        <v>1.068E-2</v>
      </c>
      <c r="F684">
        <v>9048263.0999999996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1</v>
      </c>
      <c r="Q684">
        <f t="shared" si="995"/>
        <v>9048263.0999999996</v>
      </c>
      <c r="R684">
        <f t="shared" si="996"/>
        <v>-310325940.0741235</v>
      </c>
      <c r="S684">
        <f t="shared" si="997"/>
        <v>-3103.2594007412349</v>
      </c>
      <c r="T684">
        <f t="shared" si="998"/>
        <v>-3.1032594007412349</v>
      </c>
    </row>
    <row r="685" spans="1:20" x14ac:dyDescent="0.25">
      <c r="A685" s="5">
        <v>43908</v>
      </c>
      <c r="B685">
        <v>8.1600000000000006E-3</v>
      </c>
      <c r="C685">
        <v>8.5199999999999998E-3</v>
      </c>
      <c r="D685">
        <v>7.4999999999999997E-3</v>
      </c>
      <c r="E685">
        <v>8.5199999999999998E-3</v>
      </c>
      <c r="F685">
        <v>7139037.2000000002</v>
      </c>
      <c r="G685">
        <v>0</v>
      </c>
      <c r="L685" t="s">
        <v>7</v>
      </c>
      <c r="M685" t="s">
        <v>8</v>
      </c>
      <c r="N685" t="s">
        <v>7</v>
      </c>
      <c r="P685">
        <f t="shared" si="994"/>
        <v>1</v>
      </c>
      <c r="Q685">
        <f t="shared" si="995"/>
        <v>7139037.2000000002</v>
      </c>
      <c r="R685">
        <f t="shared" si="996"/>
        <v>-319374203.17412353</v>
      </c>
      <c r="S685">
        <f t="shared" si="997"/>
        <v>-3193.7420317412352</v>
      </c>
      <c r="T685">
        <f t="shared" si="998"/>
        <v>-3.1937420317412353</v>
      </c>
    </row>
    <row r="686" spans="1:20" x14ac:dyDescent="0.25">
      <c r="A686" s="5">
        <v>43907</v>
      </c>
      <c r="B686">
        <v>7.6899999999999998E-3</v>
      </c>
      <c r="C686">
        <v>8.4600000000000005E-3</v>
      </c>
      <c r="D686">
        <v>7.62E-3</v>
      </c>
      <c r="E686">
        <v>8.1799999999999998E-3</v>
      </c>
      <c r="F686">
        <v>5872017.2999999998</v>
      </c>
      <c r="G686">
        <v>0</v>
      </c>
      <c r="L686" t="s">
        <v>8</v>
      </c>
      <c r="M686" t="s">
        <v>8</v>
      </c>
      <c r="N686" t="s">
        <v>7</v>
      </c>
      <c r="P686">
        <f t="shared" si="994"/>
        <v>0.33333333333333198</v>
      </c>
      <c r="Q686">
        <f t="shared" si="995"/>
        <v>1957339.0999999919</v>
      </c>
      <c r="R686">
        <f t="shared" si="996"/>
        <v>-326513240.37412351</v>
      </c>
      <c r="S686">
        <f t="shared" si="997"/>
        <v>-3265.1324037412351</v>
      </c>
      <c r="T686">
        <f t="shared" si="998"/>
        <v>-3.265132403741235</v>
      </c>
    </row>
    <row r="687" spans="1:20" x14ac:dyDescent="0.25">
      <c r="A687" s="5">
        <v>43906</v>
      </c>
      <c r="B687">
        <v>9.5600000000000008E-3</v>
      </c>
      <c r="C687">
        <v>9.58E-3</v>
      </c>
      <c r="D687">
        <v>6.8500000000000002E-3</v>
      </c>
      <c r="E687">
        <v>7.7600000000000004E-3</v>
      </c>
      <c r="F687">
        <v>14419539.5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-0.33333333333333315</v>
      </c>
      <c r="Q687">
        <f t="shared" si="995"/>
        <v>-4806513.1666666642</v>
      </c>
      <c r="R687">
        <f t="shared" si="996"/>
        <v>-328470579.47412348</v>
      </c>
      <c r="S687">
        <f t="shared" si="997"/>
        <v>-3284.705794741235</v>
      </c>
      <c r="T687">
        <f t="shared" si="998"/>
        <v>-3.2847057947412348</v>
      </c>
    </row>
    <row r="688" spans="1:20" x14ac:dyDescent="0.25">
      <c r="A688" s="5">
        <v>43905</v>
      </c>
      <c r="B688">
        <v>9.11E-3</v>
      </c>
      <c r="C688">
        <v>0.01</v>
      </c>
      <c r="D688">
        <v>9.0900000000000009E-3</v>
      </c>
      <c r="E688">
        <v>9.5300000000000003E-3</v>
      </c>
      <c r="F688">
        <v>4228622.7</v>
      </c>
      <c r="G688">
        <v>0</v>
      </c>
      <c r="L688" t="s">
        <v>7</v>
      </c>
      <c r="M688" t="s">
        <v>8</v>
      </c>
      <c r="N688" t="s">
        <v>8</v>
      </c>
      <c r="P688">
        <f t="shared" si="994"/>
        <v>-3.2967032967033551E-2</v>
      </c>
      <c r="Q688">
        <f t="shared" si="995"/>
        <v>-139405.14395604644</v>
      </c>
      <c r="R688">
        <f t="shared" si="996"/>
        <v>-323664066.30745679</v>
      </c>
      <c r="S688">
        <f t="shared" si="997"/>
        <v>-3236.6406630745678</v>
      </c>
      <c r="T688">
        <f t="shared" si="998"/>
        <v>-3.2366406630745677</v>
      </c>
    </row>
    <row r="689" spans="1:20" x14ac:dyDescent="0.25">
      <c r="A689" s="5">
        <v>43904</v>
      </c>
      <c r="B689">
        <v>1.0030000000000001E-2</v>
      </c>
      <c r="C689">
        <v>1.03E-2</v>
      </c>
      <c r="D689">
        <v>8.9899999999999997E-3</v>
      </c>
      <c r="E689">
        <v>9.2399999999999999E-3</v>
      </c>
      <c r="F689">
        <v>4311933.5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-0.61832061068702271</v>
      </c>
      <c r="Q689">
        <f t="shared" si="995"/>
        <v>-2666157.3549618311</v>
      </c>
      <c r="R689">
        <f t="shared" si="996"/>
        <v>-323524661.16350073</v>
      </c>
      <c r="S689">
        <f t="shared" si="997"/>
        <v>-3235.2466116350074</v>
      </c>
      <c r="T689">
        <f t="shared" si="998"/>
        <v>-3.2352466116350076</v>
      </c>
    </row>
    <row r="690" spans="1:20" x14ac:dyDescent="0.25">
      <c r="A690" s="5">
        <v>43903</v>
      </c>
      <c r="B690">
        <v>8.5400000000000007E-3</v>
      </c>
      <c r="C690">
        <v>1.085E-2</v>
      </c>
      <c r="D690">
        <v>5.5399999999999998E-3</v>
      </c>
      <c r="E690">
        <v>9.7900000000000001E-3</v>
      </c>
      <c r="F690">
        <v>14627300.300000001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0.60075329566854985</v>
      </c>
      <c r="Q690">
        <f t="shared" si="995"/>
        <v>8787398.8619585689</v>
      </c>
      <c r="R690">
        <f t="shared" si="996"/>
        <v>-320858503.80853891</v>
      </c>
      <c r="S690">
        <f t="shared" si="997"/>
        <v>-3208.585038085389</v>
      </c>
      <c r="T690">
        <f t="shared" si="998"/>
        <v>-3.2085850380853889</v>
      </c>
    </row>
    <row r="691" spans="1:20" x14ac:dyDescent="0.25">
      <c r="A691" s="5">
        <v>43902</v>
      </c>
      <c r="B691">
        <v>1.6889999999999999E-2</v>
      </c>
      <c r="C691">
        <v>1.6920000000000001E-2</v>
      </c>
      <c r="D691">
        <v>8.0700000000000008E-3</v>
      </c>
      <c r="E691">
        <v>8.4700000000000001E-3</v>
      </c>
      <c r="F691">
        <v>14143762.5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-0.90960451977401147</v>
      </c>
      <c r="Q691">
        <f t="shared" si="995"/>
        <v>-12865230.296610171</v>
      </c>
      <c r="R691">
        <f t="shared" si="996"/>
        <v>-329645902.67049748</v>
      </c>
      <c r="S691">
        <f t="shared" si="997"/>
        <v>-3296.4590267049748</v>
      </c>
      <c r="T691">
        <f t="shared" si="998"/>
        <v>-3.2964590267049747</v>
      </c>
    </row>
    <row r="692" spans="1:20" x14ac:dyDescent="0.25">
      <c r="A692" s="5">
        <v>43901</v>
      </c>
      <c r="B692">
        <v>1.7739999999999999E-2</v>
      </c>
      <c r="C692">
        <v>1.9689999999999999E-2</v>
      </c>
      <c r="D692">
        <v>1.6E-2</v>
      </c>
      <c r="E692">
        <v>1.6889999999999999E-2</v>
      </c>
      <c r="F692">
        <v>8050188.2999999998</v>
      </c>
      <c r="G692">
        <v>0</v>
      </c>
      <c r="L692" t="s">
        <v>8</v>
      </c>
      <c r="M692" t="s">
        <v>8</v>
      </c>
      <c r="N692" t="s">
        <v>7</v>
      </c>
      <c r="P692">
        <f t="shared" si="994"/>
        <v>-0.51761517615176222</v>
      </c>
      <c r="Q692">
        <f t="shared" si="995"/>
        <v>-4166899.634959355</v>
      </c>
      <c r="R692">
        <f t="shared" si="996"/>
        <v>-316780672.3738873</v>
      </c>
      <c r="S692">
        <f t="shared" si="997"/>
        <v>-3167.8067237388732</v>
      </c>
      <c r="T692">
        <f t="shared" si="998"/>
        <v>-3.1678067237388734</v>
      </c>
    </row>
    <row r="693" spans="1:20" x14ac:dyDescent="0.25">
      <c r="A693" s="5">
        <v>43900</v>
      </c>
      <c r="B693">
        <v>1.7430000000000001E-2</v>
      </c>
      <c r="C693">
        <v>1.7999999999999999E-2</v>
      </c>
      <c r="D693">
        <v>1.6840000000000001E-2</v>
      </c>
      <c r="E693">
        <v>1.7780000000000001E-2</v>
      </c>
      <c r="F693">
        <v>5805035.7999999998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0.62068965517241659</v>
      </c>
      <c r="Q693">
        <f t="shared" si="995"/>
        <v>3603125.6689655334</v>
      </c>
      <c r="R693">
        <f t="shared" si="996"/>
        <v>-312613772.73892796</v>
      </c>
      <c r="S693">
        <f t="shared" si="997"/>
        <v>-3126.1377273892795</v>
      </c>
      <c r="T693">
        <f t="shared" si="998"/>
        <v>-3.1261377273892794</v>
      </c>
    </row>
    <row r="694" spans="1:20" x14ac:dyDescent="0.25">
      <c r="A694" s="5">
        <v>43899</v>
      </c>
      <c r="B694">
        <v>1.77E-2</v>
      </c>
      <c r="C694">
        <v>2.0279999999999999E-2</v>
      </c>
      <c r="D694">
        <v>1.6539999999999999E-2</v>
      </c>
      <c r="E694">
        <v>1.7420000000000001E-2</v>
      </c>
      <c r="F694">
        <v>5464625.9000000004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-0.52941176470588114</v>
      </c>
      <c r="Q694">
        <f t="shared" si="995"/>
        <v>-2893037.2411764641</v>
      </c>
      <c r="R694">
        <f t="shared" si="996"/>
        <v>-316216898.40789348</v>
      </c>
      <c r="S694">
        <f t="shared" si="997"/>
        <v>-3162.168984078935</v>
      </c>
      <c r="T694">
        <f t="shared" si="998"/>
        <v>-3.1621689840789351</v>
      </c>
    </row>
    <row r="695" spans="1:20" x14ac:dyDescent="0.25">
      <c r="A695" s="5">
        <v>43898</v>
      </c>
      <c r="B695">
        <v>2.0990000000000002E-2</v>
      </c>
      <c r="C695">
        <v>2.1090000000000001E-2</v>
      </c>
      <c r="D695">
        <v>1.738E-2</v>
      </c>
      <c r="E695">
        <v>1.7469999999999999E-2</v>
      </c>
      <c r="F695">
        <v>9703067.0999999996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-0.95148247978436673</v>
      </c>
      <c r="Q695">
        <f t="shared" si="995"/>
        <v>-9232298.3458221033</v>
      </c>
      <c r="R695">
        <f t="shared" si="996"/>
        <v>-313323861.16671699</v>
      </c>
      <c r="S695">
        <f t="shared" si="997"/>
        <v>-3133.2386116671701</v>
      </c>
      <c r="T695">
        <f t="shared" si="998"/>
        <v>-3.1332386116671702</v>
      </c>
    </row>
    <row r="696" spans="1:20" x14ac:dyDescent="0.25">
      <c r="A696" s="5">
        <v>43897</v>
      </c>
      <c r="B696">
        <v>2.0299999999999999E-2</v>
      </c>
      <c r="C696">
        <v>2.2190000000000001E-2</v>
      </c>
      <c r="D696">
        <v>1.9720000000000001E-2</v>
      </c>
      <c r="E696">
        <v>2.0910000000000002E-2</v>
      </c>
      <c r="F696">
        <v>12633599.1</v>
      </c>
      <c r="G696">
        <v>0</v>
      </c>
      <c r="L696" t="s">
        <v>8</v>
      </c>
      <c r="M696" t="s">
        <v>8</v>
      </c>
      <c r="N696" t="s">
        <v>7</v>
      </c>
      <c r="P696">
        <f t="shared" si="994"/>
        <v>-3.6437246963562674E-2</v>
      </c>
      <c r="Q696">
        <f t="shared" si="995"/>
        <v>-460333.5704453431</v>
      </c>
      <c r="R696">
        <f t="shared" si="996"/>
        <v>-304091562.8208949</v>
      </c>
      <c r="S696">
        <f t="shared" si="997"/>
        <v>-3040.9156282089489</v>
      </c>
      <c r="T696">
        <f t="shared" si="998"/>
        <v>-3.0409156282089489</v>
      </c>
    </row>
    <row r="697" spans="1:20" x14ac:dyDescent="0.25">
      <c r="A697" s="5">
        <v>43896</v>
      </c>
      <c r="B697">
        <v>1.9869999999999999E-2</v>
      </c>
      <c r="C697">
        <v>2.0299999999999999E-2</v>
      </c>
      <c r="D697">
        <v>1.9449999999999999E-2</v>
      </c>
      <c r="E697">
        <v>2.0299999999999999E-2</v>
      </c>
      <c r="F697">
        <v>1956494.7</v>
      </c>
      <c r="G697">
        <v>0</v>
      </c>
      <c r="L697" t="s">
        <v>8</v>
      </c>
      <c r="M697" t="s">
        <v>7</v>
      </c>
      <c r="N697" t="s">
        <v>7</v>
      </c>
      <c r="P697">
        <f t="shared" si="994"/>
        <v>1</v>
      </c>
      <c r="Q697">
        <f t="shared" si="995"/>
        <v>1956494.7</v>
      </c>
      <c r="R697">
        <f t="shared" si="996"/>
        <v>-303631229.25044954</v>
      </c>
      <c r="S697">
        <f t="shared" si="997"/>
        <v>-3036.3122925044954</v>
      </c>
      <c r="T697">
        <f t="shared" si="998"/>
        <v>-3.0363122925044954</v>
      </c>
    </row>
    <row r="698" spans="1:20" x14ac:dyDescent="0.25">
      <c r="A698" s="5">
        <v>43895</v>
      </c>
      <c r="B698">
        <v>1.924E-2</v>
      </c>
      <c r="C698">
        <v>2.0500000000000001E-2</v>
      </c>
      <c r="D698">
        <v>1.9230000000000001E-2</v>
      </c>
      <c r="E698">
        <v>1.976E-2</v>
      </c>
      <c r="F698">
        <v>3549352.6</v>
      </c>
      <c r="G698">
        <v>0</v>
      </c>
      <c r="L698" t="s">
        <v>8</v>
      </c>
      <c r="M698" t="s">
        <v>7</v>
      </c>
      <c r="N698" t="s">
        <v>7</v>
      </c>
      <c r="P698">
        <f t="shared" si="994"/>
        <v>-0.16535433070866284</v>
      </c>
      <c r="Q698">
        <f t="shared" si="995"/>
        <v>-586900.82362205232</v>
      </c>
      <c r="R698">
        <f t="shared" si="996"/>
        <v>-305587723.95044953</v>
      </c>
      <c r="S698">
        <f t="shared" si="997"/>
        <v>-3055.8772395044953</v>
      </c>
      <c r="T698">
        <f t="shared" si="998"/>
        <v>-3.0558772395044951</v>
      </c>
    </row>
    <row r="699" spans="1:20" x14ac:dyDescent="0.25">
      <c r="A699" s="5">
        <v>43894</v>
      </c>
      <c r="B699">
        <v>1.865E-2</v>
      </c>
      <c r="C699">
        <v>1.95E-2</v>
      </c>
      <c r="D699">
        <v>1.8499999999999999E-2</v>
      </c>
      <c r="E699">
        <v>1.9230000000000001E-2</v>
      </c>
      <c r="F699">
        <v>5173792.9000000004</v>
      </c>
      <c r="G699">
        <v>0</v>
      </c>
      <c r="L699" t="s">
        <v>8</v>
      </c>
      <c r="M699" t="s">
        <v>7</v>
      </c>
      <c r="N699" t="s">
        <v>7</v>
      </c>
      <c r="P699">
        <f t="shared" si="994"/>
        <v>0.46000000000000169</v>
      </c>
      <c r="Q699">
        <f t="shared" si="995"/>
        <v>2379944.734000009</v>
      </c>
      <c r="R699">
        <f t="shared" si="996"/>
        <v>-305000823.12682748</v>
      </c>
      <c r="S699">
        <f t="shared" si="997"/>
        <v>-3050.0082312682748</v>
      </c>
      <c r="T699">
        <f t="shared" si="998"/>
        <v>-3.0500082312682748</v>
      </c>
    </row>
    <row r="700" spans="1:20" x14ac:dyDescent="0.25">
      <c r="A700" s="5">
        <v>43893</v>
      </c>
      <c r="B700">
        <v>1.8780000000000002E-2</v>
      </c>
      <c r="C700">
        <v>1.8880000000000001E-2</v>
      </c>
      <c r="D700">
        <v>1.83E-2</v>
      </c>
      <c r="E700">
        <v>1.8700000000000001E-2</v>
      </c>
      <c r="F700">
        <v>3514064.5</v>
      </c>
      <c r="G700">
        <v>0</v>
      </c>
      <c r="L700" t="s">
        <v>7</v>
      </c>
      <c r="M700" t="s">
        <v>7</v>
      </c>
      <c r="N700" t="s">
        <v>7</v>
      </c>
      <c r="P700">
        <f t="shared" si="994"/>
        <v>0.3793103448275883</v>
      </c>
      <c r="Q700">
        <f t="shared" si="995"/>
        <v>1332921.0172413867</v>
      </c>
      <c r="R700">
        <f t="shared" si="996"/>
        <v>-307380767.86082751</v>
      </c>
      <c r="S700">
        <f t="shared" si="997"/>
        <v>-3073.8076786082752</v>
      </c>
      <c r="T700">
        <f t="shared" si="998"/>
        <v>-3.0738076786082753</v>
      </c>
    </row>
    <row r="701" spans="1:20" x14ac:dyDescent="0.25">
      <c r="A701" s="5">
        <v>43892</v>
      </c>
      <c r="B701">
        <v>1.8509999999999999E-2</v>
      </c>
      <c r="C701">
        <v>2.0990000000000002E-2</v>
      </c>
      <c r="D701">
        <v>1.831E-2</v>
      </c>
      <c r="E701">
        <v>1.8970000000000001E-2</v>
      </c>
      <c r="F701">
        <v>13145879.9</v>
      </c>
      <c r="G701">
        <v>0</v>
      </c>
      <c r="L701" t="s">
        <v>7</v>
      </c>
      <c r="M701" t="s">
        <v>8</v>
      </c>
      <c r="N701" t="s">
        <v>7</v>
      </c>
      <c r="P701">
        <f t="shared" si="994"/>
        <v>-0.50746268656716387</v>
      </c>
      <c r="Q701">
        <f t="shared" si="995"/>
        <v>-6671043.5313432794</v>
      </c>
      <c r="R701">
        <f t="shared" si="996"/>
        <v>-308713688.87806886</v>
      </c>
      <c r="S701">
        <f t="shared" si="997"/>
        <v>-3087.1368887806884</v>
      </c>
      <c r="T701">
        <f t="shared" si="998"/>
        <v>-3.0871368887806883</v>
      </c>
    </row>
    <row r="702" spans="1:20" x14ac:dyDescent="0.25">
      <c r="A702" s="5">
        <v>43891</v>
      </c>
      <c r="B702">
        <v>1.8110000000000001E-2</v>
      </c>
      <c r="C702">
        <v>2.1770000000000001E-2</v>
      </c>
      <c r="D702">
        <v>1.78E-2</v>
      </c>
      <c r="E702">
        <v>1.857E-2</v>
      </c>
      <c r="F702">
        <v>7874965.9000000004</v>
      </c>
      <c r="G702">
        <v>0</v>
      </c>
      <c r="L702" t="s">
        <v>8</v>
      </c>
      <c r="M702" t="s">
        <v>8</v>
      </c>
      <c r="N702" t="s">
        <v>7</v>
      </c>
      <c r="P702">
        <f t="shared" si="994"/>
        <v>-0.61209068010075585</v>
      </c>
      <c r="Q702">
        <f t="shared" si="995"/>
        <v>-4820193.2335012611</v>
      </c>
      <c r="R702">
        <f t="shared" si="996"/>
        <v>-302042645.34672558</v>
      </c>
      <c r="S702">
        <f t="shared" si="997"/>
        <v>-3020.4264534672557</v>
      </c>
      <c r="T702">
        <f t="shared" si="998"/>
        <v>-3.0204264534672558</v>
      </c>
    </row>
    <row r="703" spans="1:20" x14ac:dyDescent="0.25">
      <c r="A703" s="5">
        <v>43890</v>
      </c>
      <c r="B703">
        <v>1.8239999999999999E-2</v>
      </c>
      <c r="C703">
        <v>1.8599999999999998E-2</v>
      </c>
      <c r="D703">
        <v>1.7999999999999999E-2</v>
      </c>
      <c r="E703">
        <v>1.814E-2</v>
      </c>
      <c r="F703">
        <v>3102301.9</v>
      </c>
      <c r="G703">
        <v>0</v>
      </c>
      <c r="L703" t="s">
        <v>7</v>
      </c>
      <c r="M703" t="s">
        <v>7</v>
      </c>
      <c r="N703" t="s">
        <v>7</v>
      </c>
      <c r="P703">
        <f t="shared" si="994"/>
        <v>-0.53333333333332911</v>
      </c>
      <c r="Q703">
        <f t="shared" si="995"/>
        <v>-1654561.0133333202</v>
      </c>
      <c r="R703">
        <f t="shared" si="996"/>
        <v>-297222452.11322433</v>
      </c>
      <c r="S703">
        <f t="shared" si="997"/>
        <v>-2972.2245211322434</v>
      </c>
      <c r="T703">
        <f t="shared" si="998"/>
        <v>-2.9722245211322433</v>
      </c>
    </row>
    <row r="704" spans="1:20" x14ac:dyDescent="0.25">
      <c r="A704" s="5">
        <v>43889</v>
      </c>
      <c r="B704">
        <v>1.8790000000000001E-2</v>
      </c>
      <c r="C704">
        <v>1.9480000000000001E-2</v>
      </c>
      <c r="D704">
        <v>1.7940000000000001E-2</v>
      </c>
      <c r="E704">
        <v>1.8239999999999999E-2</v>
      </c>
      <c r="F704">
        <v>4419793.2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-0.6103896103896127</v>
      </c>
      <c r="Q704">
        <f t="shared" si="995"/>
        <v>-2697795.8493506596</v>
      </c>
      <c r="R704">
        <f t="shared" si="996"/>
        <v>-295567891.09989101</v>
      </c>
      <c r="S704">
        <f t="shared" si="997"/>
        <v>-2955.6789109989099</v>
      </c>
      <c r="T704">
        <f t="shared" si="998"/>
        <v>-2.9556789109989099</v>
      </c>
    </row>
    <row r="705" spans="1:20" x14ac:dyDescent="0.25">
      <c r="A705" s="5">
        <v>43888</v>
      </c>
      <c r="B705">
        <v>1.848E-2</v>
      </c>
      <c r="C705">
        <v>2.0650000000000002E-2</v>
      </c>
      <c r="D705">
        <v>1.7999999999999999E-2</v>
      </c>
      <c r="E705">
        <v>1.874E-2</v>
      </c>
      <c r="F705">
        <v>4772731.0999999996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-0.441509433962264</v>
      </c>
      <c r="Q705">
        <f t="shared" si="995"/>
        <v>-2107205.8064150936</v>
      </c>
      <c r="R705">
        <f t="shared" si="996"/>
        <v>-292870095.25054038</v>
      </c>
      <c r="S705">
        <f t="shared" si="997"/>
        <v>-2928.7009525054036</v>
      </c>
      <c r="T705">
        <f t="shared" si="998"/>
        <v>-2.9287009525054035</v>
      </c>
    </row>
    <row r="706" spans="1:20" x14ac:dyDescent="0.25">
      <c r="A706" s="5">
        <v>43887</v>
      </c>
      <c r="B706">
        <v>2.0049999999999998E-2</v>
      </c>
      <c r="C706">
        <v>2.0109999999999999E-2</v>
      </c>
      <c r="D706">
        <v>1.7680000000000001E-2</v>
      </c>
      <c r="E706">
        <v>1.856E-2</v>
      </c>
      <c r="F706">
        <v>7650042.5999999996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-0.27572016460905391</v>
      </c>
      <c r="Q706">
        <f t="shared" si="995"/>
        <v>-2109271.0049382746</v>
      </c>
      <c r="R706">
        <f t="shared" si="996"/>
        <v>-290762889.44412529</v>
      </c>
      <c r="S706">
        <f t="shared" si="997"/>
        <v>-2907.6288944412531</v>
      </c>
      <c r="T706">
        <f t="shared" si="998"/>
        <v>-2.9076288944412529</v>
      </c>
    </row>
    <row r="707" spans="1:20" x14ac:dyDescent="0.25">
      <c r="A707" s="5">
        <v>43886</v>
      </c>
      <c r="B707">
        <v>2.308E-2</v>
      </c>
      <c r="C707">
        <v>2.308E-2</v>
      </c>
      <c r="D707">
        <v>1.9879999999999998E-2</v>
      </c>
      <c r="E707">
        <v>2.002E-2</v>
      </c>
      <c r="F707">
        <v>8048244.7000000002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-0.91249999999999931</v>
      </c>
      <c r="Q707">
        <f t="shared" si="995"/>
        <v>-7344023.2887499947</v>
      </c>
      <c r="R707">
        <f t="shared" si="996"/>
        <v>-288653618.43918705</v>
      </c>
      <c r="S707">
        <f t="shared" si="997"/>
        <v>-2886.5361843918704</v>
      </c>
      <c r="T707">
        <f t="shared" si="998"/>
        <v>-2.8865361843918702</v>
      </c>
    </row>
    <row r="708" spans="1:20" x14ac:dyDescent="0.25">
      <c r="A708" s="5">
        <v>43885</v>
      </c>
      <c r="B708">
        <v>2.3099999999999999E-2</v>
      </c>
      <c r="C708">
        <v>2.4989999999999998E-2</v>
      </c>
      <c r="D708">
        <v>2.1999999999999999E-2</v>
      </c>
      <c r="E708">
        <v>2.307E-2</v>
      </c>
      <c r="F708">
        <v>6501530.4000000004</v>
      </c>
      <c r="G708">
        <v>0</v>
      </c>
      <c r="L708" t="s">
        <v>8</v>
      </c>
      <c r="M708" t="s">
        <v>7</v>
      </c>
      <c r="N708" t="s">
        <v>7</v>
      </c>
      <c r="P708">
        <f t="shared" si="994"/>
        <v>-0.28428093645484842</v>
      </c>
      <c r="Q708">
        <f t="shared" si="995"/>
        <v>-1848261.1505016654</v>
      </c>
      <c r="R708">
        <f t="shared" si="996"/>
        <v>-281309595.15043706</v>
      </c>
      <c r="S708">
        <f t="shared" si="997"/>
        <v>-2813.0959515043705</v>
      </c>
      <c r="T708">
        <f t="shared" si="998"/>
        <v>-2.8130959515043705</v>
      </c>
    </row>
    <row r="709" spans="1:20" x14ac:dyDescent="0.25">
      <c r="A709" s="5">
        <v>43884</v>
      </c>
      <c r="B709">
        <v>2.2210000000000001E-2</v>
      </c>
      <c r="C709">
        <v>2.3089999999999999E-2</v>
      </c>
      <c r="D709">
        <v>2.2030000000000001E-2</v>
      </c>
      <c r="E709">
        <v>2.3089999999999999E-2</v>
      </c>
      <c r="F709">
        <v>1777190.6</v>
      </c>
      <c r="G709">
        <v>0</v>
      </c>
      <c r="L709" t="s">
        <v>7</v>
      </c>
      <c r="M709" t="s">
        <v>7</v>
      </c>
      <c r="N709" t="s">
        <v>7</v>
      </c>
      <c r="P709">
        <f t="shared" si="994"/>
        <v>1</v>
      </c>
      <c r="Q709">
        <f t="shared" si="995"/>
        <v>1777190.6</v>
      </c>
      <c r="R709">
        <f t="shared" si="996"/>
        <v>-279461333.99993539</v>
      </c>
      <c r="S709">
        <f t="shared" si="997"/>
        <v>-2794.6133399993537</v>
      </c>
      <c r="T709">
        <f t="shared" si="998"/>
        <v>-2.7946133399993536</v>
      </c>
    </row>
    <row r="710" spans="1:20" x14ac:dyDescent="0.25">
      <c r="A710" s="5">
        <v>43883</v>
      </c>
      <c r="B710">
        <v>2.264E-2</v>
      </c>
      <c r="C710">
        <v>2.2960000000000001E-2</v>
      </c>
      <c r="D710">
        <v>2.189E-2</v>
      </c>
      <c r="E710">
        <v>2.231E-2</v>
      </c>
      <c r="F710">
        <v>1717824</v>
      </c>
      <c r="G710">
        <v>0</v>
      </c>
      <c r="L710" t="s">
        <v>7</v>
      </c>
      <c r="M710" t="s">
        <v>7</v>
      </c>
      <c r="N710" t="s">
        <v>7</v>
      </c>
      <c r="P710">
        <f t="shared" ref="P710:P766" si="999">IF(C710=D710,0,((E710-D710)-(C710-E710))/(C710-D710))</f>
        <v>-0.21495327102803805</v>
      </c>
      <c r="Q710">
        <f t="shared" ref="Q710:Q766" si="1000">F710*P710</f>
        <v>-369251.88785046845</v>
      </c>
      <c r="R710">
        <f t="shared" ref="R710:R766" si="1001">R711+Q710</f>
        <v>-281238524.59993541</v>
      </c>
      <c r="S710">
        <f t="shared" ref="S710:S766" si="1002">R710/100000</f>
        <v>-2812.3852459993541</v>
      </c>
      <c r="T710">
        <f t="shared" ref="T710:T766" si="1003">S710/1000</f>
        <v>-2.8123852459993541</v>
      </c>
    </row>
    <row r="711" spans="1:20" x14ac:dyDescent="0.25">
      <c r="A711" s="5">
        <v>43882</v>
      </c>
      <c r="B711">
        <v>2.2069999999999999E-2</v>
      </c>
      <c r="C711">
        <v>2.299E-2</v>
      </c>
      <c r="D711">
        <v>2.2009999999999998E-2</v>
      </c>
      <c r="E711">
        <v>2.2749999999999999E-2</v>
      </c>
      <c r="F711">
        <v>3262113.8</v>
      </c>
      <c r="G711">
        <v>0</v>
      </c>
      <c r="L711" t="s">
        <v>7</v>
      </c>
      <c r="M711" t="s">
        <v>7</v>
      </c>
      <c r="N711" t="s">
        <v>7</v>
      </c>
      <c r="P711">
        <f t="shared" si="999"/>
        <v>0.51020408163265263</v>
      </c>
      <c r="Q711">
        <f t="shared" si="1000"/>
        <v>1664343.7755102026</v>
      </c>
      <c r="R711">
        <f t="shared" si="1001"/>
        <v>-280869272.71208495</v>
      </c>
      <c r="S711">
        <f t="shared" si="1002"/>
        <v>-2808.6927271208497</v>
      </c>
      <c r="T711">
        <f t="shared" si="1003"/>
        <v>-2.8086927271208495</v>
      </c>
    </row>
    <row r="712" spans="1:20" x14ac:dyDescent="0.25">
      <c r="A712" s="5">
        <v>43881</v>
      </c>
      <c r="B712">
        <v>2.213E-2</v>
      </c>
      <c r="C712">
        <v>2.2589999999999999E-2</v>
      </c>
      <c r="D712">
        <v>2.164E-2</v>
      </c>
      <c r="E712">
        <v>2.2069999999999999E-2</v>
      </c>
      <c r="F712">
        <v>4835678.2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-9.4736842105263008E-2</v>
      </c>
      <c r="Q712">
        <f t="shared" si="1000"/>
        <v>-458116.88210526243</v>
      </c>
      <c r="R712">
        <f t="shared" si="1001"/>
        <v>-282533616.48759514</v>
      </c>
      <c r="S712">
        <f t="shared" si="1002"/>
        <v>-2825.3361648759515</v>
      </c>
      <c r="T712">
        <f t="shared" si="1003"/>
        <v>-2.8253361648759516</v>
      </c>
    </row>
    <row r="713" spans="1:20" x14ac:dyDescent="0.25">
      <c r="A713" s="5">
        <v>43880</v>
      </c>
      <c r="B713">
        <v>2.5170000000000001E-2</v>
      </c>
      <c r="C713">
        <v>2.6210000000000001E-2</v>
      </c>
      <c r="D713">
        <v>2.1729999999999999E-2</v>
      </c>
      <c r="E713">
        <v>2.2159999999999999E-2</v>
      </c>
      <c r="F713">
        <v>8734586.1999999993</v>
      </c>
      <c r="G713">
        <v>0</v>
      </c>
      <c r="L713" t="s">
        <v>8</v>
      </c>
      <c r="M713" t="s">
        <v>7</v>
      </c>
      <c r="N713" t="s">
        <v>7</v>
      </c>
      <c r="P713">
        <f t="shared" si="999"/>
        <v>-0.80803571428571441</v>
      </c>
      <c r="Q713">
        <f t="shared" si="1000"/>
        <v>-7057857.5991071435</v>
      </c>
      <c r="R713">
        <f t="shared" si="1001"/>
        <v>-282075499.60548985</v>
      </c>
      <c r="S713">
        <f t="shared" si="1002"/>
        <v>-2820.7549960548986</v>
      </c>
      <c r="T713">
        <f t="shared" si="1003"/>
        <v>-2.8207549960548985</v>
      </c>
    </row>
    <row r="714" spans="1:20" x14ac:dyDescent="0.25">
      <c r="A714" s="5">
        <v>43879</v>
      </c>
      <c r="B714">
        <v>2.2839999999999999E-2</v>
      </c>
      <c r="C714">
        <v>2.5190000000000001E-2</v>
      </c>
      <c r="D714">
        <v>2.2679999999999999E-2</v>
      </c>
      <c r="E714">
        <v>2.5190000000000001E-2</v>
      </c>
      <c r="F714">
        <v>8064888.2999999998</v>
      </c>
      <c r="G714">
        <v>0</v>
      </c>
      <c r="L714" t="s">
        <v>8</v>
      </c>
      <c r="M714" t="s">
        <v>8</v>
      </c>
      <c r="N714" t="s">
        <v>7</v>
      </c>
      <c r="P714">
        <f t="shared" si="999"/>
        <v>1</v>
      </c>
      <c r="Q714">
        <f t="shared" si="1000"/>
        <v>8064888.2999999998</v>
      </c>
      <c r="R714">
        <f t="shared" si="1001"/>
        <v>-275017642.0063827</v>
      </c>
      <c r="S714">
        <f t="shared" si="1002"/>
        <v>-2750.1764200638272</v>
      </c>
      <c r="T714">
        <f t="shared" si="1003"/>
        <v>-2.750176420063827</v>
      </c>
    </row>
    <row r="715" spans="1:20" x14ac:dyDescent="0.25">
      <c r="A715" s="5">
        <v>43878</v>
      </c>
      <c r="B715">
        <v>2.3269999999999999E-2</v>
      </c>
      <c r="C715">
        <v>2.6100000000000002E-2</v>
      </c>
      <c r="D715">
        <v>2.1499999999999998E-2</v>
      </c>
      <c r="E715">
        <v>2.3E-2</v>
      </c>
      <c r="F715">
        <v>16575253.6</v>
      </c>
      <c r="G715">
        <v>0</v>
      </c>
      <c r="L715" t="s">
        <v>7</v>
      </c>
      <c r="M715" t="s">
        <v>8</v>
      </c>
      <c r="N715" t="s">
        <v>7</v>
      </c>
      <c r="P715">
        <f t="shared" si="999"/>
        <v>-0.34782608695652162</v>
      </c>
      <c r="Q715">
        <f t="shared" si="1000"/>
        <v>-5765305.5999999978</v>
      </c>
      <c r="R715">
        <f t="shared" si="1001"/>
        <v>-283082530.30638272</v>
      </c>
      <c r="S715">
        <f t="shared" si="1002"/>
        <v>-2830.8253030638271</v>
      </c>
      <c r="T715">
        <f t="shared" si="1003"/>
        <v>-2.8308253030638268</v>
      </c>
    </row>
    <row r="716" spans="1:20" x14ac:dyDescent="0.25">
      <c r="A716" s="5">
        <v>43877</v>
      </c>
      <c r="B716">
        <v>2.5000000000000001E-2</v>
      </c>
      <c r="C716">
        <v>2.6890000000000001E-2</v>
      </c>
      <c r="D716">
        <v>2.1899999999999999E-2</v>
      </c>
      <c r="E716">
        <v>2.3199999999999998E-2</v>
      </c>
      <c r="F716">
        <v>9161655</v>
      </c>
      <c r="G716">
        <v>0</v>
      </c>
      <c r="L716" t="s">
        <v>7</v>
      </c>
      <c r="M716" t="s">
        <v>7</v>
      </c>
      <c r="N716" t="s">
        <v>7</v>
      </c>
      <c r="P716">
        <f t="shared" si="999"/>
        <v>-0.47895791583166386</v>
      </c>
      <c r="Q716">
        <f t="shared" si="1000"/>
        <v>-4388047.1843687426</v>
      </c>
      <c r="R716">
        <f t="shared" si="1001"/>
        <v>-277317224.70638269</v>
      </c>
      <c r="S716">
        <f t="shared" si="1002"/>
        <v>-2773.1722470638269</v>
      </c>
      <c r="T716">
        <f t="shared" si="1003"/>
        <v>-2.7731722470638269</v>
      </c>
    </row>
    <row r="717" spans="1:20" x14ac:dyDescent="0.25">
      <c r="A717" s="5">
        <v>43876</v>
      </c>
      <c r="B717">
        <v>2.7629999999999998E-2</v>
      </c>
      <c r="C717">
        <v>2.818E-2</v>
      </c>
      <c r="D717">
        <v>2.4680000000000001E-2</v>
      </c>
      <c r="E717">
        <v>2.5000000000000001E-2</v>
      </c>
      <c r="F717">
        <v>9225199.5999999996</v>
      </c>
      <c r="G717">
        <v>0</v>
      </c>
      <c r="L717" t="s">
        <v>7</v>
      </c>
      <c r="M717" t="s">
        <v>7</v>
      </c>
      <c r="N717" t="s">
        <v>8</v>
      </c>
      <c r="P717">
        <f t="shared" si="999"/>
        <v>-0.81714285714285662</v>
      </c>
      <c r="Q717">
        <f t="shared" si="1000"/>
        <v>-7538305.9588571377</v>
      </c>
      <c r="R717">
        <f t="shared" si="1001"/>
        <v>-272929177.52201396</v>
      </c>
      <c r="S717">
        <f t="shared" si="1002"/>
        <v>-2729.2917752201397</v>
      </c>
      <c r="T717">
        <f t="shared" si="1003"/>
        <v>-2.7292917752201395</v>
      </c>
    </row>
    <row r="718" spans="1:20" x14ac:dyDescent="0.25">
      <c r="A718" s="5">
        <v>43875</v>
      </c>
      <c r="B718">
        <v>2.6950000000000002E-2</v>
      </c>
      <c r="C718">
        <v>2.8129999999999999E-2</v>
      </c>
      <c r="D718">
        <v>2.6530000000000001E-2</v>
      </c>
      <c r="E718">
        <v>2.7539999999999999E-2</v>
      </c>
      <c r="F718">
        <v>6955237.5</v>
      </c>
      <c r="G718">
        <v>0</v>
      </c>
      <c r="L718" t="s">
        <v>7</v>
      </c>
      <c r="M718" t="s">
        <v>7</v>
      </c>
      <c r="N718" t="s">
        <v>8</v>
      </c>
      <c r="P718">
        <f t="shared" si="999"/>
        <v>0.2624999999999984</v>
      </c>
      <c r="Q718">
        <f t="shared" si="1000"/>
        <v>1825749.8437499888</v>
      </c>
      <c r="R718">
        <f t="shared" si="1001"/>
        <v>-265390871.56315684</v>
      </c>
      <c r="S718">
        <f t="shared" si="1002"/>
        <v>-2653.9087156315686</v>
      </c>
      <c r="T718">
        <f t="shared" si="1003"/>
        <v>-2.6539087156315686</v>
      </c>
    </row>
    <row r="719" spans="1:20" x14ac:dyDescent="0.25">
      <c r="A719" s="5">
        <v>43874</v>
      </c>
      <c r="B719">
        <v>2.9340000000000001E-2</v>
      </c>
      <c r="C719">
        <v>3.099E-2</v>
      </c>
      <c r="D719">
        <v>2.6239999999999999E-2</v>
      </c>
      <c r="E719">
        <v>2.6980000000000001E-2</v>
      </c>
      <c r="F719">
        <v>16817536.5</v>
      </c>
      <c r="G719">
        <v>0</v>
      </c>
      <c r="L719" t="s">
        <v>7</v>
      </c>
      <c r="M719" t="s">
        <v>7</v>
      </c>
      <c r="N719" t="s">
        <v>8</v>
      </c>
      <c r="P719">
        <f t="shared" si="999"/>
        <v>-0.68842105263157849</v>
      </c>
      <c r="Q719">
        <f t="shared" si="1000"/>
        <v>-11577546.179999992</v>
      </c>
      <c r="R719">
        <f t="shared" si="1001"/>
        <v>-267216621.40690684</v>
      </c>
      <c r="S719">
        <f t="shared" si="1002"/>
        <v>-2672.1662140690682</v>
      </c>
      <c r="T719">
        <f t="shared" si="1003"/>
        <v>-2.6721662140690681</v>
      </c>
    </row>
    <row r="720" spans="1:20" x14ac:dyDescent="0.25">
      <c r="A720" s="5">
        <v>43873</v>
      </c>
      <c r="B720">
        <v>2.818E-2</v>
      </c>
      <c r="C720">
        <v>3.2129999999999999E-2</v>
      </c>
      <c r="D720">
        <v>2.7179999999999999E-2</v>
      </c>
      <c r="E720">
        <v>2.9229999999999999E-2</v>
      </c>
      <c r="F720">
        <v>34736248.200000003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-0.17171717171717174</v>
      </c>
      <c r="Q720">
        <f t="shared" si="1000"/>
        <v>-5964810.2969696987</v>
      </c>
      <c r="R720">
        <f t="shared" si="1001"/>
        <v>-255639075.22690687</v>
      </c>
      <c r="S720">
        <f t="shared" si="1002"/>
        <v>-2556.3907522690688</v>
      </c>
      <c r="T720">
        <f t="shared" si="1003"/>
        <v>-2.5563907522690688</v>
      </c>
    </row>
    <row r="721" spans="1:20" x14ac:dyDescent="0.25">
      <c r="A721" s="5">
        <v>43872</v>
      </c>
      <c r="B721">
        <v>2.613E-2</v>
      </c>
      <c r="C721">
        <v>2.8199999999999999E-2</v>
      </c>
      <c r="D721">
        <v>2.5569999999999999E-2</v>
      </c>
      <c r="E721">
        <v>2.818E-2</v>
      </c>
      <c r="F721">
        <v>8720785.6999999993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0.98479087452471548</v>
      </c>
      <c r="Q721">
        <f t="shared" si="1000"/>
        <v>8588150.176045632</v>
      </c>
      <c r="R721">
        <f t="shared" si="1001"/>
        <v>-249674264.92993715</v>
      </c>
      <c r="S721">
        <f t="shared" si="1002"/>
        <v>-2496.7426492993714</v>
      </c>
      <c r="T721">
        <f t="shared" si="1003"/>
        <v>-2.4967426492993714</v>
      </c>
    </row>
    <row r="722" spans="1:20" x14ac:dyDescent="0.25">
      <c r="A722" s="5">
        <v>43871</v>
      </c>
      <c r="B722">
        <v>2.7400000000000001E-2</v>
      </c>
      <c r="C722">
        <v>2.777E-2</v>
      </c>
      <c r="D722">
        <v>2.511E-2</v>
      </c>
      <c r="E722">
        <v>2.6100000000000002E-2</v>
      </c>
      <c r="F722">
        <v>8814313.3000000007</v>
      </c>
      <c r="G722">
        <v>0</v>
      </c>
      <c r="L722" t="s">
        <v>7</v>
      </c>
      <c r="M722" t="s">
        <v>8</v>
      </c>
      <c r="N722" t="s">
        <v>8</v>
      </c>
      <c r="P722">
        <f t="shared" si="999"/>
        <v>-0.25563909774435972</v>
      </c>
      <c r="Q722">
        <f t="shared" si="1000"/>
        <v>-2253283.0992481103</v>
      </c>
      <c r="R722">
        <f t="shared" si="1001"/>
        <v>-258262415.10598278</v>
      </c>
      <c r="S722">
        <f t="shared" si="1002"/>
        <v>-2582.6241510598279</v>
      </c>
      <c r="T722">
        <f t="shared" si="1003"/>
        <v>-2.5826241510598278</v>
      </c>
    </row>
    <row r="723" spans="1:20" x14ac:dyDescent="0.25">
      <c r="A723" s="5">
        <v>43870</v>
      </c>
      <c r="B723">
        <v>2.7959999999999999E-2</v>
      </c>
      <c r="C723">
        <v>2.9159999999999998E-2</v>
      </c>
      <c r="D723">
        <v>2.622E-2</v>
      </c>
      <c r="E723">
        <v>2.7210000000000002E-2</v>
      </c>
      <c r="F723">
        <v>19570716.600000001</v>
      </c>
      <c r="G723">
        <v>0</v>
      </c>
      <c r="L723" t="s">
        <v>7</v>
      </c>
      <c r="M723" t="s">
        <v>8</v>
      </c>
      <c r="N723" t="s">
        <v>8</v>
      </c>
      <c r="P723">
        <f t="shared" si="999"/>
        <v>-0.32653061224489666</v>
      </c>
      <c r="Q723">
        <f t="shared" si="1000"/>
        <v>-6390438.0734693632</v>
      </c>
      <c r="R723">
        <f t="shared" si="1001"/>
        <v>-256009132.00673467</v>
      </c>
      <c r="S723">
        <f t="shared" si="1002"/>
        <v>-2560.0913200673467</v>
      </c>
      <c r="T723">
        <f t="shared" si="1003"/>
        <v>-2.5600913200673467</v>
      </c>
    </row>
    <row r="724" spans="1:20" x14ac:dyDescent="0.25">
      <c r="A724" s="5">
        <v>43869</v>
      </c>
      <c r="B724">
        <v>2.4219999999999998E-2</v>
      </c>
      <c r="C724">
        <v>2.895E-2</v>
      </c>
      <c r="D724">
        <v>2.3290000000000002E-2</v>
      </c>
      <c r="E724">
        <v>2.7959999999999999E-2</v>
      </c>
      <c r="F724">
        <v>26746368.699999999</v>
      </c>
      <c r="G724">
        <v>0</v>
      </c>
      <c r="L724" t="s">
        <v>8</v>
      </c>
      <c r="M724" t="s">
        <v>8</v>
      </c>
      <c r="N724" t="s">
        <v>8</v>
      </c>
      <c r="P724">
        <f t="shared" si="999"/>
        <v>0.65017667844522908</v>
      </c>
      <c r="Q724">
        <f t="shared" si="1000"/>
        <v>17389865.16183744</v>
      </c>
      <c r="R724">
        <f t="shared" si="1001"/>
        <v>-249618693.9332653</v>
      </c>
      <c r="S724">
        <f t="shared" si="1002"/>
        <v>-2496.1869393326529</v>
      </c>
      <c r="T724">
        <f t="shared" si="1003"/>
        <v>-2.4961869393326528</v>
      </c>
    </row>
    <row r="725" spans="1:20" x14ac:dyDescent="0.25">
      <c r="A725" s="5">
        <v>43868</v>
      </c>
      <c r="B725">
        <v>2.3449999999999999E-2</v>
      </c>
      <c r="C725">
        <v>2.547E-2</v>
      </c>
      <c r="D725">
        <v>2.3E-2</v>
      </c>
      <c r="E725">
        <v>2.4209999999999999E-2</v>
      </c>
      <c r="F725">
        <v>13637681.800000001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-2.0242914979757665E-2</v>
      </c>
      <c r="Q725">
        <f t="shared" si="1000"/>
        <v>-276066.43319838849</v>
      </c>
      <c r="R725">
        <f t="shared" si="1001"/>
        <v>-267008559.09510273</v>
      </c>
      <c r="S725">
        <f t="shared" si="1002"/>
        <v>-2670.0855909510274</v>
      </c>
      <c r="T725">
        <f t="shared" si="1003"/>
        <v>-2.6700855909510275</v>
      </c>
    </row>
    <row r="726" spans="1:20" x14ac:dyDescent="0.25">
      <c r="A726" s="5">
        <v>43867</v>
      </c>
      <c r="B726">
        <v>2.266E-2</v>
      </c>
      <c r="C726">
        <v>2.4080000000000001E-2</v>
      </c>
      <c r="D726">
        <v>2.1999999999999999E-2</v>
      </c>
      <c r="E726">
        <v>2.3449999999999999E-2</v>
      </c>
      <c r="F726">
        <v>9541516.3000000007</v>
      </c>
      <c r="G726">
        <v>0</v>
      </c>
      <c r="L726" t="s">
        <v>7</v>
      </c>
      <c r="M726" t="s">
        <v>8</v>
      </c>
      <c r="N726" t="s">
        <v>8</v>
      </c>
      <c r="P726">
        <f t="shared" si="999"/>
        <v>0.39423076923076783</v>
      </c>
      <c r="Q726">
        <f t="shared" si="1000"/>
        <v>3761559.3105769102</v>
      </c>
      <c r="R726">
        <f t="shared" si="1001"/>
        <v>-266732492.66190434</v>
      </c>
      <c r="S726">
        <f t="shared" si="1002"/>
        <v>-2667.3249266190433</v>
      </c>
      <c r="T726">
        <f t="shared" si="1003"/>
        <v>-2.6673249266190431</v>
      </c>
    </row>
    <row r="727" spans="1:20" x14ac:dyDescent="0.25">
      <c r="A727" s="5">
        <v>43866</v>
      </c>
      <c r="B727">
        <v>2.1770000000000001E-2</v>
      </c>
      <c r="C727">
        <v>2.3900000000000001E-2</v>
      </c>
      <c r="D727">
        <v>2.0789999999999999E-2</v>
      </c>
      <c r="E727">
        <v>2.265E-2</v>
      </c>
      <c r="F727">
        <v>16026785.5</v>
      </c>
      <c r="G727">
        <v>0</v>
      </c>
      <c r="L727" t="s">
        <v>8</v>
      </c>
      <c r="M727" t="s">
        <v>8</v>
      </c>
      <c r="N727" t="s">
        <v>8</v>
      </c>
      <c r="P727">
        <f t="shared" si="999"/>
        <v>0.19614147909967816</v>
      </c>
      <c r="Q727">
        <f t="shared" si="1000"/>
        <v>3143517.4131832751</v>
      </c>
      <c r="R727">
        <f t="shared" si="1001"/>
        <v>-270494051.97248125</v>
      </c>
      <c r="S727">
        <f t="shared" si="1002"/>
        <v>-2704.9405197248125</v>
      </c>
      <c r="T727">
        <f t="shared" si="1003"/>
        <v>-2.7049405197248126</v>
      </c>
    </row>
    <row r="728" spans="1:20" x14ac:dyDescent="0.25">
      <c r="A728" s="5">
        <v>43865</v>
      </c>
      <c r="B728">
        <v>2.2110000000000001E-2</v>
      </c>
      <c r="C728">
        <v>2.307E-2</v>
      </c>
      <c r="D728">
        <v>2.0809999999999999E-2</v>
      </c>
      <c r="E728">
        <v>2.1649999999999999E-2</v>
      </c>
      <c r="F728">
        <v>12117685.199999999</v>
      </c>
      <c r="G728">
        <v>0</v>
      </c>
      <c r="L728" t="s">
        <v>8</v>
      </c>
      <c r="M728" t="s">
        <v>8</v>
      </c>
      <c r="N728" t="s">
        <v>8</v>
      </c>
      <c r="P728">
        <f t="shared" si="999"/>
        <v>-0.25663716814159304</v>
      </c>
      <c r="Q728">
        <f t="shared" si="1000"/>
        <v>-3109848.4141592933</v>
      </c>
      <c r="R728">
        <f t="shared" si="1001"/>
        <v>-273637569.38566452</v>
      </c>
      <c r="S728">
        <f t="shared" si="1002"/>
        <v>-2736.3756938566453</v>
      </c>
      <c r="T728">
        <f t="shared" si="1003"/>
        <v>-2.7363756938566453</v>
      </c>
    </row>
    <row r="729" spans="1:20" x14ac:dyDescent="0.25">
      <c r="A729" s="5">
        <v>43864</v>
      </c>
      <c r="B729">
        <v>2.0719999999999999E-2</v>
      </c>
      <c r="C729">
        <v>2.2700000000000001E-2</v>
      </c>
      <c r="D729">
        <v>2.0150000000000001E-2</v>
      </c>
      <c r="E729">
        <v>2.2110000000000001E-2</v>
      </c>
      <c r="F729">
        <v>9854852.3000000007</v>
      </c>
      <c r="G729">
        <v>0</v>
      </c>
      <c r="L729" t="s">
        <v>8</v>
      </c>
      <c r="M729" t="s">
        <v>8</v>
      </c>
      <c r="N729" t="s">
        <v>8</v>
      </c>
      <c r="P729">
        <f t="shared" si="999"/>
        <v>0.53725490196078418</v>
      </c>
      <c r="Q729">
        <f t="shared" si="1000"/>
        <v>5294567.7062745085</v>
      </c>
      <c r="R729">
        <f t="shared" si="1001"/>
        <v>-270527720.97150522</v>
      </c>
      <c r="S729">
        <f t="shared" si="1002"/>
        <v>-2705.2772097150523</v>
      </c>
      <c r="T729">
        <f t="shared" si="1003"/>
        <v>-2.7052772097150521</v>
      </c>
    </row>
    <row r="730" spans="1:20" x14ac:dyDescent="0.25">
      <c r="A730" s="5">
        <v>43863</v>
      </c>
      <c r="B730">
        <v>1.933E-2</v>
      </c>
      <c r="C730">
        <v>2.1999999999999999E-2</v>
      </c>
      <c r="D730">
        <v>1.8700000000000001E-2</v>
      </c>
      <c r="E730">
        <v>2.0660000000000001E-2</v>
      </c>
      <c r="F730">
        <v>11437329.199999999</v>
      </c>
      <c r="G730">
        <v>0</v>
      </c>
      <c r="L730" t="s">
        <v>8</v>
      </c>
      <c r="M730" t="s">
        <v>8</v>
      </c>
      <c r="N730" t="s">
        <v>8</v>
      </c>
      <c r="P730">
        <f t="shared" si="999"/>
        <v>0.18787878787878878</v>
      </c>
      <c r="Q730">
        <f t="shared" si="1000"/>
        <v>2148831.5466666766</v>
      </c>
      <c r="R730">
        <f t="shared" si="1001"/>
        <v>-275822288.67777973</v>
      </c>
      <c r="S730">
        <f t="shared" si="1002"/>
        <v>-2758.2228867777972</v>
      </c>
      <c r="T730">
        <f t="shared" si="1003"/>
        <v>-2.7582228867777974</v>
      </c>
    </row>
    <row r="731" spans="1:20" x14ac:dyDescent="0.25">
      <c r="A731" s="5">
        <v>43862</v>
      </c>
      <c r="B731">
        <v>1.9709999999999998E-2</v>
      </c>
      <c r="C731">
        <v>1.9879999999999998E-2</v>
      </c>
      <c r="D731">
        <v>1.9099999999999999E-2</v>
      </c>
      <c r="E731">
        <v>1.9439999999999999E-2</v>
      </c>
      <c r="F731">
        <v>2548511</v>
      </c>
      <c r="G731">
        <v>0</v>
      </c>
      <c r="L731" t="s">
        <v>8</v>
      </c>
      <c r="M731" t="s">
        <v>8</v>
      </c>
      <c r="N731" t="s">
        <v>8</v>
      </c>
      <c r="P731">
        <f t="shared" si="999"/>
        <v>-0.12820512820512753</v>
      </c>
      <c r="Q731">
        <f t="shared" si="1000"/>
        <v>-326732.17948717775</v>
      </c>
      <c r="R731">
        <f t="shared" si="1001"/>
        <v>-277971120.22444642</v>
      </c>
      <c r="S731">
        <f t="shared" si="1002"/>
        <v>-2779.7112022444639</v>
      </c>
      <c r="T731">
        <f t="shared" si="1003"/>
        <v>-2.7797112022444641</v>
      </c>
    </row>
    <row r="732" spans="1:20" x14ac:dyDescent="0.25">
      <c r="A732" s="5">
        <v>43861</v>
      </c>
      <c r="B732">
        <v>1.9089999999999999E-2</v>
      </c>
      <c r="C732">
        <v>2.0369999999999999E-2</v>
      </c>
      <c r="D732">
        <v>1.873E-2</v>
      </c>
      <c r="E732">
        <v>1.9709999999999998E-2</v>
      </c>
      <c r="F732">
        <v>10791836.199999999</v>
      </c>
      <c r="G732">
        <v>0</v>
      </c>
      <c r="L732" t="s">
        <v>8</v>
      </c>
      <c r="M732" t="s">
        <v>8</v>
      </c>
      <c r="N732" t="s">
        <v>8</v>
      </c>
      <c r="P732">
        <f t="shared" si="999"/>
        <v>0.1951219512195107</v>
      </c>
      <c r="Q732">
        <f t="shared" si="1000"/>
        <v>2105724.1365853497</v>
      </c>
      <c r="R732">
        <f t="shared" si="1001"/>
        <v>-277644388.04495925</v>
      </c>
      <c r="S732">
        <f t="shared" si="1002"/>
        <v>-2776.4438804495926</v>
      </c>
      <c r="T732">
        <f t="shared" si="1003"/>
        <v>-2.7764438804495928</v>
      </c>
    </row>
    <row r="733" spans="1:20" x14ac:dyDescent="0.25">
      <c r="A733" s="5">
        <v>43860</v>
      </c>
      <c r="B733">
        <v>1.8180000000000002E-2</v>
      </c>
      <c r="C733">
        <v>1.9439999999999999E-2</v>
      </c>
      <c r="D733">
        <v>1.7999999999999999E-2</v>
      </c>
      <c r="E733">
        <v>1.9E-2</v>
      </c>
      <c r="F733">
        <v>4710773.2</v>
      </c>
      <c r="G733">
        <v>0</v>
      </c>
      <c r="L733" t="s">
        <v>8</v>
      </c>
      <c r="M733" t="s">
        <v>8</v>
      </c>
      <c r="N733" t="s">
        <v>8</v>
      </c>
      <c r="P733">
        <f t="shared" si="999"/>
        <v>0.38888888888888984</v>
      </c>
      <c r="Q733">
        <f t="shared" si="1000"/>
        <v>1831967.3555555602</v>
      </c>
      <c r="R733">
        <f t="shared" si="1001"/>
        <v>-279750112.1815446</v>
      </c>
      <c r="S733">
        <f t="shared" si="1002"/>
        <v>-2797.5011218154459</v>
      </c>
      <c r="T733">
        <f t="shared" si="1003"/>
        <v>-2.7975011218154457</v>
      </c>
    </row>
    <row r="734" spans="1:20" x14ac:dyDescent="0.25">
      <c r="A734" s="5">
        <v>43859</v>
      </c>
      <c r="B734">
        <v>1.8620000000000001E-2</v>
      </c>
      <c r="C734">
        <v>1.8870000000000001E-2</v>
      </c>
      <c r="D734">
        <v>1.7979999999999999E-2</v>
      </c>
      <c r="E734">
        <v>1.8030000000000001E-2</v>
      </c>
      <c r="F734">
        <v>2851787.6</v>
      </c>
      <c r="G734">
        <v>0</v>
      </c>
      <c r="L734" t="s">
        <v>7</v>
      </c>
      <c r="M734" t="s">
        <v>8</v>
      </c>
      <c r="N734" t="s">
        <v>8</v>
      </c>
      <c r="P734">
        <f t="shared" si="999"/>
        <v>-0.88764044943819931</v>
      </c>
      <c r="Q734">
        <f t="shared" si="1000"/>
        <v>-2531362.026966284</v>
      </c>
      <c r="R734">
        <f t="shared" si="1001"/>
        <v>-281582079.53710014</v>
      </c>
      <c r="S734">
        <f t="shared" si="1002"/>
        <v>-2815.8207953710012</v>
      </c>
      <c r="T734">
        <f t="shared" si="1003"/>
        <v>-2.8158207953710011</v>
      </c>
    </row>
    <row r="735" spans="1:20" x14ac:dyDescent="0.25">
      <c r="A735" s="5">
        <v>43858</v>
      </c>
      <c r="B735">
        <v>1.8239999999999999E-2</v>
      </c>
      <c r="C735">
        <v>1.8960000000000001E-2</v>
      </c>
      <c r="D735">
        <v>1.7899999999999999E-2</v>
      </c>
      <c r="E735">
        <v>1.8620000000000001E-2</v>
      </c>
      <c r="F735">
        <v>6670028.7000000002</v>
      </c>
      <c r="G735">
        <v>0</v>
      </c>
      <c r="L735" t="s">
        <v>7</v>
      </c>
      <c r="M735" t="s">
        <v>8</v>
      </c>
      <c r="N735" t="s">
        <v>8</v>
      </c>
      <c r="P735">
        <f t="shared" si="999"/>
        <v>0.35849056603773694</v>
      </c>
      <c r="Q735">
        <f t="shared" si="1000"/>
        <v>2391142.3641509507</v>
      </c>
      <c r="R735">
        <f t="shared" si="1001"/>
        <v>-279050717.51013386</v>
      </c>
      <c r="S735">
        <f t="shared" si="1002"/>
        <v>-2790.5071751013388</v>
      </c>
      <c r="T735">
        <f t="shared" si="1003"/>
        <v>-2.7905071751013386</v>
      </c>
    </row>
    <row r="736" spans="1:20" x14ac:dyDescent="0.25">
      <c r="A736" s="5">
        <v>43857</v>
      </c>
      <c r="B736">
        <v>1.8239999999999999E-2</v>
      </c>
      <c r="C736">
        <v>1.908E-2</v>
      </c>
      <c r="D736">
        <v>1.8020000000000001E-2</v>
      </c>
      <c r="E736">
        <v>1.8339999999999999E-2</v>
      </c>
      <c r="F736">
        <v>4995476.2</v>
      </c>
      <c r="G736">
        <v>0</v>
      </c>
      <c r="L736" t="s">
        <v>7</v>
      </c>
      <c r="M736" t="s">
        <v>8</v>
      </c>
      <c r="N736" t="s">
        <v>8</v>
      </c>
      <c r="P736">
        <f t="shared" si="999"/>
        <v>-0.3962264150943437</v>
      </c>
      <c r="Q736">
        <f t="shared" si="1000"/>
        <v>-1979339.6264151148</v>
      </c>
      <c r="R736">
        <f t="shared" si="1001"/>
        <v>-281441859.8742848</v>
      </c>
      <c r="S736">
        <f t="shared" si="1002"/>
        <v>-2814.4185987428482</v>
      </c>
      <c r="T736">
        <f t="shared" si="1003"/>
        <v>-2.8144185987428481</v>
      </c>
    </row>
    <row r="737" spans="1:20" x14ac:dyDescent="0.25">
      <c r="A737" s="5">
        <v>43856</v>
      </c>
      <c r="B737">
        <v>1.8970000000000001E-2</v>
      </c>
      <c r="C737">
        <v>1.9109999999999999E-2</v>
      </c>
      <c r="D737">
        <v>1.8010000000000002E-2</v>
      </c>
      <c r="E737">
        <v>1.8149999999999999E-2</v>
      </c>
      <c r="F737">
        <v>8997644.1999999993</v>
      </c>
      <c r="G737">
        <v>0</v>
      </c>
      <c r="L737" t="s">
        <v>7</v>
      </c>
      <c r="M737" t="s">
        <v>8</v>
      </c>
      <c r="N737" t="s">
        <v>8</v>
      </c>
      <c r="P737">
        <f t="shared" si="999"/>
        <v>-0.74545454545454881</v>
      </c>
      <c r="Q737">
        <f t="shared" si="1000"/>
        <v>-6707334.7672727574</v>
      </c>
      <c r="R737">
        <f t="shared" si="1001"/>
        <v>-279462520.24786967</v>
      </c>
      <c r="S737">
        <f t="shared" si="1002"/>
        <v>-2794.6252024786968</v>
      </c>
      <c r="T737">
        <f t="shared" si="1003"/>
        <v>-2.7946252024786968</v>
      </c>
    </row>
    <row r="738" spans="1:20" x14ac:dyDescent="0.25">
      <c r="A738" s="5">
        <v>43855</v>
      </c>
      <c r="B738">
        <v>1.7010000000000001E-2</v>
      </c>
      <c r="C738">
        <v>2.0889999999999999E-2</v>
      </c>
      <c r="D738">
        <v>1.6650000000000002E-2</v>
      </c>
      <c r="E738">
        <v>1.8970000000000001E-2</v>
      </c>
      <c r="F738">
        <v>38819851</v>
      </c>
      <c r="G738">
        <v>0</v>
      </c>
      <c r="L738" t="s">
        <v>8</v>
      </c>
      <c r="M738" t="s">
        <v>8</v>
      </c>
      <c r="N738" t="s">
        <v>8</v>
      </c>
      <c r="P738">
        <f t="shared" si="999"/>
        <v>9.4339622641509746E-2</v>
      </c>
      <c r="Q738">
        <f t="shared" si="1000"/>
        <v>3662250.0943396348</v>
      </c>
      <c r="R738">
        <f t="shared" si="1001"/>
        <v>-272755185.4805969</v>
      </c>
      <c r="S738">
        <f t="shared" si="1002"/>
        <v>-2727.551854805969</v>
      </c>
      <c r="T738">
        <f t="shared" si="1003"/>
        <v>-2.7275518548059692</v>
      </c>
    </row>
    <row r="739" spans="1:20" x14ac:dyDescent="0.25">
      <c r="A739" s="5">
        <v>43854</v>
      </c>
      <c r="B739">
        <v>1.711E-2</v>
      </c>
      <c r="C739">
        <v>1.7340000000000001E-2</v>
      </c>
      <c r="D739">
        <v>1.6559999999999998E-2</v>
      </c>
      <c r="E739">
        <v>1.7010000000000001E-2</v>
      </c>
      <c r="F739">
        <v>1908927.6</v>
      </c>
      <c r="G739">
        <v>0</v>
      </c>
      <c r="L739" t="s">
        <v>7</v>
      </c>
      <c r="M739" t="s">
        <v>8</v>
      </c>
      <c r="N739" t="s">
        <v>7</v>
      </c>
      <c r="P739">
        <f t="shared" si="999"/>
        <v>0.15384615384615591</v>
      </c>
      <c r="Q739">
        <f t="shared" si="1000"/>
        <v>293681.16923077317</v>
      </c>
      <c r="R739">
        <f t="shared" si="1001"/>
        <v>-276417435.57493651</v>
      </c>
      <c r="S739">
        <f t="shared" si="1002"/>
        <v>-2764.1743557493651</v>
      </c>
      <c r="T739">
        <f t="shared" si="1003"/>
        <v>-2.7641743557493652</v>
      </c>
    </row>
    <row r="740" spans="1:20" x14ac:dyDescent="0.25">
      <c r="A740" s="5">
        <v>43853</v>
      </c>
      <c r="B740">
        <v>1.8020000000000001E-2</v>
      </c>
      <c r="C740">
        <v>1.804E-2</v>
      </c>
      <c r="D740">
        <v>1.6760000000000001E-2</v>
      </c>
      <c r="E740">
        <v>1.711E-2</v>
      </c>
      <c r="F740">
        <v>6709728</v>
      </c>
      <c r="G740">
        <v>0</v>
      </c>
      <c r="L740" t="s">
        <v>7</v>
      </c>
      <c r="M740" t="s">
        <v>8</v>
      </c>
      <c r="N740" t="s">
        <v>7</v>
      </c>
      <c r="P740">
        <f t="shared" si="999"/>
        <v>-0.45312500000000056</v>
      </c>
      <c r="Q740">
        <f t="shared" si="1000"/>
        <v>-3040345.5000000037</v>
      </c>
      <c r="R740">
        <f t="shared" si="1001"/>
        <v>-276711116.74416727</v>
      </c>
      <c r="S740">
        <f t="shared" si="1002"/>
        <v>-2767.1111674416725</v>
      </c>
      <c r="T740">
        <f t="shared" si="1003"/>
        <v>-2.7671111674416724</v>
      </c>
    </row>
    <row r="741" spans="1:20" x14ac:dyDescent="0.25">
      <c r="A741" s="5">
        <v>43852</v>
      </c>
      <c r="B741">
        <v>1.755E-2</v>
      </c>
      <c r="C741">
        <v>1.908E-2</v>
      </c>
      <c r="D741">
        <v>1.719E-2</v>
      </c>
      <c r="E741">
        <v>1.8020000000000001E-2</v>
      </c>
      <c r="F741">
        <v>13000359.300000001</v>
      </c>
      <c r="G741">
        <v>0</v>
      </c>
      <c r="L741" t="s">
        <v>8</v>
      </c>
      <c r="M741" t="s">
        <v>8</v>
      </c>
      <c r="N741" t="s">
        <v>7</v>
      </c>
      <c r="P741">
        <f t="shared" si="999"/>
        <v>-0.12169312169312045</v>
      </c>
      <c r="Q741">
        <f t="shared" si="1000"/>
        <v>-1582054.3063491902</v>
      </c>
      <c r="R741">
        <f t="shared" si="1001"/>
        <v>-273670771.24416727</v>
      </c>
      <c r="S741">
        <f t="shared" si="1002"/>
        <v>-2736.7077124416728</v>
      </c>
      <c r="T741">
        <f t="shared" si="1003"/>
        <v>-2.7367077124416728</v>
      </c>
    </row>
    <row r="742" spans="1:20" x14ac:dyDescent="0.25">
      <c r="A742" s="5">
        <v>43851</v>
      </c>
      <c r="B742">
        <v>1.6750000000000001E-2</v>
      </c>
      <c r="C742">
        <v>1.77E-2</v>
      </c>
      <c r="D742">
        <v>1.6660000000000001E-2</v>
      </c>
      <c r="E742">
        <v>1.7559999999999999E-2</v>
      </c>
      <c r="F742">
        <v>2796207.3</v>
      </c>
      <c r="G742">
        <v>0</v>
      </c>
      <c r="L742" t="s">
        <v>8</v>
      </c>
      <c r="M742" t="s">
        <v>8</v>
      </c>
      <c r="N742" t="s">
        <v>7</v>
      </c>
      <c r="P742">
        <f t="shared" si="999"/>
        <v>0.73076923076922817</v>
      </c>
      <c r="Q742">
        <f t="shared" si="1000"/>
        <v>2043382.2576923002</v>
      </c>
      <c r="R742">
        <f t="shared" si="1001"/>
        <v>-272088716.93781805</v>
      </c>
      <c r="S742">
        <f t="shared" si="1002"/>
        <v>-2720.8871693781807</v>
      </c>
      <c r="T742">
        <f t="shared" si="1003"/>
        <v>-2.7208871693781806</v>
      </c>
    </row>
    <row r="743" spans="1:20" x14ac:dyDescent="0.25">
      <c r="A743" s="5">
        <v>43850</v>
      </c>
      <c r="B743">
        <v>1.7100000000000001E-2</v>
      </c>
      <c r="C743">
        <v>1.7219999999999999E-2</v>
      </c>
      <c r="D743">
        <v>1.668E-2</v>
      </c>
      <c r="E743">
        <v>1.668E-2</v>
      </c>
      <c r="F743">
        <v>835602.2</v>
      </c>
      <c r="G743">
        <v>0</v>
      </c>
      <c r="L743" t="s">
        <v>8</v>
      </c>
      <c r="M743" t="s">
        <v>7</v>
      </c>
      <c r="N743" t="s">
        <v>7</v>
      </c>
      <c r="P743">
        <f t="shared" si="999"/>
        <v>-1</v>
      </c>
      <c r="Q743">
        <f t="shared" si="1000"/>
        <v>-835602.2</v>
      </c>
      <c r="R743">
        <f t="shared" si="1001"/>
        <v>-274132099.19551033</v>
      </c>
      <c r="S743">
        <f t="shared" si="1002"/>
        <v>-2741.3209919551032</v>
      </c>
      <c r="T743">
        <f t="shared" si="1003"/>
        <v>-2.7413209919551034</v>
      </c>
    </row>
    <row r="744" spans="1:20" x14ac:dyDescent="0.25">
      <c r="A744" s="5">
        <v>43849</v>
      </c>
      <c r="B744">
        <v>1.77E-2</v>
      </c>
      <c r="C744">
        <v>1.78E-2</v>
      </c>
      <c r="D744">
        <v>1.4999999999999999E-2</v>
      </c>
      <c r="E744">
        <v>1.7100000000000001E-2</v>
      </c>
      <c r="F744">
        <v>9765767.4000000004</v>
      </c>
      <c r="G744">
        <v>0</v>
      </c>
      <c r="L744" t="s">
        <v>7</v>
      </c>
      <c r="M744" t="s">
        <v>7</v>
      </c>
      <c r="N744" t="s">
        <v>7</v>
      </c>
      <c r="P744">
        <f t="shared" si="999"/>
        <v>0.50000000000000067</v>
      </c>
      <c r="Q744">
        <f t="shared" si="1000"/>
        <v>4882883.7000000067</v>
      </c>
      <c r="R744">
        <f t="shared" si="1001"/>
        <v>-273296496.99551034</v>
      </c>
      <c r="S744">
        <f t="shared" si="1002"/>
        <v>-2732.9649699551032</v>
      </c>
      <c r="T744">
        <f t="shared" si="1003"/>
        <v>-2.7329649699551033</v>
      </c>
    </row>
    <row r="745" spans="1:20" x14ac:dyDescent="0.25">
      <c r="A745" s="5">
        <v>43848</v>
      </c>
      <c r="B745">
        <v>1.7930000000000001E-2</v>
      </c>
      <c r="C745">
        <v>1.8100000000000002E-2</v>
      </c>
      <c r="D745">
        <v>1.7500000000000002E-2</v>
      </c>
      <c r="E745">
        <v>1.7770000000000001E-2</v>
      </c>
      <c r="F745">
        <v>2772768.5</v>
      </c>
      <c r="G745">
        <v>0</v>
      </c>
      <c r="L745" t="s">
        <v>8</v>
      </c>
      <c r="M745" t="s">
        <v>7</v>
      </c>
      <c r="N745" t="s">
        <v>7</v>
      </c>
      <c r="P745">
        <f t="shared" si="999"/>
        <v>-0.10000000000000174</v>
      </c>
      <c r="Q745">
        <f t="shared" si="1000"/>
        <v>-277276.85000000481</v>
      </c>
      <c r="R745">
        <f t="shared" si="1001"/>
        <v>-278179380.69551033</v>
      </c>
      <c r="S745">
        <f t="shared" si="1002"/>
        <v>-2781.7938069551033</v>
      </c>
      <c r="T745">
        <f t="shared" si="1003"/>
        <v>-2.7817938069551031</v>
      </c>
    </row>
    <row r="746" spans="1:20" x14ac:dyDescent="0.25">
      <c r="A746" s="5">
        <v>43847</v>
      </c>
      <c r="B746">
        <v>1.7430000000000001E-2</v>
      </c>
      <c r="C746">
        <v>1.831E-2</v>
      </c>
      <c r="D746">
        <v>1.7239999999999998E-2</v>
      </c>
      <c r="E746">
        <v>1.7840000000000002E-2</v>
      </c>
      <c r="F746">
        <v>3972259.9</v>
      </c>
      <c r="G746">
        <v>0</v>
      </c>
      <c r="L746" t="s">
        <v>8</v>
      </c>
      <c r="M746" t="s">
        <v>7</v>
      </c>
      <c r="N746" t="s">
        <v>7</v>
      </c>
      <c r="P746">
        <f t="shared" si="999"/>
        <v>0.12149532710280835</v>
      </c>
      <c r="Q746">
        <f t="shared" si="1000"/>
        <v>482611.01588786877</v>
      </c>
      <c r="R746">
        <f t="shared" si="1001"/>
        <v>-277902103.8455103</v>
      </c>
      <c r="S746">
        <f t="shared" si="1002"/>
        <v>-2779.0210384551028</v>
      </c>
      <c r="T746">
        <f t="shared" si="1003"/>
        <v>-2.7790210384551028</v>
      </c>
    </row>
    <row r="747" spans="1:20" x14ac:dyDescent="0.25">
      <c r="A747" s="5">
        <v>43846</v>
      </c>
      <c r="B747">
        <v>1.806E-2</v>
      </c>
      <c r="C747">
        <v>1.806E-2</v>
      </c>
      <c r="D747">
        <v>1.7219999999999999E-2</v>
      </c>
      <c r="E747">
        <v>1.7420000000000001E-2</v>
      </c>
      <c r="F747">
        <v>3108079</v>
      </c>
      <c r="G747">
        <v>0</v>
      </c>
      <c r="L747" t="s">
        <v>8</v>
      </c>
      <c r="M747" t="s">
        <v>7</v>
      </c>
      <c r="N747" t="s">
        <v>7</v>
      </c>
      <c r="P747">
        <f t="shared" si="999"/>
        <v>-0.52380952380951873</v>
      </c>
      <c r="Q747">
        <f t="shared" si="1000"/>
        <v>-1628041.3809523652</v>
      </c>
      <c r="R747">
        <f t="shared" si="1001"/>
        <v>-278384714.86139816</v>
      </c>
      <c r="S747">
        <f t="shared" si="1002"/>
        <v>-2783.8471486139815</v>
      </c>
      <c r="T747">
        <f t="shared" si="1003"/>
        <v>-2.7838471486139813</v>
      </c>
    </row>
    <row r="748" spans="1:20" x14ac:dyDescent="0.25">
      <c r="A748" s="5">
        <v>43845</v>
      </c>
      <c r="B748">
        <v>1.7340000000000001E-2</v>
      </c>
      <c r="C748">
        <v>1.8290000000000001E-2</v>
      </c>
      <c r="D748">
        <v>1.7000000000000001E-2</v>
      </c>
      <c r="E748">
        <v>1.796E-2</v>
      </c>
      <c r="F748">
        <v>8152309</v>
      </c>
      <c r="G748">
        <v>0</v>
      </c>
      <c r="L748" t="s">
        <v>8</v>
      </c>
      <c r="M748" t="s">
        <v>7</v>
      </c>
      <c r="N748" t="s">
        <v>7</v>
      </c>
      <c r="P748">
        <f t="shared" si="999"/>
        <v>0.48837209302325496</v>
      </c>
      <c r="Q748">
        <f t="shared" si="1000"/>
        <v>3981360.2093023187</v>
      </c>
      <c r="R748">
        <f t="shared" si="1001"/>
        <v>-276756673.4804458</v>
      </c>
      <c r="S748">
        <f t="shared" si="1002"/>
        <v>-2767.5667348044581</v>
      </c>
      <c r="T748">
        <f t="shared" si="1003"/>
        <v>-2.7675667348044581</v>
      </c>
    </row>
    <row r="749" spans="1:20" x14ac:dyDescent="0.25">
      <c r="A749" s="5">
        <v>43844</v>
      </c>
      <c r="B749">
        <v>1.7229999999999999E-2</v>
      </c>
      <c r="C749">
        <v>1.7690000000000001E-2</v>
      </c>
      <c r="D749">
        <v>1.6789999999999999E-2</v>
      </c>
      <c r="E749">
        <v>1.738E-2</v>
      </c>
      <c r="F749">
        <v>5427138.5</v>
      </c>
      <c r="G749">
        <v>0</v>
      </c>
      <c r="L749" t="s">
        <v>7</v>
      </c>
      <c r="M749" t="s">
        <v>7</v>
      </c>
      <c r="N749" t="s">
        <v>7</v>
      </c>
      <c r="P749">
        <f t="shared" si="999"/>
        <v>0.31111111111110951</v>
      </c>
      <c r="Q749">
        <f t="shared" si="1000"/>
        <v>1688443.0888888801</v>
      </c>
      <c r="R749">
        <f t="shared" si="1001"/>
        <v>-280738033.68974811</v>
      </c>
      <c r="S749">
        <f t="shared" si="1002"/>
        <v>-2807.3803368974809</v>
      </c>
      <c r="T749">
        <f t="shared" si="1003"/>
        <v>-2.8073803368974808</v>
      </c>
    </row>
    <row r="750" spans="1:20" x14ac:dyDescent="0.25">
      <c r="A750" s="5">
        <v>43843</v>
      </c>
      <c r="B750">
        <v>1.7250000000000001E-2</v>
      </c>
      <c r="C750">
        <v>1.7840000000000002E-2</v>
      </c>
      <c r="D750">
        <v>1.7100000000000001E-2</v>
      </c>
      <c r="E750">
        <v>1.7229999999999999E-2</v>
      </c>
      <c r="F750">
        <v>3521053.3</v>
      </c>
      <c r="G750">
        <v>0</v>
      </c>
      <c r="L750" t="s">
        <v>7</v>
      </c>
      <c r="M750" t="s">
        <v>7</v>
      </c>
      <c r="N750" t="s">
        <v>7</v>
      </c>
      <c r="P750">
        <f t="shared" si="999"/>
        <v>-0.64864864864865412</v>
      </c>
      <c r="Q750">
        <f t="shared" si="1000"/>
        <v>-2283926.464864884</v>
      </c>
      <c r="R750">
        <f t="shared" si="1001"/>
        <v>-282426476.77863699</v>
      </c>
      <c r="S750">
        <f t="shared" si="1002"/>
        <v>-2824.2647677863697</v>
      </c>
      <c r="T750">
        <f t="shared" si="1003"/>
        <v>-2.8242647677863699</v>
      </c>
    </row>
    <row r="751" spans="1:20" x14ac:dyDescent="0.25">
      <c r="A751" s="5">
        <v>43842</v>
      </c>
      <c r="B751">
        <v>1.6969999999999999E-2</v>
      </c>
      <c r="C751">
        <v>1.7559999999999999E-2</v>
      </c>
      <c r="D751">
        <v>1.6799999999999999E-2</v>
      </c>
      <c r="E751">
        <v>1.7260000000000001E-2</v>
      </c>
      <c r="F751">
        <v>1791451.9</v>
      </c>
      <c r="G751">
        <v>0</v>
      </c>
      <c r="L751" t="s">
        <v>7</v>
      </c>
      <c r="M751" t="s">
        <v>7</v>
      </c>
      <c r="N751" t="s">
        <v>7</v>
      </c>
      <c r="P751">
        <f t="shared" si="999"/>
        <v>0.21052631578947872</v>
      </c>
      <c r="Q751">
        <f t="shared" si="1000"/>
        <v>377147.76842106163</v>
      </c>
      <c r="R751">
        <f t="shared" si="1001"/>
        <v>-280142550.31377208</v>
      </c>
      <c r="S751">
        <f t="shared" si="1002"/>
        <v>-2801.4255031377206</v>
      </c>
      <c r="T751">
        <f t="shared" si="1003"/>
        <v>-2.8014255031377204</v>
      </c>
    </row>
    <row r="752" spans="1:20" x14ac:dyDescent="0.25">
      <c r="A752" s="5">
        <v>43841</v>
      </c>
      <c r="B752">
        <v>1.7469999999999999E-2</v>
      </c>
      <c r="C752">
        <v>1.7760000000000001E-2</v>
      </c>
      <c r="D752">
        <v>1.6789999999999999E-2</v>
      </c>
      <c r="E752">
        <v>1.6969999999999999E-2</v>
      </c>
      <c r="F752">
        <v>3189994.9</v>
      </c>
      <c r="G752">
        <v>0</v>
      </c>
      <c r="L752" t="s">
        <v>7</v>
      </c>
      <c r="M752" t="s">
        <v>7</v>
      </c>
      <c r="N752" t="s">
        <v>7</v>
      </c>
      <c r="P752">
        <f t="shared" si="999"/>
        <v>-0.62886597938144495</v>
      </c>
      <c r="Q752">
        <f t="shared" si="1000"/>
        <v>-2006079.2670103144</v>
      </c>
      <c r="R752">
        <f t="shared" si="1001"/>
        <v>-280519698.08219314</v>
      </c>
      <c r="S752">
        <f t="shared" si="1002"/>
        <v>-2805.1969808219314</v>
      </c>
      <c r="T752">
        <f t="shared" si="1003"/>
        <v>-2.8051969808219313</v>
      </c>
    </row>
    <row r="753" spans="1:20" x14ac:dyDescent="0.25">
      <c r="A753" s="5">
        <v>43840</v>
      </c>
      <c r="B753">
        <v>1.6799999999999999E-2</v>
      </c>
      <c r="C753">
        <v>1.7899999999999999E-2</v>
      </c>
      <c r="D753">
        <v>1.66E-2</v>
      </c>
      <c r="E753">
        <v>1.7569999999999999E-2</v>
      </c>
      <c r="F753">
        <v>3664438.5</v>
      </c>
      <c r="G753">
        <v>0</v>
      </c>
      <c r="L753" t="s">
        <v>7</v>
      </c>
      <c r="M753" t="s">
        <v>7</v>
      </c>
      <c r="N753" t="s">
        <v>7</v>
      </c>
      <c r="P753">
        <f t="shared" si="999"/>
        <v>0.49230769230769128</v>
      </c>
      <c r="Q753">
        <f t="shared" si="1000"/>
        <v>1804031.2615384578</v>
      </c>
      <c r="R753">
        <f t="shared" si="1001"/>
        <v>-278513618.81518281</v>
      </c>
      <c r="S753">
        <f t="shared" si="1002"/>
        <v>-2785.1361881518283</v>
      </c>
      <c r="T753">
        <f t="shared" si="1003"/>
        <v>-2.7851361881518284</v>
      </c>
    </row>
    <row r="754" spans="1:20" x14ac:dyDescent="0.25">
      <c r="A754" s="5">
        <v>43839</v>
      </c>
      <c r="B754">
        <v>1.7239999999999998E-2</v>
      </c>
      <c r="C754">
        <v>1.7899999999999999E-2</v>
      </c>
      <c r="D754">
        <v>1.6709999999999999E-2</v>
      </c>
      <c r="E754">
        <v>1.6820000000000002E-2</v>
      </c>
      <c r="F754">
        <v>3806937.6</v>
      </c>
      <c r="G754">
        <v>0</v>
      </c>
      <c r="L754" t="s">
        <v>7</v>
      </c>
      <c r="M754" t="s">
        <v>7</v>
      </c>
      <c r="N754" t="s">
        <v>7</v>
      </c>
      <c r="P754">
        <f t="shared" si="999"/>
        <v>-0.81512605042016395</v>
      </c>
      <c r="Q754">
        <f t="shared" si="1000"/>
        <v>-3103134.0100840181</v>
      </c>
      <c r="R754">
        <f t="shared" si="1001"/>
        <v>-280317650.07672125</v>
      </c>
      <c r="S754">
        <f t="shared" si="1002"/>
        <v>-2803.1765007672125</v>
      </c>
      <c r="T754">
        <f t="shared" si="1003"/>
        <v>-2.8031765007672123</v>
      </c>
    </row>
    <row r="755" spans="1:20" x14ac:dyDescent="0.25">
      <c r="A755" s="5">
        <v>43838</v>
      </c>
      <c r="B755">
        <v>1.8010000000000002E-2</v>
      </c>
      <c r="C755">
        <v>1.8290000000000001E-2</v>
      </c>
      <c r="D755">
        <v>1.6969999999999999E-2</v>
      </c>
      <c r="E755">
        <v>1.7260000000000001E-2</v>
      </c>
      <c r="F755">
        <v>6187197.4000000004</v>
      </c>
      <c r="G755">
        <v>0</v>
      </c>
      <c r="L755" t="s">
        <v>7</v>
      </c>
      <c r="M755" t="s">
        <v>7</v>
      </c>
      <c r="N755" t="s">
        <v>7</v>
      </c>
      <c r="P755">
        <f t="shared" si="999"/>
        <v>-0.56060606060605811</v>
      </c>
      <c r="Q755">
        <f t="shared" si="1000"/>
        <v>-3468580.3606060455</v>
      </c>
      <c r="R755">
        <f t="shared" si="1001"/>
        <v>-277214516.06663722</v>
      </c>
      <c r="S755">
        <f t="shared" si="1002"/>
        <v>-2772.1451606663722</v>
      </c>
      <c r="T755">
        <f t="shared" si="1003"/>
        <v>-2.7721451606663723</v>
      </c>
    </row>
    <row r="756" spans="1:20" x14ac:dyDescent="0.25">
      <c r="A756" s="5">
        <v>43837</v>
      </c>
      <c r="B756">
        <v>1.8370000000000001E-2</v>
      </c>
      <c r="C756">
        <v>1.8859999999999998E-2</v>
      </c>
      <c r="D756">
        <v>1.7659999999999999E-2</v>
      </c>
      <c r="E756">
        <v>1.7950000000000001E-2</v>
      </c>
      <c r="F756">
        <v>10407263.800000001</v>
      </c>
      <c r="G756">
        <v>0</v>
      </c>
      <c r="L756" t="s">
        <v>7</v>
      </c>
      <c r="M756" t="s">
        <v>7</v>
      </c>
      <c r="N756" t="s">
        <v>7</v>
      </c>
      <c r="P756">
        <f t="shared" si="999"/>
        <v>-0.51666666666666305</v>
      </c>
      <c r="Q756">
        <f t="shared" si="1000"/>
        <v>-5377086.2966666296</v>
      </c>
      <c r="R756">
        <f t="shared" si="1001"/>
        <v>-273745935.70603114</v>
      </c>
      <c r="S756">
        <f t="shared" si="1002"/>
        <v>-2737.4593570603115</v>
      </c>
      <c r="T756">
        <f t="shared" si="1003"/>
        <v>-2.7374593570603114</v>
      </c>
    </row>
    <row r="757" spans="1:20" x14ac:dyDescent="0.25">
      <c r="A757" s="5">
        <v>43836</v>
      </c>
      <c r="B757">
        <v>1.8679999999999999E-2</v>
      </c>
      <c r="C757">
        <v>1.8960000000000001E-2</v>
      </c>
      <c r="D757">
        <v>1.813E-2</v>
      </c>
      <c r="E757">
        <v>1.8370000000000001E-2</v>
      </c>
      <c r="F757">
        <v>6382691.2999999998</v>
      </c>
      <c r="G757">
        <v>0</v>
      </c>
      <c r="L757" t="s">
        <v>8</v>
      </c>
      <c r="M757" t="s">
        <v>7</v>
      </c>
      <c r="N757" t="s">
        <v>7</v>
      </c>
      <c r="P757">
        <f t="shared" si="999"/>
        <v>-0.42168674698795089</v>
      </c>
      <c r="Q757">
        <f t="shared" si="1000"/>
        <v>-2691496.3313252954</v>
      </c>
      <c r="R757">
        <f t="shared" si="1001"/>
        <v>-268368849.40936449</v>
      </c>
      <c r="S757">
        <f t="shared" si="1002"/>
        <v>-2683.6884940936447</v>
      </c>
      <c r="T757">
        <f t="shared" si="1003"/>
        <v>-2.6836884940936447</v>
      </c>
    </row>
    <row r="758" spans="1:20" x14ac:dyDescent="0.25">
      <c r="A758" s="5">
        <v>43835</v>
      </c>
      <c r="B758">
        <v>1.7860000000000001E-2</v>
      </c>
      <c r="C758">
        <v>1.9269999999999999E-2</v>
      </c>
      <c r="D758">
        <v>1.7340000000000001E-2</v>
      </c>
      <c r="E758">
        <v>1.8679999999999999E-2</v>
      </c>
      <c r="F758">
        <v>13556003.5</v>
      </c>
      <c r="G758">
        <v>0</v>
      </c>
      <c r="L758" t="s">
        <v>8</v>
      </c>
      <c r="M758" t="s">
        <v>7</v>
      </c>
      <c r="N758" t="s">
        <v>7</v>
      </c>
      <c r="P758">
        <f t="shared" si="999"/>
        <v>0.38860103626942905</v>
      </c>
      <c r="Q758">
        <f t="shared" si="1000"/>
        <v>5267877.007772007</v>
      </c>
      <c r="R758">
        <f t="shared" si="1001"/>
        <v>-265677353.0780392</v>
      </c>
      <c r="S758">
        <f t="shared" si="1002"/>
        <v>-2656.7735307803919</v>
      </c>
      <c r="T758">
        <f t="shared" si="1003"/>
        <v>-2.6567735307803919</v>
      </c>
    </row>
    <row r="759" spans="1:20" x14ac:dyDescent="0.25">
      <c r="A759" s="5">
        <v>43834</v>
      </c>
      <c r="B759">
        <v>1.8200000000000001E-2</v>
      </c>
      <c r="C759">
        <v>1.839E-2</v>
      </c>
      <c r="D759">
        <v>1.7600000000000001E-2</v>
      </c>
      <c r="E759">
        <v>1.7850000000000001E-2</v>
      </c>
      <c r="F759">
        <v>6420533.2000000002</v>
      </c>
      <c r="G759">
        <v>0</v>
      </c>
      <c r="L759" t="s">
        <v>7</v>
      </c>
      <c r="M759" t="s">
        <v>8</v>
      </c>
      <c r="N759" t="s">
        <v>7</v>
      </c>
      <c r="P759">
        <f t="shared" si="999"/>
        <v>-0.36708860759493539</v>
      </c>
      <c r="Q759">
        <f t="shared" si="1000"/>
        <v>-2356904.5924050547</v>
      </c>
      <c r="R759">
        <f t="shared" si="1001"/>
        <v>-270945230.0858112</v>
      </c>
      <c r="S759">
        <f t="shared" si="1002"/>
        <v>-2709.4523008581118</v>
      </c>
      <c r="T759">
        <f t="shared" si="1003"/>
        <v>-2.709452300858112</v>
      </c>
    </row>
    <row r="760" spans="1:20" x14ac:dyDescent="0.25">
      <c r="A760" s="5">
        <v>43833</v>
      </c>
      <c r="B760">
        <v>1.847E-2</v>
      </c>
      <c r="C760">
        <v>1.9130000000000001E-2</v>
      </c>
      <c r="D760">
        <v>1.7940000000000001E-2</v>
      </c>
      <c r="E760">
        <v>1.8200000000000001E-2</v>
      </c>
      <c r="F760">
        <v>17880808.199999999</v>
      </c>
      <c r="G760">
        <v>0</v>
      </c>
      <c r="L760" t="s">
        <v>7</v>
      </c>
      <c r="M760" t="s">
        <v>8</v>
      </c>
      <c r="N760" t="s">
        <v>7</v>
      </c>
      <c r="P760">
        <f t="shared" si="999"/>
        <v>-0.56302521008403394</v>
      </c>
      <c r="Q760">
        <f t="shared" si="1000"/>
        <v>-10067345.793277316</v>
      </c>
      <c r="R760">
        <f t="shared" si="1001"/>
        <v>-268588325.49340612</v>
      </c>
      <c r="S760">
        <f t="shared" si="1002"/>
        <v>-2685.8832549340614</v>
      </c>
      <c r="T760">
        <f t="shared" si="1003"/>
        <v>-2.6858832549340614</v>
      </c>
    </row>
    <row r="761" spans="1:20" x14ac:dyDescent="0.25">
      <c r="A761" s="5">
        <v>43832</v>
      </c>
      <c r="B761">
        <v>1.8100000000000002E-2</v>
      </c>
      <c r="C761">
        <v>2.0250000000000001E-2</v>
      </c>
      <c r="D761">
        <v>1.78E-2</v>
      </c>
      <c r="E761">
        <v>1.8450000000000001E-2</v>
      </c>
      <c r="F761">
        <v>16940080.300000001</v>
      </c>
      <c r="G761">
        <v>0</v>
      </c>
      <c r="L761" t="s">
        <v>8</v>
      </c>
      <c r="M761" t="s">
        <v>8</v>
      </c>
      <c r="N761" t="s">
        <v>7</v>
      </c>
      <c r="P761">
        <f t="shared" si="999"/>
        <v>-0.46938775510203995</v>
      </c>
      <c r="Q761">
        <f t="shared" si="1000"/>
        <v>-7951466.2632652922</v>
      </c>
      <c r="R761">
        <f t="shared" si="1001"/>
        <v>-258520979.70012882</v>
      </c>
      <c r="S761">
        <f t="shared" si="1002"/>
        <v>-2585.2097970012883</v>
      </c>
      <c r="T761">
        <f t="shared" si="1003"/>
        <v>-2.5852097970012884</v>
      </c>
    </row>
    <row r="762" spans="1:20" x14ac:dyDescent="0.25">
      <c r="A762" s="5">
        <v>43831</v>
      </c>
      <c r="B762">
        <v>1.7219999999999999E-2</v>
      </c>
      <c r="C762">
        <v>1.839E-2</v>
      </c>
      <c r="D762">
        <v>1.7090000000000001E-2</v>
      </c>
      <c r="E762">
        <v>1.8089999999999998E-2</v>
      </c>
      <c r="F762">
        <v>1842885.4</v>
      </c>
      <c r="G762">
        <v>0</v>
      </c>
      <c r="L762" t="s">
        <v>8</v>
      </c>
      <c r="M762" t="s">
        <v>8</v>
      </c>
      <c r="N762" t="s">
        <v>7</v>
      </c>
      <c r="P762">
        <f t="shared" si="999"/>
        <v>0.53846153846153555</v>
      </c>
      <c r="Q762">
        <f t="shared" si="1000"/>
        <v>992322.90769230225</v>
      </c>
      <c r="R762">
        <f t="shared" si="1001"/>
        <v>-250569513.43686354</v>
      </c>
      <c r="S762">
        <f t="shared" si="1002"/>
        <v>-2505.6951343686355</v>
      </c>
      <c r="T762">
        <f t="shared" si="1003"/>
        <v>-2.5056951343686356</v>
      </c>
    </row>
    <row r="763" spans="1:20" x14ac:dyDescent="0.25">
      <c r="A763" s="5">
        <v>43830</v>
      </c>
      <c r="B763">
        <v>1.737E-2</v>
      </c>
      <c r="C763">
        <v>1.7780000000000001E-2</v>
      </c>
      <c r="D763">
        <v>1.694E-2</v>
      </c>
      <c r="E763">
        <v>1.7330000000000002E-2</v>
      </c>
      <c r="F763">
        <v>1246270.1000000001</v>
      </c>
      <c r="G763">
        <v>0</v>
      </c>
      <c r="L763" t="s">
        <v>7</v>
      </c>
      <c r="M763" t="s">
        <v>8</v>
      </c>
      <c r="N763" t="s">
        <v>7</v>
      </c>
      <c r="P763">
        <f t="shared" si="999"/>
        <v>-7.1428571428568483E-2</v>
      </c>
      <c r="Q763">
        <f t="shared" si="1000"/>
        <v>-89019.292857139197</v>
      </c>
      <c r="R763">
        <f t="shared" si="1001"/>
        <v>-251561836.34455585</v>
      </c>
      <c r="S763">
        <f t="shared" si="1002"/>
        <v>-2515.6183634455588</v>
      </c>
      <c r="T763">
        <f t="shared" si="1003"/>
        <v>-2.5156183634455589</v>
      </c>
    </row>
    <row r="764" spans="1:20" x14ac:dyDescent="0.25">
      <c r="A764" s="5">
        <v>43829</v>
      </c>
      <c r="B764">
        <v>1.813E-2</v>
      </c>
      <c r="C764">
        <v>1.8960000000000001E-2</v>
      </c>
      <c r="D764">
        <v>1.737E-2</v>
      </c>
      <c r="E764">
        <v>1.738E-2</v>
      </c>
      <c r="F764">
        <v>3561793.2</v>
      </c>
      <c r="G764">
        <v>0</v>
      </c>
      <c r="L764" t="s">
        <v>8</v>
      </c>
      <c r="M764" t="s">
        <v>8</v>
      </c>
      <c r="N764" t="s">
        <v>7</v>
      </c>
      <c r="P764">
        <f t="shared" si="999"/>
        <v>-0.9874213836477993</v>
      </c>
      <c r="Q764">
        <f t="shared" si="1000"/>
        <v>-3516990.7698113229</v>
      </c>
      <c r="R764">
        <f t="shared" si="1001"/>
        <v>-251472817.05169871</v>
      </c>
      <c r="S764">
        <f t="shared" si="1002"/>
        <v>-2514.7281705169871</v>
      </c>
      <c r="T764">
        <f t="shared" si="1003"/>
        <v>-2.514728170516987</v>
      </c>
    </row>
    <row r="765" spans="1:20" x14ac:dyDescent="0.25">
      <c r="A765" s="5">
        <v>43828</v>
      </c>
      <c r="B765">
        <v>1.771E-2</v>
      </c>
      <c r="C765">
        <v>1.8440000000000002E-2</v>
      </c>
      <c r="D765">
        <v>1.7600000000000001E-2</v>
      </c>
      <c r="E765">
        <v>1.8069999999999999E-2</v>
      </c>
      <c r="F765">
        <v>2618418.2000000002</v>
      </c>
      <c r="G765">
        <v>0</v>
      </c>
      <c r="L765" t="s">
        <v>8</v>
      </c>
      <c r="M765" t="s">
        <v>8</v>
      </c>
      <c r="N765" t="s">
        <v>7</v>
      </c>
      <c r="P765">
        <f t="shared" si="999"/>
        <v>0.11904761904761413</v>
      </c>
      <c r="Q765">
        <f t="shared" si="1000"/>
        <v>311716.4523809395</v>
      </c>
      <c r="R765">
        <f t="shared" si="1001"/>
        <v>-247955826.28188738</v>
      </c>
      <c r="S765">
        <f t="shared" si="1002"/>
        <v>-2479.558262818874</v>
      </c>
      <c r="T765">
        <f t="shared" si="1003"/>
        <v>-2.4795582628188741</v>
      </c>
    </row>
    <row r="766" spans="1:20" x14ac:dyDescent="0.25">
      <c r="A766" s="5">
        <v>43827</v>
      </c>
      <c r="B766">
        <v>1.7430000000000001E-2</v>
      </c>
      <c r="C766">
        <v>1.7899999999999999E-2</v>
      </c>
      <c r="D766">
        <v>1.6930000000000001E-2</v>
      </c>
      <c r="E766">
        <v>1.7899999999999999E-2</v>
      </c>
      <c r="F766">
        <v>2241680.2000000002</v>
      </c>
      <c r="G766">
        <v>0</v>
      </c>
      <c r="L766" t="s">
        <v>7</v>
      </c>
      <c r="M766" t="s">
        <v>8</v>
      </c>
      <c r="N766" t="s">
        <v>7</v>
      </c>
      <c r="P766">
        <f t="shared" si="999"/>
        <v>1</v>
      </c>
      <c r="Q766">
        <f t="shared" si="1000"/>
        <v>2241680.2000000002</v>
      </c>
      <c r="R766">
        <f t="shared" si="1001"/>
        <v>-248267542.73426831</v>
      </c>
      <c r="S766">
        <f t="shared" si="1002"/>
        <v>-2482.6754273426832</v>
      </c>
      <c r="T766">
        <f t="shared" si="1003"/>
        <v>-2.482675427342683</v>
      </c>
    </row>
    <row r="767" spans="1:20" x14ac:dyDescent="0.25">
      <c r="A767" s="5">
        <v>43826</v>
      </c>
      <c r="B767">
        <v>1.6990000000000002E-2</v>
      </c>
      <c r="C767">
        <v>1.7899999999999999E-2</v>
      </c>
      <c r="D767">
        <v>1.6799999999999999E-2</v>
      </c>
      <c r="E767">
        <v>1.7440000000000001E-2</v>
      </c>
      <c r="F767">
        <v>3097963.5</v>
      </c>
      <c r="G767">
        <v>0</v>
      </c>
      <c r="L767" t="s">
        <v>7</v>
      </c>
      <c r="M767" t="s">
        <v>8</v>
      </c>
      <c r="N767" t="s">
        <v>7</v>
      </c>
      <c r="P767">
        <f t="shared" ref="P767:P830" si="1004">IF(C767=D767,0,((E767-D767)-(C767-E767))/(C767-D767))</f>
        <v>0.16363636363636638</v>
      </c>
      <c r="Q767">
        <f t="shared" ref="Q767:Q830" si="1005">F767*P767</f>
        <v>506939.48181819031</v>
      </c>
      <c r="R767">
        <f t="shared" ref="R767:R830" si="1006">R768+Q767</f>
        <v>-250509222.9342683</v>
      </c>
      <c r="S767">
        <f t="shared" ref="S767:S830" si="1007">R767/100000</f>
        <v>-2505.0922293426829</v>
      </c>
      <c r="T767">
        <f t="shared" ref="T767:T830" si="1008">S767/1000</f>
        <v>-2.5050922293426829</v>
      </c>
    </row>
    <row r="768" spans="1:20" x14ac:dyDescent="0.25">
      <c r="A768" s="5">
        <v>43825</v>
      </c>
      <c r="B768">
        <v>1.7299999999999999E-2</v>
      </c>
      <c r="C768">
        <v>1.7479999999999999E-2</v>
      </c>
      <c r="D768">
        <v>1.686E-2</v>
      </c>
      <c r="E768">
        <v>1.6920000000000001E-2</v>
      </c>
      <c r="F768">
        <v>2890677.5</v>
      </c>
      <c r="G768">
        <v>0</v>
      </c>
      <c r="L768" t="s">
        <v>7</v>
      </c>
      <c r="M768" t="s">
        <v>8</v>
      </c>
      <c r="N768" t="s">
        <v>7</v>
      </c>
      <c r="P768">
        <f t="shared" si="1004"/>
        <v>-0.8064516129032222</v>
      </c>
      <c r="Q768">
        <f t="shared" si="1005"/>
        <v>-2331191.5322580542</v>
      </c>
      <c r="R768">
        <f t="shared" si="1006"/>
        <v>-251016162.41608649</v>
      </c>
      <c r="S768">
        <f t="shared" si="1007"/>
        <v>-2510.1616241608649</v>
      </c>
      <c r="T768">
        <f t="shared" si="1008"/>
        <v>-2.5101616241608649</v>
      </c>
    </row>
    <row r="769" spans="1:20" x14ac:dyDescent="0.25">
      <c r="A769" s="5">
        <v>43824</v>
      </c>
      <c r="B769">
        <v>1.7399999999999999E-2</v>
      </c>
      <c r="C769">
        <v>1.8110000000000001E-2</v>
      </c>
      <c r="D769">
        <v>1.6899999999999998E-2</v>
      </c>
      <c r="E769">
        <v>1.7299999999999999E-2</v>
      </c>
      <c r="F769">
        <v>3086570.7</v>
      </c>
      <c r="G769">
        <v>0</v>
      </c>
      <c r="L769" t="s">
        <v>7</v>
      </c>
      <c r="M769" t="s">
        <v>8</v>
      </c>
      <c r="N769" t="s">
        <v>7</v>
      </c>
      <c r="P769">
        <f t="shared" si="1004"/>
        <v>-0.33884297520661133</v>
      </c>
      <c r="Q769">
        <f t="shared" si="1005"/>
        <v>-1045862.799173553</v>
      </c>
      <c r="R769">
        <f t="shared" si="1006"/>
        <v>-248684970.88382843</v>
      </c>
      <c r="S769">
        <f t="shared" si="1007"/>
        <v>-2486.8497088382842</v>
      </c>
      <c r="T769">
        <f t="shared" si="1008"/>
        <v>-2.4868497088382844</v>
      </c>
    </row>
    <row r="770" spans="1:20" x14ac:dyDescent="0.25">
      <c r="A770" s="5">
        <v>43823</v>
      </c>
      <c r="B770">
        <v>1.7340000000000001E-2</v>
      </c>
      <c r="C770">
        <v>1.77E-2</v>
      </c>
      <c r="D770">
        <v>1.7100000000000001E-2</v>
      </c>
      <c r="E770">
        <v>1.7399999999999999E-2</v>
      </c>
      <c r="F770">
        <v>1600442.9</v>
      </c>
      <c r="G770">
        <v>0</v>
      </c>
      <c r="L770" t="s">
        <v>7</v>
      </c>
      <c r="M770" t="s">
        <v>8</v>
      </c>
      <c r="N770" t="s">
        <v>7</v>
      </c>
      <c r="P770">
        <f t="shared" si="1004"/>
        <v>-5.7824115865893588E-15</v>
      </c>
      <c r="Q770">
        <f t="shared" si="1005"/>
        <v>-9.2544195686346738E-9</v>
      </c>
      <c r="R770">
        <f t="shared" si="1006"/>
        <v>-247639108.08465487</v>
      </c>
      <c r="S770">
        <f t="shared" si="1007"/>
        <v>-2476.3910808465489</v>
      </c>
      <c r="T770">
        <f t="shared" si="1008"/>
        <v>-2.476391080846549</v>
      </c>
    </row>
    <row r="771" spans="1:20" x14ac:dyDescent="0.25">
      <c r="A771" s="5">
        <v>43822</v>
      </c>
      <c r="B771">
        <v>1.8259999999999998E-2</v>
      </c>
      <c r="C771">
        <v>1.8419999999999999E-2</v>
      </c>
      <c r="D771">
        <v>1.7139999999999999E-2</v>
      </c>
      <c r="E771">
        <v>1.7430000000000001E-2</v>
      </c>
      <c r="F771">
        <v>2743966.8</v>
      </c>
      <c r="G771">
        <v>0</v>
      </c>
      <c r="L771" t="s">
        <v>7</v>
      </c>
      <c r="M771" t="s">
        <v>8</v>
      </c>
      <c r="N771" t="s">
        <v>7</v>
      </c>
      <c r="P771">
        <f t="shared" si="1004"/>
        <v>-0.54687499999999678</v>
      </c>
      <c r="Q771">
        <f t="shared" si="1005"/>
        <v>-1500606.8437499912</v>
      </c>
      <c r="R771">
        <f t="shared" si="1006"/>
        <v>-247639108.08465487</v>
      </c>
      <c r="S771">
        <f t="shared" si="1007"/>
        <v>-2476.3910808465489</v>
      </c>
      <c r="T771">
        <f t="shared" si="1008"/>
        <v>-2.476391080846549</v>
      </c>
    </row>
    <row r="772" spans="1:20" x14ac:dyDescent="0.25">
      <c r="A772" s="5">
        <v>43821</v>
      </c>
      <c r="B772">
        <v>1.84E-2</v>
      </c>
      <c r="C772">
        <v>1.847E-2</v>
      </c>
      <c r="D772">
        <v>1.7590000000000001E-2</v>
      </c>
      <c r="E772">
        <v>1.8149999999999999E-2</v>
      </c>
      <c r="F772">
        <v>5154771.9000000004</v>
      </c>
      <c r="G772">
        <v>0</v>
      </c>
      <c r="L772" t="s">
        <v>7</v>
      </c>
      <c r="M772" t="s">
        <v>8</v>
      </c>
      <c r="N772" t="s">
        <v>7</v>
      </c>
      <c r="P772">
        <f t="shared" si="1004"/>
        <v>0.27272727272726988</v>
      </c>
      <c r="Q772">
        <f t="shared" si="1005"/>
        <v>1405846.8818181672</v>
      </c>
      <c r="R772">
        <f t="shared" si="1006"/>
        <v>-246138501.24090487</v>
      </c>
      <c r="S772">
        <f t="shared" si="1007"/>
        <v>-2461.3850124090486</v>
      </c>
      <c r="T772">
        <f t="shared" si="1008"/>
        <v>-2.4613850124090488</v>
      </c>
    </row>
    <row r="773" spans="1:20" x14ac:dyDescent="0.25">
      <c r="A773" s="5">
        <v>43820</v>
      </c>
      <c r="B773">
        <v>1.8800000000000001E-2</v>
      </c>
      <c r="C773">
        <v>1.9709999999999998E-2</v>
      </c>
      <c r="D773">
        <v>1.8280000000000001E-2</v>
      </c>
      <c r="E773">
        <v>1.8450000000000001E-2</v>
      </c>
      <c r="F773">
        <v>6641589.2999999998</v>
      </c>
      <c r="G773">
        <v>0</v>
      </c>
      <c r="L773" t="s">
        <v>7</v>
      </c>
      <c r="M773" t="s">
        <v>8</v>
      </c>
      <c r="N773" t="s">
        <v>7</v>
      </c>
      <c r="P773">
        <f t="shared" si="1004"/>
        <v>-0.76223776223776174</v>
      </c>
      <c r="Q773">
        <f t="shared" si="1005"/>
        <v>-5062470.1657342622</v>
      </c>
      <c r="R773">
        <f t="shared" si="1006"/>
        <v>-247544348.12272304</v>
      </c>
      <c r="S773">
        <f t="shared" si="1007"/>
        <v>-2475.4434812272302</v>
      </c>
      <c r="T773">
        <f t="shared" si="1008"/>
        <v>-2.4754434812272303</v>
      </c>
    </row>
    <row r="774" spans="1:20" x14ac:dyDescent="0.25">
      <c r="A774" s="5">
        <v>43819</v>
      </c>
      <c r="B774">
        <v>1.8540000000000001E-2</v>
      </c>
      <c r="C774">
        <v>1.9990000000000001E-2</v>
      </c>
      <c r="D774">
        <v>1.7690000000000001E-2</v>
      </c>
      <c r="E774">
        <v>1.8780000000000002E-2</v>
      </c>
      <c r="F774">
        <v>6872789.2000000002</v>
      </c>
      <c r="G774">
        <v>0</v>
      </c>
      <c r="L774" t="s">
        <v>8</v>
      </c>
      <c r="M774" t="s">
        <v>8</v>
      </c>
      <c r="N774" t="s">
        <v>7</v>
      </c>
      <c r="P774">
        <f t="shared" si="1004"/>
        <v>-5.2173913043477647E-2</v>
      </c>
      <c r="Q774">
        <f t="shared" si="1005"/>
        <v>-358580.30608695233</v>
      </c>
      <c r="R774">
        <f t="shared" si="1006"/>
        <v>-242481877.95698878</v>
      </c>
      <c r="S774">
        <f t="shared" si="1007"/>
        <v>-2424.8187795698877</v>
      </c>
      <c r="T774">
        <f t="shared" si="1008"/>
        <v>-2.4248187795698879</v>
      </c>
    </row>
    <row r="775" spans="1:20" x14ac:dyDescent="0.25">
      <c r="A775" s="5">
        <v>43818</v>
      </c>
      <c r="B775">
        <v>1.771E-2</v>
      </c>
      <c r="C775">
        <v>1.9449999999999999E-2</v>
      </c>
      <c r="D775">
        <v>1.7139999999999999E-2</v>
      </c>
      <c r="E775">
        <v>1.8540000000000001E-2</v>
      </c>
      <c r="F775">
        <v>5373535.5999999996</v>
      </c>
      <c r="G775">
        <v>0</v>
      </c>
      <c r="L775" t="s">
        <v>8</v>
      </c>
      <c r="M775" t="s">
        <v>8</v>
      </c>
      <c r="N775" t="s">
        <v>7</v>
      </c>
      <c r="P775">
        <f t="shared" si="1004"/>
        <v>0.21212121212121404</v>
      </c>
      <c r="Q775">
        <f t="shared" si="1005"/>
        <v>1139840.884848495</v>
      </c>
      <c r="R775">
        <f t="shared" si="1006"/>
        <v>-242123297.65090182</v>
      </c>
      <c r="S775">
        <f t="shared" si="1007"/>
        <v>-2421.232976509018</v>
      </c>
      <c r="T775">
        <f t="shared" si="1008"/>
        <v>-2.4212329765090179</v>
      </c>
    </row>
    <row r="776" spans="1:20" x14ac:dyDescent="0.25">
      <c r="A776" s="5">
        <v>43817</v>
      </c>
      <c r="B776">
        <v>1.627E-2</v>
      </c>
      <c r="C776">
        <v>1.7999999999999999E-2</v>
      </c>
      <c r="D776">
        <v>1.5769999999999999E-2</v>
      </c>
      <c r="E776">
        <v>1.77E-2</v>
      </c>
      <c r="F776">
        <v>8399484.4000000004</v>
      </c>
      <c r="G776">
        <v>0</v>
      </c>
      <c r="L776" t="s">
        <v>7</v>
      </c>
      <c r="M776" t="s">
        <v>7</v>
      </c>
      <c r="N776" t="s">
        <v>7</v>
      </c>
      <c r="P776">
        <f t="shared" si="1004"/>
        <v>0.73094170403587599</v>
      </c>
      <c r="Q776">
        <f t="shared" si="1005"/>
        <v>6139533.440358758</v>
      </c>
      <c r="R776">
        <f t="shared" si="1006"/>
        <v>-243263138.53575033</v>
      </c>
      <c r="S776">
        <f t="shared" si="1007"/>
        <v>-2432.6313853575034</v>
      </c>
      <c r="T776">
        <f t="shared" si="1008"/>
        <v>-2.4326313853575035</v>
      </c>
    </row>
    <row r="777" spans="1:20" x14ac:dyDescent="0.25">
      <c r="A777" s="5">
        <v>43816</v>
      </c>
      <c r="B777">
        <v>1.857E-2</v>
      </c>
      <c r="C777">
        <v>1.8610000000000002E-2</v>
      </c>
      <c r="D777">
        <v>1.6049999999999998E-2</v>
      </c>
      <c r="E777">
        <v>1.627E-2</v>
      </c>
      <c r="F777">
        <v>6244200.9000000004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-0.82812499999999911</v>
      </c>
      <c r="Q777">
        <f t="shared" si="1005"/>
        <v>-5170978.8703124952</v>
      </c>
      <c r="R777">
        <f t="shared" si="1006"/>
        <v>-249402671.97610909</v>
      </c>
      <c r="S777">
        <f t="shared" si="1007"/>
        <v>-2494.026719761091</v>
      </c>
      <c r="T777">
        <f t="shared" si="1008"/>
        <v>-2.494026719761091</v>
      </c>
    </row>
    <row r="778" spans="1:20" x14ac:dyDescent="0.25">
      <c r="A778" s="5">
        <v>43815</v>
      </c>
      <c r="B778">
        <v>1.983E-2</v>
      </c>
      <c r="C778">
        <v>0.02</v>
      </c>
      <c r="D778">
        <v>1.8069999999999999E-2</v>
      </c>
      <c r="E778">
        <v>1.8599999999999998E-2</v>
      </c>
      <c r="F778">
        <v>4973547.2</v>
      </c>
      <c r="G778">
        <v>0</v>
      </c>
      <c r="L778" t="s">
        <v>7</v>
      </c>
      <c r="M778" t="s">
        <v>7</v>
      </c>
      <c r="N778" t="s">
        <v>8</v>
      </c>
      <c r="P778">
        <f t="shared" si="1004"/>
        <v>-0.45077720207254002</v>
      </c>
      <c r="Q778">
        <f t="shared" si="1005"/>
        <v>-2241961.6911917157</v>
      </c>
      <c r="R778">
        <f t="shared" si="1006"/>
        <v>-244231693.10579661</v>
      </c>
      <c r="S778">
        <f t="shared" si="1007"/>
        <v>-2442.316931057966</v>
      </c>
      <c r="T778">
        <f t="shared" si="1008"/>
        <v>-2.4423169310579662</v>
      </c>
    </row>
    <row r="779" spans="1:20" x14ac:dyDescent="0.25">
      <c r="A779" s="5">
        <v>43814</v>
      </c>
      <c r="B779">
        <v>1.915E-2</v>
      </c>
      <c r="C779">
        <v>2.1000000000000001E-2</v>
      </c>
      <c r="D779">
        <v>1.8970000000000001E-2</v>
      </c>
      <c r="E779">
        <v>1.9820000000000001E-2</v>
      </c>
      <c r="F779">
        <v>3773820.4</v>
      </c>
      <c r="G779">
        <v>0</v>
      </c>
      <c r="L779" t="s">
        <v>8</v>
      </c>
      <c r="M779" t="s">
        <v>7</v>
      </c>
      <c r="N779" t="s">
        <v>8</v>
      </c>
      <c r="P779">
        <f t="shared" si="1004"/>
        <v>-0.16256157635467997</v>
      </c>
      <c r="Q779">
        <f t="shared" si="1005"/>
        <v>-613478.19310344884</v>
      </c>
      <c r="R779">
        <f t="shared" si="1006"/>
        <v>-241989731.4146049</v>
      </c>
      <c r="S779">
        <f t="shared" si="1007"/>
        <v>-2419.8973141460492</v>
      </c>
      <c r="T779">
        <f t="shared" si="1008"/>
        <v>-2.4198973141460494</v>
      </c>
    </row>
    <row r="780" spans="1:20" x14ac:dyDescent="0.25">
      <c r="A780" s="5">
        <v>43813</v>
      </c>
      <c r="B780">
        <v>1.9859999999999999E-2</v>
      </c>
      <c r="C780">
        <v>2.0619999999999999E-2</v>
      </c>
      <c r="D780">
        <v>1.8970000000000001E-2</v>
      </c>
      <c r="E780">
        <v>1.9130000000000001E-2</v>
      </c>
      <c r="F780">
        <v>4924820.9000000004</v>
      </c>
      <c r="G780">
        <v>0</v>
      </c>
      <c r="L780" t="s">
        <v>7</v>
      </c>
      <c r="M780" t="s">
        <v>7</v>
      </c>
      <c r="N780" t="s">
        <v>8</v>
      </c>
      <c r="P780">
        <f t="shared" si="1004"/>
        <v>-0.80606060606060537</v>
      </c>
      <c r="Q780">
        <f t="shared" si="1005"/>
        <v>-3969704.1193939364</v>
      </c>
      <c r="R780">
        <f t="shared" si="1006"/>
        <v>-241376253.22150144</v>
      </c>
      <c r="S780">
        <f t="shared" si="1007"/>
        <v>-2413.7625322150143</v>
      </c>
      <c r="T780">
        <f t="shared" si="1008"/>
        <v>-2.4137625322150145</v>
      </c>
    </row>
    <row r="781" spans="1:20" x14ac:dyDescent="0.25">
      <c r="A781" s="5">
        <v>43812</v>
      </c>
      <c r="B781">
        <v>1.9640000000000001E-2</v>
      </c>
      <c r="C781">
        <v>2.1899999999999999E-2</v>
      </c>
      <c r="D781">
        <v>1.949E-2</v>
      </c>
      <c r="E781">
        <v>1.9810000000000001E-2</v>
      </c>
      <c r="F781">
        <v>7489219.2000000002</v>
      </c>
      <c r="G781">
        <v>0</v>
      </c>
      <c r="L781" t="s">
        <v>8</v>
      </c>
      <c r="M781" t="s">
        <v>7</v>
      </c>
      <c r="N781" t="s">
        <v>8</v>
      </c>
      <c r="P781">
        <f t="shared" si="1004"/>
        <v>-0.73443983402489543</v>
      </c>
      <c r="Q781">
        <f t="shared" si="1005"/>
        <v>-5500380.9062240599</v>
      </c>
      <c r="R781">
        <f t="shared" si="1006"/>
        <v>-237406549.1021075</v>
      </c>
      <c r="S781">
        <f t="shared" si="1007"/>
        <v>-2374.0654910210751</v>
      </c>
      <c r="T781">
        <f t="shared" si="1008"/>
        <v>-2.3740654910210752</v>
      </c>
    </row>
    <row r="782" spans="1:20" x14ac:dyDescent="0.25">
      <c r="A782" s="5">
        <v>43811</v>
      </c>
      <c r="B782">
        <v>1.9709999999999998E-2</v>
      </c>
      <c r="C782">
        <v>2.1000000000000001E-2</v>
      </c>
      <c r="D782">
        <v>1.883E-2</v>
      </c>
      <c r="E782">
        <v>1.959E-2</v>
      </c>
      <c r="F782">
        <v>7228818.7000000002</v>
      </c>
      <c r="G782">
        <v>0</v>
      </c>
      <c r="L782" t="s">
        <v>7</v>
      </c>
      <c r="M782" t="s">
        <v>7</v>
      </c>
      <c r="N782" t="s">
        <v>8</v>
      </c>
      <c r="P782">
        <f t="shared" si="1004"/>
        <v>-0.29953917050691276</v>
      </c>
      <c r="Q782">
        <f t="shared" si="1005"/>
        <v>-2165314.3571428596</v>
      </c>
      <c r="R782">
        <f t="shared" si="1006"/>
        <v>-231906168.19588342</v>
      </c>
      <c r="S782">
        <f t="shared" si="1007"/>
        <v>-2319.061681958834</v>
      </c>
      <c r="T782">
        <f t="shared" si="1008"/>
        <v>-2.3190616819588339</v>
      </c>
    </row>
    <row r="783" spans="1:20" x14ac:dyDescent="0.25">
      <c r="A783" s="5">
        <v>43810</v>
      </c>
      <c r="B783">
        <v>1.9980000000000001E-2</v>
      </c>
      <c r="C783">
        <v>2.01E-2</v>
      </c>
      <c r="D783">
        <v>1.9300000000000001E-2</v>
      </c>
      <c r="E783">
        <v>1.9529999999999999E-2</v>
      </c>
      <c r="F783">
        <v>3539998</v>
      </c>
      <c r="G783">
        <v>0</v>
      </c>
      <c r="L783" t="s">
        <v>7</v>
      </c>
      <c r="M783" t="s">
        <v>7</v>
      </c>
      <c r="N783" t="s">
        <v>8</v>
      </c>
      <c r="P783">
        <f t="shared" si="1004"/>
        <v>-0.4250000000000051</v>
      </c>
      <c r="Q783">
        <f t="shared" si="1005"/>
        <v>-1504499.1500000181</v>
      </c>
      <c r="R783">
        <f t="shared" si="1006"/>
        <v>-229740853.83874056</v>
      </c>
      <c r="S783">
        <f t="shared" si="1007"/>
        <v>-2297.4085383874058</v>
      </c>
      <c r="T783">
        <f t="shared" si="1008"/>
        <v>-2.2974085383874057</v>
      </c>
    </row>
    <row r="784" spans="1:20" x14ac:dyDescent="0.25">
      <c r="A784" s="5">
        <v>43809</v>
      </c>
      <c r="B784">
        <v>2.1000000000000001E-2</v>
      </c>
      <c r="C784">
        <v>2.1899999999999999E-2</v>
      </c>
      <c r="D784">
        <v>1.9140000000000001E-2</v>
      </c>
      <c r="E784">
        <v>1.992E-2</v>
      </c>
      <c r="F784">
        <v>11498855.5</v>
      </c>
      <c r="G784">
        <v>0</v>
      </c>
      <c r="L784" t="s">
        <v>7</v>
      </c>
      <c r="M784" t="s">
        <v>7</v>
      </c>
      <c r="N784" t="s">
        <v>8</v>
      </c>
      <c r="P784">
        <f t="shared" si="1004"/>
        <v>-0.43478260869565227</v>
      </c>
      <c r="Q784">
        <f t="shared" si="1005"/>
        <v>-4999502.3913043486</v>
      </c>
      <c r="R784">
        <f t="shared" si="1006"/>
        <v>-228236354.68874055</v>
      </c>
      <c r="S784">
        <f t="shared" si="1007"/>
        <v>-2282.3635468874054</v>
      </c>
      <c r="T784">
        <f t="shared" si="1008"/>
        <v>-2.2823635468874053</v>
      </c>
    </row>
    <row r="785" spans="1:20" x14ac:dyDescent="0.25">
      <c r="A785" s="5">
        <v>43808</v>
      </c>
      <c r="B785">
        <v>2.1360000000000001E-2</v>
      </c>
      <c r="C785">
        <v>2.2700000000000001E-2</v>
      </c>
      <c r="D785">
        <v>2.1000000000000001E-2</v>
      </c>
      <c r="E785">
        <v>2.1000000000000001E-2</v>
      </c>
      <c r="F785">
        <v>9251082.3000000007</v>
      </c>
      <c r="G785">
        <v>0</v>
      </c>
      <c r="L785" t="s">
        <v>8</v>
      </c>
      <c r="M785" t="s">
        <v>8</v>
      </c>
      <c r="N785" t="s">
        <v>8</v>
      </c>
      <c r="P785">
        <f t="shared" si="1004"/>
        <v>-1</v>
      </c>
      <c r="Q785">
        <f t="shared" si="1005"/>
        <v>-9251082.3000000007</v>
      </c>
      <c r="R785">
        <f t="shared" si="1006"/>
        <v>-223236852.29743621</v>
      </c>
      <c r="S785">
        <f t="shared" si="1007"/>
        <v>-2232.3685229743619</v>
      </c>
      <c r="T785">
        <f t="shared" si="1008"/>
        <v>-2.2323685229743617</v>
      </c>
    </row>
    <row r="786" spans="1:20" x14ac:dyDescent="0.25">
      <c r="A786" s="5">
        <v>43807</v>
      </c>
      <c r="B786">
        <v>2.0979999999999999E-2</v>
      </c>
      <c r="C786">
        <v>2.181E-2</v>
      </c>
      <c r="D786">
        <v>2.052E-2</v>
      </c>
      <c r="E786">
        <v>2.1430000000000001E-2</v>
      </c>
      <c r="F786">
        <v>5304927.4000000004</v>
      </c>
      <c r="G786">
        <v>0</v>
      </c>
      <c r="L786" t="s">
        <v>7</v>
      </c>
      <c r="M786" t="s">
        <v>8</v>
      </c>
      <c r="N786" t="s">
        <v>8</v>
      </c>
      <c r="P786">
        <f t="shared" si="1004"/>
        <v>0.4108527131782968</v>
      </c>
      <c r="Q786">
        <f t="shared" si="1005"/>
        <v>2179543.8155038878</v>
      </c>
      <c r="R786">
        <f t="shared" si="1006"/>
        <v>-213985769.9974362</v>
      </c>
      <c r="S786">
        <f t="shared" si="1007"/>
        <v>-2139.8576999743618</v>
      </c>
      <c r="T786">
        <f t="shared" si="1008"/>
        <v>-2.1398576999743617</v>
      </c>
    </row>
    <row r="787" spans="1:20" x14ac:dyDescent="0.25">
      <c r="A787" s="5">
        <v>43806</v>
      </c>
      <c r="B787">
        <v>2.085E-2</v>
      </c>
      <c r="C787">
        <v>2.1479999999999999E-2</v>
      </c>
      <c r="D787">
        <v>2.0709999999999999E-2</v>
      </c>
      <c r="E787">
        <v>2.102E-2</v>
      </c>
      <c r="F787">
        <v>3192332.3</v>
      </c>
      <c r="G787">
        <v>0</v>
      </c>
      <c r="L787" t="s">
        <v>7</v>
      </c>
      <c r="M787" t="s">
        <v>8</v>
      </c>
      <c r="N787" t="s">
        <v>8</v>
      </c>
      <c r="P787">
        <f t="shared" si="1004"/>
        <v>-0.1948051948051914</v>
      </c>
      <c r="Q787">
        <f t="shared" si="1005"/>
        <v>-621882.91558440472</v>
      </c>
      <c r="R787">
        <f t="shared" si="1006"/>
        <v>-216165313.81294009</v>
      </c>
      <c r="S787">
        <f t="shared" si="1007"/>
        <v>-2161.6531381294008</v>
      </c>
      <c r="T787">
        <f t="shared" si="1008"/>
        <v>-2.1616531381294006</v>
      </c>
    </row>
    <row r="788" spans="1:20" x14ac:dyDescent="0.25">
      <c r="A788" s="5">
        <v>43805</v>
      </c>
      <c r="B788">
        <v>2.06E-2</v>
      </c>
      <c r="C788">
        <v>2.1559999999999999E-2</v>
      </c>
      <c r="D788">
        <v>2.0330000000000001E-2</v>
      </c>
      <c r="E788">
        <v>2.068E-2</v>
      </c>
      <c r="F788">
        <v>3420126.6</v>
      </c>
      <c r="G788">
        <v>0</v>
      </c>
      <c r="L788" t="s">
        <v>7</v>
      </c>
      <c r="M788" t="s">
        <v>8</v>
      </c>
      <c r="N788" t="s">
        <v>8</v>
      </c>
      <c r="P788">
        <f t="shared" si="1004"/>
        <v>-0.43089430894308933</v>
      </c>
      <c r="Q788">
        <f t="shared" si="1005"/>
        <v>-1473713.0878048777</v>
      </c>
      <c r="R788">
        <f t="shared" si="1006"/>
        <v>-215543430.89735568</v>
      </c>
      <c r="S788">
        <f t="shared" si="1007"/>
        <v>-2155.4343089735567</v>
      </c>
      <c r="T788">
        <f t="shared" si="1008"/>
        <v>-2.1554343089735566</v>
      </c>
    </row>
    <row r="789" spans="1:20" x14ac:dyDescent="0.25">
      <c r="A789" s="5">
        <v>43804</v>
      </c>
      <c r="B789">
        <v>2.0840000000000001E-2</v>
      </c>
      <c r="C789">
        <v>2.1170000000000001E-2</v>
      </c>
      <c r="D789">
        <v>2.0279999999999999E-2</v>
      </c>
      <c r="E789">
        <v>2.0650000000000002E-2</v>
      </c>
      <c r="F789">
        <v>3115352.1</v>
      </c>
      <c r="G789">
        <v>0</v>
      </c>
      <c r="L789" t="s">
        <v>7</v>
      </c>
      <c r="M789" t="s">
        <v>8</v>
      </c>
      <c r="N789" t="s">
        <v>8</v>
      </c>
      <c r="P789">
        <f t="shared" si="1004"/>
        <v>-0.16853932584269329</v>
      </c>
      <c r="Q789">
        <f t="shared" si="1005"/>
        <v>-525059.34269661887</v>
      </c>
      <c r="R789">
        <f t="shared" si="1006"/>
        <v>-214069717.80955079</v>
      </c>
      <c r="S789">
        <f t="shared" si="1007"/>
        <v>-2140.6971780955078</v>
      </c>
      <c r="T789">
        <f t="shared" si="1008"/>
        <v>-2.140697178095508</v>
      </c>
    </row>
    <row r="790" spans="1:20" x14ac:dyDescent="0.25">
      <c r="A790" s="5">
        <v>43803</v>
      </c>
      <c r="B790">
        <v>2.274E-2</v>
      </c>
      <c r="C790">
        <v>2.2950000000000002E-2</v>
      </c>
      <c r="D790">
        <v>2.078E-2</v>
      </c>
      <c r="E790">
        <v>2.0879999999999999E-2</v>
      </c>
      <c r="F790">
        <v>8168313.0999999996</v>
      </c>
      <c r="G790">
        <v>0</v>
      </c>
      <c r="L790" t="s">
        <v>7</v>
      </c>
      <c r="M790" t="s">
        <v>8</v>
      </c>
      <c r="N790" t="s">
        <v>8</v>
      </c>
      <c r="P790">
        <f t="shared" si="1004"/>
        <v>-0.9078341013824891</v>
      </c>
      <c r="Q790">
        <f t="shared" si="1005"/>
        <v>-7415473.1829493139</v>
      </c>
      <c r="R790">
        <f t="shared" si="1006"/>
        <v>-213544658.46685418</v>
      </c>
      <c r="S790">
        <f t="shared" si="1007"/>
        <v>-2135.4465846685421</v>
      </c>
      <c r="T790">
        <f t="shared" si="1008"/>
        <v>-2.135446584668542</v>
      </c>
    </row>
    <row r="791" spans="1:20" x14ac:dyDescent="0.25">
      <c r="A791" s="5">
        <v>43802</v>
      </c>
      <c r="B791">
        <v>2.0660000000000001E-2</v>
      </c>
      <c r="C791">
        <v>2.3439999999999999E-2</v>
      </c>
      <c r="D791">
        <v>2.0250000000000001E-2</v>
      </c>
      <c r="E791">
        <v>2.2669999999999999E-2</v>
      </c>
      <c r="F791">
        <v>9330181.5</v>
      </c>
      <c r="G791">
        <v>0</v>
      </c>
      <c r="L791" t="s">
        <v>8</v>
      </c>
      <c r="M791" t="s">
        <v>8</v>
      </c>
      <c r="N791" t="s">
        <v>8</v>
      </c>
      <c r="P791">
        <f t="shared" si="1004"/>
        <v>0.51724137931034464</v>
      </c>
      <c r="Q791">
        <f t="shared" si="1005"/>
        <v>4825955.9482758604</v>
      </c>
      <c r="R791">
        <f t="shared" si="1006"/>
        <v>-206129185.28390488</v>
      </c>
      <c r="S791">
        <f t="shared" si="1007"/>
        <v>-2061.2918528390487</v>
      </c>
      <c r="T791">
        <f t="shared" si="1008"/>
        <v>-2.0612918528390489</v>
      </c>
    </row>
    <row r="792" spans="1:20" x14ac:dyDescent="0.25">
      <c r="A792" s="5">
        <v>43801</v>
      </c>
      <c r="B792">
        <v>2.1309999999999999E-2</v>
      </c>
      <c r="C792">
        <v>2.146E-2</v>
      </c>
      <c r="D792">
        <v>2.0420000000000001E-2</v>
      </c>
      <c r="E792">
        <v>2.0559999999999998E-2</v>
      </c>
      <c r="F792">
        <v>3916105.5</v>
      </c>
      <c r="G792">
        <v>0</v>
      </c>
      <c r="L792" t="s">
        <v>8</v>
      </c>
      <c r="M792" t="s">
        <v>8</v>
      </c>
      <c r="N792" t="s">
        <v>8</v>
      </c>
      <c r="P792">
        <f t="shared" si="1004"/>
        <v>-0.73076923076923483</v>
      </c>
      <c r="Q792">
        <f t="shared" si="1005"/>
        <v>-2861769.4038461698</v>
      </c>
      <c r="R792">
        <f t="shared" si="1006"/>
        <v>-210955141.23218074</v>
      </c>
      <c r="S792">
        <f t="shared" si="1007"/>
        <v>-2109.5514123218072</v>
      </c>
      <c r="T792">
        <f t="shared" si="1008"/>
        <v>-2.1095514123218071</v>
      </c>
    </row>
    <row r="793" spans="1:20" x14ac:dyDescent="0.25">
      <c r="A793" s="5">
        <v>43800</v>
      </c>
      <c r="B793">
        <v>2.2020000000000001E-2</v>
      </c>
      <c r="C793">
        <v>2.2020000000000001E-2</v>
      </c>
      <c r="D793">
        <v>2.018E-2</v>
      </c>
      <c r="E793">
        <v>2.1270000000000001E-2</v>
      </c>
      <c r="F793">
        <v>6601529.7999999998</v>
      </c>
      <c r="G793">
        <v>0</v>
      </c>
      <c r="L793" t="s">
        <v>7</v>
      </c>
      <c r="M793" t="s">
        <v>8</v>
      </c>
      <c r="N793" t="s">
        <v>8</v>
      </c>
      <c r="P793">
        <f t="shared" si="1004"/>
        <v>0.18478260869565205</v>
      </c>
      <c r="Q793">
        <f t="shared" si="1005"/>
        <v>1219847.897826086</v>
      </c>
      <c r="R793">
        <f t="shared" si="1006"/>
        <v>-208093371.82833457</v>
      </c>
      <c r="S793">
        <f t="shared" si="1007"/>
        <v>-2080.9337182833456</v>
      </c>
      <c r="T793">
        <f t="shared" si="1008"/>
        <v>-2.0809337182833456</v>
      </c>
    </row>
    <row r="794" spans="1:20" x14ac:dyDescent="0.25">
      <c r="A794" s="5">
        <v>43799</v>
      </c>
      <c r="B794">
        <v>2.3709999999999998E-2</v>
      </c>
      <c r="C794">
        <v>2.4080000000000001E-2</v>
      </c>
      <c r="D794">
        <v>2.164E-2</v>
      </c>
      <c r="E794">
        <v>2.2020000000000001E-2</v>
      </c>
      <c r="F794">
        <v>7090970.5999999996</v>
      </c>
      <c r="G794">
        <v>0</v>
      </c>
      <c r="L794" t="s">
        <v>7</v>
      </c>
      <c r="M794" t="s">
        <v>8</v>
      </c>
      <c r="N794" t="s">
        <v>8</v>
      </c>
      <c r="P794">
        <f t="shared" si="1004"/>
        <v>-0.68852459016393308</v>
      </c>
      <c r="Q794">
        <f t="shared" si="1005"/>
        <v>-4882307.6262294985</v>
      </c>
      <c r="R794">
        <f t="shared" si="1006"/>
        <v>-209313219.72616065</v>
      </c>
      <c r="S794">
        <f t="shared" si="1007"/>
        <v>-2093.1321972616065</v>
      </c>
      <c r="T794">
        <f t="shared" si="1008"/>
        <v>-2.0931321972616064</v>
      </c>
    </row>
    <row r="795" spans="1:20" x14ac:dyDescent="0.25">
      <c r="A795" s="5">
        <v>43798</v>
      </c>
      <c r="B795">
        <v>2.111E-2</v>
      </c>
      <c r="C795">
        <v>2.418E-2</v>
      </c>
      <c r="D795">
        <v>2.1080000000000002E-2</v>
      </c>
      <c r="E795">
        <v>2.3689999999999999E-2</v>
      </c>
      <c r="F795">
        <v>9132498.6999999993</v>
      </c>
      <c r="G795">
        <v>0</v>
      </c>
      <c r="L795" t="s">
        <v>8</v>
      </c>
      <c r="M795" t="s">
        <v>8</v>
      </c>
      <c r="N795" t="s">
        <v>8</v>
      </c>
      <c r="P795">
        <f t="shared" si="1004"/>
        <v>0.68387096774193479</v>
      </c>
      <c r="Q795">
        <f t="shared" si="1005"/>
        <v>6245450.723870961</v>
      </c>
      <c r="R795">
        <f t="shared" si="1006"/>
        <v>-204430912.09993115</v>
      </c>
      <c r="S795">
        <f t="shared" si="1007"/>
        <v>-2044.3091209993115</v>
      </c>
      <c r="T795">
        <f t="shared" si="1008"/>
        <v>-2.0443091209993116</v>
      </c>
    </row>
    <row r="796" spans="1:20" x14ac:dyDescent="0.25">
      <c r="A796" s="5">
        <v>43797</v>
      </c>
      <c r="B796">
        <v>2.155E-2</v>
      </c>
      <c r="C796">
        <v>2.2100000000000002E-2</v>
      </c>
      <c r="D796">
        <v>2.1080000000000002E-2</v>
      </c>
      <c r="E796">
        <v>2.1100000000000001E-2</v>
      </c>
      <c r="F796">
        <v>5306395.7</v>
      </c>
      <c r="G796">
        <v>0</v>
      </c>
      <c r="L796" t="s">
        <v>8</v>
      </c>
      <c r="M796" t="s">
        <v>8</v>
      </c>
      <c r="N796" t="s">
        <v>8</v>
      </c>
      <c r="P796">
        <f t="shared" si="1004"/>
        <v>-0.96078431372549178</v>
      </c>
      <c r="Q796">
        <f t="shared" si="1005"/>
        <v>-5098301.7509804005</v>
      </c>
      <c r="R796">
        <f t="shared" si="1006"/>
        <v>-210676362.82380211</v>
      </c>
      <c r="S796">
        <f t="shared" si="1007"/>
        <v>-2106.7636282380213</v>
      </c>
      <c r="T796">
        <f t="shared" si="1008"/>
        <v>-2.1067636282380211</v>
      </c>
    </row>
    <row r="797" spans="1:20" x14ac:dyDescent="0.25">
      <c r="A797" s="5">
        <v>43796</v>
      </c>
      <c r="B797">
        <v>2.104E-2</v>
      </c>
      <c r="C797">
        <v>2.2499999999999999E-2</v>
      </c>
      <c r="D797">
        <v>1.933E-2</v>
      </c>
      <c r="E797">
        <v>2.145E-2</v>
      </c>
      <c r="F797">
        <v>16114149.199999999</v>
      </c>
      <c r="G797">
        <v>0</v>
      </c>
      <c r="L797" t="s">
        <v>8</v>
      </c>
      <c r="M797" t="s">
        <v>8</v>
      </c>
      <c r="N797" t="s">
        <v>8</v>
      </c>
      <c r="P797">
        <f t="shared" si="1004"/>
        <v>0.33753943217665672</v>
      </c>
      <c r="Q797">
        <f t="shared" si="1005"/>
        <v>5439160.7709779264</v>
      </c>
      <c r="R797">
        <f t="shared" si="1006"/>
        <v>-205578061.07282171</v>
      </c>
      <c r="S797">
        <f t="shared" si="1007"/>
        <v>-2055.7806107282172</v>
      </c>
      <c r="T797">
        <f t="shared" si="1008"/>
        <v>-2.0557806107282173</v>
      </c>
    </row>
    <row r="798" spans="1:20" x14ac:dyDescent="0.25">
      <c r="A798" s="5">
        <v>43795</v>
      </c>
      <c r="B798">
        <v>2.017E-2</v>
      </c>
      <c r="C798">
        <v>2.1850000000000001E-2</v>
      </c>
      <c r="D798">
        <v>1.9689999999999999E-2</v>
      </c>
      <c r="E798">
        <v>2.1129999999999999E-2</v>
      </c>
      <c r="F798">
        <v>13241015.1</v>
      </c>
      <c r="G798">
        <v>0</v>
      </c>
      <c r="L798" t="s">
        <v>8</v>
      </c>
      <c r="M798" t="s">
        <v>8</v>
      </c>
      <c r="N798" t="s">
        <v>7</v>
      </c>
      <c r="P798">
        <f t="shared" si="1004"/>
        <v>0.33333333333333226</v>
      </c>
      <c r="Q798">
        <f t="shared" si="1005"/>
        <v>4413671.6999999853</v>
      </c>
      <c r="R798">
        <f t="shared" si="1006"/>
        <v>-211017221.84379962</v>
      </c>
      <c r="S798">
        <f t="shared" si="1007"/>
        <v>-2110.1722184379964</v>
      </c>
      <c r="T798">
        <f t="shared" si="1008"/>
        <v>-2.1101722184379965</v>
      </c>
    </row>
    <row r="799" spans="1:20" x14ac:dyDescent="0.25">
      <c r="A799" s="5">
        <v>43794</v>
      </c>
      <c r="B799">
        <v>1.8839999999999999E-2</v>
      </c>
      <c r="C799">
        <v>2.0979999999999999E-2</v>
      </c>
      <c r="D799">
        <v>1.6389999999999998E-2</v>
      </c>
      <c r="E799">
        <v>0.02</v>
      </c>
      <c r="F799">
        <v>9437466.5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0.5729847494553385</v>
      </c>
      <c r="Q799">
        <f t="shared" si="1005"/>
        <v>5407524.3779956503</v>
      </c>
      <c r="R799">
        <f t="shared" si="1006"/>
        <v>-215430893.54379961</v>
      </c>
      <c r="S799">
        <f t="shared" si="1007"/>
        <v>-2154.3089354379963</v>
      </c>
      <c r="T799">
        <f t="shared" si="1008"/>
        <v>-2.1543089354379963</v>
      </c>
    </row>
    <row r="800" spans="1:20" x14ac:dyDescent="0.25">
      <c r="A800" s="5">
        <v>43793</v>
      </c>
      <c r="B800">
        <v>2.0820000000000002E-2</v>
      </c>
      <c r="C800">
        <v>2.1129999999999999E-2</v>
      </c>
      <c r="D800">
        <v>1.8599999999999998E-2</v>
      </c>
      <c r="E800">
        <v>1.8780000000000002E-2</v>
      </c>
      <c r="F800">
        <v>4050414.2</v>
      </c>
      <c r="G800">
        <v>0</v>
      </c>
      <c r="L800" t="s">
        <v>7</v>
      </c>
      <c r="M800" t="s">
        <v>8</v>
      </c>
      <c r="N800" t="s">
        <v>7</v>
      </c>
      <c r="P800">
        <f t="shared" si="1004"/>
        <v>-0.85770750988142053</v>
      </c>
      <c r="Q800">
        <f t="shared" si="1005"/>
        <v>-3474070.677470346</v>
      </c>
      <c r="R800">
        <f t="shared" si="1006"/>
        <v>-220838417.92179525</v>
      </c>
      <c r="S800">
        <f t="shared" si="1007"/>
        <v>-2208.3841792179524</v>
      </c>
      <c r="T800">
        <f t="shared" si="1008"/>
        <v>-2.2083841792179522</v>
      </c>
    </row>
    <row r="801" spans="1:20" x14ac:dyDescent="0.25">
      <c r="A801" s="5">
        <v>43792</v>
      </c>
      <c r="B801">
        <v>1.9720000000000001E-2</v>
      </c>
      <c r="C801">
        <v>2.1329999999999998E-2</v>
      </c>
      <c r="D801">
        <v>1.941E-2</v>
      </c>
      <c r="E801">
        <v>2.0889999999999999E-2</v>
      </c>
      <c r="F801">
        <v>5364521.2</v>
      </c>
      <c r="G801">
        <v>0</v>
      </c>
      <c r="L801" t="s">
        <v>8</v>
      </c>
      <c r="M801" t="s">
        <v>8</v>
      </c>
      <c r="N801" t="s">
        <v>7</v>
      </c>
      <c r="P801">
        <f t="shared" si="1004"/>
        <v>0.54166666666666685</v>
      </c>
      <c r="Q801">
        <f t="shared" si="1005"/>
        <v>2905782.3166666678</v>
      </c>
      <c r="R801">
        <f t="shared" si="1006"/>
        <v>-217364347.24432489</v>
      </c>
      <c r="S801">
        <f t="shared" si="1007"/>
        <v>-2173.6434724432488</v>
      </c>
      <c r="T801">
        <f t="shared" si="1008"/>
        <v>-2.1736434724432487</v>
      </c>
    </row>
    <row r="802" spans="1:20" x14ac:dyDescent="0.25">
      <c r="A802" s="5">
        <v>43791</v>
      </c>
      <c r="B802">
        <v>2.2089999999999999E-2</v>
      </c>
      <c r="C802">
        <v>2.3009999999999999E-2</v>
      </c>
      <c r="D802">
        <v>1.813E-2</v>
      </c>
      <c r="E802">
        <v>1.968E-2</v>
      </c>
      <c r="F802">
        <v>7290797.9000000004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-0.36475409836065587</v>
      </c>
      <c r="Q802">
        <f t="shared" si="1005"/>
        <v>-2659348.4143442633</v>
      </c>
      <c r="R802">
        <f t="shared" si="1006"/>
        <v>-220270129.56099156</v>
      </c>
      <c r="S802">
        <f t="shared" si="1007"/>
        <v>-2202.7012956099156</v>
      </c>
      <c r="T802">
        <f t="shared" si="1008"/>
        <v>-2.2027012956099155</v>
      </c>
    </row>
    <row r="803" spans="1:20" x14ac:dyDescent="0.25">
      <c r="A803" s="5">
        <v>43790</v>
      </c>
      <c r="B803">
        <v>2.444E-2</v>
      </c>
      <c r="C803">
        <v>2.4500000000000001E-2</v>
      </c>
      <c r="D803">
        <v>2.1430000000000001E-2</v>
      </c>
      <c r="E803">
        <v>2.2079999999999999E-2</v>
      </c>
      <c r="F803">
        <v>8566009.9000000004</v>
      </c>
      <c r="G803">
        <v>0</v>
      </c>
      <c r="L803" t="s">
        <v>7</v>
      </c>
      <c r="M803" t="s">
        <v>7</v>
      </c>
      <c r="N803" t="s">
        <v>7</v>
      </c>
      <c r="P803">
        <f t="shared" si="1004"/>
        <v>-0.57654723127035967</v>
      </c>
      <c r="Q803">
        <f t="shared" si="1005"/>
        <v>-4938709.2908794908</v>
      </c>
      <c r="R803">
        <f t="shared" si="1006"/>
        <v>-217610781.1466473</v>
      </c>
      <c r="S803">
        <f t="shared" si="1007"/>
        <v>-2176.1078114664729</v>
      </c>
      <c r="T803">
        <f t="shared" si="1008"/>
        <v>-2.1761078114664727</v>
      </c>
    </row>
    <row r="804" spans="1:20" x14ac:dyDescent="0.25">
      <c r="A804" s="5">
        <v>43789</v>
      </c>
      <c r="B804">
        <v>2.528E-2</v>
      </c>
      <c r="C804">
        <v>2.5360000000000001E-2</v>
      </c>
      <c r="D804">
        <v>2.4379999999999999E-2</v>
      </c>
      <c r="E804">
        <v>2.4459999999999999E-2</v>
      </c>
      <c r="F804">
        <v>3067055.6</v>
      </c>
      <c r="G804">
        <v>0</v>
      </c>
      <c r="L804" t="s">
        <v>7</v>
      </c>
      <c r="M804" t="s">
        <v>7</v>
      </c>
      <c r="N804" t="s">
        <v>7</v>
      </c>
      <c r="P804">
        <f t="shared" si="1004"/>
        <v>-0.83673469387755084</v>
      </c>
      <c r="Q804">
        <f t="shared" si="1005"/>
        <v>-2566311.8285714281</v>
      </c>
      <c r="R804">
        <f t="shared" si="1006"/>
        <v>-212672071.85576782</v>
      </c>
      <c r="S804">
        <f t="shared" si="1007"/>
        <v>-2126.7207185576781</v>
      </c>
      <c r="T804">
        <f t="shared" si="1008"/>
        <v>-2.126720718557678</v>
      </c>
    </row>
    <row r="805" spans="1:20" x14ac:dyDescent="0.25">
      <c r="A805" s="5">
        <v>43788</v>
      </c>
      <c r="B805">
        <v>2.5899999999999999E-2</v>
      </c>
      <c r="C805">
        <v>2.6380000000000001E-2</v>
      </c>
      <c r="D805">
        <v>2.4760000000000001E-2</v>
      </c>
      <c r="E805">
        <v>2.5350000000000001E-2</v>
      </c>
      <c r="F805">
        <v>4629921.9000000004</v>
      </c>
      <c r="G805">
        <v>0</v>
      </c>
      <c r="L805" t="s">
        <v>7</v>
      </c>
      <c r="M805" t="s">
        <v>7</v>
      </c>
      <c r="N805" t="s">
        <v>7</v>
      </c>
      <c r="P805">
        <f t="shared" si="1004"/>
        <v>-0.27160493827160459</v>
      </c>
      <c r="Q805">
        <f t="shared" si="1005"/>
        <v>-1257509.6518518503</v>
      </c>
      <c r="R805">
        <f t="shared" si="1006"/>
        <v>-210105760.02719638</v>
      </c>
      <c r="S805">
        <f t="shared" si="1007"/>
        <v>-2101.0576002719636</v>
      </c>
      <c r="T805">
        <f t="shared" si="1008"/>
        <v>-2.1010576002719636</v>
      </c>
    </row>
    <row r="806" spans="1:20" x14ac:dyDescent="0.25">
      <c r="A806" s="5">
        <v>43787</v>
      </c>
      <c r="B806">
        <v>2.819E-2</v>
      </c>
      <c r="C806">
        <v>2.819E-2</v>
      </c>
      <c r="D806">
        <v>2.5760000000000002E-2</v>
      </c>
      <c r="E806">
        <v>2.5870000000000001E-2</v>
      </c>
      <c r="F806">
        <v>6750182.0999999996</v>
      </c>
      <c r="G806">
        <v>0</v>
      </c>
      <c r="L806" t="s">
        <v>7</v>
      </c>
      <c r="M806" t="s">
        <v>7</v>
      </c>
      <c r="N806" t="s">
        <v>7</v>
      </c>
      <c r="P806">
        <f t="shared" si="1004"/>
        <v>-0.90946502057613243</v>
      </c>
      <c r="Q806">
        <f t="shared" si="1005"/>
        <v>-6139054.5024691401</v>
      </c>
      <c r="R806">
        <f t="shared" si="1006"/>
        <v>-208848250.37534451</v>
      </c>
      <c r="S806">
        <f t="shared" si="1007"/>
        <v>-2088.4825037534451</v>
      </c>
      <c r="T806">
        <f t="shared" si="1008"/>
        <v>-2.0884825037534451</v>
      </c>
    </row>
    <row r="807" spans="1:20" x14ac:dyDescent="0.25">
      <c r="A807" s="5">
        <v>43786</v>
      </c>
      <c r="B807">
        <v>2.8219999999999999E-2</v>
      </c>
      <c r="C807">
        <v>2.8879999999999999E-2</v>
      </c>
      <c r="D807">
        <v>2.7890000000000002E-2</v>
      </c>
      <c r="E807">
        <v>2.8160000000000001E-2</v>
      </c>
      <c r="F807">
        <v>2737600.6</v>
      </c>
      <c r="G807">
        <v>0</v>
      </c>
      <c r="L807" t="s">
        <v>8</v>
      </c>
      <c r="M807" t="s">
        <v>7</v>
      </c>
      <c r="N807" t="s">
        <v>7</v>
      </c>
      <c r="P807">
        <f t="shared" si="1004"/>
        <v>-0.45454545454545453</v>
      </c>
      <c r="Q807">
        <f t="shared" si="1005"/>
        <v>-1244363.9090909092</v>
      </c>
      <c r="R807">
        <f t="shared" si="1006"/>
        <v>-202709195.87287536</v>
      </c>
      <c r="S807">
        <f t="shared" si="1007"/>
        <v>-2027.0919587287535</v>
      </c>
      <c r="T807">
        <f t="shared" si="1008"/>
        <v>-2.0270919587287537</v>
      </c>
    </row>
    <row r="808" spans="1:20" x14ac:dyDescent="0.25">
      <c r="A808" s="5">
        <v>43785</v>
      </c>
      <c r="B808">
        <v>2.8170000000000001E-2</v>
      </c>
      <c r="C808">
        <v>2.8420000000000001E-2</v>
      </c>
      <c r="D808">
        <v>2.7220000000000001E-2</v>
      </c>
      <c r="E808">
        <v>2.8330000000000001E-2</v>
      </c>
      <c r="F808">
        <v>5271005.4000000004</v>
      </c>
      <c r="G808">
        <v>0</v>
      </c>
      <c r="L808" t="s">
        <v>7</v>
      </c>
      <c r="M808" t="s">
        <v>7</v>
      </c>
      <c r="N808" t="s">
        <v>7</v>
      </c>
      <c r="P808">
        <f t="shared" si="1004"/>
        <v>0.85000000000000031</v>
      </c>
      <c r="Q808">
        <f t="shared" si="1005"/>
        <v>4480354.5900000017</v>
      </c>
      <c r="R808">
        <f t="shared" si="1006"/>
        <v>-201464831.96378446</v>
      </c>
      <c r="S808">
        <f t="shared" si="1007"/>
        <v>-2014.6483196378445</v>
      </c>
      <c r="T808">
        <f t="shared" si="1008"/>
        <v>-2.0146483196378444</v>
      </c>
    </row>
    <row r="809" spans="1:20" x14ac:dyDescent="0.25">
      <c r="A809" s="5">
        <v>43784</v>
      </c>
      <c r="B809">
        <v>2.9229999999999999E-2</v>
      </c>
      <c r="C809">
        <v>2.9960000000000001E-2</v>
      </c>
      <c r="D809">
        <v>2.7119999999999998E-2</v>
      </c>
      <c r="E809">
        <v>2.8070000000000001E-2</v>
      </c>
      <c r="F809">
        <v>13112454.699999999</v>
      </c>
      <c r="G809">
        <v>0</v>
      </c>
      <c r="L809" t="s">
        <v>7</v>
      </c>
      <c r="M809" t="s">
        <v>7</v>
      </c>
      <c r="N809" t="s">
        <v>7</v>
      </c>
      <c r="P809">
        <f t="shared" si="1004"/>
        <v>-0.3309859154929562</v>
      </c>
      <c r="Q809">
        <f t="shared" si="1005"/>
        <v>-4340037.8232394159</v>
      </c>
      <c r="R809">
        <f t="shared" si="1006"/>
        <v>-205945186.55378446</v>
      </c>
      <c r="S809">
        <f t="shared" si="1007"/>
        <v>-2059.4518655378447</v>
      </c>
      <c r="T809">
        <f t="shared" si="1008"/>
        <v>-2.0594518655378447</v>
      </c>
    </row>
    <row r="810" spans="1:20" x14ac:dyDescent="0.25">
      <c r="A810" s="5">
        <v>43783</v>
      </c>
      <c r="B810">
        <v>3.083E-2</v>
      </c>
      <c r="C810">
        <v>3.1759999999999997E-2</v>
      </c>
      <c r="D810">
        <v>2.8709999999999999E-2</v>
      </c>
      <c r="E810">
        <v>2.913E-2</v>
      </c>
      <c r="F810">
        <v>12729710.800000001</v>
      </c>
      <c r="G810">
        <v>0</v>
      </c>
      <c r="L810" t="s">
        <v>7</v>
      </c>
      <c r="M810" t="s">
        <v>7</v>
      </c>
      <c r="N810" t="s">
        <v>7</v>
      </c>
      <c r="P810">
        <f t="shared" si="1004"/>
        <v>-0.72459016393442577</v>
      </c>
      <c r="Q810">
        <f t="shared" si="1005"/>
        <v>-9223823.2354098316</v>
      </c>
      <c r="R810">
        <f t="shared" si="1006"/>
        <v>-201605148.73054504</v>
      </c>
      <c r="S810">
        <f t="shared" si="1007"/>
        <v>-2016.0514873054503</v>
      </c>
      <c r="T810">
        <f t="shared" si="1008"/>
        <v>-2.0160514873054503</v>
      </c>
    </row>
    <row r="811" spans="1:20" x14ac:dyDescent="0.25">
      <c r="A811" s="5">
        <v>43782</v>
      </c>
      <c r="B811">
        <v>2.9340000000000001E-2</v>
      </c>
      <c r="C811">
        <v>3.1809999999999998E-2</v>
      </c>
      <c r="D811">
        <v>2.8840000000000001E-2</v>
      </c>
      <c r="E811">
        <v>3.083E-2</v>
      </c>
      <c r="F811">
        <v>16646665.300000001</v>
      </c>
      <c r="G811">
        <v>0</v>
      </c>
      <c r="L811" t="s">
        <v>8</v>
      </c>
      <c r="M811" t="s">
        <v>7</v>
      </c>
      <c r="N811" t="s">
        <v>7</v>
      </c>
      <c r="P811">
        <f t="shared" si="1004"/>
        <v>0.34006734006734057</v>
      </c>
      <c r="Q811">
        <f t="shared" si="1005"/>
        <v>5660987.1895622984</v>
      </c>
      <c r="R811">
        <f t="shared" si="1006"/>
        <v>-192381325.49513522</v>
      </c>
      <c r="S811">
        <f t="shared" si="1007"/>
        <v>-1923.8132549513523</v>
      </c>
      <c r="T811">
        <f t="shared" si="1008"/>
        <v>-1.9238132549513522</v>
      </c>
    </row>
    <row r="812" spans="1:20" x14ac:dyDescent="0.25">
      <c r="A812" s="5">
        <v>43781</v>
      </c>
      <c r="B812">
        <v>2.9309999999999999E-2</v>
      </c>
      <c r="C812">
        <v>2.9610000000000001E-2</v>
      </c>
      <c r="D812">
        <v>2.767E-2</v>
      </c>
      <c r="E812">
        <v>2.9340000000000001E-2</v>
      </c>
      <c r="F812">
        <v>7605361.7000000002</v>
      </c>
      <c r="G812">
        <v>0</v>
      </c>
      <c r="L812" t="s">
        <v>8</v>
      </c>
      <c r="M812" t="s">
        <v>7</v>
      </c>
      <c r="N812" t="s">
        <v>7</v>
      </c>
      <c r="P812">
        <f t="shared" si="1004"/>
        <v>0.72164948453608324</v>
      </c>
      <c r="Q812">
        <f t="shared" si="1005"/>
        <v>5488405.3505154699</v>
      </c>
      <c r="R812">
        <f t="shared" si="1006"/>
        <v>-198042312.68469751</v>
      </c>
      <c r="S812">
        <f t="shared" si="1007"/>
        <v>-1980.423126846975</v>
      </c>
      <c r="T812">
        <f t="shared" si="1008"/>
        <v>-1.980423126846975</v>
      </c>
    </row>
    <row r="813" spans="1:20" x14ac:dyDescent="0.25">
      <c r="A813" s="5">
        <v>43780</v>
      </c>
      <c r="B813">
        <v>2.9440000000000001E-2</v>
      </c>
      <c r="C813">
        <v>2.989E-2</v>
      </c>
      <c r="D813">
        <v>2.7310000000000001E-2</v>
      </c>
      <c r="E813">
        <v>2.9360000000000001E-2</v>
      </c>
      <c r="F813">
        <v>10368273.199999999</v>
      </c>
      <c r="G813">
        <v>0</v>
      </c>
      <c r="L813" t="s">
        <v>7</v>
      </c>
      <c r="M813" t="s">
        <v>7</v>
      </c>
      <c r="N813" t="s">
        <v>7</v>
      </c>
      <c r="P813">
        <f t="shared" si="1004"/>
        <v>0.58914728682170592</v>
      </c>
      <c r="Q813">
        <f t="shared" si="1005"/>
        <v>6108440.0248062061</v>
      </c>
      <c r="R813">
        <f t="shared" si="1006"/>
        <v>-203530718.03521296</v>
      </c>
      <c r="S813">
        <f t="shared" si="1007"/>
        <v>-2035.3071803521295</v>
      </c>
      <c r="T813">
        <f t="shared" si="1008"/>
        <v>-2.0353071803521297</v>
      </c>
    </row>
    <row r="814" spans="1:20" x14ac:dyDescent="0.25">
      <c r="A814" s="5">
        <v>43779</v>
      </c>
      <c r="B814">
        <v>2.9409999999999999E-2</v>
      </c>
      <c r="C814">
        <v>3.0380000000000001E-2</v>
      </c>
      <c r="D814">
        <v>2.8760000000000001E-2</v>
      </c>
      <c r="E814">
        <v>2.9440000000000001E-2</v>
      </c>
      <c r="F814">
        <v>16224267.699999999</v>
      </c>
      <c r="G814">
        <v>0</v>
      </c>
      <c r="L814" t="s">
        <v>7</v>
      </c>
      <c r="M814" t="s">
        <v>7</v>
      </c>
      <c r="N814" t="s">
        <v>7</v>
      </c>
      <c r="P814">
        <f t="shared" si="1004"/>
        <v>-0.16049382716049373</v>
      </c>
      <c r="Q814">
        <f t="shared" si="1005"/>
        <v>-2603894.8160493812</v>
      </c>
      <c r="R814">
        <f t="shared" si="1006"/>
        <v>-209639158.06001917</v>
      </c>
      <c r="S814">
        <f t="shared" si="1007"/>
        <v>-2096.3915806001914</v>
      </c>
      <c r="T814">
        <f t="shared" si="1008"/>
        <v>-2.0963915806001916</v>
      </c>
    </row>
    <row r="815" spans="1:20" x14ac:dyDescent="0.25">
      <c r="A815" s="5">
        <v>43778</v>
      </c>
      <c r="B815">
        <v>3.0159999999999999E-2</v>
      </c>
      <c r="C815">
        <v>4.3380000000000002E-2</v>
      </c>
      <c r="D815">
        <v>2.8719999999999999E-2</v>
      </c>
      <c r="E815">
        <v>2.9409999999999999E-2</v>
      </c>
      <c r="F815">
        <v>80957331.900000006</v>
      </c>
      <c r="G815">
        <v>0</v>
      </c>
      <c r="L815" t="s">
        <v>8</v>
      </c>
      <c r="M815" t="s">
        <v>8</v>
      </c>
      <c r="N815" t="s">
        <v>8</v>
      </c>
      <c r="P815">
        <f t="shared" si="1004"/>
        <v>-0.90586630286493863</v>
      </c>
      <c r="Q815">
        <f t="shared" si="1005"/>
        <v>-73336518.938062757</v>
      </c>
      <c r="R815">
        <f t="shared" si="1006"/>
        <v>-207035263.2439698</v>
      </c>
      <c r="S815">
        <f t="shared" si="1007"/>
        <v>-2070.352632439698</v>
      </c>
      <c r="T815">
        <f t="shared" si="1008"/>
        <v>-2.0703526324396981</v>
      </c>
    </row>
    <row r="816" spans="1:20" x14ac:dyDescent="0.25">
      <c r="A816" s="5">
        <v>43777</v>
      </c>
      <c r="B816">
        <v>2.86E-2</v>
      </c>
      <c r="C816">
        <v>3.4009999999999999E-2</v>
      </c>
      <c r="D816">
        <v>2.6409999999999999E-2</v>
      </c>
      <c r="E816">
        <v>3.0130000000000001E-2</v>
      </c>
      <c r="F816">
        <v>43659001.5</v>
      </c>
      <c r="G816">
        <v>0</v>
      </c>
      <c r="L816" t="s">
        <v>8</v>
      </c>
      <c r="M816" t="s">
        <v>8</v>
      </c>
      <c r="N816" t="s">
        <v>8</v>
      </c>
      <c r="P816">
        <f t="shared" si="1004"/>
        <v>-2.1052631578946969E-2</v>
      </c>
      <c r="Q816">
        <f t="shared" si="1005"/>
        <v>-919136.87368419312</v>
      </c>
      <c r="R816">
        <f t="shared" si="1006"/>
        <v>-133698744.30590703</v>
      </c>
      <c r="S816">
        <f t="shared" si="1007"/>
        <v>-1336.9874430590703</v>
      </c>
      <c r="T816">
        <f t="shared" si="1008"/>
        <v>-1.3369874430590702</v>
      </c>
    </row>
    <row r="817" spans="1:20" x14ac:dyDescent="0.25">
      <c r="A817" s="5">
        <v>43776</v>
      </c>
      <c r="B817">
        <v>2.8150000000000001E-2</v>
      </c>
      <c r="C817">
        <v>2.8969999999999999E-2</v>
      </c>
      <c r="D817">
        <v>2.6630000000000001E-2</v>
      </c>
      <c r="E817">
        <v>2.8559999999999999E-2</v>
      </c>
      <c r="F817">
        <v>14526599.800000001</v>
      </c>
      <c r="G817">
        <v>0</v>
      </c>
      <c r="L817" t="s">
        <v>7</v>
      </c>
      <c r="M817" t="s">
        <v>7</v>
      </c>
      <c r="N817" t="s">
        <v>8</v>
      </c>
      <c r="P817">
        <f t="shared" si="1004"/>
        <v>0.64957264957264882</v>
      </c>
      <c r="Q817">
        <f t="shared" si="1005"/>
        <v>9436081.9213675112</v>
      </c>
      <c r="R817">
        <f t="shared" si="1006"/>
        <v>-132779607.43222283</v>
      </c>
      <c r="S817">
        <f t="shared" si="1007"/>
        <v>-1327.7960743222284</v>
      </c>
      <c r="T817">
        <f t="shared" si="1008"/>
        <v>-1.3277960743222283</v>
      </c>
    </row>
    <row r="818" spans="1:20" x14ac:dyDescent="0.25">
      <c r="A818" s="5">
        <v>43775</v>
      </c>
      <c r="B818">
        <v>2.8930000000000001E-2</v>
      </c>
      <c r="C818">
        <v>2.9899999999999999E-2</v>
      </c>
      <c r="D818">
        <v>2.8000000000000001E-2</v>
      </c>
      <c r="E818">
        <v>2.819E-2</v>
      </c>
      <c r="F818">
        <v>12302339.9</v>
      </c>
      <c r="G818">
        <v>0</v>
      </c>
      <c r="L818" t="s">
        <v>7</v>
      </c>
      <c r="M818" t="s">
        <v>8</v>
      </c>
      <c r="N818" t="s">
        <v>8</v>
      </c>
      <c r="P818">
        <f t="shared" si="1004"/>
        <v>-0.80000000000000071</v>
      </c>
      <c r="Q818">
        <f t="shared" si="1005"/>
        <v>-9841871.9200000092</v>
      </c>
      <c r="R818">
        <f t="shared" si="1006"/>
        <v>-142215689.35359034</v>
      </c>
      <c r="S818">
        <f t="shared" si="1007"/>
        <v>-1422.1568935359035</v>
      </c>
      <c r="T818">
        <f t="shared" si="1008"/>
        <v>-1.4221568935359035</v>
      </c>
    </row>
    <row r="819" spans="1:20" x14ac:dyDescent="0.25">
      <c r="A819" s="5">
        <v>43774</v>
      </c>
      <c r="B819">
        <v>2.8750000000000001E-2</v>
      </c>
      <c r="C819">
        <v>2.9649999999999999E-2</v>
      </c>
      <c r="D819">
        <v>2.7900000000000001E-2</v>
      </c>
      <c r="E819">
        <v>2.8899999999999999E-2</v>
      </c>
      <c r="F819">
        <v>15366124.699999999</v>
      </c>
      <c r="G819">
        <v>0</v>
      </c>
      <c r="L819" t="s">
        <v>7</v>
      </c>
      <c r="M819" t="s">
        <v>8</v>
      </c>
      <c r="N819" t="s">
        <v>8</v>
      </c>
      <c r="P819">
        <f t="shared" si="1004"/>
        <v>0.14285714285714116</v>
      </c>
      <c r="Q819">
        <f t="shared" si="1005"/>
        <v>2195160.6714285454</v>
      </c>
      <c r="R819">
        <f t="shared" si="1006"/>
        <v>-132373817.43359034</v>
      </c>
      <c r="S819">
        <f t="shared" si="1007"/>
        <v>-1323.7381743359033</v>
      </c>
      <c r="T819">
        <f t="shared" si="1008"/>
        <v>-1.3237381743359034</v>
      </c>
    </row>
    <row r="820" spans="1:20" x14ac:dyDescent="0.25">
      <c r="A820" s="5">
        <v>43773</v>
      </c>
      <c r="B820">
        <v>3.066E-2</v>
      </c>
      <c r="C820">
        <v>3.1649999999999998E-2</v>
      </c>
      <c r="D820">
        <v>2.802E-2</v>
      </c>
      <c r="E820">
        <v>2.8750000000000001E-2</v>
      </c>
      <c r="F820">
        <v>22848036.100000001</v>
      </c>
      <c r="G820">
        <v>0</v>
      </c>
      <c r="L820" t="s">
        <v>7</v>
      </c>
      <c r="M820" t="s">
        <v>8</v>
      </c>
      <c r="N820" t="s">
        <v>8</v>
      </c>
      <c r="P820">
        <f t="shared" si="1004"/>
        <v>-0.59779614325068764</v>
      </c>
      <c r="Q820">
        <f t="shared" si="1005"/>
        <v>-13658467.861432483</v>
      </c>
      <c r="R820">
        <f t="shared" si="1006"/>
        <v>-134568978.10501888</v>
      </c>
      <c r="S820">
        <f t="shared" si="1007"/>
        <v>-1345.6897810501889</v>
      </c>
      <c r="T820">
        <f t="shared" si="1008"/>
        <v>-1.3456897810501889</v>
      </c>
    </row>
    <row r="821" spans="1:20" x14ac:dyDescent="0.25">
      <c r="A821" s="5">
        <v>43772</v>
      </c>
      <c r="B821">
        <v>2.7490000000000001E-2</v>
      </c>
      <c r="C821">
        <v>3.2559999999999999E-2</v>
      </c>
      <c r="D821">
        <v>2.7140000000000001E-2</v>
      </c>
      <c r="E821">
        <v>3.065E-2</v>
      </c>
      <c r="F821">
        <v>61231401.700000003</v>
      </c>
      <c r="G821">
        <v>0</v>
      </c>
      <c r="L821" t="s">
        <v>8</v>
      </c>
      <c r="M821" t="s">
        <v>8</v>
      </c>
      <c r="N821" t="s">
        <v>8</v>
      </c>
      <c r="P821">
        <f t="shared" si="1004"/>
        <v>0.29520295202952057</v>
      </c>
      <c r="Q821">
        <f t="shared" si="1005"/>
        <v>18075690.538745407</v>
      </c>
      <c r="R821">
        <f t="shared" si="1006"/>
        <v>-120910510.24358639</v>
      </c>
      <c r="S821">
        <f t="shared" si="1007"/>
        <v>-1209.105102435864</v>
      </c>
      <c r="T821">
        <f t="shared" si="1008"/>
        <v>-1.2091051024358639</v>
      </c>
    </row>
    <row r="822" spans="1:20" x14ac:dyDescent="0.25">
      <c r="A822" s="5">
        <v>43771</v>
      </c>
      <c r="B822">
        <v>2.6089999999999999E-2</v>
      </c>
      <c r="C822">
        <v>2.793E-2</v>
      </c>
      <c r="D822">
        <v>2.5999999999999999E-2</v>
      </c>
      <c r="E822">
        <v>2.7400000000000001E-2</v>
      </c>
      <c r="F822">
        <v>6479516.4000000004</v>
      </c>
      <c r="G822">
        <v>0</v>
      </c>
      <c r="L822" t="s">
        <v>8</v>
      </c>
      <c r="M822" t="s">
        <v>7</v>
      </c>
      <c r="N822" t="s">
        <v>7</v>
      </c>
      <c r="P822">
        <f t="shared" si="1004"/>
        <v>0.45077720207254002</v>
      </c>
      <c r="Q822">
        <f t="shared" si="1005"/>
        <v>2920818.2735751374</v>
      </c>
      <c r="R822">
        <f t="shared" si="1006"/>
        <v>-138986200.78233179</v>
      </c>
      <c r="S822">
        <f t="shared" si="1007"/>
        <v>-1389.862007823318</v>
      </c>
      <c r="T822">
        <f t="shared" si="1008"/>
        <v>-1.3898620078233179</v>
      </c>
    </row>
    <row r="823" spans="1:20" x14ac:dyDescent="0.25">
      <c r="A823" s="5">
        <v>43770</v>
      </c>
      <c r="B823">
        <v>2.5860000000000001E-2</v>
      </c>
      <c r="C823">
        <v>2.665E-2</v>
      </c>
      <c r="D823">
        <v>2.5690000000000001E-2</v>
      </c>
      <c r="E823">
        <v>2.6079999999999999E-2</v>
      </c>
      <c r="F823">
        <v>4661940.3</v>
      </c>
      <c r="G823">
        <v>0</v>
      </c>
      <c r="L823" t="s">
        <v>7</v>
      </c>
      <c r="M823" t="s">
        <v>7</v>
      </c>
      <c r="N823" t="s">
        <v>7</v>
      </c>
      <c r="P823">
        <f t="shared" si="1004"/>
        <v>-0.18750000000000339</v>
      </c>
      <c r="Q823">
        <f t="shared" si="1005"/>
        <v>-874113.80625001574</v>
      </c>
      <c r="R823">
        <f t="shared" si="1006"/>
        <v>-141907019.05590692</v>
      </c>
      <c r="S823">
        <f t="shared" si="1007"/>
        <v>-1419.0701905590693</v>
      </c>
      <c r="T823">
        <f t="shared" si="1008"/>
        <v>-1.4190701905590692</v>
      </c>
    </row>
    <row r="824" spans="1:20" x14ac:dyDescent="0.25">
      <c r="A824" s="5">
        <v>43769</v>
      </c>
      <c r="B824">
        <v>2.6960000000000001E-2</v>
      </c>
      <c r="C824">
        <v>2.6980000000000001E-2</v>
      </c>
      <c r="D824">
        <v>2.4750000000000001E-2</v>
      </c>
      <c r="E824">
        <v>2.6079999999999999E-2</v>
      </c>
      <c r="F824">
        <v>9583158.5999999996</v>
      </c>
      <c r="G824">
        <v>0</v>
      </c>
      <c r="L824" t="s">
        <v>7</v>
      </c>
      <c r="M824" t="s">
        <v>7</v>
      </c>
      <c r="N824" t="s">
        <v>7</v>
      </c>
      <c r="P824">
        <f t="shared" si="1004"/>
        <v>0.19282511210762174</v>
      </c>
      <c r="Q824">
        <f t="shared" si="1005"/>
        <v>1847873.6313901192</v>
      </c>
      <c r="R824">
        <f t="shared" si="1006"/>
        <v>-141032905.24965692</v>
      </c>
      <c r="S824">
        <f t="shared" si="1007"/>
        <v>-1410.3290524965691</v>
      </c>
      <c r="T824">
        <f t="shared" si="1008"/>
        <v>-1.4103290524965693</v>
      </c>
    </row>
    <row r="825" spans="1:20" x14ac:dyDescent="0.25">
      <c r="A825" s="5">
        <v>43768</v>
      </c>
      <c r="B825">
        <v>2.836E-2</v>
      </c>
      <c r="C825">
        <v>2.8680000000000001E-2</v>
      </c>
      <c r="D825">
        <v>2.6679999999999999E-2</v>
      </c>
      <c r="E825">
        <v>2.682E-2</v>
      </c>
      <c r="F825">
        <v>10230362.4</v>
      </c>
      <c r="G825">
        <v>0</v>
      </c>
      <c r="L825" t="s">
        <v>8</v>
      </c>
      <c r="M825" t="s">
        <v>8</v>
      </c>
      <c r="N825" t="s">
        <v>7</v>
      </c>
      <c r="P825">
        <f t="shared" si="1004"/>
        <v>-0.85999999999999888</v>
      </c>
      <c r="Q825">
        <f t="shared" si="1005"/>
        <v>-8798111.6639999896</v>
      </c>
      <c r="R825">
        <f t="shared" si="1006"/>
        <v>-142880778.88104704</v>
      </c>
      <c r="S825">
        <f t="shared" si="1007"/>
        <v>-1428.8077888104704</v>
      </c>
      <c r="T825">
        <f t="shared" si="1008"/>
        <v>-1.4288077888104704</v>
      </c>
    </row>
    <row r="826" spans="1:20" x14ac:dyDescent="0.25">
      <c r="A826" s="5">
        <v>43767</v>
      </c>
      <c r="B826">
        <v>2.6450000000000001E-2</v>
      </c>
      <c r="C826">
        <v>3.0599999999999999E-2</v>
      </c>
      <c r="D826">
        <v>2.64E-2</v>
      </c>
      <c r="E826">
        <v>2.8559999999999999E-2</v>
      </c>
      <c r="F826">
        <v>21291731.899999999</v>
      </c>
      <c r="G826">
        <v>0</v>
      </c>
      <c r="L826" t="s">
        <v>7</v>
      </c>
      <c r="M826" t="s">
        <v>8</v>
      </c>
      <c r="N826" t="s">
        <v>7</v>
      </c>
      <c r="P826">
        <f t="shared" si="1004"/>
        <v>2.8571428571428241E-2</v>
      </c>
      <c r="Q826">
        <f t="shared" si="1005"/>
        <v>608335.19714285003</v>
      </c>
      <c r="R826">
        <f t="shared" si="1006"/>
        <v>-134082667.21704705</v>
      </c>
      <c r="S826">
        <f t="shared" si="1007"/>
        <v>-1340.8266721704706</v>
      </c>
      <c r="T826">
        <f t="shared" si="1008"/>
        <v>-1.3408266721704707</v>
      </c>
    </row>
    <row r="827" spans="1:20" x14ac:dyDescent="0.25">
      <c r="A827" s="5">
        <v>43766</v>
      </c>
      <c r="B827">
        <v>2.9389999999999999E-2</v>
      </c>
      <c r="C827">
        <v>3.0079999999999999E-2</v>
      </c>
      <c r="D827">
        <v>2.6040000000000001E-2</v>
      </c>
      <c r="E827">
        <v>2.6450000000000001E-2</v>
      </c>
      <c r="F827">
        <v>18296704.300000001</v>
      </c>
      <c r="G827">
        <v>0</v>
      </c>
      <c r="L827" t="s">
        <v>8</v>
      </c>
      <c r="M827" t="s">
        <v>8</v>
      </c>
      <c r="N827" t="s">
        <v>7</v>
      </c>
      <c r="P827">
        <f t="shared" si="1004"/>
        <v>-0.79702970297029663</v>
      </c>
      <c r="Q827">
        <f t="shared" si="1005"/>
        <v>-14583016.793564349</v>
      </c>
      <c r="R827">
        <f t="shared" si="1006"/>
        <v>-134691002.4141899</v>
      </c>
      <c r="S827">
        <f t="shared" si="1007"/>
        <v>-1346.9100241418992</v>
      </c>
      <c r="T827">
        <f t="shared" si="1008"/>
        <v>-1.3469100241418992</v>
      </c>
    </row>
    <row r="828" spans="1:20" x14ac:dyDescent="0.25">
      <c r="A828" s="5">
        <v>43765</v>
      </c>
      <c r="B828">
        <v>2.5729999999999999E-2</v>
      </c>
      <c r="C828">
        <v>3.091E-2</v>
      </c>
      <c r="D828">
        <v>2.4039999999999999E-2</v>
      </c>
      <c r="E828">
        <v>2.93E-2</v>
      </c>
      <c r="F828">
        <v>38169838.600000001</v>
      </c>
      <c r="G828">
        <v>0</v>
      </c>
      <c r="L828" t="s">
        <v>7</v>
      </c>
      <c r="M828" t="s">
        <v>7</v>
      </c>
      <c r="N828" t="s">
        <v>7</v>
      </c>
      <c r="P828">
        <f t="shared" si="1004"/>
        <v>0.53129548762736534</v>
      </c>
      <c r="Q828">
        <f t="shared" si="1005"/>
        <v>20279463.011644833</v>
      </c>
      <c r="R828">
        <f t="shared" si="1006"/>
        <v>-120107985.62062556</v>
      </c>
      <c r="S828">
        <f t="shared" si="1007"/>
        <v>-1201.0798562062555</v>
      </c>
      <c r="T828">
        <f t="shared" si="1008"/>
        <v>-1.2010798562062555</v>
      </c>
    </row>
    <row r="829" spans="1:20" x14ac:dyDescent="0.25">
      <c r="A829" s="5">
        <v>43764</v>
      </c>
      <c r="B829">
        <v>2.8119999999999999E-2</v>
      </c>
      <c r="C829">
        <v>2.9149999999999999E-2</v>
      </c>
      <c r="D829">
        <v>2.5139999999999999E-2</v>
      </c>
      <c r="E829">
        <v>2.5770000000000001E-2</v>
      </c>
      <c r="F829">
        <v>33580583.700000003</v>
      </c>
      <c r="G829">
        <v>0</v>
      </c>
      <c r="L829" t="s">
        <v>7</v>
      </c>
      <c r="M829" t="s">
        <v>7</v>
      </c>
      <c r="N829" t="s">
        <v>7</v>
      </c>
      <c r="P829">
        <f t="shared" si="1004"/>
        <v>-0.68578553615959992</v>
      </c>
      <c r="Q829">
        <f t="shared" si="1005"/>
        <v>-23029078.597256824</v>
      </c>
      <c r="R829">
        <f t="shared" si="1006"/>
        <v>-140387448.6322704</v>
      </c>
      <c r="S829">
        <f t="shared" si="1007"/>
        <v>-1403.8744863227039</v>
      </c>
      <c r="T829">
        <f t="shared" si="1008"/>
        <v>-1.403874486322704</v>
      </c>
    </row>
    <row r="830" spans="1:20" x14ac:dyDescent="0.25">
      <c r="A830" s="5">
        <v>43763</v>
      </c>
      <c r="B830">
        <v>2.8570000000000002E-2</v>
      </c>
      <c r="C830">
        <v>2.878E-2</v>
      </c>
      <c r="D830">
        <v>2.6259999999999999E-2</v>
      </c>
      <c r="E830">
        <v>2.8119999999999999E-2</v>
      </c>
      <c r="F830">
        <v>29593462.5</v>
      </c>
      <c r="G830">
        <v>0</v>
      </c>
      <c r="L830" t="s">
        <v>7</v>
      </c>
      <c r="M830" t="s">
        <v>7</v>
      </c>
      <c r="N830" t="s">
        <v>7</v>
      </c>
      <c r="P830">
        <f t="shared" si="1004"/>
        <v>0.47619047619047578</v>
      </c>
      <c r="Q830">
        <f t="shared" si="1005"/>
        <v>14092124.999999987</v>
      </c>
      <c r="R830">
        <f t="shared" si="1006"/>
        <v>-117358370.03501356</v>
      </c>
      <c r="S830">
        <f t="shared" si="1007"/>
        <v>-1173.5837003501356</v>
      </c>
      <c r="T830">
        <f t="shared" si="1008"/>
        <v>-1.1735837003501355</v>
      </c>
    </row>
    <row r="831" spans="1:20" x14ac:dyDescent="0.25">
      <c r="A831" s="5">
        <v>43762</v>
      </c>
      <c r="B831">
        <v>2.8170000000000001E-2</v>
      </c>
      <c r="C831">
        <v>2.9499999999999998E-2</v>
      </c>
      <c r="D831">
        <v>2.75E-2</v>
      </c>
      <c r="E831">
        <v>2.8559999999999999E-2</v>
      </c>
      <c r="F831">
        <v>7836945.2000000002</v>
      </c>
      <c r="G831">
        <v>0</v>
      </c>
      <c r="L831" t="s">
        <v>8</v>
      </c>
      <c r="M831" t="s">
        <v>7</v>
      </c>
      <c r="N831" t="s">
        <v>7</v>
      </c>
      <c r="P831">
        <f t="shared" ref="P831:P844" si="1009">IF(C831=D831,0,((E831-D831)-(C831-E831))/(C831-D831))</f>
        <v>5.9999999999999339E-2</v>
      </c>
      <c r="Q831">
        <f t="shared" ref="Q831:Q844" si="1010">F831*P831</f>
        <v>470216.71199999482</v>
      </c>
      <c r="R831">
        <f t="shared" ref="R831:R844" si="1011">R832+Q831</f>
        <v>-131450495.03501354</v>
      </c>
      <c r="S831">
        <f t="shared" ref="S831:S844" si="1012">R831/100000</f>
        <v>-1314.5049503501355</v>
      </c>
      <c r="T831">
        <f t="shared" ref="T831:T844" si="1013">S831/1000</f>
        <v>-1.3145049503501354</v>
      </c>
    </row>
    <row r="832" spans="1:20" x14ac:dyDescent="0.25">
      <c r="A832" s="5">
        <v>43761</v>
      </c>
      <c r="B832">
        <v>3.1379999999999998E-2</v>
      </c>
      <c r="C832">
        <v>3.2099999999999997E-2</v>
      </c>
      <c r="D832">
        <v>2.751E-2</v>
      </c>
      <c r="E832">
        <v>2.7990000000000001E-2</v>
      </c>
      <c r="F832">
        <v>19906892.399999999</v>
      </c>
      <c r="G832">
        <v>0</v>
      </c>
      <c r="L832" t="s">
        <v>7</v>
      </c>
      <c r="M832" t="s">
        <v>7</v>
      </c>
      <c r="N832" t="s">
        <v>7</v>
      </c>
      <c r="P832">
        <f t="shared" si="1009"/>
        <v>-0.79084967320261368</v>
      </c>
      <c r="Q832">
        <f t="shared" si="1010"/>
        <v>-15743359.349019593</v>
      </c>
      <c r="R832">
        <f t="shared" si="1011"/>
        <v>-131920711.74701354</v>
      </c>
      <c r="S832">
        <f t="shared" si="1012"/>
        <v>-1319.2071174701355</v>
      </c>
      <c r="T832">
        <f t="shared" si="1013"/>
        <v>-1.3192071174701354</v>
      </c>
    </row>
    <row r="833" spans="1:20" x14ac:dyDescent="0.25">
      <c r="A833" s="5">
        <v>43760</v>
      </c>
      <c r="B833">
        <v>3.3660000000000002E-2</v>
      </c>
      <c r="C833">
        <v>3.4259999999999999E-2</v>
      </c>
      <c r="D833">
        <v>3.1009999999999999E-2</v>
      </c>
      <c r="E833">
        <v>3.1300000000000001E-2</v>
      </c>
      <c r="F833">
        <v>14797432.4</v>
      </c>
      <c r="G833">
        <v>0</v>
      </c>
      <c r="L833" t="s">
        <v>7</v>
      </c>
      <c r="M833" t="s">
        <v>7</v>
      </c>
      <c r="N833" t="s">
        <v>7</v>
      </c>
      <c r="P833">
        <f t="shared" si="1009"/>
        <v>-0.82153846153846022</v>
      </c>
      <c r="Q833">
        <f t="shared" si="1010"/>
        <v>-12156659.848615365</v>
      </c>
      <c r="R833">
        <f t="shared" si="1011"/>
        <v>-116177352.39799395</v>
      </c>
      <c r="S833">
        <f t="shared" si="1012"/>
        <v>-1161.7735239799395</v>
      </c>
      <c r="T833">
        <f t="shared" si="1013"/>
        <v>-1.1617735239799394</v>
      </c>
    </row>
    <row r="834" spans="1:20" x14ac:dyDescent="0.25">
      <c r="A834" s="5">
        <v>43759</v>
      </c>
      <c r="B834">
        <v>3.5799999999999998E-2</v>
      </c>
      <c r="C834">
        <v>3.7280000000000001E-2</v>
      </c>
      <c r="D834">
        <v>3.2820000000000002E-2</v>
      </c>
      <c r="E834">
        <v>3.3799999999999997E-2</v>
      </c>
      <c r="F834">
        <v>23905904.899999999</v>
      </c>
      <c r="G834">
        <v>0</v>
      </c>
      <c r="L834" t="s">
        <v>7</v>
      </c>
      <c r="M834" t="s">
        <v>8</v>
      </c>
      <c r="N834" t="s">
        <v>7</v>
      </c>
      <c r="P834">
        <f t="shared" si="1009"/>
        <v>-0.56053811659193042</v>
      </c>
      <c r="Q834">
        <f t="shared" si="1010"/>
        <v>-13400170.908071799</v>
      </c>
      <c r="R834">
        <f t="shared" si="1011"/>
        <v>-104020692.54937859</v>
      </c>
      <c r="S834">
        <f t="shared" si="1012"/>
        <v>-1040.2069254937858</v>
      </c>
      <c r="T834">
        <f t="shared" si="1013"/>
        <v>-1.0402069254937858</v>
      </c>
    </row>
    <row r="835" spans="1:20" x14ac:dyDescent="0.25">
      <c r="A835" s="5">
        <v>43758</v>
      </c>
      <c r="B835">
        <v>3.2280000000000003E-2</v>
      </c>
      <c r="C835">
        <v>3.7339999999999998E-2</v>
      </c>
      <c r="D835">
        <v>3.0980000000000001E-2</v>
      </c>
      <c r="E835">
        <v>3.5749999999999997E-2</v>
      </c>
      <c r="F835">
        <v>49310508.700000003</v>
      </c>
      <c r="G835">
        <v>0</v>
      </c>
      <c r="L835" t="s">
        <v>8</v>
      </c>
      <c r="M835" t="s">
        <v>8</v>
      </c>
      <c r="N835" t="s">
        <v>7</v>
      </c>
      <c r="P835">
        <f t="shared" si="1009"/>
        <v>0.49999999999999944</v>
      </c>
      <c r="Q835">
        <f t="shared" si="1010"/>
        <v>24655254.349999975</v>
      </c>
      <c r="R835">
        <f t="shared" si="1011"/>
        <v>-90620521.641306788</v>
      </c>
      <c r="S835">
        <f t="shared" si="1012"/>
        <v>-906.20521641306789</v>
      </c>
      <c r="T835">
        <f t="shared" si="1013"/>
        <v>-0.90620521641306784</v>
      </c>
    </row>
    <row r="836" spans="1:20" x14ac:dyDescent="0.25">
      <c r="A836" s="5">
        <v>43757</v>
      </c>
      <c r="B836">
        <v>3.2390000000000002E-2</v>
      </c>
      <c r="C836">
        <v>3.3950000000000001E-2</v>
      </c>
      <c r="D836">
        <v>3.0349999999999999E-2</v>
      </c>
      <c r="E836">
        <v>3.2509999999999997E-2</v>
      </c>
      <c r="F836">
        <v>18214048.100000001</v>
      </c>
      <c r="G836">
        <v>0</v>
      </c>
      <c r="L836" t="s">
        <v>7</v>
      </c>
      <c r="M836" t="s">
        <v>7</v>
      </c>
      <c r="N836" t="s">
        <v>7</v>
      </c>
      <c r="P836">
        <f t="shared" si="1009"/>
        <v>0.19999999999999846</v>
      </c>
      <c r="Q836">
        <f t="shared" si="1010"/>
        <v>3642809.6199999722</v>
      </c>
      <c r="R836">
        <f t="shared" si="1011"/>
        <v>-115275775.99130677</v>
      </c>
      <c r="S836">
        <f t="shared" si="1012"/>
        <v>-1152.7577599130677</v>
      </c>
      <c r="T836">
        <f t="shared" si="1013"/>
        <v>-1.1527577599130678</v>
      </c>
    </row>
    <row r="837" spans="1:20" x14ac:dyDescent="0.25">
      <c r="A837" s="5">
        <v>43756</v>
      </c>
      <c r="B837">
        <v>3.5349999999999999E-2</v>
      </c>
      <c r="C837">
        <v>3.6220000000000002E-2</v>
      </c>
      <c r="D837">
        <v>3.0859999999999999E-2</v>
      </c>
      <c r="E837">
        <v>3.2340000000000001E-2</v>
      </c>
      <c r="F837">
        <v>26481577.699999999</v>
      </c>
      <c r="G837">
        <v>0</v>
      </c>
      <c r="L837" t="s">
        <v>7</v>
      </c>
      <c r="M837" t="s">
        <v>7</v>
      </c>
      <c r="N837" t="s">
        <v>7</v>
      </c>
      <c r="P837">
        <f t="shared" si="1009"/>
        <v>-0.44776119402985032</v>
      </c>
      <c r="Q837">
        <f t="shared" si="1010"/>
        <v>-11857422.850746257</v>
      </c>
      <c r="R837">
        <f t="shared" si="1011"/>
        <v>-118918585.61130674</v>
      </c>
      <c r="S837">
        <f t="shared" si="1012"/>
        <v>-1189.1858561130675</v>
      </c>
      <c r="T837">
        <f t="shared" si="1013"/>
        <v>-1.1891858561130675</v>
      </c>
    </row>
    <row r="838" spans="1:20" x14ac:dyDescent="0.25">
      <c r="A838" s="5">
        <v>43755</v>
      </c>
      <c r="B838">
        <v>3.6990000000000002E-2</v>
      </c>
      <c r="C838">
        <v>3.7999999999999999E-2</v>
      </c>
      <c r="D838">
        <v>3.44E-2</v>
      </c>
      <c r="E838">
        <v>3.5369999999999999E-2</v>
      </c>
      <c r="F838">
        <v>18239930.5</v>
      </c>
      <c r="G838">
        <v>0</v>
      </c>
      <c r="L838" t="s">
        <v>8</v>
      </c>
      <c r="M838" t="s">
        <v>7</v>
      </c>
      <c r="N838" t="s">
        <v>7</v>
      </c>
      <c r="P838">
        <f t="shared" si="1009"/>
        <v>-0.46111111111111175</v>
      </c>
      <c r="Q838">
        <f t="shared" si="1010"/>
        <v>-8410634.619444456</v>
      </c>
      <c r="R838">
        <f t="shared" si="1011"/>
        <v>-107061162.76056048</v>
      </c>
      <c r="S838">
        <f t="shared" si="1012"/>
        <v>-1070.6116276056048</v>
      </c>
      <c r="T838">
        <f t="shared" si="1013"/>
        <v>-1.0706116276056048</v>
      </c>
    </row>
    <row r="839" spans="1:20" x14ac:dyDescent="0.25">
      <c r="A839" s="5">
        <v>43754</v>
      </c>
      <c r="B839">
        <v>3.9300000000000002E-2</v>
      </c>
      <c r="C839">
        <v>4.156E-2</v>
      </c>
      <c r="D839">
        <v>3.3910000000000003E-2</v>
      </c>
      <c r="E839">
        <v>3.6990000000000002E-2</v>
      </c>
      <c r="F839">
        <v>34514244.700000003</v>
      </c>
      <c r="G839">
        <v>0</v>
      </c>
      <c r="L839" t="s">
        <v>7</v>
      </c>
      <c r="M839" t="s">
        <v>7</v>
      </c>
      <c r="N839" t="s">
        <v>7</v>
      </c>
      <c r="P839">
        <f t="shared" si="1009"/>
        <v>-0.19477124183006519</v>
      </c>
      <c r="Q839">
        <f t="shared" si="1010"/>
        <v>-6722382.3010457465</v>
      </c>
      <c r="R839">
        <f t="shared" si="1011"/>
        <v>-98650528.141116023</v>
      </c>
      <c r="S839">
        <f t="shared" si="1012"/>
        <v>-986.50528141116024</v>
      </c>
      <c r="T839">
        <f t="shared" si="1013"/>
        <v>-0.98650528141116023</v>
      </c>
    </row>
    <row r="840" spans="1:20" x14ac:dyDescent="0.25">
      <c r="A840" s="5">
        <v>43753</v>
      </c>
      <c r="B840">
        <v>4.3920000000000001E-2</v>
      </c>
      <c r="C840">
        <v>4.8180000000000001E-2</v>
      </c>
      <c r="D840">
        <v>3.8309999999999997E-2</v>
      </c>
      <c r="E840">
        <v>3.952E-2</v>
      </c>
      <c r="F840">
        <v>47555248.299999997</v>
      </c>
      <c r="G840">
        <v>0</v>
      </c>
      <c r="L840" t="s">
        <v>7</v>
      </c>
      <c r="M840" t="s">
        <v>7</v>
      </c>
      <c r="N840" t="s">
        <v>7</v>
      </c>
      <c r="P840">
        <f t="shared" si="1009"/>
        <v>-0.75481256332320112</v>
      </c>
      <c r="Q840">
        <f t="shared" si="1010"/>
        <v>-35895298.8687943</v>
      </c>
      <c r="R840">
        <f t="shared" si="1011"/>
        <v>-91928145.840070277</v>
      </c>
      <c r="S840">
        <f t="shared" si="1012"/>
        <v>-919.28145840070272</v>
      </c>
      <c r="T840">
        <f t="shared" si="1013"/>
        <v>-0.91928145840070274</v>
      </c>
    </row>
    <row r="841" spans="1:20" x14ac:dyDescent="0.25">
      <c r="A841" s="5">
        <v>43752</v>
      </c>
      <c r="B841">
        <v>3.1260000000000003E-2</v>
      </c>
      <c r="C841">
        <v>7.7420000000000003E-2</v>
      </c>
      <c r="D841">
        <v>3.0720000000000001E-2</v>
      </c>
      <c r="E841">
        <v>4.3889999999999998E-2</v>
      </c>
      <c r="F841">
        <v>134085939.7</v>
      </c>
      <c r="G841">
        <v>0</v>
      </c>
      <c r="L841" t="s">
        <v>8</v>
      </c>
      <c r="M841" t="s">
        <v>8</v>
      </c>
      <c r="N841" t="s">
        <v>8</v>
      </c>
      <c r="P841">
        <f t="shared" si="1009"/>
        <v>-0.43597430406852256</v>
      </c>
      <c r="Q841">
        <f t="shared" si="1010"/>
        <v>-58458024.246081382</v>
      </c>
      <c r="R841">
        <f t="shared" si="1011"/>
        <v>-56032846.97127597</v>
      </c>
      <c r="S841">
        <f t="shared" si="1012"/>
        <v>-560.32846971275967</v>
      </c>
      <c r="T841">
        <f t="shared" si="1013"/>
        <v>-0.56032846971275962</v>
      </c>
    </row>
    <row r="842" spans="1:20" x14ac:dyDescent="0.25">
      <c r="A842" s="5">
        <v>43751</v>
      </c>
      <c r="B842">
        <v>3.7240000000000002E-2</v>
      </c>
      <c r="C842">
        <v>3.9019999999999999E-2</v>
      </c>
      <c r="D842">
        <v>3.0349999999999999E-2</v>
      </c>
      <c r="E842">
        <v>3.1189999999999999E-2</v>
      </c>
      <c r="F842">
        <v>36061247.299999997</v>
      </c>
      <c r="G842">
        <v>0</v>
      </c>
      <c r="L842" t="s">
        <v>8</v>
      </c>
      <c r="M842" t="s">
        <v>8</v>
      </c>
      <c r="N842" t="s">
        <v>8</v>
      </c>
      <c r="P842">
        <f t="shared" si="1009"/>
        <v>-0.80622837370242206</v>
      </c>
      <c r="Q842">
        <f t="shared" si="1010"/>
        <v>-29073600.764359858</v>
      </c>
      <c r="R842">
        <f t="shared" si="1011"/>
        <v>2425177.2748054154</v>
      </c>
      <c r="S842">
        <f t="shared" si="1012"/>
        <v>24.251772748054155</v>
      </c>
      <c r="T842">
        <f t="shared" si="1013"/>
        <v>2.4251772748054155E-2</v>
      </c>
    </row>
    <row r="843" spans="1:20" x14ac:dyDescent="0.25">
      <c r="A843" s="5">
        <v>43750</v>
      </c>
      <c r="B843">
        <v>2.6100000000000002E-2</v>
      </c>
      <c r="C843">
        <v>4.138E-2</v>
      </c>
      <c r="D843">
        <v>2.503E-2</v>
      </c>
      <c r="E843">
        <v>3.7220000000000003E-2</v>
      </c>
      <c r="F843">
        <v>110657710.3</v>
      </c>
      <c r="G843">
        <v>0</v>
      </c>
      <c r="L843" t="s">
        <v>7</v>
      </c>
      <c r="M843" t="s">
        <v>7</v>
      </c>
      <c r="N843" t="s">
        <v>7</v>
      </c>
      <c r="P843">
        <f t="shared" si="1009"/>
        <v>0.49113149847094839</v>
      </c>
      <c r="Q843">
        <f t="shared" si="1010"/>
        <v>54347487.077003099</v>
      </c>
      <c r="R843">
        <f t="shared" si="1011"/>
        <v>31498778.039165273</v>
      </c>
      <c r="S843">
        <f t="shared" si="1012"/>
        <v>314.98778039165273</v>
      </c>
      <c r="T843">
        <f t="shared" si="1013"/>
        <v>0.31498778039165276</v>
      </c>
    </row>
    <row r="844" spans="1:20" x14ac:dyDescent="0.25">
      <c r="A844" s="5">
        <v>43749</v>
      </c>
      <c r="B844">
        <v>2.8000000000000001E-2</v>
      </c>
      <c r="C844">
        <v>3.4470000000000001E-2</v>
      </c>
      <c r="D844">
        <v>2.3E-2</v>
      </c>
      <c r="E844">
        <v>2.6100000000000002E-2</v>
      </c>
      <c r="F844">
        <v>49729543.200000003</v>
      </c>
      <c r="G844">
        <v>0</v>
      </c>
      <c r="P844">
        <f t="shared" si="1009"/>
        <v>-0.45945945945945915</v>
      </c>
      <c r="Q844">
        <f t="shared" si="1010"/>
        <v>-22848709.037837826</v>
      </c>
      <c r="R844">
        <f t="shared" si="1011"/>
        <v>-22848709.037837826</v>
      </c>
      <c r="S844">
        <f t="shared" si="1012"/>
        <v>-228.48709037837827</v>
      </c>
      <c r="T844">
        <f t="shared" si="1013"/>
        <v>-0.22848709037837828</v>
      </c>
    </row>
    <row r="845" spans="1:20" x14ac:dyDescent="0.25">
      <c r="A845" s="5"/>
      <c r="C845" s="4"/>
      <c r="D845" s="4"/>
    </row>
    <row r="846" spans="1:20" x14ac:dyDescent="0.25">
      <c r="A846" s="5"/>
      <c r="C846" s="4"/>
      <c r="D846" s="4"/>
    </row>
    <row r="847" spans="1:20" x14ac:dyDescent="0.25">
      <c r="A847" s="5"/>
      <c r="C847" s="4"/>
      <c r="D847" s="4"/>
    </row>
    <row r="848" spans="1:20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PJ668" sqref="PJ668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$A$667</v>
      </c>
      <c r="D111" s="1" t="str">
        <f>ADDRESS(C121-1,D121,1,1)</f>
        <v>$PJ$667</v>
      </c>
      <c r="E111"/>
    </row>
    <row r="112" spans="1:5" x14ac:dyDescent="0.25">
      <c r="A112" s="7">
        <v>12164.144957890772</v>
      </c>
      <c r="C112" s="1" t="str">
        <f>ADDRESS(C121,1,1,1)</f>
        <v>$A$668</v>
      </c>
      <c r="D112" s="1" t="str">
        <f>ADDRESS(C121,D121-1,1,1)</f>
        <v>$PI$668</v>
      </c>
      <c r="E112"/>
    </row>
    <row r="113" spans="1:5" x14ac:dyDescent="0.25">
      <c r="A113" s="7">
        <v>11925.63231165762</v>
      </c>
      <c r="C113" s="1" t="str">
        <f>ADDRESS(C121+1,1,1,1)</f>
        <v>$A$669</v>
      </c>
      <c r="D113" s="1" t="str">
        <f>ADDRESS(C121-1,D121+1,1,1)</f>
        <v>$PK$667</v>
      </c>
    </row>
    <row r="114" spans="1:5" x14ac:dyDescent="0.25">
      <c r="A114" s="7">
        <v>11691.796383978059</v>
      </c>
      <c r="C114" s="1" t="str">
        <f>ADDRESS(C121,D121,1,1)</f>
        <v>$PJ$668</v>
      </c>
      <c r="D114" s="1" t="str">
        <f>ADDRESS(C121+1,D121+1,1,1)</f>
        <v>$PK$669</v>
      </c>
    </row>
    <row r="115" spans="1:5" x14ac:dyDescent="0.25">
      <c r="A115" s="7">
        <v>11462.545474488292</v>
      </c>
      <c r="C115" s="1" t="str">
        <f>ADDRESS(C121+1,D121,1,1)</f>
        <v>$PJ$669</v>
      </c>
    </row>
    <row r="116" spans="1:5" x14ac:dyDescent="0.25">
      <c r="A116" s="7">
        <v>11237.789680870874</v>
      </c>
      <c r="C116" s="1">
        <f>C117-1</f>
        <v>667</v>
      </c>
    </row>
    <row r="117" spans="1:5" x14ac:dyDescent="0.25">
      <c r="A117" s="7">
        <v>11017.440863598895</v>
      </c>
      <c r="C117" s="1">
        <f>C121</f>
        <v>668</v>
      </c>
      <c r="D117" s="1">
        <f>D121</f>
        <v>426</v>
      </c>
    </row>
    <row r="118" spans="1:5" x14ac:dyDescent="0.25">
      <c r="A118" s="7">
        <v>10801.412611371465</v>
      </c>
      <c r="C118" s="1">
        <f>C117+1</f>
        <v>669</v>
      </c>
      <c r="D118" s="1">
        <f>D117+1</f>
        <v>427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668</v>
      </c>
      <c r="D121" s="19">
        <v>426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R668</v>
      </c>
      <c r="D123" s="1" t="str">
        <f>"C"&amp;D121</f>
        <v>C426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0.20108796879083912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268" x14ac:dyDescent="0.25">
      <c r="A561" s="7">
        <v>1.6734181143540252</v>
      </c>
      <c r="B561"/>
      <c r="C561"/>
      <c r="D561"/>
      <c r="E561"/>
    </row>
    <row r="562" spans="1:268" x14ac:dyDescent="0.25">
      <c r="A562" s="7">
        <v>1.6406059944647307</v>
      </c>
      <c r="B562"/>
      <c r="C562"/>
      <c r="D562"/>
      <c r="E562"/>
    </row>
    <row r="563" spans="1:268" x14ac:dyDescent="0.25">
      <c r="A563" s="7">
        <v>1.6084372494752261</v>
      </c>
      <c r="B563"/>
      <c r="C563"/>
      <c r="D563"/>
      <c r="E563"/>
    </row>
    <row r="564" spans="1:268" x14ac:dyDescent="0.25">
      <c r="A564" s="7">
        <v>1.5768992641913981</v>
      </c>
      <c r="B564"/>
      <c r="C564"/>
      <c r="D564"/>
      <c r="E564"/>
    </row>
    <row r="565" spans="1:268" x14ac:dyDescent="0.25">
      <c r="A565" s="7">
        <v>1.5459796707758806</v>
      </c>
      <c r="B565"/>
      <c r="C565"/>
      <c r="D565"/>
      <c r="E565"/>
    </row>
    <row r="566" spans="1:268" x14ac:dyDescent="0.25">
      <c r="A566" s="7">
        <v>1.5156663438979221</v>
      </c>
      <c r="B566"/>
      <c r="C566"/>
      <c r="D566"/>
      <c r="E566"/>
    </row>
    <row r="567" spans="1:268" x14ac:dyDescent="0.25">
      <c r="A567" s="7">
        <v>1.4859473959783549</v>
      </c>
      <c r="B567"/>
      <c r="C567"/>
      <c r="D567"/>
      <c r="E567"/>
      <c r="JG567" s="27" t="s">
        <v>8</v>
      </c>
    </row>
    <row r="568" spans="1:268" x14ac:dyDescent="0.25">
      <c r="A568" s="7">
        <v>1.4568111725277988</v>
      </c>
      <c r="B568"/>
      <c r="C568"/>
      <c r="D568"/>
      <c r="E568"/>
      <c r="JG568" s="27" t="s">
        <v>8</v>
      </c>
      <c r="JH568" s="27" t="s">
        <v>7</v>
      </c>
    </row>
    <row r="569" spans="1:268" x14ac:dyDescent="0.25">
      <c r="A569" s="7">
        <v>1.4282462475762734</v>
      </c>
      <c r="B569"/>
      <c r="C569"/>
      <c r="D569"/>
      <c r="E569"/>
      <c r="JG569" s="27" t="s">
        <v>8</v>
      </c>
      <c r="JH569" s="27" t="s">
        <v>7</v>
      </c>
    </row>
    <row r="570" spans="1:268" x14ac:dyDescent="0.25">
      <c r="A570" s="7">
        <v>1.4002414191924248</v>
      </c>
      <c r="B570"/>
      <c r="C570"/>
      <c r="D570"/>
      <c r="E570"/>
      <c r="JG570" s="27" t="s">
        <v>8</v>
      </c>
      <c r="JH570" s="27" t="s">
        <v>7</v>
      </c>
    </row>
    <row r="571" spans="1:268" x14ac:dyDescent="0.25">
      <c r="A571" s="7">
        <v>1.3727857050906125</v>
      </c>
      <c r="B571"/>
      <c r="C571"/>
      <c r="D571"/>
      <c r="E571"/>
      <c r="JG571" s="27" t="s">
        <v>8</v>
      </c>
      <c r="JH571" s="27" t="s">
        <v>7</v>
      </c>
    </row>
    <row r="572" spans="1:268" x14ac:dyDescent="0.25">
      <c r="A572" s="7">
        <v>1.3458683383241299</v>
      </c>
      <c r="B572"/>
      <c r="C572"/>
      <c r="D572"/>
      <c r="E572"/>
      <c r="JG572" s="27" t="s">
        <v>8</v>
      </c>
      <c r="JH572" s="27" t="s">
        <v>7</v>
      </c>
    </row>
    <row r="573" spans="1:268" x14ac:dyDescent="0.25">
      <c r="A573" s="7">
        <v>1.3194787630628724</v>
      </c>
      <c r="B573"/>
      <c r="C573"/>
      <c r="D573"/>
      <c r="E573"/>
      <c r="JG573" s="27" t="s">
        <v>8</v>
      </c>
      <c r="JH573" s="27" t="s">
        <v>7</v>
      </c>
    </row>
    <row r="574" spans="1:268" x14ac:dyDescent="0.25">
      <c r="A574" s="7">
        <v>1.2936066304537963</v>
      </c>
      <c r="B574"/>
      <c r="C574"/>
      <c r="D574"/>
      <c r="E574"/>
      <c r="JG574" s="27" t="s">
        <v>8</v>
      </c>
      <c r="JH574" s="27" t="s">
        <v>7</v>
      </c>
    </row>
    <row r="575" spans="1:268" x14ac:dyDescent="0.25">
      <c r="A575" s="7">
        <v>1.2682417945625455</v>
      </c>
      <c r="B575"/>
      <c r="C575"/>
      <c r="D575"/>
      <c r="E575"/>
      <c r="JG575" s="27" t="s">
        <v>8</v>
      </c>
      <c r="JH575" s="27" t="s">
        <v>7</v>
      </c>
    </row>
    <row r="576" spans="1:268" x14ac:dyDescent="0.25">
      <c r="A576" s="7">
        <v>1.2433743083946525</v>
      </c>
      <c r="B576"/>
      <c r="C576"/>
      <c r="D576"/>
      <c r="E576"/>
      <c r="JG576" s="27" t="s">
        <v>8</v>
      </c>
      <c r="JH576" s="27" t="s">
        <v>7</v>
      </c>
    </row>
    <row r="577" spans="1:270" x14ac:dyDescent="0.25">
      <c r="A577" s="7">
        <v>1.2189944199947573</v>
      </c>
      <c r="B577"/>
      <c r="C577"/>
      <c r="D577"/>
      <c r="E577"/>
      <c r="JG577" s="27" t="s">
        <v>8</v>
      </c>
      <c r="JH577" s="27" t="s">
        <v>7</v>
      </c>
    </row>
    <row r="578" spans="1:270" x14ac:dyDescent="0.25">
      <c r="A578" s="7">
        <v>1.1950925686223111</v>
      </c>
      <c r="B578"/>
      <c r="C578"/>
      <c r="D578"/>
      <c r="E578"/>
      <c r="JG578" s="27" t="s">
        <v>8</v>
      </c>
      <c r="JH578" s="27" t="s">
        <v>7</v>
      </c>
    </row>
    <row r="579" spans="1:270" x14ac:dyDescent="0.25">
      <c r="A579" s="7">
        <v>1.1716593810022657</v>
      </c>
      <c r="B579"/>
      <c r="C579"/>
      <c r="D579"/>
      <c r="E579"/>
      <c r="JG579" s="27" t="s">
        <v>8</v>
      </c>
      <c r="JH579" s="27" t="s">
        <v>7</v>
      </c>
    </row>
    <row r="580" spans="1:270" x14ac:dyDescent="0.25">
      <c r="A580" s="7">
        <v>1.14868566764928</v>
      </c>
      <c r="B580"/>
      <c r="C580"/>
      <c r="D580"/>
      <c r="E580"/>
      <c r="JG580" s="27" t="s">
        <v>8</v>
      </c>
      <c r="JH580" s="27" t="s">
        <v>7</v>
      </c>
    </row>
    <row r="581" spans="1:270" x14ac:dyDescent="0.25">
      <c r="A581" s="7">
        <v>1.1261624192640001</v>
      </c>
      <c r="B581"/>
      <c r="C581"/>
      <c r="D581"/>
      <c r="E581"/>
      <c r="JG581" s="27" t="s">
        <v>8</v>
      </c>
      <c r="JH581" s="27" t="s">
        <v>7</v>
      </c>
    </row>
    <row r="582" spans="1:270" x14ac:dyDescent="0.25">
      <c r="A582" s="7">
        <v>1.1040808032</v>
      </c>
      <c r="B582"/>
      <c r="C582"/>
      <c r="D582"/>
      <c r="E582"/>
      <c r="JG582" s="27" t="s">
        <v>8</v>
      </c>
      <c r="JH582" s="27" t="s">
        <v>7</v>
      </c>
    </row>
    <row r="583" spans="1:270" x14ac:dyDescent="0.25">
      <c r="A583" s="7">
        <v>1.08243216</v>
      </c>
      <c r="B583"/>
      <c r="C583"/>
      <c r="D583"/>
      <c r="E583"/>
      <c r="JG583" s="27" t="s">
        <v>8</v>
      </c>
      <c r="JH583" s="27" t="s">
        <v>7</v>
      </c>
    </row>
    <row r="584" spans="1:270" x14ac:dyDescent="0.25">
      <c r="A584" s="7">
        <v>1.0612079999999999</v>
      </c>
      <c r="B584"/>
      <c r="C584"/>
      <c r="D584"/>
      <c r="E584"/>
      <c r="JG584" s="27" t="s">
        <v>8</v>
      </c>
      <c r="JH584" s="27" t="s">
        <v>7</v>
      </c>
    </row>
    <row r="585" spans="1:270" x14ac:dyDescent="0.25">
      <c r="A585" s="7">
        <v>1.0404</v>
      </c>
      <c r="B585"/>
      <c r="C585"/>
      <c r="D585"/>
      <c r="E585"/>
      <c r="JG585" s="27" t="s">
        <v>8</v>
      </c>
      <c r="JH585" s="27" t="s">
        <v>7</v>
      </c>
    </row>
    <row r="586" spans="1:270" x14ac:dyDescent="0.25">
      <c r="A586" s="7">
        <v>1.02</v>
      </c>
      <c r="B586"/>
      <c r="C586"/>
      <c r="D586"/>
      <c r="E586"/>
      <c r="JG586" s="27" t="s">
        <v>8</v>
      </c>
      <c r="JH586" s="27" t="s">
        <v>7</v>
      </c>
    </row>
    <row r="587" spans="1:270" x14ac:dyDescent="0.25">
      <c r="A587" s="7">
        <v>1</v>
      </c>
      <c r="B587"/>
      <c r="C587"/>
      <c r="D587"/>
      <c r="E587" s="29" t="s">
        <v>8</v>
      </c>
      <c r="JG587" s="27" t="s">
        <v>8</v>
      </c>
      <c r="JH587" s="27" t="s">
        <v>7</v>
      </c>
    </row>
    <row r="588" spans="1:270" x14ac:dyDescent="0.25">
      <c r="A588" s="7">
        <v>0.98039215686274506</v>
      </c>
      <c r="B588"/>
      <c r="C588"/>
      <c r="D588"/>
      <c r="E588"/>
      <c r="F588" s="27" t="s">
        <v>7</v>
      </c>
      <c r="JG588" s="27" t="s">
        <v>8</v>
      </c>
      <c r="JH588" s="27" t="s">
        <v>7</v>
      </c>
    </row>
    <row r="589" spans="1:270" x14ac:dyDescent="0.25">
      <c r="A589" s="7">
        <v>0.96116878123798544</v>
      </c>
      <c r="B589"/>
      <c r="C589"/>
      <c r="D589"/>
      <c r="E589"/>
      <c r="F589" s="27" t="s">
        <v>7</v>
      </c>
      <c r="JG589" s="27" t="s">
        <v>8</v>
      </c>
      <c r="JH589" s="27" t="s">
        <v>7</v>
      </c>
    </row>
    <row r="590" spans="1:270" x14ac:dyDescent="0.25">
      <c r="A590" s="7">
        <v>0.94232233454704462</v>
      </c>
      <c r="B590"/>
      <c r="C590"/>
      <c r="D590"/>
      <c r="E590"/>
      <c r="F590" s="27" t="s">
        <v>7</v>
      </c>
      <c r="JG590" s="27" t="s">
        <v>8</v>
      </c>
      <c r="JH590" s="27" t="s">
        <v>7</v>
      </c>
    </row>
    <row r="591" spans="1:270" x14ac:dyDescent="0.25">
      <c r="A591" s="7">
        <v>0.92384542602651432</v>
      </c>
      <c r="B591"/>
      <c r="C591"/>
      <c r="D591"/>
      <c r="E591"/>
      <c r="F591" s="27" t="s">
        <v>7</v>
      </c>
      <c r="JG591" s="27" t="s">
        <v>8</v>
      </c>
      <c r="JH591" s="27" t="s">
        <v>7</v>
      </c>
      <c r="JI591" s="27" t="s">
        <v>8</v>
      </c>
    </row>
    <row r="592" spans="1:270" x14ac:dyDescent="0.25">
      <c r="A592" s="7">
        <v>0.90573080982991594</v>
      </c>
      <c r="B592"/>
      <c r="C592"/>
      <c r="D592"/>
      <c r="E592"/>
      <c r="F592" s="27" t="s">
        <v>7</v>
      </c>
      <c r="JG592" s="27" t="s">
        <v>8</v>
      </c>
      <c r="JH592" s="27" t="s">
        <v>7</v>
      </c>
      <c r="JI592" s="27" t="s">
        <v>8</v>
      </c>
      <c r="JJ592" s="27" t="s">
        <v>7</v>
      </c>
    </row>
    <row r="593" spans="1:390" x14ac:dyDescent="0.25">
      <c r="A593" s="7">
        <v>0.8879713821861922</v>
      </c>
      <c r="B593"/>
      <c r="C593"/>
      <c r="D593"/>
      <c r="E593"/>
      <c r="F593" s="27" t="s">
        <v>7</v>
      </c>
      <c r="JG593" s="27" t="s">
        <v>8</v>
      </c>
      <c r="JH593" s="27" t="s">
        <v>7</v>
      </c>
      <c r="JI593" s="27" t="s">
        <v>8</v>
      </c>
      <c r="JJ593" s="27" t="s">
        <v>7</v>
      </c>
    </row>
    <row r="594" spans="1:390" x14ac:dyDescent="0.25">
      <c r="A594" s="7">
        <v>0.87056017861391399</v>
      </c>
      <c r="B594"/>
      <c r="C594"/>
      <c r="D594"/>
      <c r="E594"/>
      <c r="F594" s="27" t="s">
        <v>7</v>
      </c>
      <c r="JG594" s="27" t="s">
        <v>8</v>
      </c>
      <c r="JH594" s="27" t="s">
        <v>7</v>
      </c>
      <c r="JI594" s="27" t="s">
        <v>8</v>
      </c>
      <c r="JJ594" s="27" t="s">
        <v>7</v>
      </c>
      <c r="JO594" s="27" t="s">
        <v>8</v>
      </c>
      <c r="JS594" s="27" t="s">
        <v>8</v>
      </c>
    </row>
    <row r="595" spans="1:390" x14ac:dyDescent="0.25">
      <c r="A595" s="7">
        <v>0.85349037119011173</v>
      </c>
      <c r="B595"/>
      <c r="C595"/>
      <c r="D595"/>
      <c r="E595"/>
      <c r="F595" s="27" t="s">
        <v>7</v>
      </c>
      <c r="JG595" s="27" t="s">
        <v>8</v>
      </c>
      <c r="JH595" s="27" t="s">
        <v>7</v>
      </c>
      <c r="JI595" s="27" t="s">
        <v>8</v>
      </c>
      <c r="JJ595" s="27" t="s">
        <v>7</v>
      </c>
      <c r="JO595" s="27" t="s">
        <v>8</v>
      </c>
      <c r="JP595" s="27" t="s">
        <v>7</v>
      </c>
      <c r="JS595" s="27" t="s">
        <v>8</v>
      </c>
      <c r="JT595" s="27" t="s">
        <v>7</v>
      </c>
    </row>
    <row r="596" spans="1:390" x14ac:dyDescent="0.25">
      <c r="A596" s="7">
        <v>0.83675526587265858</v>
      </c>
      <c r="B596"/>
      <c r="C596"/>
      <c r="D596"/>
      <c r="E596"/>
      <c r="F596" s="27" t="s">
        <v>7</v>
      </c>
      <c r="JG596" s="27" t="s">
        <v>8</v>
      </c>
      <c r="JH596" s="27" t="s">
        <v>7</v>
      </c>
      <c r="JI596" s="27" t="s">
        <v>8</v>
      </c>
      <c r="JJ596" s="27" t="s">
        <v>7</v>
      </c>
      <c r="JK596" s="27" t="s">
        <v>8</v>
      </c>
      <c r="JO596" s="27" t="s">
        <v>8</v>
      </c>
      <c r="JP596" s="27" t="s">
        <v>7</v>
      </c>
      <c r="JS596" s="27" t="s">
        <v>8</v>
      </c>
      <c r="JT596" s="27" t="s">
        <v>7</v>
      </c>
    </row>
    <row r="597" spans="1:390" x14ac:dyDescent="0.25">
      <c r="A597" s="7">
        <v>0.82034829987515545</v>
      </c>
      <c r="B597"/>
      <c r="C597"/>
      <c r="D597"/>
      <c r="E597"/>
      <c r="F597" s="27" t="s">
        <v>7</v>
      </c>
      <c r="JG597" s="27" t="s">
        <v>8</v>
      </c>
      <c r="JH597" s="27" t="s">
        <v>7</v>
      </c>
      <c r="JI597" s="27" t="s">
        <v>8</v>
      </c>
      <c r="JJ597" s="27" t="s">
        <v>7</v>
      </c>
      <c r="JK597" s="27" t="s">
        <v>8</v>
      </c>
      <c r="JL597" s="27" t="s">
        <v>7</v>
      </c>
      <c r="JO597" s="27" t="s">
        <v>8</v>
      </c>
      <c r="JP597" s="27" t="s">
        <v>7</v>
      </c>
      <c r="JS597" s="27" t="s">
        <v>8</v>
      </c>
      <c r="JT597" s="27" t="s">
        <v>7</v>
      </c>
    </row>
    <row r="598" spans="1:390" x14ac:dyDescent="0.25">
      <c r="A598" s="7">
        <v>0.80426303909328967</v>
      </c>
      <c r="B598"/>
      <c r="C598"/>
      <c r="D598"/>
      <c r="E598"/>
      <c r="F598" s="27" t="s">
        <v>7</v>
      </c>
      <c r="JG598" s="27" t="s">
        <v>8</v>
      </c>
      <c r="JH598" s="27" t="s">
        <v>7</v>
      </c>
      <c r="JI598" s="27" t="s">
        <v>8</v>
      </c>
      <c r="JJ598" s="27" t="s">
        <v>7</v>
      </c>
      <c r="JK598" s="27" t="s">
        <v>8</v>
      </c>
      <c r="JL598" s="27" t="s">
        <v>7</v>
      </c>
      <c r="JO598" s="27" t="s">
        <v>8</v>
      </c>
      <c r="JP598" s="27" t="s">
        <v>7</v>
      </c>
      <c r="JS598" s="27" t="s">
        <v>8</v>
      </c>
      <c r="JT598" s="27" t="s">
        <v>7</v>
      </c>
      <c r="JU598" s="27" t="s">
        <v>8</v>
      </c>
      <c r="NW598" s="27" t="s">
        <v>8</v>
      </c>
    </row>
    <row r="599" spans="1:390" x14ac:dyDescent="0.25">
      <c r="A599" s="7">
        <v>0.78849317558165644</v>
      </c>
      <c r="B599"/>
      <c r="C599"/>
      <c r="D599"/>
      <c r="E599"/>
      <c r="F599" s="27" t="s">
        <v>7</v>
      </c>
      <c r="JG599" s="27" t="s">
        <v>8</v>
      </c>
      <c r="JH599" s="27" t="s">
        <v>7</v>
      </c>
      <c r="JI599" s="27" t="s">
        <v>8</v>
      </c>
      <c r="JJ599" s="27" t="s">
        <v>7</v>
      </c>
      <c r="JK599" s="27" t="s">
        <v>8</v>
      </c>
      <c r="JL599" s="27" t="s">
        <v>7</v>
      </c>
      <c r="JO599" s="27" t="s">
        <v>8</v>
      </c>
      <c r="JP599" s="27" t="s">
        <v>7</v>
      </c>
      <c r="JS599" s="27" t="s">
        <v>8</v>
      </c>
      <c r="JT599" s="27" t="s">
        <v>7</v>
      </c>
      <c r="JU599" s="27" t="s">
        <v>8</v>
      </c>
      <c r="JV599" s="27" t="s">
        <v>7</v>
      </c>
      <c r="NW599" s="27" t="s">
        <v>8</v>
      </c>
      <c r="NX599" s="27" t="s">
        <v>7</v>
      </c>
    </row>
    <row r="600" spans="1:390" x14ac:dyDescent="0.25">
      <c r="A600" s="7">
        <v>0.77303252508005538</v>
      </c>
      <c r="B600"/>
      <c r="C600"/>
      <c r="D600"/>
      <c r="E600"/>
      <c r="F600" s="27" t="s">
        <v>7</v>
      </c>
      <c r="JG600" s="27" t="s">
        <v>8</v>
      </c>
      <c r="JH600" s="27" t="s">
        <v>7</v>
      </c>
      <c r="JI600" s="27" t="s">
        <v>8</v>
      </c>
      <c r="JJ600" s="27" t="s">
        <v>7</v>
      </c>
      <c r="JK600" s="27" t="s">
        <v>8</v>
      </c>
      <c r="JL600" s="27" t="s">
        <v>7</v>
      </c>
      <c r="JO600" s="27" t="s">
        <v>8</v>
      </c>
      <c r="JP600" s="27" t="s">
        <v>7</v>
      </c>
      <c r="JS600" s="27" t="s">
        <v>8</v>
      </c>
      <c r="JT600" s="27" t="s">
        <v>7</v>
      </c>
      <c r="JU600" s="27" t="s">
        <v>8</v>
      </c>
      <c r="JV600" s="27" t="s">
        <v>7</v>
      </c>
      <c r="NW600" s="27" t="s">
        <v>8</v>
      </c>
      <c r="NX600" s="27" t="s">
        <v>7</v>
      </c>
    </row>
    <row r="601" spans="1:390" x14ac:dyDescent="0.25">
      <c r="A601" s="7">
        <v>0.75787502458828959</v>
      </c>
      <c r="B601"/>
      <c r="C601"/>
      <c r="D601"/>
      <c r="E601"/>
      <c r="F601" s="27" t="s">
        <v>7</v>
      </c>
      <c r="JG601" s="27" t="s">
        <v>8</v>
      </c>
      <c r="JH601" s="27" t="s">
        <v>7</v>
      </c>
      <c r="JI601" s="27" t="s">
        <v>8</v>
      </c>
      <c r="JJ601" s="27" t="s">
        <v>7</v>
      </c>
      <c r="JK601" s="27" t="s">
        <v>8</v>
      </c>
      <c r="JL601" s="27" t="s">
        <v>7</v>
      </c>
      <c r="JO601" s="27" t="s">
        <v>8</v>
      </c>
      <c r="JP601" s="27" t="s">
        <v>7</v>
      </c>
      <c r="JS601" s="27" t="s">
        <v>8</v>
      </c>
      <c r="JT601" s="27" t="s">
        <v>7</v>
      </c>
      <c r="JU601" s="27" t="s">
        <v>8</v>
      </c>
      <c r="JV601" s="27" t="s">
        <v>7</v>
      </c>
      <c r="NW601" s="27" t="s">
        <v>8</v>
      </c>
      <c r="NX601" s="27" t="s">
        <v>7</v>
      </c>
    </row>
    <row r="602" spans="1:390" x14ac:dyDescent="0.25">
      <c r="A602" s="7">
        <v>0.74301472998851925</v>
      </c>
      <c r="B602"/>
      <c r="C602"/>
      <c r="D602"/>
      <c r="E602"/>
      <c r="F602" s="27" t="s">
        <v>7</v>
      </c>
      <c r="JG602" s="27" t="s">
        <v>8</v>
      </c>
      <c r="JH602" s="27" t="s">
        <v>7</v>
      </c>
      <c r="JJ602" s="27" t="s">
        <v>7</v>
      </c>
      <c r="JL602" s="27" t="s">
        <v>7</v>
      </c>
      <c r="JO602" s="27" t="s">
        <v>8</v>
      </c>
      <c r="JP602" s="27" t="s">
        <v>7</v>
      </c>
      <c r="JS602" s="27" t="s">
        <v>8</v>
      </c>
      <c r="JT602" s="27" t="s">
        <v>7</v>
      </c>
      <c r="JU602" s="27" t="s">
        <v>8</v>
      </c>
      <c r="JV602" s="27" t="s">
        <v>7</v>
      </c>
      <c r="NU602" s="27" t="s">
        <v>8</v>
      </c>
      <c r="NW602" s="27" t="s">
        <v>8</v>
      </c>
      <c r="NX602" s="27" t="s">
        <v>7</v>
      </c>
      <c r="NY602" s="27" t="s">
        <v>8</v>
      </c>
    </row>
    <row r="603" spans="1:390" x14ac:dyDescent="0.25">
      <c r="A603" s="7">
        <v>0.72844581371423456</v>
      </c>
      <c r="B603"/>
      <c r="C603"/>
      <c r="D603"/>
      <c r="E603"/>
      <c r="F603" s="27" t="s">
        <v>7</v>
      </c>
      <c r="JG603" s="27" t="s">
        <v>8</v>
      </c>
      <c r="JL603" s="27" t="s">
        <v>7</v>
      </c>
      <c r="JO603" s="27" t="s">
        <v>8</v>
      </c>
      <c r="JP603" s="27" t="s">
        <v>7</v>
      </c>
      <c r="JS603" s="27" t="s">
        <v>8</v>
      </c>
      <c r="JT603" s="27" t="s">
        <v>7</v>
      </c>
      <c r="JU603" s="27" t="s">
        <v>8</v>
      </c>
      <c r="JV603" s="27" t="s">
        <v>7</v>
      </c>
      <c r="KC603" s="27" t="s">
        <v>8</v>
      </c>
      <c r="NI603" s="27" t="s">
        <v>8</v>
      </c>
      <c r="NU603" s="27" t="s">
        <v>8</v>
      </c>
      <c r="NV603" s="27" t="s">
        <v>7</v>
      </c>
      <c r="NW603" s="27" t="s">
        <v>8</v>
      </c>
      <c r="NX603" s="27" t="s">
        <v>7</v>
      </c>
      <c r="NY603" s="27" t="s">
        <v>8</v>
      </c>
      <c r="NZ603" s="27" t="s">
        <v>7</v>
      </c>
    </row>
    <row r="604" spans="1:390" x14ac:dyDescent="0.25">
      <c r="A604" s="7">
        <v>0.71416256246493581</v>
      </c>
      <c r="B604"/>
      <c r="C604"/>
      <c r="D604"/>
      <c r="E604"/>
      <c r="F604" s="27" t="s">
        <v>7</v>
      </c>
      <c r="JG604" s="27" t="s">
        <v>8</v>
      </c>
      <c r="JL604" s="27" t="s">
        <v>7</v>
      </c>
      <c r="JO604" s="27" t="s">
        <v>8</v>
      </c>
      <c r="JP604" s="27" t="s">
        <v>7</v>
      </c>
      <c r="JQ604" s="27" t="s">
        <v>8</v>
      </c>
      <c r="JS604" s="27" t="s">
        <v>8</v>
      </c>
      <c r="JT604" s="27" t="s">
        <v>7</v>
      </c>
      <c r="JV604" s="27" t="s">
        <v>7</v>
      </c>
      <c r="KC604" s="27" t="s">
        <v>8</v>
      </c>
      <c r="KD604" s="27" t="s">
        <v>7</v>
      </c>
      <c r="NI604" s="27" t="s">
        <v>8</v>
      </c>
      <c r="NJ604" s="27" t="s">
        <v>7</v>
      </c>
      <c r="NU604" s="27" t="s">
        <v>8</v>
      </c>
      <c r="NV604" s="27" t="s">
        <v>7</v>
      </c>
      <c r="NW604" s="27" t="s">
        <v>8</v>
      </c>
      <c r="NX604" s="27" t="s">
        <v>7</v>
      </c>
      <c r="NY604" s="27" t="s">
        <v>8</v>
      </c>
      <c r="NZ604" s="27" t="s">
        <v>7</v>
      </c>
    </row>
    <row r="605" spans="1:390" x14ac:dyDescent="0.25">
      <c r="A605" s="7">
        <v>0.7001593749656233</v>
      </c>
      <c r="B605"/>
      <c r="C605"/>
      <c r="D605"/>
      <c r="E605"/>
      <c r="F605" s="27" t="s">
        <v>7</v>
      </c>
      <c r="JG605" s="27" t="s">
        <v>8</v>
      </c>
      <c r="JL605" s="27" t="s">
        <v>7</v>
      </c>
      <c r="JO605" s="27" t="s">
        <v>8</v>
      </c>
      <c r="JP605" s="27" t="s">
        <v>7</v>
      </c>
      <c r="JQ605" s="27" t="s">
        <v>8</v>
      </c>
      <c r="JR605" s="27" t="s">
        <v>7</v>
      </c>
      <c r="JS605" s="27" t="s">
        <v>8</v>
      </c>
      <c r="JV605" s="27" t="s">
        <v>7</v>
      </c>
      <c r="JW605" s="27" t="s">
        <v>8</v>
      </c>
      <c r="KC605" s="27" t="s">
        <v>8</v>
      </c>
      <c r="KD605" s="27" t="s">
        <v>7</v>
      </c>
      <c r="NI605" s="27" t="s">
        <v>8</v>
      </c>
      <c r="NJ605" s="27" t="s">
        <v>7</v>
      </c>
      <c r="NU605" s="27" t="s">
        <v>8</v>
      </c>
      <c r="NV605" s="27" t="s">
        <v>7</v>
      </c>
      <c r="NW605" s="27" t="s">
        <v>8</v>
      </c>
      <c r="NX605" s="27" t="s">
        <v>7</v>
      </c>
      <c r="NY605" s="27" t="s">
        <v>8</v>
      </c>
      <c r="NZ605" s="27" t="s">
        <v>7</v>
      </c>
    </row>
    <row r="606" spans="1:390" x14ac:dyDescent="0.25">
      <c r="A606" s="7">
        <v>0.68643075977021883</v>
      </c>
      <c r="B606"/>
      <c r="C606"/>
      <c r="D606"/>
      <c r="E606"/>
      <c r="F606" s="27" t="s">
        <v>7</v>
      </c>
      <c r="JG606" s="27" t="s">
        <v>8</v>
      </c>
      <c r="JL606" s="27" t="s">
        <v>7</v>
      </c>
      <c r="JM606" s="27" t="s">
        <v>8</v>
      </c>
      <c r="JO606" s="27" t="s">
        <v>8</v>
      </c>
      <c r="JP606" s="27" t="s">
        <v>7</v>
      </c>
      <c r="JQ606" s="27" t="s">
        <v>8</v>
      </c>
      <c r="JR606" s="27" t="s">
        <v>7</v>
      </c>
      <c r="JS606" s="27" t="s">
        <v>8</v>
      </c>
      <c r="JV606" s="27" t="s">
        <v>7</v>
      </c>
      <c r="JW606" s="27" t="s">
        <v>8</v>
      </c>
      <c r="JX606" s="27" t="s">
        <v>7</v>
      </c>
      <c r="JY606" s="27" t="s">
        <v>8</v>
      </c>
      <c r="KC606" s="27" t="s">
        <v>8</v>
      </c>
      <c r="KD606" s="27" t="s">
        <v>7</v>
      </c>
      <c r="NI606" s="27" t="s">
        <v>8</v>
      </c>
      <c r="NJ606" s="27" t="s">
        <v>7</v>
      </c>
      <c r="NU606" s="27" t="s">
        <v>8</v>
      </c>
      <c r="NV606" s="27" t="s">
        <v>7</v>
      </c>
      <c r="NW606" s="27" t="s">
        <v>8</v>
      </c>
      <c r="NX606" s="27" t="s">
        <v>7</v>
      </c>
      <c r="NY606" s="27" t="s">
        <v>8</v>
      </c>
      <c r="NZ606" s="27" t="s">
        <v>7</v>
      </c>
    </row>
    <row r="607" spans="1:390" x14ac:dyDescent="0.25">
      <c r="A607" s="7">
        <v>0.67297133310805768</v>
      </c>
      <c r="B607"/>
      <c r="C607"/>
      <c r="D607"/>
      <c r="E607"/>
      <c r="F607" s="27" t="s">
        <v>7</v>
      </c>
      <c r="JG607" s="27" t="s">
        <v>8</v>
      </c>
      <c r="JL607" s="27" t="s">
        <v>7</v>
      </c>
      <c r="JM607" s="27" t="s">
        <v>8</v>
      </c>
      <c r="JN607" s="27" t="s">
        <v>7</v>
      </c>
      <c r="JO607" s="27" t="s">
        <v>8</v>
      </c>
      <c r="JP607" s="27" t="s">
        <v>7</v>
      </c>
      <c r="JQ607" s="27" t="s">
        <v>8</v>
      </c>
      <c r="JR607" s="27" t="s">
        <v>7</v>
      </c>
      <c r="JS607" s="27" t="s">
        <v>8</v>
      </c>
      <c r="JV607" s="27" t="s">
        <v>7</v>
      </c>
      <c r="JW607" s="27" t="s">
        <v>8</v>
      </c>
      <c r="JX607" s="27" t="s">
        <v>7</v>
      </c>
      <c r="JY607" s="27" t="s">
        <v>8</v>
      </c>
      <c r="JZ607" s="27" t="s">
        <v>7</v>
      </c>
      <c r="KC607" s="27" t="s">
        <v>8</v>
      </c>
      <c r="KD607" s="27" t="s">
        <v>7</v>
      </c>
      <c r="NI607" s="27" t="s">
        <v>8</v>
      </c>
      <c r="NJ607" s="27" t="s">
        <v>7</v>
      </c>
      <c r="NU607" s="27" t="s">
        <v>8</v>
      </c>
      <c r="NV607" s="27" t="s">
        <v>7</v>
      </c>
      <c r="NW607" s="27" t="s">
        <v>8</v>
      </c>
      <c r="NX607" s="27" t="s">
        <v>7</v>
      </c>
      <c r="NY607" s="27" t="s">
        <v>8</v>
      </c>
      <c r="NZ607" s="27" t="s">
        <v>7</v>
      </c>
    </row>
    <row r="608" spans="1:390" x14ac:dyDescent="0.25">
      <c r="A608" s="7">
        <v>0.65977581677260566</v>
      </c>
      <c r="B608"/>
      <c r="C608"/>
      <c r="D608"/>
      <c r="E608"/>
      <c r="F608" s="27" t="s">
        <v>7</v>
      </c>
      <c r="JG608" s="27" t="s">
        <v>8</v>
      </c>
      <c r="JL608" s="27" t="s">
        <v>7</v>
      </c>
      <c r="JM608" s="27" t="s">
        <v>8</v>
      </c>
      <c r="JN608" s="27" t="s">
        <v>7</v>
      </c>
      <c r="JO608" s="27" t="s">
        <v>8</v>
      </c>
      <c r="JP608" s="27" t="s">
        <v>7</v>
      </c>
      <c r="JQ608" s="27" t="s">
        <v>8</v>
      </c>
      <c r="JR608" s="27" t="s">
        <v>7</v>
      </c>
      <c r="JS608" s="27" t="s">
        <v>8</v>
      </c>
      <c r="JV608" s="27" t="s">
        <v>7</v>
      </c>
      <c r="JX608" s="27" t="s">
        <v>7</v>
      </c>
      <c r="JY608" s="27" t="s">
        <v>8</v>
      </c>
      <c r="JZ608" s="27" t="s">
        <v>7</v>
      </c>
      <c r="KA608" s="27" t="s">
        <v>8</v>
      </c>
      <c r="KC608" s="27" t="s">
        <v>8</v>
      </c>
      <c r="KD608" s="27" t="s">
        <v>7</v>
      </c>
      <c r="NI608" s="27" t="s">
        <v>8</v>
      </c>
      <c r="NJ608" s="27" t="s">
        <v>7</v>
      </c>
      <c r="NU608" s="27" t="s">
        <v>8</v>
      </c>
      <c r="NV608" s="27" t="s">
        <v>7</v>
      </c>
      <c r="NW608" s="27" t="s">
        <v>8</v>
      </c>
      <c r="NX608" s="27" t="s">
        <v>7</v>
      </c>
      <c r="NY608" s="27" t="s">
        <v>8</v>
      </c>
      <c r="NZ608" s="27" t="s">
        <v>7</v>
      </c>
    </row>
    <row r="609" spans="1:400" x14ac:dyDescent="0.25">
      <c r="A609" s="7">
        <v>0.64683903605157422</v>
      </c>
      <c r="B609"/>
      <c r="C609"/>
      <c r="D609"/>
      <c r="E609"/>
      <c r="F609" s="27" t="s">
        <v>7</v>
      </c>
      <c r="JG609" s="27" t="s">
        <v>8</v>
      </c>
      <c r="JL609" s="27" t="s">
        <v>7</v>
      </c>
      <c r="JM609" s="27" t="s">
        <v>8</v>
      </c>
      <c r="JN609" s="27" t="s">
        <v>7</v>
      </c>
      <c r="JO609" s="27" t="s">
        <v>8</v>
      </c>
      <c r="JP609" s="27" t="s">
        <v>7</v>
      </c>
      <c r="JQ609" s="27" t="s">
        <v>8</v>
      </c>
      <c r="JR609" s="27" t="s">
        <v>7</v>
      </c>
      <c r="JS609" s="27" t="s">
        <v>8</v>
      </c>
      <c r="JX609" s="27" t="s">
        <v>7</v>
      </c>
      <c r="JY609" s="27" t="s">
        <v>8</v>
      </c>
      <c r="JZ609" s="27" t="s">
        <v>7</v>
      </c>
      <c r="KA609" s="27" t="s">
        <v>8</v>
      </c>
      <c r="KB609" s="27" t="s">
        <v>7</v>
      </c>
      <c r="KC609" s="27" t="s">
        <v>8</v>
      </c>
      <c r="KD609" s="27" t="s">
        <v>7</v>
      </c>
      <c r="NI609" s="27" t="s">
        <v>8</v>
      </c>
      <c r="NJ609" s="27" t="s">
        <v>7</v>
      </c>
      <c r="NU609" s="27" t="s">
        <v>8</v>
      </c>
      <c r="NV609" s="27" t="s">
        <v>7</v>
      </c>
      <c r="NW609" s="27" t="s">
        <v>8</v>
      </c>
      <c r="NX609" s="27" t="s">
        <v>7</v>
      </c>
      <c r="NY609" s="27" t="s">
        <v>8</v>
      </c>
      <c r="NZ609" s="27" t="s">
        <v>7</v>
      </c>
    </row>
    <row r="610" spans="1:400" x14ac:dyDescent="0.25">
      <c r="A610" s="7">
        <v>0.63415591769762181</v>
      </c>
      <c r="B610"/>
      <c r="C610"/>
      <c r="D610"/>
      <c r="E610"/>
      <c r="F610" s="27" t="s">
        <v>7</v>
      </c>
      <c r="JG610" s="27" t="s">
        <v>8</v>
      </c>
      <c r="JL610" s="27" t="s">
        <v>7</v>
      </c>
      <c r="JM610" s="27" t="s">
        <v>8</v>
      </c>
      <c r="JN610" s="27" t="s">
        <v>7</v>
      </c>
      <c r="JO610" s="27" t="s">
        <v>8</v>
      </c>
      <c r="JP610" s="27" t="s">
        <v>7</v>
      </c>
      <c r="JQ610" s="27" t="s">
        <v>8</v>
      </c>
      <c r="JR610" s="27" t="s">
        <v>7</v>
      </c>
      <c r="JS610" s="27" t="s">
        <v>8</v>
      </c>
      <c r="JX610" s="27" t="s">
        <v>7</v>
      </c>
      <c r="JZ610" s="27" t="s">
        <v>7</v>
      </c>
      <c r="KA610" s="27" t="s">
        <v>8</v>
      </c>
      <c r="KB610" s="27" t="s">
        <v>7</v>
      </c>
      <c r="KC610" s="27" t="s">
        <v>8</v>
      </c>
      <c r="KD610" s="27" t="s">
        <v>7</v>
      </c>
      <c r="NI610" s="27" t="s">
        <v>8</v>
      </c>
      <c r="NJ610" s="27" t="s">
        <v>7</v>
      </c>
      <c r="NQ610" s="27" t="s">
        <v>8</v>
      </c>
      <c r="NU610" s="27" t="s">
        <v>8</v>
      </c>
      <c r="NV610" s="27" t="s">
        <v>7</v>
      </c>
      <c r="NW610" s="27" t="s">
        <v>8</v>
      </c>
      <c r="NX610" s="27" t="s">
        <v>7</v>
      </c>
      <c r="NY610" s="27" t="s">
        <v>8</v>
      </c>
      <c r="NZ610" s="27" t="s">
        <v>7</v>
      </c>
      <c r="OG610" s="27" t="s">
        <v>8</v>
      </c>
    </row>
    <row r="611" spans="1:400" x14ac:dyDescent="0.25">
      <c r="A611" s="7">
        <v>0.62172148793884496</v>
      </c>
      <c r="B611"/>
      <c r="C611"/>
      <c r="D611"/>
      <c r="E611"/>
      <c r="F611" s="27" t="s">
        <v>7</v>
      </c>
      <c r="JG611" s="27" t="s">
        <v>8</v>
      </c>
      <c r="JL611" s="27" t="s">
        <v>7</v>
      </c>
      <c r="JM611" s="27" t="s">
        <v>8</v>
      </c>
      <c r="JN611" s="27" t="s">
        <v>7</v>
      </c>
      <c r="JO611" s="27" t="s">
        <v>8</v>
      </c>
      <c r="JP611" s="27" t="s">
        <v>7</v>
      </c>
      <c r="JQ611" s="27" t="s">
        <v>8</v>
      </c>
      <c r="JR611" s="27" t="s">
        <v>7</v>
      </c>
      <c r="JZ611" s="27" t="s">
        <v>7</v>
      </c>
      <c r="KA611" s="27" t="s">
        <v>8</v>
      </c>
      <c r="KB611" s="27" t="s">
        <v>7</v>
      </c>
      <c r="KC611" s="27" t="s">
        <v>8</v>
      </c>
      <c r="KD611" s="27" t="s">
        <v>7</v>
      </c>
      <c r="NI611" s="27" t="s">
        <v>8</v>
      </c>
      <c r="NJ611" s="27" t="s">
        <v>7</v>
      </c>
      <c r="NQ611" s="27" t="s">
        <v>8</v>
      </c>
      <c r="NR611" s="27" t="s">
        <v>7</v>
      </c>
      <c r="NU611" s="27" t="s">
        <v>8</v>
      </c>
      <c r="NV611" s="27" t="s">
        <v>7</v>
      </c>
      <c r="NW611" s="27" t="s">
        <v>8</v>
      </c>
      <c r="NX611" s="27" t="s">
        <v>7</v>
      </c>
      <c r="NZ611" s="27" t="s">
        <v>7</v>
      </c>
      <c r="OG611" s="27" t="s">
        <v>8</v>
      </c>
      <c r="OH611" s="27" t="s">
        <v>7</v>
      </c>
    </row>
    <row r="612" spans="1:400" x14ac:dyDescent="0.25">
      <c r="A612" s="7">
        <v>0.60953087052827937</v>
      </c>
      <c r="B612"/>
      <c r="C612"/>
      <c r="D612"/>
      <c r="E612"/>
      <c r="F612" s="27" t="s">
        <v>7</v>
      </c>
      <c r="JG612" s="27" t="s">
        <v>8</v>
      </c>
      <c r="JL612" s="27" t="s">
        <v>7</v>
      </c>
      <c r="JM612" s="27" t="s">
        <v>8</v>
      </c>
      <c r="JN612" s="27" t="s">
        <v>7</v>
      </c>
      <c r="JO612" s="27" t="s">
        <v>8</v>
      </c>
      <c r="JP612" s="27" t="s">
        <v>7</v>
      </c>
      <c r="JQ612" s="27" t="s">
        <v>8</v>
      </c>
      <c r="JZ612" s="27" t="s">
        <v>7</v>
      </c>
      <c r="KA612" s="27" t="s">
        <v>8</v>
      </c>
      <c r="KB612" s="27" t="s">
        <v>7</v>
      </c>
      <c r="KC612" s="27" t="s">
        <v>8</v>
      </c>
      <c r="KD612" s="27" t="s">
        <v>7</v>
      </c>
      <c r="NI612" s="27" t="s">
        <v>8</v>
      </c>
      <c r="NJ612" s="27" t="s">
        <v>7</v>
      </c>
      <c r="NQ612" s="27" t="s">
        <v>8</v>
      </c>
      <c r="NR612" s="27" t="s">
        <v>7</v>
      </c>
      <c r="NU612" s="27" t="s">
        <v>8</v>
      </c>
      <c r="NV612" s="27" t="s">
        <v>7</v>
      </c>
      <c r="NW612" s="27" t="s">
        <v>8</v>
      </c>
      <c r="NZ612" s="27" t="s">
        <v>7</v>
      </c>
      <c r="OC612" s="27" t="s">
        <v>8</v>
      </c>
      <c r="OG612" s="27" t="s">
        <v>8</v>
      </c>
      <c r="OH612" s="27" t="s">
        <v>7</v>
      </c>
    </row>
    <row r="613" spans="1:400" x14ac:dyDescent="0.25">
      <c r="A613" s="7">
        <v>0.59757928483164646</v>
      </c>
      <c r="B613"/>
      <c r="C613"/>
      <c r="D613"/>
      <c r="E613"/>
      <c r="F613" s="27" t="s">
        <v>7</v>
      </c>
      <c r="JG613" s="27" t="s">
        <v>8</v>
      </c>
      <c r="JL613" s="27" t="s">
        <v>7</v>
      </c>
      <c r="JM613" s="27" t="s">
        <v>8</v>
      </c>
      <c r="JN613" s="27" t="s">
        <v>7</v>
      </c>
      <c r="JO613" s="27" t="s">
        <v>8</v>
      </c>
      <c r="JP613" s="27" t="s">
        <v>7</v>
      </c>
      <c r="JQ613" s="27" t="s">
        <v>8</v>
      </c>
      <c r="JZ613" s="27" t="s">
        <v>7</v>
      </c>
      <c r="KA613" s="27" t="s">
        <v>8</v>
      </c>
      <c r="KB613" s="27" t="s">
        <v>7</v>
      </c>
      <c r="KC613" s="27" t="s">
        <v>8</v>
      </c>
      <c r="KD613" s="27" t="s">
        <v>7</v>
      </c>
      <c r="NI613" s="27" t="s">
        <v>8</v>
      </c>
      <c r="NJ613" s="27" t="s">
        <v>7</v>
      </c>
      <c r="NQ613" s="27" t="s">
        <v>8</v>
      </c>
      <c r="NR613" s="27" t="s">
        <v>7</v>
      </c>
      <c r="NU613" s="27" t="s">
        <v>8</v>
      </c>
      <c r="NV613" s="27" t="s">
        <v>7</v>
      </c>
      <c r="NW613" s="27" t="s">
        <v>8</v>
      </c>
      <c r="NZ613" s="27" t="s">
        <v>7</v>
      </c>
      <c r="OA613" s="27" t="s">
        <v>8</v>
      </c>
      <c r="OC613" s="27" t="s">
        <v>8</v>
      </c>
      <c r="OD613" s="27" t="s">
        <v>7</v>
      </c>
      <c r="OG613" s="27" t="s">
        <v>8</v>
      </c>
      <c r="OH613" s="27" t="s">
        <v>7</v>
      </c>
    </row>
    <row r="614" spans="1:400" x14ac:dyDescent="0.25">
      <c r="A614" s="7">
        <v>0.58586204395259456</v>
      </c>
      <c r="B614"/>
      <c r="C614"/>
      <c r="D614"/>
      <c r="E614"/>
      <c r="F614" s="27" t="s">
        <v>7</v>
      </c>
      <c r="JG614" s="27" t="s">
        <v>8</v>
      </c>
      <c r="JL614" s="27" t="s">
        <v>7</v>
      </c>
      <c r="JM614" s="27" t="s">
        <v>8</v>
      </c>
      <c r="JN614" s="27" t="s">
        <v>7</v>
      </c>
      <c r="JO614" s="27" t="s">
        <v>8</v>
      </c>
      <c r="JP614" s="27" t="s">
        <v>7</v>
      </c>
      <c r="JQ614" s="27" t="s">
        <v>8</v>
      </c>
      <c r="JZ614" s="27" t="s">
        <v>7</v>
      </c>
      <c r="KA614" s="27" t="s">
        <v>8</v>
      </c>
      <c r="KB614" s="27" t="s">
        <v>7</v>
      </c>
      <c r="KC614" s="27" t="s">
        <v>8</v>
      </c>
      <c r="KD614" s="27" t="s">
        <v>7</v>
      </c>
      <c r="NI614" s="27" t="s">
        <v>8</v>
      </c>
      <c r="NJ614" s="27" t="s">
        <v>7</v>
      </c>
      <c r="NQ614" s="27" t="s">
        <v>8</v>
      </c>
      <c r="NR614" s="27" t="s">
        <v>7</v>
      </c>
      <c r="NU614" s="27" t="s">
        <v>8</v>
      </c>
      <c r="NV614" s="27" t="s">
        <v>7</v>
      </c>
      <c r="NW614" s="27" t="s">
        <v>8</v>
      </c>
      <c r="NZ614" s="27" t="s">
        <v>7</v>
      </c>
      <c r="OA614" s="27" t="s">
        <v>8</v>
      </c>
      <c r="OB614" s="27" t="s">
        <v>7</v>
      </c>
      <c r="OC614" s="27" t="s">
        <v>8</v>
      </c>
      <c r="OD614" s="27" t="s">
        <v>7</v>
      </c>
      <c r="OG614" s="27" t="s">
        <v>8</v>
      </c>
      <c r="OH614" s="27" t="s">
        <v>7</v>
      </c>
    </row>
    <row r="615" spans="1:400" x14ac:dyDescent="0.25">
      <c r="A615" s="7">
        <v>0.57437455289470052</v>
      </c>
      <c r="B615"/>
      <c r="C615"/>
      <c r="D615"/>
      <c r="E615"/>
      <c r="F615" s="27" t="s">
        <v>7</v>
      </c>
      <c r="JG615" s="27" t="s">
        <v>8</v>
      </c>
      <c r="JL615" s="27" t="s">
        <v>7</v>
      </c>
      <c r="JM615" s="27" t="s">
        <v>8</v>
      </c>
      <c r="JN615" s="27" t="s">
        <v>7</v>
      </c>
      <c r="JO615" s="27" t="s">
        <v>8</v>
      </c>
      <c r="JP615" s="27" t="s">
        <v>7</v>
      </c>
      <c r="JQ615" s="27" t="s">
        <v>8</v>
      </c>
      <c r="JZ615" s="27" t="s">
        <v>7</v>
      </c>
      <c r="KA615" s="27" t="s">
        <v>8</v>
      </c>
      <c r="KB615" s="27" t="s">
        <v>7</v>
      </c>
      <c r="KC615" s="27" t="s">
        <v>8</v>
      </c>
      <c r="KD615" s="27" t="s">
        <v>7</v>
      </c>
      <c r="NI615" s="27" t="s">
        <v>8</v>
      </c>
      <c r="NJ615" s="27" t="s">
        <v>7</v>
      </c>
      <c r="NQ615" s="27" t="s">
        <v>8</v>
      </c>
      <c r="NR615" s="27" t="s">
        <v>7</v>
      </c>
      <c r="NU615" s="27" t="s">
        <v>8</v>
      </c>
      <c r="NV615" s="27" t="s">
        <v>7</v>
      </c>
      <c r="NW615" s="27" t="s">
        <v>8</v>
      </c>
      <c r="NZ615" s="27" t="s">
        <v>7</v>
      </c>
      <c r="OA615" s="27" t="s">
        <v>8</v>
      </c>
      <c r="OB615" s="27" t="s">
        <v>7</v>
      </c>
      <c r="OC615" s="27" t="s">
        <v>8</v>
      </c>
      <c r="OD615" s="27" t="s">
        <v>7</v>
      </c>
      <c r="OG615" s="27" t="s">
        <v>8</v>
      </c>
      <c r="OH615" s="27" t="s">
        <v>7</v>
      </c>
    </row>
    <row r="616" spans="1:400" x14ac:dyDescent="0.25">
      <c r="A616" s="7">
        <v>0.56311230675951029</v>
      </c>
      <c r="B616"/>
      <c r="C616"/>
      <c r="D616"/>
      <c r="E616"/>
      <c r="F616" s="27" t="s">
        <v>7</v>
      </c>
      <c r="JG616" s="27" t="s">
        <v>8</v>
      </c>
      <c r="JL616" s="27" t="s">
        <v>7</v>
      </c>
      <c r="JM616" s="27" t="s">
        <v>8</v>
      </c>
      <c r="JN616" s="27" t="s">
        <v>7</v>
      </c>
      <c r="JO616" s="27" t="s">
        <v>8</v>
      </c>
      <c r="JP616" s="27" t="s">
        <v>7</v>
      </c>
      <c r="JQ616" s="27" t="s">
        <v>8</v>
      </c>
      <c r="JZ616" s="27" t="s">
        <v>7</v>
      </c>
      <c r="KA616" s="27" t="s">
        <v>8</v>
      </c>
      <c r="KB616" s="27" t="s">
        <v>7</v>
      </c>
      <c r="KC616" s="27" t="s">
        <v>8</v>
      </c>
      <c r="KD616" s="27" t="s">
        <v>7</v>
      </c>
      <c r="KE616" s="27" t="s">
        <v>8</v>
      </c>
      <c r="MO616" s="27" t="s">
        <v>8</v>
      </c>
      <c r="NI616" s="27" t="s">
        <v>8</v>
      </c>
      <c r="NJ616" s="27" t="s">
        <v>7</v>
      </c>
      <c r="NQ616" s="27" t="s">
        <v>8</v>
      </c>
      <c r="NR616" s="27" t="s">
        <v>7</v>
      </c>
      <c r="NU616" s="27" t="s">
        <v>8</v>
      </c>
      <c r="NV616" s="27" t="s">
        <v>7</v>
      </c>
      <c r="NW616" s="27" t="s">
        <v>8</v>
      </c>
      <c r="NZ616" s="27" t="s">
        <v>7</v>
      </c>
      <c r="OA616" s="27" t="s">
        <v>8</v>
      </c>
      <c r="OB616" s="27" t="s">
        <v>7</v>
      </c>
      <c r="OC616" s="27" t="s">
        <v>8</v>
      </c>
      <c r="OD616" s="27" t="s">
        <v>7</v>
      </c>
      <c r="OE616" s="27" t="s">
        <v>8</v>
      </c>
      <c r="OG616" s="27" t="s">
        <v>8</v>
      </c>
      <c r="OH616" s="27" t="s">
        <v>7</v>
      </c>
    </row>
    <row r="617" spans="1:400" x14ac:dyDescent="0.25">
      <c r="A617" s="7">
        <v>0.55207088897991208</v>
      </c>
      <c r="B617"/>
      <c r="C617"/>
      <c r="D617"/>
      <c r="E617"/>
      <c r="F617" s="27" t="s">
        <v>7</v>
      </c>
      <c r="JG617" s="27" t="s">
        <v>8</v>
      </c>
      <c r="JL617" s="27" t="s">
        <v>7</v>
      </c>
      <c r="JM617" s="27" t="s">
        <v>8</v>
      </c>
      <c r="JN617" s="27" t="s">
        <v>7</v>
      </c>
      <c r="JO617" s="27" t="s">
        <v>8</v>
      </c>
      <c r="JP617" s="27" t="s">
        <v>7</v>
      </c>
      <c r="JQ617" s="27" t="s">
        <v>8</v>
      </c>
      <c r="JZ617" s="27" t="s">
        <v>7</v>
      </c>
      <c r="KA617" s="27" t="s">
        <v>8</v>
      </c>
      <c r="KB617" s="27" t="s">
        <v>7</v>
      </c>
      <c r="KC617" s="27" t="s">
        <v>8</v>
      </c>
      <c r="KD617" s="27" t="s">
        <v>7</v>
      </c>
      <c r="KE617" s="27" t="s">
        <v>8</v>
      </c>
      <c r="KF617" s="27" t="s">
        <v>7</v>
      </c>
      <c r="MO617" s="27" t="s">
        <v>8</v>
      </c>
      <c r="MP617" s="27" t="s">
        <v>7</v>
      </c>
      <c r="NI617" s="27" t="s">
        <v>8</v>
      </c>
      <c r="NJ617" s="27" t="s">
        <v>7</v>
      </c>
      <c r="NQ617" s="27" t="s">
        <v>8</v>
      </c>
      <c r="NR617" s="27" t="s">
        <v>7</v>
      </c>
      <c r="NU617" s="27" t="s">
        <v>8</v>
      </c>
      <c r="NV617" s="27" t="s">
        <v>7</v>
      </c>
      <c r="NW617" s="27" t="s">
        <v>8</v>
      </c>
      <c r="NZ617" s="27" t="s">
        <v>7</v>
      </c>
      <c r="OA617" s="27" t="s">
        <v>8</v>
      </c>
      <c r="OB617" s="27" t="s">
        <v>7</v>
      </c>
      <c r="OC617" s="27" t="s">
        <v>8</v>
      </c>
      <c r="OD617" s="27" t="s">
        <v>7</v>
      </c>
      <c r="OE617" s="27" t="s">
        <v>8</v>
      </c>
      <c r="OF617" s="27" t="s">
        <v>7</v>
      </c>
      <c r="OG617" s="27" t="s">
        <v>8</v>
      </c>
      <c r="OH617" s="27" t="s">
        <v>7</v>
      </c>
      <c r="OI617" s="27" t="s">
        <v>8</v>
      </c>
    </row>
    <row r="618" spans="1:400" x14ac:dyDescent="0.25">
      <c r="A618" s="7">
        <v>0.54124596958814908</v>
      </c>
      <c r="B618"/>
      <c r="C618"/>
      <c r="D618"/>
      <c r="E618"/>
      <c r="F618" s="27" t="s">
        <v>7</v>
      </c>
      <c r="JG618" s="27" t="s">
        <v>8</v>
      </c>
      <c r="JL618" s="27" t="s">
        <v>7</v>
      </c>
      <c r="JN618" s="27" t="s">
        <v>7</v>
      </c>
      <c r="JO618" s="27" t="s">
        <v>8</v>
      </c>
      <c r="JP618" s="27" t="s">
        <v>7</v>
      </c>
      <c r="JQ618" s="27" t="s">
        <v>8</v>
      </c>
      <c r="JZ618" s="27" t="s">
        <v>7</v>
      </c>
      <c r="KA618" s="27" t="s">
        <v>8</v>
      </c>
      <c r="KB618" s="27" t="s">
        <v>7</v>
      </c>
      <c r="KC618" s="27" t="s">
        <v>8</v>
      </c>
      <c r="KD618" s="27" t="s">
        <v>7</v>
      </c>
      <c r="KE618" s="27" t="s">
        <v>8</v>
      </c>
      <c r="KF618" s="27" t="s">
        <v>7</v>
      </c>
      <c r="MO618" s="27" t="s">
        <v>8</v>
      </c>
      <c r="MP618" s="27" t="s">
        <v>7</v>
      </c>
      <c r="NI618" s="27" t="s">
        <v>8</v>
      </c>
      <c r="NJ618" s="27" t="s">
        <v>7</v>
      </c>
      <c r="NQ618" s="27" t="s">
        <v>8</v>
      </c>
      <c r="NR618" s="27" t="s">
        <v>7</v>
      </c>
      <c r="NU618" s="27" t="s">
        <v>8</v>
      </c>
      <c r="NV618" s="27" t="s">
        <v>7</v>
      </c>
      <c r="NZ618" s="27" t="s">
        <v>7</v>
      </c>
      <c r="OB618" s="27" t="s">
        <v>7</v>
      </c>
      <c r="OC618" s="27" t="s">
        <v>8</v>
      </c>
      <c r="OD618" s="27" t="s">
        <v>7</v>
      </c>
      <c r="OE618" s="27" t="s">
        <v>8</v>
      </c>
      <c r="OF618" s="27" t="s">
        <v>7</v>
      </c>
      <c r="OG618" s="27" t="s">
        <v>8</v>
      </c>
      <c r="OH618" s="27" t="s">
        <v>7</v>
      </c>
      <c r="OI618" s="27" t="s">
        <v>8</v>
      </c>
      <c r="OJ618" s="27" t="s">
        <v>7</v>
      </c>
    </row>
    <row r="619" spans="1:400" x14ac:dyDescent="0.25">
      <c r="A619" s="7">
        <v>0.53063330351779314</v>
      </c>
      <c r="B619"/>
      <c r="C619"/>
      <c r="D619"/>
      <c r="E619"/>
      <c r="F619" s="27" t="s">
        <v>7</v>
      </c>
      <c r="JG619" s="27" t="s">
        <v>8</v>
      </c>
      <c r="JN619" s="27" t="s">
        <v>7</v>
      </c>
      <c r="JO619" s="27" t="s">
        <v>8</v>
      </c>
      <c r="JP619" s="27" t="s">
        <v>7</v>
      </c>
      <c r="JQ619" s="27" t="s">
        <v>8</v>
      </c>
      <c r="JZ619" s="27" t="s">
        <v>7</v>
      </c>
      <c r="KA619" s="27" t="s">
        <v>8</v>
      </c>
      <c r="KB619" s="27" t="s">
        <v>7</v>
      </c>
      <c r="KC619" s="27" t="s">
        <v>8</v>
      </c>
      <c r="KD619" s="27" t="s">
        <v>7</v>
      </c>
      <c r="KE619" s="27" t="s">
        <v>8</v>
      </c>
      <c r="KF619" s="27" t="s">
        <v>7</v>
      </c>
      <c r="MO619" s="27" t="s">
        <v>8</v>
      </c>
      <c r="MP619" s="27" t="s">
        <v>7</v>
      </c>
      <c r="NI619" s="27" t="s">
        <v>8</v>
      </c>
      <c r="NJ619" s="27" t="s">
        <v>7</v>
      </c>
      <c r="NQ619" s="27" t="s">
        <v>8</v>
      </c>
      <c r="NR619" s="27" t="s">
        <v>7</v>
      </c>
      <c r="NU619" s="27" t="s">
        <v>8</v>
      </c>
      <c r="OB619" s="27" t="s">
        <v>7</v>
      </c>
      <c r="OC619" s="27" t="s">
        <v>8</v>
      </c>
      <c r="OD619" s="27" t="s">
        <v>7</v>
      </c>
      <c r="OF619" s="27" t="s">
        <v>7</v>
      </c>
      <c r="OG619" s="27" t="s">
        <v>8</v>
      </c>
      <c r="OH619" s="27" t="s">
        <v>7</v>
      </c>
      <c r="OI619" s="27" t="s">
        <v>8</v>
      </c>
      <c r="OJ619" s="27" t="s">
        <v>7</v>
      </c>
    </row>
    <row r="620" spans="1:400" x14ac:dyDescent="0.25">
      <c r="A620" s="7">
        <v>0.52022872893901284</v>
      </c>
      <c r="B620"/>
      <c r="C620"/>
      <c r="D620"/>
      <c r="E620"/>
      <c r="F620" s="27" t="s">
        <v>7</v>
      </c>
      <c r="JG620" s="27" t="s">
        <v>8</v>
      </c>
      <c r="JN620" s="27" t="s">
        <v>7</v>
      </c>
      <c r="JP620" s="27" t="s">
        <v>7</v>
      </c>
      <c r="JQ620" s="27" t="s">
        <v>8</v>
      </c>
      <c r="JZ620" s="27" t="s">
        <v>7</v>
      </c>
      <c r="KA620" s="27" t="s">
        <v>8</v>
      </c>
      <c r="KB620" s="27" t="s">
        <v>7</v>
      </c>
      <c r="KC620" s="27" t="s">
        <v>8</v>
      </c>
      <c r="KD620" s="27" t="s">
        <v>7</v>
      </c>
      <c r="KF620" s="27" t="s">
        <v>7</v>
      </c>
      <c r="MO620" s="27" t="s">
        <v>8</v>
      </c>
      <c r="MP620" s="27" t="s">
        <v>7</v>
      </c>
      <c r="NI620" s="27" t="s">
        <v>8</v>
      </c>
      <c r="NJ620" s="27" t="s">
        <v>7</v>
      </c>
      <c r="NQ620" s="27" t="s">
        <v>8</v>
      </c>
      <c r="NR620" s="27" t="s">
        <v>7</v>
      </c>
      <c r="NU620" s="27" t="s">
        <v>8</v>
      </c>
      <c r="OB620" s="27" t="s">
        <v>7</v>
      </c>
      <c r="OC620" s="27" t="s">
        <v>8</v>
      </c>
      <c r="OF620" s="27" t="s">
        <v>7</v>
      </c>
      <c r="OG620" s="27" t="s">
        <v>8</v>
      </c>
      <c r="OH620" s="27" t="s">
        <v>7</v>
      </c>
      <c r="OI620" s="27" t="s">
        <v>8</v>
      </c>
      <c r="OJ620" s="27" t="s">
        <v>7</v>
      </c>
    </row>
    <row r="621" spans="1:400" x14ac:dyDescent="0.25">
      <c r="A621" s="7">
        <v>0.51002816562648323</v>
      </c>
      <c r="B621"/>
      <c r="C621"/>
      <c r="D621"/>
      <c r="E621"/>
      <c r="F621" s="27" t="s">
        <v>7</v>
      </c>
      <c r="JG621" s="27" t="s">
        <v>8</v>
      </c>
      <c r="JP621" s="27" t="s">
        <v>7</v>
      </c>
      <c r="JQ621" s="27" t="s">
        <v>8</v>
      </c>
      <c r="JZ621" s="27" t="s">
        <v>7</v>
      </c>
      <c r="KA621" s="27" t="s">
        <v>8</v>
      </c>
      <c r="KB621" s="27" t="s">
        <v>7</v>
      </c>
      <c r="KC621" s="27" t="s">
        <v>8</v>
      </c>
      <c r="KF621" s="27" t="s">
        <v>7</v>
      </c>
      <c r="KG621" s="27" t="s">
        <v>8</v>
      </c>
      <c r="ME621" s="27" t="s">
        <v>8</v>
      </c>
      <c r="MO621" s="27" t="s">
        <v>8</v>
      </c>
      <c r="MP621" s="27" t="s">
        <v>7</v>
      </c>
      <c r="NI621" s="27" t="s">
        <v>8</v>
      </c>
      <c r="NJ621" s="27" t="s">
        <v>7</v>
      </c>
      <c r="NQ621" s="27" t="s">
        <v>8</v>
      </c>
      <c r="NR621" s="27" t="s">
        <v>7</v>
      </c>
      <c r="NS621" s="27" t="s">
        <v>8</v>
      </c>
      <c r="NU621" s="27" t="s">
        <v>8</v>
      </c>
      <c r="OB621" s="27" t="s">
        <v>7</v>
      </c>
      <c r="OC621" s="27" t="s">
        <v>8</v>
      </c>
      <c r="OF621" s="27" t="s">
        <v>7</v>
      </c>
      <c r="OG621" s="27" t="s">
        <v>8</v>
      </c>
      <c r="OH621" s="27" t="s">
        <v>7</v>
      </c>
      <c r="OJ621" s="27" t="s">
        <v>7</v>
      </c>
    </row>
    <row r="622" spans="1:400" x14ac:dyDescent="0.25">
      <c r="A622" s="7">
        <v>0.50002761335929735</v>
      </c>
      <c r="B622"/>
      <c r="C622"/>
      <c r="D622"/>
      <c r="E622"/>
      <c r="F622" s="27" t="s">
        <v>7</v>
      </c>
      <c r="JG622" s="27" t="s">
        <v>8</v>
      </c>
      <c r="JP622" s="27" t="s">
        <v>7</v>
      </c>
      <c r="JQ622" s="27" t="s">
        <v>8</v>
      </c>
      <c r="JZ622" s="27" t="s">
        <v>7</v>
      </c>
      <c r="KB622" s="27" t="s">
        <v>7</v>
      </c>
      <c r="KC622" s="27" t="s">
        <v>8</v>
      </c>
      <c r="KF622" s="27" t="s">
        <v>7</v>
      </c>
      <c r="KG622" s="27" t="s">
        <v>8</v>
      </c>
      <c r="KH622" s="27" t="s">
        <v>7</v>
      </c>
      <c r="ME622" s="27" t="s">
        <v>8</v>
      </c>
      <c r="MF622" s="27" t="s">
        <v>7</v>
      </c>
      <c r="MM622" s="27" t="s">
        <v>8</v>
      </c>
      <c r="MO622" s="27" t="s">
        <v>8</v>
      </c>
      <c r="MP622" s="27" t="s">
        <v>7</v>
      </c>
      <c r="NI622" s="27" t="s">
        <v>8</v>
      </c>
      <c r="NJ622" s="27" t="s">
        <v>7</v>
      </c>
      <c r="NK622" s="27" t="s">
        <v>8</v>
      </c>
      <c r="NQ622" s="27" t="s">
        <v>8</v>
      </c>
      <c r="NR622" s="27" t="s">
        <v>7</v>
      </c>
      <c r="NS622" s="27" t="s">
        <v>8</v>
      </c>
      <c r="NT622" s="27" t="s">
        <v>7</v>
      </c>
      <c r="NU622" s="27" t="s">
        <v>8</v>
      </c>
      <c r="OB622" s="27" t="s">
        <v>7</v>
      </c>
      <c r="OF622" s="27" t="s">
        <v>7</v>
      </c>
      <c r="OG622" s="27" t="s">
        <v>8</v>
      </c>
      <c r="OJ622" s="27" t="s">
        <v>7</v>
      </c>
    </row>
    <row r="623" spans="1:400" x14ac:dyDescent="0.25">
      <c r="A623" s="7">
        <v>0.49022315035225228</v>
      </c>
      <c r="B623"/>
      <c r="C623"/>
      <c r="D623"/>
      <c r="E623"/>
      <c r="F623" s="27" t="s">
        <v>7</v>
      </c>
      <c r="JG623" s="27" t="s">
        <v>8</v>
      </c>
      <c r="JP623" s="27" t="s">
        <v>7</v>
      </c>
      <c r="JQ623" s="27" t="s">
        <v>8</v>
      </c>
      <c r="KB623" s="27" t="s">
        <v>7</v>
      </c>
      <c r="KF623" s="27" t="s">
        <v>7</v>
      </c>
      <c r="KG623" s="27" t="s">
        <v>8</v>
      </c>
      <c r="KH623" s="27" t="s">
        <v>7</v>
      </c>
      <c r="ME623" s="27" t="s">
        <v>8</v>
      </c>
      <c r="MF623" s="27" t="s">
        <v>7</v>
      </c>
      <c r="MM623" s="27" t="s">
        <v>8</v>
      </c>
      <c r="MN623" s="27" t="s">
        <v>7</v>
      </c>
      <c r="MO623" s="27" t="s">
        <v>8</v>
      </c>
      <c r="MP623" s="27" t="s">
        <v>7</v>
      </c>
      <c r="NI623" s="27" t="s">
        <v>8</v>
      </c>
      <c r="NJ623" s="27" t="s">
        <v>7</v>
      </c>
      <c r="NK623" s="27" t="s">
        <v>8</v>
      </c>
      <c r="NL623" s="27" t="s">
        <v>7</v>
      </c>
      <c r="NQ623" s="27" t="s">
        <v>8</v>
      </c>
      <c r="NR623" s="27" t="s">
        <v>7</v>
      </c>
      <c r="NS623" s="27" t="s">
        <v>8</v>
      </c>
      <c r="NT623" s="27" t="s">
        <v>7</v>
      </c>
      <c r="NU623" s="27" t="s">
        <v>8</v>
      </c>
      <c r="OF623" s="27" t="s">
        <v>7</v>
      </c>
      <c r="OG623" s="27" t="s">
        <v>8</v>
      </c>
      <c r="OJ623" s="27" t="s">
        <v>7</v>
      </c>
    </row>
    <row r="624" spans="1:400" x14ac:dyDescent="0.25">
      <c r="A624" s="7">
        <v>0.48061093171789437</v>
      </c>
      <c r="B624"/>
      <c r="C624"/>
      <c r="D624"/>
      <c r="E624"/>
      <c r="F624" s="27" t="s">
        <v>7</v>
      </c>
      <c r="JG624" s="27" t="s">
        <v>8</v>
      </c>
      <c r="JP624" s="27" t="s">
        <v>7</v>
      </c>
      <c r="JQ624" s="27" t="s">
        <v>8</v>
      </c>
      <c r="KF624" s="27" t="s">
        <v>7</v>
      </c>
      <c r="KG624" s="27" t="s">
        <v>8</v>
      </c>
      <c r="KH624" s="27" t="s">
        <v>7</v>
      </c>
      <c r="ME624" s="27" t="s">
        <v>8</v>
      </c>
      <c r="MF624" s="27" t="s">
        <v>7</v>
      </c>
      <c r="MG624" s="27" t="s">
        <v>8</v>
      </c>
      <c r="MM624" s="27" t="s">
        <v>8</v>
      </c>
      <c r="MN624" s="27" t="s">
        <v>7</v>
      </c>
      <c r="MO624" s="27" t="s">
        <v>8</v>
      </c>
      <c r="MP624" s="27" t="s">
        <v>7</v>
      </c>
      <c r="NI624" s="27" t="s">
        <v>8</v>
      </c>
      <c r="NJ624" s="27" t="s">
        <v>7</v>
      </c>
      <c r="NK624" s="27" t="s">
        <v>8</v>
      </c>
      <c r="NL624" s="27" t="s">
        <v>7</v>
      </c>
      <c r="NQ624" s="27" t="s">
        <v>8</v>
      </c>
      <c r="NR624" s="27" t="s">
        <v>7</v>
      </c>
      <c r="NT624" s="27" t="s">
        <v>7</v>
      </c>
      <c r="NU624" s="27" t="s">
        <v>8</v>
      </c>
      <c r="OF624" s="27" t="s">
        <v>7</v>
      </c>
      <c r="OG624" s="27" t="s">
        <v>8</v>
      </c>
      <c r="OJ624" s="27" t="s">
        <v>7</v>
      </c>
    </row>
    <row r="625" spans="1:416" x14ac:dyDescent="0.25">
      <c r="A625" s="7">
        <v>0.47118718795871994</v>
      </c>
      <c r="B625"/>
      <c r="C625"/>
      <c r="D625"/>
      <c r="E625"/>
      <c r="F625" s="27" t="s">
        <v>7</v>
      </c>
      <c r="JG625" s="27" t="s">
        <v>8</v>
      </c>
      <c r="JP625" s="27" t="s">
        <v>7</v>
      </c>
      <c r="JQ625" s="27" t="s">
        <v>8</v>
      </c>
      <c r="KF625" s="27" t="s">
        <v>7</v>
      </c>
      <c r="KG625" s="27" t="s">
        <v>8</v>
      </c>
      <c r="KH625" s="27" t="s">
        <v>7</v>
      </c>
      <c r="KI625" s="27" t="s">
        <v>8</v>
      </c>
      <c r="ME625" s="27" t="s">
        <v>8</v>
      </c>
      <c r="MF625" s="27" t="s">
        <v>7</v>
      </c>
      <c r="MG625" s="27" t="s">
        <v>8</v>
      </c>
      <c r="MH625" s="27" t="s">
        <v>7</v>
      </c>
      <c r="MM625" s="27" t="s">
        <v>8</v>
      </c>
      <c r="MN625" s="27" t="s">
        <v>7</v>
      </c>
      <c r="MO625" s="27" t="s">
        <v>8</v>
      </c>
      <c r="MP625" s="27" t="s">
        <v>7</v>
      </c>
      <c r="NI625" s="27" t="s">
        <v>8</v>
      </c>
      <c r="NJ625" s="27" t="s">
        <v>7</v>
      </c>
      <c r="NK625" s="27" t="s">
        <v>8</v>
      </c>
      <c r="NL625" s="27" t="s">
        <v>7</v>
      </c>
      <c r="NQ625" s="27" t="s">
        <v>8</v>
      </c>
      <c r="NT625" s="27" t="s">
        <v>7</v>
      </c>
      <c r="NU625" s="27" t="s">
        <v>8</v>
      </c>
      <c r="OF625" s="27" t="s">
        <v>7</v>
      </c>
      <c r="OJ625" s="27" t="s">
        <v>7</v>
      </c>
    </row>
    <row r="626" spans="1:416" x14ac:dyDescent="0.25">
      <c r="A626" s="7">
        <v>0.46194822348894116</v>
      </c>
      <c r="B626"/>
      <c r="C626"/>
      <c r="D626"/>
      <c r="E626"/>
      <c r="F626" s="27" t="s">
        <v>7</v>
      </c>
      <c r="JG626" s="27" t="s">
        <v>8</v>
      </c>
      <c r="JP626" s="27" t="s">
        <v>7</v>
      </c>
      <c r="KF626" s="27" t="s">
        <v>7</v>
      </c>
      <c r="KG626" s="27" t="s">
        <v>8</v>
      </c>
      <c r="KH626" s="27" t="s">
        <v>7</v>
      </c>
      <c r="KI626" s="27" t="s">
        <v>8</v>
      </c>
      <c r="KJ626" s="27" t="s">
        <v>7</v>
      </c>
      <c r="ME626" s="27" t="s">
        <v>8</v>
      </c>
      <c r="MF626" s="27" t="s">
        <v>7</v>
      </c>
      <c r="MG626" s="27" t="s">
        <v>8</v>
      </c>
      <c r="MH626" s="27" t="s">
        <v>7</v>
      </c>
      <c r="MI626" s="27" t="s">
        <v>8</v>
      </c>
      <c r="MK626" s="27" t="s">
        <v>8</v>
      </c>
      <c r="MM626" s="27" t="s">
        <v>8</v>
      </c>
      <c r="MN626" s="27" t="s">
        <v>7</v>
      </c>
      <c r="MP626" s="27" t="s">
        <v>7</v>
      </c>
      <c r="NI626" s="27" t="s">
        <v>8</v>
      </c>
      <c r="NJ626" s="27" t="s">
        <v>7</v>
      </c>
      <c r="NL626" s="27" t="s">
        <v>7</v>
      </c>
      <c r="NM626" s="27" t="s">
        <v>8</v>
      </c>
      <c r="NQ626" s="27" t="s">
        <v>8</v>
      </c>
      <c r="NT626" s="27" t="s">
        <v>7</v>
      </c>
      <c r="NU626" s="27" t="s">
        <v>8</v>
      </c>
      <c r="OJ626" s="27" t="s">
        <v>7</v>
      </c>
    </row>
    <row r="627" spans="1:416" x14ac:dyDescent="0.25">
      <c r="A627" s="7">
        <v>0.45289041518523643</v>
      </c>
      <c r="B627"/>
      <c r="C627"/>
      <c r="D627"/>
      <c r="E627"/>
      <c r="F627" s="27" t="s">
        <v>7</v>
      </c>
      <c r="JG627" s="27" t="s">
        <v>8</v>
      </c>
      <c r="KF627" s="27" t="s">
        <v>7</v>
      </c>
      <c r="KG627" s="27" t="s">
        <v>8</v>
      </c>
      <c r="KH627" s="27" t="s">
        <v>7</v>
      </c>
      <c r="KI627" s="27" t="s">
        <v>8</v>
      </c>
      <c r="KJ627" s="27" t="s">
        <v>7</v>
      </c>
      <c r="ME627" s="27" t="s">
        <v>8</v>
      </c>
      <c r="MF627" s="27" t="s">
        <v>7</v>
      </c>
      <c r="MG627" s="27" t="s">
        <v>8</v>
      </c>
      <c r="MH627" s="27" t="s">
        <v>7</v>
      </c>
      <c r="MI627" s="27" t="s">
        <v>8</v>
      </c>
      <c r="MJ627" s="27" t="s">
        <v>7</v>
      </c>
      <c r="MK627" s="27" t="s">
        <v>8</v>
      </c>
      <c r="ML627" s="27" t="s">
        <v>7</v>
      </c>
      <c r="MM627" s="27" t="s">
        <v>8</v>
      </c>
      <c r="MP627" s="27" t="s">
        <v>7</v>
      </c>
      <c r="NI627" s="27" t="s">
        <v>8</v>
      </c>
      <c r="NL627" s="27" t="s">
        <v>7</v>
      </c>
      <c r="NM627" s="27" t="s">
        <v>8</v>
      </c>
      <c r="NN627" s="27" t="s">
        <v>7</v>
      </c>
      <c r="NO627" s="27" t="s">
        <v>8</v>
      </c>
      <c r="NQ627" s="27" t="s">
        <v>8</v>
      </c>
      <c r="NT627" s="27" t="s">
        <v>7</v>
      </c>
      <c r="OJ627" s="27" t="s">
        <v>7</v>
      </c>
    </row>
    <row r="628" spans="1:416" x14ac:dyDescent="0.25">
      <c r="A628" s="7">
        <v>0.44401021096591808</v>
      </c>
      <c r="B628"/>
      <c r="C628"/>
      <c r="D628"/>
      <c r="E628"/>
      <c r="F628" s="27" t="s">
        <v>7</v>
      </c>
      <c r="JG628" s="27" t="s">
        <v>8</v>
      </c>
      <c r="KF628" s="27" t="s">
        <v>7</v>
      </c>
      <c r="KG628" s="27" t="s">
        <v>8</v>
      </c>
      <c r="KH628" s="27" t="s">
        <v>7</v>
      </c>
      <c r="KI628" s="27" t="s">
        <v>8</v>
      </c>
      <c r="KJ628" s="27" t="s">
        <v>7</v>
      </c>
      <c r="MC628" s="27" t="s">
        <v>8</v>
      </c>
      <c r="ME628" s="27" t="s">
        <v>8</v>
      </c>
      <c r="MF628" s="27" t="s">
        <v>7</v>
      </c>
      <c r="MG628" s="27" t="s">
        <v>8</v>
      </c>
      <c r="MH628" s="27" t="s">
        <v>7</v>
      </c>
      <c r="MI628" s="27" t="s">
        <v>8</v>
      </c>
      <c r="MJ628" s="27" t="s">
        <v>7</v>
      </c>
      <c r="MK628" s="27" t="s">
        <v>8</v>
      </c>
      <c r="ML628" s="27" t="s">
        <v>7</v>
      </c>
      <c r="MM628" s="27" t="s">
        <v>8</v>
      </c>
      <c r="MP628" s="27" t="s">
        <v>7</v>
      </c>
      <c r="NI628" s="27" t="s">
        <v>8</v>
      </c>
      <c r="NL628" s="27" t="s">
        <v>7</v>
      </c>
      <c r="NM628" s="27" t="s">
        <v>8</v>
      </c>
      <c r="NN628" s="27" t="s">
        <v>7</v>
      </c>
      <c r="NO628" s="27" t="s">
        <v>8</v>
      </c>
      <c r="NP628" s="27" t="s">
        <v>7</v>
      </c>
      <c r="NQ628" s="27" t="s">
        <v>8</v>
      </c>
      <c r="OJ628" s="27" t="s">
        <v>7</v>
      </c>
      <c r="OW628" s="27" t="s">
        <v>8</v>
      </c>
    </row>
    <row r="629" spans="1:416" x14ac:dyDescent="0.25">
      <c r="A629" s="7">
        <v>0.4353041283979589</v>
      </c>
      <c r="B629"/>
      <c r="C629"/>
      <c r="D629"/>
      <c r="E629"/>
      <c r="F629" s="27" t="s">
        <v>7</v>
      </c>
      <c r="JG629" s="27" t="s">
        <v>8</v>
      </c>
      <c r="KF629" s="27" t="s">
        <v>7</v>
      </c>
      <c r="KG629" s="27" t="s">
        <v>8</v>
      </c>
      <c r="KH629" s="27" t="s">
        <v>7</v>
      </c>
      <c r="KI629" s="27" t="s">
        <v>8</v>
      </c>
      <c r="KJ629" s="27" t="s">
        <v>7</v>
      </c>
      <c r="MC629" s="27" t="s">
        <v>8</v>
      </c>
      <c r="MD629" s="27" t="s">
        <v>7</v>
      </c>
      <c r="ME629" s="27" t="s">
        <v>8</v>
      </c>
      <c r="MF629" s="27" t="s">
        <v>7</v>
      </c>
      <c r="MG629" s="27" t="s">
        <v>8</v>
      </c>
      <c r="MH629" s="27" t="s">
        <v>7</v>
      </c>
      <c r="MI629" s="27" t="s">
        <v>8</v>
      </c>
      <c r="MJ629" s="27" t="s">
        <v>7</v>
      </c>
      <c r="ML629" s="27" t="s">
        <v>7</v>
      </c>
      <c r="MM629" s="27" t="s">
        <v>8</v>
      </c>
      <c r="MP629" s="27" t="s">
        <v>7</v>
      </c>
      <c r="NI629" s="27" t="s">
        <v>8</v>
      </c>
      <c r="NL629" s="27" t="s">
        <v>7</v>
      </c>
      <c r="NN629" s="27" t="s">
        <v>7</v>
      </c>
      <c r="NO629" s="27" t="s">
        <v>8</v>
      </c>
      <c r="NP629" s="27" t="s">
        <v>7</v>
      </c>
      <c r="NQ629" s="27" t="s">
        <v>8</v>
      </c>
      <c r="OJ629" s="27" t="s">
        <v>7</v>
      </c>
      <c r="OW629" s="27" t="s">
        <v>8</v>
      </c>
      <c r="OX629" s="27" t="s">
        <v>7</v>
      </c>
    </row>
    <row r="630" spans="1:416" x14ac:dyDescent="0.25">
      <c r="A630" s="7">
        <v>0.4267687533313323</v>
      </c>
      <c r="B630"/>
      <c r="C630"/>
      <c r="D630"/>
      <c r="E630"/>
      <c r="F630" s="27" t="s">
        <v>7</v>
      </c>
      <c r="JG630" s="27" t="s">
        <v>8</v>
      </c>
      <c r="KF630" s="27" t="s">
        <v>7</v>
      </c>
      <c r="KG630" s="27" t="s">
        <v>8</v>
      </c>
      <c r="KH630" s="27" t="s">
        <v>7</v>
      </c>
      <c r="KI630" s="27" t="s">
        <v>8</v>
      </c>
      <c r="KJ630" s="27" t="s">
        <v>7</v>
      </c>
      <c r="MC630" s="27" t="s">
        <v>8</v>
      </c>
      <c r="MD630" s="27" t="s">
        <v>7</v>
      </c>
      <c r="ME630" s="27" t="s">
        <v>8</v>
      </c>
      <c r="MF630" s="27" t="s">
        <v>7</v>
      </c>
      <c r="MH630" s="27" t="s">
        <v>7</v>
      </c>
      <c r="MI630" s="27" t="s">
        <v>8</v>
      </c>
      <c r="ML630" s="27" t="s">
        <v>7</v>
      </c>
      <c r="MP630" s="27" t="s">
        <v>7</v>
      </c>
      <c r="MU630" s="27" t="s">
        <v>8</v>
      </c>
      <c r="NI630" s="27" t="s">
        <v>8</v>
      </c>
      <c r="NN630" s="27" t="s">
        <v>7</v>
      </c>
      <c r="NO630" s="27" t="s">
        <v>8</v>
      </c>
      <c r="NP630" s="27" t="s">
        <v>7</v>
      </c>
      <c r="NQ630" s="27" t="s">
        <v>8</v>
      </c>
      <c r="OJ630" s="27" t="s">
        <v>7</v>
      </c>
      <c r="OK630" s="27" t="s">
        <v>8</v>
      </c>
      <c r="OM630" s="27" t="s">
        <v>8</v>
      </c>
      <c r="OW630" s="27" t="s">
        <v>8</v>
      </c>
      <c r="OX630" s="27" t="s">
        <v>7</v>
      </c>
    </row>
    <row r="631" spans="1:416" x14ac:dyDescent="0.25">
      <c r="A631" s="7">
        <v>0.41840073856012971</v>
      </c>
      <c r="B631"/>
      <c r="C631"/>
      <c r="D631"/>
      <c r="E631"/>
      <c r="F631" s="27" t="s">
        <v>7</v>
      </c>
      <c r="JG631" s="27" t="s">
        <v>8</v>
      </c>
      <c r="KF631" s="27" t="s">
        <v>7</v>
      </c>
      <c r="KG631" s="27" t="s">
        <v>8</v>
      </c>
      <c r="KH631" s="27" t="s">
        <v>7</v>
      </c>
      <c r="KI631" s="27" t="s">
        <v>8</v>
      </c>
      <c r="KJ631" s="27" t="s">
        <v>7</v>
      </c>
      <c r="KM631" s="27" t="s">
        <v>8</v>
      </c>
      <c r="MC631" s="27" t="s">
        <v>8</v>
      </c>
      <c r="MD631" s="27" t="s">
        <v>7</v>
      </c>
      <c r="ME631" s="27" t="s">
        <v>8</v>
      </c>
      <c r="MH631" s="27" t="s">
        <v>7</v>
      </c>
      <c r="MI631" s="27" t="s">
        <v>8</v>
      </c>
      <c r="MP631" s="27" t="s">
        <v>7</v>
      </c>
      <c r="MQ631" s="27" t="s">
        <v>8</v>
      </c>
      <c r="MU631" s="27" t="s">
        <v>8</v>
      </c>
      <c r="MV631" s="27" t="s">
        <v>7</v>
      </c>
      <c r="NE631" s="27" t="s">
        <v>8</v>
      </c>
      <c r="NI631" s="27" t="s">
        <v>8</v>
      </c>
      <c r="NN631" s="27" t="s">
        <v>7</v>
      </c>
      <c r="NP631" s="27" t="s">
        <v>7</v>
      </c>
      <c r="NQ631" s="27" t="s">
        <v>8</v>
      </c>
      <c r="OJ631" s="27" t="s">
        <v>7</v>
      </c>
      <c r="OK631" s="27" t="s">
        <v>8</v>
      </c>
      <c r="OL631" s="27" t="s">
        <v>7</v>
      </c>
      <c r="OM631" s="27" t="s">
        <v>8</v>
      </c>
      <c r="ON631" s="27" t="s">
        <v>7</v>
      </c>
      <c r="OW631" s="27" t="s">
        <v>8</v>
      </c>
      <c r="OX631" s="27" t="s">
        <v>7</v>
      </c>
    </row>
    <row r="632" spans="1:416" x14ac:dyDescent="0.25">
      <c r="A632" s="7">
        <v>0.41019680250993112</v>
      </c>
      <c r="B632"/>
      <c r="C632"/>
      <c r="D632"/>
      <c r="E632"/>
      <c r="F632" s="27" t="s">
        <v>7</v>
      </c>
      <c r="JE632" s="27" t="s">
        <v>8</v>
      </c>
      <c r="JG632" s="27" t="s">
        <v>8</v>
      </c>
      <c r="KF632" s="27" t="s">
        <v>7</v>
      </c>
      <c r="KG632" s="27" t="s">
        <v>8</v>
      </c>
      <c r="KH632" s="27" t="s">
        <v>7</v>
      </c>
      <c r="KI632" s="27" t="s">
        <v>8</v>
      </c>
      <c r="KJ632" s="27" t="s">
        <v>7</v>
      </c>
      <c r="KM632" s="27" t="s">
        <v>8</v>
      </c>
      <c r="KN632" s="27" t="s">
        <v>7</v>
      </c>
      <c r="MC632" s="27" t="s">
        <v>8</v>
      </c>
      <c r="MD632" s="27" t="s">
        <v>7</v>
      </c>
      <c r="ME632" s="27" t="s">
        <v>8</v>
      </c>
      <c r="MH632" s="27" t="s">
        <v>7</v>
      </c>
      <c r="MI632" s="27" t="s">
        <v>8</v>
      </c>
      <c r="MP632" s="27" t="s">
        <v>7</v>
      </c>
      <c r="MQ632" s="27" t="s">
        <v>8</v>
      </c>
      <c r="MR632" s="27" t="s">
        <v>7</v>
      </c>
      <c r="MU632" s="27" t="s">
        <v>8</v>
      </c>
      <c r="MV632" s="27" t="s">
        <v>7</v>
      </c>
      <c r="NE632" s="27" t="s">
        <v>8</v>
      </c>
      <c r="NF632" s="27" t="s">
        <v>7</v>
      </c>
      <c r="NI632" s="27" t="s">
        <v>8</v>
      </c>
      <c r="NP632" s="27" t="s">
        <v>7</v>
      </c>
      <c r="NQ632" s="27" t="s">
        <v>8</v>
      </c>
      <c r="OJ632" s="27" t="s">
        <v>7</v>
      </c>
      <c r="OK632" s="27" t="s">
        <v>8</v>
      </c>
      <c r="OL632" s="27" t="s">
        <v>7</v>
      </c>
      <c r="OM632" s="27" t="s">
        <v>8</v>
      </c>
      <c r="ON632" s="27" t="s">
        <v>7</v>
      </c>
      <c r="OW632" s="27" t="s">
        <v>8</v>
      </c>
      <c r="OX632" s="27" t="s">
        <v>7</v>
      </c>
    </row>
    <row r="633" spans="1:416" x14ac:dyDescent="0.25">
      <c r="A633" s="7">
        <v>0.40215372795091286</v>
      </c>
      <c r="B633"/>
      <c r="C633"/>
      <c r="D633"/>
      <c r="E633"/>
      <c r="F633" s="27" t="s">
        <v>7</v>
      </c>
      <c r="JE633" s="27" t="s">
        <v>8</v>
      </c>
      <c r="JF633" s="27" t="s">
        <v>7</v>
      </c>
      <c r="JG633" s="27" t="s">
        <v>8</v>
      </c>
      <c r="KF633" s="27" t="s">
        <v>7</v>
      </c>
      <c r="KG633" s="27" t="s">
        <v>8</v>
      </c>
      <c r="KH633" s="27" t="s">
        <v>7</v>
      </c>
      <c r="KI633" s="27" t="s">
        <v>8</v>
      </c>
      <c r="KJ633" s="27" t="s">
        <v>7</v>
      </c>
      <c r="KK633" s="27" t="s">
        <v>8</v>
      </c>
      <c r="KM633" s="27" t="s">
        <v>8</v>
      </c>
      <c r="KN633" s="27" t="s">
        <v>7</v>
      </c>
      <c r="MA633" s="27" t="s">
        <v>8</v>
      </c>
      <c r="MC633" s="27" t="s">
        <v>8</v>
      </c>
      <c r="MD633" s="27" t="s">
        <v>7</v>
      </c>
      <c r="ME633" s="27" t="s">
        <v>8</v>
      </c>
      <c r="MH633" s="27" t="s">
        <v>7</v>
      </c>
      <c r="MI633" s="27" t="s">
        <v>8</v>
      </c>
      <c r="MP633" s="27" t="s">
        <v>7</v>
      </c>
      <c r="MQ633" s="27" t="s">
        <v>8</v>
      </c>
      <c r="MR633" s="27" t="s">
        <v>7</v>
      </c>
      <c r="MU633" s="27" t="s">
        <v>8</v>
      </c>
      <c r="MV633" s="27" t="s">
        <v>7</v>
      </c>
      <c r="NE633" s="27" t="s">
        <v>8</v>
      </c>
      <c r="NF633" s="27" t="s">
        <v>7</v>
      </c>
      <c r="NI633" s="27" t="s">
        <v>8</v>
      </c>
      <c r="NP633" s="27" t="s">
        <v>7</v>
      </c>
      <c r="NQ633" s="27" t="s">
        <v>8</v>
      </c>
      <c r="OJ633" s="27" t="s">
        <v>7</v>
      </c>
      <c r="OK633" s="27" t="s">
        <v>8</v>
      </c>
      <c r="OL633" s="27" t="s">
        <v>7</v>
      </c>
      <c r="OM633" s="27" t="s">
        <v>8</v>
      </c>
      <c r="ON633" s="27" t="s">
        <v>7</v>
      </c>
      <c r="OU633" s="27" t="s">
        <v>8</v>
      </c>
      <c r="OW633" s="27" t="s">
        <v>8</v>
      </c>
      <c r="OX633" s="27" t="s">
        <v>7</v>
      </c>
    </row>
    <row r="634" spans="1:416" x14ac:dyDescent="0.25">
      <c r="A634" s="7">
        <v>0.39426836073618904</v>
      </c>
      <c r="B634"/>
      <c r="C634"/>
      <c r="D634"/>
      <c r="E634"/>
      <c r="F634" s="27" t="s">
        <v>7</v>
      </c>
      <c r="JE634" s="27" t="s">
        <v>8</v>
      </c>
      <c r="JF634" s="27" t="s">
        <v>7</v>
      </c>
      <c r="JG634" s="27" t="s">
        <v>8</v>
      </c>
      <c r="KF634" s="27" t="s">
        <v>7</v>
      </c>
      <c r="KG634" s="27" t="s">
        <v>8</v>
      </c>
      <c r="KH634" s="27" t="s">
        <v>7</v>
      </c>
      <c r="KI634" s="27" t="s">
        <v>8</v>
      </c>
      <c r="KJ634" s="27" t="s">
        <v>7</v>
      </c>
      <c r="KK634" s="27" t="s">
        <v>8</v>
      </c>
      <c r="KL634" s="27" t="s">
        <v>7</v>
      </c>
      <c r="KM634" s="27" t="s">
        <v>8</v>
      </c>
      <c r="KN634" s="27" t="s">
        <v>7</v>
      </c>
      <c r="MA634" s="27" t="s">
        <v>8</v>
      </c>
      <c r="MB634" s="27" t="s">
        <v>7</v>
      </c>
      <c r="MC634" s="27" t="s">
        <v>8</v>
      </c>
      <c r="MD634" s="27" t="s">
        <v>7</v>
      </c>
      <c r="ME634" s="27" t="s">
        <v>8</v>
      </c>
      <c r="MH634" s="27" t="s">
        <v>7</v>
      </c>
      <c r="MP634" s="27" t="s">
        <v>7</v>
      </c>
      <c r="MQ634" s="27" t="s">
        <v>8</v>
      </c>
      <c r="MR634" s="27" t="s">
        <v>7</v>
      </c>
      <c r="MS634" s="27" t="s">
        <v>8</v>
      </c>
      <c r="MU634" s="27" t="s">
        <v>8</v>
      </c>
      <c r="MV634" s="27" t="s">
        <v>7</v>
      </c>
      <c r="MW634" s="27" t="s">
        <v>8</v>
      </c>
      <c r="NE634" s="27" t="s">
        <v>8</v>
      </c>
      <c r="NF634" s="27" t="s">
        <v>7</v>
      </c>
      <c r="NI634" s="27" t="s">
        <v>8</v>
      </c>
      <c r="NP634" s="27" t="s">
        <v>7</v>
      </c>
      <c r="NQ634" s="27" t="s">
        <v>8</v>
      </c>
      <c r="OJ634" s="27" t="s">
        <v>7</v>
      </c>
      <c r="OK634" s="27" t="s">
        <v>8</v>
      </c>
      <c r="OL634" s="27" t="s">
        <v>7</v>
      </c>
      <c r="OM634" s="27" t="s">
        <v>8</v>
      </c>
      <c r="ON634" s="27" t="s">
        <v>7</v>
      </c>
      <c r="OO634" s="27" t="s">
        <v>8</v>
      </c>
      <c r="OU634" s="27" t="s">
        <v>8</v>
      </c>
      <c r="OV634" s="27" t="s">
        <v>7</v>
      </c>
      <c r="OW634" s="27" t="s">
        <v>8</v>
      </c>
      <c r="OX634" s="27" t="s">
        <v>7</v>
      </c>
      <c r="OY634" s="27" t="s">
        <v>8</v>
      </c>
    </row>
    <row r="635" spans="1:416" x14ac:dyDescent="0.25">
      <c r="A635" s="7">
        <v>0.38653760856489122</v>
      </c>
      <c r="B635"/>
      <c r="C635"/>
      <c r="D635"/>
      <c r="E635"/>
      <c r="F635" s="27" t="s">
        <v>7</v>
      </c>
      <c r="JE635" s="27" t="s">
        <v>8</v>
      </c>
      <c r="JF635" s="27" t="s">
        <v>7</v>
      </c>
      <c r="JG635" s="27" t="s">
        <v>8</v>
      </c>
      <c r="KF635" s="27" t="s">
        <v>7</v>
      </c>
      <c r="KG635" s="27" t="s">
        <v>8</v>
      </c>
      <c r="KH635" s="27" t="s">
        <v>7</v>
      </c>
      <c r="KI635" s="27" t="s">
        <v>8</v>
      </c>
      <c r="KJ635" s="27" t="s">
        <v>7</v>
      </c>
      <c r="KK635" s="27" t="s">
        <v>8</v>
      </c>
      <c r="KL635" s="27" t="s">
        <v>7</v>
      </c>
      <c r="KM635" s="27" t="s">
        <v>8</v>
      </c>
      <c r="KN635" s="27" t="s">
        <v>7</v>
      </c>
      <c r="KO635" s="27" t="s">
        <v>8</v>
      </c>
      <c r="MA635" s="27" t="s">
        <v>8</v>
      </c>
      <c r="MB635" s="27" t="s">
        <v>7</v>
      </c>
      <c r="MC635" s="27" t="s">
        <v>8</v>
      </c>
      <c r="MD635" s="27" t="s">
        <v>7</v>
      </c>
      <c r="ME635" s="27" t="s">
        <v>8</v>
      </c>
      <c r="MP635" s="27" t="s">
        <v>7</v>
      </c>
      <c r="MQ635" s="27" t="s">
        <v>8</v>
      </c>
      <c r="MR635" s="27" t="s">
        <v>7</v>
      </c>
      <c r="MS635" s="27" t="s">
        <v>8</v>
      </c>
      <c r="MT635" s="27" t="s">
        <v>7</v>
      </c>
      <c r="MU635" s="27" t="s">
        <v>8</v>
      </c>
      <c r="MV635" s="27" t="s">
        <v>7</v>
      </c>
      <c r="MW635" s="27" t="s">
        <v>8</v>
      </c>
      <c r="MX635" s="27" t="s">
        <v>7</v>
      </c>
      <c r="NE635" s="27" t="s">
        <v>8</v>
      </c>
      <c r="NF635" s="27" t="s">
        <v>7</v>
      </c>
      <c r="NG635" s="27" t="s">
        <v>8</v>
      </c>
      <c r="NI635" s="27" t="s">
        <v>8</v>
      </c>
      <c r="NP635" s="27" t="s">
        <v>7</v>
      </c>
      <c r="NQ635" s="27" t="s">
        <v>8</v>
      </c>
      <c r="OJ635" s="27" t="s">
        <v>7</v>
      </c>
      <c r="OK635" s="27" t="s">
        <v>8</v>
      </c>
      <c r="OL635" s="27" t="s">
        <v>7</v>
      </c>
      <c r="OM635" s="27" t="s">
        <v>8</v>
      </c>
      <c r="ON635" s="27" t="s">
        <v>7</v>
      </c>
      <c r="OO635" s="27" t="s">
        <v>8</v>
      </c>
      <c r="OP635" s="27" t="s">
        <v>7</v>
      </c>
      <c r="OU635" s="27" t="s">
        <v>8</v>
      </c>
      <c r="OV635" s="27" t="s">
        <v>7</v>
      </c>
      <c r="OW635" s="27" t="s">
        <v>8</v>
      </c>
      <c r="OX635" s="27" t="s">
        <v>7</v>
      </c>
      <c r="OY635" s="27" t="s">
        <v>8</v>
      </c>
      <c r="OZ635" s="27" t="s">
        <v>7</v>
      </c>
    </row>
    <row r="636" spans="1:416" x14ac:dyDescent="0.25">
      <c r="A636" s="7">
        <v>0.37895843976950117</v>
      </c>
      <c r="B636"/>
      <c r="C636"/>
      <c r="D636"/>
      <c r="E636"/>
      <c r="F636" s="27" t="s">
        <v>7</v>
      </c>
      <c r="JE636" s="27" t="s">
        <v>8</v>
      </c>
      <c r="JF636" s="27" t="s">
        <v>7</v>
      </c>
      <c r="JG636" s="27" t="s">
        <v>8</v>
      </c>
      <c r="KF636" s="27" t="s">
        <v>7</v>
      </c>
      <c r="KG636" s="27" t="s">
        <v>8</v>
      </c>
      <c r="KH636" s="27" t="s">
        <v>7</v>
      </c>
      <c r="KI636" s="27" t="s">
        <v>8</v>
      </c>
      <c r="KJ636" s="27" t="s">
        <v>7</v>
      </c>
      <c r="KK636" s="27" t="s">
        <v>8</v>
      </c>
      <c r="KL636" s="27" t="s">
        <v>7</v>
      </c>
      <c r="KM636" s="27" t="s">
        <v>8</v>
      </c>
      <c r="KN636" s="27" t="s">
        <v>7</v>
      </c>
      <c r="KO636" s="27" t="s">
        <v>8</v>
      </c>
      <c r="KP636" s="27" t="s">
        <v>7</v>
      </c>
      <c r="MA636" s="27" t="s">
        <v>8</v>
      </c>
      <c r="MB636" s="27" t="s">
        <v>7</v>
      </c>
      <c r="MC636" s="27" t="s">
        <v>8</v>
      </c>
      <c r="MD636" s="27" t="s">
        <v>7</v>
      </c>
      <c r="ME636" s="27" t="s">
        <v>8</v>
      </c>
      <c r="MP636" s="27" t="s">
        <v>7</v>
      </c>
      <c r="MQ636" s="27" t="s">
        <v>8</v>
      </c>
      <c r="MR636" s="27" t="s">
        <v>7</v>
      </c>
      <c r="MS636" s="27" t="s">
        <v>8</v>
      </c>
      <c r="MT636" s="27" t="s">
        <v>7</v>
      </c>
      <c r="MU636" s="27" t="s">
        <v>8</v>
      </c>
      <c r="MV636" s="27" t="s">
        <v>7</v>
      </c>
      <c r="MW636" s="27" t="s">
        <v>8</v>
      </c>
      <c r="MX636" s="27" t="s">
        <v>7</v>
      </c>
      <c r="NE636" s="27" t="s">
        <v>8</v>
      </c>
      <c r="NF636" s="27" t="s">
        <v>7</v>
      </c>
      <c r="NG636" s="27" t="s">
        <v>8</v>
      </c>
      <c r="NH636" s="27" t="s">
        <v>7</v>
      </c>
      <c r="NI636" s="27" t="s">
        <v>8</v>
      </c>
      <c r="NP636" s="27" t="s">
        <v>7</v>
      </c>
      <c r="NQ636" s="27" t="s">
        <v>8</v>
      </c>
      <c r="OJ636" s="27" t="s">
        <v>7</v>
      </c>
      <c r="OK636" s="27" t="s">
        <v>8</v>
      </c>
      <c r="OL636" s="27" t="s">
        <v>7</v>
      </c>
      <c r="OM636" s="27" t="s">
        <v>8</v>
      </c>
      <c r="ON636" s="27" t="s">
        <v>7</v>
      </c>
      <c r="OO636" s="27" t="s">
        <v>8</v>
      </c>
      <c r="OP636" s="27" t="s">
        <v>7</v>
      </c>
      <c r="OU636" s="27" t="s">
        <v>8</v>
      </c>
      <c r="OV636" s="27" t="s">
        <v>7</v>
      </c>
      <c r="OX636" s="27" t="s">
        <v>7</v>
      </c>
      <c r="OY636" s="27" t="s">
        <v>8</v>
      </c>
      <c r="OZ636" s="27" t="s">
        <v>7</v>
      </c>
    </row>
    <row r="637" spans="1:416" x14ac:dyDescent="0.25">
      <c r="A637" s="7">
        <v>0.37152788212696197</v>
      </c>
      <c r="B637"/>
      <c r="C637"/>
      <c r="D637"/>
      <c r="E637"/>
      <c r="F637" s="27" t="s">
        <v>7</v>
      </c>
      <c r="JE637" s="27" t="s">
        <v>8</v>
      </c>
      <c r="JF637" s="27" t="s">
        <v>7</v>
      </c>
      <c r="JG637" s="27" t="s">
        <v>8</v>
      </c>
      <c r="KF637" s="27" t="s">
        <v>7</v>
      </c>
      <c r="KG637" s="27" t="s">
        <v>8</v>
      </c>
      <c r="KH637" s="27" t="s">
        <v>7</v>
      </c>
      <c r="KI637" s="27" t="s">
        <v>8</v>
      </c>
      <c r="KJ637" s="27" t="s">
        <v>7</v>
      </c>
      <c r="KK637" s="27" t="s">
        <v>8</v>
      </c>
      <c r="KL637" s="27" t="s">
        <v>7</v>
      </c>
      <c r="KM637" s="27" t="s">
        <v>8</v>
      </c>
      <c r="KN637" s="27" t="s">
        <v>7</v>
      </c>
      <c r="KO637" s="27" t="s">
        <v>8</v>
      </c>
      <c r="KP637" s="27" t="s">
        <v>7</v>
      </c>
      <c r="MA637" s="27" t="s">
        <v>8</v>
      </c>
      <c r="MB637" s="27" t="s">
        <v>7</v>
      </c>
      <c r="MC637" s="27" t="s">
        <v>8</v>
      </c>
      <c r="MD637" s="27" t="s">
        <v>7</v>
      </c>
      <c r="ME637" s="27" t="s">
        <v>8</v>
      </c>
      <c r="MP637" s="27" t="s">
        <v>7</v>
      </c>
      <c r="MQ637" s="27" t="s">
        <v>8</v>
      </c>
      <c r="MR637" s="27" t="s">
        <v>7</v>
      </c>
      <c r="MS637" s="27" t="s">
        <v>8</v>
      </c>
      <c r="MT637" s="27" t="s">
        <v>7</v>
      </c>
      <c r="MU637" s="27" t="s">
        <v>8</v>
      </c>
      <c r="MV637" s="27" t="s">
        <v>7</v>
      </c>
      <c r="MX637" s="27" t="s">
        <v>7</v>
      </c>
      <c r="NE637" s="27" t="s">
        <v>8</v>
      </c>
      <c r="NF637" s="27" t="s">
        <v>7</v>
      </c>
      <c r="NG637" s="27" t="s">
        <v>8</v>
      </c>
      <c r="NH637" s="27" t="s">
        <v>7</v>
      </c>
      <c r="NI637" s="27" t="s">
        <v>8</v>
      </c>
      <c r="NP637" s="27" t="s">
        <v>7</v>
      </c>
      <c r="NQ637" s="27" t="s">
        <v>8</v>
      </c>
      <c r="OJ637" s="27" t="s">
        <v>7</v>
      </c>
      <c r="OK637" s="27" t="s">
        <v>8</v>
      </c>
      <c r="OL637" s="27" t="s">
        <v>7</v>
      </c>
      <c r="OM637" s="27" t="s">
        <v>8</v>
      </c>
      <c r="ON637" s="27" t="s">
        <v>7</v>
      </c>
      <c r="OO637" s="27" t="s">
        <v>8</v>
      </c>
      <c r="OP637" s="27" t="s">
        <v>7</v>
      </c>
      <c r="OU637" s="27" t="s">
        <v>8</v>
      </c>
      <c r="OX637" s="27" t="s">
        <v>7</v>
      </c>
      <c r="OY637" s="27" t="s">
        <v>8</v>
      </c>
      <c r="OZ637" s="27" t="s">
        <v>7</v>
      </c>
    </row>
    <row r="638" spans="1:416" x14ac:dyDescent="0.25">
      <c r="A638" s="7">
        <v>0.36424302169310002</v>
      </c>
      <c r="B638"/>
      <c r="C638"/>
      <c r="D638"/>
      <c r="E638"/>
      <c r="F638" s="27" t="s">
        <v>7</v>
      </c>
      <c r="JE638" s="27" t="s">
        <v>8</v>
      </c>
      <c r="JF638" s="27" t="s">
        <v>7</v>
      </c>
      <c r="JG638" s="27" t="s">
        <v>8</v>
      </c>
      <c r="KF638" s="27" t="s">
        <v>7</v>
      </c>
      <c r="KG638" s="27" t="s">
        <v>8</v>
      </c>
      <c r="KH638" s="27" t="s">
        <v>7</v>
      </c>
      <c r="KI638" s="27" t="s">
        <v>8</v>
      </c>
      <c r="KJ638" s="27" t="s">
        <v>7</v>
      </c>
      <c r="KK638" s="27" t="s">
        <v>8</v>
      </c>
      <c r="KL638" s="27" t="s">
        <v>7</v>
      </c>
      <c r="KN638" s="27" t="s">
        <v>7</v>
      </c>
      <c r="KO638" s="27" t="s">
        <v>8</v>
      </c>
      <c r="KP638" s="27" t="s">
        <v>7</v>
      </c>
      <c r="KU638" s="27" t="s">
        <v>8</v>
      </c>
      <c r="MA638" s="27" t="s">
        <v>8</v>
      </c>
      <c r="MB638" s="27" t="s">
        <v>7</v>
      </c>
      <c r="MC638" s="27" t="s">
        <v>8</v>
      </c>
      <c r="MD638" s="27" t="s">
        <v>7</v>
      </c>
      <c r="ME638" s="27" t="s">
        <v>8</v>
      </c>
      <c r="MP638" s="27" t="s">
        <v>7</v>
      </c>
      <c r="MQ638" s="27" t="s">
        <v>8</v>
      </c>
      <c r="MR638" s="27" t="s">
        <v>7</v>
      </c>
      <c r="MS638" s="27" t="s">
        <v>8</v>
      </c>
      <c r="MT638" s="27" t="s">
        <v>7</v>
      </c>
      <c r="MU638" s="27" t="s">
        <v>8</v>
      </c>
      <c r="MX638" s="27" t="s">
        <v>7</v>
      </c>
      <c r="NE638" s="27" t="s">
        <v>8</v>
      </c>
      <c r="NF638" s="27" t="s">
        <v>7</v>
      </c>
      <c r="NH638" s="27" t="s">
        <v>7</v>
      </c>
      <c r="NI638" s="27" t="s">
        <v>8</v>
      </c>
      <c r="NP638" s="27" t="s">
        <v>7</v>
      </c>
      <c r="NQ638" s="27" t="s">
        <v>8</v>
      </c>
      <c r="OJ638" s="27" t="s">
        <v>7</v>
      </c>
      <c r="OK638" s="27" t="s">
        <v>8</v>
      </c>
      <c r="OL638" s="27" t="s">
        <v>7</v>
      </c>
      <c r="OM638" s="27" t="s">
        <v>8</v>
      </c>
      <c r="ON638" s="27" t="s">
        <v>7</v>
      </c>
      <c r="OO638" s="27" t="s">
        <v>8</v>
      </c>
      <c r="OP638" s="27" t="s">
        <v>7</v>
      </c>
      <c r="OQ638" s="27" t="s">
        <v>8</v>
      </c>
      <c r="OS638" s="27" t="s">
        <v>8</v>
      </c>
      <c r="OU638" s="27" t="s">
        <v>8</v>
      </c>
      <c r="OX638" s="27" t="s">
        <v>7</v>
      </c>
      <c r="OY638" s="27" t="s">
        <v>8</v>
      </c>
      <c r="OZ638" s="27" t="s">
        <v>7</v>
      </c>
    </row>
    <row r="639" spans="1:416" x14ac:dyDescent="0.25">
      <c r="A639" s="7">
        <v>0.35710100165990194</v>
      </c>
      <c r="B639"/>
      <c r="C639"/>
      <c r="D639"/>
      <c r="E639"/>
      <c r="F639" s="27" t="s">
        <v>7</v>
      </c>
      <c r="JE639" s="27" t="s">
        <v>8</v>
      </c>
      <c r="JF639" s="27" t="s">
        <v>7</v>
      </c>
      <c r="JG639" s="27" t="s">
        <v>8</v>
      </c>
      <c r="KF639" s="27" t="s">
        <v>7</v>
      </c>
      <c r="KG639" s="27" t="s">
        <v>8</v>
      </c>
      <c r="KH639" s="27" t="s">
        <v>7</v>
      </c>
      <c r="KI639" s="27" t="s">
        <v>8</v>
      </c>
      <c r="KJ639" s="27" t="s">
        <v>7</v>
      </c>
      <c r="KK639" s="27" t="s">
        <v>8</v>
      </c>
      <c r="KN639" s="27" t="s">
        <v>7</v>
      </c>
      <c r="KO639" s="27" t="s">
        <v>8</v>
      </c>
      <c r="KP639" s="27" t="s">
        <v>7</v>
      </c>
      <c r="KU639" s="27" t="s">
        <v>8</v>
      </c>
      <c r="KV639" s="27" t="s">
        <v>7</v>
      </c>
      <c r="MA639" s="27" t="s">
        <v>8</v>
      </c>
      <c r="MB639" s="27" t="s">
        <v>7</v>
      </c>
      <c r="MC639" s="27" t="s">
        <v>8</v>
      </c>
      <c r="MD639" s="27" t="s">
        <v>7</v>
      </c>
      <c r="ME639" s="27" t="s">
        <v>8</v>
      </c>
      <c r="MP639" s="27" t="s">
        <v>7</v>
      </c>
      <c r="MQ639" s="27" t="s">
        <v>8</v>
      </c>
      <c r="MR639" s="27" t="s">
        <v>7</v>
      </c>
      <c r="MT639" s="27" t="s">
        <v>7</v>
      </c>
      <c r="MU639" s="27" t="s">
        <v>8</v>
      </c>
      <c r="MX639" s="27" t="s">
        <v>7</v>
      </c>
      <c r="NE639" s="27" t="s">
        <v>8</v>
      </c>
      <c r="NH639" s="27" t="s">
        <v>7</v>
      </c>
      <c r="NI639" s="27" t="s">
        <v>8</v>
      </c>
      <c r="NP639" s="27" t="s">
        <v>7</v>
      </c>
      <c r="NQ639" s="27" t="s">
        <v>8</v>
      </c>
      <c r="OJ639" s="27" t="s">
        <v>7</v>
      </c>
      <c r="OK639" s="27" t="s">
        <v>8</v>
      </c>
      <c r="OL639" s="27" t="s">
        <v>7</v>
      </c>
      <c r="OM639" s="27" t="s">
        <v>8</v>
      </c>
      <c r="ON639" s="27" t="s">
        <v>7</v>
      </c>
      <c r="OO639" s="27" t="s">
        <v>8</v>
      </c>
      <c r="OP639" s="27" t="s">
        <v>7</v>
      </c>
      <c r="OQ639" s="27" t="s">
        <v>8</v>
      </c>
      <c r="OR639" s="27" t="s">
        <v>7</v>
      </c>
      <c r="OS639" s="27" t="s">
        <v>8</v>
      </c>
      <c r="OT639" s="27" t="s">
        <v>7</v>
      </c>
      <c r="OU639" s="27" t="s">
        <v>8</v>
      </c>
      <c r="OX639" s="27" t="s">
        <v>7</v>
      </c>
      <c r="OY639" s="27" t="s">
        <v>8</v>
      </c>
      <c r="OZ639" s="27" t="s">
        <v>7</v>
      </c>
    </row>
    <row r="640" spans="1:416" x14ac:dyDescent="0.25">
      <c r="A640" s="7">
        <v>0.35009902123519804</v>
      </c>
      <c r="B640"/>
      <c r="C640"/>
      <c r="D640"/>
      <c r="E640"/>
      <c r="F640" s="27" t="s">
        <v>7</v>
      </c>
      <c r="JE640" s="27" t="s">
        <v>8</v>
      </c>
      <c r="JF640" s="27" t="s">
        <v>7</v>
      </c>
      <c r="JG640" s="27" t="s">
        <v>8</v>
      </c>
      <c r="KF640" s="27" t="s">
        <v>7</v>
      </c>
      <c r="KG640" s="27" t="s">
        <v>8</v>
      </c>
      <c r="KH640" s="27" t="s">
        <v>7</v>
      </c>
      <c r="KI640" s="27" t="s">
        <v>8</v>
      </c>
      <c r="KJ640" s="27" t="s">
        <v>7</v>
      </c>
      <c r="KK640" s="27" t="s">
        <v>8</v>
      </c>
      <c r="KN640" s="27" t="s">
        <v>7</v>
      </c>
      <c r="KO640" s="27" t="s">
        <v>8</v>
      </c>
      <c r="KP640" s="27" t="s">
        <v>7</v>
      </c>
      <c r="KU640" s="27" t="s">
        <v>8</v>
      </c>
      <c r="KV640" s="27" t="s">
        <v>7</v>
      </c>
      <c r="MA640" s="27" t="s">
        <v>8</v>
      </c>
      <c r="MB640" s="27" t="s">
        <v>7</v>
      </c>
      <c r="MC640" s="27" t="s">
        <v>8</v>
      </c>
      <c r="MD640" s="27" t="s">
        <v>7</v>
      </c>
      <c r="ME640" s="27" t="s">
        <v>8</v>
      </c>
      <c r="MP640" s="27" t="s">
        <v>7</v>
      </c>
      <c r="MQ640" s="27" t="s">
        <v>8</v>
      </c>
      <c r="MT640" s="27" t="s">
        <v>7</v>
      </c>
      <c r="MU640" s="27" t="s">
        <v>8</v>
      </c>
      <c r="MX640" s="27" t="s">
        <v>7</v>
      </c>
      <c r="NE640" s="27" t="s">
        <v>8</v>
      </c>
      <c r="NH640" s="27" t="s">
        <v>7</v>
      </c>
      <c r="NI640" s="27" t="s">
        <v>8</v>
      </c>
      <c r="NP640" s="27" t="s">
        <v>7</v>
      </c>
      <c r="NQ640" s="27" t="s">
        <v>8</v>
      </c>
      <c r="OJ640" s="27" t="s">
        <v>7</v>
      </c>
      <c r="OK640" s="27" t="s">
        <v>8</v>
      </c>
      <c r="OL640" s="27" t="s">
        <v>7</v>
      </c>
      <c r="ON640" s="27" t="s">
        <v>7</v>
      </c>
      <c r="OP640" s="27" t="s">
        <v>7</v>
      </c>
      <c r="OQ640" s="27" t="s">
        <v>8</v>
      </c>
      <c r="OR640" s="27" t="s">
        <v>7</v>
      </c>
      <c r="OS640" s="27" t="s">
        <v>8</v>
      </c>
      <c r="OT640" s="27" t="s">
        <v>7</v>
      </c>
      <c r="OU640" s="27" t="s">
        <v>8</v>
      </c>
      <c r="OX640" s="27" t="s">
        <v>7</v>
      </c>
      <c r="OZ640" s="27" t="s">
        <v>7</v>
      </c>
    </row>
    <row r="641" spans="1:422" x14ac:dyDescent="0.25">
      <c r="A641" s="7">
        <v>0.34323433454431179</v>
      </c>
      <c r="B641"/>
      <c r="C641"/>
      <c r="D641"/>
      <c r="E641"/>
      <c r="F641" s="27" t="s">
        <v>7</v>
      </c>
      <c r="JE641" s="27" t="s">
        <v>8</v>
      </c>
      <c r="JF641" s="27" t="s">
        <v>7</v>
      </c>
      <c r="JG641" s="27" t="s">
        <v>8</v>
      </c>
      <c r="KF641" s="27" t="s">
        <v>7</v>
      </c>
      <c r="KG641" s="27" t="s">
        <v>8</v>
      </c>
      <c r="KH641" s="27" t="s">
        <v>7</v>
      </c>
      <c r="KI641" s="27" t="s">
        <v>8</v>
      </c>
      <c r="KJ641" s="27" t="s">
        <v>7</v>
      </c>
      <c r="KK641" s="27" t="s">
        <v>8</v>
      </c>
      <c r="KN641" s="27" t="s">
        <v>7</v>
      </c>
      <c r="KO641" s="27" t="s">
        <v>8</v>
      </c>
      <c r="KP641" s="27" t="s">
        <v>7</v>
      </c>
      <c r="KU641" s="27" t="s">
        <v>8</v>
      </c>
      <c r="KV641" s="27" t="s">
        <v>7</v>
      </c>
      <c r="MA641" s="27" t="s">
        <v>8</v>
      </c>
      <c r="MB641" s="27" t="s">
        <v>7</v>
      </c>
      <c r="MC641" s="27" t="s">
        <v>8</v>
      </c>
      <c r="MD641" s="27" t="s">
        <v>7</v>
      </c>
      <c r="ME641" s="27" t="s">
        <v>8</v>
      </c>
      <c r="MP641" s="27" t="s">
        <v>7</v>
      </c>
      <c r="MQ641" s="27" t="s">
        <v>8</v>
      </c>
      <c r="MT641" s="27" t="s">
        <v>7</v>
      </c>
      <c r="MU641" s="27" t="s">
        <v>8</v>
      </c>
      <c r="MX641" s="27" t="s">
        <v>7</v>
      </c>
      <c r="NE641" s="27" t="s">
        <v>8</v>
      </c>
      <c r="NH641" s="27" t="s">
        <v>7</v>
      </c>
      <c r="NI641" s="27" t="s">
        <v>8</v>
      </c>
      <c r="NP641" s="27" t="s">
        <v>7</v>
      </c>
      <c r="NQ641" s="27" t="s">
        <v>8</v>
      </c>
      <c r="OJ641" s="27" t="s">
        <v>7</v>
      </c>
      <c r="OK641" s="27" t="s">
        <v>8</v>
      </c>
      <c r="OP641" s="27" t="s">
        <v>7</v>
      </c>
      <c r="OQ641" s="27" t="s">
        <v>8</v>
      </c>
      <c r="OR641" s="27" t="s">
        <v>7</v>
      </c>
      <c r="OS641" s="27" t="s">
        <v>8</v>
      </c>
      <c r="OT641" s="27" t="s">
        <v>7</v>
      </c>
      <c r="OU641" s="27" t="s">
        <v>8</v>
      </c>
      <c r="OZ641" s="27" t="s">
        <v>7</v>
      </c>
    </row>
    <row r="642" spans="1:422" x14ac:dyDescent="0.25">
      <c r="A642" s="7">
        <v>0.33650424955324681</v>
      </c>
      <c r="B642"/>
      <c r="C642"/>
      <c r="D642"/>
      <c r="E642"/>
      <c r="F642" s="27" t="s">
        <v>7</v>
      </c>
      <c r="JE642" s="27" t="s">
        <v>8</v>
      </c>
      <c r="JF642" s="27" t="s">
        <v>7</v>
      </c>
      <c r="JG642" s="27" t="s">
        <v>8</v>
      </c>
      <c r="KF642" s="27" t="s">
        <v>7</v>
      </c>
      <c r="KG642" s="27" t="s">
        <v>8</v>
      </c>
      <c r="KH642" s="27" t="s">
        <v>7</v>
      </c>
      <c r="KI642" s="27" t="s">
        <v>8</v>
      </c>
      <c r="KJ642" s="27" t="s">
        <v>7</v>
      </c>
      <c r="KK642" s="27" t="s">
        <v>8</v>
      </c>
      <c r="KN642" s="27" t="s">
        <v>7</v>
      </c>
      <c r="KP642" s="27" t="s">
        <v>7</v>
      </c>
      <c r="KU642" s="27" t="s">
        <v>8</v>
      </c>
      <c r="KV642" s="27" t="s">
        <v>7</v>
      </c>
      <c r="MA642" s="27" t="s">
        <v>8</v>
      </c>
      <c r="MB642" s="27" t="s">
        <v>7</v>
      </c>
      <c r="MD642" s="27" t="s">
        <v>7</v>
      </c>
      <c r="ME642" s="27" t="s">
        <v>8</v>
      </c>
      <c r="MP642" s="27" t="s">
        <v>7</v>
      </c>
      <c r="MT642" s="27" t="s">
        <v>7</v>
      </c>
      <c r="MX642" s="27" t="s">
        <v>7</v>
      </c>
      <c r="MY642" s="27" t="s">
        <v>8</v>
      </c>
      <c r="NE642" s="27" t="s">
        <v>8</v>
      </c>
      <c r="NH642" s="27" t="s">
        <v>7</v>
      </c>
      <c r="NI642" s="27" t="s">
        <v>8</v>
      </c>
      <c r="NP642" s="27" t="s">
        <v>7</v>
      </c>
      <c r="OJ642" s="27" t="s">
        <v>7</v>
      </c>
      <c r="OK642" s="27" t="s">
        <v>8</v>
      </c>
      <c r="OP642" s="27" t="s">
        <v>7</v>
      </c>
      <c r="OQ642" s="27" t="s">
        <v>8</v>
      </c>
      <c r="OR642" s="27" t="s">
        <v>7</v>
      </c>
      <c r="OT642" s="27" t="s">
        <v>7</v>
      </c>
      <c r="OU642" s="27" t="s">
        <v>8</v>
      </c>
      <c r="OZ642" s="27" t="s">
        <v>7</v>
      </c>
    </row>
    <row r="643" spans="1:422" x14ac:dyDescent="0.25">
      <c r="A643" s="7">
        <v>0.3299061270129871</v>
      </c>
      <c r="B643"/>
      <c r="C643"/>
      <c r="D643"/>
      <c r="E643"/>
      <c r="F643" s="27" t="s">
        <v>7</v>
      </c>
      <c r="JE643" s="27" t="s">
        <v>8</v>
      </c>
      <c r="JF643" s="27" t="s">
        <v>7</v>
      </c>
      <c r="JG643" s="27" t="s">
        <v>8</v>
      </c>
      <c r="KF643" s="27" t="s">
        <v>7</v>
      </c>
      <c r="KG643" s="27" t="s">
        <v>8</v>
      </c>
      <c r="KH643" s="27" t="s">
        <v>7</v>
      </c>
      <c r="KI643" s="27" t="s">
        <v>8</v>
      </c>
      <c r="KJ643" s="27" t="s">
        <v>7</v>
      </c>
      <c r="KK643" s="27" t="s">
        <v>8</v>
      </c>
      <c r="KP643" s="27" t="s">
        <v>7</v>
      </c>
      <c r="KU643" s="27" t="s">
        <v>8</v>
      </c>
      <c r="KV643" s="27" t="s">
        <v>7</v>
      </c>
      <c r="MA643" s="27" t="s">
        <v>8</v>
      </c>
      <c r="MD643" s="27" t="s">
        <v>7</v>
      </c>
      <c r="MX643" s="27" t="s">
        <v>7</v>
      </c>
      <c r="MY643" s="27" t="s">
        <v>8</v>
      </c>
      <c r="MZ643" s="27" t="s">
        <v>7</v>
      </c>
      <c r="NE643" s="27" t="s">
        <v>8</v>
      </c>
      <c r="NH643" s="27" t="s">
        <v>7</v>
      </c>
      <c r="NI643" s="27" t="s">
        <v>8</v>
      </c>
      <c r="OJ643" s="27" t="s">
        <v>7</v>
      </c>
      <c r="OK643" s="27" t="s">
        <v>8</v>
      </c>
      <c r="OP643" s="27" t="s">
        <v>7</v>
      </c>
      <c r="OQ643" s="27" t="s">
        <v>8</v>
      </c>
      <c r="OT643" s="27" t="s">
        <v>7</v>
      </c>
      <c r="OU643" s="27" t="s">
        <v>8</v>
      </c>
      <c r="OZ643" s="27" t="s">
        <v>7</v>
      </c>
    </row>
    <row r="644" spans="1:422" x14ac:dyDescent="0.25">
      <c r="A644" s="7">
        <v>0.32343737942449713</v>
      </c>
      <c r="B644"/>
      <c r="C644"/>
      <c r="D644"/>
      <c r="E644"/>
      <c r="F644" s="27" t="s">
        <v>7</v>
      </c>
      <c r="JE644" s="27" t="s">
        <v>8</v>
      </c>
      <c r="JF644" s="27" t="s">
        <v>7</v>
      </c>
      <c r="JG644" s="27" t="s">
        <v>8</v>
      </c>
      <c r="KF644" s="27" t="s">
        <v>7</v>
      </c>
      <c r="KG644" s="27" t="s">
        <v>8</v>
      </c>
      <c r="KH644" s="27" t="s">
        <v>7</v>
      </c>
      <c r="KI644" s="27" t="s">
        <v>8</v>
      </c>
      <c r="KJ644" s="27" t="s">
        <v>7</v>
      </c>
      <c r="KP644" s="27" t="s">
        <v>7</v>
      </c>
      <c r="KQ644" s="27" t="s">
        <v>8</v>
      </c>
      <c r="KU644" s="27" t="s">
        <v>8</v>
      </c>
      <c r="KV644" s="27" t="s">
        <v>7</v>
      </c>
      <c r="MA644" s="27" t="s">
        <v>8</v>
      </c>
      <c r="MX644" s="27" t="s">
        <v>7</v>
      </c>
      <c r="MY644" s="27" t="s">
        <v>8</v>
      </c>
      <c r="MZ644" s="27" t="s">
        <v>7</v>
      </c>
      <c r="NE644" s="27" t="s">
        <v>8</v>
      </c>
      <c r="NH644" s="27" t="s">
        <v>7</v>
      </c>
      <c r="OJ644" s="27" t="s">
        <v>7</v>
      </c>
      <c r="OP644" s="27" t="s">
        <v>7</v>
      </c>
      <c r="OT644" s="27" t="s">
        <v>7</v>
      </c>
      <c r="OU644" s="27" t="s">
        <v>8</v>
      </c>
      <c r="OZ644" s="27" t="s">
        <v>7</v>
      </c>
    </row>
    <row r="645" spans="1:422" x14ac:dyDescent="0.25">
      <c r="A645" s="7">
        <v>0.31709547002401678</v>
      </c>
      <c r="B645"/>
      <c r="C645"/>
      <c r="D645"/>
      <c r="E645"/>
      <c r="F645" s="27" t="s">
        <v>7</v>
      </c>
      <c r="JE645" s="27" t="s">
        <v>8</v>
      </c>
      <c r="JF645" s="27" t="s">
        <v>7</v>
      </c>
      <c r="JG645" s="27" t="s">
        <v>8</v>
      </c>
      <c r="KF645" s="27" t="s">
        <v>7</v>
      </c>
      <c r="KG645" s="27" t="s">
        <v>8</v>
      </c>
      <c r="KH645" s="27" t="s">
        <v>7</v>
      </c>
      <c r="KI645" s="27" t="s">
        <v>8</v>
      </c>
      <c r="KP645" s="27" t="s">
        <v>7</v>
      </c>
      <c r="KQ645" s="27" t="s">
        <v>8</v>
      </c>
      <c r="KR645" s="27" t="s">
        <v>7</v>
      </c>
      <c r="KS645" s="27" t="s">
        <v>8</v>
      </c>
      <c r="KU645" s="27" t="s">
        <v>8</v>
      </c>
      <c r="KV645" s="27" t="s">
        <v>7</v>
      </c>
      <c r="MA645" s="27" t="s">
        <v>8</v>
      </c>
      <c r="MX645" s="27" t="s">
        <v>7</v>
      </c>
      <c r="MY645" s="27" t="s">
        <v>8</v>
      </c>
      <c r="MZ645" s="27" t="s">
        <v>7</v>
      </c>
      <c r="NE645" s="27" t="s">
        <v>8</v>
      </c>
      <c r="OT645" s="27" t="s">
        <v>7</v>
      </c>
      <c r="OZ645" s="27" t="s">
        <v>7</v>
      </c>
      <c r="PC645" s="27" t="s">
        <v>8</v>
      </c>
    </row>
    <row r="646" spans="1:422" x14ac:dyDescent="0.25">
      <c r="A646" s="7">
        <v>0.31087791178825175</v>
      </c>
      <c r="B646"/>
      <c r="C646"/>
      <c r="D646"/>
      <c r="E646"/>
      <c r="F646" s="27" t="s">
        <v>7</v>
      </c>
      <c r="JE646" s="27" t="s">
        <v>8</v>
      </c>
      <c r="JF646" s="27" t="s">
        <v>7</v>
      </c>
      <c r="JG646" s="27" t="s">
        <v>8</v>
      </c>
      <c r="KF646" s="27" t="s">
        <v>7</v>
      </c>
      <c r="KG646" s="27" t="s">
        <v>8</v>
      </c>
      <c r="KH646" s="27" t="s">
        <v>7</v>
      </c>
      <c r="KI646" s="27" t="s">
        <v>8</v>
      </c>
      <c r="KP646" s="27" t="s">
        <v>7</v>
      </c>
      <c r="KQ646" s="27" t="s">
        <v>8</v>
      </c>
      <c r="KR646" s="27" t="s">
        <v>7</v>
      </c>
      <c r="KS646" s="27" t="s">
        <v>8</v>
      </c>
      <c r="KT646" s="27" t="s">
        <v>7</v>
      </c>
      <c r="KU646" s="27" t="s">
        <v>8</v>
      </c>
      <c r="KV646" s="27" t="s">
        <v>7</v>
      </c>
      <c r="MA646" s="27" t="s">
        <v>8</v>
      </c>
      <c r="MX646" s="27" t="s">
        <v>7</v>
      </c>
      <c r="MY646" s="27" t="s">
        <v>8</v>
      </c>
      <c r="MZ646" s="27" t="s">
        <v>7</v>
      </c>
      <c r="NE646" s="27" t="s">
        <v>8</v>
      </c>
      <c r="OZ646" s="27" t="s">
        <v>7</v>
      </c>
      <c r="PC646" s="27" t="s">
        <v>8</v>
      </c>
      <c r="PD646" s="27" t="s">
        <v>7</v>
      </c>
    </row>
    <row r="647" spans="1:422" x14ac:dyDescent="0.25">
      <c r="A647" s="7">
        <v>0.30478226645907036</v>
      </c>
      <c r="B647"/>
      <c r="C647"/>
      <c r="D647"/>
      <c r="E647"/>
      <c r="F647" s="27" t="s">
        <v>7</v>
      </c>
      <c r="JE647" s="27" t="s">
        <v>8</v>
      </c>
      <c r="JF647" s="27" t="s">
        <v>7</v>
      </c>
      <c r="JG647" s="27" t="s">
        <v>8</v>
      </c>
      <c r="KF647" s="27" t="s">
        <v>7</v>
      </c>
      <c r="KG647" s="27" t="s">
        <v>8</v>
      </c>
      <c r="KH647" s="27" t="s">
        <v>7</v>
      </c>
      <c r="KI647" s="27" t="s">
        <v>8</v>
      </c>
      <c r="KP647" s="27" t="s">
        <v>7</v>
      </c>
      <c r="KQ647" s="27" t="s">
        <v>8</v>
      </c>
      <c r="KR647" s="27" t="s">
        <v>7</v>
      </c>
      <c r="KS647" s="27" t="s">
        <v>8</v>
      </c>
      <c r="KT647" s="27" t="s">
        <v>7</v>
      </c>
      <c r="KU647" s="27" t="s">
        <v>8</v>
      </c>
      <c r="KV647" s="27" t="s">
        <v>7</v>
      </c>
      <c r="LY647" s="27" t="s">
        <v>8</v>
      </c>
      <c r="MA647" s="27" t="s">
        <v>8</v>
      </c>
      <c r="MX647" s="27" t="s">
        <v>7</v>
      </c>
      <c r="MY647" s="27" t="s">
        <v>8</v>
      </c>
      <c r="MZ647" s="27" t="s">
        <v>7</v>
      </c>
      <c r="NA647" s="27" t="s">
        <v>8</v>
      </c>
      <c r="NC647" s="27" t="s">
        <v>8</v>
      </c>
      <c r="NE647" s="27" t="s">
        <v>8</v>
      </c>
      <c r="OZ647" s="27" t="s">
        <v>7</v>
      </c>
      <c r="PA647" s="27" t="s">
        <v>8</v>
      </c>
      <c r="PC647" s="27" t="s">
        <v>8</v>
      </c>
      <c r="PD647" s="27" t="s">
        <v>7</v>
      </c>
      <c r="PE647" s="27" t="s">
        <v>8</v>
      </c>
    </row>
    <row r="648" spans="1:422" x14ac:dyDescent="0.25">
      <c r="A648" s="7">
        <v>0.29880614358732388</v>
      </c>
      <c r="B648"/>
      <c r="C648"/>
      <c r="D648"/>
      <c r="E648"/>
      <c r="F648" s="27" t="s">
        <v>7</v>
      </c>
      <c r="JE648" s="27" t="s">
        <v>8</v>
      </c>
      <c r="JF648" s="27" t="s">
        <v>7</v>
      </c>
      <c r="JG648" s="27" t="s">
        <v>8</v>
      </c>
      <c r="KF648" s="27" t="s">
        <v>7</v>
      </c>
      <c r="KG648" s="27" t="s">
        <v>8</v>
      </c>
      <c r="KH648" s="27" t="s">
        <v>7</v>
      </c>
      <c r="KI648" s="27" t="s">
        <v>8</v>
      </c>
      <c r="KP648" s="27" t="s">
        <v>7</v>
      </c>
      <c r="KQ648" s="27" t="s">
        <v>8</v>
      </c>
      <c r="KR648" s="27" t="s">
        <v>7</v>
      </c>
      <c r="KS648" s="27" t="s">
        <v>8</v>
      </c>
      <c r="KT648" s="27" t="s">
        <v>7</v>
      </c>
      <c r="KU648" s="27" t="s">
        <v>8</v>
      </c>
      <c r="KV648" s="27" t="s">
        <v>7</v>
      </c>
      <c r="LY648" s="27" t="s">
        <v>8</v>
      </c>
      <c r="LZ648" s="27" t="s">
        <v>7</v>
      </c>
      <c r="MA648" s="27" t="s">
        <v>8</v>
      </c>
      <c r="MX648" s="27" t="s">
        <v>7</v>
      </c>
      <c r="MY648" s="27" t="s">
        <v>8</v>
      </c>
      <c r="MZ648" s="27" t="s">
        <v>7</v>
      </c>
      <c r="NA648" s="27" t="s">
        <v>8</v>
      </c>
      <c r="NB648" s="27" t="s">
        <v>7</v>
      </c>
      <c r="NC648" s="27" t="s">
        <v>8</v>
      </c>
      <c r="ND648" s="27" t="s">
        <v>7</v>
      </c>
      <c r="NE648" s="27" t="s">
        <v>8</v>
      </c>
      <c r="OZ648" s="27" t="s">
        <v>7</v>
      </c>
      <c r="PA648" s="27" t="s">
        <v>8</v>
      </c>
      <c r="PB648" s="27" t="s">
        <v>7</v>
      </c>
      <c r="PC648" s="27" t="s">
        <v>8</v>
      </c>
      <c r="PD648" s="27" t="s">
        <v>7</v>
      </c>
      <c r="PE648" s="27" t="s">
        <v>8</v>
      </c>
      <c r="PF648" s="27" t="s">
        <v>7</v>
      </c>
    </row>
    <row r="649" spans="1:422" x14ac:dyDescent="0.25">
      <c r="A649" s="7">
        <v>0.2929471995954156</v>
      </c>
      <c r="B649"/>
      <c r="C649"/>
      <c r="D649"/>
      <c r="E649"/>
      <c r="F649" s="27" t="s">
        <v>7</v>
      </c>
      <c r="JE649" s="27" t="s">
        <v>8</v>
      </c>
      <c r="JF649" s="27" t="s">
        <v>7</v>
      </c>
      <c r="JG649" s="27" t="s">
        <v>8</v>
      </c>
      <c r="KF649" s="27" t="s">
        <v>7</v>
      </c>
      <c r="KG649" s="27" t="s">
        <v>8</v>
      </c>
      <c r="KH649" s="27" t="s">
        <v>7</v>
      </c>
      <c r="KI649" s="27" t="s">
        <v>8</v>
      </c>
      <c r="KP649" s="27" t="s">
        <v>7</v>
      </c>
      <c r="KQ649" s="27" t="s">
        <v>8</v>
      </c>
      <c r="KR649" s="27" t="s">
        <v>7</v>
      </c>
      <c r="KS649" s="27" t="s">
        <v>8</v>
      </c>
      <c r="KT649" s="27" t="s">
        <v>7</v>
      </c>
      <c r="KU649" s="27" t="s">
        <v>8</v>
      </c>
      <c r="KV649" s="27" t="s">
        <v>7</v>
      </c>
      <c r="LY649" s="27" t="s">
        <v>8</v>
      </c>
      <c r="LZ649" s="27" t="s">
        <v>7</v>
      </c>
      <c r="MA649" s="27" t="s">
        <v>8</v>
      </c>
      <c r="MX649" s="27" t="s">
        <v>7</v>
      </c>
      <c r="MY649" s="27" t="s">
        <v>8</v>
      </c>
      <c r="MZ649" s="27" t="s">
        <v>7</v>
      </c>
      <c r="NA649" s="27" t="s">
        <v>8</v>
      </c>
      <c r="NB649" s="27" t="s">
        <v>7</v>
      </c>
      <c r="NC649" s="27" t="s">
        <v>8</v>
      </c>
      <c r="ND649" s="27" t="s">
        <v>7</v>
      </c>
      <c r="NE649" s="27" t="s">
        <v>8</v>
      </c>
      <c r="OZ649" s="27" t="s">
        <v>7</v>
      </c>
      <c r="PA649" s="27" t="s">
        <v>8</v>
      </c>
      <c r="PB649" s="27" t="s">
        <v>7</v>
      </c>
      <c r="PC649" s="27" t="s">
        <v>8</v>
      </c>
      <c r="PD649" s="27" t="s">
        <v>7</v>
      </c>
      <c r="PE649" s="27" t="s">
        <v>8</v>
      </c>
      <c r="PF649" s="27" t="s">
        <v>7</v>
      </c>
    </row>
    <row r="650" spans="1:422" x14ac:dyDescent="0.25">
      <c r="A650" s="7">
        <v>0.28720313685825055</v>
      </c>
      <c r="B650"/>
      <c r="C650"/>
      <c r="D650"/>
      <c r="E650"/>
      <c r="F650" s="27" t="s">
        <v>7</v>
      </c>
      <c r="JE650" s="27" t="s">
        <v>8</v>
      </c>
      <c r="JF650" s="27" t="s">
        <v>7</v>
      </c>
      <c r="KF650" s="27" t="s">
        <v>7</v>
      </c>
      <c r="KG650" s="27" t="s">
        <v>8</v>
      </c>
      <c r="KH650" s="27" t="s">
        <v>7</v>
      </c>
      <c r="KI650" s="27" t="s">
        <v>8</v>
      </c>
      <c r="KP650" s="27" t="s">
        <v>7</v>
      </c>
      <c r="KR650" s="27" t="s">
        <v>7</v>
      </c>
      <c r="KS650" s="27" t="s">
        <v>8</v>
      </c>
      <c r="KT650" s="27" t="s">
        <v>7</v>
      </c>
      <c r="KV650" s="27" t="s">
        <v>7</v>
      </c>
      <c r="LY650" s="27" t="s">
        <v>8</v>
      </c>
      <c r="LZ650" s="27" t="s">
        <v>7</v>
      </c>
      <c r="MA650" s="27" t="s">
        <v>8</v>
      </c>
      <c r="MX650" s="27" t="s">
        <v>7</v>
      </c>
      <c r="MY650" s="27" t="s">
        <v>8</v>
      </c>
      <c r="MZ650" s="27" t="s">
        <v>7</v>
      </c>
      <c r="NA650" s="27" t="s">
        <v>8</v>
      </c>
      <c r="NB650" s="27" t="s">
        <v>7</v>
      </c>
      <c r="NC650" s="27" t="s">
        <v>8</v>
      </c>
      <c r="ND650" s="27" t="s">
        <v>7</v>
      </c>
      <c r="NE650" s="27" t="s">
        <v>8</v>
      </c>
      <c r="OZ650" s="27" t="s">
        <v>7</v>
      </c>
      <c r="PB650" s="27" t="s">
        <v>7</v>
      </c>
      <c r="PC650" s="27" t="s">
        <v>8</v>
      </c>
      <c r="PD650" s="27" t="s">
        <v>7</v>
      </c>
      <c r="PF650" s="27" t="s">
        <v>7</v>
      </c>
    </row>
    <row r="651" spans="1:422" x14ac:dyDescent="0.25">
      <c r="A651" s="7">
        <v>0.28157170280220645</v>
      </c>
      <c r="B651"/>
      <c r="C651"/>
      <c r="D651"/>
      <c r="E651"/>
      <c r="F651" s="27" t="s">
        <v>7</v>
      </c>
      <c r="JE651" s="27" t="s">
        <v>8</v>
      </c>
      <c r="KF651" s="27" t="s">
        <v>7</v>
      </c>
      <c r="KG651" s="27" t="s">
        <v>8</v>
      </c>
      <c r="KH651" s="27" t="s">
        <v>7</v>
      </c>
      <c r="KI651" s="27" t="s">
        <v>8</v>
      </c>
      <c r="KR651" s="27" t="s">
        <v>7</v>
      </c>
      <c r="KS651" s="27" t="s">
        <v>8</v>
      </c>
      <c r="KV651" s="27" t="s">
        <v>7</v>
      </c>
      <c r="LW651" s="27" t="s">
        <v>8</v>
      </c>
      <c r="LY651" s="27" t="s">
        <v>8</v>
      </c>
      <c r="LZ651" s="27" t="s">
        <v>7</v>
      </c>
      <c r="MA651" s="27" t="s">
        <v>8</v>
      </c>
      <c r="MX651" s="27" t="s">
        <v>7</v>
      </c>
      <c r="MZ651" s="27" t="s">
        <v>7</v>
      </c>
      <c r="NB651" s="27" t="s">
        <v>7</v>
      </c>
      <c r="NC651" s="27" t="s">
        <v>8</v>
      </c>
      <c r="ND651" s="27" t="s">
        <v>7</v>
      </c>
      <c r="NE651" s="27" t="s">
        <v>8</v>
      </c>
      <c r="PB651" s="27" t="s">
        <v>7</v>
      </c>
      <c r="PC651" s="27" t="s">
        <v>8</v>
      </c>
      <c r="PF651" s="27" t="s">
        <v>7</v>
      </c>
    </row>
    <row r="652" spans="1:422" x14ac:dyDescent="0.25">
      <c r="A652" s="7">
        <v>0.27605068902177105</v>
      </c>
      <c r="B652"/>
      <c r="C652"/>
      <c r="D652"/>
      <c r="E652"/>
      <c r="F652" s="27" t="s">
        <v>7</v>
      </c>
      <c r="JE652" s="27" t="s">
        <v>8</v>
      </c>
      <c r="KF652" s="27" t="s">
        <v>7</v>
      </c>
      <c r="KG652" s="27" t="s">
        <v>8</v>
      </c>
      <c r="KH652" s="27" t="s">
        <v>7</v>
      </c>
      <c r="KI652" s="27" t="s">
        <v>8</v>
      </c>
      <c r="KR652" s="27" t="s">
        <v>7</v>
      </c>
      <c r="KS652" s="27" t="s">
        <v>8</v>
      </c>
      <c r="KV652" s="27" t="s">
        <v>7</v>
      </c>
      <c r="LW652" s="27" t="s">
        <v>8</v>
      </c>
      <c r="LX652" s="27" t="s">
        <v>7</v>
      </c>
      <c r="LY652" s="27" t="s">
        <v>8</v>
      </c>
      <c r="LZ652" s="27" t="s">
        <v>7</v>
      </c>
      <c r="MA652" s="27" t="s">
        <v>8</v>
      </c>
      <c r="NB652" s="27" t="s">
        <v>7</v>
      </c>
      <c r="NC652" s="27" t="s">
        <v>8</v>
      </c>
      <c r="ND652" s="27" t="s">
        <v>7</v>
      </c>
      <c r="NE652" s="27" t="s">
        <v>8</v>
      </c>
      <c r="PB652" s="27" t="s">
        <v>7</v>
      </c>
      <c r="PF652" s="27" t="s">
        <v>7</v>
      </c>
    </row>
    <row r="653" spans="1:422" x14ac:dyDescent="0.25">
      <c r="A653" s="7">
        <v>0.27063793041350104</v>
      </c>
      <c r="B653"/>
      <c r="C653"/>
      <c r="D653"/>
      <c r="E653"/>
      <c r="F653" s="27" t="s">
        <v>7</v>
      </c>
      <c r="JE653" s="27" t="s">
        <v>8</v>
      </c>
      <c r="KF653" s="27" t="s">
        <v>7</v>
      </c>
      <c r="KG653" s="27" t="s">
        <v>8</v>
      </c>
      <c r="KH653" s="27" t="s">
        <v>7</v>
      </c>
      <c r="KI653" s="27" t="s">
        <v>8</v>
      </c>
      <c r="KR653" s="27" t="s">
        <v>7</v>
      </c>
      <c r="KS653" s="27" t="s">
        <v>8</v>
      </c>
      <c r="KV653" s="27" t="s">
        <v>7</v>
      </c>
      <c r="LU653" s="27" t="s">
        <v>8</v>
      </c>
      <c r="LW653" s="27" t="s">
        <v>8</v>
      </c>
      <c r="LX653" s="27" t="s">
        <v>7</v>
      </c>
      <c r="LY653" s="27" t="s">
        <v>8</v>
      </c>
      <c r="LZ653" s="27" t="s">
        <v>7</v>
      </c>
      <c r="MA653" s="27" t="s">
        <v>8</v>
      </c>
      <c r="NB653" s="27" t="s">
        <v>7</v>
      </c>
      <c r="ND653" s="27" t="s">
        <v>7</v>
      </c>
      <c r="NE653" s="27" t="s">
        <v>8</v>
      </c>
      <c r="PF653" s="27" t="s">
        <v>7</v>
      </c>
    </row>
    <row r="654" spans="1:422" x14ac:dyDescent="0.25">
      <c r="A654" s="7">
        <v>0.26533130432696184</v>
      </c>
      <c r="B654"/>
      <c r="C654"/>
      <c r="D654"/>
      <c r="E654"/>
      <c r="F654" s="27" t="s">
        <v>7</v>
      </c>
      <c r="JE654" s="27" t="s">
        <v>8</v>
      </c>
      <c r="KF654" s="27" t="s">
        <v>7</v>
      </c>
      <c r="KG654" s="27" t="s">
        <v>8</v>
      </c>
      <c r="KH654" s="27" t="s">
        <v>7</v>
      </c>
      <c r="KI654" s="27" t="s">
        <v>8</v>
      </c>
      <c r="KR654" s="27" t="s">
        <v>7</v>
      </c>
      <c r="KS654" s="27" t="s">
        <v>8</v>
      </c>
      <c r="KV654" s="27" t="s">
        <v>7</v>
      </c>
      <c r="LU654" s="27" t="s">
        <v>8</v>
      </c>
      <c r="LV654" s="27" t="s">
        <v>7</v>
      </c>
      <c r="LW654" s="27" t="s">
        <v>8</v>
      </c>
      <c r="LX654" s="27" t="s">
        <v>7</v>
      </c>
      <c r="LY654" s="27" t="s">
        <v>8</v>
      </c>
      <c r="LZ654" s="27" t="s">
        <v>7</v>
      </c>
      <c r="ND654" s="27" t="s">
        <v>7</v>
      </c>
      <c r="PF654" s="27" t="s">
        <v>7</v>
      </c>
    </row>
    <row r="655" spans="1:422" x14ac:dyDescent="0.25">
      <c r="A655" s="7">
        <v>0.26012872973231554</v>
      </c>
      <c r="B655"/>
      <c r="C655"/>
      <c r="D655"/>
      <c r="E655"/>
      <c r="F655" s="27" t="s">
        <v>7</v>
      </c>
      <c r="JE655" s="27" t="s">
        <v>8</v>
      </c>
      <c r="KF655" s="27" t="s">
        <v>7</v>
      </c>
      <c r="KG655" s="27" t="s">
        <v>8</v>
      </c>
      <c r="KH655" s="27" t="s">
        <v>7</v>
      </c>
      <c r="KI655" s="27" t="s">
        <v>8</v>
      </c>
      <c r="KR655" s="27" t="s">
        <v>7</v>
      </c>
      <c r="KS655" s="27" t="s">
        <v>8</v>
      </c>
      <c r="KV655" s="27" t="s">
        <v>7</v>
      </c>
      <c r="LU655" s="27" t="s">
        <v>8</v>
      </c>
      <c r="LV655" s="27" t="s">
        <v>7</v>
      </c>
      <c r="LW655" s="27" t="s">
        <v>8</v>
      </c>
      <c r="LX655" s="27" t="s">
        <v>7</v>
      </c>
      <c r="PF655" s="27" t="s">
        <v>7</v>
      </c>
    </row>
    <row r="656" spans="1:422" x14ac:dyDescent="0.25">
      <c r="A656" s="7">
        <v>0.25502816640423093</v>
      </c>
      <c r="B656"/>
      <c r="C656"/>
      <c r="D656"/>
      <c r="E656"/>
      <c r="F656" s="27" t="s">
        <v>7</v>
      </c>
      <c r="IY656" s="27" t="s">
        <v>8</v>
      </c>
      <c r="JE656" s="27" t="s">
        <v>8</v>
      </c>
      <c r="KF656" s="27" t="s">
        <v>7</v>
      </c>
      <c r="KG656" s="27" t="s">
        <v>8</v>
      </c>
      <c r="KH656" s="27" t="s">
        <v>7</v>
      </c>
      <c r="KI656" s="27" t="s">
        <v>8</v>
      </c>
      <c r="KR656" s="27" t="s">
        <v>7</v>
      </c>
      <c r="KS656" s="27" t="s">
        <v>8</v>
      </c>
      <c r="KV656" s="27" t="s">
        <v>7</v>
      </c>
      <c r="LU656" s="27" t="s">
        <v>8</v>
      </c>
      <c r="LV656" s="27" t="s">
        <v>7</v>
      </c>
      <c r="LW656" s="27" t="s">
        <v>8</v>
      </c>
      <c r="PF656" s="27" t="s">
        <v>7</v>
      </c>
    </row>
    <row r="657" spans="1:426" x14ac:dyDescent="0.25">
      <c r="A657" s="7">
        <v>0.25002761412179503</v>
      </c>
      <c r="B657"/>
      <c r="C657"/>
      <c r="D657"/>
      <c r="E657"/>
      <c r="F657" s="27" t="s">
        <v>7</v>
      </c>
      <c r="IY657" s="27" t="s">
        <v>8</v>
      </c>
      <c r="IZ657" s="27" t="s">
        <v>7</v>
      </c>
      <c r="JE657" s="27" t="s">
        <v>8</v>
      </c>
      <c r="KF657" s="27" t="s">
        <v>7</v>
      </c>
      <c r="KG657" s="27" t="s">
        <v>8</v>
      </c>
      <c r="KH657" s="27" t="s">
        <v>7</v>
      </c>
      <c r="KI657" s="27" t="s">
        <v>8</v>
      </c>
      <c r="KR657" s="27" t="s">
        <v>7</v>
      </c>
      <c r="KV657" s="27" t="s">
        <v>7</v>
      </c>
      <c r="LU657" s="27" t="s">
        <v>8</v>
      </c>
      <c r="LV657" s="27" t="s">
        <v>7</v>
      </c>
      <c r="LW657" s="27" t="s">
        <v>8</v>
      </c>
      <c r="PF657" s="27" t="s">
        <v>7</v>
      </c>
    </row>
    <row r="658" spans="1:426" x14ac:dyDescent="0.25">
      <c r="A658" s="7">
        <v>0.24512511188411276</v>
      </c>
      <c r="B658"/>
      <c r="C658"/>
      <c r="D658"/>
      <c r="E658"/>
      <c r="F658" s="27" t="s">
        <v>7</v>
      </c>
      <c r="IY658" s="27" t="s">
        <v>8</v>
      </c>
      <c r="IZ658" s="27" t="s">
        <v>7</v>
      </c>
      <c r="JC658" s="27" t="s">
        <v>8</v>
      </c>
      <c r="JE658" s="27" t="s">
        <v>8</v>
      </c>
      <c r="KF658" s="27" t="s">
        <v>7</v>
      </c>
      <c r="KG658" s="27" t="s">
        <v>8</v>
      </c>
      <c r="KH658" s="27" t="s">
        <v>7</v>
      </c>
      <c r="KI658" s="27" t="s">
        <v>8</v>
      </c>
      <c r="KV658" s="27" t="s">
        <v>7</v>
      </c>
      <c r="LG658" s="27" t="s">
        <v>8</v>
      </c>
      <c r="LM658" s="27" t="s">
        <v>8</v>
      </c>
      <c r="LQ658" s="27" t="s">
        <v>8</v>
      </c>
      <c r="LU658" s="27" t="s">
        <v>8</v>
      </c>
      <c r="LV658" s="27" t="s">
        <v>7</v>
      </c>
      <c r="PF658" s="27" t="s">
        <v>7</v>
      </c>
    </row>
    <row r="659" spans="1:426" x14ac:dyDescent="0.25">
      <c r="A659" s="7">
        <v>0.24031873714128701</v>
      </c>
      <c r="B659"/>
      <c r="C659"/>
      <c r="D659"/>
      <c r="E659"/>
      <c r="F659" s="27" t="s">
        <v>7</v>
      </c>
      <c r="IY659" s="27" t="s">
        <v>8</v>
      </c>
      <c r="IZ659" s="27" t="s">
        <v>7</v>
      </c>
      <c r="JC659" s="27" t="s">
        <v>8</v>
      </c>
      <c r="JD659" s="27" t="s">
        <v>7</v>
      </c>
      <c r="JE659" s="27" t="s">
        <v>8</v>
      </c>
      <c r="KF659" s="27" t="s">
        <v>7</v>
      </c>
      <c r="KG659" s="27" t="s">
        <v>8</v>
      </c>
      <c r="KH659" s="27" t="s">
        <v>7</v>
      </c>
      <c r="KI659" s="27" t="s">
        <v>8</v>
      </c>
      <c r="KV659" s="27" t="s">
        <v>7</v>
      </c>
      <c r="KY659" s="27" t="s">
        <v>8</v>
      </c>
      <c r="LG659" s="27" t="s">
        <v>8</v>
      </c>
      <c r="LH659" s="27" t="s">
        <v>7</v>
      </c>
      <c r="LM659" s="27" t="s">
        <v>8</v>
      </c>
      <c r="LN659" s="27" t="s">
        <v>7</v>
      </c>
      <c r="LQ659" s="27" t="s">
        <v>8</v>
      </c>
      <c r="LR659" s="27" t="s">
        <v>7</v>
      </c>
      <c r="LU659" s="27" t="s">
        <v>8</v>
      </c>
      <c r="PF659" s="27" t="s">
        <v>7</v>
      </c>
    </row>
    <row r="660" spans="1:426" x14ac:dyDescent="0.25">
      <c r="A660" s="7">
        <v>0.23560660504047748</v>
      </c>
      <c r="B660"/>
      <c r="C660"/>
      <c r="D660"/>
      <c r="E660"/>
      <c r="F660" s="27" t="s">
        <v>7</v>
      </c>
      <c r="IY660" s="27" t="s">
        <v>8</v>
      </c>
      <c r="IZ660" s="27" t="s">
        <v>7</v>
      </c>
      <c r="JC660" s="27" t="s">
        <v>8</v>
      </c>
      <c r="JD660" s="27" t="s">
        <v>7</v>
      </c>
      <c r="JE660" s="27" t="s">
        <v>8</v>
      </c>
      <c r="KF660" s="27" t="s">
        <v>7</v>
      </c>
      <c r="KG660" s="27" t="s">
        <v>8</v>
      </c>
      <c r="KH660" s="27" t="s">
        <v>7</v>
      </c>
      <c r="KI660" s="27" t="s">
        <v>8</v>
      </c>
      <c r="KV660" s="27" t="s">
        <v>7</v>
      </c>
      <c r="KY660" s="27" t="s">
        <v>8</v>
      </c>
      <c r="KZ660" s="27" t="s">
        <v>7</v>
      </c>
      <c r="LA660" s="27" t="s">
        <v>8</v>
      </c>
      <c r="LG660" s="27" t="s">
        <v>8</v>
      </c>
      <c r="LH660" s="27" t="s">
        <v>7</v>
      </c>
      <c r="LK660" s="27" t="s">
        <v>8</v>
      </c>
      <c r="LM660" s="27" t="s">
        <v>8</v>
      </c>
      <c r="LN660" s="27" t="s">
        <v>7</v>
      </c>
      <c r="LQ660" s="27" t="s">
        <v>8</v>
      </c>
      <c r="LR660" s="27" t="s">
        <v>7</v>
      </c>
      <c r="LU660" s="27" t="s">
        <v>8</v>
      </c>
      <c r="PF660" s="27" t="s">
        <v>7</v>
      </c>
    </row>
    <row r="661" spans="1:426" x14ac:dyDescent="0.25">
      <c r="A661" s="7">
        <v>0.23098686768674265</v>
      </c>
      <c r="B661"/>
      <c r="C661"/>
      <c r="D661"/>
      <c r="E661"/>
      <c r="F661" s="27" t="s">
        <v>7</v>
      </c>
      <c r="IS661" s="27" t="s">
        <v>8</v>
      </c>
      <c r="IY661" s="27" t="s">
        <v>8</v>
      </c>
      <c r="IZ661" s="27" t="s">
        <v>7</v>
      </c>
      <c r="JC661" s="27" t="s">
        <v>8</v>
      </c>
      <c r="JD661" s="27" t="s">
        <v>7</v>
      </c>
      <c r="JE661" s="27" t="s">
        <v>8</v>
      </c>
      <c r="KF661" s="27" t="s">
        <v>7</v>
      </c>
      <c r="KG661" s="27" t="s">
        <v>8</v>
      </c>
      <c r="KH661" s="27" t="s">
        <v>7</v>
      </c>
      <c r="KI661" s="27" t="s">
        <v>8</v>
      </c>
      <c r="KV661" s="27" t="s">
        <v>7</v>
      </c>
      <c r="KY661" s="27" t="s">
        <v>8</v>
      </c>
      <c r="KZ661" s="27" t="s">
        <v>7</v>
      </c>
      <c r="LA661" s="27" t="s">
        <v>8</v>
      </c>
      <c r="LB661" s="27" t="s">
        <v>7</v>
      </c>
      <c r="LG661" s="27" t="s">
        <v>8</v>
      </c>
      <c r="LH661" s="27" t="s">
        <v>7</v>
      </c>
      <c r="LK661" s="27" t="s">
        <v>8</v>
      </c>
      <c r="LL661" s="27" t="s">
        <v>7</v>
      </c>
      <c r="LM661" s="27" t="s">
        <v>8</v>
      </c>
      <c r="LN661" s="27" t="s">
        <v>7</v>
      </c>
      <c r="LQ661" s="27" t="s">
        <v>8</v>
      </c>
      <c r="LR661" s="27" t="s">
        <v>7</v>
      </c>
      <c r="LS661" s="27" t="s">
        <v>8</v>
      </c>
      <c r="LU661" s="27" t="s">
        <v>8</v>
      </c>
      <c r="PF661" s="27" t="s">
        <v>7</v>
      </c>
    </row>
    <row r="662" spans="1:426" x14ac:dyDescent="0.25">
      <c r="A662" s="7">
        <v>0.22645771341837515</v>
      </c>
      <c r="B662"/>
      <c r="C662"/>
      <c r="D662"/>
      <c r="E662"/>
      <c r="F662" s="27" t="s">
        <v>7</v>
      </c>
      <c r="IS662" s="27" t="s">
        <v>8</v>
      </c>
      <c r="IT662" s="27" t="s">
        <v>7</v>
      </c>
      <c r="IY662" s="27" t="s">
        <v>8</v>
      </c>
      <c r="IZ662" s="27" t="s">
        <v>7</v>
      </c>
      <c r="JC662" s="27" t="s">
        <v>8</v>
      </c>
      <c r="JD662" s="27" t="s">
        <v>7</v>
      </c>
      <c r="JE662" s="27" t="s">
        <v>8</v>
      </c>
      <c r="KF662" s="27" t="s">
        <v>7</v>
      </c>
      <c r="KG662" s="27" t="s">
        <v>8</v>
      </c>
      <c r="KH662" s="27" t="s">
        <v>7</v>
      </c>
      <c r="KV662" s="27" t="s">
        <v>7</v>
      </c>
      <c r="KW662" s="27" t="s">
        <v>8</v>
      </c>
      <c r="KY662" s="27" t="s">
        <v>8</v>
      </c>
      <c r="KZ662" s="27" t="s">
        <v>7</v>
      </c>
      <c r="LA662" s="27" t="s">
        <v>8</v>
      </c>
      <c r="LB662" s="27" t="s">
        <v>7</v>
      </c>
      <c r="LG662" s="27" t="s">
        <v>8</v>
      </c>
      <c r="LH662" s="27" t="s">
        <v>7</v>
      </c>
      <c r="LK662" s="27" t="s">
        <v>8</v>
      </c>
      <c r="LL662" s="27" t="s">
        <v>7</v>
      </c>
      <c r="LM662" s="27" t="s">
        <v>8</v>
      </c>
      <c r="LN662" s="27" t="s">
        <v>7</v>
      </c>
      <c r="LQ662" s="27" t="s">
        <v>8</v>
      </c>
      <c r="LR662" s="27" t="s">
        <v>7</v>
      </c>
      <c r="LS662" s="27" t="s">
        <v>8</v>
      </c>
      <c r="LT662" s="27" t="s">
        <v>7</v>
      </c>
      <c r="LU662" s="27" t="s">
        <v>8</v>
      </c>
      <c r="PF662" s="27" t="s">
        <v>7</v>
      </c>
    </row>
    <row r="663" spans="1:426" x14ac:dyDescent="0.25">
      <c r="A663" s="7">
        <v>0.22201736609644623</v>
      </c>
      <c r="B663"/>
      <c r="C663"/>
      <c r="D663"/>
      <c r="E663"/>
      <c r="F663" s="27" t="s">
        <v>7</v>
      </c>
      <c r="IS663" s="27" t="s">
        <v>8</v>
      </c>
      <c r="IT663" s="27" t="s">
        <v>7</v>
      </c>
      <c r="IY663" s="27" t="s">
        <v>8</v>
      </c>
      <c r="IZ663" s="27" t="s">
        <v>7</v>
      </c>
      <c r="JC663" s="27" t="s">
        <v>8</v>
      </c>
      <c r="JD663" s="27" t="s">
        <v>7</v>
      </c>
      <c r="JE663" s="27" t="s">
        <v>8</v>
      </c>
      <c r="KF663" s="27" t="s">
        <v>7</v>
      </c>
      <c r="KG663" s="27" t="s">
        <v>8</v>
      </c>
      <c r="KV663" s="27" t="s">
        <v>7</v>
      </c>
      <c r="KW663" s="27" t="s">
        <v>8</v>
      </c>
      <c r="KX663" s="27" t="s">
        <v>7</v>
      </c>
      <c r="KY663" s="27" t="s">
        <v>8</v>
      </c>
      <c r="KZ663" s="27" t="s">
        <v>7</v>
      </c>
      <c r="LA663" s="27" t="s">
        <v>8</v>
      </c>
      <c r="LB663" s="27" t="s">
        <v>7</v>
      </c>
      <c r="LC663" s="27" t="s">
        <v>8</v>
      </c>
      <c r="LE663" s="27" t="s">
        <v>8</v>
      </c>
      <c r="LG663" s="27" t="s">
        <v>8</v>
      </c>
      <c r="LH663" s="27" t="s">
        <v>7</v>
      </c>
      <c r="LI663" s="27" t="s">
        <v>8</v>
      </c>
      <c r="LK663" s="27" t="s">
        <v>8</v>
      </c>
      <c r="LL663" s="27" t="s">
        <v>7</v>
      </c>
      <c r="LM663" s="27" t="s">
        <v>8</v>
      </c>
      <c r="LN663" s="27" t="s">
        <v>7</v>
      </c>
      <c r="LQ663" s="27" t="s">
        <v>8</v>
      </c>
      <c r="LR663" s="27" t="s">
        <v>7</v>
      </c>
      <c r="LS663" s="27" t="s">
        <v>8</v>
      </c>
      <c r="LT663" s="27" t="s">
        <v>7</v>
      </c>
      <c r="LU663" s="27" t="s">
        <v>8</v>
      </c>
      <c r="PF663" s="27" t="s">
        <v>7</v>
      </c>
    </row>
    <row r="664" spans="1:426" x14ac:dyDescent="0.25">
      <c r="A664" s="7">
        <v>0.21766408440828061</v>
      </c>
      <c r="B664"/>
      <c r="C664"/>
      <c r="D664"/>
      <c r="E664"/>
      <c r="F664" s="27" t="s">
        <v>7</v>
      </c>
      <c r="IS664" s="27" t="s">
        <v>8</v>
      </c>
      <c r="IT664" s="27" t="s">
        <v>7</v>
      </c>
      <c r="IY664" s="27" t="s">
        <v>8</v>
      </c>
      <c r="IZ664" s="27" t="s">
        <v>7</v>
      </c>
      <c r="JC664" s="27" t="s">
        <v>8</v>
      </c>
      <c r="JD664" s="27" t="s">
        <v>7</v>
      </c>
      <c r="JE664" s="27" t="s">
        <v>8</v>
      </c>
      <c r="KF664" s="27" t="s">
        <v>7</v>
      </c>
      <c r="KG664" s="27" t="s">
        <v>8</v>
      </c>
      <c r="KV664" s="27" t="s">
        <v>7</v>
      </c>
      <c r="KW664" s="27" t="s">
        <v>8</v>
      </c>
      <c r="KX664" s="27" t="s">
        <v>7</v>
      </c>
      <c r="KY664" s="27" t="s">
        <v>8</v>
      </c>
      <c r="KZ664" s="27" t="s">
        <v>7</v>
      </c>
      <c r="LA664" s="27" t="s">
        <v>8</v>
      </c>
      <c r="LB664" s="27" t="s">
        <v>7</v>
      </c>
      <c r="LC664" s="27" t="s">
        <v>8</v>
      </c>
      <c r="LD664" s="27" t="s">
        <v>7</v>
      </c>
      <c r="LE664" s="27" t="s">
        <v>8</v>
      </c>
      <c r="LF664" s="27" t="s">
        <v>7</v>
      </c>
      <c r="LG664" s="27" t="s">
        <v>8</v>
      </c>
      <c r="LH664" s="27" t="s">
        <v>7</v>
      </c>
      <c r="LI664" s="27" t="s">
        <v>8</v>
      </c>
      <c r="LJ664" s="27" t="s">
        <v>7</v>
      </c>
      <c r="LK664" s="27" t="s">
        <v>8</v>
      </c>
      <c r="LL664" s="27" t="s">
        <v>7</v>
      </c>
      <c r="LM664" s="27" t="s">
        <v>8</v>
      </c>
      <c r="LN664" s="27" t="s">
        <v>7</v>
      </c>
      <c r="LQ664" s="27" t="s">
        <v>8</v>
      </c>
      <c r="LR664" s="27" t="s">
        <v>7</v>
      </c>
      <c r="LS664" s="27" t="s">
        <v>8</v>
      </c>
      <c r="LT664" s="27" t="s">
        <v>7</v>
      </c>
      <c r="PF664" s="27" t="s">
        <v>7</v>
      </c>
    </row>
    <row r="665" spans="1:426" x14ac:dyDescent="0.25">
      <c r="A665" s="7">
        <v>0.21339616118458882</v>
      </c>
      <c r="B665"/>
      <c r="C665"/>
      <c r="D665"/>
      <c r="E665"/>
      <c r="F665" s="27" t="s">
        <v>7</v>
      </c>
      <c r="IS665" s="27" t="s">
        <v>8</v>
      </c>
      <c r="IT665" s="27" t="s">
        <v>7</v>
      </c>
      <c r="IY665" s="27" t="s">
        <v>8</v>
      </c>
      <c r="IZ665" s="27" t="s">
        <v>7</v>
      </c>
      <c r="JC665" s="27" t="s">
        <v>8</v>
      </c>
      <c r="JD665" s="27" t="s">
        <v>7</v>
      </c>
      <c r="JE665" s="27" t="s">
        <v>8</v>
      </c>
      <c r="KF665" s="27" t="s">
        <v>7</v>
      </c>
      <c r="KG665" s="27" t="s">
        <v>8</v>
      </c>
      <c r="KV665" s="27" t="s">
        <v>7</v>
      </c>
      <c r="KW665" s="27" t="s">
        <v>8</v>
      </c>
      <c r="KX665" s="27" t="s">
        <v>7</v>
      </c>
      <c r="KY665" s="27" t="s">
        <v>8</v>
      </c>
      <c r="KZ665" s="27" t="s">
        <v>7</v>
      </c>
      <c r="LB665" s="27" t="s">
        <v>7</v>
      </c>
      <c r="LC665" s="27" t="s">
        <v>8</v>
      </c>
      <c r="LD665" s="27" t="s">
        <v>7</v>
      </c>
      <c r="LE665" s="27" t="s">
        <v>8</v>
      </c>
      <c r="LF665" s="27" t="s">
        <v>7</v>
      </c>
      <c r="LG665" s="27" t="s">
        <v>8</v>
      </c>
      <c r="LH665" s="27" t="s">
        <v>7</v>
      </c>
      <c r="LI665" s="27" t="s">
        <v>8</v>
      </c>
      <c r="LJ665" s="27" t="s">
        <v>7</v>
      </c>
      <c r="LK665" s="27" t="s">
        <v>8</v>
      </c>
      <c r="LL665" s="27" t="s">
        <v>7</v>
      </c>
      <c r="LM665" s="27" t="s">
        <v>8</v>
      </c>
      <c r="LN665" s="27" t="s">
        <v>7</v>
      </c>
      <c r="LO665" s="27" t="s">
        <v>8</v>
      </c>
      <c r="LQ665" s="27" t="s">
        <v>8</v>
      </c>
      <c r="LR665" s="27" t="s">
        <v>7</v>
      </c>
      <c r="PF665" s="27" t="s">
        <v>7</v>
      </c>
      <c r="PI665" s="27" t="s">
        <v>8</v>
      </c>
    </row>
    <row r="666" spans="1:426" x14ac:dyDescent="0.25">
      <c r="A666" s="7">
        <v>0.20921192272998904</v>
      </c>
      <c r="B666"/>
      <c r="C666"/>
      <c r="D666"/>
      <c r="E666"/>
      <c r="F666" s="27" t="s">
        <v>7</v>
      </c>
      <c r="IS666" s="27" t="s">
        <v>8</v>
      </c>
      <c r="IT666" s="27" t="s">
        <v>7</v>
      </c>
      <c r="IY666" s="27" t="s">
        <v>8</v>
      </c>
      <c r="IZ666" s="27" t="s">
        <v>7</v>
      </c>
      <c r="JC666" s="27" t="s">
        <v>8</v>
      </c>
      <c r="JD666" s="27" t="s">
        <v>7</v>
      </c>
      <c r="JE666" s="27" t="s">
        <v>8</v>
      </c>
      <c r="KF666" s="27" t="s">
        <v>7</v>
      </c>
      <c r="KG666" s="27" t="s">
        <v>8</v>
      </c>
      <c r="KV666" s="27" t="s">
        <v>7</v>
      </c>
      <c r="KW666" s="27" t="s">
        <v>8</v>
      </c>
      <c r="KX666" s="27" t="s">
        <v>7</v>
      </c>
      <c r="KY666" s="27" t="s">
        <v>8</v>
      </c>
      <c r="LB666" s="27" t="s">
        <v>7</v>
      </c>
      <c r="LC666" s="27" t="s">
        <v>8</v>
      </c>
      <c r="LD666" s="27" t="s">
        <v>7</v>
      </c>
      <c r="LE666" s="27" t="s">
        <v>8</v>
      </c>
      <c r="LF666" s="27" t="s">
        <v>7</v>
      </c>
      <c r="LG666" s="27" t="s">
        <v>8</v>
      </c>
      <c r="LH666" s="27" t="s">
        <v>7</v>
      </c>
      <c r="LI666" s="27" t="s">
        <v>8</v>
      </c>
      <c r="LJ666" s="27" t="s">
        <v>7</v>
      </c>
      <c r="LL666" s="27" t="s">
        <v>7</v>
      </c>
      <c r="LM666" s="27" t="s">
        <v>8</v>
      </c>
      <c r="LN666" s="27" t="s">
        <v>7</v>
      </c>
      <c r="LO666" s="27" t="s">
        <v>8</v>
      </c>
      <c r="LP666" s="27" t="s">
        <v>7</v>
      </c>
      <c r="LQ666" s="27" t="s">
        <v>8</v>
      </c>
      <c r="PF666" s="27" t="s">
        <v>7</v>
      </c>
      <c r="PI666" s="27" t="s">
        <v>8</v>
      </c>
      <c r="PJ666" s="27" t="s">
        <v>7</v>
      </c>
    </row>
    <row r="667" spans="1:426" x14ac:dyDescent="0.25">
      <c r="A667" s="7">
        <v>0.20510972816665593</v>
      </c>
      <c r="B667"/>
      <c r="C667"/>
      <c r="D667"/>
      <c r="E667"/>
      <c r="F667" s="27" t="s">
        <v>7</v>
      </c>
      <c r="IS667" s="27" t="s">
        <v>8</v>
      </c>
      <c r="IT667" s="27" t="s">
        <v>7</v>
      </c>
      <c r="IY667" s="27" t="s">
        <v>8</v>
      </c>
      <c r="IZ667" s="27" t="s">
        <v>7</v>
      </c>
      <c r="JC667" s="27" t="s">
        <v>8</v>
      </c>
      <c r="JD667" s="27" t="s">
        <v>7</v>
      </c>
      <c r="JE667" s="27" t="s">
        <v>8</v>
      </c>
      <c r="KF667" s="27" t="s">
        <v>7</v>
      </c>
      <c r="KG667" s="27" t="s">
        <v>8</v>
      </c>
      <c r="KV667" s="27" t="s">
        <v>7</v>
      </c>
      <c r="KW667" s="27" t="s">
        <v>8</v>
      </c>
      <c r="KX667" s="27" t="s">
        <v>7</v>
      </c>
      <c r="KY667" s="27" t="s">
        <v>8</v>
      </c>
      <c r="LB667" s="27" t="s">
        <v>7</v>
      </c>
      <c r="LD667" s="27" t="s">
        <v>7</v>
      </c>
      <c r="LE667" s="27" t="s">
        <v>8</v>
      </c>
      <c r="LF667" s="27" t="s">
        <v>7</v>
      </c>
      <c r="LH667" s="27" t="s">
        <v>7</v>
      </c>
      <c r="LL667" s="27" t="s">
        <v>7</v>
      </c>
      <c r="LM667" s="27" t="s">
        <v>8</v>
      </c>
      <c r="LN667" s="27" t="s">
        <v>7</v>
      </c>
      <c r="LO667" s="27" t="s">
        <v>8</v>
      </c>
      <c r="LP667" s="27" t="s">
        <v>7</v>
      </c>
      <c r="LQ667" s="27" t="s">
        <v>8</v>
      </c>
      <c r="PF667" s="27" t="s">
        <v>7</v>
      </c>
      <c r="PI667" s="27" t="s">
        <v>8</v>
      </c>
      <c r="PJ667" s="27" t="s">
        <v>7</v>
      </c>
    </row>
    <row r="668" spans="1:426" x14ac:dyDescent="0.25">
      <c r="A668" s="7">
        <v>0.20108796879083912</v>
      </c>
      <c r="B668"/>
      <c r="C668"/>
      <c r="D668"/>
      <c r="E668"/>
      <c r="F668" s="27" t="s">
        <v>7</v>
      </c>
      <c r="IS668" s="27" t="s">
        <v>8</v>
      </c>
      <c r="IT668" s="27" t="s">
        <v>7</v>
      </c>
      <c r="IY668" s="27" t="s">
        <v>8</v>
      </c>
      <c r="IZ668" s="27" t="s">
        <v>7</v>
      </c>
      <c r="JC668" s="27" t="s">
        <v>8</v>
      </c>
      <c r="JD668" s="27" t="s">
        <v>7</v>
      </c>
      <c r="JE668" s="27" t="s">
        <v>8</v>
      </c>
      <c r="KF668" s="27" t="s">
        <v>7</v>
      </c>
      <c r="KG668" s="27" t="s">
        <v>8</v>
      </c>
      <c r="KV668" s="27" t="s">
        <v>7</v>
      </c>
      <c r="KW668" s="27" t="s">
        <v>8</v>
      </c>
      <c r="KX668" s="27" t="s">
        <v>7</v>
      </c>
      <c r="KY668" s="27" t="s">
        <v>8</v>
      </c>
      <c r="LD668" s="27" t="s">
        <v>7</v>
      </c>
      <c r="LL668" s="27" t="s">
        <v>7</v>
      </c>
      <c r="LM668" s="27" t="s">
        <v>8</v>
      </c>
      <c r="LN668" s="27" t="s">
        <v>7</v>
      </c>
      <c r="LO668" s="27" t="s">
        <v>8</v>
      </c>
      <c r="LP668" s="27" t="s">
        <v>7</v>
      </c>
      <c r="LQ668" s="27" t="s">
        <v>8</v>
      </c>
      <c r="PF668" s="27" t="s">
        <v>7</v>
      </c>
      <c r="PG668" s="27" t="s">
        <v>8</v>
      </c>
      <c r="PI668" s="27" t="s">
        <v>8</v>
      </c>
      <c r="PJ668" s="27" t="s">
        <v>7</v>
      </c>
    </row>
    <row r="669" spans="1:426" x14ac:dyDescent="0.25">
      <c r="A669" s="7">
        <v>0.19714506744199917</v>
      </c>
      <c r="B669"/>
      <c r="C669"/>
      <c r="D669"/>
      <c r="E669"/>
      <c r="F669" s="27" t="s">
        <v>7</v>
      </c>
      <c r="IS669" s="27" t="s">
        <v>8</v>
      </c>
      <c r="IT669" s="27" t="s">
        <v>7</v>
      </c>
      <c r="IY669" s="27" t="s">
        <v>8</v>
      </c>
      <c r="IZ669" s="27" t="s">
        <v>7</v>
      </c>
      <c r="JC669" s="27" t="s">
        <v>8</v>
      </c>
      <c r="JD669" s="27" t="s">
        <v>7</v>
      </c>
      <c r="JE669" s="27" t="s">
        <v>8</v>
      </c>
      <c r="KF669" s="27" t="s">
        <v>7</v>
      </c>
      <c r="KG669" s="27" t="s">
        <v>8</v>
      </c>
      <c r="KV669" s="27" t="s">
        <v>7</v>
      </c>
      <c r="KW669" s="27" t="s">
        <v>8</v>
      </c>
      <c r="KX669" s="27" t="s">
        <v>7</v>
      </c>
      <c r="KY669" s="27" t="s">
        <v>8</v>
      </c>
      <c r="LL669" s="27" t="s">
        <v>7</v>
      </c>
      <c r="LM669" s="27" t="s">
        <v>8</v>
      </c>
      <c r="LN669" s="27" t="s">
        <v>7</v>
      </c>
      <c r="LP669" s="27" t="s">
        <v>7</v>
      </c>
      <c r="LQ669" s="27" t="s">
        <v>8</v>
      </c>
      <c r="PF669" s="27" t="s">
        <v>7</v>
      </c>
      <c r="PG669" s="27" t="s">
        <v>8</v>
      </c>
      <c r="PH669" s="27" t="s">
        <v>7</v>
      </c>
      <c r="PI669" s="27" t="s">
        <v>8</v>
      </c>
    </row>
    <row r="670" spans="1:426" x14ac:dyDescent="0.25">
      <c r="A670" s="7">
        <v>0.19327947788431293</v>
      </c>
      <c r="B670"/>
      <c r="C670"/>
      <c r="D670"/>
      <c r="E670"/>
      <c r="F670" s="27" t="s">
        <v>7</v>
      </c>
      <c r="IS670" s="27" t="s">
        <v>8</v>
      </c>
      <c r="IT670" s="27" t="s">
        <v>7</v>
      </c>
      <c r="IY670" s="27" t="s">
        <v>8</v>
      </c>
      <c r="IZ670" s="27" t="s">
        <v>7</v>
      </c>
      <c r="JC670" s="27" t="s">
        <v>8</v>
      </c>
      <c r="JD670" s="27" t="s">
        <v>7</v>
      </c>
      <c r="JE670" s="27" t="s">
        <v>8</v>
      </c>
      <c r="KF670" s="27" t="s">
        <v>7</v>
      </c>
      <c r="KV670" s="27" t="s">
        <v>7</v>
      </c>
      <c r="KW670" s="27" t="s">
        <v>8</v>
      </c>
      <c r="KX670" s="27" t="s">
        <v>7</v>
      </c>
      <c r="KY670" s="27" t="s">
        <v>8</v>
      </c>
      <c r="LL670" s="27" t="s">
        <v>7</v>
      </c>
      <c r="LP670" s="27" t="s">
        <v>7</v>
      </c>
      <c r="LQ670" s="27" t="s">
        <v>8</v>
      </c>
      <c r="PF670" s="27" t="s">
        <v>7</v>
      </c>
      <c r="PG670" s="27" t="s">
        <v>8</v>
      </c>
      <c r="PH670" s="27" t="s">
        <v>7</v>
      </c>
      <c r="PI670" s="27" t="s">
        <v>8</v>
      </c>
    </row>
    <row r="671" spans="1:426" x14ac:dyDescent="0.25">
      <c r="A671" s="7">
        <v>0.18948968420030682</v>
      </c>
      <c r="B671"/>
      <c r="C671"/>
      <c r="D671"/>
      <c r="E671"/>
      <c r="F671" s="27" t="s">
        <v>7</v>
      </c>
      <c r="IS671" s="27" t="s">
        <v>8</v>
      </c>
      <c r="IT671" s="27" t="s">
        <v>7</v>
      </c>
      <c r="IY671" s="27" t="s">
        <v>8</v>
      </c>
      <c r="IZ671" s="27" t="s">
        <v>7</v>
      </c>
      <c r="JC671" s="27" t="s">
        <v>8</v>
      </c>
      <c r="JD671" s="27" t="s">
        <v>7</v>
      </c>
      <c r="JE671" s="27" t="s">
        <v>8</v>
      </c>
      <c r="KV671" s="27" t="s">
        <v>7</v>
      </c>
      <c r="KW671" s="27" t="s">
        <v>8</v>
      </c>
      <c r="KX671" s="27" t="s">
        <v>7</v>
      </c>
      <c r="LP671" s="27" t="s">
        <v>7</v>
      </c>
      <c r="LQ671" s="27" t="s">
        <v>8</v>
      </c>
      <c r="PF671" s="27" t="s">
        <v>7</v>
      </c>
      <c r="PG671" s="27" t="s">
        <v>8</v>
      </c>
      <c r="PH671" s="27" t="s">
        <v>7</v>
      </c>
      <c r="PI671" s="27" t="s">
        <v>8</v>
      </c>
    </row>
    <row r="672" spans="1:426" x14ac:dyDescent="0.25">
      <c r="A672" s="7">
        <v>0.18577420019637925</v>
      </c>
      <c r="B672"/>
      <c r="C672"/>
      <c r="D672"/>
      <c r="E672"/>
      <c r="F672" s="27" t="s">
        <v>7</v>
      </c>
      <c r="IS672" s="27" t="s">
        <v>8</v>
      </c>
      <c r="IT672" s="27" t="s">
        <v>7</v>
      </c>
      <c r="IU672" s="27" t="s">
        <v>8</v>
      </c>
      <c r="IY672" s="27" t="s">
        <v>8</v>
      </c>
      <c r="IZ672" s="27" t="s">
        <v>7</v>
      </c>
      <c r="JA672" s="27" t="s">
        <v>8</v>
      </c>
      <c r="JC672" s="27" t="s">
        <v>8</v>
      </c>
      <c r="JD672" s="27" t="s">
        <v>7</v>
      </c>
      <c r="JE672" s="27" t="s">
        <v>8</v>
      </c>
      <c r="KV672" s="27" t="s">
        <v>7</v>
      </c>
      <c r="KW672" s="27" t="s">
        <v>8</v>
      </c>
      <c r="LP672" s="18" t="s">
        <v>7</v>
      </c>
      <c r="LQ672" s="27" t="s">
        <v>8</v>
      </c>
      <c r="PF672" s="27" t="s">
        <v>7</v>
      </c>
      <c r="PG672" s="27" t="s">
        <v>8</v>
      </c>
      <c r="PH672" s="27" t="s">
        <v>7</v>
      </c>
      <c r="PI672" s="27" t="s">
        <v>8</v>
      </c>
    </row>
    <row r="673" spans="1:425" x14ac:dyDescent="0.25">
      <c r="A673" s="7">
        <v>0.18213156881997963</v>
      </c>
      <c r="B673"/>
      <c r="C673"/>
      <c r="D673"/>
      <c r="E673"/>
      <c r="F673" s="27" t="s">
        <v>7</v>
      </c>
      <c r="IS673" s="27" t="s">
        <v>8</v>
      </c>
      <c r="IT673" s="27" t="s">
        <v>7</v>
      </c>
      <c r="IU673" s="27" t="s">
        <v>8</v>
      </c>
      <c r="IV673" s="27" t="s">
        <v>7</v>
      </c>
      <c r="IY673" s="27" t="s">
        <v>8</v>
      </c>
      <c r="IZ673" s="27" t="s">
        <v>7</v>
      </c>
      <c r="JA673" s="27" t="s">
        <v>8</v>
      </c>
      <c r="JB673" s="27" t="s">
        <v>7</v>
      </c>
      <c r="JC673" s="27" t="s">
        <v>8</v>
      </c>
      <c r="JD673" s="27" t="s">
        <v>7</v>
      </c>
      <c r="JE673" s="27" t="s">
        <v>8</v>
      </c>
      <c r="KV673" s="27" t="s">
        <v>7</v>
      </c>
      <c r="KW673" s="27" t="s">
        <v>8</v>
      </c>
      <c r="LP673" s="27" t="s">
        <v>7</v>
      </c>
      <c r="LQ673" s="27" t="s">
        <v>8</v>
      </c>
      <c r="PF673" s="27" t="s">
        <v>7</v>
      </c>
      <c r="PG673" s="27" t="s">
        <v>8</v>
      </c>
      <c r="PH673" s="27" t="s">
        <v>7</v>
      </c>
      <c r="PI673" s="27" t="s">
        <v>8</v>
      </c>
    </row>
    <row r="674" spans="1:425" x14ac:dyDescent="0.25">
      <c r="A674" s="7">
        <v>0.17856036158821534</v>
      </c>
      <c r="B674"/>
      <c r="C674"/>
      <c r="D674"/>
      <c r="E674"/>
      <c r="F674" s="27" t="s">
        <v>7</v>
      </c>
      <c r="IS674" s="27" t="s">
        <v>8</v>
      </c>
      <c r="IT674" s="27" t="s">
        <v>7</v>
      </c>
      <c r="IU674" s="27" t="s">
        <v>8</v>
      </c>
      <c r="IV674" s="27" t="s">
        <v>7</v>
      </c>
      <c r="IY674" s="27" t="s">
        <v>8</v>
      </c>
      <c r="IZ674" s="27" t="s">
        <v>7</v>
      </c>
      <c r="JA674" s="27" t="s">
        <v>8</v>
      </c>
      <c r="JB674" s="27" t="s">
        <v>7</v>
      </c>
      <c r="JC674" s="27" t="s">
        <v>8</v>
      </c>
      <c r="JD674" s="27" t="s">
        <v>7</v>
      </c>
      <c r="JE674" s="27" t="s">
        <v>8</v>
      </c>
      <c r="KV674" s="27" t="s">
        <v>7</v>
      </c>
      <c r="KW674" s="27" t="s">
        <v>8</v>
      </c>
      <c r="LP674" s="27" t="s">
        <v>7</v>
      </c>
      <c r="LQ674" s="27" t="s">
        <v>8</v>
      </c>
      <c r="PF674" s="27" t="s">
        <v>7</v>
      </c>
      <c r="PG674" s="27" t="s">
        <v>8</v>
      </c>
      <c r="PH674" s="27" t="s">
        <v>7</v>
      </c>
      <c r="PI674" s="27" t="s">
        <v>8</v>
      </c>
    </row>
    <row r="675" spans="1:425" x14ac:dyDescent="0.25">
      <c r="A675" s="7">
        <v>0.17505917802766208</v>
      </c>
      <c r="B675"/>
      <c r="C675"/>
      <c r="D675"/>
      <c r="E675"/>
      <c r="F675" s="27" t="s">
        <v>7</v>
      </c>
      <c r="IS675" s="27" t="s">
        <v>8</v>
      </c>
      <c r="IT675" s="27" t="s">
        <v>7</v>
      </c>
      <c r="IU675" s="27" t="s">
        <v>8</v>
      </c>
      <c r="IV675" s="27" t="s">
        <v>7</v>
      </c>
      <c r="IY675" s="27" t="s">
        <v>8</v>
      </c>
      <c r="IZ675" s="27" t="s">
        <v>7</v>
      </c>
      <c r="JA675" s="27" t="s">
        <v>8</v>
      </c>
      <c r="JB675" s="27" t="s">
        <v>7</v>
      </c>
      <c r="JC675" s="27" t="s">
        <v>8</v>
      </c>
      <c r="JD675" s="27" t="s">
        <v>7</v>
      </c>
      <c r="KV675" s="27" t="s">
        <v>7</v>
      </c>
      <c r="LP675" s="27" t="s">
        <v>7</v>
      </c>
      <c r="LQ675" s="27" t="s">
        <v>8</v>
      </c>
      <c r="PF675" s="27" t="s">
        <v>7</v>
      </c>
      <c r="PG675" s="27" t="s">
        <v>8</v>
      </c>
      <c r="PH675" s="27" t="s">
        <v>7</v>
      </c>
      <c r="PI675" s="27" t="s">
        <v>8</v>
      </c>
    </row>
    <row r="676" spans="1:425" x14ac:dyDescent="0.25">
      <c r="A676" s="7">
        <v>0.17162664512515888</v>
      </c>
      <c r="B676"/>
      <c r="C676"/>
      <c r="D676"/>
      <c r="E676"/>
      <c r="F676" s="27" t="s">
        <v>7</v>
      </c>
      <c r="IS676" s="27" t="s">
        <v>8</v>
      </c>
      <c r="IT676" s="27" t="s">
        <v>7</v>
      </c>
      <c r="IU676" s="27" t="s">
        <v>8</v>
      </c>
      <c r="IV676" s="27" t="s">
        <v>7</v>
      </c>
      <c r="IY676" s="27" t="s">
        <v>8</v>
      </c>
      <c r="IZ676" s="27" t="s">
        <v>7</v>
      </c>
      <c r="JA676" s="27" t="s">
        <v>8</v>
      </c>
      <c r="JB676" s="27" t="s">
        <v>7</v>
      </c>
      <c r="JC676" s="27" t="s">
        <v>8</v>
      </c>
      <c r="LP676" s="27" t="s">
        <v>7</v>
      </c>
      <c r="LQ676" s="27" t="s">
        <v>8</v>
      </c>
      <c r="PF676" s="27" t="s">
        <v>7</v>
      </c>
      <c r="PH676" s="27" t="s">
        <v>7</v>
      </c>
      <c r="PI676" s="27" t="s">
        <v>8</v>
      </c>
    </row>
    <row r="677" spans="1:425" x14ac:dyDescent="0.25">
      <c r="A677" s="7">
        <v>0.16826141678937145</v>
      </c>
      <c r="B677"/>
      <c r="C677"/>
      <c r="D677"/>
      <c r="E677"/>
      <c r="F677" s="27" t="s">
        <v>7</v>
      </c>
      <c r="IS677" s="27" t="s">
        <v>8</v>
      </c>
      <c r="IT677" s="27" t="s">
        <v>7</v>
      </c>
      <c r="IU677" s="27" t="s">
        <v>8</v>
      </c>
      <c r="IV677" s="27" t="s">
        <v>7</v>
      </c>
      <c r="IY677" s="27" t="s">
        <v>8</v>
      </c>
      <c r="IZ677" s="27" t="s">
        <v>7</v>
      </c>
      <c r="JA677" s="27" t="s">
        <v>8</v>
      </c>
      <c r="JB677" s="27" t="s">
        <v>7</v>
      </c>
      <c r="JC677" s="27" t="s">
        <v>8</v>
      </c>
      <c r="LP677" s="27" t="s">
        <v>7</v>
      </c>
      <c r="LQ677" s="27" t="s">
        <v>8</v>
      </c>
      <c r="PH677" s="27" t="s">
        <v>7</v>
      </c>
    </row>
    <row r="678" spans="1:425" x14ac:dyDescent="0.25">
      <c r="A678" s="7">
        <v>0.16496217332291319</v>
      </c>
      <c r="B678"/>
      <c r="C678"/>
      <c r="D678"/>
      <c r="E678"/>
      <c r="F678" s="27" t="s">
        <v>7</v>
      </c>
      <c r="IS678" s="27" t="s">
        <v>8</v>
      </c>
      <c r="IT678" s="27" t="s">
        <v>7</v>
      </c>
      <c r="IU678" s="27" t="s">
        <v>8</v>
      </c>
      <c r="IV678" s="27" t="s">
        <v>7</v>
      </c>
      <c r="IW678" s="27" t="s">
        <v>8</v>
      </c>
      <c r="IY678" s="27" t="s">
        <v>8</v>
      </c>
      <c r="IZ678" s="27" t="s">
        <v>7</v>
      </c>
      <c r="JA678" s="27" t="s">
        <v>8</v>
      </c>
      <c r="JB678" s="27" t="s">
        <v>7</v>
      </c>
      <c r="JC678" s="27" t="s">
        <v>8</v>
      </c>
      <c r="LP678" s="27" t="s">
        <v>7</v>
      </c>
    </row>
    <row r="679" spans="1:425" x14ac:dyDescent="0.25">
      <c r="A679" s="7">
        <v>0.16172762090481685</v>
      </c>
      <c r="B679"/>
      <c r="C679"/>
      <c r="D679"/>
      <c r="E679"/>
      <c r="F679" s="27" t="s">
        <v>7</v>
      </c>
      <c r="IS679" s="27" t="s">
        <v>8</v>
      </c>
      <c r="IT679" s="27" t="s">
        <v>7</v>
      </c>
      <c r="IU679" s="27" t="s">
        <v>8</v>
      </c>
      <c r="IV679" s="27" t="s">
        <v>7</v>
      </c>
      <c r="IW679" s="27" t="s">
        <v>8</v>
      </c>
      <c r="IX679" s="27" t="s">
        <v>7</v>
      </c>
      <c r="IY679" s="27" t="s">
        <v>8</v>
      </c>
      <c r="IZ679" s="27" t="s">
        <v>7</v>
      </c>
      <c r="JA679" s="27" t="s">
        <v>8</v>
      </c>
      <c r="JB679" s="27" t="s">
        <v>7</v>
      </c>
      <c r="JC679" s="27" t="s">
        <v>8</v>
      </c>
    </row>
    <row r="680" spans="1:425" x14ac:dyDescent="0.25">
      <c r="A680" s="7">
        <v>0.15855649108315376</v>
      </c>
      <c r="B680"/>
      <c r="C680"/>
      <c r="D680"/>
      <c r="E680"/>
      <c r="F680" s="27" t="s">
        <v>7</v>
      </c>
      <c r="IS680" s="27" t="s">
        <v>8</v>
      </c>
      <c r="IT680" s="27" t="s">
        <v>7</v>
      </c>
      <c r="IU680" s="27" t="s">
        <v>8</v>
      </c>
      <c r="IV680" s="27" t="s">
        <v>7</v>
      </c>
      <c r="IW680" s="27" t="s">
        <v>8</v>
      </c>
      <c r="IX680" s="27" t="s">
        <v>7</v>
      </c>
      <c r="IY680" s="27" t="s">
        <v>8</v>
      </c>
      <c r="IZ680" s="27" t="s">
        <v>7</v>
      </c>
      <c r="JA680" s="27" t="s">
        <v>8</v>
      </c>
      <c r="JB680" s="27" t="s">
        <v>7</v>
      </c>
      <c r="JC680" s="27" t="s">
        <v>8</v>
      </c>
    </row>
    <row r="681" spans="1:425" x14ac:dyDescent="0.25">
      <c r="A681" s="7">
        <v>0.15544754027760171</v>
      </c>
      <c r="B681"/>
      <c r="C681"/>
      <c r="D681"/>
      <c r="E681"/>
      <c r="F681" s="27" t="s">
        <v>7</v>
      </c>
      <c r="IS681" s="27" t="s">
        <v>8</v>
      </c>
      <c r="IT681" s="27" t="s">
        <v>7</v>
      </c>
      <c r="IV681" s="27" t="s">
        <v>7</v>
      </c>
      <c r="IW681" s="27" t="s">
        <v>8</v>
      </c>
      <c r="IX681" s="27" t="s">
        <v>7</v>
      </c>
      <c r="IY681" s="27" t="s">
        <v>8</v>
      </c>
      <c r="IZ681" s="27" t="s">
        <v>7</v>
      </c>
      <c r="JA681" s="27" t="s">
        <v>8</v>
      </c>
      <c r="JB681" s="27" t="s">
        <v>7</v>
      </c>
      <c r="JC681" s="27" t="s">
        <v>8</v>
      </c>
    </row>
    <row r="682" spans="1:425" x14ac:dyDescent="0.25">
      <c r="A682" s="7">
        <v>0.15239954929176638</v>
      </c>
      <c r="B682"/>
      <c r="C682"/>
      <c r="D682"/>
      <c r="E682"/>
      <c r="F682" s="27" t="s">
        <v>7</v>
      </c>
      <c r="IS682" s="27" t="s">
        <v>8</v>
      </c>
      <c r="IV682" s="27" t="s">
        <v>7</v>
      </c>
      <c r="IW682" s="27" t="s">
        <v>8</v>
      </c>
      <c r="IX682" s="27" t="s">
        <v>7</v>
      </c>
      <c r="IY682" s="27" t="s">
        <v>8</v>
      </c>
      <c r="IZ682" s="27" t="s">
        <v>7</v>
      </c>
      <c r="JB682" s="27" t="s">
        <v>7</v>
      </c>
      <c r="JC682" s="27" t="s">
        <v>8</v>
      </c>
    </row>
    <row r="683" spans="1:425" x14ac:dyDescent="0.25">
      <c r="A683" s="7">
        <v>0.14941132283506509</v>
      </c>
      <c r="B683"/>
      <c r="C683"/>
      <c r="D683"/>
      <c r="E683"/>
      <c r="F683" s="27" t="s">
        <v>7</v>
      </c>
      <c r="IS683" s="27" t="s">
        <v>8</v>
      </c>
      <c r="IV683" s="27" t="s">
        <v>7</v>
      </c>
      <c r="IW683" s="27" t="s">
        <v>8</v>
      </c>
      <c r="IX683" s="27" t="s">
        <v>7</v>
      </c>
      <c r="IY683" s="27" t="s">
        <v>8</v>
      </c>
      <c r="JB683" s="27" t="s">
        <v>7</v>
      </c>
      <c r="JC683" s="27" t="s">
        <v>8</v>
      </c>
    </row>
    <row r="684" spans="1:425" x14ac:dyDescent="0.25">
      <c r="A684" s="7">
        <v>0.14648168905398537</v>
      </c>
      <c r="B684"/>
      <c r="C684"/>
      <c r="D684"/>
      <c r="E684"/>
      <c r="F684" s="27" t="s">
        <v>7</v>
      </c>
      <c r="IS684" s="27" t="s">
        <v>8</v>
      </c>
      <c r="IV684" s="27" t="s">
        <v>7</v>
      </c>
      <c r="IW684" s="27" t="s">
        <v>8</v>
      </c>
      <c r="IX684" s="27" t="s">
        <v>7</v>
      </c>
      <c r="IY684" s="27" t="s">
        <v>8</v>
      </c>
      <c r="JB684" s="27" t="s">
        <v>7</v>
      </c>
      <c r="JC684" s="27" t="s">
        <v>8</v>
      </c>
    </row>
    <row r="685" spans="1:425" x14ac:dyDescent="0.25">
      <c r="A685" s="7">
        <v>0.14360949907253467</v>
      </c>
      <c r="B685"/>
      <c r="C685"/>
      <c r="D685"/>
      <c r="E685"/>
      <c r="F685" s="27" t="s">
        <v>7</v>
      </c>
      <c r="IS685" s="27" t="s">
        <v>8</v>
      </c>
      <c r="IV685" s="27" t="s">
        <v>7</v>
      </c>
      <c r="IW685" s="27" t="s">
        <v>8</v>
      </c>
      <c r="IX685" s="27" t="s">
        <v>7</v>
      </c>
      <c r="IY685" s="27" t="s">
        <v>8</v>
      </c>
      <c r="JB685" s="27" t="s">
        <v>7</v>
      </c>
    </row>
    <row r="686" spans="1:425" x14ac:dyDescent="0.25">
      <c r="A686" s="7">
        <v>0.14079362654170066</v>
      </c>
      <c r="B686"/>
      <c r="C686"/>
      <c r="D686"/>
      <c r="E686"/>
      <c r="F686" s="27" t="s">
        <v>7</v>
      </c>
      <c r="IQ686" s="27" t="s">
        <v>8</v>
      </c>
      <c r="IS686" s="27" t="s">
        <v>8</v>
      </c>
      <c r="IV686" s="27" t="s">
        <v>7</v>
      </c>
      <c r="IW686" s="27" t="s">
        <v>8</v>
      </c>
      <c r="IX686" s="27" t="s">
        <v>7</v>
      </c>
    </row>
    <row r="687" spans="1:425" x14ac:dyDescent="0.25">
      <c r="A687" s="7">
        <v>0.13803296719774574</v>
      </c>
      <c r="B687"/>
      <c r="C687"/>
      <c r="D687"/>
      <c r="E687"/>
      <c r="F687" s="27" t="s">
        <v>7</v>
      </c>
      <c r="IQ687" s="27" t="s">
        <v>8</v>
      </c>
      <c r="IR687" s="27" t="s">
        <v>7</v>
      </c>
      <c r="IS687" s="27" t="s">
        <v>8</v>
      </c>
      <c r="IV687" s="27" t="s">
        <v>7</v>
      </c>
      <c r="IW687" s="27" t="s">
        <v>8</v>
      </c>
    </row>
    <row r="688" spans="1:425" x14ac:dyDescent="0.25">
      <c r="A688" s="7">
        <v>0.1353264384291625</v>
      </c>
      <c r="B688"/>
      <c r="C688"/>
      <c r="D688"/>
      <c r="E688"/>
      <c r="F688" s="27" t="s">
        <v>7</v>
      </c>
      <c r="IQ688" s="27" t="s">
        <v>8</v>
      </c>
      <c r="IR688" s="27" t="s">
        <v>7</v>
      </c>
      <c r="IS688" s="27" t="s">
        <v>8</v>
      </c>
      <c r="IV688" s="27" t="s">
        <v>7</v>
      </c>
    </row>
    <row r="689" spans="1:253" x14ac:dyDescent="0.25">
      <c r="A689" s="7">
        <v>0.13267297885212009</v>
      </c>
      <c r="B689"/>
      <c r="C689"/>
      <c r="D689"/>
      <c r="E689"/>
      <c r="F689" s="27" t="s">
        <v>7</v>
      </c>
      <c r="IQ689" s="27" t="s">
        <v>8</v>
      </c>
      <c r="IR689" s="27" t="s">
        <v>7</v>
      </c>
      <c r="IS689" s="27" t="s">
        <v>8</v>
      </c>
    </row>
    <row r="690" spans="1:253" x14ac:dyDescent="0.25">
      <c r="A690" s="7">
        <v>0.13007154789423539</v>
      </c>
      <c r="B690"/>
      <c r="C690"/>
      <c r="D690"/>
      <c r="E690"/>
      <c r="F690" s="27" t="s">
        <v>7</v>
      </c>
      <c r="IQ690" s="27" t="s">
        <v>8</v>
      </c>
      <c r="IR690" s="27" t="s">
        <v>7</v>
      </c>
      <c r="IS690" s="27" t="s">
        <v>8</v>
      </c>
    </row>
    <row r="691" spans="1:253" x14ac:dyDescent="0.25">
      <c r="A691" s="7">
        <v>0.12752112538650529</v>
      </c>
      <c r="B691"/>
      <c r="C691"/>
      <c r="D691"/>
      <c r="E691"/>
      <c r="F691" s="27" t="s">
        <v>7</v>
      </c>
      <c r="IQ691" s="27" t="s">
        <v>8</v>
      </c>
      <c r="IR691" s="27" t="s">
        <v>7</v>
      </c>
      <c r="IS691" s="27" t="s">
        <v>8</v>
      </c>
    </row>
    <row r="692" spans="1:253" x14ac:dyDescent="0.25">
      <c r="A692" s="7">
        <v>0.12502071116324048</v>
      </c>
      <c r="B692"/>
      <c r="C692"/>
      <c r="D692"/>
      <c r="E692"/>
      <c r="F692" s="27" t="s">
        <v>7</v>
      </c>
      <c r="IQ692" s="27" t="s">
        <v>8</v>
      </c>
      <c r="IR692" s="27" t="s">
        <v>7</v>
      </c>
      <c r="IS692" s="27" t="s">
        <v>8</v>
      </c>
    </row>
    <row r="693" spans="1:253" x14ac:dyDescent="0.25">
      <c r="A693" s="7">
        <v>0.1225693246698436</v>
      </c>
      <c r="B693"/>
      <c r="C693"/>
      <c r="D693"/>
      <c r="E693"/>
      <c r="F693" s="27" t="s">
        <v>7</v>
      </c>
      <c r="IQ693" s="27" t="s">
        <v>8</v>
      </c>
      <c r="IR693" s="27" t="s">
        <v>7</v>
      </c>
      <c r="IS693" s="27" t="s">
        <v>8</v>
      </c>
    </row>
    <row r="694" spans="1:253" x14ac:dyDescent="0.25">
      <c r="A694" s="7">
        <v>0.12016600457827803</v>
      </c>
      <c r="B694"/>
      <c r="C694"/>
      <c r="D694"/>
      <c r="E694"/>
      <c r="F694" s="27" t="s">
        <v>7</v>
      </c>
      <c r="IQ694" s="27" t="s">
        <v>8</v>
      </c>
      <c r="IR694" s="27" t="s">
        <v>7</v>
      </c>
      <c r="IS694" s="27" t="s">
        <v>8</v>
      </c>
    </row>
    <row r="695" spans="1:253" x14ac:dyDescent="0.25">
      <c r="A695" s="7">
        <v>0.1178098084100765</v>
      </c>
      <c r="B695"/>
      <c r="C695"/>
      <c r="D695"/>
      <c r="E695"/>
      <c r="F695" s="27" t="s">
        <v>7</v>
      </c>
      <c r="IQ695" s="27" t="s">
        <v>8</v>
      </c>
      <c r="IR695" s="27" t="s">
        <v>7</v>
      </c>
      <c r="IS695" s="27" t="s">
        <v>8</v>
      </c>
    </row>
    <row r="696" spans="1:253" x14ac:dyDescent="0.25">
      <c r="A696" s="7">
        <v>0.11549981216674166</v>
      </c>
      <c r="B696"/>
      <c r="C696"/>
      <c r="D696"/>
      <c r="E696"/>
      <c r="F696" s="27" t="s">
        <v>7</v>
      </c>
      <c r="IQ696" s="27" t="s">
        <v>8</v>
      </c>
      <c r="IR696" s="27" t="s">
        <v>7</v>
      </c>
      <c r="IS696" s="27" t="s">
        <v>8</v>
      </c>
    </row>
    <row r="697" spans="1:253" x14ac:dyDescent="0.25">
      <c r="A697" s="7">
        <v>0.11323510996739378</v>
      </c>
      <c r="B697"/>
      <c r="C697"/>
      <c r="D697"/>
      <c r="E697"/>
      <c r="F697" s="27" t="s">
        <v>7</v>
      </c>
      <c r="IQ697" s="27" t="s">
        <v>8</v>
      </c>
      <c r="IR697" s="27" t="s">
        <v>7</v>
      </c>
      <c r="IS697" s="27" t="s">
        <v>8</v>
      </c>
    </row>
    <row r="698" spans="1:253" x14ac:dyDescent="0.25">
      <c r="A698" s="7">
        <v>0.11101481369352331</v>
      </c>
      <c r="B698"/>
      <c r="C698"/>
      <c r="D698"/>
      <c r="E698"/>
      <c r="F698" s="27" t="s">
        <v>7</v>
      </c>
      <c r="IQ698" s="27" t="s">
        <v>8</v>
      </c>
      <c r="IR698" s="27" t="s">
        <v>7</v>
      </c>
      <c r="IS698" s="27" t="s">
        <v>8</v>
      </c>
    </row>
    <row r="699" spans="1:253" x14ac:dyDescent="0.25">
      <c r="A699" s="7">
        <v>0.10883805264070913</v>
      </c>
      <c r="B699"/>
      <c r="C699"/>
      <c r="D699"/>
      <c r="E699"/>
      <c r="F699" s="27" t="s">
        <v>7</v>
      </c>
      <c r="IQ699" s="27" t="s">
        <v>8</v>
      </c>
      <c r="IR699" s="27" t="s">
        <v>7</v>
      </c>
      <c r="IS699" s="27" t="s">
        <v>8</v>
      </c>
    </row>
    <row r="700" spans="1:253" x14ac:dyDescent="0.25">
      <c r="A700" s="7">
        <v>0.10670397317716582</v>
      </c>
      <c r="B700"/>
      <c r="C700"/>
      <c r="D700"/>
      <c r="E700"/>
      <c r="F700" s="27" t="s">
        <v>7</v>
      </c>
      <c r="IQ700" s="27" t="s">
        <v>8</v>
      </c>
      <c r="IR700" s="27" t="s">
        <v>7</v>
      </c>
      <c r="IS700" s="27" t="s">
        <v>8</v>
      </c>
    </row>
    <row r="701" spans="1:253" x14ac:dyDescent="0.25">
      <c r="A701" s="7">
        <v>0.1046117384089861</v>
      </c>
      <c r="B701"/>
      <c r="C701"/>
      <c r="D701"/>
      <c r="E701"/>
      <c r="F701" s="27" t="s">
        <v>7</v>
      </c>
      <c r="IQ701" s="27" t="s">
        <v>8</v>
      </c>
      <c r="IR701" s="27" t="s">
        <v>7</v>
      </c>
      <c r="IS701" s="27" t="s">
        <v>8</v>
      </c>
    </row>
    <row r="702" spans="1:253" x14ac:dyDescent="0.25">
      <c r="A702" s="7">
        <v>0.10256052785194716</v>
      </c>
      <c r="B702"/>
      <c r="C702"/>
      <c r="D702"/>
      <c r="E702"/>
      <c r="F702" s="27" t="s">
        <v>7</v>
      </c>
      <c r="IQ702" s="27" t="s">
        <v>8</v>
      </c>
      <c r="IR702" s="27" t="s">
        <v>7</v>
      </c>
      <c r="IS702" s="27" t="s">
        <v>8</v>
      </c>
    </row>
    <row r="703" spans="1:253" x14ac:dyDescent="0.25">
      <c r="A703" s="7">
        <v>0.10054953710975212</v>
      </c>
      <c r="B703"/>
      <c r="C703"/>
      <c r="D703"/>
      <c r="E703"/>
      <c r="F703" s="27" t="s">
        <v>7</v>
      </c>
      <c r="IQ703" s="27" t="s">
        <v>8</v>
      </c>
      <c r="IR703" s="27" t="s">
        <v>7</v>
      </c>
      <c r="IS703" s="27" t="s">
        <v>8</v>
      </c>
    </row>
    <row r="704" spans="1:253" x14ac:dyDescent="0.25">
      <c r="A704" s="7">
        <v>9.8577977558580512E-2</v>
      </c>
      <c r="B704"/>
      <c r="C704"/>
      <c r="D704"/>
      <c r="E704"/>
      <c r="F704" s="27" t="s">
        <v>7</v>
      </c>
      <c r="IQ704" s="27" t="s">
        <v>8</v>
      </c>
      <c r="IR704" s="27" t="s">
        <v>7</v>
      </c>
      <c r="IS704" s="27" t="s">
        <v>8</v>
      </c>
    </row>
    <row r="705" spans="1:253" x14ac:dyDescent="0.25">
      <c r="A705" s="7">
        <v>9.6645076037824032E-2</v>
      </c>
      <c r="B705"/>
      <c r="C705"/>
      <c r="D705"/>
      <c r="E705"/>
      <c r="F705" s="27" t="s">
        <v>7</v>
      </c>
      <c r="IQ705" s="27" t="s">
        <v>8</v>
      </c>
      <c r="IR705" s="27" t="s">
        <v>7</v>
      </c>
      <c r="IS705" s="27" t="s">
        <v>8</v>
      </c>
    </row>
    <row r="706" spans="1:253" x14ac:dyDescent="0.25">
      <c r="A706" s="7">
        <v>9.4750074546886304E-2</v>
      </c>
      <c r="B706"/>
      <c r="C706"/>
      <c r="D706"/>
      <c r="E706"/>
      <c r="F706" s="27" t="s">
        <v>7</v>
      </c>
      <c r="IQ706" s="27" t="s">
        <v>8</v>
      </c>
      <c r="IR706" s="27" t="s">
        <v>7</v>
      </c>
      <c r="IS706" s="27" t="s">
        <v>8</v>
      </c>
    </row>
    <row r="707" spans="1:253" x14ac:dyDescent="0.25">
      <c r="A707" s="7">
        <v>9.2892229947927743E-2</v>
      </c>
      <c r="B707"/>
      <c r="C707"/>
      <c r="D707"/>
      <c r="E707"/>
      <c r="F707" s="27" t="s">
        <v>7</v>
      </c>
      <c r="IQ707" s="27" t="s">
        <v>8</v>
      </c>
      <c r="IR707" s="27" t="s">
        <v>7</v>
      </c>
      <c r="IS707" s="27" t="s">
        <v>8</v>
      </c>
    </row>
    <row r="708" spans="1:253" x14ac:dyDescent="0.25">
      <c r="A708" s="7">
        <v>9.1070813674438963E-2</v>
      </c>
      <c r="B708"/>
      <c r="C708"/>
      <c r="D708"/>
      <c r="E708"/>
      <c r="F708" s="27" t="s">
        <v>7</v>
      </c>
      <c r="IQ708" s="27" t="s">
        <v>8</v>
      </c>
      <c r="IR708" s="27" t="s">
        <v>7</v>
      </c>
    </row>
    <row r="709" spans="1:253" x14ac:dyDescent="0.25">
      <c r="A709" s="7">
        <v>8.9285111445528392E-2</v>
      </c>
      <c r="B709"/>
      <c r="C709"/>
      <c r="D709"/>
      <c r="E709"/>
      <c r="F709" s="27" t="s">
        <v>7</v>
      </c>
      <c r="IQ709" s="27" t="s">
        <v>8</v>
      </c>
    </row>
    <row r="710" spans="1:253" x14ac:dyDescent="0.25">
      <c r="A710" s="7">
        <v>8.7534422985812155E-2</v>
      </c>
      <c r="B710"/>
      <c r="C710"/>
      <c r="D710"/>
      <c r="E710"/>
      <c r="F710" s="27" t="s">
        <v>7</v>
      </c>
      <c r="IQ710" s="27" t="s">
        <v>8</v>
      </c>
    </row>
    <row r="711" spans="1:253" x14ac:dyDescent="0.25">
      <c r="A711" s="7">
        <v>8.5818061750796232E-2</v>
      </c>
      <c r="B711"/>
      <c r="C711"/>
      <c r="D711"/>
      <c r="E711"/>
      <c r="F711" s="27" t="s">
        <v>7</v>
      </c>
      <c r="IQ711" s="27" t="s">
        <v>8</v>
      </c>
    </row>
    <row r="712" spans="1:253" x14ac:dyDescent="0.25">
      <c r="A712" s="7">
        <v>8.4135354657643366E-2</v>
      </c>
      <c r="B712"/>
      <c r="C712"/>
      <c r="D712"/>
      <c r="E712"/>
      <c r="F712" s="27" t="s">
        <v>7</v>
      </c>
      <c r="IQ712" s="27" t="s">
        <v>8</v>
      </c>
    </row>
    <row r="713" spans="1:253" x14ac:dyDescent="0.25">
      <c r="A713" s="7">
        <v>8.248564182121898E-2</v>
      </c>
      <c r="B713"/>
      <c r="C713"/>
      <c r="D713"/>
      <c r="E713"/>
      <c r="F713" s="27" t="s">
        <v>7</v>
      </c>
      <c r="IQ713" s="27" t="s">
        <v>8</v>
      </c>
    </row>
    <row r="714" spans="1:253" x14ac:dyDescent="0.25">
      <c r="A714" s="7">
        <v>8.0868276295312735E-2</v>
      </c>
      <c r="B714"/>
      <c r="C714"/>
      <c r="D714"/>
      <c r="E714"/>
      <c r="F714" s="27" t="s">
        <v>7</v>
      </c>
      <c r="IQ714" s="27" t="s">
        <v>8</v>
      </c>
    </row>
    <row r="715" spans="1:253" x14ac:dyDescent="0.25">
      <c r="A715" s="7">
        <v>7.9282623818934056E-2</v>
      </c>
      <c r="B715"/>
      <c r="C715"/>
      <c r="D715"/>
      <c r="E715"/>
      <c r="F715" s="27" t="s">
        <v>7</v>
      </c>
      <c r="IQ715" s="27" t="s">
        <v>8</v>
      </c>
    </row>
    <row r="716" spans="1:253" x14ac:dyDescent="0.25">
      <c r="A716" s="7">
        <v>7.7728062567582412E-2</v>
      </c>
      <c r="B716"/>
      <c r="C716"/>
      <c r="D716"/>
      <c r="E716"/>
      <c r="F716" s="27" t="s">
        <v>7</v>
      </c>
      <c r="IQ716" s="27" t="s">
        <v>8</v>
      </c>
    </row>
    <row r="717" spans="1:253" x14ac:dyDescent="0.25">
      <c r="A717" s="7">
        <v>7.6203982909394521E-2</v>
      </c>
      <c r="B717"/>
      <c r="C717"/>
      <c r="D717"/>
      <c r="E717"/>
      <c r="F717" s="27" t="s">
        <v>7</v>
      </c>
      <c r="G717" s="27" t="s">
        <v>8</v>
      </c>
      <c r="IQ717" s="27" t="s">
        <v>8</v>
      </c>
    </row>
    <row r="718" spans="1:253" x14ac:dyDescent="0.25">
      <c r="A718" s="7">
        <v>7.4709787166073058E-2</v>
      </c>
      <c r="B718"/>
      <c r="C718"/>
      <c r="D718"/>
      <c r="E718"/>
      <c r="F718" s="27" t="s">
        <v>7</v>
      </c>
      <c r="G718" s="27" t="s">
        <v>8</v>
      </c>
      <c r="H718" s="27" t="s">
        <v>7</v>
      </c>
      <c r="IQ718" s="27" t="s">
        <v>8</v>
      </c>
    </row>
    <row r="719" spans="1:253" x14ac:dyDescent="0.25">
      <c r="A719" s="7">
        <v>7.3244889378503E-2</v>
      </c>
      <c r="B719"/>
      <c r="C719"/>
      <c r="D719"/>
      <c r="E719"/>
      <c r="F719" s="27" t="s">
        <v>7</v>
      </c>
      <c r="G719" s="27" t="s">
        <v>8</v>
      </c>
      <c r="H719" s="27" t="s">
        <v>7</v>
      </c>
      <c r="IQ719" s="27" t="s">
        <v>8</v>
      </c>
    </row>
    <row r="720" spans="1:253" x14ac:dyDescent="0.25">
      <c r="A720" s="7">
        <v>7.1808715076963722E-2</v>
      </c>
      <c r="B720"/>
      <c r="C720"/>
      <c r="D720"/>
      <c r="E720"/>
      <c r="F720" s="27" t="s">
        <v>7</v>
      </c>
      <c r="G720" s="27" t="s">
        <v>8</v>
      </c>
      <c r="H720" s="27" t="s">
        <v>7</v>
      </c>
      <c r="IQ720" s="27" t="s">
        <v>8</v>
      </c>
    </row>
    <row r="721" spans="1:251" x14ac:dyDescent="0.25">
      <c r="A721" s="7">
        <v>7.0400701055846782E-2</v>
      </c>
      <c r="B721"/>
      <c r="C721"/>
      <c r="D721"/>
      <c r="E721"/>
      <c r="F721" s="27" t="s">
        <v>7</v>
      </c>
      <c r="G721" s="27" t="s">
        <v>8</v>
      </c>
      <c r="H721" s="27" t="s">
        <v>7</v>
      </c>
      <c r="IQ721" s="27" t="s">
        <v>8</v>
      </c>
    </row>
    <row r="722" spans="1:251" x14ac:dyDescent="0.25">
      <c r="A722" s="7">
        <v>6.9020295152790956E-2</v>
      </c>
      <c r="B722"/>
      <c r="C722"/>
      <c r="D722"/>
      <c r="E722"/>
      <c r="F722" s="27" t="s">
        <v>7</v>
      </c>
      <c r="G722" s="27" t="s">
        <v>8</v>
      </c>
      <c r="H722" s="27" t="s">
        <v>7</v>
      </c>
      <c r="IQ722" s="27" t="s">
        <v>8</v>
      </c>
    </row>
    <row r="723" spans="1:251" x14ac:dyDescent="0.25">
      <c r="A723" s="7">
        <v>6.7666956032147993E-2</v>
      </c>
      <c r="B723"/>
      <c r="C723"/>
      <c r="D723"/>
      <c r="E723"/>
      <c r="F723" s="27" t="s">
        <v>7</v>
      </c>
      <c r="G723" s="27" t="s">
        <v>8</v>
      </c>
      <c r="H723" s="27" t="s">
        <v>7</v>
      </c>
      <c r="IQ723" s="27" t="s">
        <v>8</v>
      </c>
    </row>
    <row r="724" spans="1:251" x14ac:dyDescent="0.25">
      <c r="A724" s="7">
        <v>6.6340152972694105E-2</v>
      </c>
      <c r="B724"/>
      <c r="C724"/>
      <c r="D724"/>
      <c r="E724"/>
      <c r="F724" s="27" t="s">
        <v>7</v>
      </c>
      <c r="G724" s="27" t="s">
        <v>8</v>
      </c>
      <c r="H724" s="27" t="s">
        <v>7</v>
      </c>
      <c r="IQ724" s="27" t="s">
        <v>8</v>
      </c>
    </row>
    <row r="725" spans="1:251" x14ac:dyDescent="0.25">
      <c r="A725" s="7">
        <v>6.5039365659504023E-2</v>
      </c>
      <c r="B725"/>
      <c r="C725"/>
      <c r="D725"/>
      <c r="E725"/>
      <c r="F725" s="27" t="s">
        <v>7</v>
      </c>
      <c r="G725" s="27" t="s">
        <v>8</v>
      </c>
      <c r="H725" s="27" t="s">
        <v>7</v>
      </c>
      <c r="IQ725" s="27" t="s">
        <v>8</v>
      </c>
    </row>
    <row r="726" spans="1:251" x14ac:dyDescent="0.25">
      <c r="A726" s="7">
        <v>6.3764083979905906E-2</v>
      </c>
      <c r="B726"/>
      <c r="C726"/>
      <c r="D726"/>
      <c r="E726"/>
      <c r="F726" s="27" t="s">
        <v>7</v>
      </c>
      <c r="G726" s="27" t="s">
        <v>8</v>
      </c>
      <c r="H726" s="27" t="s">
        <v>7</v>
      </c>
      <c r="IQ726" s="27" t="s">
        <v>8</v>
      </c>
    </row>
    <row r="727" spans="1:251" x14ac:dyDescent="0.25">
      <c r="A727" s="7">
        <v>6.251380782343717E-2</v>
      </c>
      <c r="B727"/>
      <c r="C727"/>
      <c r="D727"/>
      <c r="E727"/>
      <c r="F727" s="27" t="s">
        <v>7</v>
      </c>
      <c r="G727" s="27" t="s">
        <v>8</v>
      </c>
      <c r="H727" s="27" t="s">
        <v>7</v>
      </c>
      <c r="IQ727" s="27" t="s">
        <v>8</v>
      </c>
    </row>
    <row r="728" spans="1:251" x14ac:dyDescent="0.25">
      <c r="A728" s="7">
        <v>6.1288046885722716E-2</v>
      </c>
      <c r="B728"/>
      <c r="C728"/>
      <c r="D728"/>
      <c r="E728"/>
      <c r="F728" s="27" t="s">
        <v>7</v>
      </c>
      <c r="G728" s="27" t="s">
        <v>8</v>
      </c>
      <c r="H728" s="27" t="s">
        <v>7</v>
      </c>
      <c r="IC728" s="27" t="s">
        <v>8</v>
      </c>
      <c r="IG728" s="27" t="s">
        <v>8</v>
      </c>
      <c r="IQ728" s="27" t="s">
        <v>8</v>
      </c>
    </row>
    <row r="729" spans="1:251" x14ac:dyDescent="0.25">
      <c r="A729" s="7">
        <v>6.0086320476198739E-2</v>
      </c>
      <c r="B729"/>
      <c r="C729"/>
      <c r="D729"/>
      <c r="E729"/>
      <c r="F729" s="27" t="s">
        <v>7</v>
      </c>
      <c r="G729" s="27" t="s">
        <v>8</v>
      </c>
      <c r="H729" s="27" t="s">
        <v>7</v>
      </c>
      <c r="IC729" s="27" t="s">
        <v>8</v>
      </c>
      <c r="ID729" s="27" t="s">
        <v>7</v>
      </c>
      <c r="IG729" s="27" t="s">
        <v>8</v>
      </c>
      <c r="IH729" s="27" t="s">
        <v>7</v>
      </c>
      <c r="IQ729" s="27" t="s">
        <v>8</v>
      </c>
    </row>
    <row r="730" spans="1:251" x14ac:dyDescent="0.25">
      <c r="A730" s="7">
        <v>5.8908157329606609E-2</v>
      </c>
      <c r="B730"/>
      <c r="C730"/>
      <c r="D730"/>
      <c r="E730"/>
      <c r="F730" s="27" t="s">
        <v>7</v>
      </c>
      <c r="G730" s="27" t="s">
        <v>8</v>
      </c>
      <c r="H730" s="27" t="s">
        <v>7</v>
      </c>
      <c r="IC730" s="27" t="s">
        <v>8</v>
      </c>
      <c r="ID730" s="27" t="s">
        <v>7</v>
      </c>
      <c r="IG730" s="27" t="s">
        <v>8</v>
      </c>
      <c r="IH730" s="27" t="s">
        <v>7</v>
      </c>
      <c r="IQ730" s="27" t="s">
        <v>8</v>
      </c>
    </row>
    <row r="731" spans="1:251" x14ac:dyDescent="0.25">
      <c r="A731" s="7">
        <v>5.7753095421182947E-2</v>
      </c>
      <c r="B731"/>
      <c r="C731"/>
      <c r="D731"/>
      <c r="E731"/>
      <c r="F731" s="27" t="s">
        <v>7</v>
      </c>
      <c r="G731" s="27" t="s">
        <v>8</v>
      </c>
      <c r="H731" s="27" t="s">
        <v>7</v>
      </c>
      <c r="IC731" s="27" t="s">
        <v>8</v>
      </c>
      <c r="ID731" s="27" t="s">
        <v>7</v>
      </c>
      <c r="IG731" s="27" t="s">
        <v>8</v>
      </c>
      <c r="IH731" s="27" t="s">
        <v>7</v>
      </c>
      <c r="IQ731" s="27" t="s">
        <v>8</v>
      </c>
    </row>
    <row r="732" spans="1:251" x14ac:dyDescent="0.25">
      <c r="A732" s="7">
        <v>5.6620681785473484E-2</v>
      </c>
      <c r="B732"/>
      <c r="C732"/>
      <c r="D732"/>
      <c r="E732"/>
      <c r="F732" s="27" t="s">
        <v>7</v>
      </c>
      <c r="G732" s="27" t="s">
        <v>8</v>
      </c>
      <c r="H732" s="27" t="s">
        <v>7</v>
      </c>
      <c r="IC732" s="27" t="s">
        <v>8</v>
      </c>
      <c r="ID732" s="27" t="s">
        <v>7</v>
      </c>
      <c r="IE732" s="27" t="s">
        <v>8</v>
      </c>
      <c r="IG732" s="27" t="s">
        <v>8</v>
      </c>
      <c r="IH732" s="27" t="s">
        <v>7</v>
      </c>
      <c r="IM732" s="27" t="s">
        <v>8</v>
      </c>
      <c r="IO732" s="27" t="s">
        <v>8</v>
      </c>
      <c r="IQ732" s="27" t="s">
        <v>8</v>
      </c>
    </row>
    <row r="733" spans="1:251" x14ac:dyDescent="0.25">
      <c r="A733" s="7">
        <v>5.5510472338699497E-2</v>
      </c>
      <c r="B733"/>
      <c r="C733"/>
      <c r="D733"/>
      <c r="E733"/>
      <c r="F733" s="27" t="s">
        <v>7</v>
      </c>
      <c r="G733" s="27" t="s">
        <v>8</v>
      </c>
      <c r="H733" s="27" t="s">
        <v>7</v>
      </c>
      <c r="IC733" s="27" t="s">
        <v>8</v>
      </c>
      <c r="ID733" s="27" t="s">
        <v>7</v>
      </c>
      <c r="IE733" s="27" t="s">
        <v>8</v>
      </c>
      <c r="IF733" s="27" t="s">
        <v>7</v>
      </c>
      <c r="IG733" s="27" t="s">
        <v>8</v>
      </c>
      <c r="IH733" s="27" t="s">
        <v>7</v>
      </c>
      <c r="IM733" s="27" t="s">
        <v>8</v>
      </c>
      <c r="IN733" s="27" t="s">
        <v>7</v>
      </c>
      <c r="IO733" s="27" t="s">
        <v>8</v>
      </c>
      <c r="IP733" s="27" t="s">
        <v>7</v>
      </c>
      <c r="IQ733" s="27" t="s">
        <v>8</v>
      </c>
    </row>
    <row r="734" spans="1:251" x14ac:dyDescent="0.25">
      <c r="A734" s="7">
        <v>5.4422031704607354E-2</v>
      </c>
      <c r="B734"/>
      <c r="C734"/>
      <c r="D734"/>
      <c r="E734"/>
      <c r="F734" s="27" t="s">
        <v>7</v>
      </c>
      <c r="G734" s="27" t="s">
        <v>8</v>
      </c>
      <c r="H734" s="27" t="s">
        <v>7</v>
      </c>
      <c r="IA734" s="27" t="s">
        <v>8</v>
      </c>
      <c r="IC734" s="27" t="s">
        <v>8</v>
      </c>
      <c r="ID734" s="27" t="s">
        <v>7</v>
      </c>
      <c r="IE734" s="27" t="s">
        <v>8</v>
      </c>
      <c r="IF734" s="27" t="s">
        <v>7</v>
      </c>
      <c r="IG734" s="27" t="s">
        <v>8</v>
      </c>
      <c r="IH734" s="27" t="s">
        <v>7</v>
      </c>
      <c r="IM734" s="27" t="s">
        <v>8</v>
      </c>
      <c r="IN734" s="27" t="s">
        <v>7</v>
      </c>
      <c r="IO734" s="27" t="s">
        <v>8</v>
      </c>
      <c r="IP734" s="27" t="s">
        <v>7</v>
      </c>
      <c r="IQ734" s="27" t="s">
        <v>8</v>
      </c>
    </row>
    <row r="735" spans="1:251" x14ac:dyDescent="0.25">
      <c r="A735" s="7">
        <v>5.3354933043732705E-2</v>
      </c>
      <c r="B735"/>
      <c r="C735"/>
      <c r="D735"/>
      <c r="E735"/>
      <c r="F735" s="27" t="s">
        <v>7</v>
      </c>
      <c r="G735" s="27" t="s">
        <v>8</v>
      </c>
      <c r="H735" s="27" t="s">
        <v>7</v>
      </c>
      <c r="IA735" s="27" t="s">
        <v>8</v>
      </c>
      <c r="IB735" s="27" t="s">
        <v>7</v>
      </c>
      <c r="IC735" s="27" t="s">
        <v>8</v>
      </c>
      <c r="ID735" s="27" t="s">
        <v>7</v>
      </c>
      <c r="IE735" s="27" t="s">
        <v>8</v>
      </c>
      <c r="IF735" s="27" t="s">
        <v>7</v>
      </c>
      <c r="IG735" s="27" t="s">
        <v>8</v>
      </c>
      <c r="IH735" s="27" t="s">
        <v>7</v>
      </c>
      <c r="IM735" s="27" t="s">
        <v>8</v>
      </c>
      <c r="IN735" s="27" t="s">
        <v>7</v>
      </c>
      <c r="IO735" s="27" t="s">
        <v>8</v>
      </c>
      <c r="IP735" s="27" t="s">
        <v>7</v>
      </c>
      <c r="IQ735" s="27" t="s">
        <v>8</v>
      </c>
    </row>
    <row r="736" spans="1:251" x14ac:dyDescent="0.25">
      <c r="A736" s="7">
        <v>5.2308757886012455E-2</v>
      </c>
      <c r="B736"/>
      <c r="C736"/>
      <c r="D736"/>
      <c r="E736"/>
      <c r="F736" s="27" t="s">
        <v>7</v>
      </c>
      <c r="G736" s="27" t="s">
        <v>8</v>
      </c>
      <c r="H736" s="27" t="s">
        <v>7</v>
      </c>
      <c r="IA736" s="27" t="s">
        <v>8</v>
      </c>
      <c r="IB736" s="27" t="s">
        <v>7</v>
      </c>
      <c r="IC736" s="27" t="s">
        <v>8</v>
      </c>
      <c r="ID736" s="27" t="s">
        <v>7</v>
      </c>
      <c r="IE736" s="27" t="s">
        <v>8</v>
      </c>
      <c r="IF736" s="27" t="s">
        <v>7</v>
      </c>
      <c r="IG736" s="27" t="s">
        <v>8</v>
      </c>
      <c r="IH736" s="27" t="s">
        <v>7</v>
      </c>
      <c r="IM736" s="27" t="s">
        <v>8</v>
      </c>
      <c r="IN736" s="27" t="s">
        <v>7</v>
      </c>
      <c r="IO736" s="27" t="s">
        <v>8</v>
      </c>
      <c r="IP736" s="27" t="s">
        <v>7</v>
      </c>
    </row>
    <row r="737" spans="1:249" x14ac:dyDescent="0.25">
      <c r="A737" s="7">
        <v>5.1283095966678877E-2</v>
      </c>
      <c r="B737"/>
      <c r="C737"/>
      <c r="D737"/>
      <c r="E737"/>
      <c r="F737" s="27" t="s">
        <v>7</v>
      </c>
      <c r="G737" s="27" t="s">
        <v>8</v>
      </c>
      <c r="H737" s="27" t="s">
        <v>7</v>
      </c>
      <c r="IA737" s="27" t="s">
        <v>8</v>
      </c>
      <c r="IB737" s="27" t="s">
        <v>7</v>
      </c>
      <c r="IC737" s="27" t="s">
        <v>8</v>
      </c>
      <c r="ID737" s="27" t="s">
        <v>7</v>
      </c>
      <c r="IE737" s="27" t="s">
        <v>8</v>
      </c>
      <c r="IF737" s="27" t="s">
        <v>7</v>
      </c>
      <c r="IG737" s="27" t="s">
        <v>8</v>
      </c>
      <c r="IH737" s="27" t="s">
        <v>7</v>
      </c>
      <c r="IK737" s="27" t="s">
        <v>8</v>
      </c>
      <c r="IM737" s="27" t="s">
        <v>8</v>
      </c>
      <c r="IN737" s="27" t="s">
        <v>7</v>
      </c>
      <c r="IO737" s="27" t="s">
        <v>8</v>
      </c>
    </row>
    <row r="738" spans="1:249" x14ac:dyDescent="0.25">
      <c r="A738" s="7">
        <v>5.0277545065371444E-2</v>
      </c>
      <c r="B738"/>
      <c r="C738"/>
      <c r="D738"/>
      <c r="E738"/>
      <c r="F738" s="27" t="s">
        <v>7</v>
      </c>
      <c r="G738" s="27" t="s">
        <v>8</v>
      </c>
      <c r="H738" s="27" t="s">
        <v>7</v>
      </c>
      <c r="IA738" s="27" t="s">
        <v>8</v>
      </c>
      <c r="IB738" s="27" t="s">
        <v>7</v>
      </c>
      <c r="IC738" s="27" t="s">
        <v>8</v>
      </c>
      <c r="ID738" s="27" t="s">
        <v>7</v>
      </c>
      <c r="IE738" s="27" t="s">
        <v>8</v>
      </c>
      <c r="IF738" s="27" t="s">
        <v>7</v>
      </c>
      <c r="IH738" s="27" t="s">
        <v>7</v>
      </c>
      <c r="II738" s="27" t="s">
        <v>8</v>
      </c>
      <c r="IK738" s="27" t="s">
        <v>8</v>
      </c>
      <c r="IL738" s="27" t="s">
        <v>7</v>
      </c>
      <c r="IM738" s="27" t="s">
        <v>8</v>
      </c>
      <c r="IN738" s="27" t="s">
        <v>7</v>
      </c>
      <c r="IO738" s="27" t="s">
        <v>8</v>
      </c>
    </row>
    <row r="739" spans="1:249" x14ac:dyDescent="0.25">
      <c r="A739" s="7">
        <v>4.9291710848403378E-2</v>
      </c>
      <c r="B739"/>
      <c r="C739"/>
      <c r="D739"/>
      <c r="E739"/>
      <c r="F739" s="27" t="s">
        <v>7</v>
      </c>
      <c r="G739" s="27" t="s">
        <v>8</v>
      </c>
      <c r="H739" s="27" t="s">
        <v>7</v>
      </c>
      <c r="HY739" s="27" t="s">
        <v>8</v>
      </c>
      <c r="IA739" s="27" t="s">
        <v>8</v>
      </c>
      <c r="IB739" s="27" t="s">
        <v>7</v>
      </c>
      <c r="IC739" s="27" t="s">
        <v>8</v>
      </c>
      <c r="ID739" s="27" t="s">
        <v>7</v>
      </c>
      <c r="IE739" s="27" t="s">
        <v>8</v>
      </c>
      <c r="IH739" s="27" t="s">
        <v>7</v>
      </c>
      <c r="II739" s="27" t="s">
        <v>8</v>
      </c>
      <c r="IJ739" s="27" t="s">
        <v>7</v>
      </c>
      <c r="IK739" s="27" t="s">
        <v>8</v>
      </c>
      <c r="IL739" s="27" t="s">
        <v>7</v>
      </c>
      <c r="IM739" s="27" t="s">
        <v>8</v>
      </c>
      <c r="IN739" s="27" t="s">
        <v>7</v>
      </c>
    </row>
    <row r="740" spans="1:249" x14ac:dyDescent="0.25">
      <c r="A740" s="7">
        <v>4.8325206714120959E-2</v>
      </c>
      <c r="B740"/>
      <c r="C740"/>
      <c r="D740"/>
      <c r="E740"/>
      <c r="F740" s="27" t="s">
        <v>7</v>
      </c>
      <c r="G740" s="27" t="s">
        <v>8</v>
      </c>
      <c r="H740" s="27" t="s">
        <v>7</v>
      </c>
      <c r="HY740" s="27" t="s">
        <v>8</v>
      </c>
      <c r="HZ740" s="27" t="s">
        <v>7</v>
      </c>
      <c r="IA740" s="27" t="s">
        <v>8</v>
      </c>
      <c r="IB740" s="27" t="s">
        <v>7</v>
      </c>
      <c r="IC740" s="27" t="s">
        <v>8</v>
      </c>
      <c r="ID740" s="27" t="s">
        <v>7</v>
      </c>
      <c r="IH740" s="27" t="s">
        <v>7</v>
      </c>
      <c r="II740" s="27" t="s">
        <v>8</v>
      </c>
      <c r="IJ740" s="27" t="s">
        <v>7</v>
      </c>
      <c r="IK740" s="27" t="s">
        <v>8</v>
      </c>
      <c r="IL740" s="27" t="s">
        <v>7</v>
      </c>
      <c r="IM740" s="27" t="s">
        <v>8</v>
      </c>
    </row>
    <row r="741" spans="1:249" x14ac:dyDescent="0.25">
      <c r="A741" s="7">
        <v>4.7377653641295057E-2</v>
      </c>
      <c r="B741"/>
      <c r="C741"/>
      <c r="D741"/>
      <c r="E741"/>
      <c r="F741" s="27" t="s">
        <v>7</v>
      </c>
      <c r="G741" s="27" t="s">
        <v>8</v>
      </c>
      <c r="H741" s="27" t="s">
        <v>7</v>
      </c>
      <c r="HY741" s="27" t="s">
        <v>8</v>
      </c>
      <c r="HZ741" s="27" t="s">
        <v>7</v>
      </c>
      <c r="IA741" s="27" t="s">
        <v>8</v>
      </c>
      <c r="IB741" s="27" t="s">
        <v>7</v>
      </c>
      <c r="IC741" s="27" t="s">
        <v>8</v>
      </c>
      <c r="IH741" s="27" t="s">
        <v>7</v>
      </c>
      <c r="II741" s="27" t="s">
        <v>8</v>
      </c>
      <c r="IJ741" s="27" t="s">
        <v>7</v>
      </c>
      <c r="IK741" s="27" t="s">
        <v>8</v>
      </c>
      <c r="IL741" s="27" t="s">
        <v>7</v>
      </c>
      <c r="IM741" s="27" t="s">
        <v>8</v>
      </c>
    </row>
    <row r="742" spans="1:249" x14ac:dyDescent="0.25">
      <c r="A742" s="7">
        <v>4.644868004048535E-2</v>
      </c>
      <c r="B742"/>
      <c r="C742"/>
      <c r="D742"/>
      <c r="E742"/>
      <c r="F742" s="27" t="s">
        <v>7</v>
      </c>
      <c r="G742" s="27" t="s">
        <v>8</v>
      </c>
      <c r="H742" s="27" t="s">
        <v>7</v>
      </c>
      <c r="HY742" s="27" t="s">
        <v>8</v>
      </c>
      <c r="HZ742" s="27" t="s">
        <v>7</v>
      </c>
      <c r="IA742" s="27" t="s">
        <v>8</v>
      </c>
      <c r="IB742" s="27" t="s">
        <v>7</v>
      </c>
      <c r="IC742" s="27" t="s">
        <v>8</v>
      </c>
      <c r="IH742" s="27" t="s">
        <v>7</v>
      </c>
      <c r="II742" s="27" t="s">
        <v>8</v>
      </c>
      <c r="IJ742" s="27" t="s">
        <v>7</v>
      </c>
      <c r="IK742" s="27" t="s">
        <v>8</v>
      </c>
      <c r="IL742" s="27" t="s">
        <v>7</v>
      </c>
      <c r="IM742" s="27" t="s">
        <v>8</v>
      </c>
    </row>
    <row r="743" spans="1:249" x14ac:dyDescent="0.25">
      <c r="A743" s="7">
        <v>4.5537921608318974E-2</v>
      </c>
      <c r="B743"/>
      <c r="C743"/>
      <c r="D743"/>
      <c r="E743"/>
      <c r="F743" s="27" t="s">
        <v>7</v>
      </c>
      <c r="G743" s="27" t="s">
        <v>8</v>
      </c>
      <c r="H743" s="27" t="s">
        <v>7</v>
      </c>
      <c r="HY743" s="27" t="s">
        <v>8</v>
      </c>
      <c r="HZ743" s="27" t="s">
        <v>7</v>
      </c>
      <c r="IA743" s="27" t="s">
        <v>8</v>
      </c>
      <c r="IB743" s="27" t="s">
        <v>7</v>
      </c>
      <c r="IH743" s="27" t="s">
        <v>7</v>
      </c>
      <c r="II743" s="27" t="s">
        <v>8</v>
      </c>
      <c r="IJ743" s="27" t="s">
        <v>7</v>
      </c>
      <c r="IK743" s="27" t="s">
        <v>8</v>
      </c>
      <c r="IL743" s="27" t="s">
        <v>7</v>
      </c>
      <c r="IM743" s="27" t="s">
        <v>8</v>
      </c>
    </row>
    <row r="744" spans="1:249" x14ac:dyDescent="0.25">
      <c r="A744" s="7">
        <v>4.4645021184626446E-2</v>
      </c>
      <c r="B744"/>
      <c r="C744"/>
      <c r="D744"/>
      <c r="E744"/>
      <c r="F744" s="27" t="s">
        <v>7</v>
      </c>
      <c r="G744" s="27" t="s">
        <v>8</v>
      </c>
      <c r="H744" s="27" t="s">
        <v>7</v>
      </c>
      <c r="HY744" s="27" t="s">
        <v>8</v>
      </c>
      <c r="HZ744" s="27" t="s">
        <v>7</v>
      </c>
      <c r="IA744" s="27" t="s">
        <v>8</v>
      </c>
      <c r="IH744" s="27" t="s">
        <v>7</v>
      </c>
      <c r="II744" s="27" t="s">
        <v>8</v>
      </c>
      <c r="IJ744" s="27" t="s">
        <v>7</v>
      </c>
      <c r="IK744" s="27" t="s">
        <v>8</v>
      </c>
      <c r="IL744" s="27" t="s">
        <v>7</v>
      </c>
      <c r="IM744" s="27" t="s">
        <v>8</v>
      </c>
    </row>
    <row r="745" spans="1:249" x14ac:dyDescent="0.25">
      <c r="A745" s="7">
        <v>4.3769628612378868E-2</v>
      </c>
      <c r="B745"/>
      <c r="C745"/>
      <c r="D745"/>
      <c r="E745"/>
      <c r="F745" s="27" t="s">
        <v>7</v>
      </c>
      <c r="G745" s="27" t="s">
        <v>8</v>
      </c>
      <c r="H745" s="27" t="s">
        <v>7</v>
      </c>
      <c r="HY745" s="27" t="s">
        <v>8</v>
      </c>
      <c r="HZ745" s="27" t="s">
        <v>7</v>
      </c>
      <c r="IA745" s="27" t="s">
        <v>8</v>
      </c>
      <c r="IH745" s="27" t="s">
        <v>7</v>
      </c>
      <c r="II745" s="27" t="s">
        <v>8</v>
      </c>
      <c r="IJ745" s="27" t="s">
        <v>7</v>
      </c>
      <c r="IK745" s="27" t="s">
        <v>8</v>
      </c>
      <c r="IL745" s="27" t="s">
        <v>7</v>
      </c>
      <c r="IM745" s="27" t="s">
        <v>8</v>
      </c>
    </row>
    <row r="746" spans="1:249" x14ac:dyDescent="0.25">
      <c r="A746" s="7">
        <v>4.2911400600371442E-2</v>
      </c>
      <c r="B746"/>
      <c r="C746"/>
      <c r="D746"/>
      <c r="E746"/>
      <c r="F746" s="27" t="s">
        <v>7</v>
      </c>
      <c r="G746" s="27" t="s">
        <v>8</v>
      </c>
      <c r="H746" s="27" t="s">
        <v>7</v>
      </c>
      <c r="U746" s="27" t="s">
        <v>8</v>
      </c>
      <c r="ES746" s="27" t="s">
        <v>8</v>
      </c>
      <c r="HY746" s="27" t="s">
        <v>8</v>
      </c>
      <c r="HZ746" s="27" t="s">
        <v>7</v>
      </c>
      <c r="IA746" s="27" t="s">
        <v>8</v>
      </c>
      <c r="IH746" s="27" t="s">
        <v>7</v>
      </c>
      <c r="II746" s="27" t="s">
        <v>8</v>
      </c>
      <c r="IJ746" s="27" t="s">
        <v>7</v>
      </c>
      <c r="IK746" s="27" t="s">
        <v>8</v>
      </c>
      <c r="IL746" s="27" t="s">
        <v>7</v>
      </c>
      <c r="IM746" s="27" t="s">
        <v>8</v>
      </c>
    </row>
    <row r="747" spans="1:249" x14ac:dyDescent="0.25">
      <c r="A747" s="7">
        <v>4.2070000588599457E-2</v>
      </c>
      <c r="B747"/>
      <c r="C747"/>
      <c r="D747"/>
      <c r="E747"/>
      <c r="F747" s="27" t="s">
        <v>7</v>
      </c>
      <c r="G747" s="27" t="s">
        <v>8</v>
      </c>
      <c r="H747" s="27" t="s">
        <v>7</v>
      </c>
      <c r="U747" s="27" t="s">
        <v>8</v>
      </c>
      <c r="V747" s="27" t="s">
        <v>7</v>
      </c>
      <c r="ES747" s="27" t="s">
        <v>8</v>
      </c>
      <c r="ET747" s="27" t="s">
        <v>7</v>
      </c>
      <c r="HY747" s="27" t="s">
        <v>8</v>
      </c>
      <c r="HZ747" s="27" t="s">
        <v>7</v>
      </c>
      <c r="IA747" s="27" t="s">
        <v>8</v>
      </c>
      <c r="IH747" s="27" t="s">
        <v>7</v>
      </c>
      <c r="II747" s="27" t="s">
        <v>8</v>
      </c>
      <c r="IJ747" s="27" t="s">
        <v>7</v>
      </c>
      <c r="IK747" s="27" t="s">
        <v>8</v>
      </c>
      <c r="IL747" s="27" t="s">
        <v>7</v>
      </c>
      <c r="IM747" s="27" t="s">
        <v>8</v>
      </c>
    </row>
    <row r="748" spans="1:249" x14ac:dyDescent="0.25">
      <c r="A748" s="7">
        <v>4.1245098616273977E-2</v>
      </c>
      <c r="B748"/>
      <c r="C748"/>
      <c r="D748"/>
      <c r="E748"/>
      <c r="F748" s="27" t="s">
        <v>7</v>
      </c>
      <c r="G748" s="27" t="s">
        <v>8</v>
      </c>
      <c r="H748" s="27" t="s">
        <v>7</v>
      </c>
      <c r="U748" s="27" t="s">
        <v>8</v>
      </c>
      <c r="V748" s="27" t="s">
        <v>7</v>
      </c>
      <c r="ES748" s="27" t="s">
        <v>8</v>
      </c>
      <c r="ET748" s="27" t="s">
        <v>7</v>
      </c>
      <c r="HY748" s="27" t="s">
        <v>8</v>
      </c>
      <c r="HZ748" s="27" t="s">
        <v>7</v>
      </c>
      <c r="IA748" s="27" t="s">
        <v>8</v>
      </c>
      <c r="IH748" s="27" t="s">
        <v>7</v>
      </c>
      <c r="II748" s="27" t="s">
        <v>8</v>
      </c>
      <c r="IJ748" s="27" t="s">
        <v>7</v>
      </c>
      <c r="IK748" s="27" t="s">
        <v>8</v>
      </c>
      <c r="IL748" s="27" t="s">
        <v>7</v>
      </c>
      <c r="IM748" s="27" t="s">
        <v>8</v>
      </c>
    </row>
    <row r="749" spans="1:249" x14ac:dyDescent="0.25">
      <c r="A749" s="7">
        <v>4.043637119242547E-2</v>
      </c>
      <c r="B749"/>
      <c r="C749"/>
      <c r="D749"/>
      <c r="E749"/>
      <c r="F749" s="27" t="s">
        <v>7</v>
      </c>
      <c r="G749" s="27" t="s">
        <v>8</v>
      </c>
      <c r="H749" s="27" t="s">
        <v>7</v>
      </c>
      <c r="U749" s="27" t="s">
        <v>8</v>
      </c>
      <c r="V749" s="27" t="s">
        <v>7</v>
      </c>
      <c r="ES749" s="27" t="s">
        <v>8</v>
      </c>
      <c r="ET749" s="27" t="s">
        <v>7</v>
      </c>
      <c r="HY749" s="27" t="s">
        <v>8</v>
      </c>
      <c r="HZ749" s="27" t="s">
        <v>7</v>
      </c>
      <c r="IA749" s="27" t="s">
        <v>8</v>
      </c>
      <c r="IH749" s="27" t="s">
        <v>7</v>
      </c>
      <c r="II749" s="27" t="s">
        <v>8</v>
      </c>
      <c r="IJ749" s="27" t="s">
        <v>7</v>
      </c>
      <c r="IK749" s="27" t="s">
        <v>8</v>
      </c>
      <c r="IL749" s="27" t="s">
        <v>7</v>
      </c>
      <c r="IM749" s="27" t="s">
        <v>8</v>
      </c>
    </row>
    <row r="750" spans="1:249" x14ac:dyDescent="0.25">
      <c r="A750" s="7">
        <v>3.9643501169044582E-2</v>
      </c>
      <c r="B750"/>
      <c r="C750"/>
      <c r="D750"/>
      <c r="E750"/>
      <c r="F750" s="27" t="s">
        <v>7</v>
      </c>
      <c r="G750" s="27" t="s">
        <v>8</v>
      </c>
      <c r="H750" s="27" t="s">
        <v>7</v>
      </c>
      <c r="U750" s="27" t="s">
        <v>8</v>
      </c>
      <c r="V750" s="27" t="s">
        <v>7</v>
      </c>
      <c r="ES750" s="27" t="s">
        <v>8</v>
      </c>
      <c r="ET750" s="27" t="s">
        <v>7</v>
      </c>
      <c r="HY750" s="27" t="s">
        <v>8</v>
      </c>
      <c r="HZ750" s="27" t="s">
        <v>7</v>
      </c>
      <c r="IA750" s="27" t="s">
        <v>8</v>
      </c>
      <c r="IH750" s="27" t="s">
        <v>7</v>
      </c>
      <c r="II750" s="27" t="s">
        <v>8</v>
      </c>
      <c r="IJ750" s="27" t="s">
        <v>7</v>
      </c>
      <c r="IK750" s="27" t="s">
        <v>8</v>
      </c>
      <c r="IL750" s="27" t="s">
        <v>7</v>
      </c>
      <c r="IM750" s="27" t="s">
        <v>8</v>
      </c>
    </row>
    <row r="751" spans="1:249" x14ac:dyDescent="0.25">
      <c r="A751" s="7">
        <v>3.8866177616710372E-2</v>
      </c>
      <c r="B751"/>
      <c r="C751"/>
      <c r="D751"/>
      <c r="E751"/>
      <c r="F751" s="27" t="s">
        <v>7</v>
      </c>
      <c r="G751" s="27" t="s">
        <v>8</v>
      </c>
      <c r="H751" s="27" t="s">
        <v>7</v>
      </c>
      <c r="U751" s="27" t="s">
        <v>8</v>
      </c>
      <c r="V751" s="27" t="s">
        <v>7</v>
      </c>
      <c r="ES751" s="27" t="s">
        <v>8</v>
      </c>
      <c r="ET751" s="27" t="s">
        <v>7</v>
      </c>
      <c r="HY751" s="27" t="s">
        <v>8</v>
      </c>
      <c r="HZ751" s="27" t="s">
        <v>7</v>
      </c>
      <c r="IA751" s="27" t="s">
        <v>8</v>
      </c>
      <c r="IH751" s="27" t="s">
        <v>7</v>
      </c>
      <c r="II751" s="27" t="s">
        <v>8</v>
      </c>
      <c r="IJ751" s="27" t="s">
        <v>7</v>
      </c>
      <c r="IK751" s="27" t="s">
        <v>8</v>
      </c>
      <c r="IL751" s="27" t="s">
        <v>7</v>
      </c>
    </row>
    <row r="752" spans="1:249" x14ac:dyDescent="0.25">
      <c r="A752" s="7">
        <v>3.8104095702657229E-2</v>
      </c>
      <c r="B752"/>
      <c r="C752"/>
      <c r="D752"/>
      <c r="E752"/>
      <c r="F752" s="27" t="s">
        <v>7</v>
      </c>
      <c r="G752" s="27" t="s">
        <v>8</v>
      </c>
      <c r="H752" s="27" t="s">
        <v>7</v>
      </c>
      <c r="U752" s="27" t="s">
        <v>8</v>
      </c>
      <c r="V752" s="27" t="s">
        <v>7</v>
      </c>
      <c r="ES752" s="27" t="s">
        <v>8</v>
      </c>
      <c r="ET752" s="27" t="s">
        <v>7</v>
      </c>
      <c r="HY752" s="27" t="s">
        <v>8</v>
      </c>
      <c r="HZ752" s="27" t="s">
        <v>7</v>
      </c>
      <c r="IH752" s="27" t="s">
        <v>7</v>
      </c>
      <c r="II752" s="27" t="s">
        <v>8</v>
      </c>
      <c r="IJ752" s="27" t="s">
        <v>7</v>
      </c>
    </row>
    <row r="753" spans="1:243" x14ac:dyDescent="0.25">
      <c r="A753" s="7">
        <v>3.7356956571232579E-2</v>
      </c>
      <c r="B753"/>
      <c r="C753"/>
      <c r="D753"/>
      <c r="E753"/>
      <c r="F753" s="27" t="s">
        <v>7</v>
      </c>
      <c r="G753" s="27" t="s">
        <v>8</v>
      </c>
      <c r="H753" s="27" t="s">
        <v>7</v>
      </c>
      <c r="I753" s="27" t="s">
        <v>8</v>
      </c>
      <c r="U753" s="27" t="s">
        <v>8</v>
      </c>
      <c r="V753" s="27" t="s">
        <v>7</v>
      </c>
      <c r="EQ753" s="27" t="s">
        <v>8</v>
      </c>
      <c r="ES753" s="27" t="s">
        <v>8</v>
      </c>
      <c r="ET753" s="27" t="s">
        <v>7</v>
      </c>
      <c r="EU753" s="27" t="s">
        <v>8</v>
      </c>
      <c r="HY753" s="27" t="s">
        <v>8</v>
      </c>
      <c r="IH753" s="27" t="s">
        <v>7</v>
      </c>
      <c r="II753" s="27" t="s">
        <v>8</v>
      </c>
    </row>
    <row r="754" spans="1:243" x14ac:dyDescent="0.25">
      <c r="A754" s="7">
        <v>3.6624467226698605E-2</v>
      </c>
      <c r="B754"/>
      <c r="C754"/>
      <c r="D754"/>
      <c r="E754"/>
      <c r="F754" s="27" t="s">
        <v>7</v>
      </c>
      <c r="G754" s="27" t="s">
        <v>8</v>
      </c>
      <c r="H754" s="27" t="s">
        <v>7</v>
      </c>
      <c r="I754" s="27" t="s">
        <v>8</v>
      </c>
      <c r="J754" s="27" t="s">
        <v>7</v>
      </c>
      <c r="K754" s="27" t="s">
        <v>8</v>
      </c>
      <c r="U754" s="27" t="s">
        <v>8</v>
      </c>
      <c r="V754" s="27" t="s">
        <v>7</v>
      </c>
      <c r="EQ754" s="27" t="s">
        <v>8</v>
      </c>
      <c r="ER754" s="27" t="s">
        <v>7</v>
      </c>
      <c r="ES754" s="27" t="s">
        <v>8</v>
      </c>
      <c r="ET754" s="27" t="s">
        <v>7</v>
      </c>
      <c r="EU754" s="27" t="s">
        <v>8</v>
      </c>
      <c r="EV754" s="27" t="s">
        <v>7</v>
      </c>
      <c r="HY754" s="27" t="s">
        <v>8</v>
      </c>
      <c r="IH754" s="27" t="s">
        <v>7</v>
      </c>
    </row>
    <row r="755" spans="1:243" x14ac:dyDescent="0.25">
      <c r="A755" s="7">
        <v>3.5906340418331961E-2</v>
      </c>
      <c r="B755"/>
      <c r="C755"/>
      <c r="D755"/>
      <c r="E755"/>
      <c r="F755" s="27" t="s">
        <v>7</v>
      </c>
      <c r="G755" s="27" t="s">
        <v>8</v>
      </c>
      <c r="H755" s="27" t="s">
        <v>7</v>
      </c>
      <c r="I755" s="27" t="s">
        <v>8</v>
      </c>
      <c r="J755" s="27" t="s">
        <v>7</v>
      </c>
      <c r="K755" s="27" t="s">
        <v>8</v>
      </c>
      <c r="L755" s="27" t="s">
        <v>7</v>
      </c>
      <c r="U755" s="27" t="s">
        <v>8</v>
      </c>
      <c r="V755" s="27" t="s">
        <v>7</v>
      </c>
      <c r="EQ755" s="27" t="s">
        <v>8</v>
      </c>
      <c r="ER755" s="27" t="s">
        <v>7</v>
      </c>
      <c r="ES755" s="27" t="s">
        <v>8</v>
      </c>
      <c r="ET755" s="27" t="s">
        <v>7</v>
      </c>
      <c r="EU755" s="27" t="s">
        <v>8</v>
      </c>
      <c r="EV755" s="27" t="s">
        <v>7</v>
      </c>
      <c r="HY755" s="27" t="s">
        <v>8</v>
      </c>
    </row>
    <row r="756" spans="1:243" x14ac:dyDescent="0.25">
      <c r="A756" s="7">
        <v>3.5202294527776436E-2</v>
      </c>
      <c r="B756"/>
      <c r="C756"/>
      <c r="D756"/>
      <c r="E756"/>
      <c r="F756" s="27" t="s">
        <v>7</v>
      </c>
      <c r="G756" s="27" t="s">
        <v>8</v>
      </c>
      <c r="H756" s="27" t="s">
        <v>7</v>
      </c>
      <c r="I756" s="27" t="s">
        <v>8</v>
      </c>
      <c r="J756" s="27" t="s">
        <v>7</v>
      </c>
      <c r="K756" s="27" t="s">
        <v>8</v>
      </c>
      <c r="L756" s="27" t="s">
        <v>7</v>
      </c>
      <c r="U756" s="27" t="s">
        <v>8</v>
      </c>
      <c r="V756" s="27" t="s">
        <v>7</v>
      </c>
      <c r="EQ756" s="27" t="s">
        <v>8</v>
      </c>
      <c r="ER756" s="27" t="s">
        <v>7</v>
      </c>
      <c r="ES756" s="27" t="s">
        <v>8</v>
      </c>
      <c r="ET756" s="27" t="s">
        <v>7</v>
      </c>
      <c r="EU756" s="27" t="s">
        <v>8</v>
      </c>
      <c r="EV756" s="27" t="s">
        <v>7</v>
      </c>
      <c r="HY756" s="27" t="s">
        <v>8</v>
      </c>
    </row>
    <row r="757" spans="1:243" x14ac:dyDescent="0.25">
      <c r="A757" s="7">
        <v>3.451205345860435E-2</v>
      </c>
      <c r="B757"/>
      <c r="C757"/>
      <c r="D757"/>
      <c r="E757"/>
      <c r="F757" s="27" t="s">
        <v>7</v>
      </c>
      <c r="G757" s="27" t="s">
        <v>8</v>
      </c>
      <c r="H757" s="27" t="s">
        <v>7</v>
      </c>
      <c r="J757" s="27" t="s">
        <v>7</v>
      </c>
      <c r="K757" s="27" t="s">
        <v>8</v>
      </c>
      <c r="L757" s="27" t="s">
        <v>7</v>
      </c>
      <c r="U757" s="27" t="s">
        <v>8</v>
      </c>
      <c r="V757" s="27" t="s">
        <v>7</v>
      </c>
      <c r="EQ757" s="27" t="s">
        <v>8</v>
      </c>
      <c r="ER757" s="27" t="s">
        <v>7</v>
      </c>
      <c r="ES757" s="27" t="s">
        <v>8</v>
      </c>
      <c r="ET757" s="27" t="s">
        <v>7</v>
      </c>
      <c r="EU757" s="27" t="s">
        <v>8</v>
      </c>
      <c r="EV757" s="27" t="s">
        <v>7</v>
      </c>
      <c r="HU757" s="27" t="s">
        <v>8</v>
      </c>
      <c r="HY757" s="27" t="s">
        <v>8</v>
      </c>
    </row>
    <row r="758" spans="1:243" x14ac:dyDescent="0.25">
      <c r="A758" s="7">
        <v>3.3835346528043479E-2</v>
      </c>
      <c r="B758"/>
      <c r="C758"/>
      <c r="D758"/>
      <c r="E758"/>
      <c r="F758" s="27" t="s">
        <v>7</v>
      </c>
      <c r="G758" s="27" t="s">
        <v>8</v>
      </c>
      <c r="J758" s="27" t="s">
        <v>7</v>
      </c>
      <c r="K758" s="27" t="s">
        <v>8</v>
      </c>
      <c r="L758" s="27" t="s">
        <v>7</v>
      </c>
      <c r="U758" s="27" t="s">
        <v>8</v>
      </c>
      <c r="V758" s="27" t="s">
        <v>7</v>
      </c>
      <c r="EO758" s="27" t="s">
        <v>8</v>
      </c>
      <c r="EQ758" s="27" t="s">
        <v>8</v>
      </c>
      <c r="ER758" s="27" t="s">
        <v>7</v>
      </c>
      <c r="ES758" s="27" t="s">
        <v>8</v>
      </c>
      <c r="ET758" s="27" t="s">
        <v>7</v>
      </c>
      <c r="EU758" s="27" t="s">
        <v>8</v>
      </c>
      <c r="EV758" s="27" t="s">
        <v>7</v>
      </c>
      <c r="EW758" s="27" t="s">
        <v>8</v>
      </c>
      <c r="HU758" s="27" t="s">
        <v>8</v>
      </c>
      <c r="HV758" s="27" t="s">
        <v>7</v>
      </c>
      <c r="HY758" s="27" t="s">
        <v>8</v>
      </c>
    </row>
    <row r="759" spans="1:243" x14ac:dyDescent="0.25">
      <c r="A759" s="7">
        <v>3.3171908360826938E-2</v>
      </c>
      <c r="B759"/>
      <c r="C759"/>
      <c r="D759"/>
      <c r="E759"/>
      <c r="F759" s="27" t="s">
        <v>7</v>
      </c>
      <c r="G759" s="27" t="s">
        <v>8</v>
      </c>
      <c r="J759" s="27" t="s">
        <v>7</v>
      </c>
      <c r="K759" s="27" t="s">
        <v>8</v>
      </c>
      <c r="L759" s="27" t="s">
        <v>7</v>
      </c>
      <c r="U759" s="27" t="s">
        <v>8</v>
      </c>
      <c r="V759" s="27" t="s">
        <v>7</v>
      </c>
      <c r="EO759" s="27" t="s">
        <v>8</v>
      </c>
      <c r="EP759" s="27" t="s">
        <v>7</v>
      </c>
      <c r="EQ759" s="27" t="s">
        <v>8</v>
      </c>
      <c r="ER759" s="27" t="s">
        <v>7</v>
      </c>
      <c r="ES759" s="27" t="s">
        <v>8</v>
      </c>
      <c r="ET759" s="27" t="s">
        <v>7</v>
      </c>
      <c r="EU759" s="27" t="s">
        <v>8</v>
      </c>
      <c r="EV759" s="27" t="s">
        <v>7</v>
      </c>
      <c r="EW759" s="27" t="s">
        <v>8</v>
      </c>
      <c r="EX759" s="27" t="s">
        <v>7</v>
      </c>
      <c r="HU759" s="27" t="s">
        <v>8</v>
      </c>
      <c r="HV759" s="27" t="s">
        <v>7</v>
      </c>
      <c r="HY759" s="27" t="s">
        <v>8</v>
      </c>
    </row>
    <row r="760" spans="1:243" x14ac:dyDescent="0.25">
      <c r="A760" s="7">
        <v>3.2521478785124451E-2</v>
      </c>
      <c r="B760"/>
      <c r="C760"/>
      <c r="D760"/>
      <c r="E760"/>
      <c r="F760" s="27" t="s">
        <v>7</v>
      </c>
      <c r="G760" s="27" t="s">
        <v>8</v>
      </c>
      <c r="J760" s="27" t="s">
        <v>7</v>
      </c>
      <c r="K760" s="27" t="s">
        <v>8</v>
      </c>
      <c r="L760" s="27" t="s">
        <v>7</v>
      </c>
      <c r="S760" s="27" t="s">
        <v>8</v>
      </c>
      <c r="U760" s="27" t="s">
        <v>8</v>
      </c>
      <c r="V760" s="27" t="s">
        <v>7</v>
      </c>
      <c r="EO760" s="27" t="s">
        <v>8</v>
      </c>
      <c r="EP760" s="27" t="s">
        <v>7</v>
      </c>
      <c r="EQ760" s="27" t="s">
        <v>8</v>
      </c>
      <c r="ER760" s="27" t="s">
        <v>7</v>
      </c>
      <c r="ES760" s="27" t="s">
        <v>8</v>
      </c>
      <c r="ET760" s="27" t="s">
        <v>7</v>
      </c>
      <c r="EU760" s="27" t="s">
        <v>8</v>
      </c>
      <c r="EV760" s="27" t="s">
        <v>7</v>
      </c>
      <c r="EW760" s="27" t="s">
        <v>8</v>
      </c>
      <c r="EX760" s="27" t="s">
        <v>7</v>
      </c>
      <c r="HU760" s="27" t="s">
        <v>8</v>
      </c>
      <c r="HV760" s="27" t="s">
        <v>7</v>
      </c>
      <c r="HW760" s="27" t="s">
        <v>8</v>
      </c>
      <c r="HY760" s="27" t="s">
        <v>8</v>
      </c>
    </row>
    <row r="761" spans="1:243" x14ac:dyDescent="0.25">
      <c r="A761" s="7">
        <v>3.1883802730514173E-2</v>
      </c>
      <c r="B761"/>
      <c r="C761"/>
      <c r="D761"/>
      <c r="E761"/>
      <c r="F761" s="27" t="s">
        <v>7</v>
      </c>
      <c r="G761" s="27" t="s">
        <v>8</v>
      </c>
      <c r="J761" s="27" t="s">
        <v>7</v>
      </c>
      <c r="K761" s="27" t="s">
        <v>8</v>
      </c>
      <c r="L761" s="27" t="s">
        <v>7</v>
      </c>
      <c r="S761" s="27" t="s">
        <v>8</v>
      </c>
      <c r="T761" s="27" t="s">
        <v>7</v>
      </c>
      <c r="U761" s="27" t="s">
        <v>8</v>
      </c>
      <c r="V761" s="27" t="s">
        <v>7</v>
      </c>
      <c r="BE761" s="27" t="s">
        <v>8</v>
      </c>
      <c r="DO761" s="27" t="s">
        <v>8</v>
      </c>
      <c r="EO761" s="27" t="s">
        <v>8</v>
      </c>
      <c r="EP761" s="27" t="s">
        <v>7</v>
      </c>
      <c r="EQ761" s="27" t="s">
        <v>8</v>
      </c>
      <c r="ER761" s="27" t="s">
        <v>7</v>
      </c>
      <c r="ES761" s="27" t="s">
        <v>8</v>
      </c>
      <c r="ET761" s="27" t="s">
        <v>7</v>
      </c>
      <c r="EU761" s="27" t="s">
        <v>8</v>
      </c>
      <c r="EV761" s="27" t="s">
        <v>7</v>
      </c>
      <c r="EW761" s="27" t="s">
        <v>8</v>
      </c>
      <c r="EX761" s="27" t="s">
        <v>7</v>
      </c>
      <c r="EY761" s="27" t="s">
        <v>8</v>
      </c>
      <c r="FK761" s="27" t="s">
        <v>8</v>
      </c>
      <c r="HU761" s="27" t="s">
        <v>8</v>
      </c>
      <c r="HV761" s="27" t="s">
        <v>7</v>
      </c>
      <c r="HW761" s="27" t="s">
        <v>8</v>
      </c>
      <c r="HX761" s="27" t="s">
        <v>7</v>
      </c>
      <c r="HY761" s="27" t="s">
        <v>8</v>
      </c>
    </row>
    <row r="762" spans="1:243" x14ac:dyDescent="0.25">
      <c r="A762" s="7">
        <v>3.1258630127955073E-2</v>
      </c>
      <c r="B762"/>
      <c r="C762"/>
      <c r="D762"/>
      <c r="E762"/>
      <c r="F762" s="27" t="s">
        <v>7</v>
      </c>
      <c r="G762" s="27" t="s">
        <v>8</v>
      </c>
      <c r="J762" s="27" t="s">
        <v>7</v>
      </c>
      <c r="K762" s="27" t="s">
        <v>8</v>
      </c>
      <c r="L762" s="27" t="s">
        <v>7</v>
      </c>
      <c r="S762" s="27" t="s">
        <v>8</v>
      </c>
      <c r="T762" s="27" t="s">
        <v>7</v>
      </c>
      <c r="U762" s="27" t="s">
        <v>8</v>
      </c>
      <c r="V762" s="27" t="s">
        <v>7</v>
      </c>
      <c r="W762" s="27" t="s">
        <v>8</v>
      </c>
      <c r="BE762" s="27" t="s">
        <v>8</v>
      </c>
      <c r="BF762" s="27" t="s">
        <v>7</v>
      </c>
      <c r="DK762" s="27" t="s">
        <v>8</v>
      </c>
      <c r="DO762" s="27" t="s">
        <v>8</v>
      </c>
      <c r="DP762" s="27" t="s">
        <v>7</v>
      </c>
      <c r="EO762" s="27" t="s">
        <v>8</v>
      </c>
      <c r="EP762" s="27" t="s">
        <v>7</v>
      </c>
      <c r="EQ762" s="27" t="s">
        <v>8</v>
      </c>
      <c r="ER762" s="27" t="s">
        <v>7</v>
      </c>
      <c r="ET762" s="27" t="s">
        <v>7</v>
      </c>
      <c r="EU762" s="27" t="s">
        <v>8</v>
      </c>
      <c r="EV762" s="27" t="s">
        <v>7</v>
      </c>
      <c r="EW762" s="27" t="s">
        <v>8</v>
      </c>
      <c r="EX762" s="27" t="s">
        <v>7</v>
      </c>
      <c r="EY762" s="27" t="s">
        <v>8</v>
      </c>
      <c r="EZ762" s="27" t="s">
        <v>7</v>
      </c>
      <c r="FK762" s="27" t="s">
        <v>8</v>
      </c>
      <c r="FL762" s="27" t="s">
        <v>7</v>
      </c>
      <c r="HU762" s="27" t="s">
        <v>8</v>
      </c>
      <c r="HV762" s="27" t="s">
        <v>7</v>
      </c>
      <c r="HW762" s="27" t="s">
        <v>8</v>
      </c>
      <c r="HX762" s="27" t="s">
        <v>7</v>
      </c>
      <c r="HY762" s="27" t="s">
        <v>8</v>
      </c>
    </row>
    <row r="763" spans="1:243" x14ac:dyDescent="0.25">
      <c r="A763" s="7">
        <v>3.064571581172066E-2</v>
      </c>
      <c r="B763"/>
      <c r="C763"/>
      <c r="D763"/>
      <c r="E763"/>
      <c r="F763" s="27" t="s">
        <v>7</v>
      </c>
      <c r="G763" s="27" t="s">
        <v>8</v>
      </c>
      <c r="J763" s="27" t="s">
        <v>7</v>
      </c>
      <c r="L763" s="27" t="s">
        <v>7</v>
      </c>
      <c r="S763" s="27" t="s">
        <v>8</v>
      </c>
      <c r="T763" s="27" t="s">
        <v>7</v>
      </c>
      <c r="U763" s="27" t="s">
        <v>8</v>
      </c>
      <c r="V763" s="27" t="s">
        <v>7</v>
      </c>
      <c r="W763" s="27" t="s">
        <v>8</v>
      </c>
      <c r="X763" s="27" t="s">
        <v>7</v>
      </c>
      <c r="BE763" s="27" t="s">
        <v>8</v>
      </c>
      <c r="BF763" s="27" t="s">
        <v>7</v>
      </c>
      <c r="DK763" s="27" t="s">
        <v>8</v>
      </c>
      <c r="DL763" s="27" t="s">
        <v>7</v>
      </c>
      <c r="DO763" s="27" t="s">
        <v>8</v>
      </c>
      <c r="DP763" s="27" t="s">
        <v>7</v>
      </c>
      <c r="EM763" s="27" t="s">
        <v>8</v>
      </c>
      <c r="EO763" s="27" t="s">
        <v>8</v>
      </c>
      <c r="EP763" s="27" t="s">
        <v>7</v>
      </c>
      <c r="EQ763" s="27" t="s">
        <v>8</v>
      </c>
      <c r="ET763" s="27" t="s">
        <v>7</v>
      </c>
      <c r="EU763" s="27" t="s">
        <v>8</v>
      </c>
      <c r="EV763" s="27" t="s">
        <v>7</v>
      </c>
      <c r="EW763" s="27" t="s">
        <v>8</v>
      </c>
      <c r="EX763" s="27" t="s">
        <v>7</v>
      </c>
      <c r="EY763" s="27" t="s">
        <v>8</v>
      </c>
      <c r="EZ763" s="27" t="s">
        <v>7</v>
      </c>
      <c r="FK763" s="27" t="s">
        <v>8</v>
      </c>
      <c r="FL763" s="27" t="s">
        <v>7</v>
      </c>
      <c r="HU763" s="27" t="s">
        <v>8</v>
      </c>
      <c r="HV763" s="27" t="s">
        <v>7</v>
      </c>
      <c r="HW763" s="27" t="s">
        <v>8</v>
      </c>
      <c r="HX763" s="27" t="s">
        <v>7</v>
      </c>
      <c r="HY763" s="27" t="s">
        <v>8</v>
      </c>
    </row>
    <row r="764" spans="1:243" x14ac:dyDescent="0.25">
      <c r="A764" s="7">
        <v>3.0044819423255549E-2</v>
      </c>
      <c r="B764"/>
      <c r="C764"/>
      <c r="D764"/>
      <c r="E764"/>
      <c r="F764" s="27" t="s">
        <v>7</v>
      </c>
      <c r="G764" s="27" t="s">
        <v>8</v>
      </c>
      <c r="L764" s="27" t="s">
        <v>7</v>
      </c>
      <c r="O764" s="27" t="s">
        <v>8</v>
      </c>
      <c r="S764" s="27" t="s">
        <v>8</v>
      </c>
      <c r="T764" s="27" t="s">
        <v>7</v>
      </c>
      <c r="U764" s="27" t="s">
        <v>8</v>
      </c>
      <c r="V764" s="27" t="s">
        <v>7</v>
      </c>
      <c r="W764" s="27" t="s">
        <v>8</v>
      </c>
      <c r="X764" s="27" t="s">
        <v>7</v>
      </c>
      <c r="BE764" s="27" t="s">
        <v>8</v>
      </c>
      <c r="BF764" s="27" t="s">
        <v>7</v>
      </c>
      <c r="DK764" s="27" t="s">
        <v>8</v>
      </c>
      <c r="DL764" s="27" t="s">
        <v>7</v>
      </c>
      <c r="DM764" s="27" t="s">
        <v>8</v>
      </c>
      <c r="DO764" s="27" t="s">
        <v>8</v>
      </c>
      <c r="DP764" s="27" t="s">
        <v>7</v>
      </c>
      <c r="EM764" s="27" t="s">
        <v>8</v>
      </c>
      <c r="EN764" s="27" t="s">
        <v>7</v>
      </c>
      <c r="EO764" s="27" t="s">
        <v>8</v>
      </c>
      <c r="EP764" s="27" t="s">
        <v>7</v>
      </c>
      <c r="EQ764" s="27" t="s">
        <v>8</v>
      </c>
      <c r="ET764" s="27" t="s">
        <v>7</v>
      </c>
      <c r="EV764" s="27" t="s">
        <v>7</v>
      </c>
      <c r="EW764" s="27" t="s">
        <v>8</v>
      </c>
      <c r="EX764" s="27" t="s">
        <v>7</v>
      </c>
      <c r="EY764" s="27" t="s">
        <v>8</v>
      </c>
      <c r="EZ764" s="27" t="s">
        <v>7</v>
      </c>
      <c r="FK764" s="27" t="s">
        <v>8</v>
      </c>
      <c r="FL764" s="27" t="s">
        <v>7</v>
      </c>
      <c r="HU764" s="27" t="s">
        <v>8</v>
      </c>
      <c r="HV764" s="27" t="s">
        <v>7</v>
      </c>
      <c r="HW764" s="27" t="s">
        <v>8</v>
      </c>
      <c r="HX764" s="27" t="s">
        <v>7</v>
      </c>
      <c r="HY764" s="27" t="s">
        <v>8</v>
      </c>
    </row>
    <row r="765" spans="1:243" x14ac:dyDescent="0.25">
      <c r="A765" s="7">
        <v>2.9455705316917203E-2</v>
      </c>
      <c r="B765"/>
      <c r="C765"/>
      <c r="D765"/>
      <c r="E765"/>
      <c r="F765" s="27" t="s">
        <v>7</v>
      </c>
      <c r="G765" s="27" t="s">
        <v>8</v>
      </c>
      <c r="L765" s="27" t="s">
        <v>7</v>
      </c>
      <c r="M765" s="27" t="s">
        <v>8</v>
      </c>
      <c r="O765" s="27" t="s">
        <v>8</v>
      </c>
      <c r="P765" s="27" t="s">
        <v>7</v>
      </c>
      <c r="S765" s="27" t="s">
        <v>8</v>
      </c>
      <c r="T765" s="27" t="s">
        <v>7</v>
      </c>
      <c r="U765" s="27" t="s">
        <v>8</v>
      </c>
      <c r="V765" s="27" t="s">
        <v>7</v>
      </c>
      <c r="W765" s="27" t="s">
        <v>8</v>
      </c>
      <c r="X765" s="27" t="s">
        <v>7</v>
      </c>
      <c r="BE765" s="27" t="s">
        <v>8</v>
      </c>
      <c r="BF765" s="27" t="s">
        <v>7</v>
      </c>
      <c r="DK765" s="27" t="s">
        <v>8</v>
      </c>
      <c r="DL765" s="27" t="s">
        <v>7</v>
      </c>
      <c r="DM765" s="27" t="s">
        <v>8</v>
      </c>
      <c r="DN765" s="27" t="s">
        <v>7</v>
      </c>
      <c r="DO765" s="27" t="s">
        <v>8</v>
      </c>
      <c r="DP765" s="27" t="s">
        <v>7</v>
      </c>
      <c r="DQ765" s="27" t="s">
        <v>8</v>
      </c>
      <c r="EM765" s="27" t="s">
        <v>8</v>
      </c>
      <c r="EN765" s="27" t="s">
        <v>7</v>
      </c>
      <c r="EO765" s="27" t="s">
        <v>8</v>
      </c>
      <c r="EP765" s="27" t="s">
        <v>7</v>
      </c>
      <c r="EV765" s="27" t="s">
        <v>7</v>
      </c>
      <c r="EW765" s="27" t="s">
        <v>8</v>
      </c>
      <c r="EX765" s="27" t="s">
        <v>7</v>
      </c>
      <c r="EY765" s="27" t="s">
        <v>8</v>
      </c>
      <c r="EZ765" s="27" t="s">
        <v>7</v>
      </c>
      <c r="FK765" s="27" t="s">
        <v>8</v>
      </c>
      <c r="FL765" s="27" t="s">
        <v>7</v>
      </c>
      <c r="HS765" s="27" t="s">
        <v>8</v>
      </c>
      <c r="HU765" s="27" t="s">
        <v>8</v>
      </c>
      <c r="HV765" s="27" t="s">
        <v>7</v>
      </c>
      <c r="HW765" s="27" t="s">
        <v>8</v>
      </c>
      <c r="HX765" s="27" t="s">
        <v>7</v>
      </c>
      <c r="HY765" s="27" t="s">
        <v>8</v>
      </c>
    </row>
    <row r="766" spans="1:243" x14ac:dyDescent="0.25">
      <c r="A766" s="7">
        <v>2.8878142467565884E-2</v>
      </c>
      <c r="B766"/>
      <c r="C766"/>
      <c r="D766"/>
      <c r="E766"/>
      <c r="F766" s="27" t="s">
        <v>7</v>
      </c>
      <c r="G766" s="27" t="s">
        <v>8</v>
      </c>
      <c r="L766" s="27" t="s">
        <v>7</v>
      </c>
      <c r="M766" s="27" t="s">
        <v>8</v>
      </c>
      <c r="N766" s="27" t="s">
        <v>7</v>
      </c>
      <c r="O766" s="27" t="s">
        <v>8</v>
      </c>
      <c r="P766" s="27" t="s">
        <v>7</v>
      </c>
      <c r="S766" s="27" t="s">
        <v>8</v>
      </c>
      <c r="T766" s="27" t="s">
        <v>7</v>
      </c>
      <c r="U766" s="27" t="s">
        <v>8</v>
      </c>
      <c r="V766" s="27" t="s">
        <v>7</v>
      </c>
      <c r="W766" s="27" t="s">
        <v>8</v>
      </c>
      <c r="X766" s="27" t="s">
        <v>7</v>
      </c>
      <c r="Y766" s="27" t="s">
        <v>8</v>
      </c>
      <c r="BC766" s="27" t="s">
        <v>8</v>
      </c>
      <c r="BE766" s="27" t="s">
        <v>8</v>
      </c>
      <c r="BF766" s="27" t="s">
        <v>7</v>
      </c>
      <c r="DK766" s="27" t="s">
        <v>8</v>
      </c>
      <c r="DL766" s="27" t="s">
        <v>7</v>
      </c>
      <c r="DM766" s="27" t="s">
        <v>8</v>
      </c>
      <c r="DN766" s="27" t="s">
        <v>7</v>
      </c>
      <c r="DO766" s="27" t="s">
        <v>8</v>
      </c>
      <c r="DP766" s="27" t="s">
        <v>7</v>
      </c>
      <c r="DQ766" s="27" t="s">
        <v>8</v>
      </c>
      <c r="DR766" s="27" t="s">
        <v>7</v>
      </c>
      <c r="EK766" s="27" t="s">
        <v>8</v>
      </c>
      <c r="EM766" s="27" t="s">
        <v>8</v>
      </c>
      <c r="EN766" s="27" t="s">
        <v>7</v>
      </c>
      <c r="EO766" s="27" t="s">
        <v>8</v>
      </c>
      <c r="EV766" s="27" t="s">
        <v>7</v>
      </c>
      <c r="EW766" s="27" t="s">
        <v>8</v>
      </c>
      <c r="EX766" s="27" t="s">
        <v>7</v>
      </c>
      <c r="EY766" s="27" t="s">
        <v>8</v>
      </c>
      <c r="EZ766" s="27" t="s">
        <v>7</v>
      </c>
      <c r="FK766" s="27" t="s">
        <v>8</v>
      </c>
      <c r="FL766" s="27" t="s">
        <v>7</v>
      </c>
      <c r="HS766" s="27" t="s">
        <v>8</v>
      </c>
      <c r="HT766" s="27" t="s">
        <v>7</v>
      </c>
      <c r="HU766" s="27" t="s">
        <v>8</v>
      </c>
      <c r="HV766" s="27" t="s">
        <v>7</v>
      </c>
      <c r="HW766" s="27" t="s">
        <v>8</v>
      </c>
      <c r="HX766" s="27" t="s">
        <v>7</v>
      </c>
      <c r="HY766" s="27" t="s">
        <v>8</v>
      </c>
    </row>
    <row r="767" spans="1:243" x14ac:dyDescent="0.25">
      <c r="A767" s="7">
        <v>2.8311904379966554E-2</v>
      </c>
      <c r="B767"/>
      <c r="C767"/>
      <c r="D767"/>
      <c r="E767"/>
      <c r="F767" s="27" t="s">
        <v>7</v>
      </c>
      <c r="G767" s="27" t="s">
        <v>8</v>
      </c>
      <c r="L767" s="27" t="s">
        <v>7</v>
      </c>
      <c r="M767" s="27" t="s">
        <v>8</v>
      </c>
      <c r="N767" s="27" t="s">
        <v>7</v>
      </c>
      <c r="O767" s="27" t="s">
        <v>8</v>
      </c>
      <c r="P767" s="27" t="s">
        <v>7</v>
      </c>
      <c r="Q767" s="27" t="s">
        <v>8</v>
      </c>
      <c r="S767" s="27" t="s">
        <v>8</v>
      </c>
      <c r="T767" s="27" t="s">
        <v>7</v>
      </c>
      <c r="U767" s="27" t="s">
        <v>8</v>
      </c>
      <c r="V767" s="27" t="s">
        <v>7</v>
      </c>
      <c r="W767" s="27" t="s">
        <v>8</v>
      </c>
      <c r="X767" s="27" t="s">
        <v>7</v>
      </c>
      <c r="Y767" s="27" t="s">
        <v>8</v>
      </c>
      <c r="Z767" s="27" t="s">
        <v>7</v>
      </c>
      <c r="BC767" s="27" t="s">
        <v>8</v>
      </c>
      <c r="BD767" s="27" t="s">
        <v>7</v>
      </c>
      <c r="BE767" s="27" t="s">
        <v>8</v>
      </c>
      <c r="BF767" s="27" t="s">
        <v>7</v>
      </c>
      <c r="DK767" s="27" t="s">
        <v>8</v>
      </c>
      <c r="DL767" s="27" t="s">
        <v>7</v>
      </c>
      <c r="DM767" s="27" t="s">
        <v>8</v>
      </c>
      <c r="DN767" s="27" t="s">
        <v>7</v>
      </c>
      <c r="DO767" s="27" t="s">
        <v>8</v>
      </c>
      <c r="DP767" s="27" t="s">
        <v>7</v>
      </c>
      <c r="DQ767" s="27" t="s">
        <v>8</v>
      </c>
      <c r="DR767" s="27" t="s">
        <v>7</v>
      </c>
      <c r="EK767" s="27" t="s">
        <v>8</v>
      </c>
      <c r="EL767" s="27" t="s">
        <v>7</v>
      </c>
      <c r="EM767" s="27" t="s">
        <v>8</v>
      </c>
      <c r="EN767" s="27" t="s">
        <v>7</v>
      </c>
      <c r="EO767" s="27" t="s">
        <v>8</v>
      </c>
      <c r="EV767" s="27" t="s">
        <v>7</v>
      </c>
      <c r="EX767" s="27" t="s">
        <v>7</v>
      </c>
      <c r="EY767" s="27" t="s">
        <v>8</v>
      </c>
      <c r="EZ767" s="27" t="s">
        <v>7</v>
      </c>
      <c r="FK767" s="27" t="s">
        <v>8</v>
      </c>
      <c r="FL767" s="27" t="s">
        <v>7</v>
      </c>
      <c r="HS767" s="27" t="s">
        <v>8</v>
      </c>
      <c r="HT767" s="27" t="s">
        <v>7</v>
      </c>
      <c r="HU767" s="27" t="s">
        <v>8</v>
      </c>
      <c r="HV767" s="27" t="s">
        <v>7</v>
      </c>
      <c r="HW767" s="27" t="s">
        <v>8</v>
      </c>
      <c r="HX767" s="27" t="s">
        <v>7</v>
      </c>
    </row>
    <row r="768" spans="1:243" x14ac:dyDescent="0.25">
      <c r="A768" s="7">
        <v>2.7756768999967207E-2</v>
      </c>
      <c r="B768"/>
      <c r="C768"/>
      <c r="D768"/>
      <c r="E768"/>
      <c r="F768" s="27" t="s">
        <v>7</v>
      </c>
      <c r="G768" s="27" t="s">
        <v>8</v>
      </c>
      <c r="L768" s="27" t="s">
        <v>7</v>
      </c>
      <c r="N768" s="27" t="s">
        <v>7</v>
      </c>
      <c r="O768" s="27" t="s">
        <v>8</v>
      </c>
      <c r="P768" s="27" t="s">
        <v>7</v>
      </c>
      <c r="Q768" s="27" t="s">
        <v>8</v>
      </c>
      <c r="R768" s="27" t="s">
        <v>7</v>
      </c>
      <c r="S768" s="27" t="s">
        <v>8</v>
      </c>
      <c r="T768" s="27" t="s">
        <v>7</v>
      </c>
      <c r="U768" s="27" t="s">
        <v>8</v>
      </c>
      <c r="V768" s="27" t="s">
        <v>7</v>
      </c>
      <c r="X768" s="27" t="s">
        <v>7</v>
      </c>
      <c r="Y768" s="27" t="s">
        <v>8</v>
      </c>
      <c r="Z768" s="27" t="s">
        <v>7</v>
      </c>
      <c r="BC768" s="27" t="s">
        <v>8</v>
      </c>
      <c r="BD768" s="27" t="s">
        <v>7</v>
      </c>
      <c r="BE768" s="27" t="s">
        <v>8</v>
      </c>
      <c r="BF768" s="27" t="s">
        <v>7</v>
      </c>
      <c r="DK768" s="27" t="s">
        <v>8</v>
      </c>
      <c r="DL768" s="27" t="s">
        <v>7</v>
      </c>
      <c r="DM768" s="27" t="s">
        <v>8</v>
      </c>
      <c r="DN768" s="27" t="s">
        <v>7</v>
      </c>
      <c r="DO768" s="27" t="s">
        <v>8</v>
      </c>
      <c r="DP768" s="27" t="s">
        <v>7</v>
      </c>
      <c r="DR768" s="27" t="s">
        <v>7</v>
      </c>
      <c r="EK768" s="27" t="s">
        <v>8</v>
      </c>
      <c r="EL768" s="27" t="s">
        <v>7</v>
      </c>
      <c r="EM768" s="27" t="s">
        <v>8</v>
      </c>
      <c r="EN768" s="27" t="s">
        <v>7</v>
      </c>
      <c r="EO768" s="27" t="s">
        <v>8</v>
      </c>
      <c r="EX768" s="27" t="s">
        <v>7</v>
      </c>
      <c r="EY768" s="27" t="s">
        <v>8</v>
      </c>
      <c r="EZ768" s="27" t="s">
        <v>7</v>
      </c>
      <c r="FK768" s="27" t="s">
        <v>8</v>
      </c>
      <c r="FL768" s="27" t="s">
        <v>7</v>
      </c>
      <c r="HS768" s="27" t="s">
        <v>8</v>
      </c>
      <c r="HT768" s="27" t="s">
        <v>7</v>
      </c>
      <c r="HU768" s="27" t="s">
        <v>8</v>
      </c>
      <c r="HV768" s="27" t="s">
        <v>7</v>
      </c>
      <c r="HW768" s="27" t="s">
        <v>8</v>
      </c>
    </row>
    <row r="769" spans="1:231" x14ac:dyDescent="0.25">
      <c r="A769" s="7">
        <v>2.7212518627418834E-2</v>
      </c>
      <c r="B769"/>
      <c r="C769"/>
      <c r="D769"/>
      <c r="E769"/>
      <c r="F769" s="27" t="s">
        <v>7</v>
      </c>
      <c r="G769" s="27" t="s">
        <v>8</v>
      </c>
      <c r="N769" s="27" t="s">
        <v>7</v>
      </c>
      <c r="O769" s="27" t="s">
        <v>8</v>
      </c>
      <c r="P769" s="27" t="s">
        <v>7</v>
      </c>
      <c r="Q769" s="27" t="s">
        <v>8</v>
      </c>
      <c r="R769" s="27" t="s">
        <v>7</v>
      </c>
      <c r="S769" s="27" t="s">
        <v>8</v>
      </c>
      <c r="T769" s="27" t="s">
        <v>7</v>
      </c>
      <c r="U769" s="27" t="s">
        <v>8</v>
      </c>
      <c r="X769" s="27" t="s">
        <v>7</v>
      </c>
      <c r="Z769" s="27" t="s">
        <v>7</v>
      </c>
      <c r="BC769" s="27" t="s">
        <v>8</v>
      </c>
      <c r="BD769" s="27" t="s">
        <v>7</v>
      </c>
      <c r="BE769" s="27" t="s">
        <v>8</v>
      </c>
      <c r="BF769" s="27" t="s">
        <v>7</v>
      </c>
      <c r="DK769" s="27" t="s">
        <v>8</v>
      </c>
      <c r="DL769" s="27" t="s">
        <v>7</v>
      </c>
      <c r="DM769" s="27" t="s">
        <v>8</v>
      </c>
      <c r="DN769" s="27" t="s">
        <v>7</v>
      </c>
      <c r="DO769" s="27" t="s">
        <v>8</v>
      </c>
      <c r="DR769" s="27" t="s">
        <v>7</v>
      </c>
      <c r="EC769" s="27" t="s">
        <v>8</v>
      </c>
      <c r="EK769" s="27" t="s">
        <v>8</v>
      </c>
      <c r="EL769" s="27" t="s">
        <v>7</v>
      </c>
      <c r="EM769" s="27" t="s">
        <v>8</v>
      </c>
      <c r="EN769" s="27" t="s">
        <v>7</v>
      </c>
      <c r="EX769" s="27" t="s">
        <v>7</v>
      </c>
      <c r="EZ769" s="27" t="s">
        <v>7</v>
      </c>
      <c r="FK769" s="27" t="s">
        <v>8</v>
      </c>
      <c r="FL769" s="27" t="s">
        <v>7</v>
      </c>
      <c r="HQ769" s="27" t="s">
        <v>8</v>
      </c>
      <c r="HS769" s="27" t="s">
        <v>8</v>
      </c>
      <c r="HT769" s="27" t="s">
        <v>7</v>
      </c>
      <c r="HU769" s="27" t="s">
        <v>8</v>
      </c>
      <c r="HV769" s="27" t="s">
        <v>7</v>
      </c>
      <c r="HW769" s="27" t="s">
        <v>8</v>
      </c>
    </row>
    <row r="770" spans="1:231" x14ac:dyDescent="0.25">
      <c r="A770" s="7">
        <v>2.6678939830802779E-2</v>
      </c>
      <c r="B770"/>
      <c r="C770"/>
      <c r="D770"/>
      <c r="E770"/>
      <c r="F770" s="27" t="s">
        <v>7</v>
      </c>
      <c r="G770" s="27" t="s">
        <v>8</v>
      </c>
      <c r="N770" s="27" t="s">
        <v>7</v>
      </c>
      <c r="O770" s="27" t="s">
        <v>8</v>
      </c>
      <c r="P770" s="27" t="s">
        <v>7</v>
      </c>
      <c r="R770" s="27" t="s">
        <v>7</v>
      </c>
      <c r="S770" s="27" t="s">
        <v>8</v>
      </c>
      <c r="T770" s="27" t="s">
        <v>7</v>
      </c>
      <c r="Z770" s="27" t="s">
        <v>7</v>
      </c>
      <c r="BC770" s="27" t="s">
        <v>8</v>
      </c>
      <c r="BD770" s="27" t="s">
        <v>7</v>
      </c>
      <c r="BE770" s="27" t="s">
        <v>8</v>
      </c>
      <c r="BF770" s="27" t="s">
        <v>7</v>
      </c>
      <c r="DI770" s="27" t="s">
        <v>8</v>
      </c>
      <c r="DK770" s="27" t="s">
        <v>8</v>
      </c>
      <c r="DL770" s="27" t="s">
        <v>7</v>
      </c>
      <c r="DN770" s="27" t="s">
        <v>7</v>
      </c>
      <c r="DO770" s="27" t="s">
        <v>8</v>
      </c>
      <c r="DR770" s="27" t="s">
        <v>7</v>
      </c>
      <c r="EC770" s="27" t="s">
        <v>8</v>
      </c>
      <c r="ED770" s="27" t="s">
        <v>7</v>
      </c>
      <c r="EK770" s="27" t="s">
        <v>8</v>
      </c>
      <c r="EL770" s="27" t="s">
        <v>7</v>
      </c>
      <c r="EZ770" s="27" t="s">
        <v>7</v>
      </c>
      <c r="FK770" s="27" t="s">
        <v>8</v>
      </c>
      <c r="FL770" s="27" t="s">
        <v>7</v>
      </c>
      <c r="HA770" s="27" t="s">
        <v>8</v>
      </c>
      <c r="HQ770" s="27" t="s">
        <v>8</v>
      </c>
      <c r="HR770" s="27" t="s">
        <v>7</v>
      </c>
      <c r="HS770" s="27" t="s">
        <v>8</v>
      </c>
      <c r="HT770" s="27" t="s">
        <v>7</v>
      </c>
      <c r="HU770" s="27" t="s">
        <v>8</v>
      </c>
      <c r="HV770" s="27" t="s">
        <v>7</v>
      </c>
    </row>
    <row r="771" spans="1:231" x14ac:dyDescent="0.25">
      <c r="A771" s="7">
        <v>2.615582336353214E-2</v>
      </c>
      <c r="B771"/>
      <c r="C771"/>
      <c r="D771"/>
      <c r="E771"/>
      <c r="F771" s="27" t="s">
        <v>7</v>
      </c>
      <c r="G771" s="27" t="s">
        <v>8</v>
      </c>
      <c r="N771" s="27" t="s">
        <v>7</v>
      </c>
      <c r="O771" s="27" t="s">
        <v>8</v>
      </c>
      <c r="R771" s="27" t="s">
        <v>7</v>
      </c>
      <c r="S771" s="27" t="s">
        <v>8</v>
      </c>
      <c r="Z771" s="27" t="s">
        <v>7</v>
      </c>
      <c r="BC771" s="27" t="s">
        <v>8</v>
      </c>
      <c r="BD771" s="27" t="s">
        <v>7</v>
      </c>
      <c r="BE771" s="27" t="s">
        <v>8</v>
      </c>
      <c r="BF771" s="27" t="s">
        <v>7</v>
      </c>
      <c r="BG771" s="27" t="s">
        <v>8</v>
      </c>
      <c r="DI771" s="27" t="s">
        <v>8</v>
      </c>
      <c r="DJ771" s="27" t="s">
        <v>7</v>
      </c>
      <c r="DK771" s="27" t="s">
        <v>8</v>
      </c>
      <c r="DN771" s="27" t="s">
        <v>7</v>
      </c>
      <c r="DO771" s="27" t="s">
        <v>8</v>
      </c>
      <c r="DR771" s="27" t="s">
        <v>7</v>
      </c>
      <c r="EC771" s="27" t="s">
        <v>8</v>
      </c>
      <c r="ED771" s="27" t="s">
        <v>7</v>
      </c>
      <c r="EK771" s="27" t="s">
        <v>8</v>
      </c>
      <c r="EZ771" s="27" t="s">
        <v>7</v>
      </c>
      <c r="FK771" s="27" t="s">
        <v>8</v>
      </c>
      <c r="FL771" s="27" t="s">
        <v>7</v>
      </c>
      <c r="GI771" s="27" t="s">
        <v>8</v>
      </c>
      <c r="HA771" s="27" t="s">
        <v>8</v>
      </c>
      <c r="HB771" s="27" t="s">
        <v>7</v>
      </c>
      <c r="HK771" s="27" t="s">
        <v>8</v>
      </c>
      <c r="HQ771" s="27" t="s">
        <v>8</v>
      </c>
      <c r="HR771" s="27" t="s">
        <v>7</v>
      </c>
      <c r="HS771" s="27" t="s">
        <v>8</v>
      </c>
      <c r="HT771" s="27" t="s">
        <v>7</v>
      </c>
      <c r="HU771" s="27" t="s">
        <v>8</v>
      </c>
    </row>
    <row r="772" spans="1:231" x14ac:dyDescent="0.25">
      <c r="A772" s="7">
        <v>2.5642964081894253E-2</v>
      </c>
      <c r="B772"/>
      <c r="C772"/>
      <c r="D772"/>
      <c r="E772"/>
      <c r="F772" s="27" t="s">
        <v>7</v>
      </c>
      <c r="G772" s="27" t="s">
        <v>8</v>
      </c>
      <c r="N772" s="27" t="s">
        <v>7</v>
      </c>
      <c r="O772" s="27" t="s">
        <v>8</v>
      </c>
      <c r="R772" s="27" t="s">
        <v>7</v>
      </c>
      <c r="S772" s="27" t="s">
        <v>8</v>
      </c>
      <c r="Z772" s="27" t="s">
        <v>7</v>
      </c>
      <c r="BC772" s="27" t="s">
        <v>8</v>
      </c>
      <c r="BD772" s="27" t="s">
        <v>7</v>
      </c>
      <c r="BE772" s="27" t="s">
        <v>8</v>
      </c>
      <c r="BF772" s="27" t="s">
        <v>7</v>
      </c>
      <c r="BG772" s="27" t="s">
        <v>8</v>
      </c>
      <c r="BH772" s="27" t="s">
        <v>7</v>
      </c>
      <c r="DI772" s="27" t="s">
        <v>8</v>
      </c>
      <c r="DJ772" s="27" t="s">
        <v>7</v>
      </c>
      <c r="DK772" s="27" t="s">
        <v>8</v>
      </c>
      <c r="DN772" s="27" t="s">
        <v>7</v>
      </c>
      <c r="DO772" s="27" t="s">
        <v>8</v>
      </c>
      <c r="DR772" s="27" t="s">
        <v>7</v>
      </c>
      <c r="EC772" s="27" t="s">
        <v>8</v>
      </c>
      <c r="ED772" s="27" t="s">
        <v>7</v>
      </c>
      <c r="EE772" s="27" t="s">
        <v>8</v>
      </c>
      <c r="EK772" s="27" t="s">
        <v>8</v>
      </c>
      <c r="EZ772" s="27" t="s">
        <v>7</v>
      </c>
      <c r="FK772" s="27" t="s">
        <v>8</v>
      </c>
      <c r="FL772" s="27" t="s">
        <v>7</v>
      </c>
      <c r="GI772" s="27" t="s">
        <v>8</v>
      </c>
      <c r="GJ772" s="27" t="s">
        <v>7</v>
      </c>
      <c r="HA772" s="27" t="s">
        <v>8</v>
      </c>
      <c r="HB772" s="27" t="s">
        <v>7</v>
      </c>
      <c r="HK772" s="27" t="s">
        <v>8</v>
      </c>
      <c r="HL772" s="27" t="s">
        <v>7</v>
      </c>
      <c r="HQ772" s="27" t="s">
        <v>8</v>
      </c>
      <c r="HR772" s="27" t="s">
        <v>7</v>
      </c>
      <c r="HS772" s="27" t="s">
        <v>8</v>
      </c>
      <c r="HT772" s="27" t="s">
        <v>7</v>
      </c>
      <c r="HU772" s="27" t="s">
        <v>8</v>
      </c>
    </row>
    <row r="773" spans="1:231" x14ac:dyDescent="0.25">
      <c r="A773" s="7">
        <v>2.5140160864602207E-2</v>
      </c>
      <c r="B773"/>
      <c r="C773"/>
      <c r="D773"/>
      <c r="E773"/>
      <c r="F773" s="27" t="s">
        <v>7</v>
      </c>
      <c r="N773" s="27" t="s">
        <v>7</v>
      </c>
      <c r="O773" s="27" t="s">
        <v>8</v>
      </c>
      <c r="R773" s="27" t="s">
        <v>7</v>
      </c>
      <c r="Z773" s="27" t="s">
        <v>7</v>
      </c>
      <c r="BC773" s="27" t="s">
        <v>8</v>
      </c>
      <c r="BD773" s="27" t="s">
        <v>7</v>
      </c>
      <c r="BF773" s="27" t="s">
        <v>7</v>
      </c>
      <c r="BG773" s="27" t="s">
        <v>8</v>
      </c>
      <c r="BH773" s="27" t="s">
        <v>7</v>
      </c>
      <c r="DI773" s="27" t="s">
        <v>8</v>
      </c>
      <c r="DJ773" s="27" t="s">
        <v>7</v>
      </c>
      <c r="DK773" s="27" t="s">
        <v>8</v>
      </c>
      <c r="DN773" s="27" t="s">
        <v>7</v>
      </c>
      <c r="DO773" s="27" t="s">
        <v>8</v>
      </c>
      <c r="DR773" s="27" t="s">
        <v>7</v>
      </c>
      <c r="EC773" s="27" t="s">
        <v>8</v>
      </c>
      <c r="ED773" s="27" t="s">
        <v>7</v>
      </c>
      <c r="EE773" s="27" t="s">
        <v>8</v>
      </c>
      <c r="EF773" s="27" t="s">
        <v>7</v>
      </c>
      <c r="EK773" s="27" t="s">
        <v>8</v>
      </c>
      <c r="EZ773" s="27" t="s">
        <v>7</v>
      </c>
      <c r="FK773" s="27" t="s">
        <v>8</v>
      </c>
      <c r="FL773" s="27" t="s">
        <v>7</v>
      </c>
      <c r="GI773" s="27" t="s">
        <v>8</v>
      </c>
      <c r="GJ773" s="27" t="s">
        <v>7</v>
      </c>
      <c r="HA773" s="27" t="s">
        <v>8</v>
      </c>
      <c r="HB773" s="27" t="s">
        <v>7</v>
      </c>
      <c r="HK773" s="27" t="s">
        <v>8</v>
      </c>
      <c r="HL773" s="27" t="s">
        <v>7</v>
      </c>
      <c r="HQ773" s="27" t="s">
        <v>8</v>
      </c>
      <c r="HR773" s="27" t="s">
        <v>7</v>
      </c>
      <c r="HS773" s="27" t="s">
        <v>8</v>
      </c>
      <c r="HT773" s="27" t="s">
        <v>7</v>
      </c>
      <c r="HU773" s="27" t="s">
        <v>8</v>
      </c>
    </row>
    <row r="774" spans="1:231" x14ac:dyDescent="0.25">
      <c r="A774" s="7">
        <v>2.4647216533923735E-2</v>
      </c>
      <c r="B774"/>
      <c r="C774"/>
      <c r="D774"/>
      <c r="E774"/>
      <c r="N774" s="27" t="s">
        <v>7</v>
      </c>
      <c r="O774" s="27" t="s">
        <v>8</v>
      </c>
      <c r="Z774" s="27" t="s">
        <v>7</v>
      </c>
      <c r="BC774" s="27" t="s">
        <v>8</v>
      </c>
      <c r="BF774" s="27" t="s">
        <v>7</v>
      </c>
      <c r="BG774" s="27" t="s">
        <v>8</v>
      </c>
      <c r="BH774" s="27" t="s">
        <v>7</v>
      </c>
      <c r="BI774" s="27" t="s">
        <v>8</v>
      </c>
      <c r="DI774" s="27" t="s">
        <v>8</v>
      </c>
      <c r="DJ774" s="27" t="s">
        <v>7</v>
      </c>
      <c r="DK774" s="27" t="s">
        <v>8</v>
      </c>
      <c r="DN774" s="27" t="s">
        <v>7</v>
      </c>
      <c r="DR774" s="27" t="s">
        <v>7</v>
      </c>
      <c r="DY774" s="27" t="s">
        <v>8</v>
      </c>
      <c r="EC774" s="27" t="s">
        <v>8</v>
      </c>
      <c r="ED774" s="27" t="s">
        <v>7</v>
      </c>
      <c r="EE774" s="27" t="s">
        <v>8</v>
      </c>
      <c r="EF774" s="27" t="s">
        <v>7</v>
      </c>
      <c r="EG774" s="27" t="s">
        <v>8</v>
      </c>
      <c r="EK774" s="27" t="s">
        <v>8</v>
      </c>
      <c r="EZ774" s="27" t="s">
        <v>7</v>
      </c>
      <c r="FK774" s="27" t="s">
        <v>8</v>
      </c>
      <c r="FL774" s="27" t="s">
        <v>7</v>
      </c>
      <c r="GI774" s="27" t="s">
        <v>8</v>
      </c>
      <c r="GJ774" s="27" t="s">
        <v>7</v>
      </c>
      <c r="HA774" s="27" t="s">
        <v>8</v>
      </c>
      <c r="HB774" s="27" t="s">
        <v>7</v>
      </c>
      <c r="HK774" s="27" t="s">
        <v>8</v>
      </c>
      <c r="HL774" s="27" t="s">
        <v>7</v>
      </c>
      <c r="HQ774" s="27" t="s">
        <v>8</v>
      </c>
      <c r="HR774" s="27" t="s">
        <v>7</v>
      </c>
      <c r="HS774" s="27" t="s">
        <v>8</v>
      </c>
      <c r="HT774" s="27" t="s">
        <v>7</v>
      </c>
      <c r="HU774" s="27" t="s">
        <v>8</v>
      </c>
    </row>
    <row r="775" spans="1:231" x14ac:dyDescent="0.25">
      <c r="A775" s="7">
        <v>2.4163937778356601E-2</v>
      </c>
      <c r="B775"/>
      <c r="C775"/>
      <c r="D775"/>
      <c r="E775"/>
      <c r="N775" s="27" t="s">
        <v>7</v>
      </c>
      <c r="Z775" s="27" t="s">
        <v>7</v>
      </c>
      <c r="AC775" s="27" t="s">
        <v>8</v>
      </c>
      <c r="BC775" s="27" t="s">
        <v>8</v>
      </c>
      <c r="BF775" s="27" t="s">
        <v>7</v>
      </c>
      <c r="BG775" s="27" t="s">
        <v>8</v>
      </c>
      <c r="BH775" s="27" t="s">
        <v>7</v>
      </c>
      <c r="BI775" s="27" t="s">
        <v>8</v>
      </c>
      <c r="BJ775" s="27" t="s">
        <v>7</v>
      </c>
      <c r="DI775" s="27" t="s">
        <v>8</v>
      </c>
      <c r="DJ775" s="27" t="s">
        <v>7</v>
      </c>
      <c r="DK775" s="27" t="s">
        <v>8</v>
      </c>
      <c r="DR775" s="27" t="s">
        <v>7</v>
      </c>
      <c r="DY775" s="27" t="s">
        <v>8</v>
      </c>
      <c r="DZ775" s="27" t="s">
        <v>7</v>
      </c>
      <c r="EC775" s="27" t="s">
        <v>8</v>
      </c>
      <c r="ED775" s="27" t="s">
        <v>7</v>
      </c>
      <c r="EE775" s="27" t="s">
        <v>8</v>
      </c>
      <c r="EF775" s="27" t="s">
        <v>7</v>
      </c>
      <c r="EG775" s="27" t="s">
        <v>8</v>
      </c>
      <c r="EH775" s="27" t="s">
        <v>7</v>
      </c>
      <c r="EK775" s="27" t="s">
        <v>8</v>
      </c>
      <c r="EZ775" s="27" t="s">
        <v>7</v>
      </c>
      <c r="FK775" s="27" t="s">
        <v>8</v>
      </c>
      <c r="FL775" s="27" t="s">
        <v>7</v>
      </c>
      <c r="GI775" s="27" t="s">
        <v>8</v>
      </c>
      <c r="GJ775" s="27" t="s">
        <v>7</v>
      </c>
      <c r="HA775" s="27" t="s">
        <v>8</v>
      </c>
      <c r="HB775" s="27" t="s">
        <v>7</v>
      </c>
      <c r="HK775" s="27" t="s">
        <v>8</v>
      </c>
      <c r="HL775" s="27" t="s">
        <v>7</v>
      </c>
      <c r="HQ775" s="27" t="s">
        <v>8</v>
      </c>
      <c r="HR775" s="27" t="s">
        <v>7</v>
      </c>
      <c r="HS775" s="27" t="s">
        <v>8</v>
      </c>
      <c r="HT775" s="27" t="s">
        <v>7</v>
      </c>
      <c r="HU775" s="27" t="s">
        <v>8</v>
      </c>
    </row>
    <row r="776" spans="1:231" x14ac:dyDescent="0.25">
      <c r="A776" s="7">
        <v>2.3690135076820197E-2</v>
      </c>
      <c r="B776"/>
      <c r="C776"/>
      <c r="D776"/>
      <c r="E776"/>
      <c r="Z776" s="27" t="s">
        <v>7</v>
      </c>
      <c r="AC776" s="27" t="s">
        <v>8</v>
      </c>
      <c r="AD776" s="27" t="s">
        <v>7</v>
      </c>
      <c r="BA776" s="27" t="s">
        <v>8</v>
      </c>
      <c r="BC776" s="27" t="s">
        <v>8</v>
      </c>
      <c r="BF776" s="27" t="s">
        <v>7</v>
      </c>
      <c r="BG776" s="27" t="s">
        <v>8</v>
      </c>
      <c r="BH776" s="27" t="s">
        <v>7</v>
      </c>
      <c r="BI776" s="27" t="s">
        <v>8</v>
      </c>
      <c r="BJ776" s="27" t="s">
        <v>7</v>
      </c>
      <c r="DI776" s="27" t="s">
        <v>8</v>
      </c>
      <c r="DJ776" s="27" t="s">
        <v>7</v>
      </c>
      <c r="DK776" s="27" t="s">
        <v>8</v>
      </c>
      <c r="DR776" s="27" t="s">
        <v>7</v>
      </c>
      <c r="DS776" s="27" t="s">
        <v>8</v>
      </c>
      <c r="DW776" s="27" t="s">
        <v>8</v>
      </c>
      <c r="DY776" s="27" t="s">
        <v>8</v>
      </c>
      <c r="DZ776" s="27" t="s">
        <v>7</v>
      </c>
      <c r="EC776" s="27" t="s">
        <v>8</v>
      </c>
      <c r="ED776" s="27" t="s">
        <v>7</v>
      </c>
      <c r="EF776" s="27" t="s">
        <v>7</v>
      </c>
      <c r="EG776" s="27" t="s">
        <v>8</v>
      </c>
      <c r="EH776" s="27" t="s">
        <v>7</v>
      </c>
      <c r="EI776" s="27" t="s">
        <v>8</v>
      </c>
      <c r="EK776" s="27" t="s">
        <v>8</v>
      </c>
      <c r="EZ776" s="27" t="s">
        <v>7</v>
      </c>
      <c r="FA776" s="27" t="s">
        <v>8</v>
      </c>
      <c r="FK776" s="27" t="s">
        <v>8</v>
      </c>
      <c r="FL776" s="27" t="s">
        <v>7</v>
      </c>
      <c r="GI776" s="27" t="s">
        <v>8</v>
      </c>
      <c r="GJ776" s="27" t="s">
        <v>7</v>
      </c>
      <c r="GO776" s="27" t="s">
        <v>8</v>
      </c>
      <c r="GU776" s="27" t="s">
        <v>8</v>
      </c>
      <c r="HA776" s="27" t="s">
        <v>8</v>
      </c>
      <c r="HB776" s="27" t="s">
        <v>7</v>
      </c>
      <c r="HC776" s="27" t="s">
        <v>8</v>
      </c>
      <c r="HK776" s="27" t="s">
        <v>8</v>
      </c>
      <c r="HL776" s="27" t="s">
        <v>7</v>
      </c>
      <c r="HQ776" s="27" t="s">
        <v>8</v>
      </c>
      <c r="HR776" s="27" t="s">
        <v>7</v>
      </c>
      <c r="HS776" s="27" t="s">
        <v>8</v>
      </c>
      <c r="HT776" s="27" t="s">
        <v>7</v>
      </c>
      <c r="HU776" s="27" t="s">
        <v>8</v>
      </c>
    </row>
    <row r="777" spans="1:231" x14ac:dyDescent="0.25">
      <c r="A777" s="7">
        <v>2.3225622624333527E-2</v>
      </c>
      <c r="B777"/>
      <c r="C777"/>
      <c r="D777"/>
      <c r="E777"/>
      <c r="Z777" s="27" t="s">
        <v>7</v>
      </c>
      <c r="AC777" s="27" t="s">
        <v>8</v>
      </c>
      <c r="AD777" s="27" t="s">
        <v>7</v>
      </c>
      <c r="AE777" s="27" t="s">
        <v>8</v>
      </c>
      <c r="BA777" s="27" t="s">
        <v>8</v>
      </c>
      <c r="BB777" s="27" t="s">
        <v>7</v>
      </c>
      <c r="BC777" s="27" t="s">
        <v>8</v>
      </c>
      <c r="BF777" s="27" t="s">
        <v>7</v>
      </c>
      <c r="BG777" s="27" t="s">
        <v>8</v>
      </c>
      <c r="BH777" s="27" t="s">
        <v>7</v>
      </c>
      <c r="BI777" s="27" t="s">
        <v>8</v>
      </c>
      <c r="BJ777" s="27" t="s">
        <v>7</v>
      </c>
      <c r="DI777" s="27" t="s">
        <v>8</v>
      </c>
      <c r="DJ777" s="27" t="s">
        <v>7</v>
      </c>
      <c r="DK777" s="27" t="s">
        <v>8</v>
      </c>
      <c r="DR777" s="27" t="s">
        <v>7</v>
      </c>
      <c r="DS777" s="27" t="s">
        <v>8</v>
      </c>
      <c r="DT777" s="27" t="s">
        <v>7</v>
      </c>
      <c r="DW777" s="27" t="s">
        <v>8</v>
      </c>
      <c r="DX777" s="27" t="s">
        <v>7</v>
      </c>
      <c r="DY777" s="27" t="s">
        <v>8</v>
      </c>
      <c r="DZ777" s="27" t="s">
        <v>7</v>
      </c>
      <c r="EA777" s="27" t="s">
        <v>8</v>
      </c>
      <c r="EC777" s="27" t="s">
        <v>8</v>
      </c>
      <c r="EF777" s="27" t="s">
        <v>7</v>
      </c>
      <c r="EG777" s="27" t="s">
        <v>8</v>
      </c>
      <c r="EH777" s="27" t="s">
        <v>7</v>
      </c>
      <c r="EI777" s="27" t="s">
        <v>8</v>
      </c>
      <c r="EJ777" s="27" t="s">
        <v>7</v>
      </c>
      <c r="EK777" s="27" t="s">
        <v>8</v>
      </c>
      <c r="EZ777" s="27" t="s">
        <v>7</v>
      </c>
      <c r="FA777" s="27" t="s">
        <v>8</v>
      </c>
      <c r="FB777" s="27" t="s">
        <v>7</v>
      </c>
      <c r="FE777" s="27" t="s">
        <v>8</v>
      </c>
      <c r="FK777" s="27" t="s">
        <v>8</v>
      </c>
      <c r="FL777" s="27" t="s">
        <v>7</v>
      </c>
      <c r="GI777" s="27" t="s">
        <v>8</v>
      </c>
      <c r="GJ777" s="27" t="s">
        <v>7</v>
      </c>
      <c r="GK777" s="27" t="s">
        <v>8</v>
      </c>
      <c r="GO777" s="27" t="s">
        <v>8</v>
      </c>
      <c r="GP777" s="27" t="s">
        <v>7</v>
      </c>
      <c r="GU777" s="27" t="s">
        <v>8</v>
      </c>
      <c r="GV777" s="27" t="s">
        <v>7</v>
      </c>
      <c r="HA777" s="27" t="s">
        <v>8</v>
      </c>
      <c r="HB777" s="27" t="s">
        <v>7</v>
      </c>
      <c r="HC777" s="27" t="s">
        <v>8</v>
      </c>
      <c r="HD777" s="27" t="s">
        <v>7</v>
      </c>
      <c r="HK777" s="27" t="s">
        <v>8</v>
      </c>
      <c r="HL777" s="27" t="s">
        <v>7</v>
      </c>
      <c r="HQ777" s="27" t="s">
        <v>8</v>
      </c>
      <c r="HR777" s="27" t="s">
        <v>7</v>
      </c>
      <c r="HS777" s="27" t="s">
        <v>8</v>
      </c>
      <c r="HT777" s="27" t="s">
        <v>7</v>
      </c>
      <c r="HU777" s="27" t="s">
        <v>8</v>
      </c>
    </row>
    <row r="778" spans="1:231" x14ac:dyDescent="0.25">
      <c r="A778" s="7">
        <v>2.2770218259150519E-2</v>
      </c>
      <c r="B778"/>
      <c r="C778"/>
      <c r="D778"/>
      <c r="E778"/>
      <c r="Z778" s="27" t="s">
        <v>7</v>
      </c>
      <c r="AC778" s="27" t="s">
        <v>8</v>
      </c>
      <c r="AD778" s="27" t="s">
        <v>7</v>
      </c>
      <c r="AE778" s="27" t="s">
        <v>8</v>
      </c>
      <c r="AF778" s="27" t="s">
        <v>7</v>
      </c>
      <c r="BA778" s="27" t="s">
        <v>8</v>
      </c>
      <c r="BB778" s="27" t="s">
        <v>7</v>
      </c>
      <c r="BC778" s="27" t="s">
        <v>8</v>
      </c>
      <c r="BF778" s="27" t="s">
        <v>7</v>
      </c>
      <c r="BG778" s="27" t="s">
        <v>8</v>
      </c>
      <c r="BH778" s="27" t="s">
        <v>7</v>
      </c>
      <c r="BI778" s="27" t="s">
        <v>8</v>
      </c>
      <c r="BJ778" s="27" t="s">
        <v>7</v>
      </c>
      <c r="DG778" s="27" t="s">
        <v>8</v>
      </c>
      <c r="DI778" s="27" t="s">
        <v>8</v>
      </c>
      <c r="DJ778" s="27" t="s">
        <v>7</v>
      </c>
      <c r="DR778" s="27" t="s">
        <v>7</v>
      </c>
      <c r="DS778" s="27" t="s">
        <v>8</v>
      </c>
      <c r="DT778" s="27" t="s">
        <v>7</v>
      </c>
      <c r="DW778" s="27" t="s">
        <v>8</v>
      </c>
      <c r="DX778" s="27" t="s">
        <v>7</v>
      </c>
      <c r="DY778" s="27" t="s">
        <v>8</v>
      </c>
      <c r="DZ778" s="27" t="s">
        <v>7</v>
      </c>
      <c r="EA778" s="27" t="s">
        <v>8</v>
      </c>
      <c r="EB778" s="27" t="s">
        <v>7</v>
      </c>
      <c r="EC778" s="27" t="s">
        <v>8</v>
      </c>
      <c r="EF778" s="27" t="s">
        <v>7</v>
      </c>
      <c r="EG778" s="27" t="s">
        <v>8</v>
      </c>
      <c r="EH778" s="27" t="s">
        <v>7</v>
      </c>
      <c r="EI778" s="27" t="s">
        <v>8</v>
      </c>
      <c r="EJ778" s="27" t="s">
        <v>7</v>
      </c>
      <c r="EK778" s="27" t="s">
        <v>8</v>
      </c>
      <c r="EZ778" s="27" t="s">
        <v>7</v>
      </c>
      <c r="FA778" s="27" t="s">
        <v>8</v>
      </c>
      <c r="FB778" s="27" t="s">
        <v>7</v>
      </c>
      <c r="FE778" s="27" t="s">
        <v>8</v>
      </c>
      <c r="FF778" s="27" t="s">
        <v>7</v>
      </c>
      <c r="FK778" s="27" t="s">
        <v>8</v>
      </c>
      <c r="FL778" s="27" t="s">
        <v>7</v>
      </c>
      <c r="GI778" s="27" t="s">
        <v>8</v>
      </c>
      <c r="GJ778" s="27" t="s">
        <v>7</v>
      </c>
      <c r="GK778" s="27" t="s">
        <v>8</v>
      </c>
      <c r="GL778" s="27" t="s">
        <v>7</v>
      </c>
      <c r="GO778" s="27" t="s">
        <v>8</v>
      </c>
      <c r="GP778" s="27" t="s">
        <v>7</v>
      </c>
      <c r="GQ778" s="27" t="s">
        <v>8</v>
      </c>
      <c r="GU778" s="27" t="s">
        <v>8</v>
      </c>
      <c r="GV778" s="27" t="s">
        <v>7</v>
      </c>
      <c r="HA778" s="27" t="s">
        <v>8</v>
      </c>
      <c r="HB778" s="27" t="s">
        <v>7</v>
      </c>
      <c r="HC778" s="27" t="s">
        <v>8</v>
      </c>
      <c r="HD778" s="27" t="s">
        <v>7</v>
      </c>
      <c r="HK778" s="27" t="s">
        <v>8</v>
      </c>
      <c r="HL778" s="27" t="s">
        <v>7</v>
      </c>
      <c r="HO778" s="27" t="s">
        <v>8</v>
      </c>
      <c r="HQ778" s="27" t="s">
        <v>8</v>
      </c>
      <c r="HR778" s="27" t="s">
        <v>7</v>
      </c>
      <c r="HS778" s="27" t="s">
        <v>8</v>
      </c>
      <c r="HT778" s="27" t="s">
        <v>7</v>
      </c>
      <c r="HU778" s="27" t="s">
        <v>8</v>
      </c>
    </row>
    <row r="779" spans="1:231" x14ac:dyDescent="0.25">
      <c r="A779" s="7">
        <v>2.2323743391324039E-2</v>
      </c>
      <c r="B779"/>
      <c r="C779"/>
      <c r="D779"/>
      <c r="E779"/>
      <c r="Z779" s="27" t="s">
        <v>7</v>
      </c>
      <c r="AC779" s="27" t="s">
        <v>8</v>
      </c>
      <c r="AD779" s="27" t="s">
        <v>7</v>
      </c>
      <c r="AE779" s="27" t="s">
        <v>8</v>
      </c>
      <c r="AF779" s="27" t="s">
        <v>7</v>
      </c>
      <c r="AG779" s="27" t="s">
        <v>8</v>
      </c>
      <c r="BA779" s="27" t="s">
        <v>8</v>
      </c>
      <c r="BB779" s="27" t="s">
        <v>7</v>
      </c>
      <c r="BF779" s="27" t="s">
        <v>7</v>
      </c>
      <c r="BG779" s="27" t="s">
        <v>8</v>
      </c>
      <c r="BH779" s="27" t="s">
        <v>7</v>
      </c>
      <c r="BI779" s="27" t="s">
        <v>8</v>
      </c>
      <c r="BJ779" s="27" t="s">
        <v>7</v>
      </c>
      <c r="DG779" s="27" t="s">
        <v>8</v>
      </c>
      <c r="DH779" s="27" t="s">
        <v>7</v>
      </c>
      <c r="DI779" s="27" t="s">
        <v>8</v>
      </c>
      <c r="DR779" s="27" t="s">
        <v>7</v>
      </c>
      <c r="DS779" s="27" t="s">
        <v>8</v>
      </c>
      <c r="DT779" s="27" t="s">
        <v>7</v>
      </c>
      <c r="DU779" s="27" t="s">
        <v>8</v>
      </c>
      <c r="DW779" s="27" t="s">
        <v>8</v>
      </c>
      <c r="DX779" s="27" t="s">
        <v>7</v>
      </c>
      <c r="DY779" s="27" t="s">
        <v>8</v>
      </c>
      <c r="DZ779" s="27" t="s">
        <v>7</v>
      </c>
      <c r="EA779" s="27" t="s">
        <v>8</v>
      </c>
      <c r="EB779" s="27" t="s">
        <v>7</v>
      </c>
      <c r="EC779" s="27" t="s">
        <v>8</v>
      </c>
      <c r="EF779" s="27" t="s">
        <v>7</v>
      </c>
      <c r="EG779" s="27" t="s">
        <v>8</v>
      </c>
      <c r="EH779" s="27" t="s">
        <v>7</v>
      </c>
      <c r="EI779" s="27" t="s">
        <v>8</v>
      </c>
      <c r="EJ779" s="27" t="s">
        <v>7</v>
      </c>
      <c r="EK779" s="27" t="s">
        <v>8</v>
      </c>
      <c r="EZ779" s="27" t="s">
        <v>7</v>
      </c>
      <c r="FA779" s="27" t="s">
        <v>8</v>
      </c>
      <c r="FB779" s="27" t="s">
        <v>7</v>
      </c>
      <c r="FE779" s="27" t="s">
        <v>8</v>
      </c>
      <c r="FF779" s="27" t="s">
        <v>7</v>
      </c>
      <c r="FK779" s="27" t="s">
        <v>8</v>
      </c>
      <c r="FL779" s="27" t="s">
        <v>7</v>
      </c>
      <c r="GI779" s="27" t="s">
        <v>8</v>
      </c>
      <c r="GJ779" s="27" t="s">
        <v>7</v>
      </c>
      <c r="GK779" s="27" t="s">
        <v>8</v>
      </c>
      <c r="GL779" s="27" t="s">
        <v>7</v>
      </c>
      <c r="GO779" s="27" t="s">
        <v>8</v>
      </c>
      <c r="GP779" s="27" t="s">
        <v>7</v>
      </c>
      <c r="GQ779" s="27" t="s">
        <v>8</v>
      </c>
      <c r="GR779" s="27" t="s">
        <v>7</v>
      </c>
      <c r="GS779" s="27" t="s">
        <v>8</v>
      </c>
      <c r="GU779" s="27" t="s">
        <v>8</v>
      </c>
      <c r="GV779" s="27" t="s">
        <v>7</v>
      </c>
      <c r="GY779" s="27" t="s">
        <v>8</v>
      </c>
      <c r="HA779" s="27" t="s">
        <v>8</v>
      </c>
      <c r="HB779" s="27" t="s">
        <v>7</v>
      </c>
      <c r="HC779" s="27" t="s">
        <v>8</v>
      </c>
      <c r="HD779" s="27" t="s">
        <v>7</v>
      </c>
      <c r="HK779" s="27" t="s">
        <v>8</v>
      </c>
      <c r="HL779" s="27" t="s">
        <v>7</v>
      </c>
      <c r="HO779" s="27" t="s">
        <v>8</v>
      </c>
      <c r="HP779" s="27" t="s">
        <v>7</v>
      </c>
      <c r="HQ779" s="27" t="s">
        <v>8</v>
      </c>
      <c r="HR779" s="27" t="s">
        <v>7</v>
      </c>
      <c r="HT779" s="27" t="s">
        <v>7</v>
      </c>
    </row>
    <row r="780" spans="1:231" x14ac:dyDescent="0.25">
      <c r="A780" s="7">
        <v>2.188602293267063E-2</v>
      </c>
      <c r="B780"/>
      <c r="C780"/>
      <c r="D780"/>
      <c r="E780"/>
      <c r="Z780" s="27" t="s">
        <v>7</v>
      </c>
      <c r="AC780" s="27" t="s">
        <v>8</v>
      </c>
      <c r="AD780" s="27" t="s">
        <v>7</v>
      </c>
      <c r="AE780" s="27" t="s">
        <v>8</v>
      </c>
      <c r="AF780" s="27" t="s">
        <v>7</v>
      </c>
      <c r="AG780" s="27" t="s">
        <v>8</v>
      </c>
      <c r="AH780" s="27" t="s">
        <v>7</v>
      </c>
      <c r="AI780" s="27" t="s">
        <v>8</v>
      </c>
      <c r="BA780" s="27" t="s">
        <v>8</v>
      </c>
      <c r="BF780" s="27" t="s">
        <v>7</v>
      </c>
      <c r="BH780" s="27" t="s">
        <v>7</v>
      </c>
      <c r="BJ780" s="27" t="s">
        <v>7</v>
      </c>
      <c r="BO780" s="27" t="s">
        <v>8</v>
      </c>
      <c r="DG780" s="27" t="s">
        <v>8</v>
      </c>
      <c r="DH780" s="27" t="s">
        <v>7</v>
      </c>
      <c r="DI780" s="27" t="s">
        <v>8</v>
      </c>
      <c r="DR780" s="27" t="s">
        <v>7</v>
      </c>
      <c r="DS780" s="27" t="s">
        <v>8</v>
      </c>
      <c r="DT780" s="27" t="s">
        <v>7</v>
      </c>
      <c r="DU780" s="27" t="s">
        <v>8</v>
      </c>
      <c r="DV780" s="27" t="s">
        <v>7</v>
      </c>
      <c r="DW780" s="27" t="s">
        <v>8</v>
      </c>
      <c r="DX780" s="27" t="s">
        <v>7</v>
      </c>
      <c r="DY780" s="27" t="s">
        <v>8</v>
      </c>
      <c r="DZ780" s="27" t="s">
        <v>7</v>
      </c>
      <c r="EA780" s="27" t="s">
        <v>8</v>
      </c>
      <c r="EB780" s="27" t="s">
        <v>7</v>
      </c>
      <c r="EC780" s="27" t="s">
        <v>8</v>
      </c>
      <c r="EF780" s="27" t="s">
        <v>7</v>
      </c>
      <c r="EG780" s="27" t="s">
        <v>8</v>
      </c>
      <c r="EH780" s="27" t="s">
        <v>7</v>
      </c>
      <c r="EJ780" s="27" t="s">
        <v>7</v>
      </c>
      <c r="EK780" s="27" t="s">
        <v>8</v>
      </c>
      <c r="EZ780" s="27" t="s">
        <v>7</v>
      </c>
      <c r="FA780" s="27" t="s">
        <v>8</v>
      </c>
      <c r="FB780" s="27" t="s">
        <v>7</v>
      </c>
      <c r="FE780" s="27" t="s">
        <v>8</v>
      </c>
      <c r="FF780" s="27" t="s">
        <v>7</v>
      </c>
      <c r="FK780" s="27" t="s">
        <v>8</v>
      </c>
      <c r="FL780" s="27" t="s">
        <v>7</v>
      </c>
      <c r="FS780" s="27" t="s">
        <v>8</v>
      </c>
      <c r="GI780" s="27" t="s">
        <v>8</v>
      </c>
      <c r="GJ780" s="27" t="s">
        <v>7</v>
      </c>
      <c r="GK780" s="27" t="s">
        <v>8</v>
      </c>
      <c r="GL780" s="27" t="s">
        <v>7</v>
      </c>
      <c r="GO780" s="27" t="s">
        <v>8</v>
      </c>
      <c r="GP780" s="27" t="s">
        <v>7</v>
      </c>
      <c r="GQ780" s="27" t="s">
        <v>8</v>
      </c>
      <c r="GR780" s="27" t="s">
        <v>7</v>
      </c>
      <c r="GS780" s="27" t="s">
        <v>8</v>
      </c>
      <c r="GT780" s="27" t="s">
        <v>7</v>
      </c>
      <c r="GU780" s="27" t="s">
        <v>8</v>
      </c>
      <c r="GV780" s="27" t="s">
        <v>7</v>
      </c>
      <c r="GY780" s="27" t="s">
        <v>8</v>
      </c>
      <c r="GZ780" s="27" t="s">
        <v>7</v>
      </c>
      <c r="HA780" s="27" t="s">
        <v>8</v>
      </c>
      <c r="HB780" s="27" t="s">
        <v>7</v>
      </c>
      <c r="HD780" s="27" t="s">
        <v>7</v>
      </c>
      <c r="HK780" s="27" t="s">
        <v>8</v>
      </c>
      <c r="HL780" s="27" t="s">
        <v>7</v>
      </c>
      <c r="HO780" s="27" t="s">
        <v>8</v>
      </c>
      <c r="HP780" s="27" t="s">
        <v>7</v>
      </c>
      <c r="HQ780" s="27" t="s">
        <v>8</v>
      </c>
    </row>
    <row r="781" spans="1:231" x14ac:dyDescent="0.25">
      <c r="A781" s="7">
        <v>2.1456885228108461E-2</v>
      </c>
      <c r="B781"/>
      <c r="C781"/>
      <c r="D781"/>
      <c r="E781"/>
      <c r="Z781" s="27" t="s">
        <v>7</v>
      </c>
      <c r="AC781" s="27" t="s">
        <v>8</v>
      </c>
      <c r="AD781" s="27" t="s">
        <v>7</v>
      </c>
      <c r="AE781" s="27" t="s">
        <v>8</v>
      </c>
      <c r="AF781" s="27" t="s">
        <v>7</v>
      </c>
      <c r="AG781" s="27" t="s">
        <v>8</v>
      </c>
      <c r="AH781" s="27" t="s">
        <v>7</v>
      </c>
      <c r="AI781" s="27" t="s">
        <v>8</v>
      </c>
      <c r="AJ781" s="27" t="s">
        <v>7</v>
      </c>
      <c r="BA781" s="27" t="s">
        <v>8</v>
      </c>
      <c r="BJ781" s="27" t="s">
        <v>7</v>
      </c>
      <c r="BM781" s="27" t="s">
        <v>8</v>
      </c>
      <c r="BO781" s="27" t="s">
        <v>8</v>
      </c>
      <c r="BP781" s="27" t="s">
        <v>7</v>
      </c>
      <c r="DG781" s="27" t="s">
        <v>8</v>
      </c>
      <c r="DH781" s="27" t="s">
        <v>7</v>
      </c>
      <c r="DI781" s="27" t="s">
        <v>8</v>
      </c>
      <c r="DR781" s="27" t="s">
        <v>7</v>
      </c>
      <c r="DS781" s="27" t="s">
        <v>8</v>
      </c>
      <c r="DT781" s="27" t="s">
        <v>7</v>
      </c>
      <c r="DU781" s="27" t="s">
        <v>8</v>
      </c>
      <c r="DV781" s="27" t="s">
        <v>7</v>
      </c>
      <c r="DW781" s="27" t="s">
        <v>8</v>
      </c>
      <c r="DX781" s="27" t="s">
        <v>7</v>
      </c>
      <c r="DY781" s="27" t="s">
        <v>8</v>
      </c>
      <c r="DZ781" s="27" t="s">
        <v>7</v>
      </c>
      <c r="EB781" s="27" t="s">
        <v>7</v>
      </c>
      <c r="EC781" s="27" t="s">
        <v>8</v>
      </c>
      <c r="EF781" s="27" t="s">
        <v>7</v>
      </c>
      <c r="EG781" s="27" t="s">
        <v>8</v>
      </c>
      <c r="EJ781" s="27" t="s">
        <v>7</v>
      </c>
      <c r="EZ781" s="27" t="s">
        <v>7</v>
      </c>
      <c r="FA781" s="27" t="s">
        <v>8</v>
      </c>
      <c r="FB781" s="27" t="s">
        <v>7</v>
      </c>
      <c r="FE781" s="27" t="s">
        <v>8</v>
      </c>
      <c r="FF781" s="27" t="s">
        <v>7</v>
      </c>
      <c r="FG781" s="27" t="s">
        <v>8</v>
      </c>
      <c r="FK781" s="27" t="s">
        <v>8</v>
      </c>
      <c r="FL781" s="27" t="s">
        <v>7</v>
      </c>
      <c r="FS781" s="27" t="s">
        <v>8</v>
      </c>
      <c r="FT781" s="27" t="s">
        <v>7</v>
      </c>
      <c r="GI781" s="27" t="s">
        <v>8</v>
      </c>
      <c r="GJ781" s="27" t="s">
        <v>7</v>
      </c>
      <c r="GK781" s="27" t="s">
        <v>8</v>
      </c>
      <c r="GL781" s="27" t="s">
        <v>7</v>
      </c>
      <c r="GO781" s="27" t="s">
        <v>8</v>
      </c>
      <c r="GP781" s="27" t="s">
        <v>7</v>
      </c>
      <c r="GQ781" s="27" t="s">
        <v>8</v>
      </c>
      <c r="GR781" s="27" t="s">
        <v>7</v>
      </c>
      <c r="GS781" s="27" t="s">
        <v>8</v>
      </c>
      <c r="GT781" s="27" t="s">
        <v>7</v>
      </c>
      <c r="GU781" s="27" t="s">
        <v>8</v>
      </c>
      <c r="GV781" s="27" t="s">
        <v>7</v>
      </c>
      <c r="GW781" s="27" t="s">
        <v>8</v>
      </c>
      <c r="GY781" s="27" t="s">
        <v>8</v>
      </c>
      <c r="GZ781" s="27" t="s">
        <v>7</v>
      </c>
      <c r="HA781" s="27" t="s">
        <v>8</v>
      </c>
      <c r="HD781" s="27" t="s">
        <v>7</v>
      </c>
      <c r="HK781" s="27" t="s">
        <v>8</v>
      </c>
      <c r="HL781" s="27" t="s">
        <v>7</v>
      </c>
      <c r="HO781" s="27" t="s">
        <v>8</v>
      </c>
      <c r="HP781" s="27" t="s">
        <v>7</v>
      </c>
      <c r="HQ781" s="27" t="s">
        <v>8</v>
      </c>
    </row>
    <row r="782" spans="1:231" x14ac:dyDescent="0.25">
      <c r="A782" s="7">
        <v>2.1036161988341632E-2</v>
      </c>
      <c r="B782"/>
      <c r="C782"/>
      <c r="D782"/>
      <c r="E782"/>
      <c r="Z782" s="27" t="s">
        <v>7</v>
      </c>
      <c r="AA782" s="27" t="s">
        <v>8</v>
      </c>
      <c r="AC782" s="27" t="s">
        <v>8</v>
      </c>
      <c r="AD782" s="27" t="s">
        <v>7</v>
      </c>
      <c r="AE782" s="27" t="s">
        <v>8</v>
      </c>
      <c r="AF782" s="27" t="s">
        <v>7</v>
      </c>
      <c r="AG782" s="27" t="s">
        <v>8</v>
      </c>
      <c r="AH782" s="27" t="s">
        <v>7</v>
      </c>
      <c r="AI782" s="27" t="s">
        <v>8</v>
      </c>
      <c r="AJ782" s="27" t="s">
        <v>7</v>
      </c>
      <c r="BA782" s="27" t="s">
        <v>8</v>
      </c>
      <c r="BJ782" s="27" t="s">
        <v>7</v>
      </c>
      <c r="BM782" s="27" t="s">
        <v>8</v>
      </c>
      <c r="BN782" s="27" t="s">
        <v>7</v>
      </c>
      <c r="BO782" s="27" t="s">
        <v>8</v>
      </c>
      <c r="BP782" s="27" t="s">
        <v>7</v>
      </c>
      <c r="DC782" s="27" t="s">
        <v>8</v>
      </c>
      <c r="DG782" s="27" t="s">
        <v>8</v>
      </c>
      <c r="DH782" s="27" t="s">
        <v>7</v>
      </c>
      <c r="DR782" s="27" t="s">
        <v>7</v>
      </c>
      <c r="DS782" s="27" t="s">
        <v>8</v>
      </c>
      <c r="DT782" s="27" t="s">
        <v>7</v>
      </c>
      <c r="DU782" s="27" t="s">
        <v>8</v>
      </c>
      <c r="DV782" s="27" t="s">
        <v>7</v>
      </c>
      <c r="DW782" s="27" t="s">
        <v>8</v>
      </c>
      <c r="DX782" s="27" t="s">
        <v>7</v>
      </c>
      <c r="EB782" s="27" t="s">
        <v>7</v>
      </c>
      <c r="EC782" s="27" t="s">
        <v>8</v>
      </c>
      <c r="EF782" s="27" t="s">
        <v>7</v>
      </c>
      <c r="EZ782" s="27" t="s">
        <v>7</v>
      </c>
      <c r="FA782" s="27" t="s">
        <v>8</v>
      </c>
      <c r="FB782" s="27" t="s">
        <v>7</v>
      </c>
      <c r="FC782" s="27" t="s">
        <v>8</v>
      </c>
      <c r="FE782" s="27" t="s">
        <v>8</v>
      </c>
      <c r="FF782" s="27" t="s">
        <v>7</v>
      </c>
      <c r="FG782" s="27" t="s">
        <v>8</v>
      </c>
      <c r="FH782" s="27" t="s">
        <v>7</v>
      </c>
      <c r="FI782" s="27" t="s">
        <v>8</v>
      </c>
      <c r="FK782" s="27" t="s">
        <v>8</v>
      </c>
      <c r="FL782" s="27" t="s">
        <v>7</v>
      </c>
      <c r="FS782" s="27" t="s">
        <v>8</v>
      </c>
      <c r="FT782" s="27" t="s">
        <v>7</v>
      </c>
      <c r="GI782" s="27" t="s">
        <v>8</v>
      </c>
      <c r="GJ782" s="27" t="s">
        <v>7</v>
      </c>
      <c r="GK782" s="27" t="s">
        <v>8</v>
      </c>
      <c r="GL782" s="27" t="s">
        <v>7</v>
      </c>
      <c r="GM782" s="27" t="s">
        <v>8</v>
      </c>
      <c r="GO782" s="27" t="s">
        <v>8</v>
      </c>
      <c r="GP782" s="27" t="s">
        <v>7</v>
      </c>
      <c r="GQ782" s="27" t="s">
        <v>8</v>
      </c>
      <c r="GR782" s="27" t="s">
        <v>7</v>
      </c>
      <c r="GS782" s="27" t="s">
        <v>8</v>
      </c>
      <c r="GT782" s="27" t="s">
        <v>7</v>
      </c>
      <c r="GU782" s="27" t="s">
        <v>8</v>
      </c>
      <c r="GV782" s="27" t="s">
        <v>7</v>
      </c>
      <c r="GW782" s="27" t="s">
        <v>8</v>
      </c>
      <c r="GX782" s="27" t="s">
        <v>7</v>
      </c>
      <c r="GY782" s="27" t="s">
        <v>8</v>
      </c>
      <c r="GZ782" s="27" t="s">
        <v>7</v>
      </c>
      <c r="HD782" s="27" t="s">
        <v>7</v>
      </c>
      <c r="HK782" s="27" t="s">
        <v>8</v>
      </c>
      <c r="HL782" s="27" t="s">
        <v>7</v>
      </c>
      <c r="HO782" s="27" t="s">
        <v>8</v>
      </c>
      <c r="HP782" s="27" t="s">
        <v>7</v>
      </c>
      <c r="HQ782" s="27" t="s">
        <v>8</v>
      </c>
    </row>
    <row r="783" spans="1:231" x14ac:dyDescent="0.25">
      <c r="A783" s="7">
        <v>2.0623688223864345E-2</v>
      </c>
      <c r="B783"/>
      <c r="C783"/>
      <c r="D783"/>
      <c r="E783"/>
      <c r="Z783" s="27" t="s">
        <v>7</v>
      </c>
      <c r="AA783" s="27" t="s">
        <v>8</v>
      </c>
      <c r="AB783" s="27" t="s">
        <v>7</v>
      </c>
      <c r="AC783" s="27" t="s">
        <v>8</v>
      </c>
      <c r="AD783" s="27" t="s">
        <v>7</v>
      </c>
      <c r="AE783" s="27" t="s">
        <v>8</v>
      </c>
      <c r="AF783" s="27" t="s">
        <v>7</v>
      </c>
      <c r="AH783" s="27" t="s">
        <v>7</v>
      </c>
      <c r="AI783" s="27" t="s">
        <v>8</v>
      </c>
      <c r="AJ783" s="27" t="s">
        <v>7</v>
      </c>
      <c r="AK783" s="27" t="s">
        <v>8</v>
      </c>
      <c r="AY783" s="27" t="s">
        <v>8</v>
      </c>
      <c r="BA783" s="27" t="s">
        <v>8</v>
      </c>
      <c r="BJ783" s="27" t="s">
        <v>7</v>
      </c>
      <c r="BK783" s="27" t="s">
        <v>8</v>
      </c>
      <c r="BM783" s="27" t="s">
        <v>8</v>
      </c>
      <c r="BN783" s="27" t="s">
        <v>7</v>
      </c>
      <c r="BO783" s="27" t="s">
        <v>8</v>
      </c>
      <c r="BP783" s="27" t="s">
        <v>7</v>
      </c>
      <c r="DC783" s="27" t="s">
        <v>8</v>
      </c>
      <c r="DD783" s="27" t="s">
        <v>7</v>
      </c>
      <c r="DG783" s="27" t="s">
        <v>8</v>
      </c>
      <c r="DR783" s="27" t="s">
        <v>7</v>
      </c>
      <c r="DT783" s="27" t="s">
        <v>7</v>
      </c>
      <c r="DV783" s="27" t="s">
        <v>7</v>
      </c>
      <c r="EB783" s="27" t="s">
        <v>7</v>
      </c>
      <c r="EC783" s="27" t="s">
        <v>8</v>
      </c>
      <c r="EZ783" s="27" t="s">
        <v>7</v>
      </c>
      <c r="FA783" s="27" t="s">
        <v>8</v>
      </c>
      <c r="FB783" s="27" t="s">
        <v>7</v>
      </c>
      <c r="FC783" s="27" t="s">
        <v>8</v>
      </c>
      <c r="FD783" s="27" t="s">
        <v>7</v>
      </c>
      <c r="FE783" s="27" t="s">
        <v>8</v>
      </c>
      <c r="FF783" s="27" t="s">
        <v>7</v>
      </c>
      <c r="FG783" s="27" t="s">
        <v>8</v>
      </c>
      <c r="FH783" s="27" t="s">
        <v>7</v>
      </c>
      <c r="FI783" s="27" t="s">
        <v>8</v>
      </c>
      <c r="FJ783" s="27" t="s">
        <v>7</v>
      </c>
      <c r="FK783" s="27" t="s">
        <v>8</v>
      </c>
      <c r="FL783" s="27" t="s">
        <v>7</v>
      </c>
      <c r="FS783" s="27" t="s">
        <v>8</v>
      </c>
      <c r="FT783" s="27" t="s">
        <v>7</v>
      </c>
      <c r="GE783" s="27" t="s">
        <v>8</v>
      </c>
      <c r="GG783" s="27" t="s">
        <v>8</v>
      </c>
      <c r="GI783" s="27" t="s">
        <v>8</v>
      </c>
      <c r="GJ783" s="27" t="s">
        <v>7</v>
      </c>
      <c r="GK783" s="27" t="s">
        <v>8</v>
      </c>
      <c r="GL783" s="27" t="s">
        <v>7</v>
      </c>
      <c r="GM783" s="27" t="s">
        <v>8</v>
      </c>
      <c r="GN783" s="27" t="s">
        <v>7</v>
      </c>
      <c r="GO783" s="27" t="s">
        <v>8</v>
      </c>
      <c r="GP783" s="27" t="s">
        <v>7</v>
      </c>
      <c r="GQ783" s="27" t="s">
        <v>8</v>
      </c>
      <c r="GR783" s="27" t="s">
        <v>7</v>
      </c>
      <c r="GS783" s="27" t="s">
        <v>8</v>
      </c>
      <c r="GT783" s="27" t="s">
        <v>7</v>
      </c>
      <c r="GV783" s="27" t="s">
        <v>7</v>
      </c>
      <c r="GW783" s="27" t="s">
        <v>8</v>
      </c>
      <c r="GX783" s="27" t="s">
        <v>7</v>
      </c>
      <c r="GY783" s="27" t="s">
        <v>8</v>
      </c>
      <c r="HD783" s="27" t="s">
        <v>7</v>
      </c>
      <c r="HK783" s="27" t="s">
        <v>8</v>
      </c>
      <c r="HL783" s="27" t="s">
        <v>7</v>
      </c>
      <c r="HM783" s="27" t="s">
        <v>8</v>
      </c>
      <c r="HO783" s="27" t="s">
        <v>8</v>
      </c>
      <c r="HP783" s="27" t="s">
        <v>7</v>
      </c>
      <c r="HQ783" s="27" t="s">
        <v>8</v>
      </c>
    </row>
    <row r="784" spans="1:231" x14ac:dyDescent="0.25">
      <c r="A784" s="7">
        <v>2.021930218025916E-2</v>
      </c>
      <c r="B784"/>
      <c r="C784"/>
      <c r="D784"/>
      <c r="E784"/>
      <c r="Z784" s="27" t="s">
        <v>7</v>
      </c>
      <c r="AA784" s="27" t="s">
        <v>8</v>
      </c>
      <c r="AB784" s="27" t="s">
        <v>7</v>
      </c>
      <c r="AC784" s="27" t="s">
        <v>8</v>
      </c>
      <c r="AD784" s="27" t="s">
        <v>7</v>
      </c>
      <c r="AH784" s="27" t="s">
        <v>7</v>
      </c>
      <c r="AI784" s="27" t="s">
        <v>8</v>
      </c>
      <c r="AJ784" s="27" t="s">
        <v>7</v>
      </c>
      <c r="AK784" s="27" t="s">
        <v>8</v>
      </c>
      <c r="AL784" s="27" t="s">
        <v>7</v>
      </c>
      <c r="AQ784" s="27" t="s">
        <v>8</v>
      </c>
      <c r="AY784" s="27" t="s">
        <v>8</v>
      </c>
      <c r="AZ784" s="27" t="s">
        <v>7</v>
      </c>
      <c r="BA784" s="27" t="s">
        <v>8</v>
      </c>
      <c r="BJ784" s="27" t="s">
        <v>7</v>
      </c>
      <c r="BK784" s="27" t="s">
        <v>8</v>
      </c>
      <c r="BL784" s="27" t="s">
        <v>7</v>
      </c>
      <c r="BM784" s="27" t="s">
        <v>8</v>
      </c>
      <c r="BN784" s="27" t="s">
        <v>7</v>
      </c>
      <c r="BO784" s="27" t="s">
        <v>8</v>
      </c>
      <c r="BP784" s="27" t="s">
        <v>7</v>
      </c>
      <c r="DA784" s="27" t="s">
        <v>8</v>
      </c>
      <c r="DC784" s="27" t="s">
        <v>8</v>
      </c>
      <c r="DD784" s="27" t="s">
        <v>7</v>
      </c>
      <c r="DG784" s="27" t="s">
        <v>8</v>
      </c>
      <c r="EB784" s="27" t="s">
        <v>7</v>
      </c>
      <c r="EC784" s="27" t="s">
        <v>8</v>
      </c>
      <c r="EZ784" s="27" t="s">
        <v>7</v>
      </c>
      <c r="FA784" s="27" t="s">
        <v>8</v>
      </c>
      <c r="FB784" s="27" t="s">
        <v>7</v>
      </c>
      <c r="FC784" s="27" t="s">
        <v>8</v>
      </c>
      <c r="FD784" s="27" t="s">
        <v>7</v>
      </c>
      <c r="FE784" s="27" t="s">
        <v>8</v>
      </c>
      <c r="FF784" s="27" t="s">
        <v>7</v>
      </c>
      <c r="FH784" s="27" t="s">
        <v>7</v>
      </c>
      <c r="FI784" s="27" t="s">
        <v>8</v>
      </c>
      <c r="FJ784" s="27" t="s">
        <v>7</v>
      </c>
      <c r="FK784" s="27" t="s">
        <v>8</v>
      </c>
      <c r="FL784" s="27" t="s">
        <v>7</v>
      </c>
      <c r="FM784" s="27" t="s">
        <v>8</v>
      </c>
      <c r="FQ784" s="27" t="s">
        <v>8</v>
      </c>
      <c r="FS784" s="27" t="s">
        <v>8</v>
      </c>
      <c r="FT784" s="27" t="s">
        <v>7</v>
      </c>
      <c r="FU784" s="27" t="s">
        <v>8</v>
      </c>
      <c r="GC784" s="27" t="s">
        <v>8</v>
      </c>
      <c r="GE784" s="27" t="s">
        <v>8</v>
      </c>
      <c r="GF784" s="27" t="s">
        <v>7</v>
      </c>
      <c r="GG784" s="27" t="s">
        <v>8</v>
      </c>
      <c r="GH784" s="27" t="s">
        <v>7</v>
      </c>
      <c r="GI784" s="27" t="s">
        <v>8</v>
      </c>
      <c r="GJ784" s="27" t="s">
        <v>7</v>
      </c>
      <c r="GL784" s="27" t="s">
        <v>7</v>
      </c>
      <c r="GM784" s="27" t="s">
        <v>8</v>
      </c>
      <c r="GN784" s="27" t="s">
        <v>7</v>
      </c>
      <c r="GO784" s="27" t="s">
        <v>8</v>
      </c>
      <c r="GP784" s="27" t="s">
        <v>7</v>
      </c>
      <c r="GQ784" s="27" t="s">
        <v>8</v>
      </c>
      <c r="GR784" s="27" t="s">
        <v>7</v>
      </c>
      <c r="GV784" s="27" t="s">
        <v>7</v>
      </c>
      <c r="GX784" s="27" t="s">
        <v>7</v>
      </c>
      <c r="GY784" s="27" t="s">
        <v>8</v>
      </c>
      <c r="HD784" s="27" t="s">
        <v>7</v>
      </c>
      <c r="HG784" s="27" t="s">
        <v>8</v>
      </c>
      <c r="HK784" s="27" t="s">
        <v>8</v>
      </c>
      <c r="HL784" s="27" t="s">
        <v>7</v>
      </c>
      <c r="HM784" s="27" t="s">
        <v>8</v>
      </c>
      <c r="HN784" s="27" t="s">
        <v>7</v>
      </c>
      <c r="HO784" s="27" t="s">
        <v>8</v>
      </c>
      <c r="HP784" s="27" t="s">
        <v>7</v>
      </c>
    </row>
    <row r="785" spans="1:223" x14ac:dyDescent="0.25">
      <c r="A785" s="7">
        <v>1.9822845274763884E-2</v>
      </c>
      <c r="B785"/>
      <c r="C785"/>
      <c r="D785"/>
      <c r="E785"/>
      <c r="Z785" s="27" t="s">
        <v>7</v>
      </c>
      <c r="AA785" s="27" t="s">
        <v>8</v>
      </c>
      <c r="AB785" s="27" t="s">
        <v>7</v>
      </c>
      <c r="AC785" s="27" t="s">
        <v>8</v>
      </c>
      <c r="AH785" s="27" t="s">
        <v>7</v>
      </c>
      <c r="AI785" s="27" t="s">
        <v>8</v>
      </c>
      <c r="AJ785" s="27" t="s">
        <v>7</v>
      </c>
      <c r="AK785" s="27" t="s">
        <v>8</v>
      </c>
      <c r="AL785" s="27" t="s">
        <v>7</v>
      </c>
      <c r="AM785" s="27" t="s">
        <v>8</v>
      </c>
      <c r="AQ785" s="27" t="s">
        <v>8</v>
      </c>
      <c r="AR785" s="27" t="s">
        <v>7</v>
      </c>
      <c r="AY785" s="27" t="s">
        <v>8</v>
      </c>
      <c r="AZ785" s="27" t="s">
        <v>7</v>
      </c>
      <c r="BA785" s="27" t="s">
        <v>8</v>
      </c>
      <c r="BJ785" s="27" t="s">
        <v>7</v>
      </c>
      <c r="BK785" s="27" t="s">
        <v>8</v>
      </c>
      <c r="BL785" s="27" t="s">
        <v>7</v>
      </c>
      <c r="BM785" s="27" t="s">
        <v>8</v>
      </c>
      <c r="BN785" s="27" t="s">
        <v>7</v>
      </c>
      <c r="BO785" s="27" t="s">
        <v>8</v>
      </c>
      <c r="BP785" s="27" t="s">
        <v>7</v>
      </c>
      <c r="DA785" s="27" t="s">
        <v>8</v>
      </c>
      <c r="DB785" s="27" t="s">
        <v>7</v>
      </c>
      <c r="DC785" s="27" t="s">
        <v>8</v>
      </c>
      <c r="DD785" s="27" t="s">
        <v>7</v>
      </c>
      <c r="DG785" s="27" t="s">
        <v>8</v>
      </c>
      <c r="EB785" s="27" t="s">
        <v>7</v>
      </c>
      <c r="EZ785" s="27" t="s">
        <v>7</v>
      </c>
      <c r="FA785" s="27" t="s">
        <v>8</v>
      </c>
      <c r="FB785" s="27" t="s">
        <v>7</v>
      </c>
      <c r="FC785" s="27" t="s">
        <v>8</v>
      </c>
      <c r="FD785" s="27" t="s">
        <v>7</v>
      </c>
      <c r="FE785" s="27" t="s">
        <v>8</v>
      </c>
      <c r="FH785" s="27" t="s">
        <v>7</v>
      </c>
      <c r="FI785" s="27" t="s">
        <v>8</v>
      </c>
      <c r="FJ785" s="27" t="s">
        <v>7</v>
      </c>
      <c r="FK785" s="27" t="s">
        <v>8</v>
      </c>
      <c r="FL785" s="27" t="s">
        <v>7</v>
      </c>
      <c r="FM785" s="27" t="s">
        <v>8</v>
      </c>
      <c r="FN785" s="27" t="s">
        <v>7</v>
      </c>
      <c r="FO785" s="27" t="s">
        <v>8</v>
      </c>
      <c r="FQ785" s="27" t="s">
        <v>8</v>
      </c>
      <c r="FR785" s="27" t="s">
        <v>7</v>
      </c>
      <c r="FS785" s="27" t="s">
        <v>8</v>
      </c>
      <c r="FT785" s="27" t="s">
        <v>7</v>
      </c>
      <c r="FU785" s="27" t="s">
        <v>8</v>
      </c>
      <c r="FV785" s="27" t="s">
        <v>7</v>
      </c>
      <c r="FY785" s="27" t="s">
        <v>8</v>
      </c>
      <c r="GA785" s="27" t="s">
        <v>8</v>
      </c>
      <c r="GC785" s="27" t="s">
        <v>8</v>
      </c>
      <c r="GD785" s="27" t="s">
        <v>7</v>
      </c>
      <c r="GE785" s="27" t="s">
        <v>8</v>
      </c>
      <c r="GF785" s="27" t="s">
        <v>7</v>
      </c>
      <c r="GG785" s="27" t="s">
        <v>8</v>
      </c>
      <c r="GH785" s="27" t="s">
        <v>7</v>
      </c>
      <c r="GI785" s="27" t="s">
        <v>8</v>
      </c>
      <c r="GL785" s="27" t="s">
        <v>7</v>
      </c>
      <c r="GM785" s="27" t="s">
        <v>8</v>
      </c>
      <c r="GN785" s="27" t="s">
        <v>7</v>
      </c>
      <c r="GO785" s="27" t="s">
        <v>8</v>
      </c>
      <c r="GP785" s="27" t="s">
        <v>7</v>
      </c>
      <c r="GQ785" s="27" t="s">
        <v>8</v>
      </c>
      <c r="GX785" s="27" t="s">
        <v>7</v>
      </c>
      <c r="GY785" s="27" t="s">
        <v>8</v>
      </c>
      <c r="HD785" s="27" t="s">
        <v>7</v>
      </c>
      <c r="HE785" s="27" t="s">
        <v>8</v>
      </c>
      <c r="HG785" s="27" t="s">
        <v>8</v>
      </c>
      <c r="HH785" s="27" t="s">
        <v>7</v>
      </c>
      <c r="HK785" s="27" t="s">
        <v>8</v>
      </c>
      <c r="HL785" s="27" t="s">
        <v>7</v>
      </c>
      <c r="HM785" s="27" t="s">
        <v>8</v>
      </c>
      <c r="HN785" s="27" t="s">
        <v>7</v>
      </c>
      <c r="HO785" s="27" t="s">
        <v>8</v>
      </c>
    </row>
    <row r="786" spans="1:223" x14ac:dyDescent="0.25">
      <c r="A786" s="7">
        <v>1.9434162034082238E-2</v>
      </c>
      <c r="B786"/>
      <c r="C786"/>
      <c r="D786"/>
      <c r="E786"/>
      <c r="Z786" s="27" t="s">
        <v>7</v>
      </c>
      <c r="AA786" s="27" t="s">
        <v>8</v>
      </c>
      <c r="AB786" s="27" t="s">
        <v>7</v>
      </c>
      <c r="AC786" s="27" t="s">
        <v>8</v>
      </c>
      <c r="AH786" s="27" t="s">
        <v>7</v>
      </c>
      <c r="AI786" s="27" t="s">
        <v>8</v>
      </c>
      <c r="AJ786" s="27" t="s">
        <v>7</v>
      </c>
      <c r="AK786" s="27" t="s">
        <v>8</v>
      </c>
      <c r="AL786" s="27" t="s">
        <v>7</v>
      </c>
      <c r="AM786" s="27" t="s">
        <v>8</v>
      </c>
      <c r="AN786" s="27" t="s">
        <v>7</v>
      </c>
      <c r="AQ786" s="27" t="s">
        <v>8</v>
      </c>
      <c r="AR786" s="27" t="s">
        <v>7</v>
      </c>
      <c r="AY786" s="27" t="s">
        <v>8</v>
      </c>
      <c r="AZ786" s="27" t="s">
        <v>7</v>
      </c>
      <c r="BA786" s="27" t="s">
        <v>8</v>
      </c>
      <c r="BJ786" s="27" t="s">
        <v>7</v>
      </c>
      <c r="BK786" s="27" t="s">
        <v>8</v>
      </c>
      <c r="BL786" s="27" t="s">
        <v>7</v>
      </c>
      <c r="BM786" s="27" t="s">
        <v>8</v>
      </c>
      <c r="BN786" s="27" t="s">
        <v>7</v>
      </c>
      <c r="BO786" s="27" t="s">
        <v>8</v>
      </c>
      <c r="BP786" s="27" t="s">
        <v>7</v>
      </c>
      <c r="BQ786" s="27" t="s">
        <v>8</v>
      </c>
      <c r="BW786" s="27" t="s">
        <v>8</v>
      </c>
      <c r="DA786" s="27" t="s">
        <v>8</v>
      </c>
      <c r="DB786" s="27" t="s">
        <v>7</v>
      </c>
      <c r="DC786" s="27" t="s">
        <v>8</v>
      </c>
      <c r="DD786" s="27" t="s">
        <v>7</v>
      </c>
      <c r="DG786" s="27" t="s">
        <v>8</v>
      </c>
      <c r="EZ786" s="27" t="s">
        <v>7</v>
      </c>
      <c r="FB786" s="27" t="s">
        <v>7</v>
      </c>
      <c r="FC786" s="27" t="s">
        <v>8</v>
      </c>
      <c r="FD786" s="27" t="s">
        <v>7</v>
      </c>
      <c r="FE786" s="27" t="s">
        <v>8</v>
      </c>
      <c r="FH786" s="27" t="s">
        <v>7</v>
      </c>
      <c r="FI786" s="27" t="s">
        <v>8</v>
      </c>
      <c r="FJ786" s="27" t="s">
        <v>7</v>
      </c>
      <c r="FK786" s="27" t="s">
        <v>8</v>
      </c>
      <c r="FL786" s="27" t="s">
        <v>7</v>
      </c>
      <c r="FM786" s="27" t="s">
        <v>8</v>
      </c>
      <c r="FN786" s="27" t="s">
        <v>7</v>
      </c>
      <c r="FO786" s="27" t="s">
        <v>8</v>
      </c>
      <c r="FP786" s="27" t="s">
        <v>7</v>
      </c>
      <c r="FQ786" s="27" t="s">
        <v>8</v>
      </c>
      <c r="FR786" s="27" t="s">
        <v>7</v>
      </c>
      <c r="FS786" s="27" t="s">
        <v>8</v>
      </c>
      <c r="FT786" s="27" t="s">
        <v>7</v>
      </c>
      <c r="FU786" s="27" t="s">
        <v>8</v>
      </c>
      <c r="FV786" s="27" t="s">
        <v>7</v>
      </c>
      <c r="FW786" s="27" t="s">
        <v>8</v>
      </c>
      <c r="FY786" s="27" t="s">
        <v>8</v>
      </c>
      <c r="FZ786" s="27" t="s">
        <v>7</v>
      </c>
      <c r="GA786" s="27" t="s">
        <v>8</v>
      </c>
      <c r="GB786" s="27" t="s">
        <v>7</v>
      </c>
      <c r="GC786" s="27" t="s">
        <v>8</v>
      </c>
      <c r="GD786" s="27" t="s">
        <v>7</v>
      </c>
      <c r="GE786" s="27" t="s">
        <v>8</v>
      </c>
      <c r="GF786" s="27" t="s">
        <v>7</v>
      </c>
      <c r="GG786" s="27" t="s">
        <v>8</v>
      </c>
      <c r="GH786" s="27" t="s">
        <v>7</v>
      </c>
      <c r="GI786" s="27" t="s">
        <v>8</v>
      </c>
      <c r="GL786" s="27" t="s">
        <v>7</v>
      </c>
      <c r="GM786" s="27" t="s">
        <v>8</v>
      </c>
      <c r="GN786" s="27" t="s">
        <v>7</v>
      </c>
      <c r="GO786" s="27" t="s">
        <v>8</v>
      </c>
      <c r="GP786" s="27" t="s">
        <v>7</v>
      </c>
      <c r="GQ786" s="27" t="s">
        <v>8</v>
      </c>
      <c r="GX786" s="27" t="s">
        <v>7</v>
      </c>
      <c r="HD786" s="27" t="s">
        <v>7</v>
      </c>
      <c r="HE786" s="27" t="s">
        <v>8</v>
      </c>
      <c r="HF786" s="27" t="s">
        <v>7</v>
      </c>
      <c r="HG786" s="27" t="s">
        <v>8</v>
      </c>
      <c r="HH786" s="27" t="s">
        <v>7</v>
      </c>
      <c r="HK786" s="27" t="s">
        <v>8</v>
      </c>
      <c r="HL786" s="27" t="s">
        <v>7</v>
      </c>
      <c r="HM786" s="27" t="s">
        <v>8</v>
      </c>
      <c r="HN786" s="27" t="s">
        <v>7</v>
      </c>
      <c r="HO786" s="27" t="s">
        <v>8</v>
      </c>
    </row>
    <row r="787" spans="1:223" x14ac:dyDescent="0.25">
      <c r="A787" s="7">
        <v>1.9053100033413959E-2</v>
      </c>
      <c r="B787"/>
      <c r="C787"/>
      <c r="D787"/>
      <c r="E787"/>
      <c r="Z787" s="27" t="s">
        <v>7</v>
      </c>
      <c r="AA787" s="27" t="s">
        <v>8</v>
      </c>
      <c r="AB787" s="27" t="s">
        <v>7</v>
      </c>
      <c r="AC787" s="27" t="s">
        <v>8</v>
      </c>
      <c r="AH787" s="27" t="s">
        <v>7</v>
      </c>
      <c r="AJ787" s="27" t="s">
        <v>7</v>
      </c>
      <c r="AL787" s="27" t="s">
        <v>7</v>
      </c>
      <c r="AM787" s="27" t="s">
        <v>8</v>
      </c>
      <c r="AN787" s="27" t="s">
        <v>7</v>
      </c>
      <c r="AQ787" s="27" t="s">
        <v>8</v>
      </c>
      <c r="AR787" s="27" t="s">
        <v>7</v>
      </c>
      <c r="AS787" s="27" t="s">
        <v>8</v>
      </c>
      <c r="AW787" s="27" t="s">
        <v>8</v>
      </c>
      <c r="AY787" s="27" t="s">
        <v>8</v>
      </c>
      <c r="AZ787" s="27" t="s">
        <v>7</v>
      </c>
      <c r="BA787" s="27" t="s">
        <v>8</v>
      </c>
      <c r="BJ787" s="27" t="s">
        <v>7</v>
      </c>
      <c r="BK787" s="27" t="s">
        <v>8</v>
      </c>
      <c r="BL787" s="27" t="s">
        <v>7</v>
      </c>
      <c r="BM787" s="27" t="s">
        <v>8</v>
      </c>
      <c r="BN787" s="27" t="s">
        <v>7</v>
      </c>
      <c r="BO787" s="27" t="s">
        <v>8</v>
      </c>
      <c r="BP787" s="27" t="s">
        <v>7</v>
      </c>
      <c r="BQ787" s="27" t="s">
        <v>8</v>
      </c>
      <c r="BR787" s="27" t="s">
        <v>7</v>
      </c>
      <c r="BW787" s="27" t="s">
        <v>8</v>
      </c>
      <c r="BX787" s="27" t="s">
        <v>7</v>
      </c>
      <c r="DA787" s="27" t="s">
        <v>8</v>
      </c>
      <c r="DB787" s="27" t="s">
        <v>7</v>
      </c>
      <c r="DC787" s="27" t="s">
        <v>8</v>
      </c>
      <c r="DD787" s="27" t="s">
        <v>7</v>
      </c>
      <c r="DE787" s="27" t="s">
        <v>8</v>
      </c>
      <c r="DG787" s="27" t="s">
        <v>8</v>
      </c>
      <c r="FB787" s="27" t="s">
        <v>7</v>
      </c>
      <c r="FC787" s="27" t="s">
        <v>8</v>
      </c>
      <c r="FD787" s="27" t="s">
        <v>7</v>
      </c>
      <c r="FH787" s="27" t="s">
        <v>7</v>
      </c>
      <c r="FI787" s="27" t="s">
        <v>8</v>
      </c>
      <c r="FJ787" s="27" t="s">
        <v>7</v>
      </c>
      <c r="FL787" s="27" t="s">
        <v>7</v>
      </c>
      <c r="FM787" s="27" t="s">
        <v>8</v>
      </c>
      <c r="FN787" s="27" t="s">
        <v>7</v>
      </c>
      <c r="FO787" s="27" t="s">
        <v>8</v>
      </c>
      <c r="FP787" s="27" t="s">
        <v>7</v>
      </c>
      <c r="FQ787" s="27" t="s">
        <v>8</v>
      </c>
      <c r="FR787" s="27" t="s">
        <v>7</v>
      </c>
      <c r="FS787" s="27" t="s">
        <v>8</v>
      </c>
      <c r="FT787" s="27" t="s">
        <v>7</v>
      </c>
      <c r="FU787" s="27" t="s">
        <v>8</v>
      </c>
      <c r="FV787" s="27" t="s">
        <v>7</v>
      </c>
      <c r="FW787" s="27" t="s">
        <v>8</v>
      </c>
      <c r="FX787" s="27" t="s">
        <v>7</v>
      </c>
      <c r="FY787" s="27" t="s">
        <v>8</v>
      </c>
      <c r="FZ787" s="27" t="s">
        <v>7</v>
      </c>
      <c r="GA787" s="27" t="s">
        <v>8</v>
      </c>
      <c r="GB787" s="27" t="s">
        <v>7</v>
      </c>
      <c r="GC787" s="27" t="s">
        <v>8</v>
      </c>
      <c r="GD787" s="27" t="s">
        <v>7</v>
      </c>
      <c r="GE787" s="27" t="s">
        <v>8</v>
      </c>
      <c r="GF787" s="27" t="s">
        <v>7</v>
      </c>
      <c r="GG787" s="27" t="s">
        <v>8</v>
      </c>
      <c r="GH787" s="27" t="s">
        <v>7</v>
      </c>
      <c r="GI787" s="27" t="s">
        <v>8</v>
      </c>
      <c r="GL787" s="27" t="s">
        <v>7</v>
      </c>
      <c r="GM787" s="27" t="s">
        <v>8</v>
      </c>
      <c r="GN787" s="27" t="s">
        <v>7</v>
      </c>
      <c r="GP787" s="27" t="s">
        <v>7</v>
      </c>
      <c r="GQ787" s="27" t="s">
        <v>8</v>
      </c>
      <c r="HD787" s="27" t="s">
        <v>7</v>
      </c>
      <c r="HE787" s="27" t="s">
        <v>8</v>
      </c>
      <c r="HF787" s="27" t="s">
        <v>7</v>
      </c>
      <c r="HG787" s="27" t="s">
        <v>8</v>
      </c>
      <c r="HH787" s="27" t="s">
        <v>7</v>
      </c>
      <c r="HI787" s="27" t="s">
        <v>8</v>
      </c>
      <c r="HK787" s="27" t="s">
        <v>8</v>
      </c>
      <c r="HL787" s="27" t="s">
        <v>7</v>
      </c>
      <c r="HM787" s="27" t="s">
        <v>8</v>
      </c>
      <c r="HN787" s="27" t="s">
        <v>7</v>
      </c>
    </row>
    <row r="788" spans="1:223" x14ac:dyDescent="0.25">
      <c r="A788" s="7">
        <v>1.867950983668035E-2</v>
      </c>
      <c r="B788"/>
      <c r="C788"/>
      <c r="D788"/>
      <c r="E788"/>
      <c r="Z788" s="27" t="s">
        <v>7</v>
      </c>
      <c r="AA788" s="27" t="s">
        <v>8</v>
      </c>
      <c r="AB788" s="27" t="s">
        <v>7</v>
      </c>
      <c r="AC788" s="27" t="s">
        <v>8</v>
      </c>
      <c r="AL788" s="27" t="s">
        <v>7</v>
      </c>
      <c r="AM788" s="27" t="s">
        <v>8</v>
      </c>
      <c r="AN788" s="27" t="s">
        <v>7</v>
      </c>
      <c r="AO788" s="27" t="s">
        <v>8</v>
      </c>
      <c r="AQ788" s="27" t="s">
        <v>8</v>
      </c>
      <c r="AR788" s="27" t="s">
        <v>7</v>
      </c>
      <c r="AS788" s="27" t="s">
        <v>8</v>
      </c>
      <c r="AT788" s="27" t="s">
        <v>7</v>
      </c>
      <c r="AW788" s="27" t="s">
        <v>8</v>
      </c>
      <c r="AX788" s="27" t="s">
        <v>7</v>
      </c>
      <c r="AY788" s="27" t="s">
        <v>8</v>
      </c>
      <c r="AZ788" s="27" t="s">
        <v>7</v>
      </c>
      <c r="BA788" s="27" t="s">
        <v>8</v>
      </c>
      <c r="BJ788" s="27" t="s">
        <v>7</v>
      </c>
      <c r="BK788" s="27" t="s">
        <v>8</v>
      </c>
      <c r="BL788" s="27" t="s">
        <v>7</v>
      </c>
      <c r="BM788" s="27" t="s">
        <v>8</v>
      </c>
      <c r="BN788" s="27" t="s">
        <v>7</v>
      </c>
      <c r="BO788" s="27" t="s">
        <v>8</v>
      </c>
      <c r="BP788" s="27" t="s">
        <v>7</v>
      </c>
      <c r="BQ788" s="27" t="s">
        <v>8</v>
      </c>
      <c r="BR788" s="27" t="s">
        <v>7</v>
      </c>
      <c r="BW788" s="27" t="s">
        <v>8</v>
      </c>
      <c r="BX788" s="27" t="s">
        <v>7</v>
      </c>
      <c r="DA788" s="27" t="s">
        <v>8</v>
      </c>
      <c r="DB788" s="27" t="s">
        <v>7</v>
      </c>
      <c r="DC788" s="27" t="s">
        <v>8</v>
      </c>
      <c r="DD788" s="27" t="s">
        <v>7</v>
      </c>
      <c r="DE788" s="27" t="s">
        <v>8</v>
      </c>
      <c r="DF788" s="27" t="s">
        <v>7</v>
      </c>
      <c r="DG788" s="27" t="s">
        <v>8</v>
      </c>
      <c r="FB788" s="27" t="s">
        <v>7</v>
      </c>
      <c r="FC788" s="27" t="s">
        <v>8</v>
      </c>
      <c r="FH788" s="27" t="s">
        <v>7</v>
      </c>
      <c r="FI788" s="27" t="s">
        <v>8</v>
      </c>
      <c r="FL788" s="27" t="s">
        <v>7</v>
      </c>
      <c r="FM788" s="27" t="s">
        <v>8</v>
      </c>
      <c r="FN788" s="27" t="s">
        <v>7</v>
      </c>
      <c r="FO788" s="27" t="s">
        <v>8</v>
      </c>
      <c r="FP788" s="27" t="s">
        <v>7</v>
      </c>
      <c r="FQ788" s="27" t="s">
        <v>8</v>
      </c>
      <c r="FR788" s="27" t="s">
        <v>7</v>
      </c>
      <c r="FS788" s="27" t="s">
        <v>8</v>
      </c>
      <c r="FT788" s="27" t="s">
        <v>7</v>
      </c>
      <c r="FU788" s="27" t="s">
        <v>8</v>
      </c>
      <c r="FV788" s="27" t="s">
        <v>7</v>
      </c>
      <c r="FW788" s="27" t="s">
        <v>8</v>
      </c>
      <c r="FX788" s="27" t="s">
        <v>7</v>
      </c>
      <c r="FY788" s="27" t="s">
        <v>8</v>
      </c>
      <c r="FZ788" s="27" t="s">
        <v>7</v>
      </c>
      <c r="GB788" s="27" t="s">
        <v>7</v>
      </c>
      <c r="GC788" s="27" t="s">
        <v>8</v>
      </c>
      <c r="GD788" s="27" t="s">
        <v>7</v>
      </c>
      <c r="GE788" s="27" t="s">
        <v>8</v>
      </c>
      <c r="GF788" s="27" t="s">
        <v>7</v>
      </c>
      <c r="GG788" s="27" t="s">
        <v>8</v>
      </c>
      <c r="GH788" s="27" t="s">
        <v>7</v>
      </c>
      <c r="GL788" s="27" t="s">
        <v>7</v>
      </c>
      <c r="GM788" s="27" t="s">
        <v>8</v>
      </c>
      <c r="GP788" s="27" t="s">
        <v>7</v>
      </c>
      <c r="GQ788" s="27" t="s">
        <v>8</v>
      </c>
      <c r="HD788" s="27" t="s">
        <v>7</v>
      </c>
      <c r="HE788" s="27" t="s">
        <v>8</v>
      </c>
      <c r="HF788" s="27" t="s">
        <v>7</v>
      </c>
      <c r="HG788" s="27" t="s">
        <v>8</v>
      </c>
      <c r="HH788" s="27" t="s">
        <v>7</v>
      </c>
      <c r="HI788" s="27" t="s">
        <v>8</v>
      </c>
      <c r="HJ788" s="27" t="s">
        <v>7</v>
      </c>
      <c r="HK788" s="27" t="s">
        <v>8</v>
      </c>
      <c r="HL788" s="27" t="s">
        <v>7</v>
      </c>
      <c r="HM788" s="27" t="s">
        <v>8</v>
      </c>
    </row>
    <row r="789" spans="1:223" x14ac:dyDescent="0.25">
      <c r="A789" s="7">
        <v>1.8313244937921913E-2</v>
      </c>
      <c r="B789"/>
      <c r="C789"/>
      <c r="D789"/>
      <c r="E789"/>
      <c r="Z789" s="27" t="s">
        <v>7</v>
      </c>
      <c r="AB789" s="27" t="s">
        <v>7</v>
      </c>
      <c r="AC789" s="27" t="s">
        <v>8</v>
      </c>
      <c r="AL789" s="27" t="s">
        <v>7</v>
      </c>
      <c r="AM789" s="27" t="s">
        <v>8</v>
      </c>
      <c r="AN789" s="27" t="s">
        <v>7</v>
      </c>
      <c r="AO789" s="27" t="s">
        <v>8</v>
      </c>
      <c r="AP789" s="27" t="s">
        <v>7</v>
      </c>
      <c r="AQ789" s="27" t="s">
        <v>8</v>
      </c>
      <c r="AR789" s="27" t="s">
        <v>7</v>
      </c>
      <c r="AS789" s="27" t="s">
        <v>8</v>
      </c>
      <c r="AT789" s="27" t="s">
        <v>7</v>
      </c>
      <c r="AW789" s="27" t="s">
        <v>8</v>
      </c>
      <c r="AX789" s="27" t="s">
        <v>7</v>
      </c>
      <c r="AY789" s="27" t="s">
        <v>8</v>
      </c>
      <c r="AZ789" s="27" t="s">
        <v>7</v>
      </c>
      <c r="BA789" s="27" t="s">
        <v>8</v>
      </c>
      <c r="BJ789" s="27" t="s">
        <v>7</v>
      </c>
      <c r="BK789" s="27" t="s">
        <v>8</v>
      </c>
      <c r="BL789" s="27" t="s">
        <v>7</v>
      </c>
      <c r="BM789" s="27" t="s">
        <v>8</v>
      </c>
      <c r="BN789" s="27" t="s">
        <v>7</v>
      </c>
      <c r="BP789" s="27" t="s">
        <v>7</v>
      </c>
      <c r="BQ789" s="27" t="s">
        <v>8</v>
      </c>
      <c r="BR789" s="27" t="s">
        <v>7</v>
      </c>
      <c r="BW789" s="27" t="s">
        <v>8</v>
      </c>
      <c r="BX789" s="27" t="s">
        <v>7</v>
      </c>
      <c r="DA789" s="27" t="s">
        <v>8</v>
      </c>
      <c r="DB789" s="27" t="s">
        <v>7</v>
      </c>
      <c r="DC789" s="27" t="s">
        <v>8</v>
      </c>
      <c r="DD789" s="27" t="s">
        <v>7</v>
      </c>
      <c r="DE789" s="27" t="s">
        <v>8</v>
      </c>
      <c r="DF789" s="27" t="s">
        <v>7</v>
      </c>
      <c r="DG789" s="27" t="s">
        <v>8</v>
      </c>
      <c r="FB789" s="27" t="s">
        <v>7</v>
      </c>
      <c r="FC789" s="27" t="s">
        <v>8</v>
      </c>
      <c r="FH789" s="27" t="s">
        <v>7</v>
      </c>
      <c r="FL789" s="27" t="s">
        <v>7</v>
      </c>
      <c r="FM789" s="27" t="s">
        <v>8</v>
      </c>
      <c r="FN789" s="27" t="s">
        <v>7</v>
      </c>
      <c r="FP789" s="27" t="s">
        <v>7</v>
      </c>
      <c r="FR789" s="27" t="s">
        <v>7</v>
      </c>
      <c r="FT789" s="27" t="s">
        <v>7</v>
      </c>
      <c r="FU789" s="27" t="s">
        <v>8</v>
      </c>
      <c r="FV789" s="27" t="s">
        <v>7</v>
      </c>
      <c r="FW789" s="27" t="s">
        <v>8</v>
      </c>
      <c r="FX789" s="27" t="s">
        <v>7</v>
      </c>
      <c r="FY789" s="27" t="s">
        <v>8</v>
      </c>
      <c r="GB789" s="27" t="s">
        <v>7</v>
      </c>
      <c r="GC789" s="27" t="s">
        <v>8</v>
      </c>
      <c r="GD789" s="27" t="s">
        <v>7</v>
      </c>
      <c r="GE789" s="27" t="s">
        <v>8</v>
      </c>
      <c r="GF789" s="27" t="s">
        <v>7</v>
      </c>
      <c r="GG789" s="27" t="s">
        <v>8</v>
      </c>
      <c r="GL789" s="27" t="s">
        <v>7</v>
      </c>
      <c r="GP789" s="27" t="s">
        <v>7</v>
      </c>
      <c r="GQ789" s="27" t="s">
        <v>8</v>
      </c>
      <c r="HD789" s="27" t="s">
        <v>7</v>
      </c>
      <c r="HE789" s="27" t="s">
        <v>8</v>
      </c>
      <c r="HF789" s="27" t="s">
        <v>7</v>
      </c>
      <c r="HG789" s="27" t="s">
        <v>8</v>
      </c>
      <c r="HH789" s="27" t="s">
        <v>7</v>
      </c>
      <c r="HI789" s="27" t="s">
        <v>8</v>
      </c>
      <c r="HJ789" s="27" t="s">
        <v>7</v>
      </c>
      <c r="HK789" s="27" t="s">
        <v>8</v>
      </c>
      <c r="HL789" s="27" t="s">
        <v>7</v>
      </c>
    </row>
    <row r="790" spans="1:223" x14ac:dyDescent="0.25">
      <c r="A790" s="7">
        <v>1.7954161703845013E-2</v>
      </c>
      <c r="B790"/>
      <c r="C790"/>
      <c r="D790"/>
      <c r="E790"/>
      <c r="AB790" s="27" t="s">
        <v>7</v>
      </c>
      <c r="AC790" s="27" t="s">
        <v>8</v>
      </c>
      <c r="AL790" s="27" t="s">
        <v>7</v>
      </c>
      <c r="AM790" s="27" t="s">
        <v>8</v>
      </c>
      <c r="AN790" s="27" t="s">
        <v>7</v>
      </c>
      <c r="AO790" s="27" t="s">
        <v>8</v>
      </c>
      <c r="AP790" s="27" t="s">
        <v>7</v>
      </c>
      <c r="AQ790" s="27" t="s">
        <v>8</v>
      </c>
      <c r="AR790" s="27" t="s">
        <v>7</v>
      </c>
      <c r="AS790" s="27" t="s">
        <v>8</v>
      </c>
      <c r="AT790" s="27" t="s">
        <v>7</v>
      </c>
      <c r="AU790" s="27" t="s">
        <v>8</v>
      </c>
      <c r="AW790" s="27" t="s">
        <v>8</v>
      </c>
      <c r="AX790" s="27" t="s">
        <v>7</v>
      </c>
      <c r="AY790" s="27" t="s">
        <v>8</v>
      </c>
      <c r="AZ790" s="27" t="s">
        <v>7</v>
      </c>
      <c r="BJ790" s="27" t="s">
        <v>7</v>
      </c>
      <c r="BL790" s="27" t="s">
        <v>7</v>
      </c>
      <c r="BP790" s="27" t="s">
        <v>7</v>
      </c>
      <c r="BQ790" s="27" t="s">
        <v>8</v>
      </c>
      <c r="BR790" s="27" t="s">
        <v>7</v>
      </c>
      <c r="BW790" s="27" t="s">
        <v>8</v>
      </c>
      <c r="BX790" s="27" t="s">
        <v>7</v>
      </c>
      <c r="DA790" s="27" t="s">
        <v>8</v>
      </c>
      <c r="DB790" s="27" t="s">
        <v>7</v>
      </c>
      <c r="DC790" s="27" t="s">
        <v>8</v>
      </c>
      <c r="DD790" s="27" t="s">
        <v>7</v>
      </c>
      <c r="DE790" s="27" t="s">
        <v>8</v>
      </c>
      <c r="DF790" s="27" t="s">
        <v>7</v>
      </c>
      <c r="FB790" s="27" t="s">
        <v>7</v>
      </c>
      <c r="FC790" s="27" t="s">
        <v>8</v>
      </c>
      <c r="FL790" s="27" t="s">
        <v>7</v>
      </c>
      <c r="FM790" s="27" t="s">
        <v>8</v>
      </c>
      <c r="FT790" s="27" t="s">
        <v>7</v>
      </c>
      <c r="FU790" s="27" t="s">
        <v>8</v>
      </c>
      <c r="FV790" s="27" t="s">
        <v>7</v>
      </c>
      <c r="FW790" s="27" t="s">
        <v>8</v>
      </c>
      <c r="FX790" s="27" t="s">
        <v>7</v>
      </c>
      <c r="GB790" s="27" t="s">
        <v>7</v>
      </c>
      <c r="GC790" s="27" t="s">
        <v>8</v>
      </c>
      <c r="GD790" s="27" t="s">
        <v>7</v>
      </c>
      <c r="GE790" s="27" t="s">
        <v>8</v>
      </c>
      <c r="GF790" s="27" t="s">
        <v>7</v>
      </c>
      <c r="GG790" s="27" t="s">
        <v>8</v>
      </c>
      <c r="GP790" s="27" t="s">
        <v>7</v>
      </c>
      <c r="HD790" s="27" t="s">
        <v>7</v>
      </c>
      <c r="HE790" s="27" t="s">
        <v>8</v>
      </c>
      <c r="HF790" s="27" t="s">
        <v>7</v>
      </c>
      <c r="HH790" s="27" t="s">
        <v>7</v>
      </c>
      <c r="HI790" s="27" t="s">
        <v>8</v>
      </c>
      <c r="HJ790" s="27" t="s">
        <v>7</v>
      </c>
      <c r="HK790" s="27" t="s">
        <v>8</v>
      </c>
    </row>
    <row r="791" spans="1:223" x14ac:dyDescent="0.25">
      <c r="A791" s="7">
        <v>1.7602119317495109E-2</v>
      </c>
      <c r="B791"/>
      <c r="C791"/>
      <c r="D791"/>
      <c r="E791"/>
      <c r="AB791" s="27" t="s">
        <v>7</v>
      </c>
      <c r="AC791" s="27" t="s">
        <v>8</v>
      </c>
      <c r="AL791" s="27" t="s">
        <v>7</v>
      </c>
      <c r="AM791" s="27" t="s">
        <v>8</v>
      </c>
      <c r="AN791" s="27" t="s">
        <v>7</v>
      </c>
      <c r="AO791" s="27" t="s">
        <v>8</v>
      </c>
      <c r="AP791" s="27" t="s">
        <v>7</v>
      </c>
      <c r="AQ791" s="27" t="s">
        <v>8</v>
      </c>
      <c r="AR791" s="27" t="s">
        <v>7</v>
      </c>
      <c r="AT791" s="27" t="s">
        <v>7</v>
      </c>
      <c r="AU791" s="27" t="s">
        <v>8</v>
      </c>
      <c r="AV791" s="27" t="s">
        <v>7</v>
      </c>
      <c r="AW791" s="27" t="s">
        <v>8</v>
      </c>
      <c r="AX791" s="27" t="s">
        <v>7</v>
      </c>
      <c r="AY791" s="27" t="s">
        <v>8</v>
      </c>
      <c r="BP791" s="27" t="s">
        <v>7</v>
      </c>
      <c r="BQ791" s="27" t="s">
        <v>8</v>
      </c>
      <c r="BR791" s="27" t="s">
        <v>7</v>
      </c>
      <c r="BW791" s="27" t="s">
        <v>8</v>
      </c>
      <c r="BX791" s="27" t="s">
        <v>7</v>
      </c>
      <c r="CY791" s="27" t="s">
        <v>8</v>
      </c>
      <c r="DA791" s="27" t="s">
        <v>8</v>
      </c>
      <c r="DB791" s="27" t="s">
        <v>7</v>
      </c>
      <c r="DC791" s="27" t="s">
        <v>8</v>
      </c>
      <c r="DD791" s="27" t="s">
        <v>7</v>
      </c>
      <c r="DE791" s="27" t="s">
        <v>8</v>
      </c>
      <c r="FB791" s="27" t="s">
        <v>7</v>
      </c>
      <c r="FC791" s="27" t="s">
        <v>8</v>
      </c>
      <c r="FL791" s="27" t="s">
        <v>7</v>
      </c>
      <c r="FM791" s="27" t="s">
        <v>8</v>
      </c>
      <c r="FT791" s="27" t="s">
        <v>7</v>
      </c>
      <c r="FV791" s="27" t="s">
        <v>7</v>
      </c>
      <c r="GB791" s="27" t="s">
        <v>7</v>
      </c>
      <c r="GC791" s="27" t="s">
        <v>8</v>
      </c>
      <c r="GD791" s="27" t="s">
        <v>7</v>
      </c>
      <c r="GE791" s="27" t="s">
        <v>8</v>
      </c>
      <c r="GF791" s="27" t="s">
        <v>7</v>
      </c>
      <c r="GG791" s="27" t="s">
        <v>8</v>
      </c>
      <c r="HD791" s="27" t="s">
        <v>7</v>
      </c>
      <c r="HE791" s="27" t="s">
        <v>8</v>
      </c>
      <c r="HH791" s="27" t="s">
        <v>7</v>
      </c>
      <c r="HI791" s="27" t="s">
        <v>8</v>
      </c>
      <c r="HJ791" s="27" t="s">
        <v>7</v>
      </c>
      <c r="HK791" s="27" t="s">
        <v>8</v>
      </c>
    </row>
    <row r="792" spans="1:223" x14ac:dyDescent="0.25">
      <c r="A792" s="7">
        <v>1.7256979723034419E-2</v>
      </c>
      <c r="B792"/>
      <c r="C792"/>
      <c r="D792"/>
      <c r="E792"/>
      <c r="AB792" s="27" t="s">
        <v>7</v>
      </c>
      <c r="AC792" s="27" t="s">
        <v>8</v>
      </c>
      <c r="AL792" s="27" t="s">
        <v>7</v>
      </c>
      <c r="AM792" s="27" t="s">
        <v>8</v>
      </c>
      <c r="AN792" s="27" t="s">
        <v>7</v>
      </c>
      <c r="AO792" s="27" t="s">
        <v>8</v>
      </c>
      <c r="AP792" s="27" t="s">
        <v>7</v>
      </c>
      <c r="AT792" s="27" t="s">
        <v>7</v>
      </c>
      <c r="AU792" s="27" t="s">
        <v>8</v>
      </c>
      <c r="AV792" s="27" t="s">
        <v>7</v>
      </c>
      <c r="AW792" s="27" t="s">
        <v>8</v>
      </c>
      <c r="AX792" s="27" t="s">
        <v>7</v>
      </c>
      <c r="AY792" s="27" t="s">
        <v>8</v>
      </c>
      <c r="BP792" s="27" t="s">
        <v>7</v>
      </c>
      <c r="BQ792" s="27" t="s">
        <v>8</v>
      </c>
      <c r="BR792" s="27" t="s">
        <v>7</v>
      </c>
      <c r="BW792" s="27" t="s">
        <v>8</v>
      </c>
      <c r="BX792" s="27" t="s">
        <v>7</v>
      </c>
      <c r="CQ792" s="27" t="s">
        <v>8</v>
      </c>
      <c r="CS792" s="27" t="s">
        <v>8</v>
      </c>
      <c r="CY792" s="27" t="s">
        <v>8</v>
      </c>
      <c r="CZ792" s="27" t="s">
        <v>7</v>
      </c>
      <c r="DA792" s="27" t="s">
        <v>8</v>
      </c>
      <c r="DB792" s="27" t="s">
        <v>7</v>
      </c>
      <c r="DC792" s="27" t="s">
        <v>8</v>
      </c>
      <c r="DD792" s="27" t="s">
        <v>7</v>
      </c>
      <c r="FB792" s="27" t="s">
        <v>7</v>
      </c>
      <c r="FL792" s="27" t="s">
        <v>7</v>
      </c>
      <c r="GB792" s="27" t="s">
        <v>7</v>
      </c>
      <c r="GC792" s="27" t="s">
        <v>8</v>
      </c>
      <c r="GD792" s="27" t="s">
        <v>7</v>
      </c>
      <c r="GE792" s="27" t="s">
        <v>8</v>
      </c>
      <c r="GF792" s="27" t="s">
        <v>7</v>
      </c>
      <c r="GG792" s="27" t="s">
        <v>8</v>
      </c>
      <c r="HD792" s="27" t="s">
        <v>7</v>
      </c>
      <c r="HE792" s="27" t="s">
        <v>8</v>
      </c>
      <c r="HH792" s="27" t="s">
        <v>7</v>
      </c>
      <c r="HI792" s="27" t="s">
        <v>8</v>
      </c>
      <c r="HJ792" s="27" t="s">
        <v>7</v>
      </c>
      <c r="HK792" s="27" t="s">
        <v>8</v>
      </c>
    </row>
    <row r="793" spans="1:223" x14ac:dyDescent="0.25">
      <c r="A793" s="7">
        <v>1.6918607571602372E-2</v>
      </c>
      <c r="B793"/>
      <c r="C793"/>
      <c r="D793"/>
      <c r="E793"/>
      <c r="AB793" s="27" t="s">
        <v>7</v>
      </c>
      <c r="AC793" s="27" t="s">
        <v>8</v>
      </c>
      <c r="AL793" s="27" t="s">
        <v>7</v>
      </c>
      <c r="AM793" s="27" t="s">
        <v>8</v>
      </c>
      <c r="AN793" s="27" t="s">
        <v>7</v>
      </c>
      <c r="AT793" s="27" t="s">
        <v>7</v>
      </c>
      <c r="AV793" s="27" t="s">
        <v>7</v>
      </c>
      <c r="AW793" s="27" t="s">
        <v>8</v>
      </c>
      <c r="AX793" s="27" t="s">
        <v>7</v>
      </c>
      <c r="AY793" s="27" t="s">
        <v>8</v>
      </c>
      <c r="BP793" s="27" t="s">
        <v>7</v>
      </c>
      <c r="BQ793" s="27" t="s">
        <v>8</v>
      </c>
      <c r="BR793" s="27" t="s">
        <v>7</v>
      </c>
      <c r="BW793" s="27" t="s">
        <v>8</v>
      </c>
      <c r="BX793" s="27" t="s">
        <v>7</v>
      </c>
      <c r="CC793" s="27" t="s">
        <v>8</v>
      </c>
      <c r="CI793" s="27" t="s">
        <v>8</v>
      </c>
      <c r="CQ793" s="27" t="s">
        <v>8</v>
      </c>
      <c r="CR793" s="27" t="s">
        <v>7</v>
      </c>
      <c r="CS793" s="27" t="s">
        <v>8</v>
      </c>
      <c r="CT793" s="27" t="s">
        <v>7</v>
      </c>
      <c r="CU793" s="27" t="s">
        <v>8</v>
      </c>
      <c r="CY793" s="27" t="s">
        <v>8</v>
      </c>
      <c r="CZ793" s="27" t="s">
        <v>7</v>
      </c>
      <c r="DA793" s="27" t="s">
        <v>8</v>
      </c>
      <c r="DB793" s="27" t="s">
        <v>7</v>
      </c>
      <c r="DC793" s="27" t="s">
        <v>8</v>
      </c>
      <c r="GB793" s="27" t="s">
        <v>7</v>
      </c>
      <c r="GD793" s="27" t="s">
        <v>7</v>
      </c>
      <c r="GE793" s="27" t="s">
        <v>8</v>
      </c>
      <c r="GF793" s="27" t="s">
        <v>7</v>
      </c>
      <c r="HD793" s="27" t="s">
        <v>7</v>
      </c>
      <c r="HE793" s="27" t="s">
        <v>8</v>
      </c>
      <c r="HH793" s="27" t="s">
        <v>7</v>
      </c>
      <c r="HJ793" s="27" t="s">
        <v>7</v>
      </c>
      <c r="HK793" s="27" t="s">
        <v>8</v>
      </c>
    </row>
    <row r="794" spans="1:223" x14ac:dyDescent="0.25">
      <c r="A794" s="7">
        <v>1.6586870168237622E-2</v>
      </c>
      <c r="B794"/>
      <c r="C794"/>
      <c r="D794"/>
      <c r="E794"/>
      <c r="AB794" s="27" t="s">
        <v>7</v>
      </c>
      <c r="AL794" s="27" t="s">
        <v>7</v>
      </c>
      <c r="AM794" s="27" t="s">
        <v>8</v>
      </c>
      <c r="AV794" s="27" t="s">
        <v>7</v>
      </c>
      <c r="AW794" s="27" t="s">
        <v>8</v>
      </c>
      <c r="AX794" s="27" t="s">
        <v>7</v>
      </c>
      <c r="BP794" s="27" t="s">
        <v>7</v>
      </c>
      <c r="BR794" s="27" t="s">
        <v>7</v>
      </c>
      <c r="BW794" s="27" t="s">
        <v>8</v>
      </c>
      <c r="BX794" s="27" t="s">
        <v>7</v>
      </c>
      <c r="CC794" s="27" t="s">
        <v>8</v>
      </c>
      <c r="CD794" s="27" t="s">
        <v>7</v>
      </c>
      <c r="CI794" s="27" t="s">
        <v>8</v>
      </c>
      <c r="CJ794" s="27" t="s">
        <v>7</v>
      </c>
      <c r="CQ794" s="27" t="s">
        <v>8</v>
      </c>
      <c r="CR794" s="27" t="s">
        <v>7</v>
      </c>
      <c r="CS794" s="27" t="s">
        <v>8</v>
      </c>
      <c r="CT794" s="27" t="s">
        <v>7</v>
      </c>
      <c r="CU794" s="27" t="s">
        <v>8</v>
      </c>
      <c r="CV794" s="27" t="s">
        <v>7</v>
      </c>
      <c r="CY794" s="27" t="s">
        <v>8</v>
      </c>
      <c r="CZ794" s="27" t="s">
        <v>7</v>
      </c>
      <c r="DA794" s="27" t="s">
        <v>8</v>
      </c>
      <c r="DB794" s="27" t="s">
        <v>7</v>
      </c>
      <c r="DC794" s="27" t="s">
        <v>8</v>
      </c>
      <c r="GD794" s="27" t="s">
        <v>7</v>
      </c>
      <c r="GE794" s="27" t="s">
        <v>8</v>
      </c>
      <c r="HD794" s="27" t="s">
        <v>7</v>
      </c>
      <c r="HJ794" s="27" t="s">
        <v>7</v>
      </c>
    </row>
    <row r="795" spans="1:223" x14ac:dyDescent="0.25">
      <c r="A795" s="7">
        <v>1.6261637419840807E-2</v>
      </c>
      <c r="B795"/>
      <c r="C795"/>
      <c r="D795"/>
      <c r="E795"/>
      <c r="AL795" s="27" t="s">
        <v>7</v>
      </c>
      <c r="AM795" s="27" t="s">
        <v>8</v>
      </c>
      <c r="AV795" s="27" t="s">
        <v>7</v>
      </c>
      <c r="AW795" s="27" t="s">
        <v>8</v>
      </c>
      <c r="BR795" s="27" t="s">
        <v>7</v>
      </c>
      <c r="BW795" s="27" t="s">
        <v>8</v>
      </c>
      <c r="BX795" s="27" t="s">
        <v>7</v>
      </c>
      <c r="CA795" s="27" t="s">
        <v>8</v>
      </c>
      <c r="CC795" s="27" t="s">
        <v>8</v>
      </c>
      <c r="CD795" s="27" t="s">
        <v>7</v>
      </c>
      <c r="CE795" s="27" t="s">
        <v>8</v>
      </c>
      <c r="CI795" s="27" t="s">
        <v>8</v>
      </c>
      <c r="CJ795" s="27" t="s">
        <v>7</v>
      </c>
      <c r="CK795" s="27" t="s">
        <v>8</v>
      </c>
      <c r="CO795" s="27" t="s">
        <v>8</v>
      </c>
      <c r="CQ795" s="27" t="s">
        <v>8</v>
      </c>
      <c r="CR795" s="27" t="s">
        <v>7</v>
      </c>
      <c r="CS795" s="27" t="s">
        <v>8</v>
      </c>
      <c r="CT795" s="27" t="s">
        <v>7</v>
      </c>
      <c r="CU795" s="27" t="s">
        <v>8</v>
      </c>
      <c r="CV795" s="27" t="s">
        <v>7</v>
      </c>
      <c r="CY795" s="27" t="s">
        <v>8</v>
      </c>
      <c r="CZ795" s="27" t="s">
        <v>7</v>
      </c>
      <c r="DA795" s="27" t="s">
        <v>8</v>
      </c>
      <c r="DB795" s="27" t="s">
        <v>7</v>
      </c>
      <c r="GD795" s="27" t="s">
        <v>7</v>
      </c>
      <c r="GE795" s="27" t="s">
        <v>8</v>
      </c>
    </row>
    <row r="796" spans="1:223" x14ac:dyDescent="0.25">
      <c r="A796" s="7">
        <v>1.5942781784157655E-2</v>
      </c>
      <c r="B796"/>
      <c r="C796"/>
      <c r="D796"/>
      <c r="E796"/>
      <c r="AL796" s="27" t="s">
        <v>7</v>
      </c>
      <c r="AV796" s="27" t="s">
        <v>7</v>
      </c>
      <c r="AW796" s="27" t="s">
        <v>8</v>
      </c>
      <c r="BR796" s="27" t="s">
        <v>7</v>
      </c>
      <c r="BW796" s="27" t="s">
        <v>8</v>
      </c>
      <c r="BX796" s="27" t="s">
        <v>7</v>
      </c>
      <c r="CA796" s="27" t="s">
        <v>8</v>
      </c>
      <c r="CB796" s="27" t="s">
        <v>7</v>
      </c>
      <c r="CC796" s="27" t="s">
        <v>8</v>
      </c>
      <c r="CD796" s="27" t="s">
        <v>7</v>
      </c>
      <c r="CE796" s="27" t="s">
        <v>8</v>
      </c>
      <c r="CF796" s="27" t="s">
        <v>7</v>
      </c>
      <c r="CI796" s="27" t="s">
        <v>8</v>
      </c>
      <c r="CJ796" s="27" t="s">
        <v>7</v>
      </c>
      <c r="CK796" s="27" t="s">
        <v>8</v>
      </c>
      <c r="CL796" s="27" t="s">
        <v>7</v>
      </c>
      <c r="CM796" s="27" t="s">
        <v>8</v>
      </c>
      <c r="CO796" s="27" t="s">
        <v>8</v>
      </c>
      <c r="CP796" s="27" t="s">
        <v>7</v>
      </c>
      <c r="CQ796" s="27" t="s">
        <v>8</v>
      </c>
      <c r="CR796" s="27" t="s">
        <v>7</v>
      </c>
      <c r="CT796" s="27" t="s">
        <v>7</v>
      </c>
      <c r="CU796" s="27" t="s">
        <v>8</v>
      </c>
      <c r="CV796" s="27" t="s">
        <v>7</v>
      </c>
      <c r="CY796" s="27" t="s">
        <v>8</v>
      </c>
      <c r="CZ796" s="27" t="s">
        <v>7</v>
      </c>
      <c r="DA796" s="27" t="s">
        <v>8</v>
      </c>
      <c r="GD796" s="27" t="s">
        <v>7</v>
      </c>
      <c r="GE796" s="27" t="s">
        <v>8</v>
      </c>
    </row>
    <row r="797" spans="1:223" x14ac:dyDescent="0.25">
      <c r="A797" s="7">
        <v>1.5630178219762408E-2</v>
      </c>
      <c r="B797"/>
      <c r="C797"/>
      <c r="D797"/>
      <c r="E797"/>
      <c r="AV797" s="27" t="s">
        <v>7</v>
      </c>
      <c r="AW797" s="27" t="s">
        <v>8</v>
      </c>
      <c r="BR797" s="27" t="s">
        <v>7</v>
      </c>
      <c r="BW797" s="27" t="s">
        <v>8</v>
      </c>
      <c r="BX797" s="27" t="s">
        <v>7</v>
      </c>
      <c r="CA797" s="27" t="s">
        <v>8</v>
      </c>
      <c r="CB797" s="27" t="s">
        <v>7</v>
      </c>
      <c r="CC797" s="27" t="s">
        <v>8</v>
      </c>
      <c r="CD797" s="27" t="s">
        <v>7</v>
      </c>
      <c r="CE797" s="27" t="s">
        <v>8</v>
      </c>
      <c r="CF797" s="27" t="s">
        <v>7</v>
      </c>
      <c r="CI797" s="27" t="s">
        <v>8</v>
      </c>
      <c r="CJ797" s="27" t="s">
        <v>7</v>
      </c>
      <c r="CK797" s="27" t="s">
        <v>8</v>
      </c>
      <c r="CL797" s="27" t="s">
        <v>7</v>
      </c>
      <c r="CM797" s="27" t="s">
        <v>8</v>
      </c>
      <c r="CN797" s="27" t="s">
        <v>7</v>
      </c>
      <c r="CO797" s="27" t="s">
        <v>8</v>
      </c>
      <c r="CP797" s="27" t="s">
        <v>7</v>
      </c>
      <c r="CQ797" s="27" t="s">
        <v>8</v>
      </c>
      <c r="CT797" s="27" t="s">
        <v>7</v>
      </c>
      <c r="CU797" s="27" t="s">
        <v>8</v>
      </c>
      <c r="CV797" s="27" t="s">
        <v>7</v>
      </c>
      <c r="CW797" s="27" t="s">
        <v>8</v>
      </c>
      <c r="CY797" s="27" t="s">
        <v>8</v>
      </c>
      <c r="CZ797" s="27" t="s">
        <v>7</v>
      </c>
      <c r="DA797" s="27" t="s">
        <v>8</v>
      </c>
      <c r="GD797" s="27" t="s">
        <v>7</v>
      </c>
      <c r="GE797" s="27" t="s">
        <v>8</v>
      </c>
    </row>
    <row r="798" spans="1:223" x14ac:dyDescent="0.25">
      <c r="A798" s="7">
        <v>1.5323704137021967E-2</v>
      </c>
      <c r="B798"/>
      <c r="C798"/>
      <c r="D798"/>
      <c r="E798"/>
      <c r="AV798" s="27" t="s">
        <v>7</v>
      </c>
      <c r="AW798" s="27" t="s">
        <v>8</v>
      </c>
      <c r="BR798" s="27" t="s">
        <v>7</v>
      </c>
      <c r="BW798" s="27" t="s">
        <v>8</v>
      </c>
      <c r="BX798" s="27" t="s">
        <v>7</v>
      </c>
      <c r="CA798" s="27" t="s">
        <v>8</v>
      </c>
      <c r="CB798" s="27" t="s">
        <v>7</v>
      </c>
      <c r="CC798" s="27" t="s">
        <v>8</v>
      </c>
      <c r="CD798" s="27" t="s">
        <v>7</v>
      </c>
      <c r="CE798" s="27" t="s">
        <v>8</v>
      </c>
      <c r="CF798" s="27" t="s">
        <v>7</v>
      </c>
      <c r="CI798" s="27" t="s">
        <v>8</v>
      </c>
      <c r="CJ798" s="27" t="s">
        <v>7</v>
      </c>
      <c r="CK798" s="27" t="s">
        <v>8</v>
      </c>
      <c r="CL798" s="27" t="s">
        <v>7</v>
      </c>
      <c r="CM798" s="27" t="s">
        <v>8</v>
      </c>
      <c r="CN798" s="27" t="s">
        <v>7</v>
      </c>
      <c r="CO798" s="27" t="s">
        <v>8</v>
      </c>
      <c r="CP798" s="27" t="s">
        <v>7</v>
      </c>
      <c r="CQ798" s="27" t="s">
        <v>8</v>
      </c>
      <c r="CT798" s="27" t="s">
        <v>7</v>
      </c>
      <c r="CU798" s="27" t="s">
        <v>8</v>
      </c>
      <c r="CV798" s="27" t="s">
        <v>7</v>
      </c>
      <c r="CW798" s="27" t="s">
        <v>8</v>
      </c>
      <c r="CX798" s="27" t="s">
        <v>7</v>
      </c>
      <c r="CY798" s="27" t="s">
        <v>8</v>
      </c>
      <c r="CZ798" s="27" t="s">
        <v>7</v>
      </c>
      <c r="DA798" s="27" t="s">
        <v>8</v>
      </c>
      <c r="GD798" s="27" t="s">
        <v>7</v>
      </c>
    </row>
    <row r="799" spans="1:223" x14ac:dyDescent="0.25">
      <c r="A799" s="7">
        <v>1.5023239350021535E-2</v>
      </c>
      <c r="B799"/>
      <c r="C799"/>
      <c r="D799"/>
      <c r="E799"/>
      <c r="AV799" s="27" t="s">
        <v>7</v>
      </c>
      <c r="BR799" s="27" t="s">
        <v>7</v>
      </c>
      <c r="BW799" s="27" t="s">
        <v>8</v>
      </c>
      <c r="BX799" s="27" t="s">
        <v>7</v>
      </c>
      <c r="CA799" s="27" t="s">
        <v>8</v>
      </c>
      <c r="CB799" s="27" t="s">
        <v>7</v>
      </c>
      <c r="CC799" s="27" t="s">
        <v>8</v>
      </c>
      <c r="CD799" s="27" t="s">
        <v>7</v>
      </c>
      <c r="CE799" s="27" t="s">
        <v>8</v>
      </c>
      <c r="CF799" s="27" t="s">
        <v>7</v>
      </c>
      <c r="CI799" s="27" t="s">
        <v>8</v>
      </c>
      <c r="CJ799" s="27" t="s">
        <v>7</v>
      </c>
      <c r="CK799" s="27" t="s">
        <v>8</v>
      </c>
      <c r="CL799" s="27" t="s">
        <v>7</v>
      </c>
      <c r="CM799" s="27" t="s">
        <v>8</v>
      </c>
      <c r="CN799" s="27" t="s">
        <v>7</v>
      </c>
      <c r="CP799" s="27" t="s">
        <v>7</v>
      </c>
      <c r="CT799" s="27" t="s">
        <v>7</v>
      </c>
      <c r="CU799" s="27" t="s">
        <v>8</v>
      </c>
      <c r="CV799" s="27" t="s">
        <v>7</v>
      </c>
      <c r="CW799" s="27" t="s">
        <v>8</v>
      </c>
      <c r="CX799" s="27" t="s">
        <v>7</v>
      </c>
      <c r="CY799" s="27" t="s">
        <v>8</v>
      </c>
      <c r="CZ799" s="27" t="s">
        <v>7</v>
      </c>
      <c r="DA799" s="27" t="s">
        <v>8</v>
      </c>
    </row>
    <row r="800" spans="1:223" x14ac:dyDescent="0.25">
      <c r="A800" s="7">
        <v>1.4728666029432878E-2</v>
      </c>
      <c r="B800"/>
      <c r="C800"/>
      <c r="D800"/>
      <c r="E800"/>
      <c r="BR800" s="27" t="s">
        <v>7</v>
      </c>
      <c r="BW800" s="27" t="s">
        <v>8</v>
      </c>
      <c r="BX800" s="27" t="s">
        <v>7</v>
      </c>
      <c r="CA800" s="27" t="s">
        <v>8</v>
      </c>
      <c r="CB800" s="27" t="s">
        <v>7</v>
      </c>
      <c r="CC800" s="27" t="s">
        <v>8</v>
      </c>
      <c r="CD800" s="27" t="s">
        <v>7</v>
      </c>
      <c r="CF800" s="27" t="s">
        <v>7</v>
      </c>
      <c r="CG800" s="27" t="s">
        <v>8</v>
      </c>
      <c r="CI800" s="27" t="s">
        <v>8</v>
      </c>
      <c r="CJ800" s="27" t="s">
        <v>7</v>
      </c>
      <c r="CK800" s="27" t="s">
        <v>8</v>
      </c>
      <c r="CL800" s="27" t="s">
        <v>7</v>
      </c>
      <c r="CT800" s="27" t="s">
        <v>7</v>
      </c>
      <c r="CV800" s="27" t="s">
        <v>7</v>
      </c>
      <c r="CW800" s="27" t="s">
        <v>8</v>
      </c>
      <c r="CX800" s="27" t="s">
        <v>7</v>
      </c>
      <c r="CZ800" s="27" t="s">
        <v>7</v>
      </c>
    </row>
    <row r="801" spans="1:101" x14ac:dyDescent="0.25">
      <c r="A801" s="7">
        <v>1.4439868656306743E-2</v>
      </c>
      <c r="B801"/>
      <c r="C801"/>
      <c r="D801"/>
      <c r="E801"/>
      <c r="BR801" s="27" t="s">
        <v>7</v>
      </c>
      <c r="BW801" s="27" t="s">
        <v>8</v>
      </c>
      <c r="BX801" s="27" t="s">
        <v>7</v>
      </c>
      <c r="BY801" s="27" t="s">
        <v>8</v>
      </c>
      <c r="CA801" s="27" t="s">
        <v>8</v>
      </c>
      <c r="CB801" s="27" t="s">
        <v>7</v>
      </c>
      <c r="CC801" s="27" t="s">
        <v>8</v>
      </c>
      <c r="CF801" s="27" t="s">
        <v>7</v>
      </c>
      <c r="CG801" s="27" t="s">
        <v>8</v>
      </c>
      <c r="CH801" s="27" t="s">
        <v>7</v>
      </c>
      <c r="CI801" s="27" t="s">
        <v>8</v>
      </c>
      <c r="CJ801" s="27" t="s">
        <v>7</v>
      </c>
      <c r="CV801" s="27" t="s">
        <v>7</v>
      </c>
      <c r="CW801" s="27" t="s">
        <v>8</v>
      </c>
    </row>
    <row r="802" spans="1:101" x14ac:dyDescent="0.25">
      <c r="A802" s="7">
        <v>1.4156733976771318E-2</v>
      </c>
      <c r="B802"/>
      <c r="C802"/>
      <c r="D802"/>
      <c r="E802"/>
      <c r="BR802" s="27" t="s">
        <v>7</v>
      </c>
      <c r="BW802" s="27" t="s">
        <v>8</v>
      </c>
      <c r="BX802" s="27" t="s">
        <v>7</v>
      </c>
      <c r="BY802" s="27" t="s">
        <v>8</v>
      </c>
      <c r="BZ802" s="27" t="s">
        <v>7</v>
      </c>
      <c r="CA802" s="27" t="s">
        <v>8</v>
      </c>
      <c r="CB802" s="27" t="s">
        <v>7</v>
      </c>
      <c r="CC802" s="27" t="s">
        <v>8</v>
      </c>
      <c r="CF802" s="27" t="s">
        <v>7</v>
      </c>
      <c r="CG802" s="27" t="s">
        <v>8</v>
      </c>
      <c r="CH802" s="27" t="s">
        <v>7</v>
      </c>
      <c r="CI802" s="27" t="s">
        <v>8</v>
      </c>
      <c r="CV802" s="27" t="s">
        <v>7</v>
      </c>
      <c r="CW802" s="27" t="s">
        <v>8</v>
      </c>
    </row>
    <row r="803" spans="1:101" x14ac:dyDescent="0.25">
      <c r="A803" s="7">
        <v>1.3879150957618939E-2</v>
      </c>
      <c r="B803"/>
      <c r="C803"/>
      <c r="D803"/>
      <c r="E803"/>
      <c r="BR803" s="27" t="s">
        <v>7</v>
      </c>
      <c r="BW803" s="27" t="s">
        <v>8</v>
      </c>
      <c r="BX803" s="27" t="s">
        <v>7</v>
      </c>
      <c r="BY803" s="27" t="s">
        <v>8</v>
      </c>
      <c r="BZ803" s="27" t="s">
        <v>7</v>
      </c>
      <c r="CA803" s="27" t="s">
        <v>8</v>
      </c>
      <c r="CB803" s="27" t="s">
        <v>7</v>
      </c>
      <c r="CC803" s="27" t="s">
        <v>8</v>
      </c>
      <c r="CF803" s="27" t="s">
        <v>7</v>
      </c>
      <c r="CH803" s="27" t="s">
        <v>7</v>
      </c>
      <c r="CI803" s="27" t="s">
        <v>8</v>
      </c>
      <c r="CV803" s="27" t="s">
        <v>7</v>
      </c>
    </row>
    <row r="804" spans="1:101" x14ac:dyDescent="0.25">
      <c r="A804" s="7">
        <v>1.3607010742763666E-2</v>
      </c>
      <c r="B804"/>
      <c r="C804"/>
      <c r="D804"/>
      <c r="E804"/>
      <c r="BR804" s="27" t="s">
        <v>7</v>
      </c>
      <c r="BW804" s="27" t="s">
        <v>8</v>
      </c>
      <c r="BX804" s="27" t="s">
        <v>7</v>
      </c>
      <c r="BY804" s="27" t="s">
        <v>8</v>
      </c>
      <c r="BZ804" s="27" t="s">
        <v>7</v>
      </c>
      <c r="CA804" s="27" t="s">
        <v>8</v>
      </c>
      <c r="CB804" s="27" t="s">
        <v>7</v>
      </c>
      <c r="CC804" s="27" t="s">
        <v>8</v>
      </c>
      <c r="CH804" s="27" t="s">
        <v>7</v>
      </c>
    </row>
    <row r="805" spans="1:101" x14ac:dyDescent="0.25">
      <c r="A805" s="7">
        <v>1.3340206610552614E-2</v>
      </c>
      <c r="B805"/>
      <c r="C805"/>
      <c r="D805"/>
      <c r="E805"/>
      <c r="BR805" s="27" t="s">
        <v>7</v>
      </c>
      <c r="BW805" s="27" t="s">
        <v>8</v>
      </c>
      <c r="BX805" s="27" t="s">
        <v>7</v>
      </c>
      <c r="BY805" s="27" t="s">
        <v>8</v>
      </c>
      <c r="BZ805" s="27" t="s">
        <v>7</v>
      </c>
      <c r="CA805" s="27" t="s">
        <v>8</v>
      </c>
      <c r="CB805" s="27" t="s">
        <v>7</v>
      </c>
      <c r="CC805" s="27" t="s">
        <v>8</v>
      </c>
    </row>
    <row r="806" spans="1:101" x14ac:dyDescent="0.25">
      <c r="A806" s="7">
        <v>1.3078633931914328E-2</v>
      </c>
      <c r="B806"/>
      <c r="C806"/>
      <c r="D806"/>
      <c r="E806"/>
      <c r="BR806" s="27" t="s">
        <v>7</v>
      </c>
      <c r="BW806" s="27" t="s">
        <v>8</v>
      </c>
      <c r="BX806" s="27" t="s">
        <v>7</v>
      </c>
      <c r="BY806" s="27" t="s">
        <v>8</v>
      </c>
      <c r="BZ806" s="27" t="s">
        <v>7</v>
      </c>
      <c r="CA806" s="27" t="s">
        <v>8</v>
      </c>
      <c r="CB806" s="27" t="s">
        <v>7</v>
      </c>
    </row>
    <row r="807" spans="1:101" x14ac:dyDescent="0.25">
      <c r="A807" s="7">
        <v>1.2822190129327771E-2</v>
      </c>
      <c r="B807"/>
      <c r="C807"/>
      <c r="D807"/>
      <c r="E807"/>
      <c r="BR807" s="27" t="s">
        <v>7</v>
      </c>
      <c r="BW807" s="27" t="s">
        <v>8</v>
      </c>
      <c r="BX807" s="27" t="s">
        <v>7</v>
      </c>
      <c r="BY807" s="27" t="s">
        <v>8</v>
      </c>
      <c r="BZ807" s="27" t="s">
        <v>7</v>
      </c>
      <c r="CA807" s="27" t="s">
        <v>8</v>
      </c>
    </row>
    <row r="808" spans="1:101" x14ac:dyDescent="0.25">
      <c r="A808" s="7">
        <v>1.2570774636595854E-2</v>
      </c>
      <c r="B808"/>
      <c r="C808"/>
      <c r="D808"/>
      <c r="E808"/>
      <c r="BR808" s="27" t="s">
        <v>7</v>
      </c>
      <c r="BW808" s="27" t="s">
        <v>8</v>
      </c>
      <c r="BX808" s="27" t="s">
        <v>7</v>
      </c>
      <c r="BY808" s="27" t="s">
        <v>8</v>
      </c>
      <c r="BZ808" s="27" t="s">
        <v>7</v>
      </c>
      <c r="CA808" s="27" t="s">
        <v>8</v>
      </c>
    </row>
    <row r="809" spans="1:101" x14ac:dyDescent="0.25">
      <c r="A809" s="7">
        <v>1.23242888594077E-2</v>
      </c>
      <c r="B809"/>
      <c r="C809"/>
      <c r="D809"/>
      <c r="E809"/>
      <c r="BR809" s="27" t="s">
        <v>7</v>
      </c>
      <c r="BW809" s="27" t="s">
        <v>8</v>
      </c>
      <c r="BX809" s="27" t="s">
        <v>7</v>
      </c>
      <c r="BY809" s="27" t="s">
        <v>8</v>
      </c>
      <c r="BZ809" s="27" t="s">
        <v>7</v>
      </c>
      <c r="CA809" s="27" t="s">
        <v>8</v>
      </c>
    </row>
    <row r="810" spans="1:101" x14ac:dyDescent="0.25">
      <c r="A810" s="7">
        <v>1.2082636136674216E-2</v>
      </c>
      <c r="B810"/>
      <c r="C810"/>
      <c r="D810"/>
      <c r="E810"/>
      <c r="BR810" s="27" t="s">
        <v>7</v>
      </c>
      <c r="BW810" s="27" t="s">
        <v>8</v>
      </c>
      <c r="BX810" s="27" t="s">
        <v>7</v>
      </c>
      <c r="BY810" s="27" t="s">
        <v>8</v>
      </c>
      <c r="BZ810" s="27" t="s">
        <v>7</v>
      </c>
      <c r="CA810" s="27" t="s">
        <v>8</v>
      </c>
    </row>
    <row r="811" spans="1:101" x14ac:dyDescent="0.25">
      <c r="A811" s="7">
        <v>1.184572170262178E-2</v>
      </c>
      <c r="B811"/>
      <c r="C811"/>
      <c r="D811"/>
      <c r="E811"/>
      <c r="BR811" s="27" t="s">
        <v>7</v>
      </c>
      <c r="BW811" s="27" t="s">
        <v>8</v>
      </c>
      <c r="BX811" s="27" t="s">
        <v>7</v>
      </c>
      <c r="BY811" s="27" t="s">
        <v>8</v>
      </c>
      <c r="BZ811" s="27" t="s">
        <v>7</v>
      </c>
      <c r="CA811" s="27" t="s">
        <v>8</v>
      </c>
    </row>
    <row r="812" spans="1:101" x14ac:dyDescent="0.25">
      <c r="A812" s="7">
        <v>1.1613452649629196E-2</v>
      </c>
      <c r="B812"/>
      <c r="C812"/>
      <c r="D812"/>
      <c r="E812"/>
      <c r="BR812" s="27" t="s">
        <v>7</v>
      </c>
      <c r="BW812" s="27" t="s">
        <v>8</v>
      </c>
      <c r="BX812" s="27" t="s">
        <v>7</v>
      </c>
      <c r="BY812" s="27" t="s">
        <v>8</v>
      </c>
      <c r="BZ812" s="27" t="s">
        <v>7</v>
      </c>
      <c r="CA812" s="27" t="s">
        <v>8</v>
      </c>
    </row>
    <row r="813" spans="1:101" x14ac:dyDescent="0.25">
      <c r="A813" s="7">
        <v>1.138573789179333E-2</v>
      </c>
      <c r="B813"/>
      <c r="C813"/>
      <c r="D813"/>
      <c r="E813"/>
      <c r="BR813" s="27" t="s">
        <v>7</v>
      </c>
      <c r="BW813" s="27" t="s">
        <v>8</v>
      </c>
      <c r="BX813" s="27" t="s">
        <v>7</v>
      </c>
      <c r="BY813" s="27" t="s">
        <v>8</v>
      </c>
      <c r="BZ813" s="27" t="s">
        <v>7</v>
      </c>
      <c r="CA813" s="27" t="s">
        <v>8</v>
      </c>
    </row>
    <row r="814" spans="1:101" x14ac:dyDescent="0.25">
      <c r="A814" s="7">
        <v>1.1162488129209149E-2</v>
      </c>
      <c r="B814"/>
      <c r="C814"/>
      <c r="D814"/>
      <c r="E814"/>
      <c r="BR814" s="27" t="s">
        <v>7</v>
      </c>
      <c r="BW814" s="27" t="s">
        <v>8</v>
      </c>
      <c r="BX814" s="27" t="s">
        <v>7</v>
      </c>
      <c r="BY814" s="27" t="s">
        <v>8</v>
      </c>
      <c r="BZ814" s="27" t="s">
        <v>7</v>
      </c>
      <c r="CA814" s="27" t="s">
        <v>8</v>
      </c>
    </row>
    <row r="815" spans="1:101" x14ac:dyDescent="0.25">
      <c r="A815" s="7">
        <v>1.0943615812950145E-2</v>
      </c>
      <c r="B815"/>
      <c r="C815"/>
      <c r="D815"/>
      <c r="E815"/>
      <c r="BR815" s="27" t="s">
        <v>7</v>
      </c>
      <c r="BW815" s="27" t="s">
        <v>8</v>
      </c>
      <c r="BX815" s="27" t="s">
        <v>7</v>
      </c>
      <c r="BZ815" s="27" t="s">
        <v>7</v>
      </c>
    </row>
    <row r="816" spans="1:101" x14ac:dyDescent="0.25">
      <c r="A816" s="7">
        <v>1.0729035110735436E-2</v>
      </c>
      <c r="B816"/>
      <c r="C816"/>
      <c r="D816"/>
      <c r="E816"/>
      <c r="BR816" s="27" t="s">
        <v>7</v>
      </c>
      <c r="BW816" s="27" t="s">
        <v>8</v>
      </c>
    </row>
    <row r="817" spans="1:75" x14ac:dyDescent="0.25">
      <c r="A817" s="7">
        <v>1.0518661873270036E-2</v>
      </c>
      <c r="B817"/>
      <c r="C817"/>
      <c r="D817"/>
      <c r="E817"/>
      <c r="BR817" s="27" t="s">
        <v>7</v>
      </c>
      <c r="BW817" s="27" t="s">
        <v>8</v>
      </c>
    </row>
    <row r="818" spans="1:75" x14ac:dyDescent="0.25">
      <c r="A818" s="7">
        <v>1.0312413601245135E-2</v>
      </c>
      <c r="B818"/>
      <c r="C818"/>
      <c r="D818"/>
      <c r="E818"/>
      <c r="BR818" s="27" t="s">
        <v>7</v>
      </c>
      <c r="BW818" s="27" t="s">
        <v>8</v>
      </c>
    </row>
    <row r="819" spans="1:75" x14ac:dyDescent="0.25">
      <c r="A819" s="7">
        <v>1.0110209412985426E-2</v>
      </c>
      <c r="B819"/>
      <c r="C819"/>
      <c r="D819"/>
      <c r="E819"/>
      <c r="BR819" s="27" t="s">
        <v>7</v>
      </c>
      <c r="BS819" s="27" t="s">
        <v>8</v>
      </c>
      <c r="BW819" s="27" t="s">
        <v>8</v>
      </c>
    </row>
    <row r="820" spans="1:75" x14ac:dyDescent="0.25">
      <c r="A820" s="7">
        <v>9.9119700127308103E-3</v>
      </c>
      <c r="B820"/>
      <c r="C820"/>
      <c r="D820"/>
      <c r="E820"/>
      <c r="BR820" s="27" t="s">
        <v>7</v>
      </c>
      <c r="BS820" s="27" t="s">
        <v>8</v>
      </c>
      <c r="BT820" s="27" t="s">
        <v>7</v>
      </c>
      <c r="BW820" s="27" t="s">
        <v>8</v>
      </c>
    </row>
    <row r="821" spans="1:75" x14ac:dyDescent="0.25">
      <c r="A821" s="7">
        <v>9.717617659540009E-3</v>
      </c>
      <c r="B821"/>
      <c r="C821"/>
      <c r="D821"/>
      <c r="E821"/>
      <c r="BR821" s="27" t="s">
        <v>7</v>
      </c>
      <c r="BS821" s="27" t="s">
        <v>8</v>
      </c>
      <c r="BT821" s="27" t="s">
        <v>7</v>
      </c>
      <c r="BW821" s="27" t="s">
        <v>8</v>
      </c>
    </row>
    <row r="822" spans="1:75" x14ac:dyDescent="0.25">
      <c r="A822" s="7">
        <v>9.5270761368039299E-3</v>
      </c>
      <c r="B822"/>
      <c r="C822"/>
      <c r="D822"/>
      <c r="E822"/>
      <c r="BR822" s="27" t="s">
        <v>7</v>
      </c>
      <c r="BS822" s="27" t="s">
        <v>8</v>
      </c>
      <c r="BT822" s="27" t="s">
        <v>7</v>
      </c>
      <c r="BW822" s="27" t="s">
        <v>8</v>
      </c>
    </row>
    <row r="823" spans="1:75" x14ac:dyDescent="0.25">
      <c r="A823" s="7">
        <v>9.3402707223567936E-3</v>
      </c>
      <c r="B823"/>
      <c r="C823"/>
      <c r="D823"/>
      <c r="E823"/>
      <c r="BR823" s="27" t="s">
        <v>7</v>
      </c>
      <c r="BS823" s="27" t="s">
        <v>8</v>
      </c>
      <c r="BT823" s="27" t="s">
        <v>7</v>
      </c>
      <c r="BW823" s="27" t="s">
        <v>8</v>
      </c>
    </row>
    <row r="824" spans="1:75" x14ac:dyDescent="0.25">
      <c r="A824" s="7">
        <v>9.1571281591733261E-3</v>
      </c>
      <c r="B824"/>
      <c r="C824"/>
      <c r="D824"/>
      <c r="E824"/>
      <c r="BR824" s="27" t="s">
        <v>7</v>
      </c>
      <c r="BS824" s="27" t="s">
        <v>8</v>
      </c>
      <c r="BT824" s="27" t="s">
        <v>7</v>
      </c>
      <c r="BW824" s="27" t="s">
        <v>8</v>
      </c>
    </row>
    <row r="825" spans="1:75" x14ac:dyDescent="0.25">
      <c r="A825" s="7">
        <v>8.9775766266405148E-3</v>
      </c>
      <c r="B825"/>
      <c r="C825"/>
      <c r="D825"/>
      <c r="E825"/>
      <c r="BR825" s="27" t="s">
        <v>7</v>
      </c>
      <c r="BS825" s="27" t="s">
        <v>8</v>
      </c>
      <c r="BT825" s="27" t="s">
        <v>7</v>
      </c>
      <c r="BW825" s="27" t="s">
        <v>8</v>
      </c>
    </row>
    <row r="826" spans="1:75" x14ac:dyDescent="0.25">
      <c r="A826" s="7">
        <v>8.8015457123926614E-3</v>
      </c>
      <c r="B826"/>
      <c r="C826"/>
      <c r="D826"/>
      <c r="E826"/>
      <c r="BR826" s="27" t="s">
        <v>7</v>
      </c>
      <c r="BS826" s="27" t="s">
        <v>8</v>
      </c>
      <c r="BT826" s="27" t="s">
        <v>7</v>
      </c>
      <c r="BW826" s="27" t="s">
        <v>8</v>
      </c>
    </row>
    <row r="827" spans="1:75" x14ac:dyDescent="0.25">
      <c r="A827" s="7">
        <v>8.6289663846986879E-3</v>
      </c>
      <c r="B827"/>
      <c r="C827"/>
      <c r="D827"/>
      <c r="E827"/>
      <c r="BR827" s="27" t="s">
        <v>7</v>
      </c>
      <c r="BS827" s="27" t="s">
        <v>8</v>
      </c>
      <c r="BT827" s="27" t="s">
        <v>7</v>
      </c>
      <c r="BW827" s="27" t="s">
        <v>8</v>
      </c>
    </row>
    <row r="828" spans="1:75" x14ac:dyDescent="0.25">
      <c r="A828" s="7">
        <v>8.4597709653908715E-3</v>
      </c>
      <c r="B828"/>
      <c r="C828"/>
      <c r="D828"/>
      <c r="E828"/>
      <c r="BR828" s="27" t="s">
        <v>7</v>
      </c>
      <c r="BS828" s="27" t="s">
        <v>8</v>
      </c>
      <c r="BT828" s="27" t="s">
        <v>7</v>
      </c>
      <c r="BU828" s="27" t="s">
        <v>8</v>
      </c>
      <c r="BW828" s="27" t="s">
        <v>8</v>
      </c>
    </row>
    <row r="829" spans="1:75" x14ac:dyDescent="0.25">
      <c r="A829" s="7">
        <v>8.2938931033243839E-3</v>
      </c>
      <c r="B829"/>
      <c r="C829"/>
      <c r="D829"/>
      <c r="E829"/>
      <c r="BR829" s="27" t="s">
        <v>7</v>
      </c>
      <c r="BS829" s="27" t="s">
        <v>8</v>
      </c>
      <c r="BT829" s="27" t="s">
        <v>7</v>
      </c>
      <c r="BU829" s="27" t="s">
        <v>8</v>
      </c>
      <c r="BV829" s="27" t="s">
        <v>7</v>
      </c>
      <c r="BW829" s="27" t="s">
        <v>8</v>
      </c>
    </row>
    <row r="830" spans="1:75" x14ac:dyDescent="0.25">
      <c r="A830" s="7">
        <v>8.1312677483572383E-3</v>
      </c>
      <c r="B830"/>
      <c r="C830"/>
      <c r="D830"/>
      <c r="E830"/>
      <c r="BR830" s="27" t="s">
        <v>7</v>
      </c>
      <c r="BS830" s="27" t="s">
        <v>8</v>
      </c>
      <c r="BT830" s="27" t="s">
        <v>7</v>
      </c>
      <c r="BU830" s="27" t="s">
        <v>8</v>
      </c>
      <c r="BV830" s="27" t="s">
        <v>7</v>
      </c>
      <c r="BW830" s="27" t="s">
        <v>8</v>
      </c>
    </row>
    <row r="831" spans="1:75" x14ac:dyDescent="0.25">
      <c r="A831" s="7">
        <v>7.9718311258404305E-3</v>
      </c>
      <c r="B831"/>
      <c r="C831"/>
      <c r="D831"/>
      <c r="E831"/>
      <c r="BR831" s="27" t="s">
        <v>7</v>
      </c>
      <c r="BS831" s="27" t="s">
        <v>8</v>
      </c>
      <c r="BT831" s="27" t="s">
        <v>7</v>
      </c>
      <c r="BU831" s="27" t="s">
        <v>8</v>
      </c>
      <c r="BV831" s="27" t="s">
        <v>7</v>
      </c>
      <c r="BW831" s="27" t="s">
        <v>8</v>
      </c>
    </row>
    <row r="832" spans="1:75" x14ac:dyDescent="0.25">
      <c r="A832" s="7">
        <v>7.8155207116082648E-3</v>
      </c>
      <c r="B832"/>
      <c r="C832"/>
      <c r="D832"/>
      <c r="E832"/>
      <c r="BR832" s="27" t="s">
        <v>7</v>
      </c>
      <c r="BS832" s="27" t="s">
        <v>8</v>
      </c>
      <c r="BT832" s="27" t="s">
        <v>7</v>
      </c>
      <c r="BU832" s="27" t="s">
        <v>8</v>
      </c>
      <c r="BV832" s="27" t="s">
        <v>7</v>
      </c>
      <c r="BW832" s="27" t="s">
        <v>8</v>
      </c>
    </row>
    <row r="833" spans="1:75" x14ac:dyDescent="0.25">
      <c r="A833" s="7">
        <v>7.6622752074590825E-3</v>
      </c>
      <c r="B833"/>
      <c r="C833"/>
      <c r="D833"/>
      <c r="E833"/>
      <c r="BR833" s="27" t="s">
        <v>7</v>
      </c>
      <c r="BS833" s="27" t="s">
        <v>8</v>
      </c>
      <c r="BT833" s="27" t="s">
        <v>7</v>
      </c>
      <c r="BU833" s="27" t="s">
        <v>8</v>
      </c>
      <c r="BV833" s="27" t="s">
        <v>7</v>
      </c>
      <c r="BW833" s="27" t="s">
        <v>8</v>
      </c>
    </row>
    <row r="834" spans="1:75" x14ac:dyDescent="0.25">
      <c r="A834" s="7">
        <v>7.5120345171167469E-3</v>
      </c>
      <c r="B834"/>
      <c r="C834"/>
      <c r="D834"/>
      <c r="E834"/>
      <c r="BR834" s="27" t="s">
        <v>7</v>
      </c>
      <c r="BS834" s="27" t="s">
        <v>8</v>
      </c>
      <c r="BT834" s="27" t="s">
        <v>7</v>
      </c>
      <c r="BU834" s="27" t="s">
        <v>8</v>
      </c>
      <c r="BV834" s="27" t="s">
        <v>7</v>
      </c>
    </row>
    <row r="835" spans="1:75" x14ac:dyDescent="0.25">
      <c r="A835" s="7">
        <v>7.3647397226634772E-3</v>
      </c>
      <c r="B835"/>
      <c r="C835"/>
      <c r="D835"/>
      <c r="E835"/>
      <c r="BR835" s="27" t="s">
        <v>7</v>
      </c>
      <c r="BS835" s="27" t="s">
        <v>8</v>
      </c>
      <c r="BT835" s="27" t="s">
        <v>7</v>
      </c>
      <c r="BU835" s="27" t="s">
        <v>8</v>
      </c>
    </row>
    <row r="836" spans="1:75" x14ac:dyDescent="0.25">
      <c r="A836" s="7">
        <v>7.2203330614347815E-3</v>
      </c>
      <c r="B836"/>
      <c r="C836"/>
      <c r="D836"/>
      <c r="E836"/>
      <c r="BR836" s="27" t="s">
        <v>7</v>
      </c>
      <c r="BS836" s="27" t="s">
        <v>8</v>
      </c>
      <c r="BT836" s="27" t="s">
        <v>7</v>
      </c>
      <c r="BU836" s="27" t="s">
        <v>8</v>
      </c>
    </row>
    <row r="837" spans="1:75" x14ac:dyDescent="0.25">
      <c r="A837" s="7">
        <v>7.0787579033674327E-3</v>
      </c>
      <c r="B837"/>
      <c r="C837"/>
      <c r="D837"/>
      <c r="E837"/>
      <c r="BR837" s="27" t="s">
        <v>7</v>
      </c>
      <c r="BS837" s="27" t="s">
        <v>8</v>
      </c>
      <c r="BT837" s="27" t="s">
        <v>7</v>
      </c>
      <c r="BU837" s="27" t="s">
        <v>8</v>
      </c>
    </row>
    <row r="838" spans="1:75" x14ac:dyDescent="0.25">
      <c r="A838" s="7">
        <v>6.9399587287916013E-3</v>
      </c>
      <c r="B838"/>
      <c r="C838"/>
      <c r="D838"/>
      <c r="E838"/>
      <c r="BR838" s="27" t="s">
        <v>7</v>
      </c>
      <c r="BS838" s="27" t="s">
        <v>8</v>
      </c>
      <c r="BT838" s="27" t="s">
        <v>7</v>
      </c>
    </row>
    <row r="839" spans="1:75" x14ac:dyDescent="0.25">
      <c r="A839" s="7">
        <v>6.8038811066584333E-3</v>
      </c>
      <c r="B839"/>
      <c r="C839"/>
      <c r="D839"/>
      <c r="E839"/>
      <c r="BR839" s="27" t="s">
        <v>7</v>
      </c>
      <c r="BS839" s="27" t="s">
        <v>8</v>
      </c>
    </row>
    <row r="840" spans="1:75" x14ac:dyDescent="0.25">
      <c r="A840" s="7">
        <v>6.6704716731945425E-3</v>
      </c>
      <c r="B840"/>
      <c r="C840"/>
      <c r="D840"/>
      <c r="E840"/>
      <c r="BR840" s="27" t="s">
        <v>7</v>
      </c>
      <c r="BS840" s="27" t="s">
        <v>8</v>
      </c>
    </row>
    <row r="841" spans="1:75" x14ac:dyDescent="0.25">
      <c r="A841" s="7">
        <v>6.5396781109750427E-3</v>
      </c>
      <c r="B841"/>
      <c r="C841"/>
      <c r="D841"/>
      <c r="E841"/>
      <c r="BR841" s="27" t="s">
        <v>7</v>
      </c>
      <c r="BS841" s="27" t="s">
        <v>8</v>
      </c>
    </row>
    <row r="842" spans="1:75" x14ac:dyDescent="0.25">
      <c r="A842" s="7">
        <v>6.4114491284069045E-3</v>
      </c>
      <c r="B842"/>
      <c r="C842"/>
      <c r="D842"/>
      <c r="E842"/>
      <c r="BR842" s="27" t="s">
        <v>7</v>
      </c>
      <c r="BS842" s="27" t="s">
        <v>8</v>
      </c>
    </row>
    <row r="843" spans="1:75" x14ac:dyDescent="0.25">
      <c r="A843" s="7">
        <v>6.2857344396146115E-3</v>
      </c>
      <c r="B843"/>
      <c r="C843"/>
      <c r="D843"/>
      <c r="E843"/>
      <c r="BR843" s="27" t="s">
        <v>7</v>
      </c>
      <c r="BS843" s="27" t="s">
        <v>8</v>
      </c>
    </row>
    <row r="844" spans="1:75" x14ac:dyDescent="0.25">
      <c r="A844" s="7">
        <v>6.1624847447202076E-3</v>
      </c>
      <c r="B844"/>
      <c r="C844"/>
      <c r="D844"/>
      <c r="E844"/>
      <c r="BR844" s="27" t="s">
        <v>7</v>
      </c>
      <c r="BS844" s="27" t="s">
        <v>8</v>
      </c>
    </row>
    <row r="845" spans="1:75" x14ac:dyDescent="0.25">
      <c r="A845" s="7">
        <v>6.0416517105100079E-3</v>
      </c>
      <c r="B845"/>
      <c r="C845"/>
      <c r="D845"/>
      <c r="E845"/>
      <c r="BR845" s="27" t="s">
        <v>7</v>
      </c>
      <c r="BS845" s="27" t="s">
        <v>8</v>
      </c>
    </row>
    <row r="846" spans="1:75" x14ac:dyDescent="0.25">
      <c r="A846" s="7">
        <v>5.9231879514803996E-3</v>
      </c>
      <c r="B846"/>
      <c r="C846"/>
      <c r="D846"/>
      <c r="E846"/>
      <c r="BR846" s="27" t="s">
        <v>7</v>
      </c>
      <c r="BS846" s="27" t="s">
        <v>8</v>
      </c>
    </row>
    <row r="847" spans="1:75" x14ac:dyDescent="0.25">
      <c r="A847" s="7">
        <v>5.8070470112552936E-3</v>
      </c>
      <c r="B847"/>
      <c r="C847"/>
      <c r="D847"/>
      <c r="E847"/>
      <c r="BR847" s="27" t="s">
        <v>7</v>
      </c>
      <c r="BS847" s="27" t="s">
        <v>8</v>
      </c>
    </row>
    <row r="848" spans="1:75" x14ac:dyDescent="0.25">
      <c r="A848" s="7">
        <v>5.6931833443679353E-3</v>
      </c>
      <c r="B848"/>
      <c r="C848"/>
      <c r="D848"/>
      <c r="E848"/>
      <c r="BR848" s="27" t="s">
        <v>7</v>
      </c>
      <c r="BS848" s="27" t="s">
        <v>8</v>
      </c>
    </row>
    <row r="849" spans="1:70" x14ac:dyDescent="0.25">
      <c r="A849" s="7">
        <v>5.5815522983999367E-3</v>
      </c>
      <c r="B849"/>
      <c r="C849"/>
      <c r="D849"/>
      <c r="E849"/>
      <c r="BR849" s="27" t="s">
        <v>7</v>
      </c>
    </row>
    <row r="850" spans="1:70" x14ac:dyDescent="0.25">
      <c r="A850" s="7">
        <v>5.4721100964705257E-3</v>
      </c>
      <c r="B850"/>
      <c r="C850"/>
      <c r="D850"/>
      <c r="E850"/>
    </row>
    <row r="851" spans="1:70" x14ac:dyDescent="0.25">
      <c r="A851" s="7">
        <v>5.3648138200691423E-3</v>
      </c>
      <c r="B851"/>
      <c r="C851"/>
      <c r="D851"/>
      <c r="E851"/>
    </row>
    <row r="852" spans="1:70" x14ac:dyDescent="0.25">
      <c r="A852" s="7">
        <v>5.2596213922246494E-3</v>
      </c>
      <c r="B852"/>
      <c r="C852"/>
      <c r="D852"/>
      <c r="E852"/>
    </row>
    <row r="853" spans="1:70" x14ac:dyDescent="0.25">
      <c r="A853" s="7">
        <v>5.1564915610045588E-3</v>
      </c>
      <c r="B853"/>
      <c r="C853"/>
      <c r="D853"/>
      <c r="E853"/>
    </row>
    <row r="854" spans="1:70" x14ac:dyDescent="0.25">
      <c r="A854" s="7">
        <v>5.0553838833378023E-3</v>
      </c>
      <c r="B854"/>
      <c r="C854"/>
      <c r="D854"/>
      <c r="E854"/>
    </row>
    <row r="855" spans="1:70" x14ac:dyDescent="0.25">
      <c r="A855" s="7">
        <v>4.9562587091547079E-3</v>
      </c>
      <c r="B855"/>
      <c r="C855"/>
      <c r="D855"/>
      <c r="E855"/>
    </row>
    <row r="856" spans="1:70" x14ac:dyDescent="0.25">
      <c r="A856" s="7">
        <v>4.8590771658379491E-3</v>
      </c>
      <c r="B856"/>
      <c r="C856"/>
      <c r="D856"/>
      <c r="E856"/>
    </row>
    <row r="857" spans="1:70" x14ac:dyDescent="0.25">
      <c r="A857" s="7">
        <v>4.7638011429783815E-3</v>
      </c>
      <c r="B857"/>
      <c r="C857"/>
      <c r="D857"/>
      <c r="E857"/>
    </row>
    <row r="858" spans="1:70" x14ac:dyDescent="0.25">
      <c r="A858" s="7">
        <v>4.6703932774297859E-3</v>
      </c>
      <c r="B858"/>
      <c r="C858"/>
      <c r="D858"/>
      <c r="E858"/>
    </row>
    <row r="859" spans="1:70" x14ac:dyDescent="0.25">
      <c r="A859" s="7">
        <v>4.5788169386566527E-3</v>
      </c>
      <c r="B859"/>
      <c r="C859"/>
      <c r="D859"/>
      <c r="E859"/>
    </row>
    <row r="860" spans="1:70" x14ac:dyDescent="0.25">
      <c r="A860" s="7">
        <v>4.4890362143692672E-3</v>
      </c>
      <c r="B860"/>
      <c r="C860"/>
      <c r="D860"/>
      <c r="E860"/>
    </row>
    <row r="861" spans="1:70" x14ac:dyDescent="0.25">
      <c r="A861" s="7">
        <v>4.4010158964404578E-3</v>
      </c>
      <c r="B861"/>
      <c r="C861"/>
      <c r="D861"/>
      <c r="E861"/>
    </row>
    <row r="862" spans="1:70" x14ac:dyDescent="0.25">
      <c r="A862" s="7">
        <v>4.314721467098488E-3</v>
      </c>
      <c r="B862"/>
      <c r="C862"/>
      <c r="D862"/>
      <c r="E862"/>
    </row>
    <row r="863" spans="1:70" x14ac:dyDescent="0.25">
      <c r="A863" s="7">
        <v>4.2301190853906746E-3</v>
      </c>
      <c r="B863"/>
      <c r="C863"/>
      <c r="D863"/>
      <c r="E863"/>
    </row>
    <row r="864" spans="1:70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245" operator="equal">
      <formula>$U$1</formula>
    </cfRule>
    <cfRule type="cellIs" dxfId="89" priority="1246" operator="equal">
      <formula>$S$1</formula>
    </cfRule>
  </conditionalFormatting>
  <conditionalFormatting sqref="D27">
    <cfRule type="cellIs" dxfId="88" priority="1243" operator="equal">
      <formula>$S$1</formula>
    </cfRule>
    <cfRule type="cellIs" dxfId="87" priority="1244" operator="equal">
      <formula>$U$1</formula>
    </cfRule>
  </conditionalFormatting>
  <conditionalFormatting sqref="C164">
    <cfRule type="cellIs" dxfId="86" priority="1241" operator="equal">
      <formula>$U$1</formula>
    </cfRule>
    <cfRule type="cellIs" dxfId="85" priority="1242" operator="equal">
      <formula>$S$1</formula>
    </cfRule>
  </conditionalFormatting>
  <conditionalFormatting sqref="D164">
    <cfRule type="cellIs" dxfId="84" priority="1239" operator="equal">
      <formula>$S$1</formula>
    </cfRule>
    <cfRule type="cellIs" dxfId="83" priority="1240" operator="equal">
      <formula>$U$1</formula>
    </cfRule>
  </conditionalFormatting>
  <conditionalFormatting sqref="C55">
    <cfRule type="cellIs" dxfId="82" priority="1237" operator="equal">
      <formula>$U$1</formula>
    </cfRule>
    <cfRule type="cellIs" dxfId="81" priority="1238" operator="equal">
      <formula>$S$1</formula>
    </cfRule>
  </conditionalFormatting>
  <conditionalFormatting sqref="D55">
    <cfRule type="cellIs" dxfId="80" priority="1235" operator="equal">
      <formula>$S$1</formula>
    </cfRule>
    <cfRule type="cellIs" dxfId="79" priority="1236" operator="equal">
      <formula>$U$1</formula>
    </cfRule>
  </conditionalFormatting>
  <conditionalFormatting sqref="C89">
    <cfRule type="cellIs" dxfId="78" priority="1233" operator="equal">
      <formula>$U$1</formula>
    </cfRule>
    <cfRule type="cellIs" dxfId="77" priority="1234" operator="equal">
      <formula>$S$1</formula>
    </cfRule>
  </conditionalFormatting>
  <conditionalFormatting sqref="D89">
    <cfRule type="cellIs" dxfId="76" priority="1231" operator="equal">
      <formula>$S$1</formula>
    </cfRule>
    <cfRule type="cellIs" dxfId="75" priority="1232" operator="equal">
      <formula>$U$1</formula>
    </cfRule>
  </conditionalFormatting>
  <conditionalFormatting sqref="C136">
    <cfRule type="cellIs" dxfId="74" priority="1229" operator="equal">
      <formula>$U$1</formula>
    </cfRule>
    <cfRule type="cellIs" dxfId="73" priority="1230" operator="equal">
      <formula>$S$1</formula>
    </cfRule>
  </conditionalFormatting>
  <conditionalFormatting sqref="D136">
    <cfRule type="cellIs" dxfId="72" priority="1227" operator="equal">
      <formula>$S$1</formula>
    </cfRule>
    <cfRule type="cellIs" dxfId="71" priority="1228" operator="equal">
      <formula>$U$1</formula>
    </cfRule>
  </conditionalFormatting>
  <conditionalFormatting sqref="C1">
    <cfRule type="cellIs" dxfId="70" priority="1226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29" zoomScale="90" zoomScaleNormal="90" workbookViewId="0">
      <pane xSplit="4" topLeftCell="DX1" activePane="topRight" state="frozen"/>
      <selection activeCell="A109" sqref="A109"/>
      <selection pane="topRight" activeCell="GS272" sqref="GS272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$A$271</v>
      </c>
      <c r="D111" s="1" t="str">
        <f>ADDRESS(C121-1,D121,1,1)</f>
        <v>$GS$271</v>
      </c>
      <c r="E111"/>
    </row>
    <row r="112" spans="1:5" x14ac:dyDescent="0.25">
      <c r="A112" s="30">
        <v>515.50191262726139</v>
      </c>
      <c r="C112" s="1" t="str">
        <f>ADDRESS(C121,1,1,1)</f>
        <v>$A$272</v>
      </c>
      <c r="D112" s="1" t="str">
        <f>ADDRESS(C121,D121-1,1,1)</f>
        <v>$GR$272</v>
      </c>
      <c r="E112"/>
    </row>
    <row r="113" spans="1:5" x14ac:dyDescent="0.25">
      <c r="A113" s="30">
        <v>490.95420250215363</v>
      </c>
      <c r="C113" s="1" t="str">
        <f>ADDRESS(C121+1,1,1,1)</f>
        <v>$A$273</v>
      </c>
      <c r="D113" s="1" t="str">
        <f>ADDRESS(C121-1,D121+1,1,1)</f>
        <v>$GT$271</v>
      </c>
    </row>
    <row r="114" spans="1:5" x14ac:dyDescent="0.25">
      <c r="A114" s="30">
        <v>467.57543095443202</v>
      </c>
      <c r="C114" s="1" t="str">
        <f>ADDRESS(C121,D121,1,1)</f>
        <v>$GS$272</v>
      </c>
      <c r="D114" s="1" t="str">
        <f>ADDRESS(C121+1,D121+1,1,1)</f>
        <v>$GT$273</v>
      </c>
    </row>
    <row r="115" spans="1:5" x14ac:dyDescent="0.25">
      <c r="A115" s="30">
        <v>445.30993424231622</v>
      </c>
      <c r="C115" s="1" t="str">
        <f>ADDRESS(C121+1,D121,1,1)</f>
        <v>$GS$273</v>
      </c>
    </row>
    <row r="116" spans="1:5" x14ac:dyDescent="0.25">
      <c r="A116" s="30">
        <v>424.10469927839637</v>
      </c>
      <c r="C116" s="1">
        <f>C117-1</f>
        <v>271</v>
      </c>
    </row>
    <row r="117" spans="1:5" x14ac:dyDescent="0.25">
      <c r="A117" s="30">
        <v>403.9092374079965</v>
      </c>
      <c r="C117" s="1">
        <f>C121</f>
        <v>272</v>
      </c>
      <c r="D117" s="1">
        <f>D121</f>
        <v>201</v>
      </c>
    </row>
    <row r="118" spans="1:5" x14ac:dyDescent="0.25">
      <c r="A118" s="30">
        <v>384.6754641980919</v>
      </c>
      <c r="C118" s="1">
        <f>C117+1</f>
        <v>273</v>
      </c>
      <c r="D118" s="1">
        <f>D117+1</f>
        <v>202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272</v>
      </c>
      <c r="D121" s="19">
        <v>201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R272</v>
      </c>
      <c r="D123" s="1" t="str">
        <f>"C"&amp;D121</f>
        <v>C201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0.20986616658127455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132" x14ac:dyDescent="0.25">
      <c r="A225" s="30">
        <v>2.0789281794113688</v>
      </c>
      <c r="E225"/>
    </row>
    <row r="226" spans="1:132" x14ac:dyDescent="0.25">
      <c r="A226" s="30">
        <v>1.9799315994393987</v>
      </c>
      <c r="E226"/>
    </row>
    <row r="227" spans="1:132" x14ac:dyDescent="0.25">
      <c r="A227" s="30">
        <v>1.8856491423232367</v>
      </c>
      <c r="E227"/>
    </row>
    <row r="228" spans="1:132" x14ac:dyDescent="0.25">
      <c r="A228" s="30">
        <v>1.7958563260221301</v>
      </c>
      <c r="C228" s="7"/>
      <c r="D228"/>
      <c r="E228"/>
    </row>
    <row r="229" spans="1:132" x14ac:dyDescent="0.25">
      <c r="A229" s="30">
        <v>1.7103393581163142</v>
      </c>
      <c r="E229"/>
    </row>
    <row r="230" spans="1:132" x14ac:dyDescent="0.25">
      <c r="A230" s="30">
        <v>1.628894626777442</v>
      </c>
      <c r="E230"/>
    </row>
    <row r="231" spans="1:132" x14ac:dyDescent="0.25">
      <c r="A231" s="30">
        <v>1.5513282159785162</v>
      </c>
      <c r="C231"/>
      <c r="D231"/>
      <c r="E231"/>
    </row>
    <row r="232" spans="1:132" x14ac:dyDescent="0.25">
      <c r="A232" s="30">
        <v>1.477455443789063</v>
      </c>
      <c r="E232"/>
      <c r="EA232" s="27" t="s">
        <v>8</v>
      </c>
    </row>
    <row r="233" spans="1:132" x14ac:dyDescent="0.25">
      <c r="A233" s="30">
        <v>1.4071004226562505</v>
      </c>
      <c r="E233"/>
      <c r="EA233" s="27" t="s">
        <v>8</v>
      </c>
      <c r="EB233" s="27" t="s">
        <v>7</v>
      </c>
    </row>
    <row r="234" spans="1:132" x14ac:dyDescent="0.25">
      <c r="A234" s="30">
        <v>1.3400956406250004</v>
      </c>
      <c r="E234"/>
      <c r="EA234" s="27" t="s">
        <v>8</v>
      </c>
      <c r="EB234" s="27" t="s">
        <v>7</v>
      </c>
    </row>
    <row r="235" spans="1:132" x14ac:dyDescent="0.25">
      <c r="A235" s="30">
        <v>1.2762815625000004</v>
      </c>
      <c r="C235"/>
      <c r="E235"/>
      <c r="EA235" s="27" t="s">
        <v>8</v>
      </c>
      <c r="EB235" s="27" t="s">
        <v>7</v>
      </c>
    </row>
    <row r="236" spans="1:132" x14ac:dyDescent="0.25">
      <c r="A236" s="30">
        <v>1.2155062500000002</v>
      </c>
      <c r="E236"/>
      <c r="EA236" s="27" t="s">
        <v>8</v>
      </c>
      <c r="EB236" s="27" t="s">
        <v>7</v>
      </c>
    </row>
    <row r="237" spans="1:132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EA237" s="27" t="s">
        <v>8</v>
      </c>
      <c r="EB237" s="27" t="s">
        <v>7</v>
      </c>
    </row>
    <row r="238" spans="1:132" x14ac:dyDescent="0.25">
      <c r="A238" s="30">
        <v>1.1025</v>
      </c>
      <c r="E238"/>
      <c r="EA238" s="27" t="s">
        <v>8</v>
      </c>
      <c r="EB238" s="27" t="s">
        <v>7</v>
      </c>
    </row>
    <row r="239" spans="1:132" x14ac:dyDescent="0.25">
      <c r="A239" s="30">
        <v>1.05</v>
      </c>
      <c r="E239"/>
      <c r="EA239" s="27" t="s">
        <v>8</v>
      </c>
      <c r="EB239" s="27" t="s">
        <v>7</v>
      </c>
    </row>
    <row r="240" spans="1:132" x14ac:dyDescent="0.25">
      <c r="A240" s="30">
        <v>1</v>
      </c>
      <c r="E240" s="29" t="s">
        <v>8</v>
      </c>
      <c r="EA240" s="27" t="s">
        <v>8</v>
      </c>
      <c r="EB240" s="27" t="s">
        <v>7</v>
      </c>
    </row>
    <row r="241" spans="1:192" x14ac:dyDescent="0.25">
      <c r="A241" s="30">
        <v>0.952380952380952</v>
      </c>
      <c r="B241"/>
      <c r="C241"/>
      <c r="D241"/>
      <c r="E241"/>
      <c r="F241" s="27" t="s">
        <v>7</v>
      </c>
      <c r="EA241" s="27" t="s">
        <v>8</v>
      </c>
      <c r="EB241" s="27" t="s">
        <v>7</v>
      </c>
    </row>
    <row r="242" spans="1:192" x14ac:dyDescent="0.25">
      <c r="A242" s="30">
        <v>0.90702947845804915</v>
      </c>
      <c r="B242"/>
      <c r="C242"/>
      <c r="D242"/>
      <c r="E242"/>
      <c r="F242" s="27" t="s">
        <v>7</v>
      </c>
      <c r="EA242" s="27" t="s">
        <v>8</v>
      </c>
      <c r="EB242" s="27" t="s">
        <v>7</v>
      </c>
      <c r="EC242" s="27" t="s">
        <v>8</v>
      </c>
    </row>
    <row r="243" spans="1:192" x14ac:dyDescent="0.25">
      <c r="A243" s="30">
        <v>0.86383759853147501</v>
      </c>
      <c r="B243"/>
      <c r="C243"/>
      <c r="D243"/>
      <c r="E243"/>
      <c r="F243" s="27" t="s">
        <v>7</v>
      </c>
      <c r="EA243" s="27" t="s">
        <v>8</v>
      </c>
      <c r="EB243" s="27" t="s">
        <v>7</v>
      </c>
      <c r="EC243" s="27" t="s">
        <v>8</v>
      </c>
      <c r="ED243" s="27" t="s">
        <v>7</v>
      </c>
      <c r="EG243" s="27" t="s">
        <v>8</v>
      </c>
      <c r="EK243" s="27" t="s">
        <v>8</v>
      </c>
    </row>
    <row r="244" spans="1:192" x14ac:dyDescent="0.25">
      <c r="A244" s="30">
        <v>0.82270247479188063</v>
      </c>
      <c r="B244"/>
      <c r="C244"/>
      <c r="D244"/>
      <c r="E244"/>
      <c r="F244" s="27" t="s">
        <v>7</v>
      </c>
      <c r="EA244" s="27" t="s">
        <v>8</v>
      </c>
      <c r="EB244" s="27" t="s">
        <v>7</v>
      </c>
      <c r="EC244" s="27" t="s">
        <v>8</v>
      </c>
      <c r="ED244" s="27" t="s">
        <v>7</v>
      </c>
      <c r="EG244" s="27" t="s">
        <v>8</v>
      </c>
      <c r="EH244" s="27" t="s">
        <v>7</v>
      </c>
      <c r="EK244" s="27" t="s">
        <v>8</v>
      </c>
      <c r="EL244" s="27" t="s">
        <v>7</v>
      </c>
    </row>
    <row r="245" spans="1:192" x14ac:dyDescent="0.25">
      <c r="A245" s="30">
        <v>0.78352616646845741</v>
      </c>
      <c r="B245"/>
      <c r="C245"/>
      <c r="D245"/>
      <c r="E245"/>
      <c r="F245" s="27" t="s">
        <v>7</v>
      </c>
      <c r="EA245" s="27" t="s">
        <v>8</v>
      </c>
      <c r="EB245" s="27" t="s">
        <v>7</v>
      </c>
      <c r="EC245" s="27" t="s">
        <v>8</v>
      </c>
      <c r="ED245" s="27" t="s">
        <v>7</v>
      </c>
      <c r="EG245" s="27" t="s">
        <v>8</v>
      </c>
      <c r="EH245" s="27" t="s">
        <v>7</v>
      </c>
      <c r="EK245" s="27" t="s">
        <v>8</v>
      </c>
      <c r="EL245" s="27" t="s">
        <v>7</v>
      </c>
      <c r="GC245" s="27" t="s">
        <v>8</v>
      </c>
    </row>
    <row r="246" spans="1:192" x14ac:dyDescent="0.25">
      <c r="A246" s="30">
        <v>0.74621539663662584</v>
      </c>
      <c r="B246"/>
      <c r="C246"/>
      <c r="D246"/>
      <c r="E246"/>
      <c r="F246" s="27" t="s">
        <v>7</v>
      </c>
      <c r="EA246" s="27" t="s">
        <v>8</v>
      </c>
      <c r="EB246" s="27" t="s">
        <v>7</v>
      </c>
      <c r="ED246" s="27" t="s">
        <v>7</v>
      </c>
      <c r="EG246" s="27" t="s">
        <v>8</v>
      </c>
      <c r="EH246" s="27" t="s">
        <v>7</v>
      </c>
      <c r="EK246" s="27" t="s">
        <v>8</v>
      </c>
      <c r="EL246" s="27" t="s">
        <v>7</v>
      </c>
      <c r="GC246" s="27" t="s">
        <v>8</v>
      </c>
      <c r="GD246" s="27" t="s">
        <v>7</v>
      </c>
    </row>
    <row r="247" spans="1:192" x14ac:dyDescent="0.25">
      <c r="A247" s="30">
        <v>0.71068133013011958</v>
      </c>
      <c r="B247"/>
      <c r="C247"/>
      <c r="D247"/>
      <c r="E247"/>
      <c r="F247" s="27" t="s">
        <v>7</v>
      </c>
      <c r="EA247" s="27" t="s">
        <v>8</v>
      </c>
      <c r="ED247" s="27" t="s">
        <v>7</v>
      </c>
      <c r="EG247" s="27" t="s">
        <v>8</v>
      </c>
      <c r="EH247" s="27" t="s">
        <v>7</v>
      </c>
      <c r="EI247" s="27" t="s">
        <v>8</v>
      </c>
      <c r="EK247" s="27" t="s">
        <v>8</v>
      </c>
      <c r="EL247" s="27" t="s">
        <v>7</v>
      </c>
      <c r="EO247" s="27" t="s">
        <v>8</v>
      </c>
      <c r="FW247" s="27" t="s">
        <v>8</v>
      </c>
      <c r="GA247" s="27" t="s">
        <v>8</v>
      </c>
      <c r="GC247" s="27" t="s">
        <v>8</v>
      </c>
      <c r="GD247" s="27" t="s">
        <v>7</v>
      </c>
      <c r="GE247" s="27" t="s">
        <v>8</v>
      </c>
    </row>
    <row r="248" spans="1:192" x14ac:dyDescent="0.25">
      <c r="A248" s="30">
        <v>0.676839362028685</v>
      </c>
      <c r="B248"/>
      <c r="C248"/>
      <c r="D248"/>
      <c r="E248"/>
      <c r="F248" s="27" t="s">
        <v>7</v>
      </c>
      <c r="EA248" s="27" t="s">
        <v>8</v>
      </c>
      <c r="ED248" s="27" t="s">
        <v>7</v>
      </c>
      <c r="EE248" s="27" t="s">
        <v>8</v>
      </c>
      <c r="EG248" s="27" t="s">
        <v>8</v>
      </c>
      <c r="EH248" s="27" t="s">
        <v>7</v>
      </c>
      <c r="EI248" s="27" t="s">
        <v>8</v>
      </c>
      <c r="EJ248" s="27" t="s">
        <v>7</v>
      </c>
      <c r="EK248" s="27" t="s">
        <v>8</v>
      </c>
      <c r="EL248" s="27" t="s">
        <v>7</v>
      </c>
      <c r="EO248" s="32" t="s">
        <v>8</v>
      </c>
      <c r="EP248" s="27" t="s">
        <v>7</v>
      </c>
      <c r="FW248" s="27" t="s">
        <v>8</v>
      </c>
      <c r="FX248" s="27" t="s">
        <v>7</v>
      </c>
      <c r="GA248" s="27" t="s">
        <v>8</v>
      </c>
      <c r="GB248" s="27" t="s">
        <v>7</v>
      </c>
      <c r="GC248" s="27" t="s">
        <v>8</v>
      </c>
      <c r="GD248" s="27" t="s">
        <v>7</v>
      </c>
      <c r="GE248" s="27" t="s">
        <v>8</v>
      </c>
      <c r="GF248" s="27" t="s">
        <v>7</v>
      </c>
    </row>
    <row r="249" spans="1:192" x14ac:dyDescent="0.25">
      <c r="A249" s="30">
        <v>0.64460891621779492</v>
      </c>
      <c r="B249"/>
      <c r="C249"/>
      <c r="D249"/>
      <c r="E249"/>
      <c r="F249" s="27" t="s">
        <v>7</v>
      </c>
      <c r="EA249" s="27" t="s">
        <v>8</v>
      </c>
      <c r="ED249" s="27" t="s">
        <v>7</v>
      </c>
      <c r="EE249" s="27" t="s">
        <v>8</v>
      </c>
      <c r="EF249" s="27" t="s">
        <v>7</v>
      </c>
      <c r="EG249" s="27" t="s">
        <v>8</v>
      </c>
      <c r="EH249" s="27" t="s">
        <v>7</v>
      </c>
      <c r="EI249" s="27" t="s">
        <v>8</v>
      </c>
      <c r="EJ249" s="27" t="s">
        <v>7</v>
      </c>
      <c r="EK249" s="27" t="s">
        <v>8</v>
      </c>
      <c r="EL249" s="27" t="s">
        <v>7</v>
      </c>
      <c r="EM249" s="27" t="s">
        <v>8</v>
      </c>
      <c r="EO249" s="27" t="s">
        <v>8</v>
      </c>
      <c r="EP249" s="27" t="s">
        <v>7</v>
      </c>
      <c r="FW249" s="27" t="s">
        <v>8</v>
      </c>
      <c r="FX249" s="27" t="s">
        <v>7</v>
      </c>
      <c r="GA249" s="27" t="s">
        <v>8</v>
      </c>
      <c r="GB249" s="27" t="s">
        <v>7</v>
      </c>
      <c r="GC249" s="27" t="s">
        <v>8</v>
      </c>
      <c r="GD249" s="27" t="s">
        <v>7</v>
      </c>
      <c r="GE249" s="27" t="s">
        <v>8</v>
      </c>
      <c r="GF249" s="27" t="s">
        <v>7</v>
      </c>
    </row>
    <row r="250" spans="1:192" x14ac:dyDescent="0.25">
      <c r="A250" s="30">
        <v>0.61391325354075688</v>
      </c>
      <c r="B250"/>
      <c r="C250"/>
      <c r="D250"/>
      <c r="E250"/>
      <c r="F250" s="27" t="s">
        <v>7</v>
      </c>
      <c r="EA250" s="27" t="s">
        <v>8</v>
      </c>
      <c r="ED250" s="27" t="s">
        <v>7</v>
      </c>
      <c r="EE250" s="27" t="s">
        <v>8</v>
      </c>
      <c r="EF250" s="27" t="s">
        <v>7</v>
      </c>
      <c r="EG250" s="27" t="s">
        <v>8</v>
      </c>
      <c r="EH250" s="27" t="s">
        <v>7</v>
      </c>
      <c r="EI250" s="27" t="s">
        <v>8</v>
      </c>
      <c r="EJ250" s="27" t="s">
        <v>7</v>
      </c>
      <c r="EL250" s="27" t="s">
        <v>7</v>
      </c>
      <c r="EM250" s="27" t="s">
        <v>8</v>
      </c>
      <c r="EN250" s="27" t="s">
        <v>7</v>
      </c>
      <c r="EO250" s="27" t="s">
        <v>8</v>
      </c>
      <c r="EP250" s="27" t="s">
        <v>7</v>
      </c>
      <c r="FW250" s="27" t="s">
        <v>8</v>
      </c>
      <c r="FX250" s="27" t="s">
        <v>7</v>
      </c>
      <c r="FY250" s="27" t="s">
        <v>8</v>
      </c>
      <c r="GA250" s="27" t="s">
        <v>8</v>
      </c>
      <c r="GB250" s="27" t="s">
        <v>7</v>
      </c>
      <c r="GC250" s="27" t="s">
        <v>8</v>
      </c>
      <c r="GD250" s="27" t="s">
        <v>7</v>
      </c>
      <c r="GF250" s="27" t="s">
        <v>7</v>
      </c>
      <c r="GG250" s="27" t="s">
        <v>8</v>
      </c>
      <c r="GI250" s="27" t="s">
        <v>8</v>
      </c>
    </row>
    <row r="251" spans="1:192" x14ac:dyDescent="0.25">
      <c r="A251" s="30">
        <v>0.58467928908643485</v>
      </c>
      <c r="B251"/>
      <c r="C251"/>
      <c r="D251"/>
      <c r="E251"/>
      <c r="F251" s="27" t="s">
        <v>7</v>
      </c>
      <c r="EA251" s="27" t="s">
        <v>8</v>
      </c>
      <c r="ED251" s="27" t="s">
        <v>7</v>
      </c>
      <c r="EE251" s="27" t="s">
        <v>8</v>
      </c>
      <c r="EF251" s="27" t="s">
        <v>7</v>
      </c>
      <c r="EG251" s="27" t="s">
        <v>8</v>
      </c>
      <c r="EH251" s="27" t="s">
        <v>7</v>
      </c>
      <c r="EI251" s="27" t="s">
        <v>8</v>
      </c>
      <c r="EL251" s="31" t="s">
        <v>7</v>
      </c>
      <c r="EM251" s="27" t="s">
        <v>8</v>
      </c>
      <c r="EN251" s="27" t="s">
        <v>7</v>
      </c>
      <c r="EO251" s="27" t="s">
        <v>8</v>
      </c>
      <c r="EP251" s="27" t="s">
        <v>7</v>
      </c>
      <c r="FW251" s="27" t="s">
        <v>8</v>
      </c>
      <c r="FX251" s="27" t="s">
        <v>7</v>
      </c>
      <c r="FY251" s="27" t="s">
        <v>8</v>
      </c>
      <c r="FZ251" s="27" t="s">
        <v>7</v>
      </c>
      <c r="GA251" s="27" t="s">
        <v>8</v>
      </c>
      <c r="GB251" s="27" t="s">
        <v>7</v>
      </c>
      <c r="GC251" s="27" t="s">
        <v>8</v>
      </c>
      <c r="GF251" s="27" t="s">
        <v>7</v>
      </c>
      <c r="GG251" s="27" t="s">
        <v>8</v>
      </c>
      <c r="GH251" s="27" t="s">
        <v>7</v>
      </c>
      <c r="GI251" s="27" t="s">
        <v>8</v>
      </c>
      <c r="GJ251" s="27" t="s">
        <v>7</v>
      </c>
    </row>
    <row r="252" spans="1:192" x14ac:dyDescent="0.25">
      <c r="A252" s="30">
        <v>0.55683741817755672</v>
      </c>
      <c r="B252"/>
      <c r="C252"/>
      <c r="D252"/>
      <c r="E252"/>
      <c r="F252" s="27" t="s">
        <v>7</v>
      </c>
      <c r="EA252" s="27" t="s">
        <v>8</v>
      </c>
      <c r="ED252" s="27" t="s">
        <v>7</v>
      </c>
      <c r="EF252" s="27" t="s">
        <v>7</v>
      </c>
      <c r="EG252" s="27" t="s">
        <v>8</v>
      </c>
      <c r="EH252" s="27" t="s">
        <v>7</v>
      </c>
      <c r="EI252" s="27" t="s">
        <v>8</v>
      </c>
      <c r="EL252" s="27" t="s">
        <v>7</v>
      </c>
      <c r="EM252" s="27" t="s">
        <v>8</v>
      </c>
      <c r="EN252" s="27" t="s">
        <v>7</v>
      </c>
      <c r="EO252" s="27" t="s">
        <v>8</v>
      </c>
      <c r="EP252" s="27" t="s">
        <v>7</v>
      </c>
      <c r="FM252" s="27" t="s">
        <v>8</v>
      </c>
      <c r="FW252" s="27" t="s">
        <v>8</v>
      </c>
      <c r="FX252" s="27" t="s">
        <v>7</v>
      </c>
      <c r="FY252" s="27" t="s">
        <v>8</v>
      </c>
      <c r="FZ252" s="27" t="s">
        <v>7</v>
      </c>
      <c r="GA252" s="27" t="s">
        <v>8</v>
      </c>
      <c r="GB252" s="27" t="s">
        <v>7</v>
      </c>
      <c r="GF252" s="27" t="s">
        <v>7</v>
      </c>
      <c r="GG252" s="27" t="s">
        <v>8</v>
      </c>
      <c r="GH252" s="27" t="s">
        <v>7</v>
      </c>
      <c r="GI252" s="27" t="s">
        <v>8</v>
      </c>
      <c r="GJ252" s="27" t="s">
        <v>7</v>
      </c>
    </row>
    <row r="253" spans="1:192" x14ac:dyDescent="0.25">
      <c r="A253" s="30">
        <v>0.53032135064529184</v>
      </c>
      <c r="B253"/>
      <c r="C253"/>
      <c r="D253"/>
      <c r="E253"/>
      <c r="F253" s="27" t="s">
        <v>7</v>
      </c>
      <c r="EA253" s="27" t="s">
        <v>8</v>
      </c>
      <c r="EF253" s="27" t="s">
        <v>7</v>
      </c>
      <c r="EH253" s="27" t="s">
        <v>7</v>
      </c>
      <c r="EI253" s="27" t="s">
        <v>8</v>
      </c>
      <c r="EL253" s="27" t="s">
        <v>7</v>
      </c>
      <c r="EM253" s="27" t="s">
        <v>8</v>
      </c>
      <c r="EN253" s="27" t="s">
        <v>7</v>
      </c>
      <c r="EO253" s="27" t="s">
        <v>8</v>
      </c>
      <c r="EP253" s="27" t="s">
        <v>7</v>
      </c>
      <c r="FM253" s="27" t="s">
        <v>8</v>
      </c>
      <c r="FN253" s="27" t="s">
        <v>7</v>
      </c>
      <c r="FW253" s="27" t="s">
        <v>8</v>
      </c>
      <c r="FX253" s="27" t="s">
        <v>7</v>
      </c>
      <c r="FY253" s="27" t="s">
        <v>8</v>
      </c>
      <c r="FZ253" s="27" t="s">
        <v>7</v>
      </c>
      <c r="GA253" s="27" t="s">
        <v>8</v>
      </c>
      <c r="GF253" s="27" t="s">
        <v>7</v>
      </c>
      <c r="GG253" s="27" t="s">
        <v>8</v>
      </c>
      <c r="GH253" s="27" t="s">
        <v>7</v>
      </c>
      <c r="GI253" s="27" t="s">
        <v>8</v>
      </c>
      <c r="GJ253" s="27" t="s">
        <v>7</v>
      </c>
    </row>
    <row r="254" spans="1:192" x14ac:dyDescent="0.25">
      <c r="A254" s="30">
        <v>0.50506795299551588</v>
      </c>
      <c r="B254"/>
      <c r="C254"/>
      <c r="D254"/>
      <c r="E254"/>
      <c r="F254" s="27" t="s">
        <v>7</v>
      </c>
      <c r="EA254" s="27" t="s">
        <v>8</v>
      </c>
      <c r="EH254" s="27" t="s">
        <v>7</v>
      </c>
      <c r="EI254" s="27" t="s">
        <v>8</v>
      </c>
      <c r="EL254" s="27" t="s">
        <v>7</v>
      </c>
      <c r="EN254" s="27" t="s">
        <v>7</v>
      </c>
      <c r="EP254" s="27" t="s">
        <v>7</v>
      </c>
      <c r="EQ254" s="27" t="s">
        <v>8</v>
      </c>
      <c r="FK254" s="27" t="s">
        <v>8</v>
      </c>
      <c r="FM254" s="27" t="s">
        <v>8</v>
      </c>
      <c r="FN254" s="27" t="s">
        <v>7</v>
      </c>
      <c r="FW254" s="27" t="s">
        <v>8</v>
      </c>
      <c r="FX254" s="27" t="s">
        <v>7</v>
      </c>
      <c r="FY254" s="27" t="s">
        <v>8</v>
      </c>
      <c r="FZ254" s="27" t="s">
        <v>7</v>
      </c>
      <c r="GA254" s="27" t="s">
        <v>8</v>
      </c>
      <c r="GF254" s="27" t="s">
        <v>7</v>
      </c>
      <c r="GH254" s="27" t="s">
        <v>7</v>
      </c>
      <c r="GI254" s="27" t="s">
        <v>8</v>
      </c>
      <c r="GJ254" s="27" t="s">
        <v>7</v>
      </c>
    </row>
    <row r="255" spans="1:192" x14ac:dyDescent="0.25">
      <c r="A255" s="30">
        <v>0.48101709809096732</v>
      </c>
      <c r="E255"/>
      <c r="F255" s="27" t="s">
        <v>7</v>
      </c>
      <c r="EA255" s="27" t="s">
        <v>8</v>
      </c>
      <c r="EH255" s="27" t="s">
        <v>7</v>
      </c>
      <c r="EI255" s="27" t="s">
        <v>8</v>
      </c>
      <c r="EP255" s="31" t="s">
        <v>7</v>
      </c>
      <c r="EQ255" s="27" t="s">
        <v>8</v>
      </c>
      <c r="ER255" s="27" t="s">
        <v>7</v>
      </c>
      <c r="FK255" s="27" t="s">
        <v>8</v>
      </c>
      <c r="FL255" s="27" t="s">
        <v>7</v>
      </c>
      <c r="FM255" s="27" t="s">
        <v>8</v>
      </c>
      <c r="FN255" s="27" t="s">
        <v>7</v>
      </c>
      <c r="FW255" s="27" t="s">
        <v>8</v>
      </c>
      <c r="FX255" s="27" t="s">
        <v>7</v>
      </c>
      <c r="FY255" s="27" t="s">
        <v>8</v>
      </c>
      <c r="FZ255" s="27" t="s">
        <v>7</v>
      </c>
      <c r="GA255" s="27" t="s">
        <v>8</v>
      </c>
      <c r="GH255" s="27" t="s">
        <v>7</v>
      </c>
      <c r="GJ255" s="27" t="s">
        <v>7</v>
      </c>
    </row>
    <row r="256" spans="1:192" x14ac:dyDescent="0.25">
      <c r="A256" s="30">
        <v>0.45811152199139726</v>
      </c>
      <c r="E256"/>
      <c r="F256" s="27" t="s">
        <v>7</v>
      </c>
      <c r="EA256" s="27" t="s">
        <v>8</v>
      </c>
      <c r="EH256" s="27" t="s">
        <v>7</v>
      </c>
      <c r="EP256" s="27" t="s">
        <v>7</v>
      </c>
      <c r="EQ256" s="27" t="s">
        <v>8</v>
      </c>
      <c r="ER256" s="27" t="s">
        <v>7</v>
      </c>
      <c r="ES256" s="27" t="s">
        <v>8</v>
      </c>
      <c r="FG256" s="27" t="s">
        <v>8</v>
      </c>
      <c r="FK256" s="27" t="s">
        <v>8</v>
      </c>
      <c r="FL256" s="27" t="s">
        <v>7</v>
      </c>
      <c r="FM256" s="27" t="s">
        <v>8</v>
      </c>
      <c r="FN256" s="27" t="s">
        <v>7</v>
      </c>
      <c r="FW256" s="27" t="s">
        <v>8</v>
      </c>
      <c r="FX256" s="27" t="s">
        <v>7</v>
      </c>
      <c r="FY256" s="27" t="s">
        <v>8</v>
      </c>
      <c r="FZ256" s="27" t="s">
        <v>7</v>
      </c>
      <c r="GJ256" s="27" t="s">
        <v>7</v>
      </c>
    </row>
    <row r="257" spans="1:201" x14ac:dyDescent="0.25">
      <c r="A257" s="30">
        <v>0.43629668761085438</v>
      </c>
      <c r="B257"/>
      <c r="C257"/>
      <c r="D257"/>
      <c r="E257"/>
      <c r="F257" s="27" t="s">
        <v>7</v>
      </c>
      <c r="EA257" s="27" t="s">
        <v>8</v>
      </c>
      <c r="EP257" s="27" t="s">
        <v>7</v>
      </c>
      <c r="EQ257" s="27" t="s">
        <v>8</v>
      </c>
      <c r="ER257" s="27" t="s">
        <v>7</v>
      </c>
      <c r="ES257" s="27" t="s">
        <v>8</v>
      </c>
      <c r="ET257" s="27" t="s">
        <v>7</v>
      </c>
      <c r="FG257" s="27" t="s">
        <v>8</v>
      </c>
      <c r="FH257" s="27" t="s">
        <v>7</v>
      </c>
      <c r="FI257" s="27" t="s">
        <v>8</v>
      </c>
      <c r="FK257" s="27" t="s">
        <v>8</v>
      </c>
      <c r="FL257" s="27" t="s">
        <v>7</v>
      </c>
      <c r="FM257" s="27" t="s">
        <v>8</v>
      </c>
      <c r="FN257" s="27" t="s">
        <v>7</v>
      </c>
      <c r="FW257" s="27" t="s">
        <v>8</v>
      </c>
      <c r="FX257" s="27" t="s">
        <v>7</v>
      </c>
      <c r="FY257" s="27" t="s">
        <v>8</v>
      </c>
      <c r="GJ257" s="27" t="s">
        <v>7</v>
      </c>
      <c r="GO257" s="27" t="s">
        <v>8</v>
      </c>
    </row>
    <row r="258" spans="1:201" x14ac:dyDescent="0.25">
      <c r="A258" s="30">
        <v>0.41552065486748019</v>
      </c>
      <c r="B258"/>
      <c r="C258"/>
      <c r="D258"/>
      <c r="E258"/>
      <c r="F258" s="27" t="s">
        <v>7</v>
      </c>
      <c r="EA258" s="27" t="s">
        <v>8</v>
      </c>
      <c r="EP258" s="27" t="s">
        <v>7</v>
      </c>
      <c r="EQ258" s="27" t="s">
        <v>8</v>
      </c>
      <c r="ER258" s="27" t="s">
        <v>7</v>
      </c>
      <c r="ES258" s="27" t="s">
        <v>8</v>
      </c>
      <c r="ET258" s="27" t="s">
        <v>7</v>
      </c>
      <c r="EU258" s="27" t="s">
        <v>8</v>
      </c>
      <c r="FG258" s="27" t="s">
        <v>8</v>
      </c>
      <c r="FH258" s="27" t="s">
        <v>7</v>
      </c>
      <c r="FI258" s="27" t="s">
        <v>8</v>
      </c>
      <c r="FJ258" s="27" t="s">
        <v>7</v>
      </c>
      <c r="FK258" s="27" t="s">
        <v>8</v>
      </c>
      <c r="FL258" s="27" t="s">
        <v>7</v>
      </c>
      <c r="FM258" s="27" t="s">
        <v>8</v>
      </c>
      <c r="FN258" s="27" t="s">
        <v>7</v>
      </c>
      <c r="FO258" s="27" t="s">
        <v>8</v>
      </c>
      <c r="FQ258" s="27" t="s">
        <v>8</v>
      </c>
      <c r="FU258" s="27" t="s">
        <v>8</v>
      </c>
      <c r="FW258" s="27" t="s">
        <v>8</v>
      </c>
      <c r="FX258" s="27" t="s">
        <v>7</v>
      </c>
      <c r="FY258" s="27" t="s">
        <v>8</v>
      </c>
      <c r="GJ258" s="27" t="s">
        <v>7</v>
      </c>
      <c r="GK258" s="27" t="s">
        <v>8</v>
      </c>
      <c r="GM258" s="27" t="s">
        <v>8</v>
      </c>
      <c r="GO258" s="27" t="s">
        <v>8</v>
      </c>
      <c r="GP258" s="27" t="s">
        <v>7</v>
      </c>
    </row>
    <row r="259" spans="1:201" x14ac:dyDescent="0.25">
      <c r="A259" s="30">
        <v>0.39573395701664765</v>
      </c>
      <c r="B259"/>
      <c r="C259"/>
      <c r="D259"/>
      <c r="E259"/>
      <c r="F259" s="27" t="s">
        <v>7</v>
      </c>
      <c r="DY259" s="27" t="s">
        <v>8</v>
      </c>
      <c r="EA259" s="27" t="s">
        <v>8</v>
      </c>
      <c r="EP259" s="27" t="s">
        <v>7</v>
      </c>
      <c r="EQ259" s="27" t="s">
        <v>8</v>
      </c>
      <c r="ER259" s="27" t="s">
        <v>7</v>
      </c>
      <c r="ES259" s="27" t="s">
        <v>8</v>
      </c>
      <c r="ET259" s="27" t="s">
        <v>7</v>
      </c>
      <c r="EU259" s="27" t="s">
        <v>8</v>
      </c>
      <c r="EV259" s="27" t="s">
        <v>7</v>
      </c>
      <c r="FG259" s="27" t="s">
        <v>8</v>
      </c>
      <c r="FH259" s="27" t="s">
        <v>7</v>
      </c>
      <c r="FI259" s="27" t="s">
        <v>8</v>
      </c>
      <c r="FJ259" s="27" t="s">
        <v>7</v>
      </c>
      <c r="FK259" s="27" t="s">
        <v>8</v>
      </c>
      <c r="FL259" s="27" t="s">
        <v>7</v>
      </c>
      <c r="FN259" s="27" t="s">
        <v>7</v>
      </c>
      <c r="FO259" s="27" t="s">
        <v>8</v>
      </c>
      <c r="FP259" s="27" t="s">
        <v>7</v>
      </c>
      <c r="FQ259" s="27" t="s">
        <v>8</v>
      </c>
      <c r="FR259" s="27" t="s">
        <v>7</v>
      </c>
      <c r="FU259" s="27" t="s">
        <v>8</v>
      </c>
      <c r="FV259" s="27" t="s">
        <v>7</v>
      </c>
      <c r="FW259" s="27" t="s">
        <v>8</v>
      </c>
      <c r="FX259" s="27" t="s">
        <v>7</v>
      </c>
      <c r="FY259" s="27" t="s">
        <v>8</v>
      </c>
      <c r="GJ259" s="27" t="s">
        <v>7</v>
      </c>
      <c r="GK259" s="27" t="s">
        <v>8</v>
      </c>
      <c r="GL259" s="27" t="s">
        <v>7</v>
      </c>
      <c r="GM259" s="27" t="s">
        <v>8</v>
      </c>
      <c r="GN259" s="27" t="s">
        <v>7</v>
      </c>
      <c r="GO259" s="27" t="s">
        <v>8</v>
      </c>
      <c r="GP259" s="27" t="s">
        <v>7</v>
      </c>
    </row>
    <row r="260" spans="1:201" x14ac:dyDescent="0.25">
      <c r="A260" s="30">
        <v>0.37688948287299762</v>
      </c>
      <c r="B260"/>
      <c r="C260"/>
      <c r="D260"/>
      <c r="E260"/>
      <c r="F260" s="27" t="s">
        <v>7</v>
      </c>
      <c r="DY260" s="27" t="s">
        <v>8</v>
      </c>
      <c r="DZ260" s="27" t="s">
        <v>7</v>
      </c>
      <c r="EA260" s="27" t="s">
        <v>8</v>
      </c>
      <c r="EP260" s="27" t="s">
        <v>7</v>
      </c>
      <c r="EQ260" s="27" t="s">
        <v>8</v>
      </c>
      <c r="ER260" s="27" t="s">
        <v>7</v>
      </c>
      <c r="ES260" s="27" t="s">
        <v>8</v>
      </c>
      <c r="ET260" s="27" t="s">
        <v>7</v>
      </c>
      <c r="EU260" s="27" t="s">
        <v>8</v>
      </c>
      <c r="EV260" s="27" t="s">
        <v>7</v>
      </c>
      <c r="FG260" s="27" t="s">
        <v>8</v>
      </c>
      <c r="FH260" s="27" t="s">
        <v>7</v>
      </c>
      <c r="FI260" s="27" t="s">
        <v>8</v>
      </c>
      <c r="FJ260" s="27" t="s">
        <v>7</v>
      </c>
      <c r="FK260" s="27" t="s">
        <v>8</v>
      </c>
      <c r="FN260" s="27" t="s">
        <v>7</v>
      </c>
      <c r="FO260" s="27" t="s">
        <v>8</v>
      </c>
      <c r="FP260" s="27" t="s">
        <v>7</v>
      </c>
      <c r="FQ260" s="27" t="s">
        <v>8</v>
      </c>
      <c r="FR260" s="27" t="s">
        <v>7</v>
      </c>
      <c r="FU260" s="27" t="s">
        <v>8</v>
      </c>
      <c r="FV260" s="27" t="s">
        <v>7</v>
      </c>
      <c r="FW260" s="27" t="s">
        <v>8</v>
      </c>
      <c r="FX260" s="27" t="s">
        <v>7</v>
      </c>
      <c r="FY260" s="27" t="s">
        <v>8</v>
      </c>
      <c r="GJ260" s="27" t="s">
        <v>7</v>
      </c>
      <c r="GK260" s="27" t="s">
        <v>8</v>
      </c>
      <c r="GL260" s="27" t="s">
        <v>7</v>
      </c>
      <c r="GM260" s="27" t="s">
        <v>8</v>
      </c>
      <c r="GN260" s="27" t="s">
        <v>7</v>
      </c>
      <c r="GO260" s="27" t="s">
        <v>8</v>
      </c>
      <c r="GP260" s="27" t="s">
        <v>7</v>
      </c>
    </row>
    <row r="261" spans="1:201" x14ac:dyDescent="0.25">
      <c r="A261" s="30">
        <v>0.35894236464094997</v>
      </c>
      <c r="B261"/>
      <c r="C261"/>
      <c r="D261"/>
      <c r="E261"/>
      <c r="F261" s="27" t="s">
        <v>7</v>
      </c>
      <c r="DY261" s="27" t="s">
        <v>8</v>
      </c>
      <c r="DZ261" s="27" t="s">
        <v>7</v>
      </c>
      <c r="EA261" s="27" t="s">
        <v>8</v>
      </c>
      <c r="EP261" s="27" t="s">
        <v>7</v>
      </c>
      <c r="EQ261" s="27" t="s">
        <v>8</v>
      </c>
      <c r="ER261" s="27" t="s">
        <v>7</v>
      </c>
      <c r="ES261" s="27" t="s">
        <v>8</v>
      </c>
      <c r="ET261" s="27" t="s">
        <v>7</v>
      </c>
      <c r="EU261" s="27" t="s">
        <v>8</v>
      </c>
      <c r="EV261" s="27" t="s">
        <v>7</v>
      </c>
      <c r="EW261" s="27" t="s">
        <v>8</v>
      </c>
      <c r="FG261" s="27" t="s">
        <v>8</v>
      </c>
      <c r="FH261" s="27" t="s">
        <v>7</v>
      </c>
      <c r="FI261" s="27" t="s">
        <v>8</v>
      </c>
      <c r="FJ261" s="27" t="s">
        <v>7</v>
      </c>
      <c r="FK261" s="27" t="s">
        <v>8</v>
      </c>
      <c r="FN261" s="27" t="s">
        <v>7</v>
      </c>
      <c r="FO261" s="27" t="s">
        <v>8</v>
      </c>
      <c r="FP261" s="27" t="s">
        <v>7</v>
      </c>
      <c r="FQ261" s="27" t="s">
        <v>8</v>
      </c>
      <c r="FR261" s="27" t="s">
        <v>7</v>
      </c>
      <c r="FU261" s="27" t="s">
        <v>8</v>
      </c>
      <c r="FV261" s="27" t="s">
        <v>7</v>
      </c>
      <c r="FW261" s="27" t="s">
        <v>8</v>
      </c>
      <c r="FX261" s="27" t="s">
        <v>7</v>
      </c>
      <c r="FY261" s="27" t="s">
        <v>8</v>
      </c>
      <c r="GJ261" s="27" t="s">
        <v>7</v>
      </c>
      <c r="GK261" s="27" t="s">
        <v>8</v>
      </c>
      <c r="GL261" s="27" t="s">
        <v>7</v>
      </c>
      <c r="GN261" s="27" t="s">
        <v>7</v>
      </c>
      <c r="GO261" s="27" t="s">
        <v>8</v>
      </c>
      <c r="GP261" s="27" t="s">
        <v>7</v>
      </c>
    </row>
    <row r="262" spans="1:201" x14ac:dyDescent="0.25">
      <c r="A262" s="30">
        <v>0.34184987108661891</v>
      </c>
      <c r="B262"/>
      <c r="C262"/>
      <c r="D262"/>
      <c r="E262"/>
      <c r="F262" s="27" t="s">
        <v>7</v>
      </c>
      <c r="DY262" s="27" t="s">
        <v>8</v>
      </c>
      <c r="DZ262" s="27" t="s">
        <v>7</v>
      </c>
      <c r="EA262" s="27" t="s">
        <v>8</v>
      </c>
      <c r="EP262" s="27" t="s">
        <v>7</v>
      </c>
      <c r="EQ262" s="27" t="s">
        <v>8</v>
      </c>
      <c r="ER262" s="27" t="s">
        <v>7</v>
      </c>
      <c r="ES262" s="27" t="s">
        <v>8</v>
      </c>
      <c r="ET262" s="27" t="s">
        <v>7</v>
      </c>
      <c r="EU262" s="27" t="s">
        <v>8</v>
      </c>
      <c r="EV262" s="27" t="s">
        <v>7</v>
      </c>
      <c r="EW262" s="27" t="s">
        <v>8</v>
      </c>
      <c r="EX262" s="27" t="s">
        <v>7</v>
      </c>
      <c r="FG262" s="27" t="s">
        <v>8</v>
      </c>
      <c r="FH262" s="27" t="s">
        <v>7</v>
      </c>
      <c r="FJ262" s="27" t="s">
        <v>7</v>
      </c>
      <c r="FK262" s="27" t="s">
        <v>8</v>
      </c>
      <c r="FN262" s="27" t="s">
        <v>7</v>
      </c>
      <c r="FP262" s="27" t="s">
        <v>7</v>
      </c>
      <c r="FR262" s="27" t="s">
        <v>7</v>
      </c>
      <c r="FU262" s="27" t="s">
        <v>8</v>
      </c>
      <c r="FV262" s="27" t="s">
        <v>7</v>
      </c>
      <c r="FW262" s="27" t="s">
        <v>8</v>
      </c>
      <c r="FX262" s="27" t="s">
        <v>7</v>
      </c>
      <c r="GJ262" s="27" t="s">
        <v>7</v>
      </c>
      <c r="GK262" s="27" t="s">
        <v>8</v>
      </c>
      <c r="GN262" s="27" t="s">
        <v>7</v>
      </c>
      <c r="GO262" s="27" t="s">
        <v>8</v>
      </c>
      <c r="GP262" s="27" t="s">
        <v>7</v>
      </c>
    </row>
    <row r="263" spans="1:201" x14ac:dyDescent="0.25">
      <c r="A263" s="30">
        <v>0.32557130579677979</v>
      </c>
      <c r="B263"/>
      <c r="C263"/>
      <c r="D263"/>
      <c r="E263"/>
      <c r="F263" s="27" t="s">
        <v>7</v>
      </c>
      <c r="DY263" s="27" t="s">
        <v>8</v>
      </c>
      <c r="DZ263" s="27" t="s">
        <v>7</v>
      </c>
      <c r="EA263" s="27" t="s">
        <v>8</v>
      </c>
      <c r="EP263" s="27" t="s">
        <v>7</v>
      </c>
      <c r="EQ263" s="27" t="s">
        <v>8</v>
      </c>
      <c r="ER263" s="27" t="s">
        <v>7</v>
      </c>
      <c r="ES263" s="27" t="s">
        <v>8</v>
      </c>
      <c r="ET263" s="27" t="s">
        <v>7</v>
      </c>
      <c r="EV263" s="27" t="s">
        <v>7</v>
      </c>
      <c r="EW263" s="27" t="s">
        <v>8</v>
      </c>
      <c r="EX263" s="27" t="s">
        <v>7</v>
      </c>
      <c r="FG263" s="27" t="s">
        <v>8</v>
      </c>
      <c r="FJ263" s="27" t="s">
        <v>7</v>
      </c>
      <c r="FR263" s="27" t="s">
        <v>7</v>
      </c>
      <c r="FS263" s="27" t="s">
        <v>8</v>
      </c>
      <c r="FU263" s="27" t="s">
        <v>8</v>
      </c>
      <c r="FV263" s="27" t="s">
        <v>7</v>
      </c>
      <c r="GJ263" s="27" t="s">
        <v>7</v>
      </c>
      <c r="GN263" s="27" t="s">
        <v>7</v>
      </c>
      <c r="GP263" s="27" t="s">
        <v>7</v>
      </c>
    </row>
    <row r="264" spans="1:201" x14ac:dyDescent="0.25">
      <c r="A264" s="30">
        <v>0.3100679102826473</v>
      </c>
      <c r="B264"/>
      <c r="C264"/>
      <c r="D264"/>
      <c r="E264"/>
      <c r="F264" s="27" t="s">
        <v>7</v>
      </c>
      <c r="DY264" s="27" t="s">
        <v>8</v>
      </c>
      <c r="DZ264" s="27" t="s">
        <v>7</v>
      </c>
      <c r="EA264" s="27" t="s">
        <v>8</v>
      </c>
      <c r="EP264" s="27" t="s">
        <v>7</v>
      </c>
      <c r="EQ264" s="27" t="s">
        <v>8</v>
      </c>
      <c r="ER264" s="27" t="s">
        <v>7</v>
      </c>
      <c r="ES264" s="27" t="s">
        <v>8</v>
      </c>
      <c r="EV264" s="27" t="s">
        <v>7</v>
      </c>
      <c r="EW264" s="27" t="s">
        <v>8</v>
      </c>
      <c r="EX264" s="27" t="s">
        <v>7</v>
      </c>
      <c r="FG264" s="27" t="s">
        <v>8</v>
      </c>
      <c r="FR264" s="27" t="s">
        <v>7</v>
      </c>
      <c r="FS264" s="27" t="s">
        <v>8</v>
      </c>
      <c r="FT264" s="27" t="s">
        <v>7</v>
      </c>
      <c r="FU264" s="27" t="s">
        <v>8</v>
      </c>
      <c r="GP264" s="27" t="s">
        <v>7</v>
      </c>
    </row>
    <row r="265" spans="1:201" x14ac:dyDescent="0.25">
      <c r="A265" s="30">
        <v>0.2953027716977592</v>
      </c>
      <c r="B265"/>
      <c r="C265"/>
      <c r="D265"/>
      <c r="E265"/>
      <c r="F265" s="27" t="s">
        <v>7</v>
      </c>
      <c r="DY265" s="27" t="s">
        <v>8</v>
      </c>
      <c r="DZ265" s="27" t="s">
        <v>7</v>
      </c>
      <c r="EP265" s="27" t="s">
        <v>7</v>
      </c>
      <c r="EQ265" s="27" t="s">
        <v>8</v>
      </c>
      <c r="ER265" s="27" t="s">
        <v>7</v>
      </c>
      <c r="ES265" s="27" t="s">
        <v>8</v>
      </c>
      <c r="EV265" s="27" t="s">
        <v>7</v>
      </c>
      <c r="EW265" s="27" t="s">
        <v>8</v>
      </c>
      <c r="EX265" s="27" t="s">
        <v>7</v>
      </c>
      <c r="FG265" s="27" t="s">
        <v>8</v>
      </c>
      <c r="FR265" s="27" t="s">
        <v>7</v>
      </c>
      <c r="FS265" s="27" t="s">
        <v>8</v>
      </c>
      <c r="FT265" s="27" t="s">
        <v>7</v>
      </c>
      <c r="FU265" s="27" t="s">
        <v>8</v>
      </c>
      <c r="GP265" s="27" t="s">
        <v>7</v>
      </c>
    </row>
    <row r="266" spans="1:201" x14ac:dyDescent="0.25">
      <c r="A266" s="30">
        <v>0.28124073495024676</v>
      </c>
      <c r="B266"/>
      <c r="C266"/>
      <c r="D266"/>
      <c r="E266"/>
      <c r="F266" s="27" t="s">
        <v>7</v>
      </c>
      <c r="DY266" s="27" t="s">
        <v>8</v>
      </c>
      <c r="EP266" s="27" t="s">
        <v>7</v>
      </c>
      <c r="EQ266" s="27" t="s">
        <v>8</v>
      </c>
      <c r="ER266" s="27" t="s">
        <v>7</v>
      </c>
      <c r="ES266" s="27" t="s">
        <v>8</v>
      </c>
      <c r="EV266" s="27" t="s">
        <v>7</v>
      </c>
      <c r="EW266" s="27" t="s">
        <v>8</v>
      </c>
      <c r="EX266" s="27" t="s">
        <v>7</v>
      </c>
      <c r="FG266" s="27" t="s">
        <v>8</v>
      </c>
      <c r="FR266" s="27" t="s">
        <v>7</v>
      </c>
      <c r="FT266" s="27" t="s">
        <v>7</v>
      </c>
      <c r="FU266" s="27" t="s">
        <v>8</v>
      </c>
      <c r="GP266" s="27" t="s">
        <v>7</v>
      </c>
    </row>
    <row r="267" spans="1:201" x14ac:dyDescent="0.25">
      <c r="A267" s="30">
        <v>0.26784831900023492</v>
      </c>
      <c r="B267"/>
      <c r="C267"/>
      <c r="D267"/>
      <c r="E267"/>
      <c r="F267" s="27" t="s">
        <v>7</v>
      </c>
      <c r="DY267" s="27" t="s">
        <v>8</v>
      </c>
      <c r="EP267" s="27" t="s">
        <v>7</v>
      </c>
      <c r="EQ267" s="27" t="s">
        <v>8</v>
      </c>
      <c r="ER267" s="27" t="s">
        <v>7</v>
      </c>
      <c r="ES267" s="27" t="s">
        <v>8</v>
      </c>
      <c r="EV267" s="27" t="s">
        <v>7</v>
      </c>
      <c r="EW267" s="27" t="s">
        <v>8</v>
      </c>
      <c r="EX267" s="27" t="s">
        <v>7</v>
      </c>
      <c r="FG267" s="27" t="s">
        <v>8</v>
      </c>
      <c r="FT267" s="27" t="s">
        <v>7</v>
      </c>
      <c r="GP267" s="27" t="s">
        <v>7</v>
      </c>
    </row>
    <row r="268" spans="1:201" x14ac:dyDescent="0.25">
      <c r="A268" s="30">
        <v>0.25509363714308075</v>
      </c>
      <c r="B268"/>
      <c r="C268"/>
      <c r="D268"/>
      <c r="E268"/>
      <c r="F268" s="27" t="s">
        <v>7</v>
      </c>
      <c r="DS268" s="27" t="s">
        <v>8</v>
      </c>
      <c r="DY268" s="27" t="s">
        <v>8</v>
      </c>
      <c r="EP268" s="27" t="s">
        <v>7</v>
      </c>
      <c r="EQ268" s="27" t="s">
        <v>8</v>
      </c>
      <c r="ER268" s="27" t="s">
        <v>7</v>
      </c>
      <c r="ES268" s="27" t="s">
        <v>8</v>
      </c>
      <c r="EV268" s="27" t="s">
        <v>7</v>
      </c>
      <c r="EX268" s="27" t="s">
        <v>7</v>
      </c>
      <c r="FG268" s="32" t="s">
        <v>8</v>
      </c>
      <c r="GP268" s="27" t="s">
        <v>7</v>
      </c>
    </row>
    <row r="269" spans="1:201" x14ac:dyDescent="0.25">
      <c r="A269" s="30">
        <v>0.24294632108864825</v>
      </c>
      <c r="B269"/>
      <c r="C269"/>
      <c r="D269"/>
      <c r="E269"/>
      <c r="F269" s="27" t="s">
        <v>7</v>
      </c>
      <c r="DS269" s="27" t="s">
        <v>8</v>
      </c>
      <c r="DT269" s="27" t="s">
        <v>7</v>
      </c>
      <c r="DW269" s="27" t="s">
        <v>8</v>
      </c>
      <c r="DY269" s="27" t="s">
        <v>8</v>
      </c>
      <c r="EP269" s="27" t="s">
        <v>7</v>
      </c>
      <c r="EQ269" s="27" t="s">
        <v>8</v>
      </c>
      <c r="ER269" s="27" t="s">
        <v>7</v>
      </c>
      <c r="ES269" s="27" t="s">
        <v>8</v>
      </c>
      <c r="EX269" s="27" t="s">
        <v>7</v>
      </c>
      <c r="FA269" s="27" t="s">
        <v>8</v>
      </c>
      <c r="FC269" s="27" t="s">
        <v>8</v>
      </c>
      <c r="FE269" s="27" t="s">
        <v>8</v>
      </c>
      <c r="FG269" s="27" t="s">
        <v>8</v>
      </c>
      <c r="GP269" s="27" t="s">
        <v>7</v>
      </c>
    </row>
    <row r="270" spans="1:201" x14ac:dyDescent="0.25">
      <c r="A270" s="30">
        <v>0.23137744865585538</v>
      </c>
      <c r="B270"/>
      <c r="C270"/>
      <c r="D270"/>
      <c r="E270"/>
      <c r="F270" s="27" t="s">
        <v>7</v>
      </c>
      <c r="DM270" s="27" t="s">
        <v>8</v>
      </c>
      <c r="DS270" s="27" t="s">
        <v>8</v>
      </c>
      <c r="DT270" s="27" t="s">
        <v>7</v>
      </c>
      <c r="DW270" s="27" t="s">
        <v>8</v>
      </c>
      <c r="DX270" s="27" t="s">
        <v>7</v>
      </c>
      <c r="DY270" s="27" t="s">
        <v>8</v>
      </c>
      <c r="EP270" s="27" t="s">
        <v>7</v>
      </c>
      <c r="EQ270" s="27" t="s">
        <v>8</v>
      </c>
      <c r="ER270" s="27" t="s">
        <v>7</v>
      </c>
      <c r="EX270" s="27" t="s">
        <v>7</v>
      </c>
      <c r="FA270" s="32" t="s">
        <v>8</v>
      </c>
      <c r="FB270" s="27" t="s">
        <v>7</v>
      </c>
      <c r="FC270" s="27" t="s">
        <v>8</v>
      </c>
      <c r="FD270" s="27" t="s">
        <v>7</v>
      </c>
      <c r="FE270" s="27" t="s">
        <v>8</v>
      </c>
      <c r="FF270" s="27" t="s">
        <v>7</v>
      </c>
      <c r="FG270" s="27" t="s">
        <v>8</v>
      </c>
      <c r="GP270" s="27" t="s">
        <v>7</v>
      </c>
    </row>
    <row r="271" spans="1:201" x14ac:dyDescent="0.25">
      <c r="A271" s="30">
        <v>0.22035947491033836</v>
      </c>
      <c r="B271"/>
      <c r="C271"/>
      <c r="D271"/>
      <c r="E271"/>
      <c r="F271" s="27" t="s">
        <v>7</v>
      </c>
      <c r="DM271" s="27" t="s">
        <v>8</v>
      </c>
      <c r="DN271" s="27" t="s">
        <v>7</v>
      </c>
      <c r="DS271" s="27" t="s">
        <v>8</v>
      </c>
      <c r="DT271" s="27" t="s">
        <v>7</v>
      </c>
      <c r="DW271" s="27" t="s">
        <v>8</v>
      </c>
      <c r="DX271" s="27" t="s">
        <v>7</v>
      </c>
      <c r="DY271" s="27" t="s">
        <v>8</v>
      </c>
      <c r="EP271" s="27" t="s">
        <v>7</v>
      </c>
      <c r="EQ271" s="27" t="s">
        <v>8</v>
      </c>
      <c r="EX271" s="27" t="s">
        <v>7</v>
      </c>
      <c r="EY271" s="27" t="s">
        <v>8</v>
      </c>
      <c r="FA271" s="27" t="s">
        <v>8</v>
      </c>
      <c r="FB271" s="27" t="s">
        <v>7</v>
      </c>
      <c r="FC271" s="27" t="s">
        <v>8</v>
      </c>
      <c r="FD271" s="27" t="s">
        <v>7</v>
      </c>
      <c r="FE271" s="27" t="s">
        <v>8</v>
      </c>
      <c r="FF271" s="27" t="s">
        <v>7</v>
      </c>
      <c r="FG271" s="27" t="s">
        <v>8</v>
      </c>
      <c r="GP271" s="27" t="s">
        <v>7</v>
      </c>
    </row>
    <row r="272" spans="1:201" x14ac:dyDescent="0.25">
      <c r="A272" s="30">
        <v>0.20986616658127455</v>
      </c>
      <c r="B272"/>
      <c r="C272"/>
      <c r="D272"/>
      <c r="E272"/>
      <c r="F272" s="27" t="s">
        <v>7</v>
      </c>
      <c r="DM272" s="27" t="s">
        <v>8</v>
      </c>
      <c r="DN272" s="27" t="s">
        <v>7</v>
      </c>
      <c r="DS272" s="27" t="s">
        <v>8</v>
      </c>
      <c r="DT272" s="27" t="s">
        <v>7</v>
      </c>
      <c r="DW272" s="27" t="s">
        <v>8</v>
      </c>
      <c r="DX272" s="27" t="s">
        <v>7</v>
      </c>
      <c r="DY272" s="27" t="s">
        <v>8</v>
      </c>
      <c r="EP272" s="27" t="s">
        <v>7</v>
      </c>
      <c r="EQ272" s="27" t="s">
        <v>8</v>
      </c>
      <c r="EX272" s="27" t="s">
        <v>7</v>
      </c>
      <c r="EY272" s="27" t="s">
        <v>8</v>
      </c>
      <c r="EZ272" s="27" t="s">
        <v>7</v>
      </c>
      <c r="FA272" s="27" t="s">
        <v>8</v>
      </c>
      <c r="FB272" s="27" t="s">
        <v>7</v>
      </c>
      <c r="FD272" s="27" t="s">
        <v>7</v>
      </c>
      <c r="FE272" s="27" t="s">
        <v>8</v>
      </c>
      <c r="FF272" s="27" t="s">
        <v>7</v>
      </c>
      <c r="FG272" s="27" t="s">
        <v>8</v>
      </c>
      <c r="GP272" s="27" t="s">
        <v>7</v>
      </c>
      <c r="GS272" s="27" t="s">
        <v>8</v>
      </c>
    </row>
    <row r="273" spans="1:201" x14ac:dyDescent="0.25">
      <c r="A273" s="30">
        <v>0.19987253960121379</v>
      </c>
      <c r="B273"/>
      <c r="C273"/>
      <c r="D273"/>
      <c r="E273"/>
      <c r="F273" s="27" t="s">
        <v>7</v>
      </c>
      <c r="DM273" s="27" t="s">
        <v>8</v>
      </c>
      <c r="DN273" s="27" t="s">
        <v>7</v>
      </c>
      <c r="DS273" s="27" t="s">
        <v>8</v>
      </c>
      <c r="DT273" s="27" t="s">
        <v>7</v>
      </c>
      <c r="DW273" s="27" t="s">
        <v>8</v>
      </c>
      <c r="DX273" s="27" t="s">
        <v>7</v>
      </c>
      <c r="DY273" s="27" t="s">
        <v>8</v>
      </c>
      <c r="EP273" s="27" t="s">
        <v>7</v>
      </c>
      <c r="EX273" s="27" t="s">
        <v>7</v>
      </c>
      <c r="EY273" s="27" t="s">
        <v>8</v>
      </c>
      <c r="EZ273" s="27" t="s">
        <v>7</v>
      </c>
      <c r="FA273" s="27" t="s">
        <v>8</v>
      </c>
      <c r="FD273" s="31" t="s">
        <v>7</v>
      </c>
      <c r="FE273" s="27" t="s">
        <v>8</v>
      </c>
      <c r="FF273" s="27" t="s">
        <v>7</v>
      </c>
      <c r="FG273" s="27" t="s">
        <v>8</v>
      </c>
      <c r="GP273" s="27" t="s">
        <v>7</v>
      </c>
      <c r="GQ273" s="27" t="s">
        <v>8</v>
      </c>
      <c r="GS273" s="27" t="s">
        <v>8</v>
      </c>
    </row>
    <row r="274" spans="1:201" x14ac:dyDescent="0.25">
      <c r="A274" s="30">
        <v>0.19035479962020352</v>
      </c>
      <c r="B274"/>
      <c r="C274"/>
      <c r="D274"/>
      <c r="E274"/>
      <c r="F274" s="27" t="s">
        <v>7</v>
      </c>
      <c r="DM274" s="27" t="s">
        <v>8</v>
      </c>
      <c r="DN274" s="27" t="s">
        <v>7</v>
      </c>
      <c r="DS274" s="27" t="s">
        <v>8</v>
      </c>
      <c r="DT274" s="27" t="s">
        <v>7</v>
      </c>
      <c r="DW274" s="27" t="s">
        <v>8</v>
      </c>
      <c r="DX274" s="27" t="s">
        <v>7</v>
      </c>
      <c r="DY274" s="27" t="s">
        <v>8</v>
      </c>
      <c r="EX274" s="27" t="s">
        <v>7</v>
      </c>
      <c r="EY274" s="27" t="s">
        <v>8</v>
      </c>
      <c r="EZ274" s="27" t="s">
        <v>7</v>
      </c>
      <c r="FD274" s="27" t="s">
        <v>7</v>
      </c>
      <c r="FF274" s="18" t="s">
        <v>7</v>
      </c>
      <c r="FG274" s="27" t="s">
        <v>8</v>
      </c>
      <c r="GP274" s="27" t="s">
        <v>7</v>
      </c>
      <c r="GQ274" s="27" t="s">
        <v>8</v>
      </c>
      <c r="GR274" s="27" t="s">
        <v>7</v>
      </c>
      <c r="GS274" s="27" t="s">
        <v>8</v>
      </c>
    </row>
    <row r="275" spans="1:201" x14ac:dyDescent="0.25">
      <c r="A275" s="30">
        <v>0.18129028535257471</v>
      </c>
      <c r="B275"/>
      <c r="C275"/>
      <c r="D275"/>
      <c r="E275"/>
      <c r="F275" s="27" t="s">
        <v>7</v>
      </c>
      <c r="DM275" s="27" t="s">
        <v>8</v>
      </c>
      <c r="DN275" s="27" t="s">
        <v>7</v>
      </c>
      <c r="DO275" s="27" t="s">
        <v>8</v>
      </c>
      <c r="DS275" s="27" t="s">
        <v>8</v>
      </c>
      <c r="DT275" s="27" t="s">
        <v>7</v>
      </c>
      <c r="DU275" s="27" t="s">
        <v>8</v>
      </c>
      <c r="DW275" s="27" t="s">
        <v>8</v>
      </c>
      <c r="DX275" s="27" t="s">
        <v>7</v>
      </c>
      <c r="EX275" s="27" t="s">
        <v>7</v>
      </c>
      <c r="FF275" s="27" t="s">
        <v>7</v>
      </c>
      <c r="FG275" s="27" t="s">
        <v>8</v>
      </c>
      <c r="GP275" s="27" t="s">
        <v>7</v>
      </c>
      <c r="GQ275" s="27" t="s">
        <v>8</v>
      </c>
      <c r="GR275" s="27" t="s">
        <v>7</v>
      </c>
      <c r="GS275" s="27" t="s">
        <v>8</v>
      </c>
    </row>
    <row r="276" spans="1:201" x14ac:dyDescent="0.25">
      <c r="A276" s="30">
        <v>0.17265741462149967</v>
      </c>
      <c r="B276"/>
      <c r="C276"/>
      <c r="D276"/>
      <c r="E276"/>
      <c r="F276" s="27" t="s">
        <v>7</v>
      </c>
      <c r="DM276" s="27" t="s">
        <v>8</v>
      </c>
      <c r="DN276" s="27" t="s">
        <v>7</v>
      </c>
      <c r="DO276" s="27" t="s">
        <v>8</v>
      </c>
      <c r="DP276" s="27" t="s">
        <v>7</v>
      </c>
      <c r="DS276" s="27" t="s">
        <v>8</v>
      </c>
      <c r="DT276" s="27" t="s">
        <v>7</v>
      </c>
      <c r="DU276" s="27" t="s">
        <v>8</v>
      </c>
      <c r="DV276" s="27" t="s">
        <v>7</v>
      </c>
      <c r="DW276" s="27" t="s">
        <v>8</v>
      </c>
      <c r="FF276" s="27" t="s">
        <v>7</v>
      </c>
      <c r="FG276" s="27" t="s">
        <v>8</v>
      </c>
      <c r="GP276" s="27" t="s">
        <v>7</v>
      </c>
      <c r="GR276" s="27" t="s">
        <v>7</v>
      </c>
    </row>
    <row r="277" spans="1:201" x14ac:dyDescent="0.25">
      <c r="A277" s="30">
        <v>0.16443563297285677</v>
      </c>
      <c r="B277"/>
      <c r="C277"/>
      <c r="D277"/>
      <c r="E277"/>
      <c r="F277" s="27" t="s">
        <v>7</v>
      </c>
      <c r="DM277" s="27" t="s">
        <v>8</v>
      </c>
      <c r="DN277" s="27" t="s">
        <v>7</v>
      </c>
      <c r="DO277" s="27" t="s">
        <v>8</v>
      </c>
      <c r="DP277" s="27" t="s">
        <v>7</v>
      </c>
      <c r="DQ277" s="27" t="s">
        <v>8</v>
      </c>
      <c r="DS277" s="27" t="s">
        <v>8</v>
      </c>
      <c r="DT277" s="27" t="s">
        <v>7</v>
      </c>
      <c r="DU277" s="27" t="s">
        <v>8</v>
      </c>
      <c r="DV277" s="27" t="s">
        <v>7</v>
      </c>
      <c r="DW277" s="27" t="s">
        <v>8</v>
      </c>
      <c r="FF277" s="27" t="s">
        <v>7</v>
      </c>
    </row>
    <row r="278" spans="1:201" x14ac:dyDescent="0.25">
      <c r="A278" s="30">
        <v>0.15660536473605399</v>
      </c>
      <c r="B278"/>
      <c r="C278"/>
      <c r="D278"/>
      <c r="E278"/>
      <c r="F278" s="27" t="s">
        <v>7</v>
      </c>
      <c r="DM278" s="27" t="s">
        <v>8</v>
      </c>
      <c r="DN278" s="27" t="s">
        <v>7</v>
      </c>
      <c r="DP278" s="27" t="s">
        <v>7</v>
      </c>
      <c r="DQ278" s="27" t="s">
        <v>8</v>
      </c>
      <c r="DR278" s="27" t="s">
        <v>7</v>
      </c>
      <c r="DS278" s="27" t="s">
        <v>8</v>
      </c>
      <c r="DT278" s="27" t="s">
        <v>7</v>
      </c>
      <c r="DV278" s="27" t="s">
        <v>7</v>
      </c>
      <c r="DW278" s="27" t="s">
        <v>8</v>
      </c>
    </row>
    <row r="279" spans="1:201" x14ac:dyDescent="0.25">
      <c r="A279" s="30">
        <v>0.14914796641528946</v>
      </c>
      <c r="B279"/>
      <c r="C279"/>
      <c r="D279"/>
      <c r="E279"/>
      <c r="F279" s="27" t="s">
        <v>7</v>
      </c>
      <c r="DM279" s="27" t="s">
        <v>8</v>
      </c>
      <c r="DP279" s="27" t="s">
        <v>7</v>
      </c>
      <c r="DQ279" s="27" t="s">
        <v>8</v>
      </c>
      <c r="DR279" s="27" t="s">
        <v>7</v>
      </c>
      <c r="DS279" s="27" t="s">
        <v>8</v>
      </c>
      <c r="DV279" s="27" t="s">
        <v>7</v>
      </c>
      <c r="DW279" s="27" t="s">
        <v>8</v>
      </c>
    </row>
    <row r="280" spans="1:201" x14ac:dyDescent="0.25">
      <c r="A280" s="30">
        <v>0.14204568230027562</v>
      </c>
      <c r="B280"/>
      <c r="C280"/>
      <c r="D280"/>
      <c r="E280"/>
      <c r="F280" s="27" t="s">
        <v>7</v>
      </c>
      <c r="DK280" s="27" t="s">
        <v>8</v>
      </c>
      <c r="DM280" s="27" t="s">
        <v>8</v>
      </c>
      <c r="DP280" s="27" t="s">
        <v>7</v>
      </c>
      <c r="DQ280" s="27" t="s">
        <v>8</v>
      </c>
      <c r="DR280" s="27" t="s">
        <v>7</v>
      </c>
      <c r="DV280" s="27" t="s">
        <v>7</v>
      </c>
    </row>
    <row r="281" spans="1:201" x14ac:dyDescent="0.25">
      <c r="A281" s="30">
        <v>0.13528160219073862</v>
      </c>
      <c r="B281"/>
      <c r="C281"/>
      <c r="D281"/>
      <c r="E281"/>
      <c r="F281" s="27" t="s">
        <v>7</v>
      </c>
      <c r="DK281" s="27" t="s">
        <v>8</v>
      </c>
      <c r="DL281" s="27" t="s">
        <v>7</v>
      </c>
      <c r="DM281" s="27" t="s">
        <v>8</v>
      </c>
      <c r="DP281" s="27" t="s">
        <v>7</v>
      </c>
    </row>
    <row r="282" spans="1:201" x14ac:dyDescent="0.25">
      <c r="A282" s="30">
        <v>0.12883962113403674</v>
      </c>
      <c r="B282"/>
      <c r="C282"/>
      <c r="D282"/>
      <c r="E282"/>
      <c r="F282" s="27" t="s">
        <v>7</v>
      </c>
      <c r="DK282" s="27" t="s">
        <v>8</v>
      </c>
      <c r="DL282" s="27" t="s">
        <v>7</v>
      </c>
      <c r="DM282" s="27" t="s">
        <v>8</v>
      </c>
    </row>
    <row r="283" spans="1:201" x14ac:dyDescent="0.25">
      <c r="A283" s="30">
        <v>0.12270440108003494</v>
      </c>
      <c r="B283"/>
      <c r="C283"/>
      <c r="D283"/>
      <c r="E283"/>
      <c r="F283" s="27" t="s">
        <v>7</v>
      </c>
      <c r="DK283" s="27" t="s">
        <v>8</v>
      </c>
      <c r="DL283" s="27" t="s">
        <v>7</v>
      </c>
      <c r="DM283" s="27" t="s">
        <v>8</v>
      </c>
    </row>
    <row r="284" spans="1:201" x14ac:dyDescent="0.25">
      <c r="A284" s="30">
        <v>0.11686133436193799</v>
      </c>
      <c r="B284"/>
      <c r="C284"/>
      <c r="D284"/>
      <c r="E284"/>
      <c r="F284" s="27" t="s">
        <v>7</v>
      </c>
      <c r="DK284" s="27" t="s">
        <v>8</v>
      </c>
      <c r="DL284" s="27" t="s">
        <v>7</v>
      </c>
      <c r="DM284" s="27" t="s">
        <v>8</v>
      </c>
    </row>
    <row r="285" spans="1:201" x14ac:dyDescent="0.25">
      <c r="A285" s="30">
        <v>0.11129650891613138</v>
      </c>
      <c r="B285"/>
      <c r="C285"/>
      <c r="D285"/>
      <c r="E285"/>
      <c r="F285" s="27" t="s">
        <v>7</v>
      </c>
      <c r="DK285" s="27" t="s">
        <v>8</v>
      </c>
      <c r="DL285" s="27" t="s">
        <v>7</v>
      </c>
      <c r="DM285" s="27" t="s">
        <v>8</v>
      </c>
    </row>
    <row r="286" spans="1:201" x14ac:dyDescent="0.25">
      <c r="A286" s="30">
        <v>0.10599667515822032</v>
      </c>
      <c r="B286"/>
      <c r="C286"/>
      <c r="D286"/>
      <c r="E286"/>
      <c r="F286" s="27" t="s">
        <v>7</v>
      </c>
      <c r="DK286" s="27" t="s">
        <v>8</v>
      </c>
      <c r="DL286" s="27" t="s">
        <v>7</v>
      </c>
      <c r="DM286" s="27" t="s">
        <v>8</v>
      </c>
    </row>
    <row r="287" spans="1:201" x14ac:dyDescent="0.25">
      <c r="A287" s="30">
        <v>0.10094921443640027</v>
      </c>
      <c r="B287"/>
      <c r="C287"/>
      <c r="D287"/>
      <c r="E287"/>
      <c r="F287" s="27" t="s">
        <v>7</v>
      </c>
      <c r="DK287" s="27" t="s">
        <v>8</v>
      </c>
      <c r="DL287" s="27" t="s">
        <v>7</v>
      </c>
      <c r="DM287" s="27" t="s">
        <v>8</v>
      </c>
    </row>
    <row r="288" spans="1:201" x14ac:dyDescent="0.25">
      <c r="A288" s="30">
        <v>9.6142108987047836E-2</v>
      </c>
      <c r="B288"/>
      <c r="C288"/>
      <c r="D288"/>
      <c r="E288"/>
      <c r="F288" s="27" t="s">
        <v>7</v>
      </c>
      <c r="DK288" s="27" t="s">
        <v>8</v>
      </c>
      <c r="DL288" s="27" t="s">
        <v>7</v>
      </c>
      <c r="DM288" s="27" t="s">
        <v>8</v>
      </c>
    </row>
    <row r="289" spans="1:116" x14ac:dyDescent="0.25">
      <c r="A289" s="30">
        <v>9.1563913320997906E-2</v>
      </c>
      <c r="B289"/>
      <c r="C289"/>
      <c r="D289"/>
      <c r="E289"/>
      <c r="F289" s="27" t="s">
        <v>7</v>
      </c>
      <c r="DK289" s="27" t="s">
        <v>8</v>
      </c>
      <c r="DL289" s="27" t="s">
        <v>7</v>
      </c>
    </row>
    <row r="290" spans="1:116" x14ac:dyDescent="0.25">
      <c r="A290" s="30">
        <v>8.7203726972378923E-2</v>
      </c>
      <c r="B290"/>
      <c r="C290"/>
      <c r="D290"/>
      <c r="E290"/>
      <c r="F290" s="27" t="s">
        <v>7</v>
      </c>
      <c r="DK290" s="27" t="s">
        <v>8</v>
      </c>
    </row>
    <row r="291" spans="1:116" x14ac:dyDescent="0.25">
      <c r="A291" s="30">
        <v>8.3051168545122747E-2</v>
      </c>
      <c r="B291"/>
      <c r="C291"/>
      <c r="D291"/>
      <c r="E291"/>
      <c r="F291" s="27" t="s">
        <v>7</v>
      </c>
      <c r="DK291" s="27" t="s">
        <v>8</v>
      </c>
    </row>
    <row r="292" spans="1:116" x14ac:dyDescent="0.25">
      <c r="A292" s="30">
        <v>7.9096350995354961E-2</v>
      </c>
      <c r="B292"/>
      <c r="C292"/>
      <c r="D292"/>
      <c r="E292"/>
      <c r="F292" s="27" t="s">
        <v>7</v>
      </c>
      <c r="DK292" s="27" t="s">
        <v>8</v>
      </c>
    </row>
    <row r="293" spans="1:116" x14ac:dyDescent="0.25">
      <c r="A293" s="30">
        <v>7.5329858090814217E-2</v>
      </c>
      <c r="B293"/>
      <c r="C293"/>
      <c r="D293"/>
      <c r="E293"/>
      <c r="F293" s="27" t="s">
        <v>7</v>
      </c>
      <c r="G293" s="27" t="s">
        <v>8</v>
      </c>
      <c r="DK293" s="27" t="s">
        <v>8</v>
      </c>
    </row>
    <row r="294" spans="1:116" x14ac:dyDescent="0.25">
      <c r="A294" s="30">
        <v>7.1742721991251604E-2</v>
      </c>
      <c r="B294"/>
      <c r="C294"/>
      <c r="D294"/>
      <c r="E294"/>
      <c r="F294" s="27" t="s">
        <v>7</v>
      </c>
      <c r="G294" s="27" t="s">
        <v>8</v>
      </c>
      <c r="H294" s="27" t="s">
        <v>7</v>
      </c>
      <c r="DK294" s="27" t="s">
        <v>8</v>
      </c>
    </row>
    <row r="295" spans="1:116" x14ac:dyDescent="0.25">
      <c r="A295" s="30">
        <v>6.8326401896430078E-2</v>
      </c>
      <c r="B295"/>
      <c r="C295"/>
      <c r="D295"/>
      <c r="E295"/>
      <c r="F295" s="27" t="s">
        <v>7</v>
      </c>
      <c r="G295" s="27" t="s">
        <v>8</v>
      </c>
      <c r="H295" s="27" t="s">
        <v>7</v>
      </c>
      <c r="DK295" s="27" t="s">
        <v>8</v>
      </c>
    </row>
    <row r="296" spans="1:116" x14ac:dyDescent="0.25">
      <c r="A296" s="30">
        <v>6.5072763710885759E-2</v>
      </c>
      <c r="B296"/>
      <c r="C296"/>
      <c r="D296"/>
      <c r="E296"/>
      <c r="F296" s="27" t="s">
        <v>7</v>
      </c>
      <c r="G296" s="27" t="s">
        <v>8</v>
      </c>
      <c r="H296" s="27" t="s">
        <v>7</v>
      </c>
      <c r="DK296" s="27" t="s">
        <v>8</v>
      </c>
    </row>
    <row r="297" spans="1:116" x14ac:dyDescent="0.25">
      <c r="A297" s="30">
        <v>6.197406067703403E-2</v>
      </c>
      <c r="B297"/>
      <c r="C297"/>
      <c r="D297"/>
      <c r="E297"/>
      <c r="F297" s="27" t="s">
        <v>7</v>
      </c>
      <c r="G297" s="27" t="s">
        <v>8</v>
      </c>
      <c r="H297" s="27" t="s">
        <v>7</v>
      </c>
      <c r="DC297" s="27" t="s">
        <v>8</v>
      </c>
      <c r="DE297" s="27" t="s">
        <v>8</v>
      </c>
      <c r="DK297" s="27" t="s">
        <v>8</v>
      </c>
    </row>
    <row r="298" spans="1:116" x14ac:dyDescent="0.25">
      <c r="A298" s="30">
        <v>5.9022914930508576E-2</v>
      </c>
      <c r="B298"/>
      <c r="C298"/>
      <c r="D298"/>
      <c r="E298"/>
      <c r="F298" s="27" t="s">
        <v>7</v>
      </c>
      <c r="G298" s="27" t="s">
        <v>8</v>
      </c>
      <c r="H298" s="27" t="s">
        <v>7</v>
      </c>
      <c r="DC298" s="27" t="s">
        <v>8</v>
      </c>
      <c r="DD298" s="27" t="s">
        <v>7</v>
      </c>
      <c r="DE298" s="27" t="s">
        <v>8</v>
      </c>
      <c r="DF298" s="27" t="s">
        <v>7</v>
      </c>
      <c r="DK298" s="27" t="s">
        <v>8</v>
      </c>
    </row>
    <row r="299" spans="1:116" x14ac:dyDescent="0.25">
      <c r="A299" s="30">
        <v>5.6212299933817669E-2</v>
      </c>
      <c r="B299"/>
      <c r="C299"/>
      <c r="D299"/>
      <c r="E299"/>
      <c r="F299" s="27" t="s">
        <v>7</v>
      </c>
      <c r="G299" s="27" t="s">
        <v>8</v>
      </c>
      <c r="H299" s="27" t="s">
        <v>7</v>
      </c>
      <c r="DC299" s="27" t="s">
        <v>8</v>
      </c>
      <c r="DD299" s="27" t="s">
        <v>7</v>
      </c>
      <c r="DE299" s="27" t="s">
        <v>8</v>
      </c>
      <c r="DF299" s="27" t="s">
        <v>7</v>
      </c>
      <c r="DK299" s="27" t="s">
        <v>8</v>
      </c>
    </row>
    <row r="300" spans="1:116" x14ac:dyDescent="0.25">
      <c r="A300" s="30">
        <v>5.3535523746492994E-2</v>
      </c>
      <c r="B300"/>
      <c r="C300"/>
      <c r="D300"/>
      <c r="E300"/>
      <c r="F300" s="27" t="s">
        <v>7</v>
      </c>
      <c r="G300" s="27" t="s">
        <v>8</v>
      </c>
      <c r="H300" s="27" t="s">
        <v>7</v>
      </c>
      <c r="DA300" s="27" t="s">
        <v>8</v>
      </c>
      <c r="DC300" s="27" t="s">
        <v>8</v>
      </c>
      <c r="DD300" s="27" t="s">
        <v>7</v>
      </c>
      <c r="DE300" s="27" t="s">
        <v>8</v>
      </c>
      <c r="DF300" s="27" t="s">
        <v>7</v>
      </c>
      <c r="DK300" s="27" t="s">
        <v>8</v>
      </c>
    </row>
    <row r="301" spans="1:116" x14ac:dyDescent="0.25">
      <c r="A301" s="30">
        <v>5.0986213091898068E-2</v>
      </c>
      <c r="B301"/>
      <c r="C301"/>
      <c r="D301"/>
      <c r="E301"/>
      <c r="F301" s="27" t="s">
        <v>7</v>
      </c>
      <c r="G301" s="27" t="s">
        <v>8</v>
      </c>
      <c r="H301" s="27" t="s">
        <v>7</v>
      </c>
      <c r="DA301" s="27" t="s">
        <v>8</v>
      </c>
      <c r="DB301" s="27" t="s">
        <v>7</v>
      </c>
      <c r="DC301" s="27" t="s">
        <v>8</v>
      </c>
      <c r="DD301" s="27" t="s">
        <v>7</v>
      </c>
      <c r="DE301" s="27" t="s">
        <v>8</v>
      </c>
      <c r="DF301" s="27" t="s">
        <v>7</v>
      </c>
      <c r="DI301" s="27" t="s">
        <v>8</v>
      </c>
      <c r="DK301" s="27" t="s">
        <v>8</v>
      </c>
    </row>
    <row r="302" spans="1:116" x14ac:dyDescent="0.25">
      <c r="A302" s="30">
        <v>4.8558298182760043E-2</v>
      </c>
      <c r="B302"/>
      <c r="C302"/>
      <c r="D302"/>
      <c r="E302"/>
      <c r="F302" s="27" t="s">
        <v>7</v>
      </c>
      <c r="G302" s="27" t="s">
        <v>8</v>
      </c>
      <c r="H302" s="27" t="s">
        <v>7</v>
      </c>
      <c r="CY302" s="27" t="s">
        <v>8</v>
      </c>
      <c r="DA302" s="27" t="s">
        <v>8</v>
      </c>
      <c r="DB302" s="27" t="s">
        <v>7</v>
      </c>
      <c r="DC302" s="27" t="s">
        <v>8</v>
      </c>
      <c r="DD302" s="27" t="s">
        <v>7</v>
      </c>
      <c r="DF302" s="27" t="s">
        <v>7</v>
      </c>
      <c r="DG302" s="27" t="s">
        <v>8</v>
      </c>
      <c r="DI302" s="27" t="s">
        <v>8</v>
      </c>
      <c r="DJ302" s="27" t="s">
        <v>7</v>
      </c>
      <c r="DK302" s="27" t="s">
        <v>8</v>
      </c>
    </row>
    <row r="303" spans="1:116" x14ac:dyDescent="0.25">
      <c r="A303" s="30">
        <v>4.6245998269295263E-2</v>
      </c>
      <c r="B303"/>
      <c r="C303"/>
      <c r="D303"/>
      <c r="E303"/>
      <c r="F303" s="27" t="s">
        <v>7</v>
      </c>
      <c r="G303" s="27" t="s">
        <v>8</v>
      </c>
      <c r="H303" s="27" t="s">
        <v>7</v>
      </c>
      <c r="CY303" s="27" t="s">
        <v>8</v>
      </c>
      <c r="CZ303" s="27" t="s">
        <v>7</v>
      </c>
      <c r="DA303" s="27" t="s">
        <v>8</v>
      </c>
      <c r="DB303" s="27" t="s">
        <v>7</v>
      </c>
      <c r="DF303" s="27" t="s">
        <v>7</v>
      </c>
      <c r="DG303" s="27" t="s">
        <v>8</v>
      </c>
      <c r="DH303" s="27" t="s">
        <v>7</v>
      </c>
      <c r="DI303" s="27" t="s">
        <v>8</v>
      </c>
      <c r="DJ303" s="27" t="s">
        <v>7</v>
      </c>
      <c r="DK303" s="27" t="s">
        <v>8</v>
      </c>
    </row>
    <row r="304" spans="1:116" x14ac:dyDescent="0.25">
      <c r="A304" s="30">
        <v>4.4043807875519279E-2</v>
      </c>
      <c r="B304"/>
      <c r="C304"/>
      <c r="D304"/>
      <c r="E304"/>
      <c r="F304" s="27" t="s">
        <v>7</v>
      </c>
      <c r="G304" s="27" t="s">
        <v>8</v>
      </c>
      <c r="H304" s="27" t="s">
        <v>7</v>
      </c>
      <c r="CY304" s="27" t="s">
        <v>8</v>
      </c>
      <c r="CZ304" s="27" t="s">
        <v>7</v>
      </c>
      <c r="DA304" s="27" t="s">
        <v>8</v>
      </c>
      <c r="DF304" s="27" t="s">
        <v>7</v>
      </c>
      <c r="DG304" s="27" t="s">
        <v>8</v>
      </c>
      <c r="DH304" s="27" t="s">
        <v>7</v>
      </c>
      <c r="DI304" s="27" t="s">
        <v>8</v>
      </c>
      <c r="DJ304" s="27" t="s">
        <v>7</v>
      </c>
      <c r="DK304" s="27" t="s">
        <v>8</v>
      </c>
    </row>
    <row r="305" spans="1:115" x14ac:dyDescent="0.25">
      <c r="A305" s="30">
        <v>4.1946483690970725E-2</v>
      </c>
      <c r="B305"/>
      <c r="C305"/>
      <c r="D305"/>
      <c r="E305"/>
      <c r="F305" s="27" t="s">
        <v>7</v>
      </c>
      <c r="G305" s="27" t="s">
        <v>8</v>
      </c>
      <c r="H305" s="27" t="s">
        <v>7</v>
      </c>
      <c r="O305" s="27" t="s">
        <v>8</v>
      </c>
      <c r="BK305" s="27" t="s">
        <v>8</v>
      </c>
      <c r="CY305" s="27" t="s">
        <v>8</v>
      </c>
      <c r="CZ305" s="27" t="s">
        <v>7</v>
      </c>
      <c r="DA305" s="27" t="s">
        <v>8</v>
      </c>
      <c r="DF305" s="27" t="s">
        <v>7</v>
      </c>
      <c r="DG305" s="27" t="s">
        <v>8</v>
      </c>
      <c r="DH305" s="27" t="s">
        <v>7</v>
      </c>
      <c r="DI305" s="27" t="s">
        <v>8</v>
      </c>
      <c r="DJ305" s="27" t="s">
        <v>7</v>
      </c>
      <c r="DK305" s="27" t="s">
        <v>8</v>
      </c>
    </row>
    <row r="306" spans="1:115" x14ac:dyDescent="0.25">
      <c r="A306" s="30">
        <v>3.9949032086638768E-2</v>
      </c>
      <c r="B306"/>
      <c r="C306"/>
      <c r="D306"/>
      <c r="E306"/>
      <c r="F306" s="27" t="s">
        <v>7</v>
      </c>
      <c r="G306" s="27" t="s">
        <v>8</v>
      </c>
      <c r="H306" s="27" t="s">
        <v>7</v>
      </c>
      <c r="O306" s="27" t="s">
        <v>8</v>
      </c>
      <c r="P306" s="27" t="s">
        <v>7</v>
      </c>
      <c r="BK306" s="27" t="s">
        <v>8</v>
      </c>
      <c r="BL306" s="27" t="s">
        <v>7</v>
      </c>
      <c r="CY306" s="27" t="s">
        <v>8</v>
      </c>
      <c r="CZ306" s="27" t="s">
        <v>7</v>
      </c>
      <c r="DA306" s="27" t="s">
        <v>8</v>
      </c>
      <c r="DF306" s="27" t="s">
        <v>7</v>
      </c>
      <c r="DG306" s="27" t="s">
        <v>8</v>
      </c>
      <c r="DH306" s="27" t="s">
        <v>7</v>
      </c>
      <c r="DI306" s="27" t="s">
        <v>8</v>
      </c>
      <c r="DJ306" s="27" t="s">
        <v>7</v>
      </c>
    </row>
    <row r="307" spans="1:115" x14ac:dyDescent="0.25">
      <c r="A307" s="30">
        <v>3.8046697225370241E-2</v>
      </c>
      <c r="B307"/>
      <c r="C307"/>
      <c r="D307"/>
      <c r="E307"/>
      <c r="F307" s="27" t="s">
        <v>7</v>
      </c>
      <c r="G307" s="27" t="s">
        <v>8</v>
      </c>
      <c r="H307" s="27" t="s">
        <v>7</v>
      </c>
      <c r="O307" s="27" t="s">
        <v>8</v>
      </c>
      <c r="P307" s="27" t="s">
        <v>7</v>
      </c>
      <c r="BK307" s="27" t="s">
        <v>8</v>
      </c>
      <c r="BL307" s="27" t="s">
        <v>7</v>
      </c>
      <c r="CY307" s="27" t="s">
        <v>8</v>
      </c>
      <c r="CZ307" s="27" t="s">
        <v>7</v>
      </c>
      <c r="DF307" s="27" t="s">
        <v>7</v>
      </c>
      <c r="DH307" s="27" t="s">
        <v>7</v>
      </c>
    </row>
    <row r="308" spans="1:115" x14ac:dyDescent="0.25">
      <c r="A308" s="30">
        <v>3.6234949738447833E-2</v>
      </c>
      <c r="B308"/>
      <c r="C308"/>
      <c r="D308"/>
      <c r="E308"/>
      <c r="F308" s="27" t="s">
        <v>7</v>
      </c>
      <c r="G308" s="27" t="s">
        <v>8</v>
      </c>
      <c r="H308" s="27" t="s">
        <v>7</v>
      </c>
      <c r="I308" s="27" t="s">
        <v>8</v>
      </c>
      <c r="O308" s="27" t="s">
        <v>8</v>
      </c>
      <c r="P308" s="27" t="s">
        <v>7</v>
      </c>
      <c r="BK308" s="27" t="s">
        <v>8</v>
      </c>
      <c r="BL308" s="27" t="s">
        <v>7</v>
      </c>
      <c r="BM308" s="27" t="s">
        <v>8</v>
      </c>
      <c r="CY308" s="27" t="s">
        <v>8</v>
      </c>
    </row>
    <row r="309" spans="1:115" x14ac:dyDescent="0.25">
      <c r="A309" s="30">
        <v>3.4509475941378875E-2</v>
      </c>
      <c r="B309"/>
      <c r="C309"/>
      <c r="D309"/>
      <c r="E309"/>
      <c r="F309" s="27" t="s">
        <v>7</v>
      </c>
      <c r="G309" s="27" t="s">
        <v>8</v>
      </c>
      <c r="H309" s="27" t="s">
        <v>7</v>
      </c>
      <c r="I309" s="27" t="s">
        <v>8</v>
      </c>
      <c r="J309" s="27" t="s">
        <v>7</v>
      </c>
      <c r="O309" s="27" t="s">
        <v>8</v>
      </c>
      <c r="P309" s="27" t="s">
        <v>7</v>
      </c>
      <c r="BK309" s="27" t="s">
        <v>8</v>
      </c>
      <c r="BL309" s="27" t="s">
        <v>7</v>
      </c>
      <c r="BM309" s="27" t="s">
        <v>8</v>
      </c>
      <c r="BN309" s="27" t="s">
        <v>7</v>
      </c>
      <c r="CU309" s="27" t="s">
        <v>8</v>
      </c>
      <c r="CY309" s="27" t="s">
        <v>8</v>
      </c>
    </row>
    <row r="310" spans="1:115" x14ac:dyDescent="0.25">
      <c r="A310" s="30">
        <v>3.286616756321796E-2</v>
      </c>
      <c r="B310"/>
      <c r="C310"/>
      <c r="D310"/>
      <c r="E310"/>
      <c r="F310" s="27" t="s">
        <v>7</v>
      </c>
      <c r="G310" s="27" t="s">
        <v>8</v>
      </c>
      <c r="H310" s="27" t="s">
        <v>7</v>
      </c>
      <c r="I310" s="27" t="s">
        <v>8</v>
      </c>
      <c r="J310" s="27" t="s">
        <v>7</v>
      </c>
      <c r="O310" s="27" t="s">
        <v>8</v>
      </c>
      <c r="P310" s="27" t="s">
        <v>7</v>
      </c>
      <c r="BK310" s="27" t="s">
        <v>8</v>
      </c>
      <c r="BL310" s="27" t="s">
        <v>7</v>
      </c>
      <c r="BM310" s="27" t="s">
        <v>8</v>
      </c>
      <c r="BN310" s="27" t="s">
        <v>7</v>
      </c>
      <c r="BO310" s="27" t="s">
        <v>8</v>
      </c>
      <c r="CU310" s="27" t="s">
        <v>8</v>
      </c>
      <c r="CV310" s="27" t="s">
        <v>7</v>
      </c>
      <c r="CW310" s="27" t="s">
        <v>8</v>
      </c>
      <c r="CY310" s="27" t="s">
        <v>8</v>
      </c>
    </row>
    <row r="311" spans="1:115" x14ac:dyDescent="0.25">
      <c r="A311" s="30">
        <v>3.1301111964969472E-2</v>
      </c>
      <c r="B311"/>
      <c r="C311"/>
      <c r="D311"/>
      <c r="E311"/>
      <c r="F311" s="27" t="s">
        <v>7</v>
      </c>
      <c r="G311" s="27" t="s">
        <v>8</v>
      </c>
      <c r="H311" s="27" t="s">
        <v>7</v>
      </c>
      <c r="J311" s="27" t="s">
        <v>7</v>
      </c>
      <c r="M311" s="27" t="s">
        <v>8</v>
      </c>
      <c r="O311" s="27" t="s">
        <v>8</v>
      </c>
      <c r="P311" s="27" t="s">
        <v>7</v>
      </c>
      <c r="W311" s="27" t="s">
        <v>8</v>
      </c>
      <c r="BA311" s="27" t="s">
        <v>8</v>
      </c>
      <c r="BC311" s="27" t="s">
        <v>8</v>
      </c>
      <c r="BK311" s="27" t="s">
        <v>8</v>
      </c>
      <c r="BL311" s="27" t="s">
        <v>7</v>
      </c>
      <c r="BN311" s="27" t="s">
        <v>7</v>
      </c>
      <c r="BO311" s="27" t="s">
        <v>8</v>
      </c>
      <c r="BP311" s="27" t="s">
        <v>7</v>
      </c>
      <c r="BQ311" s="27" t="s">
        <v>8</v>
      </c>
      <c r="BW311" s="27" t="s">
        <v>8</v>
      </c>
      <c r="CU311" s="27" t="s">
        <v>8</v>
      </c>
      <c r="CV311" s="27" t="s">
        <v>7</v>
      </c>
      <c r="CW311" s="27" t="s">
        <v>8</v>
      </c>
      <c r="CX311" s="27" t="s">
        <v>7</v>
      </c>
      <c r="CY311" s="27" t="s">
        <v>8</v>
      </c>
    </row>
    <row r="312" spans="1:115" x14ac:dyDescent="0.25">
      <c r="A312" s="30">
        <v>2.9810582823780438E-2</v>
      </c>
      <c r="B312"/>
      <c r="C312"/>
      <c r="D312"/>
      <c r="E312"/>
      <c r="F312" s="27" t="s">
        <v>7</v>
      </c>
      <c r="G312" s="27" t="s">
        <v>8</v>
      </c>
      <c r="J312" s="27" t="s">
        <v>7</v>
      </c>
      <c r="K312" s="27" t="s">
        <v>8</v>
      </c>
      <c r="M312" s="27" t="s">
        <v>8</v>
      </c>
      <c r="N312" s="27" t="s">
        <v>7</v>
      </c>
      <c r="O312" s="27" t="s">
        <v>8</v>
      </c>
      <c r="P312" s="27" t="s">
        <v>7</v>
      </c>
      <c r="W312" s="27" t="s">
        <v>8</v>
      </c>
      <c r="X312" s="27" t="s">
        <v>7</v>
      </c>
      <c r="BA312" s="27" t="s">
        <v>8</v>
      </c>
      <c r="BB312" s="27" t="s">
        <v>7</v>
      </c>
      <c r="BC312" s="27" t="s">
        <v>8</v>
      </c>
      <c r="BD312" s="27" t="s">
        <v>7</v>
      </c>
      <c r="BK312" s="27" t="s">
        <v>8</v>
      </c>
      <c r="BN312" s="27" t="s">
        <v>7</v>
      </c>
      <c r="BO312" s="27" t="s">
        <v>8</v>
      </c>
      <c r="BP312" s="27" t="s">
        <v>7</v>
      </c>
      <c r="BQ312" s="27" t="s">
        <v>8</v>
      </c>
      <c r="BR312" s="27" t="s">
        <v>7</v>
      </c>
      <c r="BW312" s="27" t="s">
        <v>8</v>
      </c>
      <c r="BX312" s="27" t="s">
        <v>7</v>
      </c>
      <c r="CU312" s="27" t="s">
        <v>8</v>
      </c>
      <c r="CV312" s="27" t="s">
        <v>7</v>
      </c>
      <c r="CW312" s="27" t="s">
        <v>8</v>
      </c>
      <c r="CX312" s="27" t="s">
        <v>7</v>
      </c>
      <c r="CY312" s="27" t="s">
        <v>8</v>
      </c>
    </row>
    <row r="313" spans="1:115" x14ac:dyDescent="0.25">
      <c r="A313" s="30">
        <v>2.8391031260743264E-2</v>
      </c>
      <c r="B313"/>
      <c r="C313"/>
      <c r="D313"/>
      <c r="E313"/>
      <c r="F313" s="27" t="s">
        <v>7</v>
      </c>
      <c r="G313" s="27" t="s">
        <v>8</v>
      </c>
      <c r="J313" s="27" t="s">
        <v>7</v>
      </c>
      <c r="K313" s="27" t="s">
        <v>8</v>
      </c>
      <c r="L313" s="27" t="s">
        <v>7</v>
      </c>
      <c r="M313" s="27" t="s">
        <v>8</v>
      </c>
      <c r="N313" s="27" t="s">
        <v>7</v>
      </c>
      <c r="O313" s="27" t="s">
        <v>8</v>
      </c>
      <c r="P313" s="27" t="s">
        <v>7</v>
      </c>
      <c r="W313" s="27" t="s">
        <v>8</v>
      </c>
      <c r="X313" s="27" t="s">
        <v>7</v>
      </c>
      <c r="BA313" s="27" t="s">
        <v>8</v>
      </c>
      <c r="BB313" s="27" t="s">
        <v>7</v>
      </c>
      <c r="BC313" s="27" t="s">
        <v>8</v>
      </c>
      <c r="BD313" s="27" t="s">
        <v>7</v>
      </c>
      <c r="BK313" s="27" t="s">
        <v>8</v>
      </c>
      <c r="BN313" s="27" t="s">
        <v>7</v>
      </c>
      <c r="BP313" s="27" t="s">
        <v>7</v>
      </c>
      <c r="BQ313" s="27" t="s">
        <v>8</v>
      </c>
      <c r="BR313" s="27" t="s">
        <v>7</v>
      </c>
      <c r="BW313" s="27" t="s">
        <v>8</v>
      </c>
      <c r="BX313" s="27" t="s">
        <v>7</v>
      </c>
      <c r="CU313" s="27" t="s">
        <v>8</v>
      </c>
      <c r="CV313" s="27" t="s">
        <v>7</v>
      </c>
      <c r="CW313" s="27" t="s">
        <v>8</v>
      </c>
      <c r="CX313" s="27" t="s">
        <v>7</v>
      </c>
    </row>
    <row r="314" spans="1:115" x14ac:dyDescent="0.25">
      <c r="A314" s="30">
        <v>2.7039077391184052E-2</v>
      </c>
      <c r="B314"/>
      <c r="C314"/>
      <c r="D314"/>
      <c r="E314"/>
      <c r="F314" s="27" t="s">
        <v>7</v>
      </c>
      <c r="G314" s="27" t="s">
        <v>8</v>
      </c>
      <c r="J314" s="27" t="s">
        <v>7</v>
      </c>
      <c r="K314" s="27" t="s">
        <v>8</v>
      </c>
      <c r="L314" s="27" t="s">
        <v>7</v>
      </c>
      <c r="M314" s="27" t="s">
        <v>8</v>
      </c>
      <c r="N314" s="27" t="s">
        <v>7</v>
      </c>
      <c r="P314" s="27" t="s">
        <v>7</v>
      </c>
      <c r="W314" s="27" t="s">
        <v>8</v>
      </c>
      <c r="X314" s="27" t="s">
        <v>7</v>
      </c>
      <c r="BA314" s="27" t="s">
        <v>8</v>
      </c>
      <c r="BB314" s="27" t="s">
        <v>7</v>
      </c>
      <c r="BC314" s="27" t="s">
        <v>8</v>
      </c>
      <c r="BD314" s="27" t="s">
        <v>7</v>
      </c>
      <c r="BI314" s="27" t="s">
        <v>8</v>
      </c>
      <c r="BK314" s="27" t="s">
        <v>8</v>
      </c>
      <c r="BP314" s="27" t="s">
        <v>7</v>
      </c>
      <c r="BR314" s="27" t="s">
        <v>7</v>
      </c>
      <c r="BW314" s="27" t="s">
        <v>8</v>
      </c>
      <c r="BX314" s="27" t="s">
        <v>7</v>
      </c>
      <c r="CS314" s="27" t="s">
        <v>8</v>
      </c>
      <c r="CU314" s="27" t="s">
        <v>8</v>
      </c>
      <c r="CV314" s="27" t="s">
        <v>7</v>
      </c>
    </row>
    <row r="315" spans="1:115" x14ac:dyDescent="0.25">
      <c r="A315" s="30">
        <v>2.5751502277318133E-2</v>
      </c>
      <c r="B315"/>
      <c r="C315"/>
      <c r="D315"/>
      <c r="E315"/>
      <c r="F315" s="27" t="s">
        <v>7</v>
      </c>
      <c r="J315" s="27" t="s">
        <v>7</v>
      </c>
      <c r="K315" s="27" t="s">
        <v>8</v>
      </c>
      <c r="L315" s="27" t="s">
        <v>7</v>
      </c>
      <c r="P315" s="27" t="s">
        <v>7</v>
      </c>
      <c r="W315" s="27" t="s">
        <v>8</v>
      </c>
      <c r="X315" s="27" t="s">
        <v>7</v>
      </c>
      <c r="Y315" s="27" t="s">
        <v>8</v>
      </c>
      <c r="BA315" s="27" t="s">
        <v>8</v>
      </c>
      <c r="BB315" s="27" t="s">
        <v>7</v>
      </c>
      <c r="BC315" s="27" t="s">
        <v>8</v>
      </c>
      <c r="BD315" s="27" t="s">
        <v>7</v>
      </c>
      <c r="BI315" s="27" t="s">
        <v>8</v>
      </c>
      <c r="BJ315" s="27" t="s">
        <v>7</v>
      </c>
      <c r="BK315" s="27" t="s">
        <v>8</v>
      </c>
      <c r="BR315" s="27" t="s">
        <v>7</v>
      </c>
      <c r="BW315" s="27" t="s">
        <v>8</v>
      </c>
      <c r="BX315" s="27" t="s">
        <v>7</v>
      </c>
      <c r="CE315" s="27" t="s">
        <v>8</v>
      </c>
      <c r="CK315" s="27" t="s">
        <v>8</v>
      </c>
      <c r="CO315" s="27" t="s">
        <v>8</v>
      </c>
      <c r="CQ315" s="27" t="s">
        <v>8</v>
      </c>
      <c r="CS315" s="27" t="s">
        <v>8</v>
      </c>
      <c r="CT315" s="27" t="s">
        <v>7</v>
      </c>
      <c r="CU315" s="27" t="s">
        <v>8</v>
      </c>
    </row>
    <row r="316" spans="1:115" x14ac:dyDescent="0.25">
      <c r="A316" s="30">
        <v>2.4525240264112496E-2</v>
      </c>
      <c r="B316"/>
      <c r="C316"/>
      <c r="D316"/>
      <c r="E316"/>
      <c r="J316" s="27" t="s">
        <v>7</v>
      </c>
      <c r="P316" s="27" t="s">
        <v>7</v>
      </c>
      <c r="W316" s="27" t="s">
        <v>8</v>
      </c>
      <c r="X316" s="27" t="s">
        <v>7</v>
      </c>
      <c r="Y316" s="27" t="s">
        <v>8</v>
      </c>
      <c r="Z316" s="27" t="s">
        <v>7</v>
      </c>
      <c r="BA316" s="27" t="s">
        <v>8</v>
      </c>
      <c r="BB316" s="27" t="s">
        <v>7</v>
      </c>
      <c r="BD316" s="27" t="s">
        <v>7</v>
      </c>
      <c r="BE316" s="27" t="s">
        <v>8</v>
      </c>
      <c r="BG316" s="27" t="s">
        <v>8</v>
      </c>
      <c r="BI316" s="27" t="s">
        <v>8</v>
      </c>
      <c r="BJ316" s="27" t="s">
        <v>7</v>
      </c>
      <c r="BK316" s="27" t="s">
        <v>8</v>
      </c>
      <c r="BR316" s="27" t="s">
        <v>7</v>
      </c>
      <c r="BW316" s="27" t="s">
        <v>8</v>
      </c>
      <c r="BX316" s="27" t="s">
        <v>7</v>
      </c>
      <c r="CE316" s="27" t="s">
        <v>8</v>
      </c>
      <c r="CF316" s="27" t="s">
        <v>7</v>
      </c>
      <c r="CK316" s="27" t="s">
        <v>8</v>
      </c>
      <c r="CL316" s="27" t="s">
        <v>7</v>
      </c>
      <c r="CO316" s="27" t="s">
        <v>8</v>
      </c>
      <c r="CP316" s="27" t="s">
        <v>7</v>
      </c>
      <c r="CQ316" s="27" t="s">
        <v>8</v>
      </c>
      <c r="CR316" s="27" t="s">
        <v>7</v>
      </c>
      <c r="CS316" s="27" t="s">
        <v>8</v>
      </c>
      <c r="CT316" s="27" t="s">
        <v>7</v>
      </c>
      <c r="CU316" s="27" t="s">
        <v>8</v>
      </c>
    </row>
    <row r="317" spans="1:115" x14ac:dyDescent="0.25">
      <c r="A317" s="30">
        <v>2.3357371680107129E-2</v>
      </c>
      <c r="B317"/>
      <c r="C317"/>
      <c r="D317"/>
      <c r="E317"/>
      <c r="P317" s="27" t="s">
        <v>7</v>
      </c>
      <c r="S317" s="27" t="s">
        <v>8</v>
      </c>
      <c r="W317" s="27" t="s">
        <v>8</v>
      </c>
      <c r="X317" s="27" t="s">
        <v>7</v>
      </c>
      <c r="Y317" s="27" t="s">
        <v>8</v>
      </c>
      <c r="Z317" s="27" t="s">
        <v>7</v>
      </c>
      <c r="BA317" s="27" t="s">
        <v>8</v>
      </c>
      <c r="BD317" s="27" t="s">
        <v>7</v>
      </c>
      <c r="BE317" s="27" t="s">
        <v>8</v>
      </c>
      <c r="BF317" s="27" t="s">
        <v>7</v>
      </c>
      <c r="BG317" s="27" t="s">
        <v>8</v>
      </c>
      <c r="BH317" s="27" t="s">
        <v>7</v>
      </c>
      <c r="BI317" s="27" t="s">
        <v>8</v>
      </c>
      <c r="BJ317" s="27" t="s">
        <v>7</v>
      </c>
      <c r="BK317" s="27" t="s">
        <v>8</v>
      </c>
      <c r="BR317" s="27" t="s">
        <v>7</v>
      </c>
      <c r="BS317" s="27" t="s">
        <v>8</v>
      </c>
      <c r="BW317" s="27" t="s">
        <v>8</v>
      </c>
      <c r="BX317" s="27" t="s">
        <v>7</v>
      </c>
      <c r="CE317" s="27" t="s">
        <v>8</v>
      </c>
      <c r="CF317" s="27" t="s">
        <v>7</v>
      </c>
      <c r="CG317" s="27" t="s">
        <v>8</v>
      </c>
      <c r="CI317" s="27" t="s">
        <v>8</v>
      </c>
      <c r="CK317" s="27" t="s">
        <v>8</v>
      </c>
      <c r="CL317" s="27" t="s">
        <v>7</v>
      </c>
      <c r="CO317" s="27" t="s">
        <v>8</v>
      </c>
      <c r="CP317" s="27" t="s">
        <v>7</v>
      </c>
      <c r="CQ317" s="27" t="s">
        <v>8</v>
      </c>
      <c r="CR317" s="27" t="s">
        <v>7</v>
      </c>
      <c r="CS317" s="27" t="s">
        <v>8</v>
      </c>
      <c r="CT317" s="27" t="s">
        <v>7</v>
      </c>
      <c r="CU317" s="27" t="s">
        <v>8</v>
      </c>
    </row>
    <row r="318" spans="1:115" x14ac:dyDescent="0.25">
      <c r="A318" s="30">
        <v>2.2245115885816305E-2</v>
      </c>
      <c r="B318"/>
      <c r="C318"/>
      <c r="D318"/>
      <c r="E318"/>
      <c r="P318" s="27" t="s">
        <v>7</v>
      </c>
      <c r="S318" s="27" t="s">
        <v>8</v>
      </c>
      <c r="T318" s="27" t="s">
        <v>7</v>
      </c>
      <c r="W318" s="27" t="s">
        <v>8</v>
      </c>
      <c r="X318" s="27" t="s">
        <v>7</v>
      </c>
      <c r="Z318" s="27" t="s">
        <v>7</v>
      </c>
      <c r="BA318" s="27" t="s">
        <v>8</v>
      </c>
      <c r="BD318" s="27" t="s">
        <v>7</v>
      </c>
      <c r="BE318" s="27" t="s">
        <v>8</v>
      </c>
      <c r="BF318" s="27" t="s">
        <v>7</v>
      </c>
      <c r="BG318" s="27" t="s">
        <v>8</v>
      </c>
      <c r="BH318" s="27" t="s">
        <v>7</v>
      </c>
      <c r="BI318" s="27" t="s">
        <v>8</v>
      </c>
      <c r="BJ318" s="27" t="s">
        <v>7</v>
      </c>
      <c r="BK318" s="27" t="s">
        <v>8</v>
      </c>
      <c r="BR318" s="27" t="s">
        <v>7</v>
      </c>
      <c r="BS318" s="27" t="s">
        <v>8</v>
      </c>
      <c r="BT318" s="27" t="s">
        <v>7</v>
      </c>
      <c r="BU318" s="27" t="s">
        <v>8</v>
      </c>
      <c r="BW318" s="27" t="s">
        <v>8</v>
      </c>
      <c r="BX318" s="27" t="s">
        <v>7</v>
      </c>
      <c r="CE318" s="27" t="s">
        <v>8</v>
      </c>
      <c r="CF318" s="27" t="s">
        <v>7</v>
      </c>
      <c r="CG318" s="27" t="s">
        <v>8</v>
      </c>
      <c r="CH318" s="27" t="s">
        <v>7</v>
      </c>
      <c r="CI318" s="27" t="s">
        <v>8</v>
      </c>
      <c r="CJ318" s="27" t="s">
        <v>7</v>
      </c>
      <c r="CK318" s="27" t="s">
        <v>8</v>
      </c>
      <c r="CL318" s="27" t="s">
        <v>7</v>
      </c>
      <c r="CM318" s="27" t="s">
        <v>8</v>
      </c>
      <c r="CO318" s="27" t="s">
        <v>8</v>
      </c>
      <c r="CP318" s="27" t="s">
        <v>7</v>
      </c>
      <c r="CQ318" s="27" t="s">
        <v>8</v>
      </c>
      <c r="CR318" s="27" t="s">
        <v>7</v>
      </c>
      <c r="CT318" s="27" t="s">
        <v>7</v>
      </c>
    </row>
    <row r="319" spans="1:115" x14ac:dyDescent="0.25">
      <c r="A319" s="30">
        <v>2.1185824653158377E-2</v>
      </c>
      <c r="B319"/>
      <c r="C319"/>
      <c r="D319"/>
      <c r="E319"/>
      <c r="P319" s="27" t="s">
        <v>7</v>
      </c>
      <c r="Q319" s="27" t="s">
        <v>8</v>
      </c>
      <c r="S319" s="27" t="s">
        <v>8</v>
      </c>
      <c r="T319" s="27" t="s">
        <v>7</v>
      </c>
      <c r="W319" s="27" t="s">
        <v>8</v>
      </c>
      <c r="Z319" s="27" t="s">
        <v>7</v>
      </c>
      <c r="AA319" s="27" t="s">
        <v>8</v>
      </c>
      <c r="AC319" s="27" t="s">
        <v>8</v>
      </c>
      <c r="AY319" s="27" t="s">
        <v>8</v>
      </c>
      <c r="BA319" s="27" t="s">
        <v>8</v>
      </c>
      <c r="BD319" s="27" t="s">
        <v>7</v>
      </c>
      <c r="BF319" s="27" t="s">
        <v>7</v>
      </c>
      <c r="BH319" s="27" t="s">
        <v>7</v>
      </c>
      <c r="BI319" s="27" t="s">
        <v>8</v>
      </c>
      <c r="BJ319" s="27" t="s">
        <v>7</v>
      </c>
      <c r="BR319" s="27" t="s">
        <v>7</v>
      </c>
      <c r="BS319" s="27" t="s">
        <v>8</v>
      </c>
      <c r="BT319" s="27" t="s">
        <v>7</v>
      </c>
      <c r="BU319" s="27" t="s">
        <v>8</v>
      </c>
      <c r="BV319" s="27" t="s">
        <v>7</v>
      </c>
      <c r="BW319" s="27" t="s">
        <v>8</v>
      </c>
      <c r="BX319" s="27" t="s">
        <v>7</v>
      </c>
      <c r="BY319" s="27" t="s">
        <v>8</v>
      </c>
      <c r="CE319" s="27" t="s">
        <v>8</v>
      </c>
      <c r="CF319" s="27" t="s">
        <v>7</v>
      </c>
      <c r="CG319" s="27" t="s">
        <v>8</v>
      </c>
      <c r="CH319" s="27" t="s">
        <v>7</v>
      </c>
      <c r="CI319" s="27" t="s">
        <v>8</v>
      </c>
      <c r="CJ319" s="27" t="s">
        <v>7</v>
      </c>
      <c r="CK319" s="27" t="s">
        <v>8</v>
      </c>
      <c r="CL319" s="27" t="s">
        <v>7</v>
      </c>
      <c r="CM319" s="27" t="s">
        <v>8</v>
      </c>
      <c r="CN319" s="27" t="s">
        <v>7</v>
      </c>
      <c r="CO319" s="27" t="s">
        <v>8</v>
      </c>
      <c r="CP319" s="27" t="s">
        <v>7</v>
      </c>
      <c r="CQ319" s="27" t="s">
        <v>8</v>
      </c>
    </row>
    <row r="320" spans="1:115" x14ac:dyDescent="0.25">
      <c r="A320" s="30">
        <v>2.0176975860150829E-2</v>
      </c>
      <c r="B320"/>
      <c r="C320"/>
      <c r="D320"/>
      <c r="E320"/>
      <c r="P320" s="27" t="s">
        <v>7</v>
      </c>
      <c r="Q320" s="27" t="s">
        <v>8</v>
      </c>
      <c r="R320" s="27" t="s">
        <v>7</v>
      </c>
      <c r="S320" s="27" t="s">
        <v>8</v>
      </c>
      <c r="T320" s="27" t="s">
        <v>7</v>
      </c>
      <c r="U320" s="27" t="s">
        <v>8</v>
      </c>
      <c r="W320" s="27" t="s">
        <v>8</v>
      </c>
      <c r="Z320" s="27" t="s">
        <v>7</v>
      </c>
      <c r="AA320" s="27" t="s">
        <v>8</v>
      </c>
      <c r="AB320" s="27" t="s">
        <v>7</v>
      </c>
      <c r="AC320" s="27" t="s">
        <v>8</v>
      </c>
      <c r="AD320" s="27" t="s">
        <v>7</v>
      </c>
      <c r="AW320" s="27" t="s">
        <v>8</v>
      </c>
      <c r="AY320" s="27" t="s">
        <v>8</v>
      </c>
      <c r="AZ320" s="27" t="s">
        <v>7</v>
      </c>
      <c r="BA320" s="27" t="s">
        <v>8</v>
      </c>
      <c r="BH320" s="27" t="s">
        <v>7</v>
      </c>
      <c r="BR320" s="27" t="s">
        <v>7</v>
      </c>
      <c r="BT320" s="27" t="s">
        <v>7</v>
      </c>
      <c r="BU320" s="27" t="s">
        <v>8</v>
      </c>
      <c r="BV320" s="27" t="s">
        <v>7</v>
      </c>
      <c r="BW320" s="27" t="s">
        <v>8</v>
      </c>
      <c r="BX320" s="27" t="s">
        <v>7</v>
      </c>
      <c r="BY320" s="27" t="s">
        <v>8</v>
      </c>
      <c r="BZ320" s="27" t="s">
        <v>7</v>
      </c>
      <c r="CA320" s="27" t="s">
        <v>8</v>
      </c>
      <c r="CC320" s="27" t="s">
        <v>8</v>
      </c>
      <c r="CE320" s="27" t="s">
        <v>8</v>
      </c>
      <c r="CF320" s="27" t="s">
        <v>7</v>
      </c>
      <c r="CG320" s="27" t="s">
        <v>8</v>
      </c>
      <c r="CH320" s="27" t="s">
        <v>7</v>
      </c>
      <c r="CI320" s="27" t="s">
        <v>8</v>
      </c>
      <c r="CJ320" s="27" t="s">
        <v>7</v>
      </c>
      <c r="CK320" s="27" t="s">
        <v>8</v>
      </c>
      <c r="CL320" s="27" t="s">
        <v>7</v>
      </c>
      <c r="CM320" s="27" t="s">
        <v>8</v>
      </c>
      <c r="CN320" s="27" t="s">
        <v>7</v>
      </c>
      <c r="CO320" s="27" t="s">
        <v>8</v>
      </c>
      <c r="CP320" s="27" t="s">
        <v>7</v>
      </c>
      <c r="CQ320" s="27" t="s">
        <v>8</v>
      </c>
    </row>
    <row r="321" spans="1:95" x14ac:dyDescent="0.25">
      <c r="A321" s="30">
        <v>1.9216167485857926E-2</v>
      </c>
      <c r="B321"/>
      <c r="C321"/>
      <c r="D321"/>
      <c r="E321"/>
      <c r="P321" s="27" t="s">
        <v>7</v>
      </c>
      <c r="Q321" s="27" t="s">
        <v>8</v>
      </c>
      <c r="R321" s="27" t="s">
        <v>7</v>
      </c>
      <c r="S321" s="27" t="s">
        <v>8</v>
      </c>
      <c r="T321" s="27" t="s">
        <v>7</v>
      </c>
      <c r="U321" s="27" t="s">
        <v>8</v>
      </c>
      <c r="V321" s="27" t="s">
        <v>7</v>
      </c>
      <c r="W321" s="27" t="s">
        <v>8</v>
      </c>
      <c r="Z321" s="27" t="s">
        <v>7</v>
      </c>
      <c r="AA321" s="27" t="s">
        <v>8</v>
      </c>
      <c r="AB321" s="27" t="s">
        <v>7</v>
      </c>
      <c r="AC321" s="27" t="s">
        <v>8</v>
      </c>
      <c r="AD321" s="27" t="s">
        <v>7</v>
      </c>
      <c r="AE321" s="27" t="s">
        <v>8</v>
      </c>
      <c r="AI321" s="27" t="s">
        <v>8</v>
      </c>
      <c r="AW321" s="27" t="s">
        <v>8</v>
      </c>
      <c r="AX321" s="27" t="s">
        <v>7</v>
      </c>
      <c r="AY321" s="27" t="s">
        <v>8</v>
      </c>
      <c r="AZ321" s="27" t="s">
        <v>7</v>
      </c>
      <c r="BA321" s="27" t="s">
        <v>8</v>
      </c>
      <c r="BT321" s="27" t="s">
        <v>7</v>
      </c>
      <c r="BU321" s="27" t="s">
        <v>8</v>
      </c>
      <c r="BV321" s="27" t="s">
        <v>7</v>
      </c>
      <c r="BW321" s="27" t="s">
        <v>8</v>
      </c>
      <c r="BX321" s="27" t="s">
        <v>7</v>
      </c>
      <c r="BY321" s="27" t="s">
        <v>8</v>
      </c>
      <c r="BZ321" s="27" t="s">
        <v>7</v>
      </c>
      <c r="CA321" s="27" t="s">
        <v>8</v>
      </c>
      <c r="CB321" s="27" t="s">
        <v>7</v>
      </c>
      <c r="CC321" s="27" t="s">
        <v>8</v>
      </c>
      <c r="CD321" s="27" t="s">
        <v>7</v>
      </c>
      <c r="CE321" s="27" t="s">
        <v>8</v>
      </c>
      <c r="CF321" s="27" t="s">
        <v>7</v>
      </c>
      <c r="CG321" s="27" t="s">
        <v>8</v>
      </c>
      <c r="CH321" s="27" t="s">
        <v>7</v>
      </c>
      <c r="CI321" s="27" t="s">
        <v>8</v>
      </c>
      <c r="CJ321" s="27" t="s">
        <v>7</v>
      </c>
      <c r="CL321" s="27" t="s">
        <v>7</v>
      </c>
      <c r="CM321" s="27" t="s">
        <v>8</v>
      </c>
      <c r="CN321" s="27" t="s">
        <v>7</v>
      </c>
      <c r="CO321" s="27" t="s">
        <v>8</v>
      </c>
      <c r="CP321" s="27" t="s">
        <v>7</v>
      </c>
      <c r="CQ321" s="27" t="s">
        <v>8</v>
      </c>
    </row>
    <row r="322" spans="1:95" x14ac:dyDescent="0.25">
      <c r="A322" s="30">
        <v>1.8301111891293256E-2</v>
      </c>
      <c r="B322"/>
      <c r="C322"/>
      <c r="D322"/>
      <c r="E322"/>
      <c r="P322" s="27" t="s">
        <v>7</v>
      </c>
      <c r="R322" s="27" t="s">
        <v>7</v>
      </c>
      <c r="S322" s="27" t="s">
        <v>8</v>
      </c>
      <c r="T322" s="27" t="s">
        <v>7</v>
      </c>
      <c r="U322" s="27" t="s">
        <v>8</v>
      </c>
      <c r="V322" s="27" t="s">
        <v>7</v>
      </c>
      <c r="W322" s="27" t="s">
        <v>8</v>
      </c>
      <c r="Z322" s="27" t="s">
        <v>7</v>
      </c>
      <c r="AB322" s="27" t="s">
        <v>7</v>
      </c>
      <c r="AD322" s="27" t="s">
        <v>7</v>
      </c>
      <c r="AE322" s="27" t="s">
        <v>8</v>
      </c>
      <c r="AF322" s="27" t="s">
        <v>7</v>
      </c>
      <c r="AI322" s="27" t="s">
        <v>8</v>
      </c>
      <c r="AJ322" s="27" t="s">
        <v>7</v>
      </c>
      <c r="AW322" s="27" t="s">
        <v>8</v>
      </c>
      <c r="AX322" s="27" t="s">
        <v>7</v>
      </c>
      <c r="AY322" s="27" t="s">
        <v>8</v>
      </c>
      <c r="AZ322" s="27" t="s">
        <v>7</v>
      </c>
      <c r="BA322" s="27" t="s">
        <v>8</v>
      </c>
      <c r="BT322" s="27" t="s">
        <v>7</v>
      </c>
      <c r="BU322" s="27" t="s">
        <v>8</v>
      </c>
      <c r="BV322" s="27" t="s">
        <v>7</v>
      </c>
      <c r="BX322" s="27" t="s">
        <v>7</v>
      </c>
      <c r="BY322" s="27" t="s">
        <v>8</v>
      </c>
      <c r="BZ322" s="27" t="s">
        <v>7</v>
      </c>
      <c r="CA322" s="27" t="s">
        <v>8</v>
      </c>
      <c r="CB322" s="27" t="s">
        <v>7</v>
      </c>
      <c r="CC322" s="27" t="s">
        <v>8</v>
      </c>
      <c r="CD322" s="27" t="s">
        <v>7</v>
      </c>
      <c r="CE322" s="27" t="s">
        <v>8</v>
      </c>
      <c r="CF322" s="27" t="s">
        <v>7</v>
      </c>
      <c r="CH322" s="27" t="s">
        <v>7</v>
      </c>
      <c r="CL322" s="27" t="s">
        <v>7</v>
      </c>
      <c r="CM322" s="27" t="s">
        <v>8</v>
      </c>
      <c r="CN322" s="27" t="s">
        <v>7</v>
      </c>
      <c r="CO322" s="27" t="s">
        <v>8</v>
      </c>
      <c r="CP322" s="27" t="s">
        <v>7</v>
      </c>
    </row>
    <row r="323" spans="1:95" x14ac:dyDescent="0.25">
      <c r="A323" s="30">
        <v>1.7429630372660238E-2</v>
      </c>
      <c r="B323"/>
      <c r="C323"/>
      <c r="D323"/>
      <c r="E323"/>
      <c r="R323" s="27" t="s">
        <v>7</v>
      </c>
      <c r="S323" s="27" t="s">
        <v>8</v>
      </c>
      <c r="T323" s="27" t="s">
        <v>7</v>
      </c>
      <c r="U323" s="27" t="s">
        <v>8</v>
      </c>
      <c r="V323" s="27" t="s">
        <v>7</v>
      </c>
      <c r="W323" s="27" t="s">
        <v>8</v>
      </c>
      <c r="AD323" s="27" t="s">
        <v>7</v>
      </c>
      <c r="AE323" s="27" t="s">
        <v>8</v>
      </c>
      <c r="AF323" s="27" t="s">
        <v>7</v>
      </c>
      <c r="AI323" s="27" t="s">
        <v>8</v>
      </c>
      <c r="AJ323" s="27" t="s">
        <v>7</v>
      </c>
      <c r="AU323" s="27" t="s">
        <v>8</v>
      </c>
      <c r="AW323" s="27" t="s">
        <v>8</v>
      </c>
      <c r="AX323" s="27" t="s">
        <v>7</v>
      </c>
      <c r="AY323" s="27" t="s">
        <v>8</v>
      </c>
      <c r="AZ323" s="27" t="s">
        <v>7</v>
      </c>
      <c r="BT323" s="27" t="s">
        <v>7</v>
      </c>
      <c r="BX323" s="27" t="s">
        <v>7</v>
      </c>
      <c r="BZ323" s="27" t="s">
        <v>7</v>
      </c>
      <c r="CB323" s="27" t="s">
        <v>7</v>
      </c>
      <c r="CC323" s="27" t="s">
        <v>8</v>
      </c>
      <c r="CD323" s="27" t="s">
        <v>7</v>
      </c>
      <c r="CL323" s="27" t="s">
        <v>7</v>
      </c>
      <c r="CM323" s="27" t="s">
        <v>8</v>
      </c>
      <c r="CN323" s="27" t="s">
        <v>7</v>
      </c>
      <c r="CO323" s="27" t="s">
        <v>8</v>
      </c>
    </row>
    <row r="324" spans="1:95" x14ac:dyDescent="0.25">
      <c r="A324" s="30">
        <v>1.6599647973962125E-2</v>
      </c>
      <c r="B324"/>
      <c r="C324"/>
      <c r="D324"/>
      <c r="E324"/>
      <c r="R324" s="27" t="s">
        <v>7</v>
      </c>
      <c r="T324" s="27" t="s">
        <v>7</v>
      </c>
      <c r="U324" s="27" t="s">
        <v>8</v>
      </c>
      <c r="V324" s="27" t="s">
        <v>7</v>
      </c>
      <c r="W324" s="27" t="s">
        <v>8</v>
      </c>
      <c r="AD324" s="27" t="s">
        <v>7</v>
      </c>
      <c r="AF324" s="27" t="s">
        <v>7</v>
      </c>
      <c r="AI324" s="27" t="s">
        <v>8</v>
      </c>
      <c r="AJ324" s="27" t="s">
        <v>7</v>
      </c>
      <c r="AO324" s="27" t="s">
        <v>8</v>
      </c>
      <c r="AQ324" s="27" t="s">
        <v>8</v>
      </c>
      <c r="AS324" s="27" t="s">
        <v>8</v>
      </c>
      <c r="AU324" s="27" t="s">
        <v>8</v>
      </c>
      <c r="AV324" s="27" t="s">
        <v>7</v>
      </c>
      <c r="AW324" s="27" t="s">
        <v>8</v>
      </c>
      <c r="AX324" s="27" t="s">
        <v>7</v>
      </c>
      <c r="CB324" s="27" t="s">
        <v>7</v>
      </c>
      <c r="CC324" s="27" t="s">
        <v>8</v>
      </c>
      <c r="CL324" s="27" t="s">
        <v>7</v>
      </c>
      <c r="CN324" s="27" t="s">
        <v>7</v>
      </c>
    </row>
    <row r="325" spans="1:95" x14ac:dyDescent="0.25">
      <c r="A325" s="30">
        <v>1.580918854663059E-2</v>
      </c>
      <c r="B325"/>
      <c r="C325"/>
      <c r="D325"/>
      <c r="E325"/>
      <c r="T325" s="27" t="s">
        <v>7</v>
      </c>
      <c r="V325" s="27" t="s">
        <v>7</v>
      </c>
      <c r="W325" s="27" t="s">
        <v>8</v>
      </c>
      <c r="AF325" s="27" t="s">
        <v>7</v>
      </c>
      <c r="AI325" s="27" t="s">
        <v>8</v>
      </c>
      <c r="AJ325" s="27" t="s">
        <v>7</v>
      </c>
      <c r="AM325" s="27" t="s">
        <v>8</v>
      </c>
      <c r="AO325" s="27" t="s">
        <v>8</v>
      </c>
      <c r="AP325" s="27" t="s">
        <v>7</v>
      </c>
      <c r="AQ325" s="27" t="s">
        <v>8</v>
      </c>
      <c r="AR325" s="27" t="s">
        <v>7</v>
      </c>
      <c r="AS325" s="27" t="s">
        <v>8</v>
      </c>
      <c r="AT325" s="27" t="s">
        <v>7</v>
      </c>
      <c r="AU325" s="27" t="s">
        <v>8</v>
      </c>
      <c r="AV325" s="27" t="s">
        <v>7</v>
      </c>
      <c r="AW325" s="27" t="s">
        <v>8</v>
      </c>
      <c r="CB325" s="27" t="s">
        <v>7</v>
      </c>
    </row>
    <row r="326" spans="1:95" x14ac:dyDescent="0.25">
      <c r="A326" s="30">
        <v>1.5056370044410079E-2</v>
      </c>
      <c r="B326"/>
      <c r="C326"/>
      <c r="D326"/>
      <c r="E326"/>
      <c r="V326" s="27" t="s">
        <v>7</v>
      </c>
      <c r="AF326" s="27" t="s">
        <v>7</v>
      </c>
      <c r="AI326" s="27" t="s">
        <v>8</v>
      </c>
      <c r="AJ326" s="27" t="s">
        <v>7</v>
      </c>
      <c r="AM326" s="27" t="s">
        <v>8</v>
      </c>
      <c r="AN326" s="27" t="s">
        <v>7</v>
      </c>
      <c r="AO326" s="27" t="s">
        <v>8</v>
      </c>
      <c r="AP326" s="27" t="s">
        <v>7</v>
      </c>
      <c r="AQ326" s="27" t="s">
        <v>8</v>
      </c>
      <c r="AR326" s="27" t="s">
        <v>7</v>
      </c>
      <c r="AS326" s="27" t="s">
        <v>8</v>
      </c>
      <c r="AT326" s="27" t="s">
        <v>7</v>
      </c>
      <c r="AU326" s="27" t="s">
        <v>8</v>
      </c>
      <c r="AV326" s="27" t="s">
        <v>7</v>
      </c>
    </row>
    <row r="327" spans="1:95" x14ac:dyDescent="0.25">
      <c r="A327" s="30">
        <v>1.4339400042295308E-2</v>
      </c>
      <c r="B327"/>
      <c r="C327"/>
      <c r="D327"/>
      <c r="E327"/>
      <c r="AF327" s="27" t="s">
        <v>7</v>
      </c>
      <c r="AI327" s="27" t="s">
        <v>8</v>
      </c>
      <c r="AJ327" s="27" t="s">
        <v>7</v>
      </c>
      <c r="AK327" s="27" t="s">
        <v>8</v>
      </c>
      <c r="AM327" s="27" t="s">
        <v>8</v>
      </c>
      <c r="AN327" s="27" t="s">
        <v>7</v>
      </c>
      <c r="AO327" s="27" t="s">
        <v>8</v>
      </c>
      <c r="AP327" s="27" t="s">
        <v>7</v>
      </c>
      <c r="AQ327" s="27" t="s">
        <v>8</v>
      </c>
      <c r="AR327" s="27" t="s">
        <v>7</v>
      </c>
      <c r="AT327" s="27" t="s">
        <v>7</v>
      </c>
    </row>
    <row r="328" spans="1:95" x14ac:dyDescent="0.25">
      <c r="A328" s="30">
        <v>1.365657146885267E-2</v>
      </c>
      <c r="B328"/>
      <c r="C328"/>
      <c r="D328"/>
      <c r="E328"/>
      <c r="AF328" s="27" t="s">
        <v>7</v>
      </c>
      <c r="AI328" s="27" t="s">
        <v>8</v>
      </c>
      <c r="AJ328" s="27" t="s">
        <v>7</v>
      </c>
      <c r="AK328" s="27" t="s">
        <v>8</v>
      </c>
      <c r="AL328" s="27" t="s">
        <v>7</v>
      </c>
      <c r="AM328" s="27" t="s">
        <v>8</v>
      </c>
      <c r="AN328" s="27" t="s">
        <v>7</v>
      </c>
      <c r="AO328" s="27" t="s">
        <v>8</v>
      </c>
      <c r="AP328" s="27" t="s">
        <v>7</v>
      </c>
    </row>
    <row r="329" spans="1:95" x14ac:dyDescent="0.25">
      <c r="A329" s="30">
        <v>1.3006258541764442E-2</v>
      </c>
      <c r="B329"/>
      <c r="C329"/>
      <c r="D329"/>
      <c r="E329"/>
      <c r="AF329" s="27" t="s">
        <v>7</v>
      </c>
      <c r="AI329" s="27" t="s">
        <v>8</v>
      </c>
      <c r="AJ329" s="27" t="s">
        <v>7</v>
      </c>
      <c r="AK329" s="27" t="s">
        <v>8</v>
      </c>
      <c r="AL329" s="27" t="s">
        <v>7</v>
      </c>
      <c r="AM329" s="27" t="s">
        <v>8</v>
      </c>
      <c r="AN329" s="27" t="s">
        <v>7</v>
      </c>
    </row>
    <row r="330" spans="1:95" x14ac:dyDescent="0.25">
      <c r="A330" s="30">
        <v>1.2386912896918512E-2</v>
      </c>
      <c r="B330"/>
      <c r="C330"/>
      <c r="D330"/>
      <c r="E330"/>
      <c r="AF330" s="27" t="s">
        <v>7</v>
      </c>
      <c r="AI330" s="27" t="s">
        <v>8</v>
      </c>
      <c r="AJ330" s="27" t="s">
        <v>7</v>
      </c>
      <c r="AK330" s="27" t="s">
        <v>8</v>
      </c>
      <c r="AL330" s="27" t="s">
        <v>7</v>
      </c>
      <c r="AM330" s="27" t="s">
        <v>8</v>
      </c>
    </row>
    <row r="331" spans="1:95" x14ac:dyDescent="0.25">
      <c r="A331" s="30">
        <v>1.179705990182715E-2</v>
      </c>
      <c r="B331"/>
      <c r="C331"/>
      <c r="D331"/>
      <c r="E331"/>
      <c r="AF331" s="27" t="s">
        <v>7</v>
      </c>
      <c r="AI331" s="27" t="s">
        <v>8</v>
      </c>
      <c r="AJ331" s="27" t="s">
        <v>7</v>
      </c>
      <c r="AK331" s="27" t="s">
        <v>8</v>
      </c>
      <c r="AL331" s="27" t="s">
        <v>7</v>
      </c>
      <c r="AM331" s="27" t="s">
        <v>8</v>
      </c>
    </row>
    <row r="332" spans="1:95" x14ac:dyDescent="0.25">
      <c r="A332" s="30">
        <v>1.1235295144597281E-2</v>
      </c>
      <c r="B332"/>
      <c r="C332"/>
      <c r="D332"/>
      <c r="E332"/>
      <c r="AF332" s="27" t="s">
        <v>7</v>
      </c>
      <c r="AI332" s="27" t="s">
        <v>8</v>
      </c>
      <c r="AJ332" s="27" t="s">
        <v>7</v>
      </c>
      <c r="AL332" s="27" t="s">
        <v>7</v>
      </c>
    </row>
    <row r="333" spans="1:95" x14ac:dyDescent="0.25">
      <c r="A333" s="30">
        <v>1.0700281090092644E-2</v>
      </c>
      <c r="B333"/>
      <c r="C333"/>
      <c r="D333"/>
      <c r="E333"/>
      <c r="AF333" s="27" t="s">
        <v>7</v>
      </c>
      <c r="AI333" s="27" t="s">
        <v>8</v>
      </c>
    </row>
    <row r="334" spans="1:95" x14ac:dyDescent="0.25">
      <c r="A334" s="30">
        <v>1.0190743895326324E-2</v>
      </c>
      <c r="B334"/>
      <c r="C334"/>
      <c r="D334"/>
      <c r="E334"/>
      <c r="AF334" s="27" t="s">
        <v>7</v>
      </c>
      <c r="AG334" s="27" t="s">
        <v>8</v>
      </c>
      <c r="AI334" s="27" t="s">
        <v>8</v>
      </c>
    </row>
    <row r="335" spans="1:95" x14ac:dyDescent="0.25">
      <c r="A335" s="30">
        <v>9.7054703765012563E-3</v>
      </c>
      <c r="B335"/>
      <c r="C335"/>
      <c r="D335"/>
      <c r="E335"/>
      <c r="AF335" s="27" t="s">
        <v>7</v>
      </c>
      <c r="AG335" s="27" t="s">
        <v>8</v>
      </c>
      <c r="AH335" s="27" t="s">
        <v>7</v>
      </c>
      <c r="AI335" s="27" t="s">
        <v>8</v>
      </c>
    </row>
    <row r="336" spans="1:95" x14ac:dyDescent="0.25">
      <c r="A336" s="30">
        <v>9.2433051204773835E-3</v>
      </c>
      <c r="B336"/>
      <c r="C336"/>
      <c r="D336"/>
      <c r="E336"/>
      <c r="AF336" s="27" t="s">
        <v>7</v>
      </c>
      <c r="AG336" s="27" t="s">
        <v>8</v>
      </c>
      <c r="AH336" s="27" t="s">
        <v>7</v>
      </c>
      <c r="AI336" s="27" t="s">
        <v>8</v>
      </c>
    </row>
    <row r="337" spans="1:35" x14ac:dyDescent="0.25">
      <c r="A337" s="30">
        <v>8.8031477337879808E-3</v>
      </c>
      <c r="B337"/>
      <c r="C337"/>
      <c r="D337"/>
      <c r="E337"/>
      <c r="AF337" s="27" t="s">
        <v>7</v>
      </c>
      <c r="AG337" s="27" t="s">
        <v>8</v>
      </c>
      <c r="AH337" s="27" t="s">
        <v>7</v>
      </c>
      <c r="AI337" s="27" t="s">
        <v>8</v>
      </c>
    </row>
    <row r="338" spans="1:35" x14ac:dyDescent="0.25">
      <c r="A338" s="30">
        <v>8.3839502226552166E-3</v>
      </c>
      <c r="B338"/>
      <c r="C338"/>
      <c r="D338"/>
      <c r="E338"/>
      <c r="AF338" s="27" t="s">
        <v>7</v>
      </c>
      <c r="AG338" s="27" t="s">
        <v>8</v>
      </c>
      <c r="AH338" s="27" t="s">
        <v>7</v>
      </c>
      <c r="AI338" s="27" t="s">
        <v>8</v>
      </c>
    </row>
    <row r="339" spans="1:35" x14ac:dyDescent="0.25">
      <c r="A339" s="30">
        <v>7.9847144977668698E-3</v>
      </c>
      <c r="B339"/>
      <c r="C339"/>
      <c r="D339"/>
      <c r="E339"/>
      <c r="AF339" s="27" t="s">
        <v>7</v>
      </c>
      <c r="AG339" s="27" t="s">
        <v>8</v>
      </c>
      <c r="AH339" s="27" t="s">
        <v>7</v>
      </c>
      <c r="AI339" s="27" t="s">
        <v>8</v>
      </c>
    </row>
    <row r="340" spans="1:35" x14ac:dyDescent="0.25">
      <c r="A340" s="30">
        <v>7.6044899978732058E-3</v>
      </c>
      <c r="B340"/>
      <c r="C340"/>
      <c r="D340"/>
      <c r="E340"/>
      <c r="AF340" s="27" t="s">
        <v>7</v>
      </c>
      <c r="AG340" s="27" t="s">
        <v>8</v>
      </c>
      <c r="AH340" s="27" t="s">
        <v>7</v>
      </c>
      <c r="AI340" s="27" t="s">
        <v>8</v>
      </c>
    </row>
    <row r="341" spans="1:35" x14ac:dyDescent="0.25">
      <c r="A341" s="30">
        <v>7.2423714265459072E-3</v>
      </c>
      <c r="B341"/>
      <c r="C341"/>
      <c r="D341"/>
      <c r="E341"/>
      <c r="AF341" s="27" t="s">
        <v>7</v>
      </c>
      <c r="AG341" s="27" t="s">
        <v>8</v>
      </c>
      <c r="AH341" s="27" t="s">
        <v>7</v>
      </c>
      <c r="AI341" s="27" t="s">
        <v>8</v>
      </c>
    </row>
    <row r="342" spans="1:35" x14ac:dyDescent="0.25">
      <c r="A342" s="30">
        <v>6.8974965967103846E-3</v>
      </c>
      <c r="B342"/>
      <c r="C342"/>
      <c r="D342"/>
      <c r="E342"/>
      <c r="AF342" s="27" t="s">
        <v>7</v>
      </c>
      <c r="AG342" s="27" t="s">
        <v>8</v>
      </c>
      <c r="AH342" s="27" t="s">
        <v>7</v>
      </c>
    </row>
    <row r="343" spans="1:35" x14ac:dyDescent="0.25">
      <c r="A343" s="30">
        <v>6.5690443778194116E-3</v>
      </c>
      <c r="B343"/>
      <c r="C343"/>
      <c r="D343"/>
      <c r="E343"/>
      <c r="AF343" s="27" t="s">
        <v>7</v>
      </c>
      <c r="AG343" s="27" t="s">
        <v>8</v>
      </c>
    </row>
    <row r="344" spans="1:35" x14ac:dyDescent="0.25">
      <c r="A344" s="30">
        <v>6.2562327407803897E-3</v>
      </c>
      <c r="B344"/>
      <c r="C344"/>
      <c r="D344"/>
      <c r="E344"/>
      <c r="AF344" s="27" t="s">
        <v>7</v>
      </c>
      <c r="AG344" s="27" t="s">
        <v>8</v>
      </c>
    </row>
    <row r="345" spans="1:35" x14ac:dyDescent="0.25">
      <c r="A345" s="30">
        <v>5.9583168959813212E-3</v>
      </c>
      <c r="B345"/>
      <c r="C345"/>
      <c r="D345"/>
      <c r="E345"/>
      <c r="AF345" s="27" t="s">
        <v>7</v>
      </c>
      <c r="AG345" s="27" t="s">
        <v>8</v>
      </c>
    </row>
    <row r="346" spans="1:35" x14ac:dyDescent="0.25">
      <c r="A346" s="30">
        <v>5.6745875199822084E-3</v>
      </c>
      <c r="B346"/>
      <c r="C346"/>
      <c r="D346"/>
      <c r="E346"/>
      <c r="AF346" s="27" t="s">
        <v>7</v>
      </c>
    </row>
    <row r="347" spans="1:35" x14ac:dyDescent="0.25">
      <c r="A347" s="30">
        <v>5.4043690666497205E-3</v>
      </c>
      <c r="B347"/>
      <c r="C347"/>
      <c r="D347"/>
      <c r="E347"/>
    </row>
    <row r="348" spans="1:35" x14ac:dyDescent="0.25">
      <c r="A348" s="30">
        <v>5.1470181587140174E-3</v>
      </c>
      <c r="B348"/>
      <c r="C348"/>
      <c r="D348"/>
      <c r="E348"/>
    </row>
    <row r="349" spans="1:35" x14ac:dyDescent="0.25">
      <c r="A349" s="30">
        <v>4.9019220559181099E-3</v>
      </c>
      <c r="B349"/>
      <c r="C349"/>
      <c r="D349"/>
      <c r="E349"/>
    </row>
    <row r="350" spans="1:35" x14ac:dyDescent="0.25">
      <c r="A350" s="30">
        <v>4.6684971961124836E-3</v>
      </c>
      <c r="B350"/>
      <c r="C350"/>
      <c r="D350"/>
      <c r="E350"/>
    </row>
    <row r="351" spans="1:35" x14ac:dyDescent="0.25">
      <c r="A351" s="30">
        <v>4.4461878058214112E-3</v>
      </c>
      <c r="B351"/>
      <c r="C351"/>
      <c r="D351"/>
      <c r="E351"/>
    </row>
    <row r="352" spans="1:3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260" operator="equal">
      <formula>$U$1</formula>
    </cfRule>
    <cfRule type="cellIs" dxfId="67" priority="1261" operator="equal">
      <formula>$S$1</formula>
    </cfRule>
  </conditionalFormatting>
  <conditionalFormatting sqref="D136">
    <cfRule type="cellIs" dxfId="66" priority="1258" operator="equal">
      <formula>$S$1</formula>
    </cfRule>
    <cfRule type="cellIs" dxfId="65" priority="1259" operator="equal">
      <formula>$U$1</formula>
    </cfRule>
  </conditionalFormatting>
  <conditionalFormatting sqref="C162">
    <cfRule type="cellIs" dxfId="64" priority="1256" operator="equal">
      <formula>$U$1</formula>
    </cfRule>
    <cfRule type="cellIs" dxfId="63" priority="1257" operator="equal">
      <formula>$S$1</formula>
    </cfRule>
  </conditionalFormatting>
  <conditionalFormatting sqref="D162">
    <cfRule type="cellIs" dxfId="62" priority="1254" operator="equal">
      <formula>$S$1</formula>
    </cfRule>
    <cfRule type="cellIs" dxfId="61" priority="1255" operator="equal">
      <formula>$U$1</formula>
    </cfRule>
  </conditionalFormatting>
  <conditionalFormatting sqref="C187">
    <cfRule type="cellIs" dxfId="60" priority="1252" operator="equal">
      <formula>$U$1</formula>
    </cfRule>
    <cfRule type="cellIs" dxfId="59" priority="1253" operator="equal">
      <formula>$S$1</formula>
    </cfRule>
  </conditionalFormatting>
  <conditionalFormatting sqref="D187">
    <cfRule type="cellIs" dxfId="58" priority="1250" operator="equal">
      <formula>$S$1</formula>
    </cfRule>
    <cfRule type="cellIs" dxfId="57" priority="1251" operator="equal">
      <formula>$U$1</formula>
    </cfRule>
  </conditionalFormatting>
  <conditionalFormatting sqref="C212">
    <cfRule type="cellIs" dxfId="56" priority="1248" operator="equal">
      <formula>$U$1</formula>
    </cfRule>
    <cfRule type="cellIs" dxfId="55" priority="1249" operator="equal">
      <formula>$S$1</formula>
    </cfRule>
  </conditionalFormatting>
  <conditionalFormatting sqref="D212">
    <cfRule type="cellIs" dxfId="54" priority="1246" operator="equal">
      <formula>$S$1</formula>
    </cfRule>
    <cfRule type="cellIs" dxfId="53" priority="1247" operator="equal">
      <formula>$U$1</formula>
    </cfRule>
  </conditionalFormatting>
  <conditionalFormatting sqref="C237">
    <cfRule type="cellIs" dxfId="52" priority="1244" operator="equal">
      <formula>$U$1</formula>
    </cfRule>
    <cfRule type="cellIs" dxfId="51" priority="1245" operator="equal">
      <formula>$S$1</formula>
    </cfRule>
  </conditionalFormatting>
  <conditionalFormatting sqref="D237">
    <cfRule type="cellIs" dxfId="50" priority="1242" operator="equal">
      <formula>$S$1</formula>
    </cfRule>
    <cfRule type="cellIs" dxfId="49" priority="1243" operator="equal">
      <formula>$U$1</formula>
    </cfRule>
  </conditionalFormatting>
  <conditionalFormatting sqref="C106">
    <cfRule type="cellIs" dxfId="48" priority="1240" operator="equal">
      <formula>$U$1</formula>
    </cfRule>
    <cfRule type="cellIs" dxfId="47" priority="1241" operator="equal">
      <formula>$S$1</formula>
    </cfRule>
  </conditionalFormatting>
  <conditionalFormatting sqref="D106">
    <cfRule type="cellIs" dxfId="46" priority="1238" operator="equal">
      <formula>$S$1</formula>
    </cfRule>
    <cfRule type="cellIs" dxfId="45" priority="1239" operator="equal">
      <formula>$U$1</formula>
    </cfRule>
  </conditionalFormatting>
  <conditionalFormatting sqref="C81">
    <cfRule type="cellIs" dxfId="44" priority="1236" operator="equal">
      <formula>$U$1</formula>
    </cfRule>
    <cfRule type="cellIs" dxfId="43" priority="1237" operator="equal">
      <formula>$S$1</formula>
    </cfRule>
  </conditionalFormatting>
  <conditionalFormatting sqref="D81">
    <cfRule type="cellIs" dxfId="42" priority="1234" operator="equal">
      <formula>$S$1</formula>
    </cfRule>
    <cfRule type="cellIs" dxfId="41" priority="1235" operator="equal">
      <formula>$U$1</formula>
    </cfRule>
  </conditionalFormatting>
  <conditionalFormatting sqref="C56">
    <cfRule type="cellIs" dxfId="40" priority="1232" operator="equal">
      <formula>$U$1</formula>
    </cfRule>
    <cfRule type="cellIs" dxfId="39" priority="1233" operator="equal">
      <formula>$S$1</formula>
    </cfRule>
  </conditionalFormatting>
  <conditionalFormatting sqref="D56">
    <cfRule type="cellIs" dxfId="38" priority="1230" operator="equal">
      <formula>$S$1</formula>
    </cfRule>
    <cfRule type="cellIs" dxfId="37" priority="1231" operator="equal">
      <formula>$U$1</formula>
    </cfRule>
  </conditionalFormatting>
  <conditionalFormatting sqref="C31">
    <cfRule type="cellIs" dxfId="36" priority="1228" operator="equal">
      <formula>$U$1</formula>
    </cfRule>
    <cfRule type="cellIs" dxfId="35" priority="1229" operator="equal">
      <formula>$S$1</formula>
    </cfRule>
  </conditionalFormatting>
  <conditionalFormatting sqref="D31">
    <cfRule type="cellIs" dxfId="34" priority="1226" operator="equal">
      <formula>$S$1</formula>
    </cfRule>
    <cfRule type="cellIs" dxfId="33" priority="1227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T139" sqref="BT13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$A$138</v>
      </c>
      <c r="D111" s="1" t="str">
        <f>ADDRESS(C121-1,D121,1,1)</f>
        <v>$BT$138</v>
      </c>
      <c r="E111"/>
    </row>
    <row r="112" spans="1:5" x14ac:dyDescent="0.25">
      <c r="A112" s="30">
        <v>2.3579476910000019</v>
      </c>
      <c r="C112" s="1" t="str">
        <f>ADDRESS(C121,1,1,1)</f>
        <v>$A$139</v>
      </c>
      <c r="D112" s="1" t="str">
        <f>ADDRESS(C121,D121-1,1,1)</f>
        <v>$BS$139</v>
      </c>
      <c r="E112"/>
    </row>
    <row r="113" spans="1:70" x14ac:dyDescent="0.25">
      <c r="A113" s="30">
        <v>2.1435888100000016</v>
      </c>
      <c r="C113" s="1" t="str">
        <f>ADDRESS(C121+1,1,1,1)</f>
        <v>$A$140</v>
      </c>
      <c r="D113" s="1" t="str">
        <f>ADDRESS(C121-1,D121+1,1,1)</f>
        <v>$BU$138</v>
      </c>
    </row>
    <row r="114" spans="1:70" x14ac:dyDescent="0.25">
      <c r="A114" s="30">
        <v>1.9487171000000014</v>
      </c>
      <c r="C114" s="1" t="str">
        <f>ADDRESS(C121,D121,1,1)</f>
        <v>$BT$139</v>
      </c>
      <c r="D114" s="1" t="str">
        <f>ADDRESS(C121+1,D121+1,1,1)</f>
        <v>$BU$140</v>
      </c>
    </row>
    <row r="115" spans="1:70" x14ac:dyDescent="0.25">
      <c r="A115" s="30">
        <v>1.7715610000000011</v>
      </c>
      <c r="C115" s="1" t="str">
        <f>ADDRESS(C121+1,D121,1,1)</f>
        <v>$BT$140</v>
      </c>
    </row>
    <row r="116" spans="1:70" x14ac:dyDescent="0.25">
      <c r="A116" s="30">
        <v>1.6105100000000008</v>
      </c>
      <c r="C116" s="1">
        <f>C117-1</f>
        <v>138</v>
      </c>
    </row>
    <row r="117" spans="1:70" x14ac:dyDescent="0.25">
      <c r="A117" s="30">
        <v>1.4641000000000006</v>
      </c>
      <c r="C117" s="1">
        <f>C121</f>
        <v>139</v>
      </c>
      <c r="D117" s="1">
        <f>D121</f>
        <v>72</v>
      </c>
      <c r="AQ117" s="27" t="s">
        <v>8</v>
      </c>
    </row>
    <row r="118" spans="1:70" x14ac:dyDescent="0.25">
      <c r="A118" s="30">
        <v>1.3310000000000004</v>
      </c>
      <c r="C118" s="1">
        <f>C117+1</f>
        <v>140</v>
      </c>
      <c r="D118" s="1">
        <f>D117+1</f>
        <v>73</v>
      </c>
      <c r="AQ118" s="27" t="s">
        <v>8</v>
      </c>
      <c r="AR118" s="27" t="s">
        <v>7</v>
      </c>
    </row>
    <row r="119" spans="1:70" x14ac:dyDescent="0.25">
      <c r="A119" s="30">
        <v>1.2100000000000002</v>
      </c>
      <c r="AQ119" s="27" t="s">
        <v>8</v>
      </c>
      <c r="AR119" s="27" t="s">
        <v>7</v>
      </c>
    </row>
    <row r="120" spans="1:70" x14ac:dyDescent="0.25">
      <c r="A120" s="30">
        <v>1.1000000000000001</v>
      </c>
      <c r="C120" s="1" t="s">
        <v>9</v>
      </c>
      <c r="AQ120" s="27" t="s">
        <v>8</v>
      </c>
      <c r="AR120" s="27" t="s">
        <v>7</v>
      </c>
    </row>
    <row r="121" spans="1:70" x14ac:dyDescent="0.25">
      <c r="A121" s="30">
        <v>1</v>
      </c>
      <c r="C121" s="18">
        <v>139</v>
      </c>
      <c r="D121" s="19">
        <v>72</v>
      </c>
      <c r="E121" s="18" t="s">
        <v>8</v>
      </c>
      <c r="AQ121" s="27" t="s">
        <v>8</v>
      </c>
      <c r="AR121" s="27" t="s">
        <v>7</v>
      </c>
    </row>
    <row r="122" spans="1:70" x14ac:dyDescent="0.25">
      <c r="A122" s="30">
        <v>0.90909090909090895</v>
      </c>
      <c r="C122" s="1" t="str">
        <f>INDEX(1:1048576,C117,D117)</f>
        <v>O</v>
      </c>
      <c r="F122" s="27" t="s">
        <v>7</v>
      </c>
      <c r="AQ122" s="27" t="s">
        <v>8</v>
      </c>
      <c r="AR122" s="27" t="s">
        <v>7</v>
      </c>
    </row>
    <row r="123" spans="1:70" x14ac:dyDescent="0.25">
      <c r="A123" s="30">
        <v>0.82644628099173523</v>
      </c>
      <c r="C123" s="1" t="str">
        <f>"R"&amp;C121</f>
        <v>R139</v>
      </c>
      <c r="D123" s="1" t="str">
        <f>"C"&amp;D121</f>
        <v>C72</v>
      </c>
      <c r="F123" s="27" t="s">
        <v>7</v>
      </c>
      <c r="AQ123" s="27" t="s">
        <v>8</v>
      </c>
      <c r="AR123" s="27" t="s">
        <v>7</v>
      </c>
      <c r="AS123" s="27" t="s">
        <v>8</v>
      </c>
      <c r="AU123" s="27" t="s">
        <v>8</v>
      </c>
    </row>
    <row r="124" spans="1:70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AQ124" s="27" t="s">
        <v>8</v>
      </c>
      <c r="AR124" s="27" t="s">
        <v>7</v>
      </c>
      <c r="AS124" s="27" t="s">
        <v>8</v>
      </c>
      <c r="AT124" s="27" t="s">
        <v>7</v>
      </c>
      <c r="AU124" s="27" t="s">
        <v>8</v>
      </c>
      <c r="AV124" s="27" t="s">
        <v>7</v>
      </c>
      <c r="BO124" s="27" t="s">
        <v>8</v>
      </c>
    </row>
    <row r="125" spans="1:70" x14ac:dyDescent="0.25">
      <c r="A125" s="30">
        <v>0.68301345536507019</v>
      </c>
      <c r="F125" s="27" t="s">
        <v>7</v>
      </c>
      <c r="AQ125" s="27" t="s">
        <v>8</v>
      </c>
      <c r="AR125" s="27" t="s">
        <v>7</v>
      </c>
      <c r="AS125" s="27" t="s">
        <v>8</v>
      </c>
      <c r="AT125" s="27" t="s">
        <v>7</v>
      </c>
      <c r="AU125" s="27" t="s">
        <v>8</v>
      </c>
      <c r="AV125" s="27" t="s">
        <v>7</v>
      </c>
      <c r="AW125" s="27" t="s">
        <v>8</v>
      </c>
      <c r="BK125" s="27" t="s">
        <v>8</v>
      </c>
      <c r="BO125" s="27" t="s">
        <v>8</v>
      </c>
      <c r="BP125" s="27" t="s">
        <v>7</v>
      </c>
    </row>
    <row r="126" spans="1:70" x14ac:dyDescent="0.25">
      <c r="A126" s="30">
        <v>0.6209213230591546</v>
      </c>
      <c r="C126" s="1" t="s">
        <v>10</v>
      </c>
      <c r="F126" s="27" t="s">
        <v>7</v>
      </c>
      <c r="AQ126" s="27" t="s">
        <v>8</v>
      </c>
      <c r="AR126" s="27" t="s">
        <v>7</v>
      </c>
      <c r="AS126" s="27" t="s">
        <v>8</v>
      </c>
      <c r="AT126" s="27" t="s">
        <v>7</v>
      </c>
      <c r="AU126" s="27" t="s">
        <v>8</v>
      </c>
      <c r="AV126" s="27" t="s">
        <v>7</v>
      </c>
      <c r="AW126" s="27" t="s">
        <v>8</v>
      </c>
      <c r="AX126" s="27" t="s">
        <v>7</v>
      </c>
      <c r="BK126" s="27" t="s">
        <v>8</v>
      </c>
      <c r="BL126" s="27" t="s">
        <v>7</v>
      </c>
      <c r="BM126" s="27" t="s">
        <v>8</v>
      </c>
      <c r="BO126" s="27" t="s">
        <v>8</v>
      </c>
      <c r="BP126" s="27" t="s">
        <v>7</v>
      </c>
      <c r="BQ126" s="27" t="s">
        <v>8</v>
      </c>
    </row>
    <row r="127" spans="1:70" x14ac:dyDescent="0.25">
      <c r="A127" s="30">
        <v>0.56447393005377677</v>
      </c>
      <c r="C127" s="30">
        <v>0.17985878990921333</v>
      </c>
      <c r="D127"/>
      <c r="F127" s="27" t="s">
        <v>7</v>
      </c>
      <c r="AQ127" s="27" t="s">
        <v>8</v>
      </c>
      <c r="AR127" s="27" t="s">
        <v>7</v>
      </c>
      <c r="AT127" s="27" t="s">
        <v>7</v>
      </c>
      <c r="AU127" s="27" t="s">
        <v>8</v>
      </c>
      <c r="AV127" s="27" t="s">
        <v>7</v>
      </c>
      <c r="AW127" s="27" t="s">
        <v>8</v>
      </c>
      <c r="AX127" s="27" t="s">
        <v>7</v>
      </c>
      <c r="BI127" s="27" t="s">
        <v>8</v>
      </c>
      <c r="BK127" s="27" t="s">
        <v>8</v>
      </c>
      <c r="BL127" s="27" t="s">
        <v>7</v>
      </c>
      <c r="BM127" s="27" t="s">
        <v>8</v>
      </c>
      <c r="BN127" s="27" t="s">
        <v>7</v>
      </c>
      <c r="BO127" s="27" t="s">
        <v>8</v>
      </c>
      <c r="BP127" s="27" t="s">
        <v>7</v>
      </c>
      <c r="BQ127" s="27" t="s">
        <v>8</v>
      </c>
      <c r="BR127" s="27" t="s">
        <v>7</v>
      </c>
    </row>
    <row r="128" spans="1:70" x14ac:dyDescent="0.25">
      <c r="A128" s="30">
        <v>0.51315811823070612</v>
      </c>
      <c r="F128" s="27" t="s">
        <v>7</v>
      </c>
      <c r="AQ128" s="27" t="s">
        <v>8</v>
      </c>
      <c r="AT128" s="27" t="s">
        <v>7</v>
      </c>
      <c r="AU128" s="27" t="s">
        <v>8</v>
      </c>
      <c r="AV128" s="27" t="s">
        <v>7</v>
      </c>
      <c r="AX128" s="27" t="s">
        <v>7</v>
      </c>
      <c r="BI128" s="27" t="s">
        <v>8</v>
      </c>
      <c r="BJ128" s="27" t="s">
        <v>7</v>
      </c>
      <c r="BK128" s="27" t="s">
        <v>8</v>
      </c>
      <c r="BL128" s="27" t="s">
        <v>7</v>
      </c>
      <c r="BM128" s="27" t="s">
        <v>8</v>
      </c>
      <c r="BN128" s="27" t="s">
        <v>7</v>
      </c>
      <c r="BO128" s="27" t="s">
        <v>8</v>
      </c>
      <c r="BP128" s="27" t="s">
        <v>7</v>
      </c>
      <c r="BQ128" s="27" t="s">
        <v>8</v>
      </c>
      <c r="BR128" s="27" t="s">
        <v>7</v>
      </c>
    </row>
    <row r="129" spans="1:72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AQ129" s="27" t="s">
        <v>8</v>
      </c>
      <c r="AT129" s="27" t="s">
        <v>7</v>
      </c>
      <c r="AX129" s="27" t="s">
        <v>7</v>
      </c>
      <c r="AY129" s="27" t="s">
        <v>8</v>
      </c>
      <c r="BA129" s="27" t="s">
        <v>8</v>
      </c>
      <c r="BG129" s="27" t="s">
        <v>8</v>
      </c>
      <c r="BI129" s="27" t="s">
        <v>8</v>
      </c>
      <c r="BJ129" s="27" t="s">
        <v>7</v>
      </c>
      <c r="BK129" s="27" t="s">
        <v>8</v>
      </c>
      <c r="BL129" s="27" t="s">
        <v>7</v>
      </c>
      <c r="BM129" s="27" t="s">
        <v>8</v>
      </c>
      <c r="BN129" s="27" t="s">
        <v>7</v>
      </c>
      <c r="BP129" s="27" t="s">
        <v>7</v>
      </c>
      <c r="BR129" s="27" t="s">
        <v>7</v>
      </c>
    </row>
    <row r="130" spans="1:72" x14ac:dyDescent="0.25">
      <c r="A130" s="30">
        <v>0.42409761837248428</v>
      </c>
      <c r="C130" s="6"/>
      <c r="D130" s="6"/>
      <c r="E130"/>
      <c r="F130" s="27" t="s">
        <v>7</v>
      </c>
      <c r="AQ130" s="27" t="s">
        <v>8</v>
      </c>
      <c r="AX130" s="27" t="s">
        <v>7</v>
      </c>
      <c r="AY130" s="27" t="s">
        <v>8</v>
      </c>
      <c r="AZ130" s="27" t="s">
        <v>7</v>
      </c>
      <c r="BA130" s="27" t="s">
        <v>8</v>
      </c>
      <c r="BB130" s="27" t="s">
        <v>7</v>
      </c>
      <c r="BG130" s="27" t="s">
        <v>8</v>
      </c>
      <c r="BH130" s="27" t="s">
        <v>7</v>
      </c>
      <c r="BI130" s="27" t="s">
        <v>8</v>
      </c>
      <c r="BJ130" s="27" t="s">
        <v>7</v>
      </c>
      <c r="BK130" s="27" t="s">
        <v>8</v>
      </c>
      <c r="BL130" s="27" t="s">
        <v>7</v>
      </c>
      <c r="BM130" s="27" t="s">
        <v>8</v>
      </c>
      <c r="BR130" s="27" t="s">
        <v>7</v>
      </c>
      <c r="BS130" s="27" t="s">
        <v>8</v>
      </c>
    </row>
    <row r="131" spans="1:72" x14ac:dyDescent="0.25">
      <c r="A131" s="30">
        <v>0.38554328942953109</v>
      </c>
      <c r="E131"/>
      <c r="F131" s="27" t="s">
        <v>7</v>
      </c>
      <c r="AQ131" s="27" t="s">
        <v>8</v>
      </c>
      <c r="AX131" s="27" t="s">
        <v>7</v>
      </c>
      <c r="AY131" s="27" t="s">
        <v>8</v>
      </c>
      <c r="AZ131" s="27" t="s">
        <v>7</v>
      </c>
      <c r="BA131" s="27" t="s">
        <v>8</v>
      </c>
      <c r="BB131" s="27" t="s">
        <v>7</v>
      </c>
      <c r="BG131" s="27" t="s">
        <v>8</v>
      </c>
      <c r="BH131" s="27" t="s">
        <v>7</v>
      </c>
      <c r="BI131" s="27" t="s">
        <v>8</v>
      </c>
      <c r="BJ131" s="27" t="s">
        <v>7</v>
      </c>
      <c r="BK131" s="27" t="s">
        <v>8</v>
      </c>
      <c r="BL131" s="27" t="s">
        <v>7</v>
      </c>
      <c r="BM131" s="27" t="s">
        <v>8</v>
      </c>
      <c r="BR131" s="27" t="s">
        <v>7</v>
      </c>
      <c r="BS131" s="27" t="s">
        <v>8</v>
      </c>
      <c r="BT131" s="27" t="s">
        <v>7</v>
      </c>
    </row>
    <row r="132" spans="1:72" x14ac:dyDescent="0.25">
      <c r="A132" s="30">
        <v>0.35049389948139187</v>
      </c>
      <c r="C132" s="1" t="s">
        <v>13</v>
      </c>
      <c r="E132"/>
      <c r="F132" s="27" t="s">
        <v>7</v>
      </c>
      <c r="AQ132" s="27" t="s">
        <v>8</v>
      </c>
      <c r="AX132" s="27" t="s">
        <v>7</v>
      </c>
      <c r="AY132" s="27" t="s">
        <v>8</v>
      </c>
      <c r="AZ132" s="27" t="s">
        <v>7</v>
      </c>
      <c r="BA132" s="27" t="s">
        <v>8</v>
      </c>
      <c r="BB132" s="27" t="s">
        <v>7</v>
      </c>
      <c r="BC132" s="27" t="s">
        <v>8</v>
      </c>
      <c r="BG132" s="27" t="s">
        <v>8</v>
      </c>
      <c r="BH132" s="27" t="s">
        <v>7</v>
      </c>
      <c r="BJ132" s="27" t="s">
        <v>7</v>
      </c>
      <c r="BK132" s="27" t="s">
        <v>8</v>
      </c>
      <c r="BL132" s="27" t="s">
        <v>7</v>
      </c>
      <c r="BR132" s="27" t="s">
        <v>7</v>
      </c>
      <c r="BS132" s="27" t="s">
        <v>8</v>
      </c>
      <c r="BT132" s="27" t="s">
        <v>7</v>
      </c>
    </row>
    <row r="133" spans="1:72" x14ac:dyDescent="0.25">
      <c r="A133" s="30">
        <v>0.31863081771035617</v>
      </c>
      <c r="C133" s="1" t="str">
        <f>C122</f>
        <v>O</v>
      </c>
      <c r="E133"/>
      <c r="F133" s="27" t="s">
        <v>7</v>
      </c>
      <c r="AQ133" s="27" t="s">
        <v>8</v>
      </c>
      <c r="AX133" s="27" t="s">
        <v>7</v>
      </c>
      <c r="AY133" s="27" t="s">
        <v>8</v>
      </c>
      <c r="AZ133" s="27" t="s">
        <v>7</v>
      </c>
      <c r="BA133" s="27" t="s">
        <v>8</v>
      </c>
      <c r="BB133" s="27" t="s">
        <v>7</v>
      </c>
      <c r="BC133" s="27" t="s">
        <v>8</v>
      </c>
      <c r="BD133" s="27" t="s">
        <v>7</v>
      </c>
      <c r="BG133" s="27" t="s">
        <v>8</v>
      </c>
      <c r="BJ133" s="27" t="s">
        <v>7</v>
      </c>
      <c r="BK133" s="27" t="s">
        <v>8</v>
      </c>
      <c r="BR133" s="27" t="s">
        <v>7</v>
      </c>
      <c r="BT133" s="27" t="s">
        <v>7</v>
      </c>
    </row>
    <row r="134" spans="1:72" x14ac:dyDescent="0.25">
      <c r="A134" s="30">
        <v>0.28966437973668741</v>
      </c>
      <c r="C134"/>
      <c r="D134"/>
      <c r="E134"/>
      <c r="F134" s="27" t="s">
        <v>7</v>
      </c>
      <c r="AQ134" s="27" t="s">
        <v>8</v>
      </c>
      <c r="AX134" s="27" t="s">
        <v>7</v>
      </c>
      <c r="AY134" s="27" t="s">
        <v>8</v>
      </c>
      <c r="AZ134" s="27" t="s">
        <v>7</v>
      </c>
      <c r="BA134" s="27" t="s">
        <v>8</v>
      </c>
      <c r="BB134" s="27" t="s">
        <v>7</v>
      </c>
      <c r="BC134" s="27" t="s">
        <v>8</v>
      </c>
      <c r="BD134" s="27" t="s">
        <v>7</v>
      </c>
      <c r="BG134" s="27" t="s">
        <v>8</v>
      </c>
      <c r="BJ134" s="27" t="s">
        <v>7</v>
      </c>
      <c r="BT134" s="27" t="s">
        <v>7</v>
      </c>
    </row>
    <row r="135" spans="1:72" x14ac:dyDescent="0.25">
      <c r="A135" s="30">
        <v>0.2633312543060794</v>
      </c>
      <c r="C135" s="1" t="s">
        <v>14</v>
      </c>
      <c r="E135"/>
      <c r="F135" s="27" t="s">
        <v>7</v>
      </c>
      <c r="AQ135" s="27" t="s">
        <v>8</v>
      </c>
      <c r="AX135" s="27" t="s">
        <v>7</v>
      </c>
      <c r="AY135" s="27" t="s">
        <v>8</v>
      </c>
      <c r="AZ135" s="27" t="s">
        <v>7</v>
      </c>
      <c r="BA135" s="27" t="s">
        <v>8</v>
      </c>
      <c r="BB135" s="27" t="s">
        <v>7</v>
      </c>
      <c r="BD135" s="27" t="s">
        <v>7</v>
      </c>
      <c r="BG135" s="27" t="s">
        <v>8</v>
      </c>
      <c r="BT135" s="27" t="s">
        <v>7</v>
      </c>
    </row>
    <row r="136" spans="1:72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AM136" s="27" t="s">
        <v>8</v>
      </c>
      <c r="AO136" s="27" t="s">
        <v>8</v>
      </c>
      <c r="AQ136" s="27" t="s">
        <v>8</v>
      </c>
      <c r="AX136" s="27" t="s">
        <v>7</v>
      </c>
      <c r="AY136" s="27" t="s">
        <v>8</v>
      </c>
      <c r="AZ136" s="27" t="s">
        <v>7</v>
      </c>
      <c r="BD136" s="27" t="s">
        <v>7</v>
      </c>
      <c r="BE136" s="18" t="s">
        <v>8</v>
      </c>
      <c r="BG136" s="27" t="s">
        <v>8</v>
      </c>
      <c r="BT136" s="27" t="s">
        <v>7</v>
      </c>
    </row>
    <row r="137" spans="1:72" x14ac:dyDescent="0.25">
      <c r="A137" s="30">
        <v>0.2176291357901482</v>
      </c>
      <c r="E137"/>
      <c r="F137" s="27" t="s">
        <v>7</v>
      </c>
      <c r="AK137" s="27" t="s">
        <v>8</v>
      </c>
      <c r="AM137" s="27" t="s">
        <v>8</v>
      </c>
      <c r="AN137" s="27" t="s">
        <v>7</v>
      </c>
      <c r="AO137" s="27" t="s">
        <v>8</v>
      </c>
      <c r="AP137" s="27" t="s">
        <v>7</v>
      </c>
      <c r="AQ137" s="27" t="s">
        <v>8</v>
      </c>
      <c r="AX137" s="27" t="s">
        <v>7</v>
      </c>
      <c r="AY137" s="27" t="s">
        <v>8</v>
      </c>
      <c r="BD137" s="27" t="s">
        <v>7</v>
      </c>
      <c r="BE137" s="27" t="s">
        <v>8</v>
      </c>
      <c r="BF137" s="27" t="s">
        <v>7</v>
      </c>
      <c r="BG137" s="27" t="s">
        <v>8</v>
      </c>
      <c r="BT137" s="27" t="s">
        <v>7</v>
      </c>
    </row>
    <row r="138" spans="1:72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AK138" s="27" t="s">
        <v>8</v>
      </c>
      <c r="AL138" s="27" t="s">
        <v>7</v>
      </c>
      <c r="AM138" s="27" t="s">
        <v>8</v>
      </c>
      <c r="AN138" s="27" t="s">
        <v>7</v>
      </c>
      <c r="AO138" s="27" t="s">
        <v>8</v>
      </c>
      <c r="AP138" s="27" t="s">
        <v>7</v>
      </c>
      <c r="AQ138" s="27" t="s">
        <v>8</v>
      </c>
      <c r="AX138" s="27" t="s">
        <v>7</v>
      </c>
      <c r="BD138" s="27" t="s">
        <v>7</v>
      </c>
      <c r="BE138" s="27" t="s">
        <v>8</v>
      </c>
      <c r="BF138" s="27" t="s">
        <v>7</v>
      </c>
      <c r="BG138" s="27" t="s">
        <v>8</v>
      </c>
      <c r="BT138" s="27" t="s">
        <v>7</v>
      </c>
    </row>
    <row r="139" spans="1:72" x14ac:dyDescent="0.25">
      <c r="A139" s="30">
        <v>0.17985878990921333</v>
      </c>
      <c r="E139"/>
      <c r="F139" s="27" t="s">
        <v>7</v>
      </c>
      <c r="AK139" s="27" t="s">
        <v>8</v>
      </c>
      <c r="AL139" s="27" t="s">
        <v>7</v>
      </c>
      <c r="AM139" s="27" t="s">
        <v>8</v>
      </c>
      <c r="AN139" s="27" t="s">
        <v>7</v>
      </c>
      <c r="AO139" s="27" t="s">
        <v>8</v>
      </c>
      <c r="AP139" s="27" t="s">
        <v>7</v>
      </c>
      <c r="BD139" s="27" t="s">
        <v>7</v>
      </c>
      <c r="BF139" s="27" t="s">
        <v>7</v>
      </c>
      <c r="BT139" s="27" t="s">
        <v>7</v>
      </c>
    </row>
    <row r="140" spans="1:72" x14ac:dyDescent="0.25">
      <c r="A140" s="30">
        <v>0.16350799082655756</v>
      </c>
      <c r="C140" s="1">
        <v>0</v>
      </c>
      <c r="E140"/>
      <c r="F140" s="27" t="s">
        <v>7</v>
      </c>
      <c r="AK140" s="27" t="s">
        <v>8</v>
      </c>
      <c r="AL140" s="27" t="s">
        <v>7</v>
      </c>
      <c r="AM140" s="27" t="s">
        <v>8</v>
      </c>
      <c r="AN140" s="27" t="s">
        <v>7</v>
      </c>
      <c r="AO140" s="27" t="s">
        <v>8</v>
      </c>
    </row>
    <row r="141" spans="1:72" x14ac:dyDescent="0.25">
      <c r="A141" s="30">
        <v>0.14864362802414322</v>
      </c>
      <c r="C141" s="1">
        <v>1</v>
      </c>
      <c r="E141"/>
      <c r="F141" s="27" t="s">
        <v>7</v>
      </c>
      <c r="AK141" s="27" t="s">
        <v>8</v>
      </c>
      <c r="AL141" s="27" t="s">
        <v>7</v>
      </c>
      <c r="AM141" s="27" t="s">
        <v>8</v>
      </c>
      <c r="AN141" s="27" t="s">
        <v>7</v>
      </c>
    </row>
    <row r="142" spans="1:72" x14ac:dyDescent="0.25">
      <c r="A142" s="30">
        <v>0.13513057093103928</v>
      </c>
      <c r="C142" s="1">
        <v>2</v>
      </c>
      <c r="E142"/>
      <c r="F142" s="27" t="s">
        <v>7</v>
      </c>
      <c r="AI142" s="27" t="s">
        <v>8</v>
      </c>
      <c r="AK142" s="27" t="s">
        <v>8</v>
      </c>
      <c r="AL142" s="27" t="s">
        <v>7</v>
      </c>
    </row>
    <row r="143" spans="1:72" x14ac:dyDescent="0.25">
      <c r="A143" s="30">
        <v>0.12284597357367205</v>
      </c>
      <c r="C143" s="1">
        <v>3</v>
      </c>
      <c r="E143"/>
      <c r="F143" s="27" t="s">
        <v>7</v>
      </c>
      <c r="AI143" s="27" t="s">
        <v>8</v>
      </c>
      <c r="AJ143" s="27" t="s">
        <v>7</v>
      </c>
      <c r="AK143" s="27" t="s">
        <v>8</v>
      </c>
    </row>
    <row r="144" spans="1:72" x14ac:dyDescent="0.25">
      <c r="A144" s="30">
        <v>0.11167815779424731</v>
      </c>
      <c r="C144" s="1">
        <v>4</v>
      </c>
      <c r="E144"/>
      <c r="F144" s="27" t="s">
        <v>7</v>
      </c>
      <c r="AI144" s="27" t="s">
        <v>8</v>
      </c>
      <c r="AJ144" s="27" t="s">
        <v>7</v>
      </c>
      <c r="AK144" s="27" t="s">
        <v>8</v>
      </c>
    </row>
    <row r="145" spans="1:37" x14ac:dyDescent="0.25">
      <c r="A145" s="30">
        <v>0.10152559799477026</v>
      </c>
      <c r="B145"/>
      <c r="C145"/>
      <c r="D145"/>
      <c r="E145"/>
      <c r="F145" s="27" t="s">
        <v>7</v>
      </c>
      <c r="AI145" s="27" t="s">
        <v>8</v>
      </c>
      <c r="AJ145" s="27" t="s">
        <v>7</v>
      </c>
      <c r="AK145" s="27" t="s">
        <v>8</v>
      </c>
    </row>
    <row r="146" spans="1:37" x14ac:dyDescent="0.25">
      <c r="A146" s="30">
        <v>9.2295998177063854E-2</v>
      </c>
      <c r="B146"/>
      <c r="C146"/>
      <c r="D146"/>
      <c r="E146"/>
      <c r="F146" s="27" t="s">
        <v>7</v>
      </c>
      <c r="AI146" s="27" t="s">
        <v>8</v>
      </c>
      <c r="AJ146" s="27" t="s">
        <v>7</v>
      </c>
    </row>
    <row r="147" spans="1:37" x14ac:dyDescent="0.25">
      <c r="A147" s="30">
        <v>8.3905452888239848E-2</v>
      </c>
      <c r="B147"/>
      <c r="C147"/>
      <c r="D147"/>
      <c r="E147"/>
      <c r="F147" s="27" t="s">
        <v>7</v>
      </c>
      <c r="AI147" s="27" t="s">
        <v>8</v>
      </c>
    </row>
    <row r="148" spans="1:37" x14ac:dyDescent="0.25">
      <c r="A148" s="30">
        <v>7.6277684443854396E-2</v>
      </c>
      <c r="B148"/>
      <c r="C148"/>
      <c r="D148"/>
      <c r="E148"/>
      <c r="F148" s="27" t="s">
        <v>7</v>
      </c>
      <c r="G148" s="27" t="s">
        <v>8</v>
      </c>
      <c r="AI148" s="27" t="s">
        <v>8</v>
      </c>
    </row>
    <row r="149" spans="1:37" x14ac:dyDescent="0.25">
      <c r="A149" s="30">
        <v>6.9343349494413078E-2</v>
      </c>
      <c r="B149"/>
      <c r="C149"/>
      <c r="D149"/>
      <c r="E149"/>
      <c r="F149" s="27" t="s">
        <v>7</v>
      </c>
      <c r="G149" s="27" t="s">
        <v>8</v>
      </c>
      <c r="H149" s="27" t="s">
        <v>7</v>
      </c>
      <c r="AI149" s="27" t="s">
        <v>8</v>
      </c>
    </row>
    <row r="150" spans="1:37" x14ac:dyDescent="0.25">
      <c r="A150" s="30">
        <v>6.3039408631284613E-2</v>
      </c>
      <c r="B150"/>
      <c r="C150"/>
      <c r="D150"/>
      <c r="E150"/>
      <c r="F150" s="27" t="s">
        <v>7</v>
      </c>
      <c r="G150" s="27" t="s">
        <v>8</v>
      </c>
      <c r="H150" s="27" t="s">
        <v>7</v>
      </c>
      <c r="AI150" s="27" t="s">
        <v>8</v>
      </c>
    </row>
    <row r="151" spans="1:37" x14ac:dyDescent="0.25">
      <c r="A151" s="30">
        <v>5.7308553301167818E-2</v>
      </c>
      <c r="B151"/>
      <c r="C151"/>
      <c r="D151"/>
      <c r="E151"/>
      <c r="F151" s="27" t="s">
        <v>7</v>
      </c>
      <c r="G151" s="27" t="s">
        <v>8</v>
      </c>
      <c r="H151" s="27" t="s">
        <v>7</v>
      </c>
      <c r="AG151" s="27" t="s">
        <v>8</v>
      </c>
      <c r="AI151" s="27" t="s">
        <v>8</v>
      </c>
    </row>
    <row r="152" spans="1:37" x14ac:dyDescent="0.25">
      <c r="A152" s="30">
        <v>5.2098684819243464E-2</v>
      </c>
      <c r="B152"/>
      <c r="C152"/>
      <c r="D152"/>
      <c r="E152"/>
      <c r="F152" s="27" t="s">
        <v>7</v>
      </c>
      <c r="G152" s="27" t="s">
        <v>8</v>
      </c>
      <c r="H152" s="27" t="s">
        <v>7</v>
      </c>
      <c r="AG152" s="27" t="s">
        <v>8</v>
      </c>
      <c r="AH152" s="27" t="s">
        <v>7</v>
      </c>
      <c r="AI152" s="27" t="s">
        <v>8</v>
      </c>
    </row>
    <row r="153" spans="1:37" x14ac:dyDescent="0.25">
      <c r="A153" s="30">
        <v>4.7362440744766775E-2</v>
      </c>
      <c r="B153"/>
      <c r="C153"/>
      <c r="D153"/>
      <c r="E153"/>
      <c r="F153" s="27" t="s">
        <v>7</v>
      </c>
      <c r="G153" s="27" t="s">
        <v>8</v>
      </c>
      <c r="H153" s="27" t="s">
        <v>7</v>
      </c>
      <c r="AG153" s="27" t="s">
        <v>8</v>
      </c>
      <c r="AH153" s="27" t="s">
        <v>7</v>
      </c>
      <c r="AI153" s="27" t="s">
        <v>8</v>
      </c>
    </row>
    <row r="154" spans="1:37" x14ac:dyDescent="0.25">
      <c r="A154" s="30">
        <v>4.3056764313424332E-2</v>
      </c>
      <c r="B154"/>
      <c r="C154"/>
      <c r="D154"/>
      <c r="E154"/>
      <c r="F154" s="27" t="s">
        <v>7</v>
      </c>
      <c r="G154" s="27" t="s">
        <v>8</v>
      </c>
      <c r="H154" s="27" t="s">
        <v>7</v>
      </c>
      <c r="I154" s="27" t="s">
        <v>8</v>
      </c>
      <c r="U154" s="27" t="s">
        <v>8</v>
      </c>
      <c r="AG154" s="27" t="s">
        <v>8</v>
      </c>
      <c r="AH154" s="27" t="s">
        <v>7</v>
      </c>
      <c r="AI154" s="27" t="s">
        <v>8</v>
      </c>
    </row>
    <row r="155" spans="1:37" x14ac:dyDescent="0.25">
      <c r="A155" s="30">
        <v>3.9142513012203929E-2</v>
      </c>
      <c r="B155"/>
      <c r="C155"/>
      <c r="D155"/>
      <c r="E155"/>
      <c r="F155" s="27" t="s">
        <v>7</v>
      </c>
      <c r="G155" s="27" t="s">
        <v>8</v>
      </c>
      <c r="H155" s="27" t="s">
        <v>7</v>
      </c>
      <c r="I155" s="27" t="s">
        <v>8</v>
      </c>
      <c r="J155" s="27" t="s">
        <v>7</v>
      </c>
      <c r="U155" s="27" t="s">
        <v>8</v>
      </c>
      <c r="V155" s="27" t="s">
        <v>7</v>
      </c>
      <c r="AG155" s="27" t="s">
        <v>8</v>
      </c>
      <c r="AH155" s="27" t="s">
        <v>7</v>
      </c>
    </row>
    <row r="156" spans="1:37" x14ac:dyDescent="0.25">
      <c r="A156" s="30">
        <v>3.55841027383672E-2</v>
      </c>
      <c r="B156"/>
      <c r="C156"/>
      <c r="D156"/>
      <c r="E156"/>
      <c r="F156" s="27" t="s">
        <v>7</v>
      </c>
      <c r="G156" s="27" t="s">
        <v>8</v>
      </c>
      <c r="H156" s="27" t="s">
        <v>7</v>
      </c>
      <c r="I156" s="27" t="s">
        <v>8</v>
      </c>
      <c r="J156" s="27" t="s">
        <v>7</v>
      </c>
      <c r="U156" s="27" t="s">
        <v>8</v>
      </c>
      <c r="V156" s="27" t="s">
        <v>7</v>
      </c>
      <c r="AG156" s="27" t="s">
        <v>8</v>
      </c>
    </row>
    <row r="157" spans="1:37" x14ac:dyDescent="0.25">
      <c r="A157" s="30">
        <v>3.2349184307606541E-2</v>
      </c>
      <c r="B157"/>
      <c r="C157"/>
      <c r="D157"/>
      <c r="E157"/>
      <c r="F157" s="27" t="s">
        <v>7</v>
      </c>
      <c r="G157" s="27" t="s">
        <v>8</v>
      </c>
      <c r="H157" s="27" t="s">
        <v>7</v>
      </c>
      <c r="I157" s="27" t="s">
        <v>8</v>
      </c>
      <c r="J157" s="27" t="s">
        <v>7</v>
      </c>
      <c r="U157" s="27" t="s">
        <v>8</v>
      </c>
      <c r="V157" s="27" t="s">
        <v>7</v>
      </c>
      <c r="W157" s="27" t="s">
        <v>8</v>
      </c>
      <c r="AG157" s="27" t="s">
        <v>8</v>
      </c>
    </row>
    <row r="158" spans="1:37" x14ac:dyDescent="0.25">
      <c r="A158" s="30">
        <v>2.9408349370551395E-2</v>
      </c>
      <c r="B158"/>
      <c r="C158"/>
      <c r="D158"/>
      <c r="E158"/>
      <c r="F158" s="27" t="s">
        <v>7</v>
      </c>
      <c r="G158" s="27" t="s">
        <v>8</v>
      </c>
      <c r="H158" s="27" t="s">
        <v>7</v>
      </c>
      <c r="I158" s="27" t="s">
        <v>8</v>
      </c>
      <c r="J158" s="27" t="s">
        <v>7</v>
      </c>
      <c r="M158" s="27" t="s">
        <v>8</v>
      </c>
      <c r="S158" s="27" t="s">
        <v>8</v>
      </c>
      <c r="U158" s="27" t="s">
        <v>8</v>
      </c>
      <c r="V158" s="27" t="s">
        <v>7</v>
      </c>
      <c r="W158" s="27" t="s">
        <v>8</v>
      </c>
      <c r="X158" s="27" t="s">
        <v>7</v>
      </c>
      <c r="AG158" s="27" t="s">
        <v>8</v>
      </c>
    </row>
    <row r="159" spans="1:37" x14ac:dyDescent="0.25">
      <c r="A159" s="30">
        <v>2.6734863064137627E-2</v>
      </c>
      <c r="B159"/>
      <c r="C159"/>
      <c r="D159"/>
      <c r="E159"/>
      <c r="F159" s="27" t="s">
        <v>7</v>
      </c>
      <c r="H159" s="27" t="s">
        <v>7</v>
      </c>
      <c r="I159" s="27" t="s">
        <v>8</v>
      </c>
      <c r="J159" s="27" t="s">
        <v>7</v>
      </c>
      <c r="M159" s="27" t="s">
        <v>8</v>
      </c>
      <c r="N159" s="27" t="s">
        <v>7</v>
      </c>
      <c r="S159" s="27" t="s">
        <v>8</v>
      </c>
      <c r="T159" s="27" t="s">
        <v>7</v>
      </c>
      <c r="U159" s="27" t="s">
        <v>8</v>
      </c>
      <c r="V159" s="27" t="s">
        <v>7</v>
      </c>
      <c r="W159" s="27" t="s">
        <v>8</v>
      </c>
      <c r="X159" s="27" t="s">
        <v>7</v>
      </c>
      <c r="AA159" s="27" t="s">
        <v>8</v>
      </c>
      <c r="AG159" s="27" t="s">
        <v>8</v>
      </c>
    </row>
    <row r="160" spans="1:37" x14ac:dyDescent="0.25">
      <c r="A160" s="30">
        <v>2.4304420967397839E-2</v>
      </c>
      <c r="B160"/>
      <c r="C160"/>
      <c r="D160"/>
      <c r="E160"/>
      <c r="H160" s="27" t="s">
        <v>7</v>
      </c>
      <c r="J160" s="27" t="s">
        <v>7</v>
      </c>
      <c r="M160" s="27" t="s">
        <v>8</v>
      </c>
      <c r="N160" s="27" t="s">
        <v>7</v>
      </c>
      <c r="S160" s="27" t="s">
        <v>8</v>
      </c>
      <c r="T160" s="27" t="s">
        <v>7</v>
      </c>
      <c r="U160" s="27" t="s">
        <v>8</v>
      </c>
      <c r="V160" s="27" t="s">
        <v>7</v>
      </c>
      <c r="W160" s="27" t="s">
        <v>8</v>
      </c>
      <c r="X160" s="27" t="s">
        <v>7</v>
      </c>
      <c r="Y160" s="27" t="s">
        <v>8</v>
      </c>
      <c r="AA160" s="27" t="s">
        <v>8</v>
      </c>
      <c r="AB160" s="27" t="s">
        <v>7</v>
      </c>
      <c r="AE160" s="27" t="s">
        <v>8</v>
      </c>
      <c r="AG160" s="27" t="s">
        <v>8</v>
      </c>
    </row>
    <row r="161" spans="1:33" x14ac:dyDescent="0.25">
      <c r="A161" s="30">
        <v>2.2094928152179852E-2</v>
      </c>
      <c r="B161"/>
      <c r="C161"/>
      <c r="D161"/>
      <c r="E161"/>
      <c r="J161" s="27" t="s">
        <v>7</v>
      </c>
      <c r="K161" s="27" t="s">
        <v>8</v>
      </c>
      <c r="M161" s="27" t="s">
        <v>8</v>
      </c>
      <c r="N161" s="27" t="s">
        <v>7</v>
      </c>
      <c r="S161" s="27" t="s">
        <v>8</v>
      </c>
      <c r="T161" s="27" t="s">
        <v>7</v>
      </c>
      <c r="U161" s="27" t="s">
        <v>8</v>
      </c>
      <c r="V161" s="27" t="s">
        <v>7</v>
      </c>
      <c r="W161" s="27" t="s">
        <v>8</v>
      </c>
      <c r="X161" s="27" t="s">
        <v>7</v>
      </c>
      <c r="Y161" s="27" t="s">
        <v>8</v>
      </c>
      <c r="Z161" s="27" t="s">
        <v>7</v>
      </c>
      <c r="AA161" s="27" t="s">
        <v>8</v>
      </c>
      <c r="AB161" s="27" t="s">
        <v>7</v>
      </c>
      <c r="AC161" s="27" t="s">
        <v>8</v>
      </c>
      <c r="AE161" s="27" t="s">
        <v>8</v>
      </c>
      <c r="AF161" s="27" t="s">
        <v>7</v>
      </c>
      <c r="AG161" s="27" t="s">
        <v>8</v>
      </c>
    </row>
    <row r="162" spans="1:33" x14ac:dyDescent="0.25">
      <c r="A162" s="30">
        <v>2.0086298320163499E-2</v>
      </c>
      <c r="B162"/>
      <c r="C162"/>
      <c r="D162"/>
      <c r="E162"/>
      <c r="J162" s="27" t="s">
        <v>7</v>
      </c>
      <c r="K162" s="27" t="s">
        <v>8</v>
      </c>
      <c r="L162" s="27" t="s">
        <v>7</v>
      </c>
      <c r="M162" s="27" t="s">
        <v>8</v>
      </c>
      <c r="N162" s="27" t="s">
        <v>7</v>
      </c>
      <c r="S162" s="27" t="s">
        <v>8</v>
      </c>
      <c r="T162" s="27" t="s">
        <v>7</v>
      </c>
      <c r="V162" s="27" t="s">
        <v>7</v>
      </c>
      <c r="W162" s="27" t="s">
        <v>8</v>
      </c>
      <c r="X162" s="27" t="s">
        <v>7</v>
      </c>
      <c r="Y162" s="27" t="s">
        <v>8</v>
      </c>
      <c r="Z162" s="27" t="s">
        <v>7</v>
      </c>
      <c r="AA162" s="27" t="s">
        <v>8</v>
      </c>
      <c r="AB162" s="27" t="s">
        <v>7</v>
      </c>
      <c r="AC162" s="27" t="s">
        <v>8</v>
      </c>
      <c r="AD162" s="27" t="s">
        <v>7</v>
      </c>
      <c r="AE162" s="27" t="s">
        <v>8</v>
      </c>
      <c r="AF162" s="27" t="s">
        <v>7</v>
      </c>
      <c r="AG162" s="27" t="s">
        <v>8</v>
      </c>
    </row>
    <row r="163" spans="1:33" x14ac:dyDescent="0.25">
      <c r="A163" s="30">
        <v>1.8260271200148632E-2</v>
      </c>
      <c r="B163"/>
      <c r="C163"/>
      <c r="D163"/>
      <c r="E163"/>
      <c r="J163" s="27" t="s">
        <v>7</v>
      </c>
      <c r="K163" s="27" t="s">
        <v>8</v>
      </c>
      <c r="L163" s="27" t="s">
        <v>7</v>
      </c>
      <c r="M163" s="27" t="s">
        <v>8</v>
      </c>
      <c r="N163" s="27" t="s">
        <v>7</v>
      </c>
      <c r="Q163" s="27" t="s">
        <v>8</v>
      </c>
      <c r="S163" s="27" t="s">
        <v>8</v>
      </c>
      <c r="V163" s="27" t="s">
        <v>7</v>
      </c>
      <c r="X163" s="27" t="s">
        <v>7</v>
      </c>
      <c r="Y163" s="27" t="s">
        <v>8</v>
      </c>
      <c r="Z163" s="27" t="s">
        <v>7</v>
      </c>
      <c r="AB163" s="27" t="s">
        <v>7</v>
      </c>
      <c r="AC163" s="27" t="s">
        <v>8</v>
      </c>
      <c r="AD163" s="27" t="s">
        <v>7</v>
      </c>
      <c r="AE163" s="27" t="s">
        <v>8</v>
      </c>
      <c r="AF163" s="27" t="s">
        <v>7</v>
      </c>
    </row>
    <row r="164" spans="1:33" x14ac:dyDescent="0.25">
      <c r="A164" s="30">
        <v>1.6600246545589663E-2</v>
      </c>
      <c r="B164"/>
      <c r="C164"/>
      <c r="D164"/>
      <c r="E164"/>
      <c r="J164" s="27" t="s">
        <v>7</v>
      </c>
      <c r="L164" s="27" t="s">
        <v>7</v>
      </c>
      <c r="M164" s="27" t="s">
        <v>8</v>
      </c>
      <c r="N164" s="27" t="s">
        <v>7</v>
      </c>
      <c r="Q164" s="27" t="s">
        <v>8</v>
      </c>
      <c r="R164" s="27" t="s">
        <v>7</v>
      </c>
      <c r="S164" s="27" t="s">
        <v>8</v>
      </c>
      <c r="X164" s="27" t="s">
        <v>7</v>
      </c>
      <c r="AB164" s="27" t="s">
        <v>7</v>
      </c>
      <c r="AD164" s="27" t="s">
        <v>7</v>
      </c>
    </row>
    <row r="165" spans="1:33" x14ac:dyDescent="0.25">
      <c r="A165" s="30">
        <v>1.5091133223263328E-2</v>
      </c>
      <c r="B165"/>
      <c r="C165"/>
      <c r="D165"/>
      <c r="E165"/>
      <c r="L165" s="27" t="s">
        <v>7</v>
      </c>
      <c r="N165" s="27" t="s">
        <v>7</v>
      </c>
      <c r="Q165" s="27" t="s">
        <v>8</v>
      </c>
      <c r="R165" s="27" t="s">
        <v>7</v>
      </c>
      <c r="S165" s="27" t="s">
        <v>8</v>
      </c>
    </row>
    <row r="166" spans="1:33" x14ac:dyDescent="0.25">
      <c r="A166" s="30">
        <v>1.3719212021148477E-2</v>
      </c>
      <c r="B166"/>
      <c r="C166"/>
      <c r="D166"/>
      <c r="E166"/>
      <c r="N166" s="27" t="s">
        <v>7</v>
      </c>
      <c r="Q166" s="27" t="s">
        <v>8</v>
      </c>
      <c r="R166" s="27" t="s">
        <v>7</v>
      </c>
      <c r="S166" s="27" t="s">
        <v>8</v>
      </c>
    </row>
    <row r="167" spans="1:33" x14ac:dyDescent="0.25">
      <c r="A167" s="30">
        <v>1.2472010928316795E-2</v>
      </c>
      <c r="B167"/>
      <c r="C167"/>
      <c r="D167"/>
      <c r="E167"/>
      <c r="N167" s="27" t="s">
        <v>7</v>
      </c>
      <c r="Q167" s="27" t="s">
        <v>8</v>
      </c>
      <c r="R167" s="27" t="s">
        <v>7</v>
      </c>
      <c r="S167" s="27" t="s">
        <v>8</v>
      </c>
    </row>
    <row r="168" spans="1:33" x14ac:dyDescent="0.25">
      <c r="A168" s="30">
        <v>1.1338191753015267E-2</v>
      </c>
      <c r="B168"/>
      <c r="C168"/>
      <c r="D168"/>
      <c r="E168"/>
      <c r="N168" s="27" t="s">
        <v>7</v>
      </c>
      <c r="Q168" s="27" t="s">
        <v>8</v>
      </c>
      <c r="R168" s="27" t="s">
        <v>7</v>
      </c>
    </row>
    <row r="169" spans="1:33" x14ac:dyDescent="0.25">
      <c r="A169" s="30">
        <v>1.0307447048195697E-2</v>
      </c>
      <c r="B169"/>
      <c r="C169"/>
      <c r="D169"/>
      <c r="E169"/>
      <c r="N169" s="27" t="s">
        <v>7</v>
      </c>
      <c r="Q169" s="27" t="s">
        <v>8</v>
      </c>
    </row>
    <row r="170" spans="1:33" x14ac:dyDescent="0.25">
      <c r="A170" s="30">
        <v>9.3704064074506318E-3</v>
      </c>
      <c r="B170"/>
      <c r="C170"/>
      <c r="D170"/>
      <c r="E170"/>
      <c r="N170" s="27" t="s">
        <v>7</v>
      </c>
      <c r="O170" s="27" t="s">
        <v>8</v>
      </c>
      <c r="Q170" s="27" t="s">
        <v>8</v>
      </c>
    </row>
    <row r="171" spans="1:33" x14ac:dyDescent="0.25">
      <c r="A171" s="30">
        <v>8.5185512795005747E-3</v>
      </c>
      <c r="N171" s="27" t="s">
        <v>7</v>
      </c>
      <c r="O171" s="27" t="s">
        <v>8</v>
      </c>
      <c r="P171" s="27" t="s">
        <v>7</v>
      </c>
      <c r="Q171" s="27" t="s">
        <v>8</v>
      </c>
    </row>
    <row r="172" spans="1:33" x14ac:dyDescent="0.25">
      <c r="A172" s="30">
        <v>7.744137526818704E-3</v>
      </c>
      <c r="N172" s="27" t="s">
        <v>7</v>
      </c>
      <c r="O172" s="27" t="s">
        <v>8</v>
      </c>
      <c r="P172" s="27" t="s">
        <v>7</v>
      </c>
      <c r="Q172" s="27" t="s">
        <v>8</v>
      </c>
    </row>
    <row r="173" spans="1:33" x14ac:dyDescent="0.25">
      <c r="A173" s="30">
        <v>7.0401250243806394E-3</v>
      </c>
      <c r="N173" s="27" t="s">
        <v>7</v>
      </c>
      <c r="O173" s="27" t="s">
        <v>8</v>
      </c>
      <c r="P173" s="27" t="s">
        <v>7</v>
      </c>
    </row>
    <row r="174" spans="1:33" x14ac:dyDescent="0.25">
      <c r="A174" s="30">
        <v>6.4001136585278536E-3</v>
      </c>
      <c r="N174" s="27" t="s">
        <v>7</v>
      </c>
      <c r="O174" s="27" t="s">
        <v>8</v>
      </c>
    </row>
    <row r="175" spans="1:33" x14ac:dyDescent="0.25">
      <c r="A175" s="30">
        <v>5.8182851441162305E-3</v>
      </c>
      <c r="N175" s="27" t="s">
        <v>7</v>
      </c>
    </row>
    <row r="176" spans="1:33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244" operator="equal">
      <formula>$U$1</formula>
    </cfRule>
    <cfRule type="cellIs" dxfId="30" priority="1245" operator="equal">
      <formula>$S$1</formula>
    </cfRule>
  </conditionalFormatting>
  <conditionalFormatting sqref="D136">
    <cfRule type="cellIs" dxfId="29" priority="1242" operator="equal">
      <formula>$S$1</formula>
    </cfRule>
    <cfRule type="cellIs" dxfId="28" priority="1243" operator="equal">
      <formula>$U$1</formula>
    </cfRule>
  </conditionalFormatting>
  <conditionalFormatting sqref="C102">
    <cfRule type="cellIs" dxfId="27" priority="1240" operator="equal">
      <formula>$U$1</formula>
    </cfRule>
    <cfRule type="cellIs" dxfId="26" priority="1241" operator="equal">
      <formula>$S$1</formula>
    </cfRule>
  </conditionalFormatting>
  <conditionalFormatting sqref="D102">
    <cfRule type="cellIs" dxfId="25" priority="1238" operator="equal">
      <formula>$S$1</formula>
    </cfRule>
    <cfRule type="cellIs" dxfId="24" priority="1239" operator="equal">
      <formula>$U$1</formula>
    </cfRule>
  </conditionalFormatting>
  <conditionalFormatting sqref="C77">
    <cfRule type="cellIs" dxfId="23" priority="1236" operator="equal">
      <formula>$U$1</formula>
    </cfRule>
    <cfRule type="cellIs" dxfId="22" priority="1237" operator="equal">
      <formula>$S$1</formula>
    </cfRule>
  </conditionalFormatting>
  <conditionalFormatting sqref="D77">
    <cfRule type="cellIs" dxfId="21" priority="1234" operator="equal">
      <formula>$S$1</formula>
    </cfRule>
    <cfRule type="cellIs" dxfId="20" priority="1235" operator="equal">
      <formula>$U$1</formula>
    </cfRule>
  </conditionalFormatting>
  <conditionalFormatting sqref="C52">
    <cfRule type="cellIs" dxfId="19" priority="1232" operator="equal">
      <formula>$U$1</formula>
    </cfRule>
    <cfRule type="cellIs" dxfId="18" priority="1233" operator="equal">
      <formula>$S$1</formula>
    </cfRule>
  </conditionalFormatting>
  <conditionalFormatting sqref="D52">
    <cfRule type="cellIs" dxfId="17" priority="1230" operator="equal">
      <formula>$S$1</formula>
    </cfRule>
    <cfRule type="cellIs" dxfId="16" priority="1231" operator="equal">
      <formula>$U$1</formula>
    </cfRule>
  </conditionalFormatting>
  <conditionalFormatting sqref="C26">
    <cfRule type="cellIs" dxfId="15" priority="1228" operator="equal">
      <formula>$U$1</formula>
    </cfRule>
    <cfRule type="cellIs" dxfId="14" priority="1229" operator="equal">
      <formula>$S$1</formula>
    </cfRule>
  </conditionalFormatting>
  <conditionalFormatting sqref="D26">
    <cfRule type="cellIs" dxfId="13" priority="1226" operator="equal">
      <formula>$S$1</formula>
    </cfRule>
    <cfRule type="cellIs" dxfId="12" priority="1227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3" t="s">
        <v>17</v>
      </c>
      <c r="C1" s="33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0.16443563297285677</v>
      </c>
      <c r="F3" s="30">
        <v>0.17265741462149967</v>
      </c>
      <c r="G3" s="30">
        <v>0.45811152199139726</v>
      </c>
      <c r="H3" s="25">
        <f>IF(G3="","",(3*(G3-F3))+E3)</f>
        <v>1.0207979550825497</v>
      </c>
      <c r="I3" s="7"/>
      <c r="J3" s="7">
        <f>(E3+G3)/2</f>
        <v>0.31127357748212703</v>
      </c>
      <c r="K3" s="7">
        <f>H3/2</f>
        <v>0.51039897754127483</v>
      </c>
      <c r="M3" s="26">
        <f>IF(OR(J3="",H3=""),"",H3/J3)</f>
        <v>3.2794237253920557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2022-01-28T01:19:26Z</dcterms:modified>
</cp:coreProperties>
</file>