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2948DAE-DDF7-41E7-B20A-0DB14EFC2D9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C136" i="4" s="1"/>
  <c r="C116" i="4"/>
  <c r="C122" i="3"/>
  <c r="C133" i="3" s="1"/>
  <c r="C136" i="3" s="1"/>
  <c r="C118" i="3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<sst xmlns="http://schemas.openxmlformats.org/spreadsheetml/2006/main" count="9903" uniqueCount="34">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</sst>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2.1606999999999998</c:v>
                </c:pt>
                <c:pt idx="1">
                  <c:v>2.2456999999999998</c:v>
                </c:pt>
                <c:pt idx="2">
                  <c:v>2.3828</c:v>
                </c:pt>
                <c:pt idx="3">
                  <c:v>2.2566999999999999</c:v>
                </c:pt>
                <c:pt idx="4">
                  <c:v>2.2768000000000002</c:v>
                </c:pt>
                <c:pt idx="5">
                  <c:v>1.9663999999999999</c:v>
                </c:pt>
                <c:pt idx="6">
                  <c:v>2.2730000000000001</c:v>
                </c:pt>
                <c:pt idx="7">
                  <c:v>2.6880000000000002</c:v>
                </c:pt>
                <c:pt idx="8">
                  <c:v>2.7698</c:v>
                </c:pt>
                <c:pt idx="9">
                  <c:v>2.9529999999999998</c:v>
                </c:pt>
                <c:pt idx="10">
                  <c:v>2.9220999999999999</c:v>
                </c:pt>
                <c:pt idx="11">
                  <c:v>3.3092000000000001</c:v>
                </c:pt>
                <c:pt idx="12">
                  <c:v>3.0015000000000001</c:v>
                </c:pt>
                <c:pt idx="13">
                  <c:v>2.9575999999999998</c:v>
                </c:pt>
                <c:pt idx="14">
                  <c:v>3.0081000000000002</c:v>
                </c:pt>
                <c:pt idx="15">
                  <c:v>2.9434999999999998</c:v>
                </c:pt>
                <c:pt idx="16">
                  <c:v>2.5895999999999999</c:v>
                </c:pt>
                <c:pt idx="17">
                  <c:v>2.2238000000000002</c:v>
                </c:pt>
                <c:pt idx="18">
                  <c:v>2.3919000000000001</c:v>
                </c:pt>
                <c:pt idx="19">
                  <c:v>2.2837000000000001</c:v>
                </c:pt>
                <c:pt idx="20">
                  <c:v>2.6031</c:v>
                </c:pt>
                <c:pt idx="21">
                  <c:v>2.8908</c:v>
                </c:pt>
                <c:pt idx="22">
                  <c:v>2.9306999999999999</c:v>
                </c:pt>
                <c:pt idx="23">
                  <c:v>2.8776999999999999</c:v>
                </c:pt>
                <c:pt idx="24">
                  <c:v>2.8677000000000001</c:v>
                </c:pt>
                <c:pt idx="25">
                  <c:v>2.4836</c:v>
                </c:pt>
                <c:pt idx="26">
                  <c:v>2.5838000000000001</c:v>
                </c:pt>
                <c:pt idx="27">
                  <c:v>2.2488999999999999</c:v>
                </c:pt>
                <c:pt idx="28">
                  <c:v>2.1015999999999999</c:v>
                </c:pt>
                <c:pt idx="29">
                  <c:v>2.1362000000000001</c:v>
                </c:pt>
                <c:pt idx="30">
                  <c:v>2.2282000000000002</c:v>
                </c:pt>
                <c:pt idx="31">
                  <c:v>2.1985999999999999</c:v>
                </c:pt>
                <c:pt idx="32">
                  <c:v>2.3376999999999999</c:v>
                </c:pt>
                <c:pt idx="33">
                  <c:v>2.1109</c:v>
                </c:pt>
                <c:pt idx="34">
                  <c:v>2.0832999999999999</c:v>
                </c:pt>
                <c:pt idx="35">
                  <c:v>1.8635999999999999</c:v>
                </c:pt>
                <c:pt idx="36">
                  <c:v>1.5979000000000001</c:v>
                </c:pt>
                <c:pt idx="37">
                  <c:v>1.4810000000000001</c:v>
                </c:pt>
                <c:pt idx="38">
                  <c:v>1.3646</c:v>
                </c:pt>
                <c:pt idx="39">
                  <c:v>1.4277</c:v>
                </c:pt>
                <c:pt idx="40">
                  <c:v>1.4206000000000001</c:v>
                </c:pt>
                <c:pt idx="41">
                  <c:v>1.4021999999999999</c:v>
                </c:pt>
                <c:pt idx="42">
                  <c:v>1.427</c:v>
                </c:pt>
                <c:pt idx="43">
                  <c:v>1.4757</c:v>
                </c:pt>
                <c:pt idx="44">
                  <c:v>1.3147</c:v>
                </c:pt>
                <c:pt idx="45">
                  <c:v>1.2802</c:v>
                </c:pt>
                <c:pt idx="46">
                  <c:v>1.49</c:v>
                </c:pt>
                <c:pt idx="47">
                  <c:v>1.4360999999999999</c:v>
                </c:pt>
                <c:pt idx="48">
                  <c:v>1.4137</c:v>
                </c:pt>
                <c:pt idx="49">
                  <c:v>1.4188000000000001</c:v>
                </c:pt>
                <c:pt idx="50">
                  <c:v>1.6447000000000001</c:v>
                </c:pt>
                <c:pt idx="51">
                  <c:v>1.5918000000000001</c:v>
                </c:pt>
                <c:pt idx="52">
                  <c:v>1.5976999999999999</c:v>
                </c:pt>
                <c:pt idx="53">
                  <c:v>1.5303</c:v>
                </c:pt>
                <c:pt idx="54">
                  <c:v>1.7198</c:v>
                </c:pt>
                <c:pt idx="55">
                  <c:v>1.9833000000000001</c:v>
                </c:pt>
                <c:pt idx="56">
                  <c:v>2.0665</c:v>
                </c:pt>
                <c:pt idx="57">
                  <c:v>2.1415999999999999</c:v>
                </c:pt>
                <c:pt idx="58">
                  <c:v>2.1374</c:v>
                </c:pt>
                <c:pt idx="59">
                  <c:v>2.1625999999999999</c:v>
                </c:pt>
                <c:pt idx="60">
                  <c:v>2.1137999999999999</c:v>
                </c:pt>
                <c:pt idx="61">
                  <c:v>2.0821999999999998</c:v>
                </c:pt>
                <c:pt idx="62">
                  <c:v>2.1162999999999998</c:v>
                </c:pt>
                <c:pt idx="63">
                  <c:v>2.4714</c:v>
                </c:pt>
                <c:pt idx="64">
                  <c:v>2.2549999999999999</c:v>
                </c:pt>
                <c:pt idx="65">
                  <c:v>2.3130999999999999</c:v>
                </c:pt>
                <c:pt idx="66">
                  <c:v>1.9490000000000001</c:v>
                </c:pt>
                <c:pt idx="67">
                  <c:v>2.0745</c:v>
                </c:pt>
                <c:pt idx="68">
                  <c:v>2.1798000000000002</c:v>
                </c:pt>
                <c:pt idx="69">
                  <c:v>2.2629999999999999</c:v>
                </c:pt>
                <c:pt idx="70">
                  <c:v>1.8476999999999999</c:v>
                </c:pt>
                <c:pt idx="71">
                  <c:v>2.1490999999999998</c:v>
                </c:pt>
                <c:pt idx="72">
                  <c:v>2.2027000000000001</c:v>
                </c:pt>
                <c:pt idx="73">
                  <c:v>2.4701</c:v>
                </c:pt>
                <c:pt idx="74">
                  <c:v>2.5882000000000001</c:v>
                </c:pt>
                <c:pt idx="75">
                  <c:v>2.617</c:v>
                </c:pt>
                <c:pt idx="76">
                  <c:v>2.6313</c:v>
                </c:pt>
                <c:pt idx="77">
                  <c:v>2.5985</c:v>
                </c:pt>
                <c:pt idx="78">
                  <c:v>2.6362000000000001</c:v>
                </c:pt>
                <c:pt idx="79">
                  <c:v>2.8673999999999999</c:v>
                </c:pt>
                <c:pt idx="80">
                  <c:v>3.1634000000000002</c:v>
                </c:pt>
                <c:pt idx="81">
                  <c:v>2.8660999999999999</c:v>
                </c:pt>
                <c:pt idx="82">
                  <c:v>2.7683</c:v>
                </c:pt>
                <c:pt idx="83">
                  <c:v>2.6528999999999998</c:v>
                </c:pt>
                <c:pt idx="84">
                  <c:v>2.7669000000000001</c:v>
                </c:pt>
                <c:pt idx="85">
                  <c:v>2.669</c:v>
                </c:pt>
                <c:pt idx="86">
                  <c:v>2.7233000000000001</c:v>
                </c:pt>
                <c:pt idx="87">
                  <c:v>2.7014999999999998</c:v>
                </c:pt>
                <c:pt idx="88">
                  <c:v>2.8658000000000001</c:v>
                </c:pt>
                <c:pt idx="89">
                  <c:v>2.6652</c:v>
                </c:pt>
                <c:pt idx="90">
                  <c:v>2.879</c:v>
                </c:pt>
                <c:pt idx="91">
                  <c:v>2.9230999999999998</c:v>
                </c:pt>
                <c:pt idx="92">
                  <c:v>3.0991</c:v>
                </c:pt>
                <c:pt idx="93">
                  <c:v>3.1396000000000002</c:v>
                </c:pt>
                <c:pt idx="94">
                  <c:v>3.0413000000000001</c:v>
                </c:pt>
                <c:pt idx="95">
                  <c:v>2.7</c:v>
                </c:pt>
                <c:pt idx="96">
                  <c:v>2.5539000000000001</c:v>
                </c:pt>
                <c:pt idx="97">
                  <c:v>2.6181999999999999</c:v>
                </c:pt>
                <c:pt idx="98">
                  <c:v>2.2229999999999999</c:v>
                </c:pt>
                <c:pt idx="99">
                  <c:v>2.4279000000000002</c:v>
                </c:pt>
                <c:pt idx="100">
                  <c:v>2.3538999999999999</c:v>
                </c:pt>
                <c:pt idx="101">
                  <c:v>2.2170999999999998</c:v>
                </c:pt>
                <c:pt idx="102">
                  <c:v>2.3039000000000001</c:v>
                </c:pt>
                <c:pt idx="103">
                  <c:v>2.14</c:v>
                </c:pt>
                <c:pt idx="104">
                  <c:v>1.9311</c:v>
                </c:pt>
                <c:pt idx="105">
                  <c:v>2.0289000000000001</c:v>
                </c:pt>
                <c:pt idx="106">
                  <c:v>2.0118999999999998</c:v>
                </c:pt>
                <c:pt idx="107">
                  <c:v>2.0920999999999998</c:v>
                </c:pt>
                <c:pt idx="108">
                  <c:v>2.3357999999999999</c:v>
                </c:pt>
                <c:pt idx="109">
                  <c:v>2.0259999999999998</c:v>
                </c:pt>
                <c:pt idx="110">
                  <c:v>2.1597</c:v>
                </c:pt>
                <c:pt idx="111">
                  <c:v>2.2999999999999998</c:v>
                </c:pt>
                <c:pt idx="112">
                  <c:v>2.0234999999999999</c:v>
                </c:pt>
                <c:pt idx="113">
                  <c:v>1.6096999999999999</c:v>
                </c:pt>
                <c:pt idx="114">
                  <c:v>1.4140999999999999</c:v>
                </c:pt>
                <c:pt idx="115">
                  <c:v>1.4043000000000001</c:v>
                </c:pt>
                <c:pt idx="116">
                  <c:v>1.4636</c:v>
                </c:pt>
                <c:pt idx="117">
                  <c:v>1.458</c:v>
                </c:pt>
                <c:pt idx="118">
                  <c:v>1.4174</c:v>
                </c:pt>
                <c:pt idx="119">
                  <c:v>1.2063999999999999</c:v>
                </c:pt>
                <c:pt idx="120">
                  <c:v>1.2</c:v>
                </c:pt>
                <c:pt idx="121">
                  <c:v>1.1741999999999999</c:v>
                </c:pt>
                <c:pt idx="122">
                  <c:v>1.2803</c:v>
                </c:pt>
                <c:pt idx="123">
                  <c:v>1.179</c:v>
                </c:pt>
                <c:pt idx="124">
                  <c:v>1.2425999999999999</c:v>
                </c:pt>
                <c:pt idx="125">
                  <c:v>1.1990000000000001</c:v>
                </c:pt>
                <c:pt idx="126">
                  <c:v>1.2602</c:v>
                </c:pt>
                <c:pt idx="127">
                  <c:v>1.2488999999999999</c:v>
                </c:pt>
                <c:pt idx="128">
                  <c:v>0.9829</c:v>
                </c:pt>
                <c:pt idx="129">
                  <c:v>1.232</c:v>
                </c:pt>
                <c:pt idx="130">
                  <c:v>1.4579</c:v>
                </c:pt>
                <c:pt idx="131">
                  <c:v>1.3306</c:v>
                </c:pt>
                <c:pt idx="132">
                  <c:v>1.2486999999999999</c:v>
                </c:pt>
                <c:pt idx="133">
                  <c:v>1.3072999999999999</c:v>
                </c:pt>
                <c:pt idx="134">
                  <c:v>1.4417</c:v>
                </c:pt>
                <c:pt idx="135">
                  <c:v>1.2050000000000001</c:v>
                </c:pt>
                <c:pt idx="136">
                  <c:v>1.3045</c:v>
                </c:pt>
                <c:pt idx="137">
                  <c:v>1.4421999999999999</c:v>
                </c:pt>
                <c:pt idx="138">
                  <c:v>1.5466</c:v>
                </c:pt>
                <c:pt idx="139">
                  <c:v>1.4939</c:v>
                </c:pt>
                <c:pt idx="140">
                  <c:v>1.6583000000000001</c:v>
                </c:pt>
                <c:pt idx="141">
                  <c:v>1.5602</c:v>
                </c:pt>
                <c:pt idx="142">
                  <c:v>1.405</c:v>
                </c:pt>
                <c:pt idx="143">
                  <c:v>1.3931</c:v>
                </c:pt>
                <c:pt idx="144">
                  <c:v>1.2156</c:v>
                </c:pt>
                <c:pt idx="145">
                  <c:v>1.0616000000000001</c:v>
                </c:pt>
                <c:pt idx="146">
                  <c:v>0.97499999999999998</c:v>
                </c:pt>
                <c:pt idx="147">
                  <c:v>0.84889999999999999</c:v>
                </c:pt>
                <c:pt idx="148">
                  <c:v>0.87090000000000001</c:v>
                </c:pt>
                <c:pt idx="149">
                  <c:v>0.72</c:v>
                </c:pt>
                <c:pt idx="150">
                  <c:v>0.79859999999999998</c:v>
                </c:pt>
                <c:pt idx="151">
                  <c:v>0.58560000000000001</c:v>
                </c:pt>
                <c:pt idx="152">
                  <c:v>0.52310000000000001</c:v>
                </c:pt>
                <c:pt idx="153">
                  <c:v>0.49199999999999999</c:v>
                </c:pt>
                <c:pt idx="154">
                  <c:v>0.43330000000000002</c:v>
                </c:pt>
                <c:pt idx="155">
                  <c:v>0.49773000000000001</c:v>
                </c:pt>
                <c:pt idx="156">
                  <c:v>0.48139999999999999</c:v>
                </c:pt>
                <c:pt idx="157">
                  <c:v>0.55123</c:v>
                </c:pt>
                <c:pt idx="158">
                  <c:v>0.57293000000000005</c:v>
                </c:pt>
                <c:pt idx="159">
                  <c:v>0.57321999999999995</c:v>
                </c:pt>
                <c:pt idx="160">
                  <c:v>0.49214999999999998</c:v>
                </c:pt>
                <c:pt idx="161">
                  <c:v>0.50756000000000001</c:v>
                </c:pt>
                <c:pt idx="162">
                  <c:v>0.41398000000000001</c:v>
                </c:pt>
                <c:pt idx="163">
                  <c:v>0.39151999999999998</c:v>
                </c:pt>
                <c:pt idx="164">
                  <c:v>0.39507999999999999</c:v>
                </c:pt>
                <c:pt idx="165">
                  <c:v>0.34693000000000002</c:v>
                </c:pt>
                <c:pt idx="166">
                  <c:v>0.33798</c:v>
                </c:pt>
                <c:pt idx="167">
                  <c:v>0.34449000000000002</c:v>
                </c:pt>
                <c:pt idx="168">
                  <c:v>0.30808999999999997</c:v>
                </c:pt>
                <c:pt idx="169">
                  <c:v>0.32002000000000003</c:v>
                </c:pt>
                <c:pt idx="170">
                  <c:v>0.29657</c:v>
                </c:pt>
                <c:pt idx="171">
                  <c:v>0.27865000000000001</c:v>
                </c:pt>
                <c:pt idx="172">
                  <c:v>0.26701999999999998</c:v>
                </c:pt>
                <c:pt idx="173">
                  <c:v>0.2863</c:v>
                </c:pt>
                <c:pt idx="174">
                  <c:v>0.27936</c:v>
                </c:pt>
                <c:pt idx="175">
                  <c:v>0.26</c:v>
                </c:pt>
                <c:pt idx="176">
                  <c:v>0.24548</c:v>
                </c:pt>
                <c:pt idx="177">
                  <c:v>0.23835000000000001</c:v>
                </c:pt>
                <c:pt idx="178">
                  <c:v>0.25079000000000001</c:v>
                </c:pt>
                <c:pt idx="179">
                  <c:v>0.24568999999999999</c:v>
                </c:pt>
                <c:pt idx="180">
                  <c:v>0.25625999999999999</c:v>
                </c:pt>
                <c:pt idx="181">
                  <c:v>0.25364999999999999</c:v>
                </c:pt>
                <c:pt idx="182">
                  <c:v>0.24948000000000001</c:v>
                </c:pt>
                <c:pt idx="183">
                  <c:v>0.22738</c:v>
                </c:pt>
                <c:pt idx="184">
                  <c:v>0.22395999999999999</c:v>
                </c:pt>
                <c:pt idx="185">
                  <c:v>0.20937</c:v>
                </c:pt>
                <c:pt idx="186">
                  <c:v>0.19794999999999999</c:v>
                </c:pt>
                <c:pt idx="187">
                  <c:v>0.19470000000000001</c:v>
                </c:pt>
                <c:pt idx="188">
                  <c:v>0.19128000000000001</c:v>
                </c:pt>
                <c:pt idx="189">
                  <c:v>0.18559</c:v>
                </c:pt>
                <c:pt idx="190">
                  <c:v>0.17709</c:v>
                </c:pt>
                <c:pt idx="191">
                  <c:v>0.15998999999999999</c:v>
                </c:pt>
                <c:pt idx="192">
                  <c:v>0.17047999999999999</c:v>
                </c:pt>
                <c:pt idx="193">
                  <c:v>0.19009999999999999</c:v>
                </c:pt>
                <c:pt idx="194">
                  <c:v>0.19631999999999999</c:v>
                </c:pt>
                <c:pt idx="195">
                  <c:v>0.19350999999999999</c:v>
                </c:pt>
                <c:pt idx="196">
                  <c:v>0.21163999999999999</c:v>
                </c:pt>
                <c:pt idx="197">
                  <c:v>0.21951999999999999</c:v>
                </c:pt>
                <c:pt idx="198">
                  <c:v>0.22275</c:v>
                </c:pt>
                <c:pt idx="199">
                  <c:v>0.22370000000000001</c:v>
                </c:pt>
                <c:pt idx="200">
                  <c:v>0.23193</c:v>
                </c:pt>
                <c:pt idx="201">
                  <c:v>0.22605</c:v>
                </c:pt>
                <c:pt idx="202">
                  <c:v>0.23424</c:v>
                </c:pt>
                <c:pt idx="203">
                  <c:v>0.23835000000000001</c:v>
                </c:pt>
                <c:pt idx="204">
                  <c:v>0.25834000000000001</c:v>
                </c:pt>
                <c:pt idx="205">
                  <c:v>0.24945999999999999</c:v>
                </c:pt>
                <c:pt idx="206">
                  <c:v>0.22961999999999999</c:v>
                </c:pt>
                <c:pt idx="207">
                  <c:v>0.24257000000000001</c:v>
                </c:pt>
                <c:pt idx="208">
                  <c:v>0.23447000000000001</c:v>
                </c:pt>
                <c:pt idx="209">
                  <c:v>0.22702</c:v>
                </c:pt>
                <c:pt idx="210">
                  <c:v>0.22144</c:v>
                </c:pt>
                <c:pt idx="211">
                  <c:v>0.24121000000000001</c:v>
                </c:pt>
                <c:pt idx="212">
                  <c:v>0.23580000000000001</c:v>
                </c:pt>
                <c:pt idx="213">
                  <c:v>0.22533</c:v>
                </c:pt>
                <c:pt idx="214">
                  <c:v>0.21818000000000001</c:v>
                </c:pt>
                <c:pt idx="215">
                  <c:v>0.21265999999999999</c:v>
                </c:pt>
                <c:pt idx="216">
                  <c:v>0.20566000000000001</c:v>
                </c:pt>
                <c:pt idx="217">
                  <c:v>0.24217</c:v>
                </c:pt>
                <c:pt idx="218">
                  <c:v>0.24654999999999999</c:v>
                </c:pt>
                <c:pt idx="219">
                  <c:v>0.21693999999999999</c:v>
                </c:pt>
                <c:pt idx="220">
                  <c:v>0.23483000000000001</c:v>
                </c:pt>
                <c:pt idx="221">
                  <c:v>0.30848999999999999</c:v>
                </c:pt>
                <c:pt idx="222">
                  <c:v>0.30787999999999999</c:v>
                </c:pt>
                <c:pt idx="223">
                  <c:v>0.29543999999999998</c:v>
                </c:pt>
                <c:pt idx="224">
                  <c:v>0.32138</c:v>
                </c:pt>
                <c:pt idx="225">
                  <c:v>0.28072000000000003</c:v>
                </c:pt>
                <c:pt idx="226">
                  <c:v>0.28872999999999999</c:v>
                </c:pt>
                <c:pt idx="227">
                  <c:v>0.29959999999999998</c:v>
                </c:pt>
                <c:pt idx="228">
                  <c:v>0.27994000000000002</c:v>
                </c:pt>
                <c:pt idx="229">
                  <c:v>0.23910000000000001</c:v>
                </c:pt>
                <c:pt idx="230">
                  <c:v>0.25289</c:v>
                </c:pt>
                <c:pt idx="231">
                  <c:v>0.27958</c:v>
                </c:pt>
                <c:pt idx="232">
                  <c:v>0.30596000000000001</c:v>
                </c:pt>
                <c:pt idx="233">
                  <c:v>0.29187000000000002</c:v>
                </c:pt>
                <c:pt idx="234">
                  <c:v>0.29852000000000001</c:v>
                </c:pt>
                <c:pt idx="235">
                  <c:v>0.34116999999999997</c:v>
                </c:pt>
                <c:pt idx="236">
                  <c:v>0.31280000000000002</c:v>
                </c:pt>
                <c:pt idx="237">
                  <c:v>0.33567999999999998</c:v>
                </c:pt>
                <c:pt idx="238">
                  <c:v>0.38169999999999998</c:v>
                </c:pt>
                <c:pt idx="239">
                  <c:v>0.34970000000000001</c:v>
                </c:pt>
                <c:pt idx="240">
                  <c:v>0.30945</c:v>
                </c:pt>
                <c:pt idx="241">
                  <c:v>0.32069999999999999</c:v>
                </c:pt>
                <c:pt idx="242">
                  <c:v>0.29504999999999998</c:v>
                </c:pt>
                <c:pt idx="243">
                  <c:v>0.27592</c:v>
                </c:pt>
                <c:pt idx="244">
                  <c:v>0.30367</c:v>
                </c:pt>
                <c:pt idx="245">
                  <c:v>0.34833999999999998</c:v>
                </c:pt>
                <c:pt idx="246">
                  <c:v>0.37786999999999998</c:v>
                </c:pt>
                <c:pt idx="247">
                  <c:v>0.33</c:v>
                </c:pt>
                <c:pt idx="248">
                  <c:v>0.34332000000000001</c:v>
                </c:pt>
                <c:pt idx="249">
                  <c:v>0.252</c:v>
                </c:pt>
                <c:pt idx="250">
                  <c:v>0.29047000000000001</c:v>
                </c:pt>
                <c:pt idx="251">
                  <c:v>0.35277999999999998</c:v>
                </c:pt>
                <c:pt idx="252">
                  <c:v>0.44828000000000001</c:v>
                </c:pt>
                <c:pt idx="253">
                  <c:v>0.39479999999999998</c:v>
                </c:pt>
                <c:pt idx="254">
                  <c:v>0.68389</c:v>
                </c:pt>
                <c:pt idx="255">
                  <c:v>0.57979999999999998</c:v>
                </c:pt>
                <c:pt idx="256">
                  <c:v>0.63207000000000002</c:v>
                </c:pt>
                <c:pt idx="257">
                  <c:v>0.61377999999999999</c:v>
                </c:pt>
                <c:pt idx="258">
                  <c:v>0.69179000000000002</c:v>
                </c:pt>
                <c:pt idx="259">
                  <c:v>0.61799999999999999</c:v>
                </c:pt>
                <c:pt idx="260">
                  <c:v>0.60511999999999999</c:v>
                </c:pt>
                <c:pt idx="261">
                  <c:v>0.78752999999999995</c:v>
                </c:pt>
                <c:pt idx="262">
                  <c:v>0.77154</c:v>
                </c:pt>
                <c:pt idx="263">
                  <c:v>0.91837999999999997</c:v>
                </c:pt>
                <c:pt idx="264">
                  <c:v>0.81725999999999999</c:v>
                </c:pt>
                <c:pt idx="265">
                  <c:v>0.77576000000000001</c:v>
                </c:pt>
                <c:pt idx="266">
                  <c:v>0.73146</c:v>
                </c:pt>
                <c:pt idx="267">
                  <c:v>0.78139999999999998</c:v>
                </c:pt>
                <c:pt idx="268">
                  <c:v>0.65032999999999996</c:v>
                </c:pt>
                <c:pt idx="269">
                  <c:v>0.71092</c:v>
                </c:pt>
                <c:pt idx="270">
                  <c:v>0.75338000000000005</c:v>
                </c:pt>
                <c:pt idx="271">
                  <c:v>0.81371000000000004</c:v>
                </c:pt>
                <c:pt idx="272">
                  <c:v>0.74068000000000001</c:v>
                </c:pt>
                <c:pt idx="273">
                  <c:v>0.58179000000000003</c:v>
                </c:pt>
                <c:pt idx="274">
                  <c:v>0.59311000000000003</c:v>
                </c:pt>
                <c:pt idx="275">
                  <c:v>0.52656000000000003</c:v>
                </c:pt>
                <c:pt idx="276">
                  <c:v>0.38474999999999998</c:v>
                </c:pt>
                <c:pt idx="277">
                  <c:v>0.30597999999999997</c:v>
                </c:pt>
                <c:pt idx="278">
                  <c:v>0.27861999999999998</c:v>
                </c:pt>
                <c:pt idx="279">
                  <c:v>0.31547999999999998</c:v>
                </c:pt>
                <c:pt idx="280">
                  <c:v>0.32822000000000001</c:v>
                </c:pt>
                <c:pt idx="281">
                  <c:v>0.36775000000000002</c:v>
                </c:pt>
                <c:pt idx="282">
                  <c:v>0.40094999999999997</c:v>
                </c:pt>
                <c:pt idx="283">
                  <c:v>0.40026</c:v>
                </c:pt>
                <c:pt idx="284">
                  <c:v>0.42309999999999998</c:v>
                </c:pt>
                <c:pt idx="285">
                  <c:v>0.495</c:v>
                </c:pt>
                <c:pt idx="286">
                  <c:v>0.45462999999999998</c:v>
                </c:pt>
                <c:pt idx="287">
                  <c:v>0.44458999999999999</c:v>
                </c:pt>
                <c:pt idx="288">
                  <c:v>0.41711999999999999</c:v>
                </c:pt>
                <c:pt idx="289">
                  <c:v>0.41803000000000001</c:v>
                </c:pt>
                <c:pt idx="290">
                  <c:v>0.42765999999999998</c:v>
                </c:pt>
                <c:pt idx="291">
                  <c:v>0.45817000000000002</c:v>
                </c:pt>
                <c:pt idx="292">
                  <c:v>0.43923000000000001</c:v>
                </c:pt>
                <c:pt idx="293">
                  <c:v>0.45172000000000001</c:v>
                </c:pt>
                <c:pt idx="294">
                  <c:v>0.43757000000000001</c:v>
                </c:pt>
                <c:pt idx="295">
                  <c:v>0.41504999999999997</c:v>
                </c:pt>
                <c:pt idx="296">
                  <c:v>0.45756999999999998</c:v>
                </c:pt>
                <c:pt idx="297">
                  <c:v>0.48207</c:v>
                </c:pt>
                <c:pt idx="298">
                  <c:v>0.40799999999999997</c:v>
                </c:pt>
                <c:pt idx="299">
                  <c:v>0.38757999999999998</c:v>
                </c:pt>
                <c:pt idx="300">
                  <c:v>0.42749999999999999</c:v>
                </c:pt>
                <c:pt idx="301">
                  <c:v>0.44257000000000002</c:v>
                </c:pt>
                <c:pt idx="302">
                  <c:v>0.42224</c:v>
                </c:pt>
                <c:pt idx="303">
                  <c:v>0.43192000000000003</c:v>
                </c:pt>
                <c:pt idx="304">
                  <c:v>0.43263000000000001</c:v>
                </c:pt>
                <c:pt idx="305">
                  <c:v>0.39323999999999998</c:v>
                </c:pt>
                <c:pt idx="306">
                  <c:v>0.35981000000000002</c:v>
                </c:pt>
                <c:pt idx="307">
                  <c:v>0.36708000000000002</c:v>
                </c:pt>
                <c:pt idx="308">
                  <c:v>0.3236</c:v>
                </c:pt>
                <c:pt idx="309">
                  <c:v>0.33572999999999997</c:v>
                </c:pt>
                <c:pt idx="310">
                  <c:v>0.37845000000000001</c:v>
                </c:pt>
                <c:pt idx="311">
                  <c:v>0.39445999999999998</c:v>
                </c:pt>
                <c:pt idx="312">
                  <c:v>0.42542999999999997</c:v>
                </c:pt>
                <c:pt idx="313">
                  <c:v>0.42681000000000002</c:v>
                </c:pt>
                <c:pt idx="314">
                  <c:v>0.41213</c:v>
                </c:pt>
                <c:pt idx="315">
                  <c:v>0.39842</c:v>
                </c:pt>
                <c:pt idx="316">
                  <c:v>0.42559999999999998</c:v>
                </c:pt>
                <c:pt idx="317">
                  <c:v>0.38175999999999999</c:v>
                </c:pt>
                <c:pt idx="318">
                  <c:v>0.36638999999999999</c:v>
                </c:pt>
                <c:pt idx="319">
                  <c:v>0.38918999999999998</c:v>
                </c:pt>
                <c:pt idx="320">
                  <c:v>0.40604000000000001</c:v>
                </c:pt>
                <c:pt idx="321">
                  <c:v>0.38867000000000002</c:v>
                </c:pt>
                <c:pt idx="322">
                  <c:v>0.44219000000000003</c:v>
                </c:pt>
                <c:pt idx="323">
                  <c:v>0.45745999999999998</c:v>
                </c:pt>
                <c:pt idx="324">
                  <c:v>0.53027000000000002</c:v>
                </c:pt>
                <c:pt idx="325">
                  <c:v>0.44985000000000003</c:v>
                </c:pt>
                <c:pt idx="326">
                  <c:v>0.44403999999999999</c:v>
                </c:pt>
                <c:pt idx="327">
                  <c:v>0.44146000000000002</c:v>
                </c:pt>
                <c:pt idx="328">
                  <c:v>0.45724999999999999</c:v>
                </c:pt>
                <c:pt idx="329">
                  <c:v>0.45695999999999998</c:v>
                </c:pt>
                <c:pt idx="330">
                  <c:v>0.52037999999999995</c:v>
                </c:pt>
                <c:pt idx="331">
                  <c:v>0.51788000000000001</c:v>
                </c:pt>
                <c:pt idx="332">
                  <c:v>0.58347000000000004</c:v>
                </c:pt>
                <c:pt idx="333">
                  <c:v>0.42299999999999999</c:v>
                </c:pt>
                <c:pt idx="334">
                  <c:v>0.46869</c:v>
                </c:pt>
                <c:pt idx="335">
                  <c:v>0.52197000000000005</c:v>
                </c:pt>
                <c:pt idx="336">
                  <c:v>0.59309000000000001</c:v>
                </c:pt>
                <c:pt idx="337">
                  <c:v>0.64956000000000003</c:v>
                </c:pt>
                <c:pt idx="338">
                  <c:v>0.44735999999999998</c:v>
                </c:pt>
                <c:pt idx="339">
                  <c:v>0.45662999999999998</c:v>
                </c:pt>
                <c:pt idx="340">
                  <c:v>0.34721000000000002</c:v>
                </c:pt>
                <c:pt idx="341">
                  <c:v>0.23366000000000001</c:v>
                </c:pt>
                <c:pt idx="342">
                  <c:v>0.24093999999999999</c:v>
                </c:pt>
                <c:pt idx="343">
                  <c:v>0.21048</c:v>
                </c:pt>
                <c:pt idx="344">
                  <c:v>0.16544</c:v>
                </c:pt>
                <c:pt idx="345">
                  <c:v>0.17205000000000001</c:v>
                </c:pt>
                <c:pt idx="346">
                  <c:v>0.17360999999999999</c:v>
                </c:pt>
                <c:pt idx="347">
                  <c:v>0.16872000000000001</c:v>
                </c:pt>
                <c:pt idx="348">
                  <c:v>0.18003</c:v>
                </c:pt>
                <c:pt idx="349">
                  <c:v>0.18451999999999999</c:v>
                </c:pt>
                <c:pt idx="350">
                  <c:v>0.17749999999999999</c:v>
                </c:pt>
                <c:pt idx="351">
                  <c:v>0.13869999999999999</c:v>
                </c:pt>
                <c:pt idx="352">
                  <c:v>0.14771000000000001</c:v>
                </c:pt>
                <c:pt idx="353">
                  <c:v>0.14549999999999999</c:v>
                </c:pt>
                <c:pt idx="354">
                  <c:v>0.13253999999999999</c:v>
                </c:pt>
                <c:pt idx="355">
                  <c:v>0.14122999999999999</c:v>
                </c:pt>
                <c:pt idx="356">
                  <c:v>0.16420999999999999</c:v>
                </c:pt>
                <c:pt idx="357">
                  <c:v>0.13403000000000001</c:v>
                </c:pt>
                <c:pt idx="358">
                  <c:v>0.13008</c:v>
                </c:pt>
                <c:pt idx="359">
                  <c:v>0.12644</c:v>
                </c:pt>
                <c:pt idx="360">
                  <c:v>0.10785</c:v>
                </c:pt>
                <c:pt idx="361">
                  <c:v>0.128</c:v>
                </c:pt>
                <c:pt idx="362">
                  <c:v>0.13117000000000001</c:v>
                </c:pt>
                <c:pt idx="363">
                  <c:v>0.12812000000000001</c:v>
                </c:pt>
                <c:pt idx="364">
                  <c:v>0.11932</c:v>
                </c:pt>
                <c:pt idx="365">
                  <c:v>8.1089999999999995E-2</c:v>
                </c:pt>
                <c:pt idx="366">
                  <c:v>7.2999999999999995E-2</c:v>
                </c:pt>
                <c:pt idx="367">
                  <c:v>5.2260000000000001E-2</c:v>
                </c:pt>
                <c:pt idx="368">
                  <c:v>5.7000000000000002E-2</c:v>
                </c:pt>
                <c:pt idx="369">
                  <c:v>4.0599999999999997E-2</c:v>
                </c:pt>
                <c:pt idx="370">
                  <c:v>2.7089999999999999E-2</c:v>
                </c:pt>
                <c:pt idx="371">
                  <c:v>2.64E-2</c:v>
                </c:pt>
                <c:pt idx="372">
                  <c:v>2.8670000000000001E-2</c:v>
                </c:pt>
                <c:pt idx="373">
                  <c:v>2.8039999999999999E-2</c:v>
                </c:pt>
                <c:pt idx="374">
                  <c:v>2.9829999999999999E-2</c:v>
                </c:pt>
                <c:pt idx="375">
                  <c:v>2.998E-2</c:v>
                </c:pt>
                <c:pt idx="376">
                  <c:v>2.8559999999999999E-2</c:v>
                </c:pt>
                <c:pt idx="377">
                  <c:v>2.6349999999999998E-2</c:v>
                </c:pt>
                <c:pt idx="378">
                  <c:v>2.4629999999999999E-2</c:v>
                </c:pt>
                <c:pt idx="379">
                  <c:v>2.393E-2</c:v>
                </c:pt>
                <c:pt idx="380">
                  <c:v>2.1899999999999999E-2</c:v>
                </c:pt>
                <c:pt idx="381">
                  <c:v>2.2120000000000001E-2</c:v>
                </c:pt>
                <c:pt idx="382">
                  <c:v>2.5180000000000001E-2</c:v>
                </c:pt>
                <c:pt idx="383">
                  <c:v>2.7060000000000001E-2</c:v>
                </c:pt>
                <c:pt idx="384">
                  <c:v>2.5989999999999999E-2</c:v>
                </c:pt>
                <c:pt idx="385">
                  <c:v>2.383E-2</c:v>
                </c:pt>
                <c:pt idx="386">
                  <c:v>2.4420000000000001E-2</c:v>
                </c:pt>
                <c:pt idx="387">
                  <c:v>2.0629999999999999E-2</c:v>
                </c:pt>
                <c:pt idx="388">
                  <c:v>2.0469999999999999E-2</c:v>
                </c:pt>
                <c:pt idx="389">
                  <c:v>1.8710000000000001E-2</c:v>
                </c:pt>
                <c:pt idx="390">
                  <c:v>1.6389999999999998E-2</c:v>
                </c:pt>
                <c:pt idx="391">
                  <c:v>1.719E-2</c:v>
                </c:pt>
                <c:pt idx="392">
                  <c:v>1.6899999999999998E-2</c:v>
                </c:pt>
                <c:pt idx="393">
                  <c:v>1.6590000000000001E-2</c:v>
                </c:pt>
                <c:pt idx="394">
                  <c:v>1.6330000000000001E-2</c:v>
                </c:pt>
                <c:pt idx="395">
                  <c:v>1.7389999999999999E-2</c:v>
                </c:pt>
                <c:pt idx="396">
                  <c:v>1.6639999999999999E-2</c:v>
                </c:pt>
                <c:pt idx="397">
                  <c:v>1.6629999999999999E-2</c:v>
                </c:pt>
                <c:pt idx="398">
                  <c:v>1.7340000000000001E-2</c:v>
                </c:pt>
                <c:pt idx="399">
                  <c:v>1.7590000000000001E-2</c:v>
                </c:pt>
                <c:pt idx="400">
                  <c:v>1.6410000000000001E-2</c:v>
                </c:pt>
                <c:pt idx="401">
                  <c:v>1.881E-2</c:v>
                </c:pt>
                <c:pt idx="402">
                  <c:v>1.89E-2</c:v>
                </c:pt>
                <c:pt idx="403">
                  <c:v>2.0840000000000001E-2</c:v>
                </c:pt>
                <c:pt idx="404">
                  <c:v>2.0709999999999999E-2</c:v>
                </c:pt>
                <c:pt idx="405">
                  <c:v>2.026E-2</c:v>
                </c:pt>
                <c:pt idx="406">
                  <c:v>1.9570000000000001E-2</c:v>
                </c:pt>
                <c:pt idx="407">
                  <c:v>2.0809999999999999E-2</c:v>
                </c:pt>
                <c:pt idx="408">
                  <c:v>2.1000000000000001E-2</c:v>
                </c:pt>
                <c:pt idx="409">
                  <c:v>2.1000000000000001E-2</c:v>
                </c:pt>
                <c:pt idx="410">
                  <c:v>1.993E-2</c:v>
                </c:pt>
                <c:pt idx="411">
                  <c:v>1.9050000000000001E-2</c:v>
                </c:pt>
                <c:pt idx="412">
                  <c:v>1.8329999999999999E-2</c:v>
                </c:pt>
                <c:pt idx="413">
                  <c:v>1.9910000000000001E-2</c:v>
                </c:pt>
                <c:pt idx="414">
                  <c:v>1.9560000000000001E-2</c:v>
                </c:pt>
                <c:pt idx="415">
                  <c:v>1.9060000000000001E-2</c:v>
                </c:pt>
                <c:pt idx="416">
                  <c:v>2.1649999999999999E-2</c:v>
                </c:pt>
                <c:pt idx="417">
                  <c:v>2.1950000000000001E-2</c:v>
                </c:pt>
                <c:pt idx="418">
                  <c:v>2.248E-2</c:v>
                </c:pt>
                <c:pt idx="419">
                  <c:v>2.0910000000000002E-2</c:v>
                </c:pt>
                <c:pt idx="420">
                  <c:v>2.2839999999999999E-2</c:v>
                </c:pt>
                <c:pt idx="421">
                  <c:v>2.2589999999999999E-2</c:v>
                </c:pt>
                <c:pt idx="422">
                  <c:v>2.044E-2</c:v>
                </c:pt>
                <c:pt idx="423">
                  <c:v>2.1049999999999999E-2</c:v>
                </c:pt>
                <c:pt idx="424">
                  <c:v>1.9310000000000001E-2</c:v>
                </c:pt>
                <c:pt idx="425">
                  <c:v>1.933E-2</c:v>
                </c:pt>
                <c:pt idx="426">
                  <c:v>1.7999999999999999E-2</c:v>
                </c:pt>
                <c:pt idx="427">
                  <c:v>1.8290000000000001E-2</c:v>
                </c:pt>
                <c:pt idx="428">
                  <c:v>2.2610000000000002E-2</c:v>
                </c:pt>
                <c:pt idx="429">
                  <c:v>2.3460000000000002E-2</c:v>
                </c:pt>
                <c:pt idx="430">
                  <c:v>2.215E-2</c:v>
                </c:pt>
                <c:pt idx="431">
                  <c:v>1.89E-2</c:v>
                </c:pt>
                <c:pt idx="432">
                  <c:v>2.0060000000000001E-2</c:v>
                </c:pt>
                <c:pt idx="433">
                  <c:v>1.848E-2</c:v>
                </c:pt>
                <c:pt idx="434">
                  <c:v>1.814E-2</c:v>
                </c:pt>
                <c:pt idx="435">
                  <c:v>1.736E-2</c:v>
                </c:pt>
                <c:pt idx="436">
                  <c:v>1.9529999999999999E-2</c:v>
                </c:pt>
                <c:pt idx="437">
                  <c:v>1.924E-2</c:v>
                </c:pt>
                <c:pt idx="438">
                  <c:v>1.7690000000000001E-2</c:v>
                </c:pt>
                <c:pt idx="439">
                  <c:v>1.7899999999999999E-2</c:v>
                </c:pt>
                <c:pt idx="440">
                  <c:v>1.8599999999999998E-2</c:v>
                </c:pt>
                <c:pt idx="441">
                  <c:v>1.7579999999999998E-2</c:v>
                </c:pt>
                <c:pt idx="442">
                  <c:v>1.9720000000000001E-2</c:v>
                </c:pt>
                <c:pt idx="443">
                  <c:v>2.095E-2</c:v>
                </c:pt>
                <c:pt idx="444">
                  <c:v>1.8180000000000002E-2</c:v>
                </c:pt>
                <c:pt idx="445">
                  <c:v>1.934E-2</c:v>
                </c:pt>
                <c:pt idx="446">
                  <c:v>1.8020000000000001E-2</c:v>
                </c:pt>
                <c:pt idx="447">
                  <c:v>1.7909999999999999E-2</c:v>
                </c:pt>
                <c:pt idx="448">
                  <c:v>1.4370000000000001E-2</c:v>
                </c:pt>
                <c:pt idx="449">
                  <c:v>1.3809999999999999E-2</c:v>
                </c:pt>
                <c:pt idx="450">
                  <c:v>1.5180000000000001E-2</c:v>
                </c:pt>
                <c:pt idx="451">
                  <c:v>1.5910000000000001E-2</c:v>
                </c:pt>
                <c:pt idx="452">
                  <c:v>1.6109999999999999E-2</c:v>
                </c:pt>
                <c:pt idx="453">
                  <c:v>1.669E-2</c:v>
                </c:pt>
                <c:pt idx="454">
                  <c:v>1.7069999999999998E-2</c:v>
                </c:pt>
                <c:pt idx="455">
                  <c:v>1.6650000000000002E-2</c:v>
                </c:pt>
                <c:pt idx="456">
                  <c:v>1.8890000000000001E-2</c:v>
                </c:pt>
                <c:pt idx="457">
                  <c:v>2.1600000000000001E-2</c:v>
                </c:pt>
                <c:pt idx="458">
                  <c:v>2.18E-2</c:v>
                </c:pt>
                <c:pt idx="459">
                  <c:v>2.4230000000000002E-2</c:v>
                </c:pt>
                <c:pt idx="460">
                  <c:v>2.5829999999999999E-2</c:v>
                </c:pt>
                <c:pt idx="461">
                  <c:v>2.4389999999999998E-2</c:v>
                </c:pt>
                <c:pt idx="462">
                  <c:v>2.5049999999999999E-2</c:v>
                </c:pt>
                <c:pt idx="463">
                  <c:v>2.3609999999999999E-2</c:v>
                </c:pt>
                <c:pt idx="464">
                  <c:v>2.2720000000000001E-2</c:v>
                </c:pt>
                <c:pt idx="465">
                  <c:v>2.52E-2</c:v>
                </c:pt>
                <c:pt idx="466">
                  <c:v>2.6179999999999998E-2</c:v>
                </c:pt>
                <c:pt idx="467">
                  <c:v>2.597E-2</c:v>
                </c:pt>
                <c:pt idx="468">
                  <c:v>2.5219999999999999E-2</c:v>
                </c:pt>
                <c:pt idx="469">
                  <c:v>2.988E-2</c:v>
                </c:pt>
                <c:pt idx="470">
                  <c:v>2.8819999999999998E-2</c:v>
                </c:pt>
                <c:pt idx="471">
                  <c:v>3.1050000000000001E-2</c:v>
                </c:pt>
                <c:pt idx="472">
                  <c:v>3.1789999999999999E-2</c:v>
                </c:pt>
                <c:pt idx="473">
                  <c:v>3.2469999999999999E-2</c:v>
                </c:pt>
                <c:pt idx="474">
                  <c:v>3.1289999999999998E-2</c:v>
                </c:pt>
                <c:pt idx="475">
                  <c:v>3.1609999999999999E-2</c:v>
                </c:pt>
                <c:pt idx="476">
                  <c:v>2.9180000000000001E-2</c:v>
                </c:pt>
                <c:pt idx="477">
                  <c:v>2.7060000000000001E-2</c:v>
                </c:pt>
                <c:pt idx="478">
                  <c:v>2.5930000000000002E-2</c:v>
                </c:pt>
                <c:pt idx="479">
                  <c:v>3.0169999999999999E-2</c:v>
                </c:pt>
                <c:pt idx="480">
                  <c:v>3.1879999999999999E-2</c:v>
                </c:pt>
                <c:pt idx="481">
                  <c:v>3.0960000000000001E-2</c:v>
                </c:pt>
                <c:pt idx="482">
                  <c:v>3.3309999999999999E-2</c:v>
                </c:pt>
                <c:pt idx="483">
                  <c:v>3.7010000000000001E-2</c:v>
                </c:pt>
                <c:pt idx="484">
                  <c:v>3.9100000000000003E-2</c:v>
                </c:pt>
                <c:pt idx="485">
                  <c:v>3.9079999999999997E-2</c:v>
                </c:pt>
                <c:pt idx="486">
                  <c:v>3.9219999999999998E-2</c:v>
                </c:pt>
                <c:pt idx="487">
                  <c:v>3.9719999999999998E-2</c:v>
                </c:pt>
                <c:pt idx="488">
                  <c:v>4.0079999999999998E-2</c:v>
                </c:pt>
                <c:pt idx="489">
                  <c:v>4.1869999999999997E-2</c:v>
                </c:pt>
                <c:pt idx="490">
                  <c:v>3.968E-2</c:v>
                </c:pt>
                <c:pt idx="491">
                  <c:v>3.5299999999999998E-2</c:v>
                </c:pt>
                <c:pt idx="492">
                  <c:v>4.4549999999999999E-2</c:v>
                </c:pt>
                <c:pt idx="493">
                  <c:v>3.7199999999999997E-2</c:v>
                </c:pt>
                <c:pt idx="494">
                  <c:v>3.4549999999999997E-2</c:v>
                </c:pt>
                <c:pt idx="495">
                  <c:v>3.9570000000000001E-2</c:v>
                </c:pt>
                <c:pt idx="496">
                  <c:v>3.9199999999999999E-2</c:v>
                </c:pt>
                <c:pt idx="497">
                  <c:v>2.7029999999999998E-2</c:v>
                </c:pt>
                <c:pt idx="498">
                  <c:v>2.6980000000000001E-2</c:v>
                </c:pt>
                <c:pt idx="499">
                  <c:v>2.6710000000000001E-2</c:v>
                </c:pt>
                <c:pt idx="500">
                  <c:v>2.9409999999999999E-2</c:v>
                </c:pt>
                <c:pt idx="501">
                  <c:v>2.6780000000000002E-2</c:v>
                </c:pt>
                <c:pt idx="502">
                  <c:v>3.0030000000000001E-2</c:v>
                </c:pt>
                <c:pt idx="503">
                  <c:v>3.0970000000000001E-2</c:v>
                </c:pt>
                <c:pt idx="504">
                  <c:v>3.2390000000000002E-2</c:v>
                </c:pt>
                <c:pt idx="505">
                  <c:v>3.0530000000000002E-2</c:v>
                </c:pt>
                <c:pt idx="506">
                  <c:v>2.9760000000000002E-2</c:v>
                </c:pt>
                <c:pt idx="507">
                  <c:v>3.2239999999999998E-2</c:v>
                </c:pt>
                <c:pt idx="508">
                  <c:v>3.3660000000000002E-2</c:v>
                </c:pt>
                <c:pt idx="509">
                  <c:v>3.0540000000000001E-2</c:v>
                </c:pt>
                <c:pt idx="510">
                  <c:v>4.53E-2</c:v>
                </c:pt>
                <c:pt idx="511">
                  <c:v>4.0890000000000003E-2</c:v>
                </c:pt>
                <c:pt idx="512">
                  <c:v>5.5160000000000001E-2</c:v>
                </c:pt>
                <c:pt idx="513">
                  <c:v>3.9849999999999997E-2</c:v>
                </c:pt>
                <c:pt idx="514">
                  <c:v>3.925E-2</c:v>
                </c:pt>
                <c:pt idx="515">
                  <c:v>3.5970000000000002E-2</c:v>
                </c:pt>
                <c:pt idx="516">
                  <c:v>2.6759999999999999E-2</c:v>
                </c:pt>
                <c:pt idx="517">
                  <c:v>2.7779999999999999E-2</c:v>
                </c:pt>
                <c:pt idx="518">
                  <c:v>2.6200000000000001E-2</c:v>
                </c:pt>
                <c:pt idx="519">
                  <c:v>2.8850000000000001E-2</c:v>
                </c:pt>
                <c:pt idx="520">
                  <c:v>2.9270000000000001E-2</c:v>
                </c:pt>
                <c:pt idx="521">
                  <c:v>3.1550000000000002E-2</c:v>
                </c:pt>
                <c:pt idx="522">
                  <c:v>3.3119999999999997E-2</c:v>
                </c:pt>
                <c:pt idx="523">
                  <c:v>3.2059999999999998E-2</c:v>
                </c:pt>
                <c:pt idx="524">
                  <c:v>2.8119999999999999E-2</c:v>
                </c:pt>
                <c:pt idx="525">
                  <c:v>3.5439999999999999E-2</c:v>
                </c:pt>
                <c:pt idx="526">
                  <c:v>2.9850000000000002E-2</c:v>
                </c:pt>
                <c:pt idx="527">
                  <c:v>2.954E-2</c:v>
                </c:pt>
                <c:pt idx="528">
                  <c:v>2.631E-2</c:v>
                </c:pt>
                <c:pt idx="529">
                  <c:v>2.6110000000000001E-2</c:v>
                </c:pt>
                <c:pt idx="530">
                  <c:v>2.7130000000000001E-2</c:v>
                </c:pt>
                <c:pt idx="531">
                  <c:v>1.9859999999999999E-2</c:v>
                </c:pt>
                <c:pt idx="532">
                  <c:v>1.916E-2</c:v>
                </c:pt>
                <c:pt idx="533">
                  <c:v>1.8689999999999998E-2</c:v>
                </c:pt>
                <c:pt idx="534">
                  <c:v>1.6289999999999999E-2</c:v>
                </c:pt>
                <c:pt idx="535">
                  <c:v>1.84E-2</c:v>
                </c:pt>
                <c:pt idx="536">
                  <c:v>1.806E-2</c:v>
                </c:pt>
                <c:pt idx="537">
                  <c:v>1.7399999999999999E-2</c:v>
                </c:pt>
                <c:pt idx="538">
                  <c:v>1.6580000000000001E-2</c:v>
                </c:pt>
                <c:pt idx="539">
                  <c:v>1.6129999999999999E-2</c:v>
                </c:pt>
                <c:pt idx="540">
                  <c:v>1.5800000000000002E-2</c:v>
                </c:pt>
                <c:pt idx="541">
                  <c:v>1.3679999999999999E-2</c:v>
                </c:pt>
                <c:pt idx="542">
                  <c:v>1.333E-2</c:v>
                </c:pt>
                <c:pt idx="543">
                  <c:v>1.3050000000000001E-2</c:v>
                </c:pt>
                <c:pt idx="544">
                  <c:v>1.3010000000000001E-2</c:v>
                </c:pt>
                <c:pt idx="545">
                  <c:v>1.3259999999999999E-2</c:v>
                </c:pt>
                <c:pt idx="546">
                  <c:v>1.3809999999999999E-2</c:v>
                </c:pt>
                <c:pt idx="547">
                  <c:v>1.265E-2</c:v>
                </c:pt>
                <c:pt idx="548">
                  <c:v>1.294E-2</c:v>
                </c:pt>
                <c:pt idx="549">
                  <c:v>1.2370000000000001E-2</c:v>
                </c:pt>
                <c:pt idx="550">
                  <c:v>1.511E-2</c:v>
                </c:pt>
                <c:pt idx="551">
                  <c:v>1.389E-2</c:v>
                </c:pt>
                <c:pt idx="552">
                  <c:v>1.468E-2</c:v>
                </c:pt>
                <c:pt idx="553">
                  <c:v>1.457E-2</c:v>
                </c:pt>
                <c:pt idx="554">
                  <c:v>1.482E-2</c:v>
                </c:pt>
                <c:pt idx="555">
                  <c:v>1.524E-2</c:v>
                </c:pt>
                <c:pt idx="556">
                  <c:v>1.6150000000000001E-2</c:v>
                </c:pt>
                <c:pt idx="557">
                  <c:v>1.281E-2</c:v>
                </c:pt>
                <c:pt idx="558">
                  <c:v>1.2E-2</c:v>
                </c:pt>
                <c:pt idx="559">
                  <c:v>1.268E-2</c:v>
                </c:pt>
                <c:pt idx="560">
                  <c:v>1.013E-2</c:v>
                </c:pt>
                <c:pt idx="561">
                  <c:v>1.06E-2</c:v>
                </c:pt>
                <c:pt idx="562">
                  <c:v>1.077E-2</c:v>
                </c:pt>
                <c:pt idx="563">
                  <c:v>1.069E-2</c:v>
                </c:pt>
                <c:pt idx="564">
                  <c:v>1.1730000000000001E-2</c:v>
                </c:pt>
                <c:pt idx="565">
                  <c:v>1.1259999999999999E-2</c:v>
                </c:pt>
                <c:pt idx="566">
                  <c:v>1.0370000000000001E-2</c:v>
                </c:pt>
                <c:pt idx="567">
                  <c:v>1.1169999999999999E-2</c:v>
                </c:pt>
                <c:pt idx="568">
                  <c:v>1.1560000000000001E-2</c:v>
                </c:pt>
                <c:pt idx="569">
                  <c:v>1.2120000000000001E-2</c:v>
                </c:pt>
                <c:pt idx="570">
                  <c:v>1.24E-2</c:v>
                </c:pt>
                <c:pt idx="571">
                  <c:v>1.106E-2</c:v>
                </c:pt>
                <c:pt idx="572">
                  <c:v>1.1390000000000001E-2</c:v>
                </c:pt>
                <c:pt idx="573">
                  <c:v>1.2789999999999999E-2</c:v>
                </c:pt>
                <c:pt idx="574">
                  <c:v>8.77E-3</c:v>
                </c:pt>
                <c:pt idx="575">
                  <c:v>5.9800000000000001E-3</c:v>
                </c:pt>
                <c:pt idx="576">
                  <c:v>6.1000000000000004E-3</c:v>
                </c:pt>
                <c:pt idx="577">
                  <c:v>5.9300000000000004E-3</c:v>
                </c:pt>
                <c:pt idx="578">
                  <c:v>6.0099999999999997E-3</c:v>
                </c:pt>
                <c:pt idx="579">
                  <c:v>5.6899999999999997E-3</c:v>
                </c:pt>
                <c:pt idx="580">
                  <c:v>6.3800000000000003E-3</c:v>
                </c:pt>
                <c:pt idx="581">
                  <c:v>6.7000000000000002E-3</c:v>
                </c:pt>
                <c:pt idx="582">
                  <c:v>6.5900000000000004E-3</c:v>
                </c:pt>
                <c:pt idx="583">
                  <c:v>7.0400000000000003E-3</c:v>
                </c:pt>
                <c:pt idx="584">
                  <c:v>7.0299999999999998E-3</c:v>
                </c:pt>
                <c:pt idx="585">
                  <c:v>7.3000000000000001E-3</c:v>
                </c:pt>
                <c:pt idx="586">
                  <c:v>7.5300000000000002E-3</c:v>
                </c:pt>
                <c:pt idx="587">
                  <c:v>7.5399999999999998E-3</c:v>
                </c:pt>
                <c:pt idx="588">
                  <c:v>7.3099999999999997E-3</c:v>
                </c:pt>
                <c:pt idx="589">
                  <c:v>6.7299999999999999E-3</c:v>
                </c:pt>
                <c:pt idx="590">
                  <c:v>6.7999999999999996E-3</c:v>
                </c:pt>
                <c:pt idx="591">
                  <c:v>6.5599999999999999E-3</c:v>
                </c:pt>
                <c:pt idx="592">
                  <c:v>6.5700000000000003E-3</c:v>
                </c:pt>
                <c:pt idx="593">
                  <c:v>6.6899999999999998E-3</c:v>
                </c:pt>
                <c:pt idx="594">
                  <c:v>6.0299999999999998E-3</c:v>
                </c:pt>
                <c:pt idx="595">
                  <c:v>6.0099999999999997E-3</c:v>
                </c:pt>
                <c:pt idx="596">
                  <c:v>6.6299999999999996E-3</c:v>
                </c:pt>
                <c:pt idx="597">
                  <c:v>6.2300000000000003E-3</c:v>
                </c:pt>
                <c:pt idx="598">
                  <c:v>6.2599999999999999E-3</c:v>
                </c:pt>
                <c:pt idx="599">
                  <c:v>6.3099999999999996E-3</c:v>
                </c:pt>
                <c:pt idx="600">
                  <c:v>6.4000000000000003E-3</c:v>
                </c:pt>
                <c:pt idx="601">
                  <c:v>6.2700000000000004E-3</c:v>
                </c:pt>
                <c:pt idx="602">
                  <c:v>6.4599999999999996E-3</c:v>
                </c:pt>
                <c:pt idx="603">
                  <c:v>6.3200000000000001E-3</c:v>
                </c:pt>
                <c:pt idx="604">
                  <c:v>5.8799999999999998E-3</c:v>
                </c:pt>
                <c:pt idx="605">
                  <c:v>5.5900000000000004E-3</c:v>
                </c:pt>
                <c:pt idx="606">
                  <c:v>5.5599999999999998E-3</c:v>
                </c:pt>
                <c:pt idx="607">
                  <c:v>5.8199999999999997E-3</c:v>
                </c:pt>
                <c:pt idx="608">
                  <c:v>5.9699999999999996E-3</c:v>
                </c:pt>
                <c:pt idx="609">
                  <c:v>5.5500000000000002E-3</c:v>
                </c:pt>
                <c:pt idx="610">
                  <c:v>5.4400000000000004E-3</c:v>
                </c:pt>
                <c:pt idx="611">
                  <c:v>5.8199999999999997E-3</c:v>
                </c:pt>
                <c:pt idx="612">
                  <c:v>5.7200000000000003E-3</c:v>
                </c:pt>
                <c:pt idx="613">
                  <c:v>5.4999999999999997E-3</c:v>
                </c:pt>
                <c:pt idx="614">
                  <c:v>5.7999999999999996E-3</c:v>
                </c:pt>
                <c:pt idx="615">
                  <c:v>5.3099999999999996E-3</c:v>
                </c:pt>
                <c:pt idx="616">
                  <c:v>4.7999999999999996E-3</c:v>
                </c:pt>
                <c:pt idx="617">
                  <c:v>5.1399999999999996E-3</c:v>
                </c:pt>
                <c:pt idx="618">
                  <c:v>4.81E-3</c:v>
                </c:pt>
                <c:pt idx="619">
                  <c:v>4.6299999999999996E-3</c:v>
                </c:pt>
                <c:pt idx="620">
                  <c:v>4.5799999999999999E-3</c:v>
                </c:pt>
                <c:pt idx="621">
                  <c:v>4.8300000000000001E-3</c:v>
                </c:pt>
                <c:pt idx="622">
                  <c:v>5.1799999999999997E-3</c:v>
                </c:pt>
                <c:pt idx="623">
                  <c:v>5.5300000000000002E-3</c:v>
                </c:pt>
                <c:pt idx="624">
                  <c:v>4.64E-3</c:v>
                </c:pt>
                <c:pt idx="625">
                  <c:v>3.9300000000000003E-3</c:v>
                </c:pt>
                <c:pt idx="626">
                  <c:v>3.9899999999999996E-3</c:v>
                </c:pt>
                <c:pt idx="627">
                  <c:v>3.5799999999999998E-3</c:v>
                </c:pt>
                <c:pt idx="628">
                  <c:v>3.9199999999999999E-3</c:v>
                </c:pt>
                <c:pt idx="629">
                  <c:v>4.0099999999999997E-3</c:v>
                </c:pt>
                <c:pt idx="630">
                  <c:v>4.0600000000000002E-3</c:v>
                </c:pt>
                <c:pt idx="631">
                  <c:v>3.9500000000000004E-3</c:v>
                </c:pt>
                <c:pt idx="632">
                  <c:v>4.3600000000000002E-3</c:v>
                </c:pt>
                <c:pt idx="633">
                  <c:v>4.3800000000000002E-3</c:v>
                </c:pt>
                <c:pt idx="634">
                  <c:v>4.5900000000000003E-3</c:v>
                </c:pt>
                <c:pt idx="635">
                  <c:v>4.9699999999999996E-3</c:v>
                </c:pt>
                <c:pt idx="636">
                  <c:v>4.8999999999999998E-3</c:v>
                </c:pt>
                <c:pt idx="637">
                  <c:v>4.5500000000000002E-3</c:v>
                </c:pt>
                <c:pt idx="638">
                  <c:v>4.8300000000000001E-3</c:v>
                </c:pt>
                <c:pt idx="639">
                  <c:v>4.4200000000000003E-3</c:v>
                </c:pt>
                <c:pt idx="640">
                  <c:v>4.4200000000000003E-3</c:v>
                </c:pt>
                <c:pt idx="641">
                  <c:v>4.1799999999999997E-3</c:v>
                </c:pt>
                <c:pt idx="642">
                  <c:v>3.7200000000000002E-3</c:v>
                </c:pt>
                <c:pt idx="643">
                  <c:v>3.3700000000000002E-3</c:v>
                </c:pt>
                <c:pt idx="644">
                  <c:v>3.15E-3</c:v>
                </c:pt>
                <c:pt idx="645">
                  <c:v>3.1800000000000001E-3</c:v>
                </c:pt>
                <c:pt idx="646">
                  <c:v>2.96E-3</c:v>
                </c:pt>
                <c:pt idx="647">
                  <c:v>2.9399999999999999E-3</c:v>
                </c:pt>
                <c:pt idx="648">
                  <c:v>3.2699999999999999E-3</c:v>
                </c:pt>
                <c:pt idx="649">
                  <c:v>3.32E-3</c:v>
                </c:pt>
                <c:pt idx="650">
                  <c:v>3.1099999999999999E-3</c:v>
                </c:pt>
                <c:pt idx="651">
                  <c:v>3.14E-3</c:v>
                </c:pt>
                <c:pt idx="652">
                  <c:v>2.96E-3</c:v>
                </c:pt>
                <c:pt idx="653">
                  <c:v>3.2399999999999998E-3</c:v>
                </c:pt>
                <c:pt idx="654">
                  <c:v>3.2599999999999999E-3</c:v>
                </c:pt>
                <c:pt idx="655">
                  <c:v>3.3600000000000001E-3</c:v>
                </c:pt>
                <c:pt idx="656">
                  <c:v>3.3E-3</c:v>
                </c:pt>
                <c:pt idx="657">
                  <c:v>3.2299999999999998E-3</c:v>
                </c:pt>
                <c:pt idx="658">
                  <c:v>3.82E-3</c:v>
                </c:pt>
                <c:pt idx="659">
                  <c:v>3.48E-3</c:v>
                </c:pt>
                <c:pt idx="660">
                  <c:v>3.3999999999999998E-3</c:v>
                </c:pt>
                <c:pt idx="661">
                  <c:v>3.3700000000000002E-3</c:v>
                </c:pt>
                <c:pt idx="662">
                  <c:v>3.1700000000000001E-3</c:v>
                </c:pt>
                <c:pt idx="663">
                  <c:v>3.2399999999999998E-3</c:v>
                </c:pt>
                <c:pt idx="664">
                  <c:v>3.1700000000000001E-3</c:v>
                </c:pt>
                <c:pt idx="665">
                  <c:v>3.1199999999999999E-3</c:v>
                </c:pt>
                <c:pt idx="666">
                  <c:v>3.0899999999999999E-3</c:v>
                </c:pt>
                <c:pt idx="667">
                  <c:v>3.0599999999999998E-3</c:v>
                </c:pt>
                <c:pt idx="668">
                  <c:v>2.97E-3</c:v>
                </c:pt>
                <c:pt idx="669">
                  <c:v>2.7299999999999998E-3</c:v>
                </c:pt>
                <c:pt idx="670">
                  <c:v>2.98E-3</c:v>
                </c:pt>
                <c:pt idx="671">
                  <c:v>3.0000000000000001E-3</c:v>
                </c:pt>
                <c:pt idx="672">
                  <c:v>3.14E-3</c:v>
                </c:pt>
                <c:pt idx="673">
                  <c:v>3.1099999999999999E-3</c:v>
                </c:pt>
                <c:pt idx="674">
                  <c:v>2.8300000000000001E-3</c:v>
                </c:pt>
                <c:pt idx="675">
                  <c:v>2.7799999999999999E-3</c:v>
                </c:pt>
                <c:pt idx="676">
                  <c:v>2.5100000000000001E-3</c:v>
                </c:pt>
                <c:pt idx="677">
                  <c:v>2.7200000000000002E-3</c:v>
                </c:pt>
                <c:pt idx="678">
                  <c:v>2.82E-3</c:v>
                </c:pt>
                <c:pt idx="679">
                  <c:v>2.97E-3</c:v>
                </c:pt>
                <c:pt idx="680">
                  <c:v>2.31E-3</c:v>
                </c:pt>
                <c:pt idx="681">
                  <c:v>2.3500000000000001E-3</c:v>
                </c:pt>
                <c:pt idx="682">
                  <c:v>2.3E-3</c:v>
                </c:pt>
                <c:pt idx="683">
                  <c:v>2.7499999999999998E-3</c:v>
                </c:pt>
                <c:pt idx="684">
                  <c:v>2.6099999999999999E-3</c:v>
                </c:pt>
                <c:pt idx="685">
                  <c:v>2.82E-3</c:v>
                </c:pt>
                <c:pt idx="686">
                  <c:v>2.5600000000000002E-3</c:v>
                </c:pt>
                <c:pt idx="687">
                  <c:v>5.8599999999999998E-3</c:v>
                </c:pt>
                <c:pt idx="688">
                  <c:v>6.1999999999999998E-3</c:v>
                </c:pt>
                <c:pt idx="689">
                  <c:v>6.1199999999999996E-3</c:v>
                </c:pt>
                <c:pt idx="690">
                  <c:v>6.3200000000000001E-3</c:v>
                </c:pt>
                <c:pt idx="691">
                  <c:v>7.7600000000000004E-3</c:v>
                </c:pt>
                <c:pt idx="692">
                  <c:v>7.7200000000000003E-3</c:v>
                </c:pt>
                <c:pt idx="693">
                  <c:v>7.7000000000000002E-3</c:v>
                </c:pt>
                <c:pt idx="694">
                  <c:v>6.8399999999999997E-3</c:v>
                </c:pt>
                <c:pt idx="695">
                  <c:v>6.6499999999999997E-3</c:v>
                </c:pt>
                <c:pt idx="696">
                  <c:v>6.79E-3</c:v>
                </c:pt>
                <c:pt idx="697">
                  <c:v>6.45E-3</c:v>
                </c:pt>
                <c:pt idx="698">
                  <c:v>6.5900000000000004E-3</c:v>
                </c:pt>
                <c:pt idx="699">
                  <c:v>7.0400000000000003E-3</c:v>
                </c:pt>
                <c:pt idx="700">
                  <c:v>6.9699999999999996E-3</c:v>
                </c:pt>
                <c:pt idx="701">
                  <c:v>7.0499999999999998E-3</c:v>
                </c:pt>
                <c:pt idx="702">
                  <c:v>7.9100000000000004E-3</c:v>
                </c:pt>
                <c:pt idx="703">
                  <c:v>9.0100000000000006E-3</c:v>
                </c:pt>
                <c:pt idx="704">
                  <c:v>9.5999999999999992E-3</c:v>
                </c:pt>
                <c:pt idx="705">
                  <c:v>9.2300000000000004E-3</c:v>
                </c:pt>
                <c:pt idx="706">
                  <c:v>9.3799999999999994E-3</c:v>
                </c:pt>
                <c:pt idx="707">
                  <c:v>9.2999999999999992E-3</c:v>
                </c:pt>
                <c:pt idx="708">
                  <c:v>9.7900000000000001E-3</c:v>
                </c:pt>
                <c:pt idx="709">
                  <c:v>1.061E-2</c:v>
                </c:pt>
                <c:pt idx="710">
                  <c:v>1.042E-2</c:v>
                </c:pt>
                <c:pt idx="711">
                  <c:v>1.0699999999999999E-2</c:v>
                </c:pt>
                <c:pt idx="712">
                  <c:v>1.157E-2</c:v>
                </c:pt>
                <c:pt idx="713">
                  <c:v>1.2930000000000001E-2</c:v>
                </c:pt>
                <c:pt idx="714">
                  <c:v>1.193E-2</c:v>
                </c:pt>
                <c:pt idx="715">
                  <c:v>1.204E-2</c:v>
                </c:pt>
                <c:pt idx="716">
                  <c:v>1.141E-2</c:v>
                </c:pt>
                <c:pt idx="717">
                  <c:v>1.0800000000000001E-2</c:v>
                </c:pt>
                <c:pt idx="718">
                  <c:v>1.099E-2</c:v>
                </c:pt>
                <c:pt idx="719">
                  <c:v>1.057E-2</c:v>
                </c:pt>
                <c:pt idx="720">
                  <c:v>1.137E-2</c:v>
                </c:pt>
                <c:pt idx="721">
                  <c:v>1.064E-2</c:v>
                </c:pt>
                <c:pt idx="722">
                  <c:v>9.9399999999999992E-3</c:v>
                </c:pt>
                <c:pt idx="723">
                  <c:v>1.0070000000000001E-2</c:v>
                </c:pt>
                <c:pt idx="724">
                  <c:v>9.4299999999999991E-3</c:v>
                </c:pt>
                <c:pt idx="725">
                  <c:v>9.2099999999999994E-3</c:v>
                </c:pt>
                <c:pt idx="726">
                  <c:v>9.5499999999999995E-3</c:v>
                </c:pt>
                <c:pt idx="727">
                  <c:v>9.2499999999999995E-3</c:v>
                </c:pt>
                <c:pt idx="728">
                  <c:v>8.7799999999999996E-3</c:v>
                </c:pt>
                <c:pt idx="729">
                  <c:v>8.7600000000000004E-3</c:v>
                </c:pt>
                <c:pt idx="730">
                  <c:v>9.11E-3</c:v>
                </c:pt>
                <c:pt idx="731">
                  <c:v>9.6399999999999993E-3</c:v>
                </c:pt>
                <c:pt idx="732">
                  <c:v>9.6500000000000006E-3</c:v>
                </c:pt>
                <c:pt idx="733">
                  <c:v>9.5099999999999994E-3</c:v>
                </c:pt>
                <c:pt idx="734">
                  <c:v>9.4000000000000004E-3</c:v>
                </c:pt>
                <c:pt idx="735">
                  <c:v>9.3200000000000002E-3</c:v>
                </c:pt>
                <c:pt idx="736">
                  <c:v>9.5399999999999999E-3</c:v>
                </c:pt>
                <c:pt idx="737">
                  <c:v>9.5999999999999992E-3</c:v>
                </c:pt>
                <c:pt idx="738">
                  <c:v>9.4699999999999993E-3</c:v>
                </c:pt>
                <c:pt idx="739">
                  <c:v>9.58E-3</c:v>
                </c:pt>
                <c:pt idx="740">
                  <c:v>1.0019999999999999E-2</c:v>
                </c:pt>
                <c:pt idx="741">
                  <c:v>1.004E-2</c:v>
                </c:pt>
                <c:pt idx="742">
                  <c:v>9.5899999999999996E-3</c:v>
                </c:pt>
                <c:pt idx="743">
                  <c:v>9.6100000000000005E-3</c:v>
                </c:pt>
                <c:pt idx="744">
                  <c:v>9.4400000000000005E-3</c:v>
                </c:pt>
                <c:pt idx="745">
                  <c:v>9.8899999999999995E-3</c:v>
                </c:pt>
                <c:pt idx="746">
                  <c:v>1.017E-2</c:v>
                </c:pt>
                <c:pt idx="747">
                  <c:v>1.0070000000000001E-2</c:v>
                </c:pt>
                <c:pt idx="748">
                  <c:v>1.0319999999999999E-2</c:v>
                </c:pt>
                <c:pt idx="749">
                  <c:v>1.009E-2</c:v>
                </c:pt>
                <c:pt idx="750">
                  <c:v>1.013E-2</c:v>
                </c:pt>
                <c:pt idx="751">
                  <c:v>1.035E-2</c:v>
                </c:pt>
                <c:pt idx="752">
                  <c:v>1.076E-2</c:v>
                </c:pt>
                <c:pt idx="753">
                  <c:v>1.051E-2</c:v>
                </c:pt>
                <c:pt idx="754">
                  <c:v>1.068E-2</c:v>
                </c:pt>
                <c:pt idx="755">
                  <c:v>1.035E-2</c:v>
                </c:pt>
                <c:pt idx="756">
                  <c:v>1.025E-2</c:v>
                </c:pt>
                <c:pt idx="757">
                  <c:v>1.0580000000000001E-2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E-4CBC-AF70-4ACF440CFD5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14.981622579397138</c:v>
                </c:pt>
                <c:pt idx="1">
                  <c:v>15.128299023197139</c:v>
                </c:pt>
                <c:pt idx="2">
                  <c:v>16.846710799917886</c:v>
                </c:pt>
                <c:pt idx="3">
                  <c:v>15.824042884692261</c:v>
                </c:pt>
                <c:pt idx="4">
                  <c:v>13.587341326711966</c:v>
                </c:pt>
                <c:pt idx="5">
                  <c:v>12.405299217481687</c:v>
                </c:pt>
                <c:pt idx="6">
                  <c:v>13.757151270029912</c:v>
                </c:pt>
                <c:pt idx="7">
                  <c:v>15.2456691306989</c:v>
                </c:pt>
                <c:pt idx="8">
                  <c:v>16.535093448677593</c:v>
                </c:pt>
                <c:pt idx="9">
                  <c:v>17.951523684953742</c:v>
                </c:pt>
                <c:pt idx="10">
                  <c:v>16.938180869570623</c:v>
                </c:pt>
                <c:pt idx="11">
                  <c:v>18.351618679249793</c:v>
                </c:pt>
                <c:pt idx="12">
                  <c:v>16.719286807016328</c:v>
                </c:pt>
                <c:pt idx="13">
                  <c:v>16.199723910417688</c:v>
                </c:pt>
                <c:pt idx="14">
                  <c:v>15.963504403461171</c:v>
                </c:pt>
                <c:pt idx="15">
                  <c:v>15.454782556450372</c:v>
                </c:pt>
                <c:pt idx="16">
                  <c:v>14.125448468539961</c:v>
                </c:pt>
                <c:pt idx="17">
                  <c:v>12.418055270499128</c:v>
                </c:pt>
                <c:pt idx="18">
                  <c:v>13.021739386838791</c:v>
                </c:pt>
                <c:pt idx="19">
                  <c:v>12.889601336390571</c:v>
                </c:pt>
                <c:pt idx="20">
                  <c:v>14.188623502128213</c:v>
                </c:pt>
                <c:pt idx="21">
                  <c:v>15.865567871704336</c:v>
                </c:pt>
                <c:pt idx="22">
                  <c:v>15.181598421745372</c:v>
                </c:pt>
                <c:pt idx="23">
                  <c:v>14.6403712507337</c:v>
                </c:pt>
                <c:pt idx="24">
                  <c:v>15.424554546964972</c:v>
                </c:pt>
                <c:pt idx="25">
                  <c:v>13.676152800936915</c:v>
                </c:pt>
                <c:pt idx="26">
                  <c:v>14.097482805409923</c:v>
                </c:pt>
                <c:pt idx="27">
                  <c:v>13.059333541960466</c:v>
                </c:pt>
                <c:pt idx="28">
                  <c:v>12.759022522160393</c:v>
                </c:pt>
                <c:pt idx="29">
                  <c:v>13.023843816707727</c:v>
                </c:pt>
                <c:pt idx="30">
                  <c:v>14.069272459454899</c:v>
                </c:pt>
                <c:pt idx="31">
                  <c:v>13.929977174901238</c:v>
                </c:pt>
                <c:pt idx="32">
                  <c:v>14.869943680024834</c:v>
                </c:pt>
                <c:pt idx="33">
                  <c:v>13.869694447456901</c:v>
                </c:pt>
                <c:pt idx="34">
                  <c:v>13.436801772350721</c:v>
                </c:pt>
                <c:pt idx="35">
                  <c:v>13.051681425291603</c:v>
                </c:pt>
                <c:pt idx="36">
                  <c:v>11.938303940552938</c:v>
                </c:pt>
                <c:pt idx="37">
                  <c:v>11.66275135529137</c:v>
                </c:pt>
                <c:pt idx="38">
                  <c:v>11.134938270691505</c:v>
                </c:pt>
                <c:pt idx="39">
                  <c:v>11.273721192913728</c:v>
                </c:pt>
                <c:pt idx="40">
                  <c:v>11.322622007698307</c:v>
                </c:pt>
                <c:pt idx="41">
                  <c:v>11.551272663417983</c:v>
                </c:pt>
                <c:pt idx="42">
                  <c:v>11.645470518316975</c:v>
                </c:pt>
                <c:pt idx="43">
                  <c:v>12.527202558036599</c:v>
                </c:pt>
                <c:pt idx="44">
                  <c:v>11.67417752299723</c:v>
                </c:pt>
                <c:pt idx="45">
                  <c:v>11.497380732125519</c:v>
                </c:pt>
                <c:pt idx="46">
                  <c:v>12.160073784011875</c:v>
                </c:pt>
                <c:pt idx="47">
                  <c:v>12.19527397497745</c:v>
                </c:pt>
                <c:pt idx="48">
                  <c:v>12.161023840207134</c:v>
                </c:pt>
                <c:pt idx="49">
                  <c:v>12.782241450522923</c:v>
                </c:pt>
                <c:pt idx="50">
                  <c:v>13.417918044084354</c:v>
                </c:pt>
                <c:pt idx="51">
                  <c:v>13.134503685069859</c:v>
                </c:pt>
                <c:pt idx="52">
                  <c:v>13.822418110004413</c:v>
                </c:pt>
                <c:pt idx="53">
                  <c:v>12.397755398893301</c:v>
                </c:pt>
                <c:pt idx="54">
                  <c:v>13.039732186393302</c:v>
                </c:pt>
                <c:pt idx="55">
                  <c:v>12.159690007173545</c:v>
                </c:pt>
                <c:pt idx="56">
                  <c:v>12.396420919939501</c:v>
                </c:pt>
                <c:pt idx="57">
                  <c:v>12.529025262439502</c:v>
                </c:pt>
                <c:pt idx="58">
                  <c:v>13.032981705572713</c:v>
                </c:pt>
                <c:pt idx="59">
                  <c:v>13.347971608481043</c:v>
                </c:pt>
                <c:pt idx="60">
                  <c:v>12.992164601471698</c:v>
                </c:pt>
                <c:pt idx="61">
                  <c:v>12.313614665073358</c:v>
                </c:pt>
                <c:pt idx="62">
                  <c:v>12.568670088523094</c:v>
                </c:pt>
                <c:pt idx="63">
                  <c:v>13.520609927205236</c:v>
                </c:pt>
                <c:pt idx="64">
                  <c:v>14.169307752828011</c:v>
                </c:pt>
                <c:pt idx="65">
                  <c:v>14.41568822052124</c:v>
                </c:pt>
                <c:pt idx="66">
                  <c:v>13.277319229035086</c:v>
                </c:pt>
                <c:pt idx="67">
                  <c:v>13.809087611817489</c:v>
                </c:pt>
                <c:pt idx="68">
                  <c:v>14.01541616216749</c:v>
                </c:pt>
                <c:pt idx="69">
                  <c:v>14.019969364946069</c:v>
                </c:pt>
                <c:pt idx="70">
                  <c:v>12.521360932387932</c:v>
                </c:pt>
                <c:pt idx="71">
                  <c:v>13.69393003982095</c:v>
                </c:pt>
                <c:pt idx="72">
                  <c:v>14.18542010513473</c:v>
                </c:pt>
                <c:pt idx="73">
                  <c:v>14.424784004276953</c:v>
                </c:pt>
                <c:pt idx="74">
                  <c:v>14.809544603711982</c:v>
                </c:pt>
                <c:pt idx="75">
                  <c:v>14.823676322819789</c:v>
                </c:pt>
                <c:pt idx="76">
                  <c:v>15.010543838311873</c:v>
                </c:pt>
                <c:pt idx="77">
                  <c:v>14.531218966343085</c:v>
                </c:pt>
                <c:pt idx="78">
                  <c:v>14.958740436794699</c:v>
                </c:pt>
                <c:pt idx="79">
                  <c:v>14.919186370750378</c:v>
                </c:pt>
                <c:pt idx="80">
                  <c:v>15.720255796083713</c:v>
                </c:pt>
                <c:pt idx="81">
                  <c:v>14.598991686239266</c:v>
                </c:pt>
                <c:pt idx="82">
                  <c:v>14.264071642393116</c:v>
                </c:pt>
                <c:pt idx="83">
                  <c:v>13.722066374615808</c:v>
                </c:pt>
                <c:pt idx="84">
                  <c:v>14.842033888779714</c:v>
                </c:pt>
                <c:pt idx="85">
                  <c:v>13.773173588779715</c:v>
                </c:pt>
                <c:pt idx="86">
                  <c:v>13.467748539856636</c:v>
                </c:pt>
                <c:pt idx="87">
                  <c:v>13.495737532147386</c:v>
                </c:pt>
                <c:pt idx="88">
                  <c:v>14.17291773052513</c:v>
                </c:pt>
                <c:pt idx="89">
                  <c:v>13.269202256504881</c:v>
                </c:pt>
                <c:pt idx="90">
                  <c:v>14.328914618214919</c:v>
                </c:pt>
                <c:pt idx="91">
                  <c:v>15.271373111442609</c:v>
                </c:pt>
                <c:pt idx="92">
                  <c:v>17.739684179386522</c:v>
                </c:pt>
                <c:pt idx="93">
                  <c:v>15.999282587701126</c:v>
                </c:pt>
                <c:pt idx="94">
                  <c:v>17.235228181076707</c:v>
                </c:pt>
                <c:pt idx="95">
                  <c:v>15.843122145440192</c:v>
                </c:pt>
                <c:pt idx="96">
                  <c:v>15.721214363418916</c:v>
                </c:pt>
                <c:pt idx="97">
                  <c:v>15.951772375283932</c:v>
                </c:pt>
                <c:pt idx="98">
                  <c:v>14.303989296369062</c:v>
                </c:pt>
                <c:pt idx="99">
                  <c:v>15.392475539397818</c:v>
                </c:pt>
                <c:pt idx="100">
                  <c:v>14.633595101897814</c:v>
                </c:pt>
                <c:pt idx="101">
                  <c:v>14.599343565636524</c:v>
                </c:pt>
                <c:pt idx="102">
                  <c:v>14.728680841990753</c:v>
                </c:pt>
                <c:pt idx="103">
                  <c:v>13.244092254820131</c:v>
                </c:pt>
                <c:pt idx="104">
                  <c:v>12.31064634043028</c:v>
                </c:pt>
                <c:pt idx="105">
                  <c:v>13.20237655074291</c:v>
                </c:pt>
                <c:pt idx="106">
                  <c:v>13.861100241219098</c:v>
                </c:pt>
                <c:pt idx="107">
                  <c:v>14.565746639751213</c:v>
                </c:pt>
                <c:pt idx="108">
                  <c:v>15.864477351529922</c:v>
                </c:pt>
                <c:pt idx="109">
                  <c:v>13.855310953720164</c:v>
                </c:pt>
                <c:pt idx="110">
                  <c:v>15.469429409253763</c:v>
                </c:pt>
                <c:pt idx="111">
                  <c:v>16.654442180909395</c:v>
                </c:pt>
                <c:pt idx="112">
                  <c:v>14.372023823324852</c:v>
                </c:pt>
                <c:pt idx="113">
                  <c:v>9.8949953620699365</c:v>
                </c:pt>
                <c:pt idx="114">
                  <c:v>8.0331206276896729</c:v>
                </c:pt>
                <c:pt idx="115">
                  <c:v>7.9470941705996054</c:v>
                </c:pt>
                <c:pt idx="116">
                  <c:v>7.9795840094553645</c:v>
                </c:pt>
                <c:pt idx="117">
                  <c:v>8.1977115056092096</c:v>
                </c:pt>
                <c:pt idx="118">
                  <c:v>7.9113833093129138</c:v>
                </c:pt>
                <c:pt idx="119">
                  <c:v>6.3273148355977193</c:v>
                </c:pt>
                <c:pt idx="120">
                  <c:v>6.9990494724109089</c:v>
                </c:pt>
                <c:pt idx="121">
                  <c:v>7.5726679122339169</c:v>
                </c:pt>
                <c:pt idx="122">
                  <c:v>10.253446768909695</c:v>
                </c:pt>
                <c:pt idx="123">
                  <c:v>9.5792266030586841</c:v>
                </c:pt>
                <c:pt idx="124">
                  <c:v>9.4654788645939494</c:v>
                </c:pt>
                <c:pt idx="125">
                  <c:v>10.521345665059069</c:v>
                </c:pt>
                <c:pt idx="126">
                  <c:v>9.4189685666247005</c:v>
                </c:pt>
                <c:pt idx="127">
                  <c:v>8.3210206747912387</c:v>
                </c:pt>
                <c:pt idx="128">
                  <c:v>5.590906211387634</c:v>
                </c:pt>
                <c:pt idx="129">
                  <c:v>8.0132169695545397</c:v>
                </c:pt>
                <c:pt idx="130">
                  <c:v>9.263844293753225</c:v>
                </c:pt>
                <c:pt idx="131">
                  <c:v>7.7883448650666427</c:v>
                </c:pt>
                <c:pt idx="132">
                  <c:v>7.7382288341505383</c:v>
                </c:pt>
                <c:pt idx="133">
                  <c:v>9.081466526221547</c:v>
                </c:pt>
                <c:pt idx="134">
                  <c:v>10.229137431622247</c:v>
                </c:pt>
                <c:pt idx="135">
                  <c:v>8.2677928317063323</c:v>
                </c:pt>
                <c:pt idx="136">
                  <c:v>8.9984426575413607</c:v>
                </c:pt>
                <c:pt idx="137">
                  <c:v>9.6656415735074628</c:v>
                </c:pt>
                <c:pt idx="138">
                  <c:v>10.258440204039198</c:v>
                </c:pt>
                <c:pt idx="139">
                  <c:v>10.640919492565759</c:v>
                </c:pt>
                <c:pt idx="140">
                  <c:v>12.52672589492747</c:v>
                </c:pt>
                <c:pt idx="141">
                  <c:v>14.731078175266802</c:v>
                </c:pt>
                <c:pt idx="142">
                  <c:v>11.573034768772443</c:v>
                </c:pt>
                <c:pt idx="143">
                  <c:v>14.090782340464688</c:v>
                </c:pt>
                <c:pt idx="144">
                  <c:v>12.165860520164316</c:v>
                </c:pt>
                <c:pt idx="145">
                  <c:v>9.9494229632230482</c:v>
                </c:pt>
                <c:pt idx="146">
                  <c:v>10.685790185542256</c:v>
                </c:pt>
                <c:pt idx="147">
                  <c:v>7.6371612737020707</c:v>
                </c:pt>
                <c:pt idx="148">
                  <c:v>8.9729718402529421</c:v>
                </c:pt>
                <c:pt idx="149">
                  <c:v>7.35093330117523</c:v>
                </c:pt>
                <c:pt idx="150">
                  <c:v>10.477135456496928</c:v>
                </c:pt>
                <c:pt idx="151">
                  <c:v>7.165476510818082</c:v>
                </c:pt>
                <c:pt idx="152">
                  <c:v>5.9935218658525651</c:v>
                </c:pt>
                <c:pt idx="153">
                  <c:v>5.2722699785681488</c:v>
                </c:pt>
                <c:pt idx="154">
                  <c:v>4.1344496585339288</c:v>
                </c:pt>
                <c:pt idx="155">
                  <c:v>5.5266398061497517</c:v>
                </c:pt>
                <c:pt idx="156">
                  <c:v>5.2606498946705891</c:v>
                </c:pt>
                <c:pt idx="157">
                  <c:v>6.1429857071286174</c:v>
                </c:pt>
                <c:pt idx="158">
                  <c:v>6.5568463237491263</c:v>
                </c:pt>
                <c:pt idx="159">
                  <c:v>6.5232282131313895</c:v>
                </c:pt>
                <c:pt idx="160">
                  <c:v>4.4968677694748678</c:v>
                </c:pt>
                <c:pt idx="161">
                  <c:v>6.0259337152384349</c:v>
                </c:pt>
                <c:pt idx="162">
                  <c:v>2.6196492977587496</c:v>
                </c:pt>
                <c:pt idx="163">
                  <c:v>2.2985905611979782</c:v>
                </c:pt>
                <c:pt idx="164">
                  <c:v>4.2060198738304395</c:v>
                </c:pt>
                <c:pt idx="165">
                  <c:v>3.7619449914981553</c:v>
                </c:pt>
                <c:pt idx="166">
                  <c:v>3.1547466450737467</c:v>
                </c:pt>
                <c:pt idx="167">
                  <c:v>3.2819067739009475</c:v>
                </c:pt>
                <c:pt idx="168">
                  <c:v>2.5775467853304201</c:v>
                </c:pt>
                <c:pt idx="169">
                  <c:v>2.8899618206316706</c:v>
                </c:pt>
                <c:pt idx="170">
                  <c:v>2.7334061361105961</c:v>
                </c:pt>
                <c:pt idx="171">
                  <c:v>2.1816303215038535</c:v>
                </c:pt>
                <c:pt idx="172">
                  <c:v>1.8746524136725844</c:v>
                </c:pt>
                <c:pt idx="173">
                  <c:v>2.6358128872730915</c:v>
                </c:pt>
                <c:pt idx="174">
                  <c:v>2.3323614005135092</c:v>
                </c:pt>
                <c:pt idx="175">
                  <c:v>1.7655363083446058</c:v>
                </c:pt>
                <c:pt idx="176">
                  <c:v>0.97417877334460579</c:v>
                </c:pt>
                <c:pt idx="177">
                  <c:v>0.67825732072986011</c:v>
                </c:pt>
                <c:pt idx="178">
                  <c:v>1.0230341510401222</c:v>
                </c:pt>
                <c:pt idx="179">
                  <c:v>0.63816025678596544</c:v>
                </c:pt>
                <c:pt idx="180">
                  <c:v>1.3363865242567614</c:v>
                </c:pt>
                <c:pt idx="181">
                  <c:v>0.94400839865980368</c:v>
                </c:pt>
                <c:pt idx="182">
                  <c:v>0.22062199814902334</c:v>
                </c:pt>
                <c:pt idx="183">
                  <c:v>-0.77343630885097625</c:v>
                </c:pt>
                <c:pt idx="184">
                  <c:v>-1.4083891425190622</c:v>
                </c:pt>
                <c:pt idx="185">
                  <c:v>-1.8564222826432777</c:v>
                </c:pt>
                <c:pt idx="186">
                  <c:v>-1.1304865708234708</c:v>
                </c:pt>
                <c:pt idx="187">
                  <c:v>-1.6622752130028717</c:v>
                </c:pt>
                <c:pt idx="188">
                  <c:v>-1.5528379402715298</c:v>
                </c:pt>
                <c:pt idx="189">
                  <c:v>-1.9939034693954967</c:v>
                </c:pt>
                <c:pt idx="190">
                  <c:v>-2.4106921772524812</c:v>
                </c:pt>
                <c:pt idx="191">
                  <c:v>-2.8488992702455573</c:v>
                </c:pt>
                <c:pt idx="192">
                  <c:v>-2.482401023101974</c:v>
                </c:pt>
                <c:pt idx="193">
                  <c:v>-1.9973566272525942</c:v>
                </c:pt>
                <c:pt idx="194">
                  <c:v>-1.7449527511837835</c:v>
                </c:pt>
                <c:pt idx="195">
                  <c:v>-2.0367833678123541</c:v>
                </c:pt>
                <c:pt idx="196">
                  <c:v>-1.5742805318781896</c:v>
                </c:pt>
                <c:pt idx="197">
                  <c:v>-1.5001456269512528</c:v>
                </c:pt>
                <c:pt idx="198">
                  <c:v>-1.7455511707754288</c:v>
                </c:pt>
                <c:pt idx="199">
                  <c:v>-1.5132825168945514</c:v>
                </c:pt>
                <c:pt idx="200">
                  <c:v>-1.2611852001384545</c:v>
                </c:pt>
                <c:pt idx="201">
                  <c:v>-1.4540809100362646</c:v>
                </c:pt>
                <c:pt idx="202">
                  <c:v>-1.1929696186014389</c:v>
                </c:pt>
                <c:pt idx="203">
                  <c:v>-1.3286177121428622</c:v>
                </c:pt>
                <c:pt idx="204">
                  <c:v>-0.81274835000533729</c:v>
                </c:pt>
                <c:pt idx="205">
                  <c:v>-0.57032522038532019</c:v>
                </c:pt>
                <c:pt idx="206">
                  <c:v>-1.0968966093849293</c:v>
                </c:pt>
                <c:pt idx="207">
                  <c:v>-0.64392646641923934</c:v>
                </c:pt>
                <c:pt idx="208">
                  <c:v>-0.62274987401486426</c:v>
                </c:pt>
                <c:pt idx="209">
                  <c:v>-0.79089046019951048</c:v>
                </c:pt>
                <c:pt idx="210">
                  <c:v>-1.2228177534811164</c:v>
                </c:pt>
                <c:pt idx="211">
                  <c:v>-0.30004936601691873</c:v>
                </c:pt>
                <c:pt idx="212">
                  <c:v>-1.5710875841078278</c:v>
                </c:pt>
                <c:pt idx="213">
                  <c:v>-1.4251408644598043</c:v>
                </c:pt>
                <c:pt idx="214">
                  <c:v>-1.5979940056663924</c:v>
                </c:pt>
                <c:pt idx="215">
                  <c:v>-2.6195185750475098</c:v>
                </c:pt>
                <c:pt idx="216">
                  <c:v>-3.4950057565061288</c:v>
                </c:pt>
                <c:pt idx="217">
                  <c:v>-1.8965161951776752</c:v>
                </c:pt>
                <c:pt idx="218">
                  <c:v>-1.5326554349011929</c:v>
                </c:pt>
                <c:pt idx="219">
                  <c:v>-2.081866576831358</c:v>
                </c:pt>
                <c:pt idx="220">
                  <c:v>-1.7724465731021266</c:v>
                </c:pt>
                <c:pt idx="221">
                  <c:v>0.61634091946815095</c:v>
                </c:pt>
                <c:pt idx="222">
                  <c:v>-1.4665131970284729E-2</c:v>
                </c:pt>
                <c:pt idx="223">
                  <c:v>-0.19062414689326376</c:v>
                </c:pt>
                <c:pt idx="224">
                  <c:v>1.4953764825479436</c:v>
                </c:pt>
                <c:pt idx="225">
                  <c:v>-0.45362185929108012</c:v>
                </c:pt>
                <c:pt idx="226">
                  <c:v>-0.62028885794592148</c:v>
                </c:pt>
                <c:pt idx="227">
                  <c:v>-3.1120227002463641E-2</c:v>
                </c:pt>
                <c:pt idx="228">
                  <c:v>-0.97350308290823817</c:v>
                </c:pt>
                <c:pt idx="229">
                  <c:v>-2.1219300414421176</c:v>
                </c:pt>
                <c:pt idx="230">
                  <c:v>-1.7191356015174473</c:v>
                </c:pt>
                <c:pt idx="231">
                  <c:v>-0.87890690961856499</c:v>
                </c:pt>
                <c:pt idx="232">
                  <c:v>-0.16706952659432381</c:v>
                </c:pt>
                <c:pt idx="233">
                  <c:v>-0.89438597520441832</c:v>
                </c:pt>
                <c:pt idx="234">
                  <c:v>-1.7764064147065497</c:v>
                </c:pt>
                <c:pt idx="235">
                  <c:v>-0.57544508364736824</c:v>
                </c:pt>
                <c:pt idx="236">
                  <c:v>-1.1935511861284367</c:v>
                </c:pt>
                <c:pt idx="237">
                  <c:v>-0.20036020748843847</c:v>
                </c:pt>
                <c:pt idx="238">
                  <c:v>0.57748897563727275</c:v>
                </c:pt>
                <c:pt idx="239">
                  <c:v>-2.5500363737223444E-2</c:v>
                </c:pt>
                <c:pt idx="240">
                  <c:v>-1.1461019535946135</c:v>
                </c:pt>
                <c:pt idx="241">
                  <c:v>-0.66627278122461431</c:v>
                </c:pt>
                <c:pt idx="242">
                  <c:v>-1.734554525538136</c:v>
                </c:pt>
                <c:pt idx="243">
                  <c:v>-2.0795010223916037</c:v>
                </c:pt>
                <c:pt idx="244">
                  <c:v>-1.4572636717109935</c:v>
                </c:pt>
                <c:pt idx="245">
                  <c:v>-0.41010287281625629</c:v>
                </c:pt>
                <c:pt idx="246">
                  <c:v>-0.2741956400304158</c:v>
                </c:pt>
                <c:pt idx="247">
                  <c:v>-1.4718852799880158</c:v>
                </c:pt>
                <c:pt idx="248">
                  <c:v>-1.3169202716021771</c:v>
                </c:pt>
                <c:pt idx="249">
                  <c:v>-4.1895255166883478</c:v>
                </c:pt>
                <c:pt idx="250">
                  <c:v>-4.9971015659299596</c:v>
                </c:pt>
                <c:pt idx="251">
                  <c:v>-2.673348585606401</c:v>
                </c:pt>
                <c:pt idx="252">
                  <c:v>-1.3506402954522772</c:v>
                </c:pt>
                <c:pt idx="253">
                  <c:v>-2.0323771397196873</c:v>
                </c:pt>
                <c:pt idx="254">
                  <c:v>2.429928143851682</c:v>
                </c:pt>
                <c:pt idx="255">
                  <c:v>1.1758428261362344</c:v>
                </c:pt>
                <c:pt idx="256">
                  <c:v>1.492922974956236</c:v>
                </c:pt>
                <c:pt idx="257">
                  <c:v>2.1589286801667691</c:v>
                </c:pt>
                <c:pt idx="258">
                  <c:v>3.4404081310734318</c:v>
                </c:pt>
                <c:pt idx="259">
                  <c:v>3.0873339263427768</c:v>
                </c:pt>
                <c:pt idx="260">
                  <c:v>3.5080731196760144</c:v>
                </c:pt>
                <c:pt idx="261">
                  <c:v>5.4008078254017686</c:v>
                </c:pt>
                <c:pt idx="262">
                  <c:v>4.5768704144872068</c:v>
                </c:pt>
                <c:pt idx="263">
                  <c:v>5.6115374596559162</c:v>
                </c:pt>
                <c:pt idx="264">
                  <c:v>3.402242746706011</c:v>
                </c:pt>
                <c:pt idx="265">
                  <c:v>5.0100634268808681</c:v>
                </c:pt>
                <c:pt idx="266">
                  <c:v>4.2068489750113027</c:v>
                </c:pt>
                <c:pt idx="267">
                  <c:v>4.771018825447972</c:v>
                </c:pt>
                <c:pt idx="268">
                  <c:v>3.5597242686405326</c:v>
                </c:pt>
                <c:pt idx="269">
                  <c:v>5.458032747972152</c:v>
                </c:pt>
                <c:pt idx="270">
                  <c:v>6.8321557485836504</c:v>
                </c:pt>
                <c:pt idx="271">
                  <c:v>8.4835883779565719</c:v>
                </c:pt>
                <c:pt idx="272">
                  <c:v>6.2989277680133631</c:v>
                </c:pt>
                <c:pt idx="273">
                  <c:v>3.6684396255444702</c:v>
                </c:pt>
                <c:pt idx="274">
                  <c:v>8.6311206968856151</c:v>
                </c:pt>
                <c:pt idx="275">
                  <c:v>5.3619664706251022</c:v>
                </c:pt>
                <c:pt idx="276">
                  <c:v>2.749838461066946</c:v>
                </c:pt>
                <c:pt idx="277">
                  <c:v>1.8994179364066739</c:v>
                </c:pt>
                <c:pt idx="278">
                  <c:v>1.7883271468728237</c:v>
                </c:pt>
                <c:pt idx="279">
                  <c:v>2.5807979668392753</c:v>
                </c:pt>
                <c:pt idx="280">
                  <c:v>1.679017573235787</c:v>
                </c:pt>
                <c:pt idx="281">
                  <c:v>2.2548829135382453</c:v>
                </c:pt>
                <c:pt idx="282">
                  <c:v>3.0793854656159128</c:v>
                </c:pt>
                <c:pt idx="283">
                  <c:v>2.6283765993534844</c:v>
                </c:pt>
                <c:pt idx="284">
                  <c:v>2.4265652723827706</c:v>
                </c:pt>
                <c:pt idx="285">
                  <c:v>2.1450064514039786</c:v>
                </c:pt>
                <c:pt idx="286">
                  <c:v>2.6096174010661399</c:v>
                </c:pt>
                <c:pt idx="287">
                  <c:v>1.735872600399093</c:v>
                </c:pt>
                <c:pt idx="288">
                  <c:v>1.3238255558973488</c:v>
                </c:pt>
                <c:pt idx="289">
                  <c:v>1.1825760523917119</c:v>
                </c:pt>
                <c:pt idx="290">
                  <c:v>1.6774930505107515</c:v>
                </c:pt>
                <c:pt idx="291">
                  <c:v>2.3608766925863303</c:v>
                </c:pt>
                <c:pt idx="292">
                  <c:v>1.9725249180480307</c:v>
                </c:pt>
                <c:pt idx="293">
                  <c:v>2.3292201149311129</c:v>
                </c:pt>
                <c:pt idx="294">
                  <c:v>2.3639702325137195</c:v>
                </c:pt>
                <c:pt idx="295">
                  <c:v>2.1262509737429482</c:v>
                </c:pt>
                <c:pt idx="296">
                  <c:v>3.1811137956958908</c:v>
                </c:pt>
                <c:pt idx="297">
                  <c:v>5.859178562625984</c:v>
                </c:pt>
                <c:pt idx="298">
                  <c:v>3.8490432560314805</c:v>
                </c:pt>
                <c:pt idx="299">
                  <c:v>3.6178331491861773</c:v>
                </c:pt>
                <c:pt idx="300">
                  <c:v>4.468230229250497</c:v>
                </c:pt>
                <c:pt idx="301">
                  <c:v>5.1460046440718745</c:v>
                </c:pt>
                <c:pt idx="302">
                  <c:v>4.655414277342472</c:v>
                </c:pt>
                <c:pt idx="303">
                  <c:v>4.3647224946546865</c:v>
                </c:pt>
                <c:pt idx="304">
                  <c:v>5.4326741728799455</c:v>
                </c:pt>
                <c:pt idx="305">
                  <c:v>4.4163067649961416</c:v>
                </c:pt>
                <c:pt idx="306">
                  <c:v>4.1052695219109649</c:v>
                </c:pt>
                <c:pt idx="307">
                  <c:v>3.9921935486535061</c:v>
                </c:pt>
                <c:pt idx="308">
                  <c:v>3.3265865206072256</c:v>
                </c:pt>
                <c:pt idx="309">
                  <c:v>3.8050932813792597</c:v>
                </c:pt>
                <c:pt idx="310">
                  <c:v>4.0763075403913014</c:v>
                </c:pt>
                <c:pt idx="311">
                  <c:v>4.552680969059927</c:v>
                </c:pt>
                <c:pt idx="312">
                  <c:v>5.4912327871746029</c:v>
                </c:pt>
                <c:pt idx="313">
                  <c:v>5.1966220665765279</c:v>
                </c:pt>
                <c:pt idx="314">
                  <c:v>6.0737982180334136</c:v>
                </c:pt>
                <c:pt idx="315">
                  <c:v>6.0767342594304372</c:v>
                </c:pt>
                <c:pt idx="316">
                  <c:v>6.6543606441392802</c:v>
                </c:pt>
                <c:pt idx="317">
                  <c:v>5.6465344793743313</c:v>
                </c:pt>
                <c:pt idx="318">
                  <c:v>5.5437464775431895</c:v>
                </c:pt>
                <c:pt idx="319">
                  <c:v>6.2532046302985638</c:v>
                </c:pt>
                <c:pt idx="320">
                  <c:v>6.7186217259339038</c:v>
                </c:pt>
                <c:pt idx="321">
                  <c:v>6.6919344636524505</c:v>
                </c:pt>
                <c:pt idx="322">
                  <c:v>7.5701560319789785</c:v>
                </c:pt>
                <c:pt idx="323">
                  <c:v>8.5185216710140654</c:v>
                </c:pt>
                <c:pt idx="324">
                  <c:v>10.070034802182068</c:v>
                </c:pt>
                <c:pt idx="325">
                  <c:v>8.1301205672883974</c:v>
                </c:pt>
                <c:pt idx="326">
                  <c:v>8.3331209753883932</c:v>
                </c:pt>
                <c:pt idx="327">
                  <c:v>8.6013011081991078</c:v>
                </c:pt>
                <c:pt idx="328">
                  <c:v>9.0415228579332236</c:v>
                </c:pt>
                <c:pt idx="329">
                  <c:v>8.9119242345954106</c:v>
                </c:pt>
                <c:pt idx="330">
                  <c:v>10.430337004100078</c:v>
                </c:pt>
                <c:pt idx="331">
                  <c:v>12.346581930473812</c:v>
                </c:pt>
                <c:pt idx="332">
                  <c:v>13.511924716459422</c:v>
                </c:pt>
                <c:pt idx="333">
                  <c:v>10.577401875607844</c:v>
                </c:pt>
                <c:pt idx="334">
                  <c:v>11.599642958407845</c:v>
                </c:pt>
                <c:pt idx="335">
                  <c:v>14.046685581978693</c:v>
                </c:pt>
                <c:pt idx="336">
                  <c:v>18.900534327088256</c:v>
                </c:pt>
                <c:pt idx="337">
                  <c:v>27.340355349800696</c:v>
                </c:pt>
                <c:pt idx="338">
                  <c:v>23.008458159972282</c:v>
                </c:pt>
                <c:pt idx="339">
                  <c:v>20.931981959743126</c:v>
                </c:pt>
                <c:pt idx="340">
                  <c:v>17.014876221903091</c:v>
                </c:pt>
                <c:pt idx="341">
                  <c:v>14.389762163143814</c:v>
                </c:pt>
                <c:pt idx="342">
                  <c:v>15.55320569040375</c:v>
                </c:pt>
                <c:pt idx="343">
                  <c:v>14.378005013616676</c:v>
                </c:pt>
                <c:pt idx="344">
                  <c:v>13.10575462341226</c:v>
                </c:pt>
                <c:pt idx="345">
                  <c:v>12.937480974827197</c:v>
                </c:pt>
                <c:pt idx="346">
                  <c:v>13.310867806471901</c:v>
                </c:pt>
                <c:pt idx="347">
                  <c:v>12.974188605725045</c:v>
                </c:pt>
                <c:pt idx="348">
                  <c:v>13.468744128493322</c:v>
                </c:pt>
                <c:pt idx="349">
                  <c:v>13.887880623185916</c:v>
                </c:pt>
                <c:pt idx="350">
                  <c:v>13.633043103255666</c:v>
                </c:pt>
                <c:pt idx="351">
                  <c:v>11.389301084556406</c:v>
                </c:pt>
                <c:pt idx="352">
                  <c:v>12.017411257037988</c:v>
                </c:pt>
                <c:pt idx="353">
                  <c:v>11.669141976229717</c:v>
                </c:pt>
                <c:pt idx="354">
                  <c:v>10.680988821184034</c:v>
                </c:pt>
                <c:pt idx="355">
                  <c:v>10.585497564689232</c:v>
                </c:pt>
                <c:pt idx="356">
                  <c:v>11.845349793406349</c:v>
                </c:pt>
                <c:pt idx="357">
                  <c:v>10.65961582507976</c:v>
                </c:pt>
                <c:pt idx="358">
                  <c:v>10.963181299258785</c:v>
                </c:pt>
                <c:pt idx="359">
                  <c:v>14.088560494682493</c:v>
                </c:pt>
                <c:pt idx="360">
                  <c:v>11.335092503724599</c:v>
                </c:pt>
                <c:pt idx="361">
                  <c:v>13.040878770444344</c:v>
                </c:pt>
                <c:pt idx="362">
                  <c:v>10.054500009081188</c:v>
                </c:pt>
                <c:pt idx="363">
                  <c:v>12.333662191689882</c:v>
                </c:pt>
                <c:pt idx="364">
                  <c:v>22.680544895984617</c:v>
                </c:pt>
                <c:pt idx="365">
                  <c:v>19.658985322320554</c:v>
                </c:pt>
                <c:pt idx="366">
                  <c:v>15.927293969839074</c:v>
                </c:pt>
                <c:pt idx="367">
                  <c:v>12.876917359769628</c:v>
                </c:pt>
                <c:pt idx="368">
                  <c:v>17.853101318437854</c:v>
                </c:pt>
                <c:pt idx="369">
                  <c:v>11.442664154974926</c:v>
                </c:pt>
                <c:pt idx="370">
                  <c:v>7.8883873823415751</c:v>
                </c:pt>
                <c:pt idx="371">
                  <c:v>7.4731531706928633</c:v>
                </c:pt>
                <c:pt idx="372">
                  <c:v>8.2486580088017476</c:v>
                </c:pt>
                <c:pt idx="373">
                  <c:v>7.3355362492517466</c:v>
                </c:pt>
                <c:pt idx="374">
                  <c:v>8.2661082231660323</c:v>
                </c:pt>
                <c:pt idx="375">
                  <c:v>8.4142117966200018</c:v>
                </c:pt>
                <c:pt idx="376">
                  <c:v>7.5689576167360908</c:v>
                </c:pt>
                <c:pt idx="377">
                  <c:v>7.4353736436259235</c:v>
                </c:pt>
                <c:pt idx="378">
                  <c:v>6.876045161966351</c:v>
                </c:pt>
                <c:pt idx="379">
                  <c:v>6.5628938423990055</c:v>
                </c:pt>
                <c:pt idx="380">
                  <c:v>5.8739826648156725</c:v>
                </c:pt>
                <c:pt idx="381">
                  <c:v>6.7868726502121239</c:v>
                </c:pt>
                <c:pt idx="382">
                  <c:v>6.652387702568288</c:v>
                </c:pt>
                <c:pt idx="383">
                  <c:v>7.4228926858174349</c:v>
                </c:pt>
                <c:pt idx="384">
                  <c:v>7.3753770696274348</c:v>
                </c:pt>
                <c:pt idx="385">
                  <c:v>6.4514403066095491</c:v>
                </c:pt>
                <c:pt idx="386">
                  <c:v>8.2414671108762132</c:v>
                </c:pt>
                <c:pt idx="387">
                  <c:v>6.3606496569834317</c:v>
                </c:pt>
                <c:pt idx="388">
                  <c:v>5.4854102397090649</c:v>
                </c:pt>
                <c:pt idx="389">
                  <c:v>3.4441731890617371</c:v>
                </c:pt>
                <c:pt idx="390">
                  <c:v>2.5178749356539143</c:v>
                </c:pt>
                <c:pt idx="391">
                  <c:v>2.9100965450641709</c:v>
                </c:pt>
                <c:pt idx="392">
                  <c:v>2.993855074230837</c:v>
                </c:pt>
                <c:pt idx="393">
                  <c:v>2.4071214612138907</c:v>
                </c:pt>
                <c:pt idx="394">
                  <c:v>2.1216394579843807</c:v>
                </c:pt>
                <c:pt idx="395">
                  <c:v>2.4870671402355216</c:v>
                </c:pt>
                <c:pt idx="396">
                  <c:v>2.1871844511061092</c:v>
                </c:pt>
                <c:pt idx="397">
                  <c:v>2.6076894774583139</c:v>
                </c:pt>
                <c:pt idx="398">
                  <c:v>2.6989473460976585</c:v>
                </c:pt>
                <c:pt idx="399">
                  <c:v>2.8315462095157367</c:v>
                </c:pt>
                <c:pt idx="400">
                  <c:v>1.9646354192625699</c:v>
                </c:pt>
                <c:pt idx="401">
                  <c:v>2.3384190061495631</c:v>
                </c:pt>
                <c:pt idx="402">
                  <c:v>2.0333161739241299</c:v>
                </c:pt>
                <c:pt idx="403">
                  <c:v>3.1988258690837381</c:v>
                </c:pt>
                <c:pt idx="404">
                  <c:v>3.2802019809382834</c:v>
                </c:pt>
                <c:pt idx="405">
                  <c:v>3.3368872957328035</c:v>
                </c:pt>
                <c:pt idx="406">
                  <c:v>2.9361270067328036</c:v>
                </c:pt>
                <c:pt idx="407">
                  <c:v>4.2795362308715585</c:v>
                </c:pt>
                <c:pt idx="408">
                  <c:v>4.2745219299650845</c:v>
                </c:pt>
                <c:pt idx="409">
                  <c:v>4.2012100105365127</c:v>
                </c:pt>
                <c:pt idx="410">
                  <c:v>3.6368169732666704</c:v>
                </c:pt>
                <c:pt idx="411">
                  <c:v>3.5647519144456181</c:v>
                </c:pt>
                <c:pt idx="412">
                  <c:v>3.4168956775828718</c:v>
                </c:pt>
                <c:pt idx="413">
                  <c:v>4.0101842126014784</c:v>
                </c:pt>
                <c:pt idx="414">
                  <c:v>3.7943567713360724</c:v>
                </c:pt>
                <c:pt idx="415">
                  <c:v>2.9162771198360726</c:v>
                </c:pt>
                <c:pt idx="416">
                  <c:v>3.7288803530787895</c:v>
                </c:pt>
                <c:pt idx="417">
                  <c:v>3.9946777174571695</c:v>
                </c:pt>
                <c:pt idx="418">
                  <c:v>4.0460252748031396</c:v>
                </c:pt>
                <c:pt idx="419">
                  <c:v>3.4576512199259462</c:v>
                </c:pt>
                <c:pt idx="420">
                  <c:v>4.204613993703723</c:v>
                </c:pt>
                <c:pt idx="421">
                  <c:v>5.0577145455404597</c:v>
                </c:pt>
                <c:pt idx="422">
                  <c:v>4.3248977261118888</c:v>
                </c:pt>
                <c:pt idx="423">
                  <c:v>5.375763975348252</c:v>
                </c:pt>
                <c:pt idx="424">
                  <c:v>4.2818972092371412</c:v>
                </c:pt>
                <c:pt idx="425">
                  <c:v>4.4499349739405893</c:v>
                </c:pt>
                <c:pt idx="426">
                  <c:v>3.9190389820810854</c:v>
                </c:pt>
                <c:pt idx="427">
                  <c:v>3.9571404709943296</c:v>
                </c:pt>
                <c:pt idx="428">
                  <c:v>5.6743940700598561</c:v>
                </c:pt>
                <c:pt idx="429">
                  <c:v>6.8428610230170346</c:v>
                </c:pt>
                <c:pt idx="430">
                  <c:v>5.4567798574997912</c:v>
                </c:pt>
                <c:pt idx="431">
                  <c:v>3.6756883656476611</c:v>
                </c:pt>
                <c:pt idx="432">
                  <c:v>3.7786784971619478</c:v>
                </c:pt>
                <c:pt idx="433">
                  <c:v>2.8157716778623345</c:v>
                </c:pt>
                <c:pt idx="434">
                  <c:v>3.1006979663392591</c:v>
                </c:pt>
                <c:pt idx="435">
                  <c:v>2.8616257250694166</c:v>
                </c:pt>
                <c:pt idx="436">
                  <c:v>3.3094639380172426</c:v>
                </c:pt>
                <c:pt idx="437">
                  <c:v>2.881162764704114</c:v>
                </c:pt>
                <c:pt idx="438">
                  <c:v>2.2189901542183992</c:v>
                </c:pt>
                <c:pt idx="439">
                  <c:v>2.3999961210770948</c:v>
                </c:pt>
                <c:pt idx="440">
                  <c:v>2.516838442368762</c:v>
                </c:pt>
                <c:pt idx="441">
                  <c:v>2.1762296206824887</c:v>
                </c:pt>
                <c:pt idx="442">
                  <c:v>3.1296753599114067</c:v>
                </c:pt>
                <c:pt idx="443">
                  <c:v>4.7092677440886179</c:v>
                </c:pt>
                <c:pt idx="444">
                  <c:v>3.2506273919298891</c:v>
                </c:pt>
                <c:pt idx="445">
                  <c:v>3.6566019410364881</c:v>
                </c:pt>
                <c:pt idx="446">
                  <c:v>2.7559319247224079</c:v>
                </c:pt>
                <c:pt idx="447">
                  <c:v>4.4307765548652629</c:v>
                </c:pt>
                <c:pt idx="448">
                  <c:v>2.4228861877196337</c:v>
                </c:pt>
                <c:pt idx="449">
                  <c:v>2.1377821193325359</c:v>
                </c:pt>
                <c:pt idx="450">
                  <c:v>2.296984916629834</c:v>
                </c:pt>
                <c:pt idx="451">
                  <c:v>2.4439297189672562</c:v>
                </c:pt>
                <c:pt idx="452">
                  <c:v>3.5746975433790196</c:v>
                </c:pt>
                <c:pt idx="453">
                  <c:v>3.9826873442308739</c:v>
                </c:pt>
                <c:pt idx="454">
                  <c:v>4.7518632337105124</c:v>
                </c:pt>
                <c:pt idx="455">
                  <c:v>3.7101095444794669</c:v>
                </c:pt>
                <c:pt idx="456">
                  <c:v>4.6971966383479673</c:v>
                </c:pt>
                <c:pt idx="457">
                  <c:v>5.9332109493591707</c:v>
                </c:pt>
                <c:pt idx="458">
                  <c:v>6.3151553097437851</c:v>
                </c:pt>
                <c:pt idx="459">
                  <c:v>6.8920134577437855</c:v>
                </c:pt>
                <c:pt idx="460">
                  <c:v>7.1258180412102146</c:v>
                </c:pt>
                <c:pt idx="461">
                  <c:v>6.7499732574055278</c:v>
                </c:pt>
                <c:pt idx="462">
                  <c:v>6.8721979626474639</c:v>
                </c:pt>
                <c:pt idx="463">
                  <c:v>7.1282129989974639</c:v>
                </c:pt>
                <c:pt idx="464">
                  <c:v>7.3785304829673892</c:v>
                </c:pt>
                <c:pt idx="465">
                  <c:v>7.8684696955630313</c:v>
                </c:pt>
                <c:pt idx="466">
                  <c:v>8.0832380833376796</c:v>
                </c:pt>
                <c:pt idx="467">
                  <c:v>8.3306227926880005</c:v>
                </c:pt>
                <c:pt idx="468">
                  <c:v>8.0176620860391452</c:v>
                </c:pt>
                <c:pt idx="469">
                  <c:v>8.9423611418437865</c:v>
                </c:pt>
                <c:pt idx="470">
                  <c:v>8.2848766223631003</c:v>
                </c:pt>
                <c:pt idx="471">
                  <c:v>8.6491451491661717</c:v>
                </c:pt>
                <c:pt idx="472">
                  <c:v>8.9015296099524974</c:v>
                </c:pt>
                <c:pt idx="473">
                  <c:v>9.3058691190054237</c:v>
                </c:pt>
                <c:pt idx="474">
                  <c:v>9.0636874044870961</c:v>
                </c:pt>
                <c:pt idx="475">
                  <c:v>9.7237423187947911</c:v>
                </c:pt>
                <c:pt idx="476">
                  <c:v>8.6954015118743673</c:v>
                </c:pt>
                <c:pt idx="477">
                  <c:v>7.6509463321540867</c:v>
                </c:pt>
                <c:pt idx="478">
                  <c:v>6.7885260125132882</c:v>
                </c:pt>
                <c:pt idx="479">
                  <c:v>7.7961770130597348</c:v>
                </c:pt>
                <c:pt idx="480">
                  <c:v>8.0887783881366602</c:v>
                </c:pt>
                <c:pt idx="481">
                  <c:v>7.8060696619033267</c:v>
                </c:pt>
                <c:pt idx="482">
                  <c:v>8.6298338142578483</c:v>
                </c:pt>
                <c:pt idx="483">
                  <c:v>8.9441774582362275</c:v>
                </c:pt>
                <c:pt idx="484">
                  <c:v>9.2937527629053189</c:v>
                </c:pt>
                <c:pt idx="485">
                  <c:v>8.3300775673675016</c:v>
                </c:pt>
                <c:pt idx="486">
                  <c:v>8.1450766330019135</c:v>
                </c:pt>
                <c:pt idx="487">
                  <c:v>9.4860687739538534</c:v>
                </c:pt>
                <c:pt idx="488">
                  <c:v>9.1152102868820322</c:v>
                </c:pt>
                <c:pt idx="489">
                  <c:v>9.262625860795076</c:v>
                </c:pt>
                <c:pt idx="490">
                  <c:v>8.3928926108851805</c:v>
                </c:pt>
                <c:pt idx="491">
                  <c:v>7.262861424378138</c:v>
                </c:pt>
                <c:pt idx="492">
                  <c:v>9.1521277892594952</c:v>
                </c:pt>
                <c:pt idx="493">
                  <c:v>7.1707234385094978</c:v>
                </c:pt>
                <c:pt idx="494">
                  <c:v>7.5750004577632302</c:v>
                </c:pt>
                <c:pt idx="495">
                  <c:v>8.2164994435283525</c:v>
                </c:pt>
                <c:pt idx="496">
                  <c:v>10.357800311635115</c:v>
                </c:pt>
                <c:pt idx="497">
                  <c:v>6.9488485354177243</c:v>
                </c:pt>
                <c:pt idx="498">
                  <c:v>7.3275118514593922</c:v>
                </c:pt>
                <c:pt idx="499">
                  <c:v>7.0502266064394714</c:v>
                </c:pt>
                <c:pt idx="500">
                  <c:v>8.0353950645986885</c:v>
                </c:pt>
                <c:pt idx="501">
                  <c:v>7.6659505820559257</c:v>
                </c:pt>
                <c:pt idx="502">
                  <c:v>8.028667499669929</c:v>
                </c:pt>
                <c:pt idx="503">
                  <c:v>8.1123513731926558</c:v>
                </c:pt>
                <c:pt idx="504">
                  <c:v>8.0987067208015944</c:v>
                </c:pt>
                <c:pt idx="505">
                  <c:v>7.874310324165509</c:v>
                </c:pt>
                <c:pt idx="506">
                  <c:v>8.0488559066956871</c:v>
                </c:pt>
                <c:pt idx="507">
                  <c:v>8.5290488234136355</c:v>
                </c:pt>
                <c:pt idx="508">
                  <c:v>8.2690869655184311</c:v>
                </c:pt>
                <c:pt idx="509">
                  <c:v>6.7009721646075393</c:v>
                </c:pt>
                <c:pt idx="510">
                  <c:v>7.1595445131421807</c:v>
                </c:pt>
                <c:pt idx="511">
                  <c:v>5.4586780538329389</c:v>
                </c:pt>
                <c:pt idx="512">
                  <c:v>7.4037276852829379</c:v>
                </c:pt>
                <c:pt idx="513">
                  <c:v>3.4604540453487052</c:v>
                </c:pt>
                <c:pt idx="514">
                  <c:v>2.5957663155785924</c:v>
                </c:pt>
                <c:pt idx="515">
                  <c:v>4.0033395811365349</c:v>
                </c:pt>
                <c:pt idx="516">
                  <c:v>2.1678492435148846</c:v>
                </c:pt>
                <c:pt idx="517">
                  <c:v>2.5928194149325554</c:v>
                </c:pt>
                <c:pt idx="518">
                  <c:v>2.1754494385039842</c:v>
                </c:pt>
                <c:pt idx="519">
                  <c:v>2.5232434783688489</c:v>
                </c:pt>
                <c:pt idx="520">
                  <c:v>2.7207679220994185</c:v>
                </c:pt>
                <c:pt idx="521">
                  <c:v>2.7640536397526958</c:v>
                </c:pt>
                <c:pt idx="522">
                  <c:v>3.1723165931471904</c:v>
                </c:pt>
                <c:pt idx="523">
                  <c:v>3.2034277172330654</c:v>
                </c:pt>
                <c:pt idx="524">
                  <c:v>2.2136494338120141</c:v>
                </c:pt>
                <c:pt idx="525">
                  <c:v>3.4242539535307284</c:v>
                </c:pt>
                <c:pt idx="526">
                  <c:v>2.4127969003478844</c:v>
                </c:pt>
                <c:pt idx="527">
                  <c:v>1.6267653195638161</c:v>
                </c:pt>
                <c:pt idx="528">
                  <c:v>1.5519181547635221</c:v>
                </c:pt>
                <c:pt idx="529">
                  <c:v>2.134203330992821</c:v>
                </c:pt>
                <c:pt idx="530">
                  <c:v>3.4846494963649128</c:v>
                </c:pt>
                <c:pt idx="531">
                  <c:v>2.3674075905844658</c:v>
                </c:pt>
                <c:pt idx="532">
                  <c:v>2.2847815212160447</c:v>
                </c:pt>
                <c:pt idx="533">
                  <c:v>3.1511672407734221</c:v>
                </c:pt>
                <c:pt idx="534">
                  <c:v>1.9211045496064001</c:v>
                </c:pt>
                <c:pt idx="535">
                  <c:v>2.291229348606401</c:v>
                </c:pt>
                <c:pt idx="536">
                  <c:v>1.2606873679107473</c:v>
                </c:pt>
                <c:pt idx="537">
                  <c:v>1.0950206155107483</c:v>
                </c:pt>
                <c:pt idx="538">
                  <c:v>0.75733311823802152</c:v>
                </c:pt>
                <c:pt idx="539">
                  <c:v>0.6938073990641076</c:v>
                </c:pt>
                <c:pt idx="540">
                  <c:v>1.1019321365974448</c:v>
                </c:pt>
                <c:pt idx="541">
                  <c:v>6.9824616685034036E-2</c:v>
                </c:pt>
                <c:pt idx="542">
                  <c:v>-0.33128809340192261</c:v>
                </c:pt>
                <c:pt idx="543">
                  <c:v>-0.1218430349574787</c:v>
                </c:pt>
                <c:pt idx="544">
                  <c:v>-0.27825550790087605</c:v>
                </c:pt>
                <c:pt idx="545">
                  <c:v>4.0832604782050405E-2</c:v>
                </c:pt>
                <c:pt idx="546">
                  <c:v>0.69272365747079312</c:v>
                </c:pt>
                <c:pt idx="547">
                  <c:v>0.5273085545179631</c:v>
                </c:pt>
                <c:pt idx="548">
                  <c:v>1.2110482621543266</c:v>
                </c:pt>
                <c:pt idx="549">
                  <c:v>1.3968186411910235</c:v>
                </c:pt>
                <c:pt idx="550">
                  <c:v>2.3321093077398589</c:v>
                </c:pt>
                <c:pt idx="551">
                  <c:v>1.0797525183439198</c:v>
                </c:pt>
                <c:pt idx="552">
                  <c:v>2.5333567995792139</c:v>
                </c:pt>
                <c:pt idx="553">
                  <c:v>1.7702606776447884</c:v>
                </c:pt>
                <c:pt idx="554">
                  <c:v>2.5697378751497397</c:v>
                </c:pt>
                <c:pt idx="555">
                  <c:v>4.0737986551497398</c:v>
                </c:pt>
                <c:pt idx="556">
                  <c:v>8.42110899873202</c:v>
                </c:pt>
                <c:pt idx="557">
                  <c:v>5.3081791607570157</c:v>
                </c:pt>
                <c:pt idx="558">
                  <c:v>4.2587140150511322</c:v>
                </c:pt>
                <c:pt idx="559">
                  <c:v>5.2722130598142893</c:v>
                </c:pt>
                <c:pt idx="560">
                  <c:v>2.1302154152047001</c:v>
                </c:pt>
                <c:pt idx="561">
                  <c:v>1.9991771894354702</c:v>
                </c:pt>
                <c:pt idx="562">
                  <c:v>1.9888572977977892</c:v>
                </c:pt>
                <c:pt idx="563">
                  <c:v>2.1701404845219288</c:v>
                </c:pt>
                <c:pt idx="564">
                  <c:v>3.3178666378476418</c:v>
                </c:pt>
                <c:pt idx="565">
                  <c:v>4.0956927167398565</c:v>
                </c:pt>
                <c:pt idx="566">
                  <c:v>4.3488148989513951</c:v>
                </c:pt>
                <c:pt idx="567">
                  <c:v>4.8780886731013942</c:v>
                </c:pt>
                <c:pt idx="568">
                  <c:v>4.6736119350677834</c:v>
                </c:pt>
                <c:pt idx="569">
                  <c:v>5.7035433063877798</c:v>
                </c:pt>
                <c:pt idx="570">
                  <c:v>7.4938589823987058</c:v>
                </c:pt>
                <c:pt idx="571">
                  <c:v>6.954765248769962</c:v>
                </c:pt>
                <c:pt idx="572">
                  <c:v>7.5559518351032953</c:v>
                </c:pt>
                <c:pt idx="573">
                  <c:v>13.689696069289672</c:v>
                </c:pt>
                <c:pt idx="574">
                  <c:v>2.4038570048908365</c:v>
                </c:pt>
                <c:pt idx="575">
                  <c:v>-0.85656834690342398</c:v>
                </c:pt>
                <c:pt idx="576">
                  <c:v>-0.98981362453978805</c:v>
                </c:pt>
                <c:pt idx="577">
                  <c:v>-1.1491947677397887</c:v>
                </c:pt>
                <c:pt idx="578">
                  <c:v>-1.297529370739789</c:v>
                </c:pt>
                <c:pt idx="579">
                  <c:v>-1.4634091307397885</c:v>
                </c:pt>
                <c:pt idx="580">
                  <c:v>-1.2238446178222622</c:v>
                </c:pt>
                <c:pt idx="581">
                  <c:v>-1.0284461505249654</c:v>
                </c:pt>
                <c:pt idx="582">
                  <c:v>-1.2930936760018892</c:v>
                </c:pt>
                <c:pt idx="583">
                  <c:v>-1.0750226582616298</c:v>
                </c:pt>
                <c:pt idx="584">
                  <c:v>-0.98967719100076135</c:v>
                </c:pt>
                <c:pt idx="585">
                  <c:v>-0.86080317528076034</c:v>
                </c:pt>
                <c:pt idx="586">
                  <c:v>-0.56346748559783388</c:v>
                </c:pt>
                <c:pt idx="587">
                  <c:v>-0.65692417316387219</c:v>
                </c:pt>
                <c:pt idx="588">
                  <c:v>-0.8752398152508285</c:v>
                </c:pt>
                <c:pt idx="589">
                  <c:v>-1.3160162494008281</c:v>
                </c:pt>
                <c:pt idx="590">
                  <c:v>-1.3273535215674948</c:v>
                </c:pt>
                <c:pt idx="591">
                  <c:v>-1.4017777012916319</c:v>
                </c:pt>
                <c:pt idx="592">
                  <c:v>-1.9563933132916325</c:v>
                </c:pt>
                <c:pt idx="593">
                  <c:v>-1.5504059319111025</c:v>
                </c:pt>
                <c:pt idx="594">
                  <c:v>-2.0196281554311026</c:v>
                </c:pt>
                <c:pt idx="595">
                  <c:v>-2.1446226043199919</c:v>
                </c:pt>
                <c:pt idx="596">
                  <c:v>-1.8572365966141091</c:v>
                </c:pt>
                <c:pt idx="597">
                  <c:v>-2.3513508726667407</c:v>
                </c:pt>
                <c:pt idx="598">
                  <c:v>-2.2915176560741477</c:v>
                </c:pt>
                <c:pt idx="599">
                  <c:v>-2.2410251303468756</c:v>
                </c:pt>
                <c:pt idx="600">
                  <c:v>-2.2655389633224852</c:v>
                </c:pt>
                <c:pt idx="601">
                  <c:v>-2.3543593028849852</c:v>
                </c:pt>
                <c:pt idx="602">
                  <c:v>-1.9944518480714271</c:v>
                </c:pt>
                <c:pt idx="603">
                  <c:v>-2.6087411841731205</c:v>
                </c:pt>
                <c:pt idx="604">
                  <c:v>-2.8315553552153738</c:v>
                </c:pt>
                <c:pt idx="605">
                  <c:v>-3.0203617937281937</c:v>
                </c:pt>
                <c:pt idx="606">
                  <c:v>-2.7225082882576062</c:v>
                </c:pt>
                <c:pt idx="607">
                  <c:v>-2.1861616692739987</c:v>
                </c:pt>
                <c:pt idx="608">
                  <c:v>-1.9803700770903243</c:v>
                </c:pt>
                <c:pt idx="609">
                  <c:v>-2.3062449030903229</c:v>
                </c:pt>
                <c:pt idx="610">
                  <c:v>-2.3527351634451623</c:v>
                </c:pt>
                <c:pt idx="611">
                  <c:v>-1.7831849684874164</c:v>
                </c:pt>
                <c:pt idx="612">
                  <c:v>-1.4083264728720299</c:v>
                </c:pt>
                <c:pt idx="613">
                  <c:v>-1.4083264728720313</c:v>
                </c:pt>
                <c:pt idx="614">
                  <c:v>-0.74094080553869601</c:v>
                </c:pt>
                <c:pt idx="615">
                  <c:v>-1.0858914219993698</c:v>
                </c:pt>
                <c:pt idx="616">
                  <c:v>-1.3821007795052513</c:v>
                </c:pt>
                <c:pt idx="617">
                  <c:v>-1.0656886559936227</c:v>
                </c:pt>
                <c:pt idx="618">
                  <c:v>-0.96366862318540247</c:v>
                </c:pt>
                <c:pt idx="619">
                  <c:v>-0.86226776040059172</c:v>
                </c:pt>
                <c:pt idx="620">
                  <c:v>-0.95181875236780256</c:v>
                </c:pt>
                <c:pt idx="621">
                  <c:v>-0.33341559359421685</c:v>
                </c:pt>
                <c:pt idx="622">
                  <c:v>4.6977432405781901E-2</c:v>
                </c:pt>
                <c:pt idx="623">
                  <c:v>0.57685545351104639</c:v>
                </c:pt>
                <c:pt idx="624">
                  <c:v>-1.3338259936889532</c:v>
                </c:pt>
                <c:pt idx="625">
                  <c:v>-2.5363051795925684</c:v>
                </c:pt>
                <c:pt idx="626">
                  <c:v>-2.4116953433198423</c:v>
                </c:pt>
                <c:pt idx="627">
                  <c:v>-3.1136799273198421</c:v>
                </c:pt>
                <c:pt idx="628">
                  <c:v>-3.1955326634251042</c:v>
                </c:pt>
                <c:pt idx="629">
                  <c:v>-3.0056169803481807</c:v>
                </c:pt>
                <c:pt idx="630">
                  <c:v>-2.9907492355220935</c:v>
                </c:pt>
                <c:pt idx="631">
                  <c:v>-3.4374218994109818</c:v>
                </c:pt>
                <c:pt idx="632">
                  <c:v>-2.8448385076718523</c:v>
                </c:pt>
                <c:pt idx="633">
                  <c:v>-2.8032053230402738</c:v>
                </c:pt>
                <c:pt idx="634">
                  <c:v>-2.884887280117197</c:v>
                </c:pt>
                <c:pt idx="635">
                  <c:v>-2.5615594067171976</c:v>
                </c:pt>
                <c:pt idx="636">
                  <c:v>-2.8694621159764551</c:v>
                </c:pt>
                <c:pt idx="637">
                  <c:v>-3.010771451400184</c:v>
                </c:pt>
                <c:pt idx="638">
                  <c:v>-2.0648042771562829</c:v>
                </c:pt>
                <c:pt idx="639">
                  <c:v>-2.8046907843614113</c:v>
                </c:pt>
                <c:pt idx="640">
                  <c:v>-2.9889878075432303</c:v>
                </c:pt>
                <c:pt idx="641">
                  <c:v>-2.7791544804598987</c:v>
                </c:pt>
                <c:pt idx="642">
                  <c:v>-3.4320745025903316</c:v>
                </c:pt>
                <c:pt idx="643">
                  <c:v>-3.9797532844569989</c:v>
                </c:pt>
                <c:pt idx="644">
                  <c:v>-4.199037468032758</c:v>
                </c:pt>
                <c:pt idx="645">
                  <c:v>-4.2330325433963942</c:v>
                </c:pt>
                <c:pt idx="646">
                  <c:v>-4.3691700631741721</c:v>
                </c:pt>
                <c:pt idx="647">
                  <c:v>-4.2622338745075048</c:v>
                </c:pt>
                <c:pt idx="648">
                  <c:v>-3.9686584713256865</c:v>
                </c:pt>
                <c:pt idx="649">
                  <c:v>-3.9968437351590191</c:v>
                </c:pt>
                <c:pt idx="650">
                  <c:v>-4.2756294691590195</c:v>
                </c:pt>
                <c:pt idx="651">
                  <c:v>-3.7992342459090196</c:v>
                </c:pt>
                <c:pt idx="652">
                  <c:v>-4.2172055374715196</c:v>
                </c:pt>
                <c:pt idx="653">
                  <c:v>-3.9496224671572331</c:v>
                </c:pt>
                <c:pt idx="654">
                  <c:v>-3.9189365484429466</c:v>
                </c:pt>
                <c:pt idx="655">
                  <c:v>-4.0037863485858036</c:v>
                </c:pt>
                <c:pt idx="656">
                  <c:v>-3.9420100537565359</c:v>
                </c:pt>
                <c:pt idx="657">
                  <c:v>-4.0018474340642278</c:v>
                </c:pt>
                <c:pt idx="658">
                  <c:v>-3.4766888888450498</c:v>
                </c:pt>
                <c:pt idx="659">
                  <c:v>-3.8854903774164793</c:v>
                </c:pt>
                <c:pt idx="660">
                  <c:v>-3.8724114329720343</c:v>
                </c:pt>
                <c:pt idx="661">
                  <c:v>-3.6614772456643414</c:v>
                </c:pt>
                <c:pt idx="662">
                  <c:v>-3.8476918628071992</c:v>
                </c:pt>
                <c:pt idx="663">
                  <c:v>-3.8077317209024377</c:v>
                </c:pt>
                <c:pt idx="664">
                  <c:v>-3.8829105325494959</c:v>
                </c:pt>
                <c:pt idx="665">
                  <c:v>-3.978634224216163</c:v>
                </c:pt>
                <c:pt idx="666">
                  <c:v>-3.8180276910161624</c:v>
                </c:pt>
                <c:pt idx="667">
                  <c:v>-4.1596899948343431</c:v>
                </c:pt>
                <c:pt idx="668">
                  <c:v>-3.74371197909965</c:v>
                </c:pt>
                <c:pt idx="669">
                  <c:v>-3.9529455222996499</c:v>
                </c:pt>
                <c:pt idx="670">
                  <c:v>-3.678806169417296</c:v>
                </c:pt>
                <c:pt idx="671">
                  <c:v>-3.9324497372408258</c:v>
                </c:pt>
                <c:pt idx="672">
                  <c:v>-3.493935030097969</c:v>
                </c:pt>
                <c:pt idx="673">
                  <c:v>-3.8187867083201912</c:v>
                </c:pt>
                <c:pt idx="674">
                  <c:v>-4.4029760683013226</c:v>
                </c:pt>
                <c:pt idx="675">
                  <c:v>-4.3840380893013222</c:v>
                </c:pt>
                <c:pt idx="676">
                  <c:v>-4.7936322423457671</c:v>
                </c:pt>
                <c:pt idx="677">
                  <c:v>-4.3967929115457673</c:v>
                </c:pt>
                <c:pt idx="678">
                  <c:v>-4.2097386155457679</c:v>
                </c:pt>
                <c:pt idx="679">
                  <c:v>-3.8256720924323653</c:v>
                </c:pt>
                <c:pt idx="680">
                  <c:v>-3.6916903616872672</c:v>
                </c:pt>
                <c:pt idx="681">
                  <c:v>-3.8692054986872679</c:v>
                </c:pt>
                <c:pt idx="682">
                  <c:v>-3.7750040782033967</c:v>
                </c:pt>
                <c:pt idx="683">
                  <c:v>-3.6836738028187819</c:v>
                </c:pt>
                <c:pt idx="684">
                  <c:v>-3.7233574120495505</c:v>
                </c:pt>
                <c:pt idx="685">
                  <c:v>-3.4194306497495504</c:v>
                </c:pt>
                <c:pt idx="686">
                  <c:v>-3.5022770175268012</c:v>
                </c:pt>
                <c:pt idx="687">
                  <c:v>-2.0684456053814526</c:v>
                </c:pt>
                <c:pt idx="688">
                  <c:v>-2.0000316004159351</c:v>
                </c:pt>
                <c:pt idx="689">
                  <c:v>-1.8382965990945059</c:v>
                </c:pt>
                <c:pt idx="690">
                  <c:v>-1.6612800559441299</c:v>
                </c:pt>
                <c:pt idx="691">
                  <c:v>-0.76546925292698709</c:v>
                </c:pt>
                <c:pt idx="692">
                  <c:v>-5.1535279198173807E-2</c:v>
                </c:pt>
                <c:pt idx="693">
                  <c:v>-0.34050995244141891</c:v>
                </c:pt>
                <c:pt idx="694">
                  <c:v>-0.5053961584545773</c:v>
                </c:pt>
                <c:pt idx="695">
                  <c:v>-0.36789926320084576</c:v>
                </c:pt>
                <c:pt idx="696">
                  <c:v>0.42421602701344052</c:v>
                </c:pt>
                <c:pt idx="697">
                  <c:v>-0.10355519246417187</c:v>
                </c:pt>
                <c:pt idx="698">
                  <c:v>-6.6810635030209758E-2</c:v>
                </c:pt>
                <c:pt idx="699">
                  <c:v>0.33347767352051405</c:v>
                </c:pt>
                <c:pt idx="700">
                  <c:v>7.3701935997436643E-2</c:v>
                </c:pt>
                <c:pt idx="701">
                  <c:v>0.23785304293861353</c:v>
                </c:pt>
                <c:pt idx="702">
                  <c:v>0.5633609053357771</c:v>
                </c:pt>
                <c:pt idx="703">
                  <c:v>1.0179246332756269</c:v>
                </c:pt>
                <c:pt idx="704">
                  <c:v>1.1892342620678338</c:v>
                </c:pt>
                <c:pt idx="705">
                  <c:v>0.66875503606783371</c:v>
                </c:pt>
                <c:pt idx="706">
                  <c:v>0.70216303440116568</c:v>
                </c:pt>
                <c:pt idx="707">
                  <c:v>0.90159193311545349</c:v>
                </c:pt>
                <c:pt idx="708">
                  <c:v>0.98455333259371558</c:v>
                </c:pt>
                <c:pt idx="709">
                  <c:v>1.102504629184625</c:v>
                </c:pt>
                <c:pt idx="710">
                  <c:v>0.99962325318462519</c:v>
                </c:pt>
                <c:pt idx="711">
                  <c:v>0.6910572896791306</c:v>
                </c:pt>
                <c:pt idx="712">
                  <c:v>0.77281673718161847</c:v>
                </c:pt>
                <c:pt idx="713">
                  <c:v>1.021992816731883</c:v>
                </c:pt>
                <c:pt idx="714">
                  <c:v>0.6651180007318831</c:v>
                </c:pt>
                <c:pt idx="715">
                  <c:v>0.2717322109541051</c:v>
                </c:pt>
                <c:pt idx="716">
                  <c:v>0.34421672847262247</c:v>
                </c:pt>
                <c:pt idx="717">
                  <c:v>-3.4980043845198303E-3</c:v>
                </c:pt>
                <c:pt idx="718">
                  <c:v>-0.27717640536697608</c:v>
                </c:pt>
                <c:pt idx="719">
                  <c:v>-0.34006775511056597</c:v>
                </c:pt>
                <c:pt idx="720">
                  <c:v>-0.1950773525034229</c:v>
                </c:pt>
                <c:pt idx="721">
                  <c:v>-0.48029859715048168</c:v>
                </c:pt>
                <c:pt idx="722">
                  <c:v>-0.79556475920311354</c:v>
                </c:pt>
                <c:pt idx="723">
                  <c:v>-0.88740358472942826</c:v>
                </c:pt>
                <c:pt idx="724">
                  <c:v>-1.4296093757865722</c:v>
                </c:pt>
                <c:pt idx="725">
                  <c:v>-1.5151066543159826</c:v>
                </c:pt>
                <c:pt idx="726">
                  <c:v>-1.3741092845768508</c:v>
                </c:pt>
                <c:pt idx="727">
                  <c:v>-1.4399559236035169</c:v>
                </c:pt>
                <c:pt idx="728">
                  <c:v>-1.605911536504615</c:v>
                </c:pt>
                <c:pt idx="729">
                  <c:v>-1.4873461591712818</c:v>
                </c:pt>
                <c:pt idx="730">
                  <c:v>-1.0374451151287278</c:v>
                </c:pt>
                <c:pt idx="731">
                  <c:v>-0.52641858706421152</c:v>
                </c:pt>
                <c:pt idx="732">
                  <c:v>-0.60767094221314666</c:v>
                </c:pt>
                <c:pt idx="733">
                  <c:v>-0.61048989009549948</c:v>
                </c:pt>
                <c:pt idx="734">
                  <c:v>-0.67332313223503371</c:v>
                </c:pt>
                <c:pt idx="735">
                  <c:v>-0.69239782791427917</c:v>
                </c:pt>
                <c:pt idx="736">
                  <c:v>-0.67827313156882496</c:v>
                </c:pt>
                <c:pt idx="737">
                  <c:v>-0.63544639365578182</c:v>
                </c:pt>
                <c:pt idx="738">
                  <c:v>-0.62433179495365387</c:v>
                </c:pt>
                <c:pt idx="739">
                  <c:v>-0.58116600295365295</c:v>
                </c:pt>
                <c:pt idx="740">
                  <c:v>-0.50992422009651006</c:v>
                </c:pt>
                <c:pt idx="741">
                  <c:v>-0.53443157209650904</c:v>
                </c:pt>
                <c:pt idx="742">
                  <c:v>-0.78108292543828195</c:v>
                </c:pt>
                <c:pt idx="743">
                  <c:v>-0.92777912822088893</c:v>
                </c:pt>
                <c:pt idx="744">
                  <c:v>-0.72924751434588908</c:v>
                </c:pt>
                <c:pt idx="745">
                  <c:v>-0.4970328880000961</c:v>
                </c:pt>
                <c:pt idx="746">
                  <c:v>-0.3731721593847111</c:v>
                </c:pt>
                <c:pt idx="747">
                  <c:v>-0.39729749645367696</c:v>
                </c:pt>
                <c:pt idx="748">
                  <c:v>-0.33526410290822306</c:v>
                </c:pt>
                <c:pt idx="749">
                  <c:v>-0.38942528780011459</c:v>
                </c:pt>
                <c:pt idx="750">
                  <c:v>-0.29324523636375055</c:v>
                </c:pt>
                <c:pt idx="751">
                  <c:v>-0.21551061924375042</c:v>
                </c:pt>
                <c:pt idx="752">
                  <c:v>-6.8023488750792532E-2</c:v>
                </c:pt>
                <c:pt idx="753">
                  <c:v>-6.8023488750793074E-2</c:v>
                </c:pt>
                <c:pt idx="754">
                  <c:v>-2.5055965029862824E-2</c:v>
                </c:pt>
                <c:pt idx="755">
                  <c:v>-9.953236438986296E-2</c:v>
                </c:pt>
                <c:pt idx="756">
                  <c:v>-0.10980103938986292</c:v>
                </c:pt>
                <c:pt idx="757">
                  <c:v>-6.2617355315788908E-2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E-4CBC-AF70-4ACF440CF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055136"/>
        <c:axId val="460048896"/>
      </c:lineChart>
      <c:dateAx>
        <c:axId val="460055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48896"/>
        <c:crosses val="autoZero"/>
        <c:auto val="1"/>
        <c:lblOffset val="100"/>
        <c:baseTimeUnit val="days"/>
      </c:dateAx>
      <c:valAx>
        <c:axId val="4600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A4D19FB-71C1-4BA8-BCB5-D16B929B9AD4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5E9ED2-7374-40C7-90B5-C8A4529222E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3.4842</v>
      </c>
      <c r="D2" s="4">
        <f>MIN(D3:D1912)</f>
        <v>1.6999999999999999E-3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2.2458999999999998</v>
      </c>
      <c r="C5">
        <v>2.2770999999999999</v>
      </c>
      <c r="D5">
        <v>2.1570999999999998</v>
      </c>
      <c r="E5">
        <v>2.1606999999999998</v>
      </c>
      <c r="F5">
        <v>15603877</v>
      </c>
      <c r="G5">
        <v>2.1606999999999998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-0.93999999999999928</v>
      </c>
      <c r="Q5">
        <f t="shared" ref="Q5" si="1">F5*P5</f>
        <v>-14667644.37999999</v>
      </c>
      <c r="R5">
        <f t="shared" ref="R5" si="2">R6+Q5</f>
        <v>1498162257.939714</v>
      </c>
      <c r="S5">
        <f t="shared" ref="S5" si="3">R5/100000</f>
        <v>14981.622579397139</v>
      </c>
      <c r="T5">
        <f t="shared" ref="T5" si="4">S5/1000</f>
        <v>14.981622579397138</v>
      </c>
    </row>
    <row r="6" spans="1:20" x14ac:dyDescent="0.25">
      <c r="A6" s="5">
        <v>44587</v>
      </c>
      <c r="B6">
        <v>2.3820999999999999</v>
      </c>
      <c r="C6">
        <v>2.5811999999999999</v>
      </c>
      <c r="D6">
        <v>2.1743999999999999</v>
      </c>
      <c r="E6">
        <v>2.2456999999999998</v>
      </c>
      <c r="F6">
        <v>264591185</v>
      </c>
      <c r="G6">
        <v>2.2456999999999998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-0.6494591937069818</v>
      </c>
      <c r="Q6">
        <f t="shared" ref="Q6" si="6">F6*P6</f>
        <v>-171841177.67207485</v>
      </c>
      <c r="R6">
        <f t="shared" ref="R6" si="7">R7+Q6</f>
        <v>1512829902.3197138</v>
      </c>
      <c r="S6">
        <f t="shared" ref="S6" si="8">R6/100000</f>
        <v>15128.299023197138</v>
      </c>
      <c r="T6">
        <f t="shared" ref="T6" si="9">S6/1000</f>
        <v>15.128299023197139</v>
      </c>
    </row>
    <row r="7" spans="1:20" x14ac:dyDescent="0.25">
      <c r="A7" s="5">
        <v>44586</v>
      </c>
      <c r="B7">
        <v>2.2557999999999998</v>
      </c>
      <c r="C7">
        <v>2.4725999999999999</v>
      </c>
      <c r="D7">
        <v>2.1556999999999999</v>
      </c>
      <c r="E7">
        <v>2.3828</v>
      </c>
      <c r="F7">
        <v>236040395</v>
      </c>
      <c r="G7">
        <v>2.3828</v>
      </c>
      <c r="L7" t="s">
        <v>8</v>
      </c>
      <c r="M7" t="s">
        <v>8</v>
      </c>
      <c r="N7" t="s">
        <v>8</v>
      </c>
      <c r="P7">
        <f t="shared" ref="P7" si="10">IF(C7=D7,0,((E7-D7)-(C7-E7))/(C7-D7))</f>
        <v>0.43325970337646014</v>
      </c>
      <c r="Q7">
        <f t="shared" ref="Q7" si="11">F7*P7</f>
        <v>102266791.52256249</v>
      </c>
      <c r="R7">
        <f t="shared" ref="R7" si="12">R8+Q7</f>
        <v>1684671079.9917886</v>
      </c>
      <c r="S7">
        <f t="shared" ref="S7" si="13">R7/100000</f>
        <v>16846.710799917888</v>
      </c>
      <c r="T7">
        <f t="shared" ref="T7" si="14">S7/1000</f>
        <v>16.846710799917886</v>
      </c>
    </row>
    <row r="8" spans="1:20" x14ac:dyDescent="0.25">
      <c r="A8" s="5">
        <v>44585</v>
      </c>
      <c r="B8">
        <v>2.2766000000000002</v>
      </c>
      <c r="C8">
        <v>2.3283</v>
      </c>
      <c r="D8">
        <v>1.9019999999999999</v>
      </c>
      <c r="E8">
        <v>2.2566999999999999</v>
      </c>
      <c r="F8">
        <v>336808857</v>
      </c>
      <c r="G8">
        <v>2.2566999999999999</v>
      </c>
      <c r="L8" t="s">
        <v>7</v>
      </c>
      <c r="M8" t="s">
        <v>7</v>
      </c>
      <c r="N8" t="s">
        <v>8</v>
      </c>
      <c r="P8">
        <f t="shared" ref="P8" si="15">IF(C8=D8,0,((E8-D8)-(C8-E8))/(C8-D8))</f>
        <v>0.66408632418484592</v>
      </c>
      <c r="Q8">
        <f t="shared" ref="Q8" si="16">F8*P8</f>
        <v>223670155.79802942</v>
      </c>
      <c r="R8">
        <f t="shared" ref="R8" si="17">R9+Q8</f>
        <v>1582404288.4692261</v>
      </c>
      <c r="S8">
        <f t="shared" ref="S8" si="18">R8/100000</f>
        <v>15824.04288469226</v>
      </c>
      <c r="T8">
        <f t="shared" ref="T8" si="19">S8/1000</f>
        <v>15.824042884692261</v>
      </c>
    </row>
    <row r="9" spans="1:20" x14ac:dyDescent="0.25">
      <c r="A9" s="5">
        <v>44584</v>
      </c>
      <c r="B9">
        <v>1.9671000000000001</v>
      </c>
      <c r="C9">
        <v>2.4152999999999998</v>
      </c>
      <c r="D9">
        <v>1.9476</v>
      </c>
      <c r="E9">
        <v>2.2768000000000002</v>
      </c>
      <c r="F9">
        <v>289900941</v>
      </c>
      <c r="G9">
        <v>2.2768000000000002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0.40774000427624679</v>
      </c>
      <c r="Q9">
        <f t="shared" ref="Q9" si="21">F9*P9</f>
        <v>118204210.92302796</v>
      </c>
      <c r="R9">
        <f t="shared" ref="R9" si="22">R10+Q9</f>
        <v>1358734132.6711967</v>
      </c>
      <c r="S9">
        <f t="shared" ref="S9" si="23">R9/100000</f>
        <v>13587.341326711967</v>
      </c>
      <c r="T9">
        <f t="shared" ref="T9" si="24">S9/1000</f>
        <v>13.587341326711966</v>
      </c>
    </row>
    <row r="10" spans="1:20" x14ac:dyDescent="0.25">
      <c r="A10" s="5">
        <v>44583</v>
      </c>
      <c r="B10">
        <v>2.2726000000000002</v>
      </c>
      <c r="C10">
        <v>2.3868999999999998</v>
      </c>
      <c r="D10">
        <v>1.77</v>
      </c>
      <c r="E10">
        <v>1.9663999999999999</v>
      </c>
      <c r="F10">
        <v>372136337</v>
      </c>
      <c r="G10">
        <v>1.9663999999999999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-0.36326795266655865</v>
      </c>
      <c r="Q10">
        <f t="shared" ref="Q10" si="26">F10*P10</f>
        <v>-135185205.25482252</v>
      </c>
      <c r="R10">
        <f t="shared" ref="R10" si="27">R11+Q10</f>
        <v>1240529921.7481687</v>
      </c>
      <c r="S10">
        <f t="shared" ref="S10" si="28">R10/100000</f>
        <v>12405.299217481686</v>
      </c>
      <c r="T10">
        <f t="shared" ref="T10" si="29">S10/1000</f>
        <v>12.405299217481687</v>
      </c>
    </row>
    <row r="11" spans="1:20" x14ac:dyDescent="0.25">
      <c r="A11" s="5">
        <v>44582</v>
      </c>
      <c r="B11">
        <v>2.6867000000000001</v>
      </c>
      <c r="C11">
        <v>2.7806999999999999</v>
      </c>
      <c r="D11">
        <v>2.12</v>
      </c>
      <c r="E11">
        <v>2.2730000000000001</v>
      </c>
      <c r="F11">
        <v>277266352</v>
      </c>
      <c r="G11">
        <v>2.2730000000000001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-0.53685485091569529</v>
      </c>
      <c r="Q11">
        <f t="shared" ref="Q11" si="31">F11*P11</f>
        <v>-148851786.0668987</v>
      </c>
      <c r="R11">
        <f t="shared" ref="R11" si="32">R12+Q11</f>
        <v>1375715127.0029912</v>
      </c>
      <c r="S11">
        <f t="shared" ref="S11" si="33">R11/100000</f>
        <v>13757.151270029912</v>
      </c>
      <c r="T11">
        <f t="shared" ref="T11" si="34">S11/1000</f>
        <v>13.757151270029912</v>
      </c>
    </row>
    <row r="12" spans="1:20" x14ac:dyDescent="0.25">
      <c r="A12" s="5">
        <v>44581</v>
      </c>
      <c r="B12">
        <v>2.7686999999999999</v>
      </c>
      <c r="C12">
        <v>3.0405000000000002</v>
      </c>
      <c r="D12">
        <v>2.6743999999999999</v>
      </c>
      <c r="E12">
        <v>2.6880000000000002</v>
      </c>
      <c r="F12">
        <v>139291308</v>
      </c>
      <c r="G12">
        <v>2.6880000000000002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-0.92570335973777507</v>
      </c>
      <c r="Q12">
        <f t="shared" ref="Q12" si="36">F12*P12</f>
        <v>-128942431.79786922</v>
      </c>
      <c r="R12">
        <f t="shared" ref="R12" si="37">R13+Q12</f>
        <v>1524566913.06989</v>
      </c>
      <c r="S12">
        <f t="shared" ref="S12" si="38">R12/100000</f>
        <v>15245.6691306989</v>
      </c>
      <c r="T12">
        <f t="shared" ref="T12" si="39">S12/1000</f>
        <v>15.2456691306989</v>
      </c>
    </row>
    <row r="13" spans="1:20" x14ac:dyDescent="0.25">
      <c r="A13" s="5">
        <v>44580</v>
      </c>
      <c r="B13">
        <v>2.9527000000000001</v>
      </c>
      <c r="C13">
        <v>3.0417999999999998</v>
      </c>
      <c r="D13">
        <v>2.7549999999999999</v>
      </c>
      <c r="E13">
        <v>2.7698</v>
      </c>
      <c r="F13">
        <v>157944087</v>
      </c>
      <c r="G13">
        <v>2.7698</v>
      </c>
      <c r="L13" t="s">
        <v>8</v>
      </c>
      <c r="M13" t="s">
        <v>7</v>
      </c>
      <c r="N13" t="s">
        <v>8</v>
      </c>
      <c r="P13">
        <f t="shared" ref="P13" si="40">IF(C13=D13,0,((E13-D13)-(C13-E13))/(C13-D13))</f>
        <v>-0.89679218967921792</v>
      </c>
      <c r="Q13">
        <f t="shared" ref="Q13" si="41">F13*P13</f>
        <v>-141643023.62761489</v>
      </c>
      <c r="R13">
        <f t="shared" ref="R13" si="42">R14+Q13</f>
        <v>1653509344.8677592</v>
      </c>
      <c r="S13">
        <f t="shared" ref="S13" si="43">R13/100000</f>
        <v>16535.093448677591</v>
      </c>
      <c r="T13">
        <f t="shared" ref="T13" si="44">S13/1000</f>
        <v>16.535093448677593</v>
      </c>
    </row>
    <row r="14" spans="1:20" x14ac:dyDescent="0.25">
      <c r="A14" s="5">
        <v>44579</v>
      </c>
      <c r="B14">
        <v>2.9222000000000001</v>
      </c>
      <c r="C14">
        <v>3.0150999999999999</v>
      </c>
      <c r="D14">
        <v>2.7071000000000001</v>
      </c>
      <c r="E14">
        <v>2.9529999999999998</v>
      </c>
      <c r="F14">
        <v>169809351</v>
      </c>
      <c r="G14">
        <v>2.9529999999999998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0.59675324675324626</v>
      </c>
      <c r="Q14">
        <f t="shared" ref="Q14" si="46">F14*P14</f>
        <v>101334281.5383116</v>
      </c>
      <c r="R14">
        <f t="shared" ref="R14" si="47">R15+Q14</f>
        <v>1795152368.4953742</v>
      </c>
      <c r="S14">
        <f t="shared" ref="S14" si="48">R14/100000</f>
        <v>17951.523684953743</v>
      </c>
      <c r="T14">
        <f t="shared" ref="T14" si="49">S14/1000</f>
        <v>17.951523684953742</v>
      </c>
    </row>
    <row r="15" spans="1:20" x14ac:dyDescent="0.25">
      <c r="A15" s="5">
        <v>44578</v>
      </c>
      <c r="B15">
        <v>3.3088000000000002</v>
      </c>
      <c r="C15">
        <v>3.3788</v>
      </c>
      <c r="D15">
        <v>2.8801000000000001</v>
      </c>
      <c r="E15">
        <v>2.9220999999999999</v>
      </c>
      <c r="F15">
        <v>169973821</v>
      </c>
      <c r="G15">
        <v>2.9220999999999999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-0.83156206135953548</v>
      </c>
      <c r="Q15">
        <f t="shared" ref="Q15" si="51">F15*P15</f>
        <v>-141343780.9679167</v>
      </c>
      <c r="R15">
        <f t="shared" ref="R15" si="52">R16+Q15</f>
        <v>1693818086.9570625</v>
      </c>
      <c r="S15">
        <f t="shared" ref="S15" si="53">R15/100000</f>
        <v>16938.180869570624</v>
      </c>
      <c r="T15">
        <f t="shared" ref="T15" si="54">S15/1000</f>
        <v>16.938180869570623</v>
      </c>
    </row>
    <row r="16" spans="1:20" x14ac:dyDescent="0.25">
      <c r="A16" s="5">
        <v>44577</v>
      </c>
      <c r="B16">
        <v>3.0026000000000002</v>
      </c>
      <c r="C16">
        <v>3.32</v>
      </c>
      <c r="D16">
        <v>2.9344999999999999</v>
      </c>
      <c r="E16">
        <v>3.3092000000000001</v>
      </c>
      <c r="F16">
        <v>172922214</v>
      </c>
      <c r="G16">
        <v>3.3092000000000001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0.94396887159533227</v>
      </c>
      <c r="Q16">
        <f t="shared" ref="Q16" si="56">F16*P16</f>
        <v>163233187.22334656</v>
      </c>
      <c r="R16">
        <f t="shared" ref="R16" si="57">R17+Q16</f>
        <v>1835161867.9249792</v>
      </c>
      <c r="S16">
        <f t="shared" ref="S16" si="58">R16/100000</f>
        <v>18351.618679249794</v>
      </c>
      <c r="T16">
        <f t="shared" ref="T16" si="59">S16/1000</f>
        <v>18.351618679249793</v>
      </c>
    </row>
    <row r="17" spans="1:20" x14ac:dyDescent="0.25">
      <c r="A17" s="5">
        <v>44576</v>
      </c>
      <c r="B17">
        <v>2.9582000000000002</v>
      </c>
      <c r="C17">
        <v>3.04</v>
      </c>
      <c r="D17">
        <v>2.8342000000000001</v>
      </c>
      <c r="E17">
        <v>3.0015000000000001</v>
      </c>
      <c r="F17">
        <v>83017115</v>
      </c>
      <c r="G17">
        <v>3.0015000000000001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0.62585034013605456</v>
      </c>
      <c r="Q17">
        <f t="shared" ref="Q17" si="61">F17*P17</f>
        <v>51956289.659863956</v>
      </c>
      <c r="R17">
        <f t="shared" ref="R17" si="62">R18+Q17</f>
        <v>1671928680.7016327</v>
      </c>
      <c r="S17">
        <f t="shared" ref="S17" si="63">R17/100000</f>
        <v>16719.286807016328</v>
      </c>
      <c r="T17">
        <f t="shared" ref="T17" si="64">S17/1000</f>
        <v>16.719286807016328</v>
      </c>
    </row>
    <row r="18" spans="1:20" x14ac:dyDescent="0.25">
      <c r="A18" s="5">
        <v>44575</v>
      </c>
      <c r="B18">
        <v>3.0076999999999998</v>
      </c>
      <c r="C18">
        <v>3.0676000000000001</v>
      </c>
      <c r="D18">
        <v>2.81</v>
      </c>
      <c r="E18">
        <v>2.9575999999999998</v>
      </c>
      <c r="F18">
        <v>161835492</v>
      </c>
      <c r="G18">
        <v>2.9575999999999998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0.14596273291925235</v>
      </c>
      <c r="Q18">
        <f t="shared" ref="Q18" si="66">F18*P18</f>
        <v>23621950.695651799</v>
      </c>
      <c r="R18">
        <f t="shared" ref="R18" si="67">R19+Q18</f>
        <v>1619972391.0417688</v>
      </c>
      <c r="S18">
        <f t="shared" ref="S18" si="68">R18/100000</f>
        <v>16199.723910417688</v>
      </c>
      <c r="T18">
        <f t="shared" ref="T18" si="69">S18/1000</f>
        <v>16.199723910417688</v>
      </c>
    </row>
    <row r="19" spans="1:20" x14ac:dyDescent="0.25">
      <c r="A19" s="5">
        <v>44574</v>
      </c>
      <c r="B19">
        <v>2.9422999999999999</v>
      </c>
      <c r="C19">
        <v>3.15</v>
      </c>
      <c r="D19">
        <v>2.7887</v>
      </c>
      <c r="E19">
        <v>3.0081000000000002</v>
      </c>
      <c r="F19">
        <v>237162843</v>
      </c>
      <c r="G19">
        <v>3.0081000000000002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0.21450318295045828</v>
      </c>
      <c r="Q19">
        <f t="shared" ref="Q19" si="71">F19*P19</f>
        <v>50872184.701079816</v>
      </c>
      <c r="R19">
        <f t="shared" ref="R19" si="72">R20+Q19</f>
        <v>1596350440.346117</v>
      </c>
      <c r="S19">
        <f t="shared" ref="S19" si="73">R19/100000</f>
        <v>15963.504403461171</v>
      </c>
      <c r="T19">
        <f t="shared" ref="T19" si="74">S19/1000</f>
        <v>15.963504403461171</v>
      </c>
    </row>
    <row r="20" spans="1:20" x14ac:dyDescent="0.25">
      <c r="A20" s="5">
        <v>44573</v>
      </c>
      <c r="B20">
        <v>2.5895999999999999</v>
      </c>
      <c r="C20">
        <v>3.0219</v>
      </c>
      <c r="D20">
        <v>2.5888</v>
      </c>
      <c r="E20">
        <v>2.9434999999999998</v>
      </c>
      <c r="F20">
        <v>208372998</v>
      </c>
      <c r="G20">
        <v>2.9434999999999998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0.63795890094666252</v>
      </c>
      <c r="Q20">
        <f t="shared" ref="Q20" si="76">F20*P20</f>
        <v>132933408.79104111</v>
      </c>
      <c r="R20">
        <f t="shared" ref="R20" si="77">R21+Q20</f>
        <v>1545478255.6450372</v>
      </c>
      <c r="S20">
        <f t="shared" ref="S20" si="78">R20/100000</f>
        <v>15454.782556450371</v>
      </c>
      <c r="T20">
        <f t="shared" ref="T20" si="79">S20/1000</f>
        <v>15.454782556450372</v>
      </c>
    </row>
    <row r="21" spans="1:20" x14ac:dyDescent="0.25">
      <c r="A21" s="5">
        <v>44572</v>
      </c>
      <c r="B21">
        <v>2.2244999999999999</v>
      </c>
      <c r="C21">
        <v>2.6</v>
      </c>
      <c r="D21">
        <v>2.1886000000000001</v>
      </c>
      <c r="E21">
        <v>2.5895999999999999</v>
      </c>
      <c r="F21">
        <v>179831429</v>
      </c>
      <c r="G21">
        <v>2.5895999999999999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0.94944093339815172</v>
      </c>
      <c r="Q21">
        <f t="shared" ref="Q21" si="81">F21*P21</f>
        <v>170739319.80408344</v>
      </c>
      <c r="R21">
        <f t="shared" ref="R21" si="82">R22+Q21</f>
        <v>1412544846.853996</v>
      </c>
      <c r="S21">
        <f t="shared" ref="S21" si="83">R21/100000</f>
        <v>14125.44846853996</v>
      </c>
      <c r="T21">
        <f t="shared" ref="T21" si="84">S21/1000</f>
        <v>14.125448468539961</v>
      </c>
    </row>
    <row r="22" spans="1:20" x14ac:dyDescent="0.25">
      <c r="A22" s="5">
        <v>44571</v>
      </c>
      <c r="B22">
        <v>2.3902999999999999</v>
      </c>
      <c r="C22">
        <v>2.4792000000000001</v>
      </c>
      <c r="D22">
        <v>2.1</v>
      </c>
      <c r="E22">
        <v>2.2238000000000002</v>
      </c>
      <c r="F22">
        <v>173949101</v>
      </c>
      <c r="G22">
        <v>2.2238000000000002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-0.34704641350210896</v>
      </c>
      <c r="Q22">
        <f t="shared" ref="Q22" si="86">F22*P22</f>
        <v>-60368411.633966118</v>
      </c>
      <c r="R22">
        <f t="shared" ref="R22" si="87">R23+Q22</f>
        <v>1241805527.0499127</v>
      </c>
      <c r="S22">
        <f t="shared" ref="S22" si="88">R22/100000</f>
        <v>12418.055270499128</v>
      </c>
      <c r="T22">
        <f t="shared" ref="T22" si="89">S22/1000</f>
        <v>12.418055270499128</v>
      </c>
    </row>
    <row r="23" spans="1:20" x14ac:dyDescent="0.25">
      <c r="A23" s="5">
        <v>44570</v>
      </c>
      <c r="B23">
        <v>2.2845</v>
      </c>
      <c r="C23">
        <v>2.5265</v>
      </c>
      <c r="D23">
        <v>2.2320000000000002</v>
      </c>
      <c r="E23">
        <v>2.3919000000000001</v>
      </c>
      <c r="F23">
        <v>153812869</v>
      </c>
      <c r="G23">
        <v>2.3919000000000001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8.5908319185059825E-2</v>
      </c>
      <c r="Q23">
        <f t="shared" ref="Q23" si="91">F23*P23</f>
        <v>13213805.044821793</v>
      </c>
      <c r="R23">
        <f t="shared" ref="R23" si="92">R24+Q23</f>
        <v>1302173938.6838789</v>
      </c>
      <c r="S23">
        <f t="shared" ref="S23" si="93">R23/100000</f>
        <v>13021.73938683879</v>
      </c>
      <c r="T23">
        <f t="shared" ref="T23" si="94">S23/1000</f>
        <v>13.021739386838791</v>
      </c>
    </row>
    <row r="24" spans="1:20" x14ac:dyDescent="0.25">
      <c r="A24" s="5">
        <v>44569</v>
      </c>
      <c r="B24">
        <v>2.6030000000000002</v>
      </c>
      <c r="C24">
        <v>2.69</v>
      </c>
      <c r="D24">
        <v>2.1762000000000001</v>
      </c>
      <c r="E24">
        <v>2.2837000000000001</v>
      </c>
      <c r="F24">
        <v>223372687</v>
      </c>
      <c r="G24">
        <v>2.2837000000000001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-0.58154924094978599</v>
      </c>
      <c r="Q24">
        <f t="shared" ref="Q24" si="96">F24*P24</f>
        <v>-129902216.57376413</v>
      </c>
      <c r="R24">
        <f t="shared" ref="R24" si="97">R25+Q24</f>
        <v>1288960133.6390572</v>
      </c>
      <c r="S24">
        <f t="shared" ref="S24" si="98">R24/100000</f>
        <v>12889.601336390571</v>
      </c>
      <c r="T24">
        <f t="shared" ref="T24" si="99">S24/1000</f>
        <v>12.889601336390571</v>
      </c>
    </row>
    <row r="25" spans="1:20" x14ac:dyDescent="0.25">
      <c r="A25" s="5">
        <v>44568</v>
      </c>
      <c r="B25">
        <v>2.8908</v>
      </c>
      <c r="C25">
        <v>2.8982000000000001</v>
      </c>
      <c r="D25">
        <v>2.5632000000000001</v>
      </c>
      <c r="E25">
        <v>2.6031</v>
      </c>
      <c r="F25">
        <v>220131804</v>
      </c>
      <c r="G25">
        <v>2.6031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-0.76179104477612047</v>
      </c>
      <c r="Q25">
        <f t="shared" ref="Q25" si="101">F25*P25</f>
        <v>-167694436.95761219</v>
      </c>
      <c r="R25">
        <f t="shared" ref="R25" si="102">R26+Q25</f>
        <v>1418862350.2128212</v>
      </c>
      <c r="S25">
        <f t="shared" ref="S25" si="103">R25/100000</f>
        <v>14188.623502128212</v>
      </c>
      <c r="T25">
        <f t="shared" ref="T25" si="104">S25/1000</f>
        <v>14.188623502128213</v>
      </c>
    </row>
    <row r="26" spans="1:20" x14ac:dyDescent="0.25">
      <c r="A26" s="5">
        <v>44567</v>
      </c>
      <c r="B26">
        <v>2.9338000000000002</v>
      </c>
      <c r="C26">
        <v>3.0297000000000001</v>
      </c>
      <c r="D26">
        <v>2.6398000000000001</v>
      </c>
      <c r="E26">
        <v>2.8908</v>
      </c>
      <c r="F26">
        <v>237894459</v>
      </c>
      <c r="G26">
        <v>2.8908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0.2875096178507307</v>
      </c>
      <c r="Q26">
        <f t="shared" ref="Q26" si="106">F26*P26</f>
        <v>68396944.995896325</v>
      </c>
      <c r="R26">
        <f t="shared" ref="R26" si="107">R27+Q26</f>
        <v>1586556787.1704335</v>
      </c>
      <c r="S26">
        <f t="shared" ref="S26" si="108">R26/100000</f>
        <v>15865.567871704336</v>
      </c>
      <c r="T26">
        <f t="shared" ref="T26" si="109">S26/1000</f>
        <v>15.865567871704336</v>
      </c>
    </row>
    <row r="27" spans="1:20" x14ac:dyDescent="0.25">
      <c r="A27" s="5">
        <v>44566</v>
      </c>
      <c r="B27">
        <v>2.8784000000000001</v>
      </c>
      <c r="C27">
        <v>3.1598999999999999</v>
      </c>
      <c r="D27">
        <v>2.5945</v>
      </c>
      <c r="E27">
        <v>2.9306999999999999</v>
      </c>
      <c r="F27">
        <v>285990507</v>
      </c>
      <c r="G27">
        <v>2.9306999999999999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0.18924655111425501</v>
      </c>
      <c r="Q27">
        <f t="shared" ref="Q27" si="111">F27*P27</f>
        <v>54122717.101167202</v>
      </c>
      <c r="R27">
        <f t="shared" ref="R27" si="112">R28+Q27</f>
        <v>1518159842.1745372</v>
      </c>
      <c r="S27">
        <f t="shared" ref="S27" si="113">R27/100000</f>
        <v>15181.598421745372</v>
      </c>
      <c r="T27">
        <f t="shared" ref="T27" si="114">S27/1000</f>
        <v>15.181598421745372</v>
      </c>
    </row>
    <row r="28" spans="1:20" x14ac:dyDescent="0.25">
      <c r="A28" s="5">
        <v>44565</v>
      </c>
      <c r="B28">
        <v>2.8677000000000001</v>
      </c>
      <c r="C28">
        <v>3.0674999999999999</v>
      </c>
      <c r="D28">
        <v>2.8071999999999999</v>
      </c>
      <c r="E28">
        <v>2.8776999999999999</v>
      </c>
      <c r="F28">
        <v>171100513</v>
      </c>
      <c r="G28">
        <v>2.8776999999999999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-0.45831732616212051</v>
      </c>
      <c r="Q28">
        <f t="shared" ref="Q28" si="116">F28*P28</f>
        <v>-78418329.623127148</v>
      </c>
      <c r="R28">
        <f t="shared" ref="R28" si="117">R29+Q28</f>
        <v>1464037125.07337</v>
      </c>
      <c r="S28">
        <f t="shared" ref="S28" si="118">R28/100000</f>
        <v>14640.3712507337</v>
      </c>
      <c r="T28">
        <f t="shared" ref="T28" si="119">S28/1000</f>
        <v>14.6403712507337</v>
      </c>
    </row>
    <row r="29" spans="1:20" x14ac:dyDescent="0.25">
      <c r="A29" s="5">
        <v>44564</v>
      </c>
      <c r="B29">
        <v>2.4836999999999998</v>
      </c>
      <c r="C29">
        <v>2.8690000000000002</v>
      </c>
      <c r="D29">
        <v>2.37</v>
      </c>
      <c r="E29">
        <v>2.8677000000000001</v>
      </c>
      <c r="F29">
        <v>175755937</v>
      </c>
      <c r="G29">
        <v>2.8677000000000001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0.99478957915831634</v>
      </c>
      <c r="Q29">
        <f t="shared" ref="Q29" si="121">F29*P29</f>
        <v>174840174.60280555</v>
      </c>
      <c r="R29">
        <f t="shared" ref="R29" si="122">R30+Q29</f>
        <v>1542455454.6964972</v>
      </c>
      <c r="S29">
        <f t="shared" ref="S29" si="123">R29/100000</f>
        <v>15424.554546964971</v>
      </c>
      <c r="T29">
        <f t="shared" ref="T29" si="124">S29/1000</f>
        <v>15.424554546964972</v>
      </c>
    </row>
    <row r="30" spans="1:20" x14ac:dyDescent="0.25">
      <c r="A30" s="5">
        <v>44563</v>
      </c>
      <c r="B30">
        <v>2.5840000000000001</v>
      </c>
      <c r="C30">
        <v>2.6</v>
      </c>
      <c r="D30">
        <v>2.4443999999999999</v>
      </c>
      <c r="E30">
        <v>2.4836</v>
      </c>
      <c r="F30">
        <v>84920918</v>
      </c>
      <c r="G30">
        <v>2.4836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-0.49614395886889362</v>
      </c>
      <c r="Q30">
        <f t="shared" ref="Q30" si="126">F30*P30</f>
        <v>-42133000.447300687</v>
      </c>
      <c r="R30">
        <f t="shared" ref="R30" si="127">R31+Q30</f>
        <v>1367615280.0936916</v>
      </c>
      <c r="S30">
        <f t="shared" ref="S30" si="128">R30/100000</f>
        <v>13676.152800936916</v>
      </c>
      <c r="T30">
        <f t="shared" ref="T30" si="129">S30/1000</f>
        <v>13.676152800936915</v>
      </c>
    </row>
    <row r="31" spans="1:20" x14ac:dyDescent="0.25">
      <c r="A31" s="5">
        <v>44562</v>
      </c>
      <c r="B31">
        <v>2.2496</v>
      </c>
      <c r="C31">
        <v>2.5983000000000001</v>
      </c>
      <c r="D31">
        <v>2.2481</v>
      </c>
      <c r="E31">
        <v>2.5838000000000001</v>
      </c>
      <c r="F31">
        <v>113188005</v>
      </c>
      <c r="G31">
        <v>2.5838000000000001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0.9171901770416907</v>
      </c>
      <c r="Q31">
        <f t="shared" ref="Q31" si="131">F31*P31</f>
        <v>103814926.34494577</v>
      </c>
      <c r="R31">
        <f t="shared" ref="R31" si="132">R32+Q31</f>
        <v>1409748280.5409923</v>
      </c>
      <c r="S31">
        <f t="shared" ref="S31" si="133">R31/100000</f>
        <v>14097.482805409923</v>
      </c>
      <c r="T31">
        <f t="shared" ref="T31" si="134">S31/1000</f>
        <v>14.097482805409923</v>
      </c>
    </row>
    <row r="32" spans="1:20" x14ac:dyDescent="0.25">
      <c r="A32" s="5">
        <v>44561</v>
      </c>
      <c r="B32">
        <v>2.1013000000000002</v>
      </c>
      <c r="C32">
        <v>2.3456000000000001</v>
      </c>
      <c r="D32">
        <v>2.0804999999999998</v>
      </c>
      <c r="E32">
        <v>2.2488999999999999</v>
      </c>
      <c r="F32">
        <v>111035497</v>
      </c>
      <c r="G32">
        <v>2.2488999999999999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0.27046397585816589</v>
      </c>
      <c r="Q32">
        <f t="shared" ref="Q32" si="136">F32*P32</f>
        <v>30031101.980007451</v>
      </c>
      <c r="R32">
        <f t="shared" ref="R32" si="137">R33+Q32</f>
        <v>1305933354.1960466</v>
      </c>
      <c r="S32">
        <f t="shared" ref="S32" si="138">R32/100000</f>
        <v>13059.333541960466</v>
      </c>
      <c r="T32">
        <f t="shared" ref="T32" si="139">S32/1000</f>
        <v>13.059333541960466</v>
      </c>
    </row>
    <row r="33" spans="1:20" x14ac:dyDescent="0.25">
      <c r="A33" s="5">
        <v>44560</v>
      </c>
      <c r="B33">
        <v>2.1349999999999998</v>
      </c>
      <c r="C33">
        <v>2.2282999999999999</v>
      </c>
      <c r="D33">
        <v>2.0350000000000001</v>
      </c>
      <c r="E33">
        <v>2.1015999999999999</v>
      </c>
      <c r="F33">
        <v>85174636</v>
      </c>
      <c r="G33">
        <v>2.1015999999999999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-0.31091567511640106</v>
      </c>
      <c r="Q33">
        <f t="shared" ref="Q33" si="141">F33*P33</f>
        <v>-26482129.454733718</v>
      </c>
      <c r="R33">
        <f t="shared" ref="R33" si="142">R34+Q33</f>
        <v>1275902252.2160392</v>
      </c>
      <c r="S33">
        <f t="shared" ref="S33" si="143">R33/100000</f>
        <v>12759.022522160392</v>
      </c>
      <c r="T33">
        <f t="shared" ref="T33" si="144">S33/1000</f>
        <v>12.759022522160393</v>
      </c>
    </row>
    <row r="34" spans="1:20" x14ac:dyDescent="0.25">
      <c r="A34" s="5">
        <v>44559</v>
      </c>
      <c r="B34">
        <v>2.2284000000000002</v>
      </c>
      <c r="C34">
        <v>2.3650000000000002</v>
      </c>
      <c r="D34">
        <v>2.1</v>
      </c>
      <c r="E34">
        <v>2.1362000000000001</v>
      </c>
      <c r="F34">
        <v>143841428</v>
      </c>
      <c r="G34">
        <v>2.1362000000000001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-0.72679245283018878</v>
      </c>
      <c r="Q34">
        <f t="shared" ref="Q34" si="146">F34*P34</f>
        <v>-104542864.274717</v>
      </c>
      <c r="R34">
        <f t="shared" ref="R34" si="147">R35+Q34</f>
        <v>1302384381.6707728</v>
      </c>
      <c r="S34">
        <f t="shared" ref="S34" si="148">R34/100000</f>
        <v>13023.843816707727</v>
      </c>
      <c r="T34">
        <f t="shared" ref="T34" si="149">S34/1000</f>
        <v>13.023843816707727</v>
      </c>
    </row>
    <row r="35" spans="1:20" x14ac:dyDescent="0.25">
      <c r="A35" s="5">
        <v>44558</v>
      </c>
      <c r="B35">
        <v>2.1995</v>
      </c>
      <c r="C35">
        <v>2.3671000000000002</v>
      </c>
      <c r="D35">
        <v>2.0680000000000001</v>
      </c>
      <c r="E35">
        <v>2.2282000000000002</v>
      </c>
      <c r="F35">
        <v>195601970</v>
      </c>
      <c r="G35">
        <v>2.2282000000000002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7.1213640922768592E-2</v>
      </c>
      <c r="Q35">
        <f t="shared" ref="Q35" si="151">F35*P35</f>
        <v>13929528.455366155</v>
      </c>
      <c r="R35">
        <f t="shared" ref="R35" si="152">R36+Q35</f>
        <v>1406927245.9454899</v>
      </c>
      <c r="S35">
        <f t="shared" ref="S35" si="153">R35/100000</f>
        <v>14069.272459454898</v>
      </c>
      <c r="T35">
        <f t="shared" ref="T35" si="154">S35/1000</f>
        <v>14.069272459454899</v>
      </c>
    </row>
    <row r="36" spans="1:20" x14ac:dyDescent="0.25">
      <c r="A36" s="5">
        <v>44557</v>
      </c>
      <c r="B36">
        <v>2.3376999999999999</v>
      </c>
      <c r="C36">
        <v>2.4487999999999999</v>
      </c>
      <c r="D36">
        <v>2.1818</v>
      </c>
      <c r="E36">
        <v>2.1985999999999999</v>
      </c>
      <c r="F36">
        <v>107528302</v>
      </c>
      <c r="G36">
        <v>2.1985999999999999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-0.87415730337078701</v>
      </c>
      <c r="Q36">
        <f t="shared" ref="Q36" si="156">F36*P36</f>
        <v>-93996650.512359604</v>
      </c>
      <c r="R36">
        <f t="shared" ref="R36" si="157">R37+Q36</f>
        <v>1392997717.4901237</v>
      </c>
      <c r="S36">
        <f t="shared" ref="S36" si="158">R36/100000</f>
        <v>13929.977174901238</v>
      </c>
      <c r="T36">
        <f t="shared" ref="T36" si="159">S36/1000</f>
        <v>13.929977174901238</v>
      </c>
    </row>
    <row r="37" spans="1:20" x14ac:dyDescent="0.25">
      <c r="A37" s="5">
        <v>44556</v>
      </c>
      <c r="B37">
        <v>2.1109</v>
      </c>
      <c r="C37">
        <v>2.3866000000000001</v>
      </c>
      <c r="D37">
        <v>2.0922000000000001</v>
      </c>
      <c r="E37">
        <v>2.3376999999999999</v>
      </c>
      <c r="F37">
        <v>149782998</v>
      </c>
      <c r="G37">
        <v>2.3376999999999999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0.66779891304347716</v>
      </c>
      <c r="Q37">
        <f t="shared" ref="Q37" si="161">F37*P37</f>
        <v>100024923.25679332</v>
      </c>
      <c r="R37">
        <f t="shared" ref="R37" si="162">R38+Q37</f>
        <v>1486994368.0024834</v>
      </c>
      <c r="S37">
        <f t="shared" ref="S37" si="163">R37/100000</f>
        <v>14869.943680024833</v>
      </c>
      <c r="T37">
        <f t="shared" ref="T37" si="164">S37/1000</f>
        <v>14.869943680024834</v>
      </c>
    </row>
    <row r="38" spans="1:20" x14ac:dyDescent="0.25">
      <c r="A38" s="5">
        <v>44555</v>
      </c>
      <c r="B38">
        <v>2.0832999999999999</v>
      </c>
      <c r="C38">
        <v>2.1751999999999998</v>
      </c>
      <c r="D38">
        <v>1.968</v>
      </c>
      <c r="E38">
        <v>2.1109</v>
      </c>
      <c r="F38">
        <v>114116237</v>
      </c>
      <c r="G38">
        <v>2.1109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0.37934362934363075</v>
      </c>
      <c r="Q38">
        <f t="shared" ref="Q38" si="166">F38*P38</f>
        <v>43289267.510617919</v>
      </c>
      <c r="R38">
        <f t="shared" ref="R38" si="167">R39+Q38</f>
        <v>1386969444.7456901</v>
      </c>
      <c r="S38">
        <f t="shared" ref="S38" si="168">R38/100000</f>
        <v>13869.694447456901</v>
      </c>
      <c r="T38">
        <f t="shared" ref="T38" si="169">S38/1000</f>
        <v>13.869694447456901</v>
      </c>
    </row>
    <row r="39" spans="1:20" x14ac:dyDescent="0.25">
      <c r="A39" s="5">
        <v>44554</v>
      </c>
      <c r="B39">
        <v>1.8638999999999999</v>
      </c>
      <c r="C39">
        <v>2.2378999999999998</v>
      </c>
      <c r="D39">
        <v>1.837</v>
      </c>
      <c r="E39">
        <v>2.0832999999999999</v>
      </c>
      <c r="F39">
        <v>168369408</v>
      </c>
      <c r="G39">
        <v>2.0832999999999999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0.22873534547268684</v>
      </c>
      <c r="Q39">
        <f t="shared" ref="Q39" si="171">F39*P39</f>
        <v>38512034.705911763</v>
      </c>
      <c r="R39">
        <f t="shared" ref="R39" si="172">R40+Q39</f>
        <v>1343680177.2350721</v>
      </c>
      <c r="S39">
        <f t="shared" ref="S39" si="173">R39/100000</f>
        <v>13436.801772350722</v>
      </c>
      <c r="T39">
        <f t="shared" ref="T39" si="174">S39/1000</f>
        <v>13.436801772350721</v>
      </c>
    </row>
    <row r="40" spans="1:20" x14ac:dyDescent="0.25">
      <c r="A40" s="5">
        <v>44553</v>
      </c>
      <c r="B40">
        <v>1.5985</v>
      </c>
      <c r="C40">
        <v>1.92</v>
      </c>
      <c r="D40">
        <v>1.5737000000000001</v>
      </c>
      <c r="E40">
        <v>1.8635999999999999</v>
      </c>
      <c r="F40">
        <v>165123179</v>
      </c>
      <c r="G40">
        <v>1.8635999999999999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0.67427086341322529</v>
      </c>
      <c r="Q40">
        <f t="shared" ref="Q40" si="176">F40*P40</f>
        <v>111337748.47386655</v>
      </c>
      <c r="R40">
        <f t="shared" ref="R40" si="177">R41+Q40</f>
        <v>1305168142.5291603</v>
      </c>
      <c r="S40">
        <f t="shared" ref="S40" si="178">R40/100000</f>
        <v>13051.681425291603</v>
      </c>
      <c r="T40">
        <f t="shared" ref="T40" si="179">S40/1000</f>
        <v>13.051681425291603</v>
      </c>
    </row>
    <row r="41" spans="1:20" x14ac:dyDescent="0.25">
      <c r="A41" s="5">
        <v>44552</v>
      </c>
      <c r="B41">
        <v>1.4807999999999999</v>
      </c>
      <c r="C41">
        <v>1.6708000000000001</v>
      </c>
      <c r="D41">
        <v>1.472</v>
      </c>
      <c r="E41">
        <v>1.5979000000000001</v>
      </c>
      <c r="F41">
        <v>103358215</v>
      </c>
      <c r="G41">
        <v>1.5979000000000001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0.26659959758551377</v>
      </c>
      <c r="Q41">
        <f t="shared" ref="Q41" si="181">F41*P41</f>
        <v>27555258.526157014</v>
      </c>
      <c r="R41">
        <f t="shared" ref="R41" si="182">R42+Q41</f>
        <v>1193830394.0552938</v>
      </c>
      <c r="S41">
        <f t="shared" ref="S41" si="183">R41/100000</f>
        <v>11938.303940552938</v>
      </c>
      <c r="T41">
        <f t="shared" ref="T41" si="184">S41/1000</f>
        <v>11.938303940552938</v>
      </c>
    </row>
    <row r="42" spans="1:20" x14ac:dyDescent="0.25">
      <c r="A42" s="5">
        <v>44551</v>
      </c>
      <c r="B42">
        <v>1.3654999999999999</v>
      </c>
      <c r="C42">
        <v>1.4911000000000001</v>
      </c>
      <c r="D42">
        <v>1.3424</v>
      </c>
      <c r="E42">
        <v>1.4810000000000001</v>
      </c>
      <c r="F42">
        <v>61078448</v>
      </c>
      <c r="G42">
        <v>1.4810000000000001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0.86415601882985882</v>
      </c>
      <c r="Q42">
        <f t="shared" ref="Q42" si="186">F42*P42</f>
        <v>52781308.459986553</v>
      </c>
      <c r="R42">
        <f t="shared" ref="R42" si="187">R43+Q42</f>
        <v>1166275135.5291369</v>
      </c>
      <c r="S42">
        <f t="shared" ref="S42" si="188">R42/100000</f>
        <v>11662.75135529137</v>
      </c>
      <c r="T42">
        <f t="shared" ref="T42" si="189">S42/1000</f>
        <v>11.66275135529137</v>
      </c>
    </row>
    <row r="43" spans="1:20" x14ac:dyDescent="0.25">
      <c r="A43" s="5">
        <v>44550</v>
      </c>
      <c r="B43">
        <v>1.4278999999999999</v>
      </c>
      <c r="C43">
        <v>1.4446000000000001</v>
      </c>
      <c r="D43">
        <v>1.3096000000000001</v>
      </c>
      <c r="E43">
        <v>1.3646</v>
      </c>
      <c r="F43">
        <v>74942778</v>
      </c>
      <c r="G43">
        <v>1.3646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-0.18518518518518615</v>
      </c>
      <c r="Q43">
        <f t="shared" ref="Q43" si="191">F43*P43</f>
        <v>-13878292.222222295</v>
      </c>
      <c r="R43">
        <f t="shared" ref="R43" si="192">R44+Q43</f>
        <v>1113493827.0691504</v>
      </c>
      <c r="S43">
        <f t="shared" ref="S43" si="193">R43/100000</f>
        <v>11134.938270691504</v>
      </c>
      <c r="T43">
        <f t="shared" ref="T43" si="194">S43/1000</f>
        <v>11.134938270691505</v>
      </c>
    </row>
    <row r="44" spans="1:20" x14ac:dyDescent="0.25">
      <c r="A44" s="5">
        <v>44549</v>
      </c>
      <c r="B44">
        <v>1.4207000000000001</v>
      </c>
      <c r="C44">
        <v>1.4762</v>
      </c>
      <c r="D44">
        <v>1.3879999999999999</v>
      </c>
      <c r="E44">
        <v>1.4277</v>
      </c>
      <c r="F44">
        <v>49011953</v>
      </c>
      <c r="G44">
        <v>1.4277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-9.9773242630384507E-2</v>
      </c>
      <c r="Q44">
        <f t="shared" ref="Q44" si="196">F44*P44</f>
        <v>-4890081.4784580022</v>
      </c>
      <c r="R44">
        <f t="shared" ref="R44" si="197">R45+Q44</f>
        <v>1127372119.2913728</v>
      </c>
      <c r="S44">
        <f t="shared" ref="S44" si="198">R44/100000</f>
        <v>11273.721192913728</v>
      </c>
      <c r="T44">
        <f t="shared" ref="T44" si="199">S44/1000</f>
        <v>11.273721192913728</v>
      </c>
    </row>
    <row r="45" spans="1:20" x14ac:dyDescent="0.25">
      <c r="A45" s="5">
        <v>44548</v>
      </c>
      <c r="B45">
        <v>1.4024000000000001</v>
      </c>
      <c r="C45">
        <v>1.54</v>
      </c>
      <c r="D45">
        <v>1.3545</v>
      </c>
      <c r="E45">
        <v>1.4206000000000001</v>
      </c>
      <c r="F45">
        <v>79577292</v>
      </c>
      <c r="G45">
        <v>1.4206000000000001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-0.28733153638813963</v>
      </c>
      <c r="Q45">
        <f t="shared" ref="Q45" si="201">F45*P45</f>
        <v>-22865065.571967613</v>
      </c>
      <c r="R45">
        <f t="shared" ref="R45" si="202">R46+Q45</f>
        <v>1132262200.7698307</v>
      </c>
      <c r="S45">
        <f t="shared" ref="S45" si="203">R45/100000</f>
        <v>11322.622007698306</v>
      </c>
      <c r="T45">
        <f t="shared" ref="T45" si="204">S45/1000</f>
        <v>11.322622007698307</v>
      </c>
    </row>
    <row r="46" spans="1:20" x14ac:dyDescent="0.25">
      <c r="A46" s="5">
        <v>44547</v>
      </c>
      <c r="B46">
        <v>1.4271</v>
      </c>
      <c r="C46">
        <v>1.4904999999999999</v>
      </c>
      <c r="D46">
        <v>1.3321000000000001</v>
      </c>
      <c r="E46">
        <v>1.4021999999999999</v>
      </c>
      <c r="F46">
        <v>81983188</v>
      </c>
      <c r="G46">
        <v>1.4021999999999999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-0.11489898989899136</v>
      </c>
      <c r="Q46">
        <f t="shared" ref="Q46" si="206">F46*P46</f>
        <v>-9419785.48989911</v>
      </c>
      <c r="R46">
        <f t="shared" ref="R46" si="207">R47+Q46</f>
        <v>1155127266.3417983</v>
      </c>
      <c r="S46">
        <f t="shared" ref="S46" si="208">R46/100000</f>
        <v>11551.272663417983</v>
      </c>
      <c r="T46">
        <f t="shared" ref="T46" si="209">S46/1000</f>
        <v>11.551272663417983</v>
      </c>
    </row>
    <row r="47" spans="1:20" x14ac:dyDescent="0.25">
      <c r="A47" s="5">
        <v>44546</v>
      </c>
      <c r="B47">
        <v>1.4748000000000001</v>
      </c>
      <c r="C47">
        <v>1.58</v>
      </c>
      <c r="D47">
        <v>1.4195</v>
      </c>
      <c r="E47">
        <v>1.427</v>
      </c>
      <c r="F47">
        <v>97263225</v>
      </c>
      <c r="G47">
        <v>1.427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-0.90654205607476568</v>
      </c>
      <c r="Q47">
        <f t="shared" ref="Q47" si="211">F47*P47</f>
        <v>-88173203.971962556</v>
      </c>
      <c r="R47">
        <f t="shared" ref="R47" si="212">R48+Q47</f>
        <v>1164547051.8316975</v>
      </c>
      <c r="S47">
        <f t="shared" ref="S47" si="213">R47/100000</f>
        <v>11645.470518316975</v>
      </c>
      <c r="T47">
        <f t="shared" ref="T47" si="214">S47/1000</f>
        <v>11.645470518316975</v>
      </c>
    </row>
    <row r="48" spans="1:20" x14ac:dyDescent="0.25">
      <c r="A48" s="5">
        <v>44545</v>
      </c>
      <c r="B48">
        <v>1.3140000000000001</v>
      </c>
      <c r="C48">
        <v>1.4984999999999999</v>
      </c>
      <c r="D48">
        <v>1.2572000000000001</v>
      </c>
      <c r="E48">
        <v>1.4757</v>
      </c>
      <c r="F48">
        <v>105178815</v>
      </c>
      <c r="G48">
        <v>1.4757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0.81102362204724454</v>
      </c>
      <c r="Q48">
        <f t="shared" ref="Q48" si="216">F48*P48</f>
        <v>85302503.503937051</v>
      </c>
      <c r="R48">
        <f t="shared" ref="R48" si="217">R49+Q48</f>
        <v>1252720255.8036599</v>
      </c>
      <c r="S48">
        <f t="shared" ref="S48" si="218">R48/100000</f>
        <v>12527.202558036599</v>
      </c>
      <c r="T48">
        <f t="shared" ref="T48" si="219">S48/1000</f>
        <v>12.527202558036599</v>
      </c>
    </row>
    <row r="49" spans="1:20" x14ac:dyDescent="0.25">
      <c r="A49" s="5">
        <v>44544</v>
      </c>
      <c r="B49">
        <v>1.2798</v>
      </c>
      <c r="C49">
        <v>1.36</v>
      </c>
      <c r="D49">
        <v>1.2383999999999999</v>
      </c>
      <c r="E49">
        <v>1.3147</v>
      </c>
      <c r="F49">
        <v>69349967</v>
      </c>
      <c r="G49">
        <v>1.3147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0.25493421052631476</v>
      </c>
      <c r="Q49">
        <f t="shared" ref="Q49" si="221">F49*P49</f>
        <v>17679679.087170981</v>
      </c>
      <c r="R49">
        <f t="shared" ref="R49" si="222">R50+Q49</f>
        <v>1167417752.2997229</v>
      </c>
      <c r="S49">
        <f t="shared" ref="S49" si="223">R49/100000</f>
        <v>11674.17752299723</v>
      </c>
      <c r="T49">
        <f t="shared" ref="T49" si="224">S49/1000</f>
        <v>11.67417752299723</v>
      </c>
    </row>
    <row r="50" spans="1:20" x14ac:dyDescent="0.25">
      <c r="A50" s="5">
        <v>44543</v>
      </c>
      <c r="B50">
        <v>1.4893000000000001</v>
      </c>
      <c r="C50">
        <v>1.506</v>
      </c>
      <c r="D50">
        <v>1.2473000000000001</v>
      </c>
      <c r="E50">
        <v>1.2802</v>
      </c>
      <c r="F50">
        <v>88874387</v>
      </c>
      <c r="G50">
        <v>1.2802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-0.74565133359103253</v>
      </c>
      <c r="Q50">
        <f t="shared" ref="Q50" si="226">F50*P50</f>
        <v>-66269305.188635528</v>
      </c>
      <c r="R50">
        <f t="shared" ref="R50" si="227">R51+Q50</f>
        <v>1149738073.2125518</v>
      </c>
      <c r="S50">
        <f t="shared" ref="S50" si="228">R50/100000</f>
        <v>11497.380732125519</v>
      </c>
      <c r="T50">
        <f t="shared" ref="T50" si="229">S50/1000</f>
        <v>11.497380732125519</v>
      </c>
    </row>
    <row r="51" spans="1:20" x14ac:dyDescent="0.25">
      <c r="A51" s="5">
        <v>44542</v>
      </c>
      <c r="B51">
        <v>1.4883999999999999</v>
      </c>
      <c r="C51">
        <v>1.5546</v>
      </c>
      <c r="D51">
        <v>1.4355</v>
      </c>
      <c r="E51">
        <v>1.49</v>
      </c>
      <c r="F51">
        <v>41508344</v>
      </c>
      <c r="G51">
        <v>1.49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-8.4802686817800163E-2</v>
      </c>
      <c r="Q51">
        <f t="shared" ref="Q51" si="231">F51*P51</f>
        <v>-3520019.0965575143</v>
      </c>
      <c r="R51">
        <f t="shared" ref="R51" si="232">R52+Q51</f>
        <v>1216007378.4011874</v>
      </c>
      <c r="S51">
        <f t="shared" ref="S51" si="233">R51/100000</f>
        <v>12160.073784011875</v>
      </c>
      <c r="T51">
        <f t="shared" ref="T51" si="234">S51/1000</f>
        <v>12.160073784011875</v>
      </c>
    </row>
    <row r="52" spans="1:20" x14ac:dyDescent="0.25">
      <c r="A52" s="5">
        <v>44541</v>
      </c>
      <c r="B52">
        <v>1.4139999999999999</v>
      </c>
      <c r="C52">
        <v>1.4395</v>
      </c>
      <c r="D52">
        <v>1.3829</v>
      </c>
      <c r="E52">
        <v>1.4360999999999999</v>
      </c>
      <c r="F52">
        <v>3892686</v>
      </c>
      <c r="G52">
        <v>1.4360999999999999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0.87985865724381374</v>
      </c>
      <c r="Q52">
        <f t="shared" ref="Q52" si="236">F52*P52</f>
        <v>3425013.4770317925</v>
      </c>
      <c r="R52">
        <f t="shared" ref="R52" si="237">R53+Q52</f>
        <v>1219527397.497745</v>
      </c>
      <c r="S52">
        <f t="shared" ref="S52" si="238">R52/100000</f>
        <v>12195.27397497745</v>
      </c>
      <c r="T52">
        <f t="shared" ref="T52" si="239">S52/1000</f>
        <v>12.19527397497745</v>
      </c>
    </row>
    <row r="53" spans="1:20" x14ac:dyDescent="0.25">
      <c r="A53" s="5">
        <v>44540</v>
      </c>
      <c r="B53">
        <v>1.4187000000000001</v>
      </c>
      <c r="C53">
        <v>1.6</v>
      </c>
      <c r="D53">
        <v>1.3815</v>
      </c>
      <c r="E53">
        <v>1.4137</v>
      </c>
      <c r="F53">
        <v>88083094</v>
      </c>
      <c r="G53">
        <v>1.4137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-0.70526315789473693</v>
      </c>
      <c r="Q53">
        <f t="shared" ref="Q53" si="241">F53*P53</f>
        <v>-62121761.031578958</v>
      </c>
      <c r="R53">
        <f t="shared" ref="R53" si="242">R54+Q53</f>
        <v>1216102384.0207133</v>
      </c>
      <c r="S53">
        <f t="shared" ref="S53" si="243">R53/100000</f>
        <v>12161.023840207134</v>
      </c>
      <c r="T53">
        <f t="shared" ref="T53" si="244">S53/1000</f>
        <v>12.161023840207134</v>
      </c>
    </row>
    <row r="54" spans="1:20" x14ac:dyDescent="0.25">
      <c r="A54" s="5">
        <v>44539</v>
      </c>
      <c r="B54">
        <v>1.645</v>
      </c>
      <c r="C54">
        <v>1.6619999999999999</v>
      </c>
      <c r="D54">
        <v>1.4048</v>
      </c>
      <c r="E54">
        <v>1.4188000000000001</v>
      </c>
      <c r="F54">
        <v>71333342</v>
      </c>
      <c r="G54">
        <v>1.4188000000000001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-0.8911353032659407</v>
      </c>
      <c r="Q54">
        <f t="shared" ref="Q54" si="246">F54*P54</f>
        <v>-63567659.356143065</v>
      </c>
      <c r="R54">
        <f t="shared" ref="R54" si="247">R55+Q54</f>
        <v>1278224145.0522923</v>
      </c>
      <c r="S54">
        <f t="shared" ref="S54" si="248">R54/100000</f>
        <v>12782.241450522923</v>
      </c>
      <c r="T54">
        <f t="shared" ref="T54" si="249">S54/1000</f>
        <v>12.782241450522923</v>
      </c>
    </row>
    <row r="55" spans="1:20" x14ac:dyDescent="0.25">
      <c r="A55" s="5">
        <v>44538</v>
      </c>
      <c r="B55">
        <v>1.5918000000000001</v>
      </c>
      <c r="C55">
        <v>1.71</v>
      </c>
      <c r="D55">
        <v>1.5029999999999999</v>
      </c>
      <c r="E55">
        <v>1.6447000000000001</v>
      </c>
      <c r="F55">
        <v>76788969</v>
      </c>
      <c r="G55">
        <v>1.6447000000000001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0.36908212560386577</v>
      </c>
      <c r="Q55">
        <f t="shared" ref="Q55" si="251">F55*P55</f>
        <v>28341435.901449356</v>
      </c>
      <c r="R55">
        <f t="shared" ref="R55" si="252">R56+Q55</f>
        <v>1341791804.4084353</v>
      </c>
      <c r="S55">
        <f t="shared" ref="S55" si="253">R55/100000</f>
        <v>13417.918044084354</v>
      </c>
      <c r="T55">
        <f t="shared" ref="T55" si="254">S55/1000</f>
        <v>13.417918044084354</v>
      </c>
    </row>
    <row r="56" spans="1:20" x14ac:dyDescent="0.25">
      <c r="A56" s="5">
        <v>44537</v>
      </c>
      <c r="B56">
        <v>1.5965</v>
      </c>
      <c r="C56">
        <v>1.7197</v>
      </c>
      <c r="D56">
        <v>1.5669</v>
      </c>
      <c r="E56">
        <v>1.5918000000000001</v>
      </c>
      <c r="F56">
        <v>102051771</v>
      </c>
      <c r="G56">
        <v>1.5918000000000001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-0.67408376963350602</v>
      </c>
      <c r="Q56">
        <f t="shared" ref="Q56" si="256">F56*P56</f>
        <v>-68791442.493455306</v>
      </c>
      <c r="R56">
        <f t="shared" ref="R56" si="257">R57+Q56</f>
        <v>1313450368.5069859</v>
      </c>
      <c r="S56">
        <f t="shared" ref="S56" si="258">R56/100000</f>
        <v>13134.50368506986</v>
      </c>
      <c r="T56">
        <f t="shared" ref="T56" si="259">S56/1000</f>
        <v>13.134503685069859</v>
      </c>
    </row>
    <row r="57" spans="1:20" x14ac:dyDescent="0.25">
      <c r="A57" s="5">
        <v>44536</v>
      </c>
      <c r="B57">
        <v>1.5293000000000001</v>
      </c>
      <c r="C57">
        <v>1.63</v>
      </c>
      <c r="D57">
        <v>1.3392999999999999</v>
      </c>
      <c r="E57">
        <v>1.5976999999999999</v>
      </c>
      <c r="F57">
        <v>183170920</v>
      </c>
      <c r="G57">
        <v>1.5976999999999999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0.77777777777777779</v>
      </c>
      <c r="Q57">
        <f t="shared" ref="Q57" si="261">F57*P57</f>
        <v>142466271.1111111</v>
      </c>
      <c r="R57">
        <f t="shared" ref="R57" si="262">R58+Q57</f>
        <v>1382241811.0004413</v>
      </c>
      <c r="S57">
        <f t="shared" ref="S57" si="263">R57/100000</f>
        <v>13822.418110004413</v>
      </c>
      <c r="T57">
        <f t="shared" ref="T57" si="264">S57/1000</f>
        <v>13.822418110004413</v>
      </c>
    </row>
    <row r="58" spans="1:20" x14ac:dyDescent="0.25">
      <c r="A58" s="5">
        <v>44535</v>
      </c>
      <c r="B58">
        <v>1.7201</v>
      </c>
      <c r="C58">
        <v>1.7474000000000001</v>
      </c>
      <c r="D58">
        <v>1.4802</v>
      </c>
      <c r="E58">
        <v>1.5303</v>
      </c>
      <c r="F58">
        <v>102716286</v>
      </c>
      <c r="G58">
        <v>1.5303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-0.62499999999999989</v>
      </c>
      <c r="Q58">
        <f t="shared" ref="Q58" si="266">F58*P58</f>
        <v>-64197678.749999985</v>
      </c>
      <c r="R58">
        <f t="shared" ref="R58" si="267">R59+Q58</f>
        <v>1239775539.8893301</v>
      </c>
      <c r="S58">
        <f t="shared" ref="S58" si="268">R58/100000</f>
        <v>12397.755398893301</v>
      </c>
      <c r="T58">
        <f t="shared" ref="T58" si="269">S58/1000</f>
        <v>12.397755398893301</v>
      </c>
    </row>
    <row r="59" spans="1:20" x14ac:dyDescent="0.25">
      <c r="A59" s="5">
        <v>44534</v>
      </c>
      <c r="B59">
        <v>1.9836</v>
      </c>
      <c r="C59">
        <v>1.992</v>
      </c>
      <c r="D59">
        <v>1.1537999999999999</v>
      </c>
      <c r="E59">
        <v>1.7198</v>
      </c>
      <c r="F59">
        <v>251072619</v>
      </c>
      <c r="G59">
        <v>1.7198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0.35051300405631119</v>
      </c>
      <c r="Q59">
        <f t="shared" ref="Q59" si="271">F59*P59</f>
        <v>88004217.921975672</v>
      </c>
      <c r="R59">
        <f t="shared" ref="R59" si="272">R60+Q59</f>
        <v>1303973218.6393301</v>
      </c>
      <c r="S59">
        <f t="shared" ref="S59" si="273">R59/100000</f>
        <v>13039.732186393301</v>
      </c>
      <c r="T59">
        <f t="shared" ref="T59" si="274">S59/1000</f>
        <v>13.039732186393302</v>
      </c>
    </row>
    <row r="60" spans="1:20" x14ac:dyDescent="0.25">
      <c r="A60" s="5">
        <v>44533</v>
      </c>
      <c r="B60">
        <v>2.0665</v>
      </c>
      <c r="C60">
        <v>2.16</v>
      </c>
      <c r="D60">
        <v>1.8920999999999999</v>
      </c>
      <c r="E60">
        <v>1.9833000000000001</v>
      </c>
      <c r="F60">
        <v>74175686</v>
      </c>
      <c r="G60">
        <v>1.9833000000000001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-0.31914893617021212</v>
      </c>
      <c r="Q60">
        <f t="shared" ref="Q60" si="276">F60*P60</f>
        <v>-23673091.276595697</v>
      </c>
      <c r="R60">
        <f t="shared" ref="R60" si="277">R61+Q60</f>
        <v>1215969000.7173545</v>
      </c>
      <c r="S60">
        <f t="shared" ref="S60" si="278">R60/100000</f>
        <v>12159.690007173545</v>
      </c>
      <c r="T60">
        <f t="shared" ref="T60" si="279">S60/1000</f>
        <v>12.159690007173545</v>
      </c>
    </row>
    <row r="61" spans="1:20" x14ac:dyDescent="0.25">
      <c r="A61" s="5">
        <v>44532</v>
      </c>
      <c r="B61">
        <v>2.1417999999999999</v>
      </c>
      <c r="C61">
        <v>2.1440000000000001</v>
      </c>
      <c r="D61">
        <v>2.02</v>
      </c>
      <c r="E61">
        <v>2.0665</v>
      </c>
      <c r="F61">
        <v>53041737</v>
      </c>
      <c r="G61">
        <v>2.0665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-0.25000000000000089</v>
      </c>
      <c r="Q61">
        <f t="shared" ref="Q61" si="281">F61*P61</f>
        <v>-13260434.250000047</v>
      </c>
      <c r="R61">
        <f t="shared" ref="R61" si="282">R62+Q61</f>
        <v>1239642091.9939501</v>
      </c>
      <c r="S61">
        <f t="shared" ref="S61" si="283">R61/100000</f>
        <v>12396.420919939501</v>
      </c>
      <c r="T61">
        <f t="shared" ref="T61" si="284">S61/1000</f>
        <v>12.396420919939501</v>
      </c>
    </row>
    <row r="62" spans="1:20" x14ac:dyDescent="0.25">
      <c r="A62" s="5">
        <v>44531</v>
      </c>
      <c r="B62">
        <v>2.1374</v>
      </c>
      <c r="C62">
        <v>2.2789000000000001</v>
      </c>
      <c r="D62">
        <v>2.1190000000000002</v>
      </c>
      <c r="E62">
        <v>2.1415999999999999</v>
      </c>
      <c r="F62">
        <v>70255131</v>
      </c>
      <c r="G62">
        <v>2.1415999999999999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-0.71732332707942792</v>
      </c>
      <c r="Q62">
        <f t="shared" ref="Q62" si="286">F62*P62</f>
        <v>-50395644.313321054</v>
      </c>
      <c r="R62">
        <f t="shared" ref="R62" si="287">R63+Q62</f>
        <v>1252902526.2439501</v>
      </c>
      <c r="S62">
        <f t="shared" ref="S62" si="288">R62/100000</f>
        <v>12529.025262439502</v>
      </c>
      <c r="T62">
        <f t="shared" ref="T62" si="289">S62/1000</f>
        <v>12.529025262439502</v>
      </c>
    </row>
    <row r="63" spans="1:20" x14ac:dyDescent="0.25">
      <c r="A63" s="5">
        <v>44530</v>
      </c>
      <c r="B63">
        <v>2.1627000000000001</v>
      </c>
      <c r="C63">
        <v>2.2850000000000001</v>
      </c>
      <c r="D63">
        <v>2.0701000000000001</v>
      </c>
      <c r="E63">
        <v>2.1374</v>
      </c>
      <c r="F63">
        <v>84298045</v>
      </c>
      <c r="G63">
        <v>2.1374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-0.37366216845044314</v>
      </c>
      <c r="Q63">
        <f t="shared" ref="Q63" si="291">F63*P63</f>
        <v>-31498990.290833037</v>
      </c>
      <c r="R63">
        <f t="shared" ref="R63" si="292">R64+Q63</f>
        <v>1303298170.5572712</v>
      </c>
      <c r="S63">
        <f t="shared" ref="S63" si="293">R63/100000</f>
        <v>13032.981705572713</v>
      </c>
      <c r="T63">
        <f t="shared" ref="T63" si="294">S63/1000</f>
        <v>13.032981705572713</v>
      </c>
    </row>
    <row r="64" spans="1:20" x14ac:dyDescent="0.25">
      <c r="A64" s="5">
        <v>44529</v>
      </c>
      <c r="B64">
        <v>2.1128</v>
      </c>
      <c r="C64">
        <v>2.1869000000000001</v>
      </c>
      <c r="D64">
        <v>2.0585</v>
      </c>
      <c r="E64">
        <v>2.1625999999999999</v>
      </c>
      <c r="F64">
        <v>57250150</v>
      </c>
      <c r="G64">
        <v>2.1625999999999999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0.62149532710280064</v>
      </c>
      <c r="Q64">
        <f t="shared" ref="Q64" si="296">F64*P64</f>
        <v>35580700.700934403</v>
      </c>
      <c r="R64">
        <f t="shared" ref="R64" si="297">R65+Q64</f>
        <v>1334797160.8481042</v>
      </c>
      <c r="S64">
        <f t="shared" ref="S64" si="298">R64/100000</f>
        <v>13347.971608481042</v>
      </c>
      <c r="T64">
        <f t="shared" ref="T64" si="299">S64/1000</f>
        <v>13.347971608481043</v>
      </c>
    </row>
    <row r="65" spans="1:20" x14ac:dyDescent="0.25">
      <c r="A65" s="5">
        <v>44528</v>
      </c>
      <c r="B65">
        <v>2.0813999999999999</v>
      </c>
      <c r="C65">
        <v>2.1223999999999998</v>
      </c>
      <c r="D65">
        <v>1.8814</v>
      </c>
      <c r="E65">
        <v>2.1137999999999999</v>
      </c>
      <c r="F65">
        <v>73069944</v>
      </c>
      <c r="G65">
        <v>2.1137999999999999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0.92863070539419135</v>
      </c>
      <c r="Q65">
        <f t="shared" ref="Q65" si="301">F65*P65</f>
        <v>67854993.639834061</v>
      </c>
      <c r="R65">
        <f t="shared" ref="R65" si="302">R66+Q65</f>
        <v>1299216460.1471698</v>
      </c>
      <c r="S65">
        <f t="shared" ref="S65" si="303">R65/100000</f>
        <v>12992.164601471699</v>
      </c>
      <c r="T65">
        <f t="shared" ref="T65" si="304">S65/1000</f>
        <v>12.992164601471698</v>
      </c>
    </row>
    <row r="66" spans="1:20" x14ac:dyDescent="0.25">
      <c r="A66" s="5">
        <v>44527</v>
      </c>
      <c r="B66">
        <v>2.1168</v>
      </c>
      <c r="C66">
        <v>2.2164999999999999</v>
      </c>
      <c r="D66">
        <v>2.0274999999999999</v>
      </c>
      <c r="E66">
        <v>2.0821999999999998</v>
      </c>
      <c r="F66">
        <v>60559642</v>
      </c>
      <c r="G66">
        <v>2.0821999999999998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-0.42116402116402163</v>
      </c>
      <c r="Q66">
        <f t="shared" ref="Q66" si="306">F66*P66</f>
        <v>-25505542.344973572</v>
      </c>
      <c r="R66">
        <f t="shared" ref="R66" si="307">R67+Q66</f>
        <v>1231361466.5073357</v>
      </c>
      <c r="S66">
        <f t="shared" ref="S66" si="308">R66/100000</f>
        <v>12313.614665073357</v>
      </c>
      <c r="T66">
        <f t="shared" ref="T66" si="309">S66/1000</f>
        <v>12.313614665073358</v>
      </c>
    </row>
    <row r="67" spans="1:20" x14ac:dyDescent="0.25">
      <c r="A67" s="5">
        <v>44526</v>
      </c>
      <c r="B67">
        <v>2.4718</v>
      </c>
      <c r="C67">
        <v>2.56</v>
      </c>
      <c r="D67">
        <v>2</v>
      </c>
      <c r="E67">
        <v>2.1162999999999998</v>
      </c>
      <c r="F67">
        <v>162824163</v>
      </c>
      <c r="G67">
        <v>2.1162999999999998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-0.58464285714285769</v>
      </c>
      <c r="Q67">
        <f t="shared" ref="Q67" si="311">F67*P67</f>
        <v>-95193983.868214369</v>
      </c>
      <c r="R67">
        <f t="shared" ref="R67" si="312">R68+Q67</f>
        <v>1256867008.8523092</v>
      </c>
      <c r="S67">
        <f t="shared" ref="S67" si="313">R67/100000</f>
        <v>12568.670088523093</v>
      </c>
      <c r="T67">
        <f t="shared" ref="T67" si="314">S67/1000</f>
        <v>12.568670088523094</v>
      </c>
    </row>
    <row r="68" spans="1:20" x14ac:dyDescent="0.25">
      <c r="A68" s="5">
        <v>44525</v>
      </c>
      <c r="B68">
        <v>2.5878000000000001</v>
      </c>
      <c r="C68">
        <v>2.67</v>
      </c>
      <c r="D68">
        <v>2.4171</v>
      </c>
      <c r="E68">
        <v>2.4714</v>
      </c>
      <c r="F68">
        <v>113690700</v>
      </c>
      <c r="G68">
        <v>2.4714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-0.57058125741399734</v>
      </c>
      <c r="Q68">
        <f t="shared" ref="Q68" si="316">F68*P68</f>
        <v>-64869782.562277548</v>
      </c>
      <c r="R68">
        <f t="shared" ref="R68" si="317">R69+Q68</f>
        <v>1352060992.7205236</v>
      </c>
      <c r="S68">
        <f t="shared" ref="S68" si="318">R68/100000</f>
        <v>13520.609927205236</v>
      </c>
      <c r="T68">
        <f t="shared" ref="T68" si="319">S68/1000</f>
        <v>13.520609927205236</v>
      </c>
    </row>
    <row r="69" spans="1:20" x14ac:dyDescent="0.25">
      <c r="A69" s="5">
        <v>44524</v>
      </c>
      <c r="B69">
        <v>2.3130999999999999</v>
      </c>
      <c r="C69">
        <v>2.3898999999999999</v>
      </c>
      <c r="D69">
        <v>2.2229999999999999</v>
      </c>
      <c r="E69">
        <v>2.2549999999999999</v>
      </c>
      <c r="F69">
        <v>39962002</v>
      </c>
      <c r="G69">
        <v>2.2549999999999999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-0.61653684841222267</v>
      </c>
      <c r="Q69">
        <f t="shared" ref="Q69" si="321">F69*P69</f>
        <v>-24638046.769322939</v>
      </c>
      <c r="R69">
        <f t="shared" ref="R69" si="322">R70+Q69</f>
        <v>1416930775.2828012</v>
      </c>
      <c r="S69">
        <f t="shared" ref="S69" si="323">R69/100000</f>
        <v>14169.307752828012</v>
      </c>
      <c r="T69">
        <f t="shared" ref="T69" si="324">S69/1000</f>
        <v>14.169307752828011</v>
      </c>
    </row>
    <row r="70" spans="1:20" x14ac:dyDescent="0.25">
      <c r="A70" s="5">
        <v>44523</v>
      </c>
      <c r="B70">
        <v>1.9497</v>
      </c>
      <c r="C70">
        <v>2.4563000000000001</v>
      </c>
      <c r="D70">
        <v>1.9254</v>
      </c>
      <c r="E70">
        <v>2.3130999999999999</v>
      </c>
      <c r="F70">
        <v>247182044</v>
      </c>
      <c r="G70">
        <v>2.3130999999999999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0.46053870785458589</v>
      </c>
      <c r="Q70">
        <f t="shared" ref="Q70" si="326">F70*P70</f>
        <v>113836899.14861539</v>
      </c>
      <c r="R70">
        <f t="shared" ref="R70" si="327">R71+Q70</f>
        <v>1441568822.052124</v>
      </c>
      <c r="S70">
        <f t="shared" ref="S70" si="328">R70/100000</f>
        <v>14415.688220521241</v>
      </c>
      <c r="T70">
        <f t="shared" ref="T70" si="329">S70/1000</f>
        <v>14.41568822052124</v>
      </c>
    </row>
    <row r="71" spans="1:20" x14ac:dyDescent="0.25">
      <c r="A71" s="5">
        <v>44522</v>
      </c>
      <c r="B71">
        <v>2.0760000000000001</v>
      </c>
      <c r="C71">
        <v>2.0893000000000002</v>
      </c>
      <c r="D71">
        <v>1.9211</v>
      </c>
      <c r="E71">
        <v>1.9490000000000001</v>
      </c>
      <c r="F71">
        <v>79576016</v>
      </c>
      <c r="G71">
        <v>1.9490000000000001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-0.66825208085612353</v>
      </c>
      <c r="Q71">
        <f t="shared" ref="Q71" si="331">F71*P71</f>
        <v>-53176838.278240182</v>
      </c>
      <c r="R71">
        <f t="shared" ref="R71" si="332">R72+Q71</f>
        <v>1327731922.9035087</v>
      </c>
      <c r="S71">
        <f t="shared" ref="S71" si="333">R71/100000</f>
        <v>13277.319229035087</v>
      </c>
      <c r="T71">
        <f t="shared" ref="T71" si="334">S71/1000</f>
        <v>13.277319229035086</v>
      </c>
    </row>
    <row r="72" spans="1:20" x14ac:dyDescent="0.25">
      <c r="A72" s="5">
        <v>44521</v>
      </c>
      <c r="B72">
        <v>2.1798000000000002</v>
      </c>
      <c r="C72">
        <v>2.2000000000000002</v>
      </c>
      <c r="D72">
        <v>2</v>
      </c>
      <c r="E72">
        <v>2.0745</v>
      </c>
      <c r="F72">
        <v>80913157</v>
      </c>
      <c r="G72">
        <v>2.0745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-0.25500000000000056</v>
      </c>
      <c r="Q72">
        <f t="shared" ref="Q72" si="336">F72*P72</f>
        <v>-20632855.035000045</v>
      </c>
      <c r="R72">
        <f t="shared" ref="R72" si="337">R73+Q72</f>
        <v>1380908761.1817489</v>
      </c>
      <c r="S72">
        <f t="shared" ref="S72" si="338">R72/100000</f>
        <v>13809.087611817489</v>
      </c>
      <c r="T72">
        <f t="shared" ref="T72" si="339">S72/1000</f>
        <v>13.809087611817489</v>
      </c>
    </row>
    <row r="73" spans="1:20" x14ac:dyDescent="0.25">
      <c r="A73" s="5">
        <v>44520</v>
      </c>
      <c r="B73">
        <v>2.2637</v>
      </c>
      <c r="C73">
        <v>2.2839999999999998</v>
      </c>
      <c r="D73">
        <v>2.0767000000000002</v>
      </c>
      <c r="E73">
        <v>2.1798000000000002</v>
      </c>
      <c r="F73">
        <v>85807176</v>
      </c>
      <c r="G73">
        <v>2.1798000000000002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-5.3063193439443265E-3</v>
      </c>
      <c r="Q73">
        <f t="shared" ref="Q73" si="341">F73*P73</f>
        <v>-455320.27785803535</v>
      </c>
      <c r="R73">
        <f t="shared" ref="R73" si="342">R74+Q73</f>
        <v>1401541616.216749</v>
      </c>
      <c r="S73">
        <f t="shared" ref="S73" si="343">R73/100000</f>
        <v>14015.41616216749</v>
      </c>
      <c r="T73">
        <f t="shared" ref="T73" si="344">S73/1000</f>
        <v>14.01541616216749</v>
      </c>
    </row>
    <row r="74" spans="1:20" x14ac:dyDescent="0.25">
      <c r="A74" s="5">
        <v>44519</v>
      </c>
      <c r="B74">
        <v>1.847</v>
      </c>
      <c r="C74">
        <v>2.2665000000000002</v>
      </c>
      <c r="D74">
        <v>1.8107</v>
      </c>
      <c r="E74">
        <v>2.2629999999999999</v>
      </c>
      <c r="F74">
        <v>152198245</v>
      </c>
      <c r="G74">
        <v>2.2629999999999999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0.98464238701184603</v>
      </c>
      <c r="Q74">
        <f t="shared" ref="Q74" si="346">F74*P74</f>
        <v>149860843.25581375</v>
      </c>
      <c r="R74">
        <f t="shared" ref="R74" si="347">R75+Q74</f>
        <v>1401996936.494607</v>
      </c>
      <c r="S74">
        <f t="shared" ref="S74" si="348">R74/100000</f>
        <v>14019.96936494607</v>
      </c>
      <c r="T74">
        <f t="shared" ref="T74" si="349">S74/1000</f>
        <v>14.019969364946069</v>
      </c>
    </row>
    <row r="75" spans="1:20" x14ac:dyDescent="0.25">
      <c r="A75" s="5">
        <v>44518</v>
      </c>
      <c r="B75">
        <v>2.1492</v>
      </c>
      <c r="C75">
        <v>2.2246000000000001</v>
      </c>
      <c r="D75">
        <v>1.7618</v>
      </c>
      <c r="E75">
        <v>1.8476999999999999</v>
      </c>
      <c r="F75">
        <v>186482812</v>
      </c>
      <c r="G75">
        <v>1.8476999999999999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-0.62878133102852274</v>
      </c>
      <c r="Q75">
        <f t="shared" ref="Q75" si="351">F75*P75</f>
        <v>-117256910.74330178</v>
      </c>
      <c r="R75">
        <f t="shared" ref="R75" si="352">R76+Q75</f>
        <v>1252136093.2387931</v>
      </c>
      <c r="S75">
        <f t="shared" ref="S75" si="353">R75/100000</f>
        <v>12521.360932387932</v>
      </c>
      <c r="T75">
        <f t="shared" ref="T75" si="354">S75/1000</f>
        <v>12.521360932387932</v>
      </c>
    </row>
    <row r="76" spans="1:20" x14ac:dyDescent="0.25">
      <c r="A76" s="5">
        <v>44517</v>
      </c>
      <c r="B76">
        <v>2.2027000000000001</v>
      </c>
      <c r="C76">
        <v>2.37</v>
      </c>
      <c r="D76">
        <v>2.0768</v>
      </c>
      <c r="E76">
        <v>2.1490999999999998</v>
      </c>
      <c r="F76">
        <v>96975025</v>
      </c>
      <c r="G76">
        <v>2.1490999999999998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-0.50682128240109292</v>
      </c>
      <c r="Q76">
        <f t="shared" ref="Q76" si="356">F76*P76</f>
        <v>-49149006.531378046</v>
      </c>
      <c r="R76">
        <f t="shared" ref="R76" si="357">R77+Q76</f>
        <v>1369393003.982095</v>
      </c>
      <c r="S76">
        <f t="shared" ref="S76" si="358">R76/100000</f>
        <v>13693.930039820951</v>
      </c>
      <c r="T76">
        <f t="shared" ref="T76" si="359">S76/1000</f>
        <v>13.69393003982095</v>
      </c>
    </row>
    <row r="77" spans="1:20" x14ac:dyDescent="0.25">
      <c r="A77" s="5">
        <v>44516</v>
      </c>
      <c r="B77">
        <v>2.4706999999999999</v>
      </c>
      <c r="C77">
        <v>2.4710000000000001</v>
      </c>
      <c r="D77">
        <v>2.0209999999999999</v>
      </c>
      <c r="E77">
        <v>2.2027000000000001</v>
      </c>
      <c r="F77">
        <v>124380779</v>
      </c>
      <c r="G77">
        <v>2.2027000000000001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-0.19244444444444389</v>
      </c>
      <c r="Q77">
        <f t="shared" ref="Q77" si="361">F77*P77</f>
        <v>-23936389.914222155</v>
      </c>
      <c r="R77">
        <f t="shared" ref="R77" si="362">R78+Q77</f>
        <v>1418542010.513473</v>
      </c>
      <c r="S77">
        <f t="shared" ref="S77" si="363">R77/100000</f>
        <v>14185.42010513473</v>
      </c>
      <c r="T77">
        <f t="shared" ref="T77" si="364">S77/1000</f>
        <v>14.18542010513473</v>
      </c>
    </row>
    <row r="78" spans="1:20" x14ac:dyDescent="0.25">
      <c r="A78" s="5">
        <v>44515</v>
      </c>
      <c r="B78">
        <v>2.5889000000000002</v>
      </c>
      <c r="C78">
        <v>2.62</v>
      </c>
      <c r="D78">
        <v>2.4607000000000001</v>
      </c>
      <c r="E78">
        <v>2.4701</v>
      </c>
      <c r="F78">
        <v>43624458</v>
      </c>
      <c r="G78">
        <v>2.4701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-0.88198367859384996</v>
      </c>
      <c r="Q78">
        <f t="shared" ref="Q78" si="366">F78*P78</f>
        <v>-38476059.94350291</v>
      </c>
      <c r="R78">
        <f t="shared" ref="R78" si="367">R79+Q78</f>
        <v>1442478400.4276953</v>
      </c>
      <c r="S78">
        <f t="shared" ref="S78" si="368">R78/100000</f>
        <v>14424.784004276953</v>
      </c>
      <c r="T78">
        <f t="shared" ref="T78" si="369">S78/1000</f>
        <v>14.424784004276953</v>
      </c>
    </row>
    <row r="79" spans="1:20" x14ac:dyDescent="0.25">
      <c r="A79" s="5">
        <v>44514</v>
      </c>
      <c r="B79">
        <v>2.6168999999999998</v>
      </c>
      <c r="C79">
        <v>2.6715</v>
      </c>
      <c r="D79">
        <v>2.5101</v>
      </c>
      <c r="E79">
        <v>2.5882000000000001</v>
      </c>
      <c r="F79">
        <v>43862682</v>
      </c>
      <c r="G79">
        <v>2.5882000000000001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-3.2218091697644807E-2</v>
      </c>
      <c r="Q79">
        <f t="shared" ref="Q79" si="371">F79*P79</f>
        <v>-1413171.9107806343</v>
      </c>
      <c r="R79">
        <f t="shared" ref="R79" si="372">R80+Q79</f>
        <v>1480954460.3711982</v>
      </c>
      <c r="S79">
        <f t="shared" ref="S79" si="373">R79/100000</f>
        <v>14809.544603711982</v>
      </c>
      <c r="T79">
        <f t="shared" ref="T79" si="374">S79/1000</f>
        <v>14.809544603711982</v>
      </c>
    </row>
    <row r="80" spans="1:20" x14ac:dyDescent="0.25">
      <c r="A80" s="5">
        <v>44513</v>
      </c>
      <c r="B80">
        <v>2.6305999999999998</v>
      </c>
      <c r="C80">
        <v>2.7168000000000001</v>
      </c>
      <c r="D80">
        <v>2.5714999999999999</v>
      </c>
      <c r="E80">
        <v>2.617</v>
      </c>
      <c r="F80">
        <v>50003407</v>
      </c>
      <c r="G80">
        <v>2.617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-0.3737095664143148</v>
      </c>
      <c r="Q80">
        <f t="shared" ref="Q80" si="376">F80*P80</f>
        <v>-18686751.549208514</v>
      </c>
      <c r="R80">
        <f t="shared" ref="R80" si="377">R81+Q80</f>
        <v>1482367632.2819788</v>
      </c>
      <c r="S80">
        <f t="shared" ref="S80" si="378">R80/100000</f>
        <v>14823.676322819789</v>
      </c>
      <c r="T80">
        <f t="shared" ref="T80" si="379">S80/1000</f>
        <v>14.823676322819789</v>
      </c>
    </row>
    <row r="81" spans="1:20" x14ac:dyDescent="0.25">
      <c r="A81" s="5">
        <v>44512</v>
      </c>
      <c r="B81">
        <v>2.5983999999999998</v>
      </c>
      <c r="C81">
        <v>2.6964999999999999</v>
      </c>
      <c r="D81">
        <v>2.4466000000000001</v>
      </c>
      <c r="E81">
        <v>2.6313</v>
      </c>
      <c r="F81">
        <v>100237059</v>
      </c>
      <c r="G81">
        <v>2.6313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0.47819127651060439</v>
      </c>
      <c r="Q81">
        <f t="shared" ref="Q81" si="381">F81*P81</f>
        <v>47932487.196878769</v>
      </c>
      <c r="R81">
        <f t="shared" ref="R81" si="382">R82+Q81</f>
        <v>1501054383.8311872</v>
      </c>
      <c r="S81">
        <f t="shared" ref="S81" si="383">R81/100000</f>
        <v>15010.543838311873</v>
      </c>
      <c r="T81">
        <f t="shared" ref="T81" si="384">S81/1000</f>
        <v>15.010543838311873</v>
      </c>
    </row>
    <row r="82" spans="1:20" x14ac:dyDescent="0.25">
      <c r="A82" s="5">
        <v>44511</v>
      </c>
      <c r="B82">
        <v>2.6362000000000001</v>
      </c>
      <c r="C82">
        <v>2.7290000000000001</v>
      </c>
      <c r="D82">
        <v>2.5739999999999998</v>
      </c>
      <c r="E82">
        <v>2.5985</v>
      </c>
      <c r="F82">
        <v>62514932</v>
      </c>
      <c r="G82">
        <v>2.5985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-0.68387096774193357</v>
      </c>
      <c r="Q82">
        <f t="shared" ref="Q82" si="386">F82*P82</f>
        <v>-42752147.045161173</v>
      </c>
      <c r="R82">
        <f t="shared" ref="R82" si="387">R83+Q82</f>
        <v>1453121896.6343086</v>
      </c>
      <c r="S82">
        <f t="shared" ref="S82" si="388">R82/100000</f>
        <v>14531.218966343085</v>
      </c>
      <c r="T82">
        <f t="shared" ref="T82" si="389">S82/1000</f>
        <v>14.531218966343085</v>
      </c>
    </row>
    <row r="83" spans="1:20" x14ac:dyDescent="0.25">
      <c r="A83" s="5">
        <v>44510</v>
      </c>
      <c r="B83">
        <v>2.8675999999999999</v>
      </c>
      <c r="C83">
        <v>2.9870000000000001</v>
      </c>
      <c r="D83">
        <v>2.2650000000000001</v>
      </c>
      <c r="E83">
        <v>2.6362000000000001</v>
      </c>
      <c r="F83">
        <v>139990371</v>
      </c>
      <c r="G83">
        <v>2.6362000000000001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2.8254847645429328E-2</v>
      </c>
      <c r="Q83">
        <f t="shared" ref="Q83" si="391">F83*P83</f>
        <v>3955406.6044321279</v>
      </c>
      <c r="R83">
        <f t="shared" ref="R83" si="392">R84+Q83</f>
        <v>1495874043.6794698</v>
      </c>
      <c r="S83">
        <f t="shared" ref="S83" si="393">R83/100000</f>
        <v>14958.740436794698</v>
      </c>
      <c r="T83">
        <f t="shared" ref="T83" si="394">S83/1000</f>
        <v>14.958740436794699</v>
      </c>
    </row>
    <row r="84" spans="1:20" x14ac:dyDescent="0.25">
      <c r="A84" s="5">
        <v>44509</v>
      </c>
      <c r="B84">
        <v>3.1638000000000002</v>
      </c>
      <c r="C84">
        <v>3.169</v>
      </c>
      <c r="D84">
        <v>2.8570000000000002</v>
      </c>
      <c r="E84">
        <v>2.8673999999999999</v>
      </c>
      <c r="F84">
        <v>85828867</v>
      </c>
      <c r="G84">
        <v>2.8673999999999999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-0.9333333333333349</v>
      </c>
      <c r="Q84">
        <f t="shared" ref="Q84" si="396">F84*P84</f>
        <v>-80106942.533333465</v>
      </c>
      <c r="R84">
        <f t="shared" ref="R84" si="397">R85+Q84</f>
        <v>1491918637.0750377</v>
      </c>
      <c r="S84">
        <f t="shared" ref="S84" si="398">R84/100000</f>
        <v>14919.186370750378</v>
      </c>
      <c r="T84">
        <f t="shared" ref="T84" si="399">S84/1000</f>
        <v>14.919186370750378</v>
      </c>
    </row>
    <row r="85" spans="1:20" x14ac:dyDescent="0.25">
      <c r="A85" s="5">
        <v>44508</v>
      </c>
      <c r="B85">
        <v>2.8666</v>
      </c>
      <c r="C85">
        <v>3.1749999999999998</v>
      </c>
      <c r="D85">
        <v>2.8149999999999999</v>
      </c>
      <c r="E85">
        <v>3.1634000000000002</v>
      </c>
      <c r="F85">
        <v>119850083</v>
      </c>
      <c r="G85">
        <v>3.1634000000000002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0.93555555555555769</v>
      </c>
      <c r="Q85">
        <f t="shared" ref="Q85" si="401">F85*P85</f>
        <v>112126410.98444471</v>
      </c>
      <c r="R85">
        <f t="shared" ref="R85" si="402">R86+Q85</f>
        <v>1572025579.6083713</v>
      </c>
      <c r="S85">
        <f t="shared" ref="S85" si="403">R85/100000</f>
        <v>15720.255796083713</v>
      </c>
      <c r="T85">
        <f t="shared" ref="T85" si="404">S85/1000</f>
        <v>15.720255796083713</v>
      </c>
    </row>
    <row r="86" spans="1:20" x14ac:dyDescent="0.25">
      <c r="A86" s="5">
        <v>44507</v>
      </c>
      <c r="B86">
        <v>2.7683</v>
      </c>
      <c r="C86">
        <v>2.8969</v>
      </c>
      <c r="D86">
        <v>2.7538999999999998</v>
      </c>
      <c r="E86">
        <v>2.8660999999999999</v>
      </c>
      <c r="F86">
        <v>58837305</v>
      </c>
      <c r="G86">
        <v>2.8660999999999999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0.56923076923076765</v>
      </c>
      <c r="Q86">
        <f t="shared" ref="Q86" si="406">F86*P86</f>
        <v>33492004.384615291</v>
      </c>
      <c r="R86">
        <f t="shared" ref="R86" si="407">R87+Q86</f>
        <v>1459899168.6239266</v>
      </c>
      <c r="S86">
        <f t="shared" ref="S86" si="408">R86/100000</f>
        <v>14598.991686239266</v>
      </c>
      <c r="T86">
        <f t="shared" ref="T86" si="409">S86/1000</f>
        <v>14.598991686239266</v>
      </c>
    </row>
    <row r="87" spans="1:20" x14ac:dyDescent="0.25">
      <c r="A87" s="5">
        <v>44506</v>
      </c>
      <c r="B87">
        <v>2.6526999999999998</v>
      </c>
      <c r="C87">
        <v>2.7926000000000002</v>
      </c>
      <c r="D87">
        <v>2.5554999999999999</v>
      </c>
      <c r="E87">
        <v>2.7683</v>
      </c>
      <c r="F87">
        <v>68174774</v>
      </c>
      <c r="G87">
        <v>2.7683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0.79502319696330515</v>
      </c>
      <c r="Q87">
        <f t="shared" ref="Q87" si="411">F87*P87</f>
        <v>54200526.777730815</v>
      </c>
      <c r="R87">
        <f t="shared" ref="R87" si="412">R88+Q87</f>
        <v>1426407164.2393115</v>
      </c>
      <c r="S87">
        <f t="shared" ref="S87" si="413">R87/100000</f>
        <v>14264.071642393115</v>
      </c>
      <c r="T87">
        <f t="shared" ref="T87" si="414">S87/1000</f>
        <v>14.264071642393116</v>
      </c>
    </row>
    <row r="88" spans="1:20" x14ac:dyDescent="0.25">
      <c r="A88" s="5">
        <v>44505</v>
      </c>
      <c r="B88">
        <v>2.7663000000000002</v>
      </c>
      <c r="C88">
        <v>2.96</v>
      </c>
      <c r="D88">
        <v>2.6280999999999999</v>
      </c>
      <c r="E88">
        <v>2.6528999999999998</v>
      </c>
      <c r="F88">
        <v>131674537</v>
      </c>
      <c r="G88">
        <v>2.6528999999999998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-0.85055739680626741</v>
      </c>
      <c r="Q88">
        <f t="shared" ref="Q88" si="416">F88*P88</f>
        <v>-111996751.41639054</v>
      </c>
      <c r="R88">
        <f t="shared" ref="R88" si="417">R89+Q88</f>
        <v>1372206637.4615808</v>
      </c>
      <c r="S88">
        <f t="shared" ref="S88" si="418">R88/100000</f>
        <v>13722.066374615808</v>
      </c>
      <c r="T88">
        <f t="shared" ref="T88" si="419">S88/1000</f>
        <v>13.722066374615808</v>
      </c>
    </row>
    <row r="89" spans="1:20" x14ac:dyDescent="0.25">
      <c r="A89" s="5">
        <v>44504</v>
      </c>
      <c r="B89">
        <v>2.6684999999999999</v>
      </c>
      <c r="C89">
        <v>2.7669000000000001</v>
      </c>
      <c r="D89">
        <v>2.4030999999999998</v>
      </c>
      <c r="E89">
        <v>2.7669000000000001</v>
      </c>
      <c r="F89">
        <v>106886030</v>
      </c>
      <c r="G89">
        <v>2.7669000000000001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1</v>
      </c>
      <c r="Q89">
        <f t="shared" ref="Q89" si="421">F89*P89</f>
        <v>106886030</v>
      </c>
      <c r="R89">
        <f t="shared" ref="R89" si="422">R90+Q89</f>
        <v>1484203388.8779714</v>
      </c>
      <c r="S89">
        <f t="shared" ref="S89" si="423">R89/100000</f>
        <v>14842.033888779713</v>
      </c>
      <c r="T89">
        <f t="shared" ref="T89" si="424">S89/1000</f>
        <v>14.842033888779714</v>
      </c>
    </row>
    <row r="90" spans="1:20" x14ac:dyDescent="0.25">
      <c r="A90" s="5">
        <v>44503</v>
      </c>
      <c r="B90">
        <v>2.7229000000000001</v>
      </c>
      <c r="C90">
        <v>2.75</v>
      </c>
      <c r="D90">
        <v>2.5225</v>
      </c>
      <c r="E90">
        <v>2.669</v>
      </c>
      <c r="F90">
        <v>106082746</v>
      </c>
      <c r="G90">
        <v>2.669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0.28791208791208839</v>
      </c>
      <c r="Q90">
        <f t="shared" ref="Q90" si="426">F90*P90</f>
        <v>30542504.892307743</v>
      </c>
      <c r="R90">
        <f t="shared" ref="R90" si="427">R91+Q90</f>
        <v>1377317358.8779714</v>
      </c>
      <c r="S90">
        <f t="shared" ref="S90" si="428">R90/100000</f>
        <v>13773.173588779715</v>
      </c>
      <c r="T90">
        <f t="shared" ref="T90" si="429">S90/1000</f>
        <v>13.773173588779715</v>
      </c>
    </row>
    <row r="91" spans="1:20" x14ac:dyDescent="0.25">
      <c r="A91" s="5">
        <v>44502</v>
      </c>
      <c r="B91">
        <v>2.7029000000000001</v>
      </c>
      <c r="C91">
        <v>2.7938999999999998</v>
      </c>
      <c r="D91">
        <v>2.6577000000000002</v>
      </c>
      <c r="E91">
        <v>2.7233000000000001</v>
      </c>
      <c r="F91">
        <v>76242015</v>
      </c>
      <c r="G91">
        <v>2.7233000000000001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-3.6710719530102104E-2</v>
      </c>
      <c r="Q91">
        <f t="shared" ref="Q91" si="431">F91*P91</f>
        <v>-2798899.2290748376</v>
      </c>
      <c r="R91">
        <f t="shared" ref="R91" si="432">R92+Q91</f>
        <v>1346774853.9856637</v>
      </c>
      <c r="S91">
        <f t="shared" ref="S91" si="433">R91/100000</f>
        <v>13467.748539856637</v>
      </c>
      <c r="T91">
        <f t="shared" ref="T91" si="434">S91/1000</f>
        <v>13.467748539856636</v>
      </c>
    </row>
    <row r="92" spans="1:20" x14ac:dyDescent="0.25">
      <c r="A92" s="5">
        <v>44501</v>
      </c>
      <c r="B92">
        <v>2.8643000000000001</v>
      </c>
      <c r="C92">
        <v>2.9239999999999999</v>
      </c>
      <c r="D92">
        <v>2.6688000000000001</v>
      </c>
      <c r="E92">
        <v>2.7014999999999998</v>
      </c>
      <c r="F92">
        <v>91051837</v>
      </c>
      <c r="G92">
        <v>2.7014999999999998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-0.74373040752351294</v>
      </c>
      <c r="Q92">
        <f t="shared" ref="Q92" si="436">F92*P92</f>
        <v>-67718019.83777447</v>
      </c>
      <c r="R92">
        <f t="shared" ref="R92" si="437">R93+Q92</f>
        <v>1349573753.2147386</v>
      </c>
      <c r="S92">
        <f t="shared" ref="S92" si="438">R92/100000</f>
        <v>13495.737532147386</v>
      </c>
      <c r="T92">
        <f t="shared" ref="T92" si="439">S92/1000</f>
        <v>13.495737532147386</v>
      </c>
    </row>
    <row r="93" spans="1:20" x14ac:dyDescent="0.25">
      <c r="A93" s="5">
        <v>44500</v>
      </c>
      <c r="B93">
        <v>2.6644999999999999</v>
      </c>
      <c r="C93">
        <v>2.8969</v>
      </c>
      <c r="D93">
        <v>2.5611000000000002</v>
      </c>
      <c r="E93">
        <v>2.8658000000000001</v>
      </c>
      <c r="F93">
        <v>110916541</v>
      </c>
      <c r="G93">
        <v>2.8658000000000001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0.81477069684335968</v>
      </c>
      <c r="Q93">
        <f t="shared" ref="Q93" si="441">F93*P93</f>
        <v>90371547.402025074</v>
      </c>
      <c r="R93">
        <f t="shared" ref="R93" si="442">R94+Q93</f>
        <v>1417291773.0525131</v>
      </c>
      <c r="S93">
        <f t="shared" ref="S93" si="443">R93/100000</f>
        <v>14172.917730525131</v>
      </c>
      <c r="T93">
        <f t="shared" ref="T93" si="444">S93/1000</f>
        <v>14.17291773052513</v>
      </c>
    </row>
    <row r="94" spans="1:20" x14ac:dyDescent="0.25">
      <c r="A94" s="5">
        <v>44499</v>
      </c>
      <c r="B94">
        <v>2.8773</v>
      </c>
      <c r="C94">
        <v>3.0196000000000001</v>
      </c>
      <c r="D94">
        <v>2.5891999999999999</v>
      </c>
      <c r="E94">
        <v>2.6652</v>
      </c>
      <c r="F94">
        <v>163829095</v>
      </c>
      <c r="G94">
        <v>2.6652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-0.64684014869888451</v>
      </c>
      <c r="Q94">
        <f t="shared" ref="Q94" si="446">F94*P94</f>
        <v>-105971236.17100367</v>
      </c>
      <c r="R94">
        <f t="shared" ref="R94" si="447">R95+Q94</f>
        <v>1326920225.6504881</v>
      </c>
      <c r="S94">
        <f t="shared" ref="S94" si="448">R94/100000</f>
        <v>13269.202256504881</v>
      </c>
      <c r="T94">
        <f t="shared" ref="T94" si="449">S94/1000</f>
        <v>13.269202256504881</v>
      </c>
    </row>
    <row r="95" spans="1:20" x14ac:dyDescent="0.25">
      <c r="A95" s="5">
        <v>44498</v>
      </c>
      <c r="B95">
        <v>2.9226999999999999</v>
      </c>
      <c r="C95">
        <v>3.0897999999999999</v>
      </c>
      <c r="D95">
        <v>2.85</v>
      </c>
      <c r="E95">
        <v>2.879</v>
      </c>
      <c r="F95">
        <v>124313282</v>
      </c>
      <c r="G95">
        <v>2.879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-0.75813177648040087</v>
      </c>
      <c r="Q95">
        <f t="shared" ref="Q95" si="451">F95*P95</f>
        <v>-94245849.322769046</v>
      </c>
      <c r="R95">
        <f t="shared" ref="R95" si="452">R96+Q95</f>
        <v>1432891461.8214917</v>
      </c>
      <c r="S95">
        <f t="shared" ref="S95" si="453">R95/100000</f>
        <v>14328.914618214918</v>
      </c>
      <c r="T95">
        <f t="shared" ref="T95" si="454">S95/1000</f>
        <v>14.328914618214919</v>
      </c>
    </row>
    <row r="96" spans="1:20" x14ac:dyDescent="0.25">
      <c r="A96" s="5">
        <v>44497</v>
      </c>
      <c r="B96">
        <v>3.0991</v>
      </c>
      <c r="C96">
        <v>3.4842</v>
      </c>
      <c r="D96">
        <v>2.8923000000000001</v>
      </c>
      <c r="E96">
        <v>2.9230999999999998</v>
      </c>
      <c r="F96">
        <v>275503172</v>
      </c>
      <c r="G96">
        <v>2.9230999999999998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-0.89592836627808847</v>
      </c>
      <c r="Q96">
        <f t="shared" ref="Q96" si="456">F96*P96</f>
        <v>-246831106.79439121</v>
      </c>
      <c r="R96">
        <f t="shared" ref="R96" si="457">R97+Q96</f>
        <v>1527137311.1442609</v>
      </c>
      <c r="S96">
        <f t="shared" ref="S96" si="458">R96/100000</f>
        <v>15271.373111442608</v>
      </c>
      <c r="T96">
        <f t="shared" ref="T96" si="459">S96/1000</f>
        <v>15.271373111442609</v>
      </c>
    </row>
    <row r="97" spans="1:20" x14ac:dyDescent="0.25">
      <c r="A97" s="5">
        <v>44496</v>
      </c>
      <c r="B97">
        <v>3.1393</v>
      </c>
      <c r="C97">
        <v>3.2942999999999998</v>
      </c>
      <c r="D97">
        <v>2.52</v>
      </c>
      <c r="E97">
        <v>3.0991</v>
      </c>
      <c r="F97">
        <v>351027078</v>
      </c>
      <c r="G97">
        <v>3.0991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0.49580266046751936</v>
      </c>
      <c r="Q97">
        <f t="shared" ref="Q97" si="461">F97*P97</f>
        <v>174040159.16853943</v>
      </c>
      <c r="R97">
        <f t="shared" ref="R97" si="462">R98+Q97</f>
        <v>1773968417.938652</v>
      </c>
      <c r="S97">
        <f t="shared" ref="S97" si="463">R97/100000</f>
        <v>17739.684179386521</v>
      </c>
      <c r="T97">
        <f t="shared" ref="T97" si="464">S97/1000</f>
        <v>17.739684179386522</v>
      </c>
    </row>
    <row r="98" spans="1:20" x14ac:dyDescent="0.25">
      <c r="A98" s="5">
        <v>44495</v>
      </c>
      <c r="B98">
        <v>3.0413000000000001</v>
      </c>
      <c r="C98">
        <v>3.4716999999999998</v>
      </c>
      <c r="D98">
        <v>3.0219999999999998</v>
      </c>
      <c r="E98">
        <v>3.1396000000000002</v>
      </c>
      <c r="F98">
        <v>259116425.80000001</v>
      </c>
      <c r="G98">
        <v>3.1396000000000002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-0.47698465643762344</v>
      </c>
      <c r="Q98">
        <f t="shared" ref="Q98" si="466">F98*P98</f>
        <v>-123594559.33755796</v>
      </c>
      <c r="R98">
        <f t="shared" ref="R98" si="467">R99+Q98</f>
        <v>1599928258.7701125</v>
      </c>
      <c r="S98">
        <f t="shared" ref="S98" si="468">R98/100000</f>
        <v>15999.282587701126</v>
      </c>
      <c r="T98">
        <f t="shared" ref="T98" si="469">S98/1000</f>
        <v>15.999282587701126</v>
      </c>
    </row>
    <row r="99" spans="1:20" x14ac:dyDescent="0.25">
      <c r="A99" s="5">
        <v>44494</v>
      </c>
      <c r="B99">
        <v>2.7002999999999999</v>
      </c>
      <c r="C99">
        <v>3.05</v>
      </c>
      <c r="D99">
        <v>2.6819000000000002</v>
      </c>
      <c r="E99">
        <v>3.0413000000000001</v>
      </c>
      <c r="F99">
        <v>146117545.40000001</v>
      </c>
      <c r="G99">
        <v>3.0413000000000001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0.95273023634881981</v>
      </c>
      <c r="Q99">
        <f t="shared" ref="Q99" si="471">F99*P99</f>
        <v>139210603.56365141</v>
      </c>
      <c r="R99">
        <f t="shared" ref="R99" si="472">R100+Q99</f>
        <v>1723522818.1076705</v>
      </c>
      <c r="S99">
        <f t="shared" ref="S99" si="473">R99/100000</f>
        <v>17235.228181076705</v>
      </c>
      <c r="T99">
        <f t="shared" ref="T99" si="474">S99/1000</f>
        <v>17.235228181076707</v>
      </c>
    </row>
    <row r="100" spans="1:20" x14ac:dyDescent="0.25">
      <c r="A100" s="5">
        <v>44493</v>
      </c>
      <c r="B100">
        <v>2.5533000000000001</v>
      </c>
      <c r="C100">
        <v>2.83</v>
      </c>
      <c r="D100">
        <v>2.548</v>
      </c>
      <c r="E100">
        <v>2.7</v>
      </c>
      <c r="F100">
        <v>156263611.5</v>
      </c>
      <c r="G100">
        <v>2.7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7.8014184397163969E-2</v>
      </c>
      <c r="Q100">
        <f t="shared" ref="Q100" si="476">F100*P100</f>
        <v>12190778.202127792</v>
      </c>
      <c r="R100">
        <f t="shared" ref="R100" si="477">R101+Q100</f>
        <v>1584312214.5440192</v>
      </c>
      <c r="S100">
        <f t="shared" ref="S100" si="478">R100/100000</f>
        <v>15843.122145440193</v>
      </c>
      <c r="T100">
        <f t="shared" ref="T100" si="479">S100/1000</f>
        <v>15.843122145440192</v>
      </c>
    </row>
    <row r="101" spans="1:20" x14ac:dyDescent="0.25">
      <c r="A101" s="5">
        <v>44492</v>
      </c>
      <c r="B101">
        <v>2.6185</v>
      </c>
      <c r="C101">
        <v>2.68</v>
      </c>
      <c r="D101">
        <v>2.4695999999999998</v>
      </c>
      <c r="E101">
        <v>2.5539000000000001</v>
      </c>
      <c r="F101">
        <v>116051209.8</v>
      </c>
      <c r="G101">
        <v>2.5539000000000001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-0.19866920152091144</v>
      </c>
      <c r="Q101">
        <f t="shared" ref="Q101" si="481">F101*P101</f>
        <v>-23055801.186501771</v>
      </c>
      <c r="R101">
        <f t="shared" ref="R101" si="482">R102+Q101</f>
        <v>1572121436.3418915</v>
      </c>
      <c r="S101">
        <f t="shared" ref="S101" si="483">R101/100000</f>
        <v>15721.214363418916</v>
      </c>
      <c r="T101">
        <f t="shared" ref="T101" si="484">S101/1000</f>
        <v>15.721214363418916</v>
      </c>
    </row>
    <row r="102" spans="1:20" x14ac:dyDescent="0.25">
      <c r="A102" s="5">
        <v>44491</v>
      </c>
      <c r="B102">
        <v>2.2231999999999998</v>
      </c>
      <c r="C102">
        <v>2.64</v>
      </c>
      <c r="D102">
        <v>2.2124000000000001</v>
      </c>
      <c r="E102">
        <v>2.6181999999999999</v>
      </c>
      <c r="F102">
        <v>183487511.59999999</v>
      </c>
      <c r="G102">
        <v>2.6181999999999999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0.89803554724041035</v>
      </c>
      <c r="Q102">
        <f t="shared" ref="Q102" si="486">F102*P102</f>
        <v>164778307.89148712</v>
      </c>
      <c r="R102">
        <f t="shared" ref="R102" si="487">R103+Q102</f>
        <v>1595177237.5283933</v>
      </c>
      <c r="S102">
        <f t="shared" ref="S102" si="488">R102/100000</f>
        <v>15951.772375283932</v>
      </c>
      <c r="T102">
        <f t="shared" ref="T102" si="489">S102/1000</f>
        <v>15.951772375283932</v>
      </c>
    </row>
    <row r="103" spans="1:20" x14ac:dyDescent="0.25">
      <c r="A103" s="5">
        <v>44490</v>
      </c>
      <c r="B103">
        <v>2.427</v>
      </c>
      <c r="C103">
        <v>2.4539</v>
      </c>
      <c r="D103">
        <v>2.2000000000000002</v>
      </c>
      <c r="E103">
        <v>2.2229999999999999</v>
      </c>
      <c r="F103">
        <v>132932495</v>
      </c>
      <c r="G103">
        <v>2.2229999999999999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-0.81882630957069946</v>
      </c>
      <c r="Q103">
        <f t="shared" ref="Q103" si="491">F103*P103</f>
        <v>-108848624.30287546</v>
      </c>
      <c r="R103">
        <f t="shared" ref="R103" si="492">R104+Q103</f>
        <v>1430398929.6369061</v>
      </c>
      <c r="S103">
        <f t="shared" ref="S103" si="493">R103/100000</f>
        <v>14303.989296369062</v>
      </c>
      <c r="T103">
        <f t="shared" ref="T103" si="494">S103/1000</f>
        <v>14.303989296369062</v>
      </c>
    </row>
    <row r="104" spans="1:20" x14ac:dyDescent="0.25">
      <c r="A104" s="5">
        <v>44489</v>
      </c>
      <c r="B104">
        <v>2.3536999999999999</v>
      </c>
      <c r="C104">
        <v>2.5499999999999998</v>
      </c>
      <c r="D104">
        <v>2.0996000000000001</v>
      </c>
      <c r="E104">
        <v>2.4279000000000002</v>
      </c>
      <c r="F104">
        <v>165761275</v>
      </c>
      <c r="G104">
        <v>2.4279000000000002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0.45781527531083599</v>
      </c>
      <c r="Q104">
        <f t="shared" ref="Q104" si="496">F104*P104</f>
        <v>75888043.750000194</v>
      </c>
      <c r="R104">
        <f t="shared" ref="R104" si="497">R105+Q104</f>
        <v>1539247553.9397817</v>
      </c>
      <c r="S104">
        <f t="shared" ref="S104" si="498">R104/100000</f>
        <v>15392.475539397818</v>
      </c>
      <c r="T104">
        <f t="shared" ref="T104" si="499">S104/1000</f>
        <v>15.392475539397818</v>
      </c>
    </row>
    <row r="105" spans="1:20" x14ac:dyDescent="0.25">
      <c r="A105" s="5">
        <v>44488</v>
      </c>
      <c r="B105">
        <v>2.2170000000000001</v>
      </c>
      <c r="C105">
        <v>2.4950000000000001</v>
      </c>
      <c r="D105">
        <v>2.2071999999999998</v>
      </c>
      <c r="E105">
        <v>2.3538999999999999</v>
      </c>
      <c r="F105">
        <v>176028431</v>
      </c>
      <c r="G105">
        <v>2.3538999999999999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1.9457956914523355E-2</v>
      </c>
      <c r="Q105">
        <f t="shared" ref="Q105" si="501">F105*P105</f>
        <v>3425153.6261291471</v>
      </c>
      <c r="R105">
        <f t="shared" ref="R105" si="502">R106+Q105</f>
        <v>1463359510.1897814</v>
      </c>
      <c r="S105">
        <f t="shared" ref="S105" si="503">R105/100000</f>
        <v>14633.595101897814</v>
      </c>
      <c r="T105">
        <f t="shared" ref="T105" si="504">S105/1000</f>
        <v>14.633595101897814</v>
      </c>
    </row>
    <row r="106" spans="1:20" x14ac:dyDescent="0.25">
      <c r="A106" s="5">
        <v>44487</v>
      </c>
      <c r="B106">
        <v>2.3041</v>
      </c>
      <c r="C106">
        <v>2.3092000000000001</v>
      </c>
      <c r="D106">
        <v>2.1448999999999998</v>
      </c>
      <c r="E106">
        <v>2.2170999999999998</v>
      </c>
      <c r="F106">
        <v>106784495</v>
      </c>
      <c r="G106">
        <v>2.2170999999999998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-0.121119902617165</v>
      </c>
      <c r="Q106">
        <f t="shared" ref="Q106" si="506">F106*P106</f>
        <v>-12933727.635423142</v>
      </c>
      <c r="R106">
        <f t="shared" ref="R106" si="507">R107+Q106</f>
        <v>1459934356.5636523</v>
      </c>
      <c r="S106">
        <f t="shared" ref="S106" si="508">R106/100000</f>
        <v>14599.343565636524</v>
      </c>
      <c r="T106">
        <f t="shared" ref="T106" si="509">S106/1000</f>
        <v>14.599343565636524</v>
      </c>
    </row>
    <row r="107" spans="1:20" x14ac:dyDescent="0.25">
      <c r="A107" s="5">
        <v>44486</v>
      </c>
      <c r="B107">
        <v>2.1398999999999999</v>
      </c>
      <c r="C107">
        <v>2.3450000000000002</v>
      </c>
      <c r="D107">
        <v>2.0672000000000001</v>
      </c>
      <c r="E107">
        <v>2.3039000000000001</v>
      </c>
      <c r="F107">
        <v>210848011</v>
      </c>
      <c r="G107">
        <v>2.3039000000000001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0.70410367170626253</v>
      </c>
      <c r="Q107">
        <f t="shared" ref="Q107" si="511">F107*P107</f>
        <v>148458858.71706244</v>
      </c>
      <c r="R107">
        <f t="shared" ref="R107" si="512">R108+Q107</f>
        <v>1472868084.1990755</v>
      </c>
      <c r="S107">
        <f t="shared" ref="S107" si="513">R107/100000</f>
        <v>14728.680841990754</v>
      </c>
      <c r="T107">
        <f t="shared" ref="T107" si="514">S107/1000</f>
        <v>14.728680841990753</v>
      </c>
    </row>
    <row r="108" spans="1:20" x14ac:dyDescent="0.25">
      <c r="A108" s="5">
        <v>44485</v>
      </c>
      <c r="B108">
        <v>1.9302999999999999</v>
      </c>
      <c r="C108">
        <v>2.16</v>
      </c>
      <c r="D108">
        <v>1.9117</v>
      </c>
      <c r="E108">
        <v>2.14</v>
      </c>
      <c r="F108">
        <v>111269621</v>
      </c>
      <c r="G108">
        <v>2.14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0.83890455094643579</v>
      </c>
      <c r="Q108">
        <f t="shared" ref="Q108" si="516">F108*P108</f>
        <v>93344591.438985094</v>
      </c>
      <c r="R108">
        <f t="shared" ref="R108" si="517">R109+Q108</f>
        <v>1324409225.482013</v>
      </c>
      <c r="S108">
        <f t="shared" ref="S108" si="518">R108/100000</f>
        <v>13244.092254820131</v>
      </c>
      <c r="T108">
        <f t="shared" ref="T108" si="519">S108/1000</f>
        <v>13.244092254820131</v>
      </c>
    </row>
    <row r="109" spans="1:20" x14ac:dyDescent="0.25">
      <c r="A109" s="5">
        <v>44484</v>
      </c>
      <c r="B109">
        <v>2.0289000000000001</v>
      </c>
      <c r="C109">
        <v>2.14</v>
      </c>
      <c r="D109">
        <v>1.9033</v>
      </c>
      <c r="E109">
        <v>1.9311</v>
      </c>
      <c r="F109">
        <v>116550271</v>
      </c>
      <c r="G109">
        <v>1.9311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-0.76510350654837322</v>
      </c>
      <c r="Q109">
        <f t="shared" ref="Q109" si="521">F109*P109</f>
        <v>-89173021.031263173</v>
      </c>
      <c r="R109">
        <f t="shared" ref="R109" si="522">R110+Q109</f>
        <v>1231064634.0430279</v>
      </c>
      <c r="S109">
        <f t="shared" ref="S109" si="523">R109/100000</f>
        <v>12310.646340430279</v>
      </c>
      <c r="T109">
        <f t="shared" ref="T109" si="524">S109/1000</f>
        <v>12.31064634043028</v>
      </c>
    </row>
    <row r="110" spans="1:20" x14ac:dyDescent="0.25">
      <c r="A110" s="5">
        <v>44483</v>
      </c>
      <c r="B110">
        <v>2.0124</v>
      </c>
      <c r="C110">
        <v>2.1617999999999999</v>
      </c>
      <c r="D110">
        <v>1.998</v>
      </c>
      <c r="E110">
        <v>2.0289000000000001</v>
      </c>
      <c r="F110">
        <v>105783275</v>
      </c>
      <c r="G110">
        <v>2.0289000000000001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-0.62271062271062072</v>
      </c>
      <c r="Q110">
        <f t="shared" ref="Q110" si="526">F110*P110</f>
        <v>-65872369.047618836</v>
      </c>
      <c r="R110">
        <f t="shared" ref="R110" si="527">R111+Q110</f>
        <v>1320237655.074291</v>
      </c>
      <c r="S110">
        <f t="shared" ref="S110" si="528">R110/100000</f>
        <v>13202.376550742911</v>
      </c>
      <c r="T110">
        <f t="shared" ref="T110" si="529">S110/1000</f>
        <v>13.20237655074291</v>
      </c>
    </row>
    <row r="111" spans="1:20" x14ac:dyDescent="0.25">
      <c r="A111" s="5">
        <v>44482</v>
      </c>
      <c r="B111">
        <v>2.0920000000000001</v>
      </c>
      <c r="C111">
        <v>2.1484999999999999</v>
      </c>
      <c r="D111">
        <v>1.9632000000000001</v>
      </c>
      <c r="E111">
        <v>2.0118999999999998</v>
      </c>
      <c r="F111">
        <v>148544912</v>
      </c>
      <c r="G111">
        <v>2.0118999999999998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-0.47436589314625149</v>
      </c>
      <c r="Q111">
        <f t="shared" ref="Q111" si="531">F111*P111</f>
        <v>-70464639.853211328</v>
      </c>
      <c r="R111">
        <f t="shared" ref="R111" si="532">R112+Q111</f>
        <v>1386110024.1219099</v>
      </c>
      <c r="S111">
        <f t="shared" ref="S111" si="533">R111/100000</f>
        <v>13861.100241219099</v>
      </c>
      <c r="T111">
        <f t="shared" ref="T111" si="534">S111/1000</f>
        <v>13.861100241219098</v>
      </c>
    </row>
    <row r="112" spans="1:20" x14ac:dyDescent="0.25">
      <c r="A112" s="5">
        <v>44481</v>
      </c>
      <c r="B112">
        <v>2.3355000000000001</v>
      </c>
      <c r="C112">
        <v>2.3509000000000002</v>
      </c>
      <c r="D112">
        <v>2.04</v>
      </c>
      <c r="E112">
        <v>2.0920999999999998</v>
      </c>
      <c r="F112">
        <v>195343676</v>
      </c>
      <c r="G112">
        <v>2.0920999999999998</v>
      </c>
      <c r="L112" t="s">
        <v>8</v>
      </c>
      <c r="M112" t="s">
        <v>8</v>
      </c>
      <c r="N112" t="s">
        <v>8</v>
      </c>
      <c r="P112">
        <f t="shared" ref="P112" si="535">IF(C112=D112,0,((E112-D112)-(C112-E112))/(C112-D112))</f>
        <v>-0.66484400128658871</v>
      </c>
      <c r="Q112">
        <f t="shared" ref="Q112" si="536">F112*P112</f>
        <v>-129873071.17787097</v>
      </c>
      <c r="R112">
        <f t="shared" ref="R112" si="537">R113+Q112</f>
        <v>1456574663.9751213</v>
      </c>
      <c r="S112">
        <f t="shared" ref="S112" si="538">R112/100000</f>
        <v>14565.746639751213</v>
      </c>
      <c r="T112">
        <f t="shared" ref="T112" si="539">S112/1000</f>
        <v>14.565746639751213</v>
      </c>
    </row>
    <row r="113" spans="1:20" x14ac:dyDescent="0.25">
      <c r="A113" s="5">
        <v>44480</v>
      </c>
      <c r="B113">
        <v>2.0259</v>
      </c>
      <c r="C113">
        <v>2.3671000000000002</v>
      </c>
      <c r="D113">
        <v>1.9676</v>
      </c>
      <c r="E113">
        <v>2.3357999999999999</v>
      </c>
      <c r="F113">
        <v>238249325</v>
      </c>
      <c r="G113">
        <v>2.3357999999999999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0.84330413016270178</v>
      </c>
      <c r="Q113">
        <f t="shared" ref="Q113" si="541">F113*P113</f>
        <v>200916639.78097585</v>
      </c>
      <c r="R113">
        <f t="shared" ref="R113" si="542">R114+Q113</f>
        <v>1586447735.1529922</v>
      </c>
      <c r="S113">
        <f t="shared" ref="S113" si="543">R113/100000</f>
        <v>15864.477351529922</v>
      </c>
      <c r="T113">
        <f t="shared" ref="T113" si="544">S113/1000</f>
        <v>15.864477351529922</v>
      </c>
    </row>
    <row r="114" spans="1:20" x14ac:dyDescent="0.25">
      <c r="A114" s="5">
        <v>44479</v>
      </c>
      <c r="B114">
        <v>2.1597</v>
      </c>
      <c r="C114">
        <v>2.2650000000000001</v>
      </c>
      <c r="D114">
        <v>2.012</v>
      </c>
      <c r="E114">
        <v>2.0259999999999998</v>
      </c>
      <c r="F114">
        <v>181498653</v>
      </c>
      <c r="G114">
        <v>2.0259999999999998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-0.88932806324110847</v>
      </c>
      <c r="Q114">
        <f t="shared" ref="Q114" si="546">F114*P114</f>
        <v>-161411845.55336002</v>
      </c>
      <c r="R114">
        <f t="shared" ref="R114" si="547">R115+Q114</f>
        <v>1385531095.3720164</v>
      </c>
      <c r="S114">
        <f t="shared" ref="S114" si="548">R114/100000</f>
        <v>13855.310953720164</v>
      </c>
      <c r="T114">
        <f t="shared" ref="T114" si="549">S114/1000</f>
        <v>13.855310953720164</v>
      </c>
    </row>
    <row r="115" spans="1:20" x14ac:dyDescent="0.25">
      <c r="A115" s="5">
        <v>44478</v>
      </c>
      <c r="B115">
        <v>2.2991999999999999</v>
      </c>
      <c r="C115">
        <v>2.3328000000000002</v>
      </c>
      <c r="D115">
        <v>2.1063000000000001</v>
      </c>
      <c r="E115">
        <v>2.1597</v>
      </c>
      <c r="F115">
        <v>224231740</v>
      </c>
      <c r="G115">
        <v>2.1597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-0.52847682119205419</v>
      </c>
      <c r="Q115">
        <f t="shared" ref="Q115" si="551">F115*P115</f>
        <v>-118501277.16556318</v>
      </c>
      <c r="R115">
        <f t="shared" ref="R115" si="552">R116+Q115</f>
        <v>1546942940.9253764</v>
      </c>
      <c r="S115">
        <f t="shared" ref="S115" si="553">R115/100000</f>
        <v>15469.429409253764</v>
      </c>
      <c r="T115">
        <f t="shared" ref="T115" si="554">S115/1000</f>
        <v>15.469429409253763</v>
      </c>
    </row>
    <row r="116" spans="1:20" x14ac:dyDescent="0.25">
      <c r="A116" s="5">
        <v>44477</v>
      </c>
      <c r="B116">
        <v>2.0246</v>
      </c>
      <c r="C116">
        <v>2.4500000000000002</v>
      </c>
      <c r="D116">
        <v>1.9502999999999999</v>
      </c>
      <c r="E116">
        <v>2.2999999999999998</v>
      </c>
      <c r="F116">
        <v>571118905</v>
      </c>
      <c r="G116">
        <v>2.2999999999999998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0.39963978387032106</v>
      </c>
      <c r="Q116">
        <f t="shared" ref="Q116" si="556">F116*P116</f>
        <v>228241835.75845444</v>
      </c>
      <c r="R116">
        <f t="shared" ref="R116" si="557">R117+Q116</f>
        <v>1665444218.0909395</v>
      </c>
      <c r="S116">
        <f t="shared" ref="S116" si="558">R116/100000</f>
        <v>16654.442180909395</v>
      </c>
      <c r="T116">
        <f t="shared" ref="T116" si="559">S116/1000</f>
        <v>16.654442180909395</v>
      </c>
    </row>
    <row r="117" spans="1:20" x14ac:dyDescent="0.25">
      <c r="A117" s="5">
        <v>44476</v>
      </c>
      <c r="B117">
        <v>1.6095999999999999</v>
      </c>
      <c r="C117">
        <v>2.0939000000000001</v>
      </c>
      <c r="D117">
        <v>1.54</v>
      </c>
      <c r="E117">
        <v>2.0234999999999999</v>
      </c>
      <c r="F117">
        <v>600296796.10000002</v>
      </c>
      <c r="G117">
        <v>2.0234999999999999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0.74580249142444399</v>
      </c>
      <c r="Q117">
        <f t="shared" ref="Q117" si="561">F117*P117</f>
        <v>447702846.1254915</v>
      </c>
      <c r="R117">
        <f t="shared" ref="R117" si="562">R118+Q117</f>
        <v>1437202382.3324852</v>
      </c>
      <c r="S117">
        <f t="shared" ref="S117" si="563">R117/100000</f>
        <v>14372.023823324853</v>
      </c>
      <c r="T117">
        <f t="shared" ref="T117" si="564">S117/1000</f>
        <v>14.372023823324852</v>
      </c>
    </row>
    <row r="118" spans="1:20" x14ac:dyDescent="0.25">
      <c r="A118" s="5">
        <v>44475</v>
      </c>
      <c r="B118">
        <v>1.4144000000000001</v>
      </c>
      <c r="C118">
        <v>1.62</v>
      </c>
      <c r="D118">
        <v>1.2876000000000001</v>
      </c>
      <c r="E118">
        <v>1.6096999999999999</v>
      </c>
      <c r="F118">
        <v>198488506</v>
      </c>
      <c r="G118">
        <v>1.6096999999999999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0.93802647412755602</v>
      </c>
      <c r="Q118">
        <f t="shared" ref="Q118" si="566">F118*P118</f>
        <v>186187473.43802625</v>
      </c>
      <c r="R118">
        <f t="shared" ref="R118" si="567">R119+Q118</f>
        <v>989499536.20699358</v>
      </c>
      <c r="S118">
        <f t="shared" ref="S118" si="568">R118/100000</f>
        <v>9894.9953620699362</v>
      </c>
      <c r="T118">
        <f t="shared" ref="T118" si="569">S118/1000</f>
        <v>9.8949953620699365</v>
      </c>
    </row>
    <row r="119" spans="1:20" x14ac:dyDescent="0.25">
      <c r="A119" s="5">
        <v>44474</v>
      </c>
      <c r="B119">
        <v>1.3979999999999999</v>
      </c>
      <c r="C119">
        <v>1.4536</v>
      </c>
      <c r="D119">
        <v>1.367</v>
      </c>
      <c r="E119">
        <v>1.4140999999999999</v>
      </c>
      <c r="F119">
        <v>98024884</v>
      </c>
      <c r="G119">
        <v>1.4140999999999999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8.775981524249224E-2</v>
      </c>
      <c r="Q119">
        <f t="shared" ref="Q119" si="571">F119*P119</f>
        <v>8602645.7090067342</v>
      </c>
      <c r="R119">
        <f t="shared" ref="R119" si="572">R120+Q119</f>
        <v>803312062.76896739</v>
      </c>
      <c r="S119">
        <f t="shared" ref="S119" si="573">R119/100000</f>
        <v>8033.1206276896737</v>
      </c>
      <c r="T119">
        <f t="shared" ref="T119" si="574">S119/1000</f>
        <v>8.0331206276896729</v>
      </c>
    </row>
    <row r="120" spans="1:20" x14ac:dyDescent="0.25">
      <c r="A120" s="5">
        <v>44473</v>
      </c>
      <c r="B120">
        <v>1.4670000000000001</v>
      </c>
      <c r="C120">
        <v>1.4677</v>
      </c>
      <c r="D120">
        <v>1.3435999999999999</v>
      </c>
      <c r="E120">
        <v>1.4043000000000001</v>
      </c>
      <c r="F120">
        <v>149332926</v>
      </c>
      <c r="G120">
        <v>1.4043000000000001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-2.1756647864622888E-2</v>
      </c>
      <c r="Q120">
        <f t="shared" ref="Q120" si="576">F120*P120</f>
        <v>-3248983.8855757876</v>
      </c>
      <c r="R120">
        <f t="shared" ref="R120" si="577">R121+Q120</f>
        <v>794709417.0599606</v>
      </c>
      <c r="S120">
        <f t="shared" ref="S120" si="578">R120/100000</f>
        <v>7947.0941705996056</v>
      </c>
      <c r="T120">
        <f t="shared" ref="T120" si="579">S120/1000</f>
        <v>7.9470941705996054</v>
      </c>
    </row>
    <row r="121" spans="1:20" x14ac:dyDescent="0.25">
      <c r="A121" s="5">
        <v>44472</v>
      </c>
      <c r="B121">
        <v>1.4581</v>
      </c>
      <c r="C121">
        <v>1.5468999999999999</v>
      </c>
      <c r="D121">
        <v>1.4013</v>
      </c>
      <c r="E121">
        <v>1.4636</v>
      </c>
      <c r="F121">
        <v>151235064</v>
      </c>
      <c r="G121">
        <v>1.4636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-0.14423076923076864</v>
      </c>
      <c r="Q121">
        <f t="shared" ref="Q121" si="581">F121*P121</f>
        <v>-21812749.615384527</v>
      </c>
      <c r="R121">
        <f t="shared" ref="R121" si="582">R122+Q121</f>
        <v>797958400.94553638</v>
      </c>
      <c r="S121">
        <f t="shared" ref="S121" si="583">R121/100000</f>
        <v>7979.5840094553641</v>
      </c>
      <c r="T121">
        <f t="shared" ref="T121" si="584">S121/1000</f>
        <v>7.9795840094553645</v>
      </c>
    </row>
    <row r="122" spans="1:20" x14ac:dyDescent="0.25">
      <c r="A122" s="5">
        <v>44471</v>
      </c>
      <c r="B122">
        <v>1.4175</v>
      </c>
      <c r="C122">
        <v>1.524</v>
      </c>
      <c r="D122">
        <v>1.3620000000000001</v>
      </c>
      <c r="E122">
        <v>1.458</v>
      </c>
      <c r="F122">
        <v>154617226</v>
      </c>
      <c r="G122">
        <v>1.458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0.18518518518518406</v>
      </c>
      <c r="Q122">
        <f t="shared" ref="Q122" si="586">F122*P122</f>
        <v>28632819.629629456</v>
      </c>
      <c r="R122">
        <f t="shared" ref="R122" si="587">R123+Q122</f>
        <v>819771150.56092095</v>
      </c>
      <c r="S122">
        <f t="shared" ref="S122" si="588">R122/100000</f>
        <v>8197.7115056092098</v>
      </c>
      <c r="T122">
        <f t="shared" ref="T122" si="589">S122/1000</f>
        <v>8.1977115056092096</v>
      </c>
    </row>
    <row r="123" spans="1:20" x14ac:dyDescent="0.25">
      <c r="A123" s="5">
        <v>44470</v>
      </c>
      <c r="B123">
        <v>1.2064999999999999</v>
      </c>
      <c r="C123">
        <v>1.45</v>
      </c>
      <c r="D123">
        <v>1.1986000000000001</v>
      </c>
      <c r="E123">
        <v>1.4174</v>
      </c>
      <c r="F123">
        <v>213874766</v>
      </c>
      <c r="G123">
        <v>1.4174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0.74065234685759762</v>
      </c>
      <c r="Q123">
        <f t="shared" ref="Q123" si="591">F123*P123</f>
        <v>158406847.37151954</v>
      </c>
      <c r="R123">
        <f t="shared" ref="R123" si="592">R124+Q123</f>
        <v>791138330.93129146</v>
      </c>
      <c r="S123">
        <f t="shared" ref="S123" si="593">R123/100000</f>
        <v>7911.3833093129142</v>
      </c>
      <c r="T123">
        <f t="shared" ref="T123" si="594">S123/1000</f>
        <v>7.9113833093129138</v>
      </c>
    </row>
    <row r="124" spans="1:20" x14ac:dyDescent="0.25">
      <c r="A124" s="5">
        <v>44469</v>
      </c>
      <c r="B124">
        <v>1.1994</v>
      </c>
      <c r="C124">
        <v>1.2676000000000001</v>
      </c>
      <c r="D124">
        <v>1.1857</v>
      </c>
      <c r="E124">
        <v>1.2063999999999999</v>
      </c>
      <c r="F124">
        <v>135839671</v>
      </c>
      <c r="G124">
        <v>1.2063999999999999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-0.49450549450549647</v>
      </c>
      <c r="Q124">
        <f t="shared" ref="Q124" si="596">F124*P124</f>
        <v>-67173463.681318954</v>
      </c>
      <c r="R124">
        <f t="shared" ref="R124" si="597">R125+Q124</f>
        <v>632731483.5597719</v>
      </c>
      <c r="S124">
        <f t="shared" ref="S124" si="598">R124/100000</f>
        <v>6327.3148355977191</v>
      </c>
      <c r="T124">
        <f t="shared" ref="T124" si="599">S124/1000</f>
        <v>6.3273148355977193</v>
      </c>
    </row>
    <row r="125" spans="1:20" x14ac:dyDescent="0.25">
      <c r="A125" s="5">
        <v>44468</v>
      </c>
      <c r="B125">
        <v>1.173</v>
      </c>
      <c r="C125">
        <v>1.2892999999999999</v>
      </c>
      <c r="D125">
        <v>1.1536999999999999</v>
      </c>
      <c r="E125">
        <v>1.2</v>
      </c>
      <c r="F125">
        <v>180889908</v>
      </c>
      <c r="G125">
        <v>1.2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-0.31710914454277245</v>
      </c>
      <c r="Q125">
        <f t="shared" ref="Q125" si="601">F125*P125</f>
        <v>-57361843.982300811</v>
      </c>
      <c r="R125">
        <f t="shared" ref="R125" si="602">R126+Q125</f>
        <v>699904947.24109089</v>
      </c>
      <c r="S125">
        <f t="shared" ref="S125" si="603">R125/100000</f>
        <v>6999.0494724109085</v>
      </c>
      <c r="T125">
        <f t="shared" ref="T125" si="604">S125/1000</f>
        <v>6.9990494724109089</v>
      </c>
    </row>
    <row r="126" spans="1:20" x14ac:dyDescent="0.25">
      <c r="A126" s="5">
        <v>44467</v>
      </c>
      <c r="B126">
        <v>1.2804</v>
      </c>
      <c r="C126">
        <v>1.3841000000000001</v>
      </c>
      <c r="D126">
        <v>1.1645000000000001</v>
      </c>
      <c r="E126">
        <v>1.1741999999999999</v>
      </c>
      <c r="F126">
        <v>294055463</v>
      </c>
      <c r="G126">
        <v>1.1741999999999999</v>
      </c>
      <c r="L126" t="s">
        <v>8</v>
      </c>
      <c r="M126" t="s">
        <v>8</v>
      </c>
      <c r="N126" t="s">
        <v>8</v>
      </c>
      <c r="P126">
        <f t="shared" ref="P126" si="605">IF(C126=D126,0,((E126-D126)-(C126-E126))/(C126-D126))</f>
        <v>-0.91165755919854441</v>
      </c>
      <c r="Q126">
        <f t="shared" ref="Q126" si="606">F126*P126</f>
        <v>-268077885.66757789</v>
      </c>
      <c r="R126">
        <f t="shared" ref="R126" si="607">R127+Q126</f>
        <v>757266791.22339165</v>
      </c>
      <c r="S126">
        <f t="shared" ref="S126" si="608">R126/100000</f>
        <v>7572.6679122339165</v>
      </c>
      <c r="T126">
        <f t="shared" ref="T126" si="609">S126/1000</f>
        <v>7.5726679122339169</v>
      </c>
    </row>
    <row r="127" spans="1:20" x14ac:dyDescent="0.25">
      <c r="A127" s="5">
        <v>44466</v>
      </c>
      <c r="B127">
        <v>1.1789000000000001</v>
      </c>
      <c r="C127">
        <v>1.3577999999999999</v>
      </c>
      <c r="D127">
        <v>1.1551</v>
      </c>
      <c r="E127">
        <v>1.2803</v>
      </c>
      <c r="F127">
        <v>286508234</v>
      </c>
      <c r="G127">
        <v>1.2803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0.23532313764183574</v>
      </c>
      <c r="Q127">
        <f t="shared" ref="Q127" si="611">F127*P127</f>
        <v>67422016.585101277</v>
      </c>
      <c r="R127">
        <f t="shared" ref="R127" si="612">R128+Q127</f>
        <v>1025344676.8909695</v>
      </c>
      <c r="S127">
        <f t="shared" ref="S127" si="613">R127/100000</f>
        <v>10253.446768909695</v>
      </c>
      <c r="T127">
        <f t="shared" ref="T127" si="614">S127/1000</f>
        <v>10.253446768909695</v>
      </c>
    </row>
    <row r="128" spans="1:20" x14ac:dyDescent="0.25">
      <c r="A128" s="5">
        <v>44465</v>
      </c>
      <c r="B128">
        <v>1.2423</v>
      </c>
      <c r="C128">
        <v>1.2589999999999999</v>
      </c>
      <c r="D128">
        <v>1.0903</v>
      </c>
      <c r="E128">
        <v>1.179</v>
      </c>
      <c r="F128">
        <v>220566017</v>
      </c>
      <c r="G128">
        <v>1.179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5.1570835803201896E-2</v>
      </c>
      <c r="Q128">
        <f t="shared" ref="Q128" si="616">F128*P128</f>
        <v>11374773.846473237</v>
      </c>
      <c r="R128">
        <f t="shared" ref="R128" si="617">R129+Q128</f>
        <v>957922660.30586827</v>
      </c>
      <c r="S128">
        <f t="shared" ref="S128" si="618">R128/100000</f>
        <v>9579.2266030586834</v>
      </c>
      <c r="T128">
        <f t="shared" ref="T128" si="619">S128/1000</f>
        <v>9.5792266030586841</v>
      </c>
    </row>
    <row r="129" spans="1:20" x14ac:dyDescent="0.25">
      <c r="A129" s="5">
        <v>44464</v>
      </c>
      <c r="B129">
        <v>1.1993</v>
      </c>
      <c r="C129">
        <v>1.3773</v>
      </c>
      <c r="D129">
        <v>1.1795</v>
      </c>
      <c r="E129">
        <v>1.2425999999999999</v>
      </c>
      <c r="F129">
        <v>291690577</v>
      </c>
      <c r="G129">
        <v>1.2425999999999999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-0.36198179979777612</v>
      </c>
      <c r="Q129">
        <f t="shared" ref="Q129" si="621">F129*P129</f>
        <v>-105586680.0465118</v>
      </c>
      <c r="R129">
        <f t="shared" ref="R129" si="622">R130+Q129</f>
        <v>946547886.45939505</v>
      </c>
      <c r="S129">
        <f t="shared" ref="S129" si="623">R129/100000</f>
        <v>9465.4788645939498</v>
      </c>
      <c r="T129">
        <f t="shared" ref="T129" si="624">S129/1000</f>
        <v>9.4654788645939494</v>
      </c>
    </row>
    <row r="130" spans="1:20" x14ac:dyDescent="0.25">
      <c r="A130" s="5">
        <v>44463</v>
      </c>
      <c r="B130">
        <v>1.2602</v>
      </c>
      <c r="C130">
        <v>1.2706999999999999</v>
      </c>
      <c r="D130">
        <v>1.0414000000000001</v>
      </c>
      <c r="E130">
        <v>1.1990000000000001</v>
      </c>
      <c r="F130">
        <v>294266669</v>
      </c>
      <c r="G130">
        <v>1.1990000000000001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0.37461840383776779</v>
      </c>
      <c r="Q130">
        <f t="shared" ref="Q130" si="626">F130*P130</f>
        <v>110237709.84343675</v>
      </c>
      <c r="R130">
        <f t="shared" ref="R130" si="627">R131+Q130</f>
        <v>1052134566.5059068</v>
      </c>
      <c r="S130">
        <f t="shared" ref="S130" si="628">R130/100000</f>
        <v>10521.345665059069</v>
      </c>
      <c r="T130">
        <f t="shared" ref="T130" si="629">S130/1000</f>
        <v>10.521345665059069</v>
      </c>
    </row>
    <row r="131" spans="1:20" x14ac:dyDescent="0.25">
      <c r="A131" s="5">
        <v>44462</v>
      </c>
      <c r="B131">
        <v>1.2484999999999999</v>
      </c>
      <c r="C131">
        <v>1.2949999999999999</v>
      </c>
      <c r="D131">
        <v>1.1640999999999999</v>
      </c>
      <c r="E131">
        <v>1.2602</v>
      </c>
      <c r="F131">
        <v>234455757</v>
      </c>
      <c r="G131">
        <v>1.2602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0.46829640947288104</v>
      </c>
      <c r="Q131">
        <f t="shared" ref="Q131" si="631">F131*P131</f>
        <v>109794789.1833463</v>
      </c>
      <c r="R131">
        <f t="shared" ref="R131" si="632">R132+Q131</f>
        <v>941896856.6624701</v>
      </c>
      <c r="S131">
        <f t="shared" ref="S131" si="633">R131/100000</f>
        <v>9418.9685666247005</v>
      </c>
      <c r="T131">
        <f t="shared" ref="T131" si="634">S131/1000</f>
        <v>9.4189685666247005</v>
      </c>
    </row>
    <row r="132" spans="1:20" x14ac:dyDescent="0.25">
      <c r="A132" s="5">
        <v>44461</v>
      </c>
      <c r="B132">
        <v>0.98419999999999996</v>
      </c>
      <c r="C132">
        <v>1.2649999999999999</v>
      </c>
      <c r="D132">
        <v>0.97089999999999999</v>
      </c>
      <c r="E132">
        <v>1.2488999999999999</v>
      </c>
      <c r="F132">
        <v>306577573</v>
      </c>
      <c r="G132">
        <v>1.2488999999999999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0.89051343080584833</v>
      </c>
      <c r="Q132">
        <f t="shared" ref="Q132" si="636">F132*P132</f>
        <v>273011446.3403604</v>
      </c>
      <c r="R132">
        <f t="shared" ref="R132" si="637">R133+Q132</f>
        <v>832102067.47912383</v>
      </c>
      <c r="S132">
        <f t="shared" ref="S132" si="638">R132/100000</f>
        <v>8321.020674791238</v>
      </c>
      <c r="T132">
        <f t="shared" ref="T132" si="639">S132/1000</f>
        <v>8.3210206747912387</v>
      </c>
    </row>
    <row r="133" spans="1:20" x14ac:dyDescent="0.25">
      <c r="A133" s="5">
        <v>44460</v>
      </c>
      <c r="B133">
        <v>1.1488</v>
      </c>
      <c r="C133">
        <v>1.2225999999999999</v>
      </c>
      <c r="D133">
        <v>0.94220000000000004</v>
      </c>
      <c r="E133">
        <v>0.9829</v>
      </c>
      <c r="F133">
        <v>341314541</v>
      </c>
      <c r="G133">
        <v>0.9829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-0.70970042796005728</v>
      </c>
      <c r="Q133">
        <f t="shared" ref="Q133" si="641">F133*P133</f>
        <v>-242231075.8166905</v>
      </c>
      <c r="R133">
        <f t="shared" ref="R133" si="642">R134+Q133</f>
        <v>559090621.13876343</v>
      </c>
      <c r="S133">
        <f t="shared" ref="S133" si="643">R133/100000</f>
        <v>5590.9062113876344</v>
      </c>
      <c r="T133">
        <f t="shared" ref="T133" si="644">S133/1000</f>
        <v>5.590906211387634</v>
      </c>
    </row>
    <row r="134" spans="1:20" x14ac:dyDescent="0.25">
      <c r="A134" s="5">
        <v>44459</v>
      </c>
      <c r="B134">
        <v>1.4576</v>
      </c>
      <c r="C134">
        <v>1.4890000000000001</v>
      </c>
      <c r="D134">
        <v>1.2000999999999999</v>
      </c>
      <c r="E134">
        <v>1.232</v>
      </c>
      <c r="F134">
        <v>160509211</v>
      </c>
      <c r="G134">
        <v>1.232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-0.77916233991000328</v>
      </c>
      <c r="Q134">
        <f t="shared" ref="Q134" si="646">F134*P134</f>
        <v>-125062732.41986844</v>
      </c>
      <c r="R134">
        <f t="shared" ref="R134" si="647">R135+Q134</f>
        <v>801321696.95545399</v>
      </c>
      <c r="S134">
        <f t="shared" ref="S134" si="648">R134/100000</f>
        <v>8013.2169695545399</v>
      </c>
      <c r="T134">
        <f t="shared" ref="T134" si="649">S134/1000</f>
        <v>8.0132169695545397</v>
      </c>
    </row>
    <row r="135" spans="1:20" x14ac:dyDescent="0.25">
      <c r="A135" s="5">
        <v>44458</v>
      </c>
      <c r="B135">
        <v>1.3305</v>
      </c>
      <c r="C135">
        <v>1.4925999999999999</v>
      </c>
      <c r="D135">
        <v>1.2817000000000001</v>
      </c>
      <c r="E135">
        <v>1.4579</v>
      </c>
      <c r="F135">
        <v>219917194</v>
      </c>
      <c r="G135">
        <v>1.4579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0.67093409198672382</v>
      </c>
      <c r="Q135">
        <f t="shared" ref="Q135" si="651">F135*P135</f>
        <v>147549942.86865819</v>
      </c>
      <c r="R135">
        <f t="shared" ref="R135" si="652">R136+Q135</f>
        <v>926384429.37532246</v>
      </c>
      <c r="S135">
        <f t="shared" ref="S135" si="653">R135/100000</f>
        <v>9263.8442937532254</v>
      </c>
      <c r="T135">
        <f t="shared" ref="T135" si="654">S135/1000</f>
        <v>9.263844293753225</v>
      </c>
    </row>
    <row r="136" spans="1:20" x14ac:dyDescent="0.25">
      <c r="A136" s="5">
        <v>44457</v>
      </c>
      <c r="B136">
        <v>1.2484</v>
      </c>
      <c r="C136">
        <v>1.4314</v>
      </c>
      <c r="D136">
        <v>1.224</v>
      </c>
      <c r="E136">
        <v>1.3306</v>
      </c>
      <c r="F136">
        <v>179208014</v>
      </c>
      <c r="G136">
        <v>1.3306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2.7965284474445642E-2</v>
      </c>
      <c r="Q136">
        <f t="shared" ref="Q136" si="656">F136*P136</f>
        <v>5011603.0916104373</v>
      </c>
      <c r="R136">
        <f t="shared" ref="R136" si="657">R137+Q136</f>
        <v>778834486.50666428</v>
      </c>
      <c r="S136">
        <f t="shared" ref="S136" si="658">R136/100000</f>
        <v>7788.3448650666423</v>
      </c>
      <c r="T136">
        <f t="shared" ref="T136" si="659">S136/1000</f>
        <v>7.7883448650666427</v>
      </c>
    </row>
    <row r="137" spans="1:20" x14ac:dyDescent="0.25">
      <c r="A137" s="5">
        <v>44456</v>
      </c>
      <c r="B137">
        <v>1.3076000000000001</v>
      </c>
      <c r="C137">
        <v>1.3987000000000001</v>
      </c>
      <c r="D137">
        <v>1.2297</v>
      </c>
      <c r="E137">
        <v>1.2486999999999999</v>
      </c>
      <c r="F137">
        <v>173287916</v>
      </c>
      <c r="G137">
        <v>1.2486999999999999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-0.77514792899408402</v>
      </c>
      <c r="Q137">
        <f t="shared" ref="Q137" si="661">F137*P137</f>
        <v>-134323769.20710081</v>
      </c>
      <c r="R137">
        <f t="shared" ref="R137" si="662">R138+Q137</f>
        <v>773822883.41505384</v>
      </c>
      <c r="S137">
        <f t="shared" ref="S137" si="663">R137/100000</f>
        <v>7738.2288341505382</v>
      </c>
      <c r="T137">
        <f t="shared" ref="T137" si="664">S137/1000</f>
        <v>7.7382288341505383</v>
      </c>
    </row>
    <row r="138" spans="1:20" x14ac:dyDescent="0.25">
      <c r="A138" s="5">
        <v>44455</v>
      </c>
      <c r="B138">
        <v>1.4406000000000001</v>
      </c>
      <c r="C138">
        <v>1.4776</v>
      </c>
      <c r="D138">
        <v>1.248</v>
      </c>
      <c r="E138">
        <v>1.3072999999999999</v>
      </c>
      <c r="F138">
        <v>237392108</v>
      </c>
      <c r="G138">
        <v>1.3072999999999999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-0.48344947735191723</v>
      </c>
      <c r="Q138">
        <f t="shared" ref="Q138" si="666">F138*P138</f>
        <v>-114767090.54006989</v>
      </c>
      <c r="R138">
        <f t="shared" ref="R138" si="667">R139+Q138</f>
        <v>908146652.62215471</v>
      </c>
      <c r="S138">
        <f t="shared" ref="S138" si="668">R138/100000</f>
        <v>9081.4665262215476</v>
      </c>
      <c r="T138">
        <f t="shared" ref="T138" si="669">S138/1000</f>
        <v>9.081466526221547</v>
      </c>
    </row>
    <row r="139" spans="1:20" x14ac:dyDescent="0.25">
      <c r="A139" s="5">
        <v>44454</v>
      </c>
      <c r="B139">
        <v>1.2047000000000001</v>
      </c>
      <c r="C139">
        <v>1.524</v>
      </c>
      <c r="D139">
        <v>1.1910000000000001</v>
      </c>
      <c r="E139">
        <v>1.4417</v>
      </c>
      <c r="F139">
        <v>387843083</v>
      </c>
      <c r="G139">
        <v>1.4417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0.50570570570570539</v>
      </c>
      <c r="Q139">
        <f t="shared" ref="Q139" si="671">F139*P139</f>
        <v>196134459.99159148</v>
      </c>
      <c r="R139">
        <f t="shared" ref="R139" si="672">R140+Q139</f>
        <v>1022913743.1622247</v>
      </c>
      <c r="S139">
        <f t="shared" ref="S139" si="673">R139/100000</f>
        <v>10229.137431622246</v>
      </c>
      <c r="T139">
        <f t="shared" ref="T139" si="674">S139/1000</f>
        <v>10.229137431622247</v>
      </c>
    </row>
    <row r="140" spans="1:20" x14ac:dyDescent="0.25">
      <c r="A140" s="5">
        <v>44453</v>
      </c>
      <c r="B140">
        <v>1.3048999999999999</v>
      </c>
      <c r="C140">
        <v>1.3299000000000001</v>
      </c>
      <c r="D140">
        <v>1.1335</v>
      </c>
      <c r="E140">
        <v>1.2050000000000001</v>
      </c>
      <c r="F140">
        <v>268725891</v>
      </c>
      <c r="G140">
        <v>1.2050000000000001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-0.27189409368635364</v>
      </c>
      <c r="Q140">
        <f t="shared" ref="Q140" si="676">F140*P140</f>
        <v>-73064982.583502859</v>
      </c>
      <c r="R140">
        <f t="shared" ref="R140" si="677">R141+Q140</f>
        <v>826779283.1706332</v>
      </c>
      <c r="S140">
        <f t="shared" ref="S140" si="678">R140/100000</f>
        <v>8267.7928317063324</v>
      </c>
      <c r="T140">
        <f t="shared" ref="T140" si="679">S140/1000</f>
        <v>8.2677928317063323</v>
      </c>
    </row>
    <row r="141" spans="1:20" x14ac:dyDescent="0.25">
      <c r="A141" s="5">
        <v>44452</v>
      </c>
      <c r="B141">
        <v>1.4420999999999999</v>
      </c>
      <c r="C141">
        <v>1.4540999999999999</v>
      </c>
      <c r="D141">
        <v>1.2181</v>
      </c>
      <c r="E141">
        <v>1.3045</v>
      </c>
      <c r="F141">
        <v>249143899</v>
      </c>
      <c r="G141">
        <v>1.3045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-0.26779661016949119</v>
      </c>
      <c r="Q141">
        <f t="shared" ref="Q141" si="681">F141*P141</f>
        <v>-66719891.596610084</v>
      </c>
      <c r="R141">
        <f t="shared" ref="R141" si="682">R142+Q141</f>
        <v>899844265.75413609</v>
      </c>
      <c r="S141">
        <f t="shared" ref="S141" si="683">R141/100000</f>
        <v>8998.4426575413599</v>
      </c>
      <c r="T141">
        <f t="shared" ref="T141" si="684">S141/1000</f>
        <v>8.9984426575413607</v>
      </c>
    </row>
    <row r="142" spans="1:20" x14ac:dyDescent="0.25">
      <c r="A142" s="5">
        <v>44451</v>
      </c>
      <c r="B142">
        <v>1.5465</v>
      </c>
      <c r="C142">
        <v>1.5569999999999999</v>
      </c>
      <c r="D142">
        <v>1.3821000000000001</v>
      </c>
      <c r="E142">
        <v>1.4421999999999999</v>
      </c>
      <c r="F142">
        <v>189543840</v>
      </c>
      <c r="G142">
        <v>1.4421999999999999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-0.31275014293882358</v>
      </c>
      <c r="Q142">
        <f t="shared" ref="Q142" si="686">F142*P142</f>
        <v>-59279863.053173505</v>
      </c>
      <c r="R142">
        <f t="shared" ref="R142" si="687">R143+Q142</f>
        <v>966564157.35074615</v>
      </c>
      <c r="S142">
        <f t="shared" ref="S142" si="688">R142/100000</f>
        <v>9665.6415735074625</v>
      </c>
      <c r="T142">
        <f t="shared" ref="T142" si="689">S142/1000</f>
        <v>9.6656415735074628</v>
      </c>
    </row>
    <row r="143" spans="1:20" x14ac:dyDescent="0.25">
      <c r="A143" s="5">
        <v>44450</v>
      </c>
      <c r="B143">
        <v>1.4947999999999999</v>
      </c>
      <c r="C143">
        <v>1.6930000000000001</v>
      </c>
      <c r="D143">
        <v>1.4351</v>
      </c>
      <c r="E143">
        <v>1.5466</v>
      </c>
      <c r="F143">
        <v>282640139</v>
      </c>
      <c r="G143">
        <v>1.5466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-0.13532376890267603</v>
      </c>
      <c r="Q143">
        <f t="shared" ref="Q143" si="691">F143*P143</f>
        <v>-38247928.85265623</v>
      </c>
      <c r="R143">
        <f t="shared" ref="R143" si="692">R144+Q143</f>
        <v>1025844020.4039197</v>
      </c>
      <c r="S143">
        <f t="shared" ref="S143" si="693">R143/100000</f>
        <v>10258.440204039198</v>
      </c>
      <c r="T143">
        <f t="shared" ref="T143" si="694">S143/1000</f>
        <v>10.258440204039198</v>
      </c>
    </row>
    <row r="144" spans="1:20" x14ac:dyDescent="0.25">
      <c r="A144" s="5">
        <v>44449</v>
      </c>
      <c r="B144">
        <v>1.6588000000000001</v>
      </c>
      <c r="C144">
        <v>1.7679</v>
      </c>
      <c r="D144">
        <v>1.419</v>
      </c>
      <c r="E144">
        <v>1.4939</v>
      </c>
      <c r="F144">
        <v>330466024</v>
      </c>
      <c r="G144">
        <v>1.4939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-0.57065061622241342</v>
      </c>
      <c r="Q144">
        <f t="shared" ref="Q144" si="696">F144*P144</f>
        <v>-188580640.23617086</v>
      </c>
      <c r="R144">
        <f t="shared" ref="R144" si="697">R145+Q144</f>
        <v>1064091949.2565759</v>
      </c>
      <c r="S144">
        <f t="shared" ref="S144" si="698">R144/100000</f>
        <v>10640.919492565759</v>
      </c>
      <c r="T144">
        <f t="shared" ref="T144" si="699">S144/1000</f>
        <v>10.640919492565759</v>
      </c>
    </row>
    <row r="145" spans="1:20" x14ac:dyDescent="0.25">
      <c r="A145" s="5">
        <v>44448</v>
      </c>
      <c r="B145">
        <v>1.5616000000000001</v>
      </c>
      <c r="C145">
        <v>1.94</v>
      </c>
      <c r="D145">
        <v>1.518</v>
      </c>
      <c r="E145">
        <v>1.6583000000000001</v>
      </c>
      <c r="F145">
        <v>657875998.79999995</v>
      </c>
      <c r="G145">
        <v>1.6583000000000001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-0.33507109004739283</v>
      </c>
      <c r="Q145">
        <f t="shared" ref="Q145" si="701">F145*P145</f>
        <v>-220435228.03393328</v>
      </c>
      <c r="R145">
        <f t="shared" ref="R145" si="702">R146+Q145</f>
        <v>1252672589.4927468</v>
      </c>
      <c r="S145">
        <f t="shared" ref="S145" si="703">R145/100000</f>
        <v>12526.725894927469</v>
      </c>
      <c r="T145">
        <f t="shared" ref="T145" si="704">S145/1000</f>
        <v>12.52672589492747</v>
      </c>
    </row>
    <row r="146" spans="1:20" x14ac:dyDescent="0.25">
      <c r="A146" s="5">
        <v>44447</v>
      </c>
      <c r="B146">
        <v>1.405</v>
      </c>
      <c r="C146">
        <v>1.6788000000000001</v>
      </c>
      <c r="D146">
        <v>1.2532000000000001</v>
      </c>
      <c r="E146">
        <v>1.5602</v>
      </c>
      <c r="F146">
        <v>713409381</v>
      </c>
      <c r="G146">
        <v>1.5602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0.4426691729323306</v>
      </c>
      <c r="Q146">
        <f t="shared" ref="Q146" si="706">F146*P146</f>
        <v>315804340.64943594</v>
      </c>
      <c r="R146">
        <f t="shared" ref="R146" si="707">R147+Q146</f>
        <v>1473107817.5266802</v>
      </c>
      <c r="S146">
        <f t="shared" ref="S146" si="708">R146/100000</f>
        <v>14731.078175266803</v>
      </c>
      <c r="T146">
        <f t="shared" ref="T146" si="709">S146/1000</f>
        <v>14.731078175266802</v>
      </c>
    </row>
    <row r="147" spans="1:20" x14ac:dyDescent="0.25">
      <c r="A147" s="5">
        <v>44446</v>
      </c>
      <c r="B147">
        <v>1.3925000000000001</v>
      </c>
      <c r="C147">
        <v>1.8499000000000001</v>
      </c>
      <c r="D147">
        <v>1.1266</v>
      </c>
      <c r="E147">
        <v>1.405</v>
      </c>
      <c r="F147">
        <v>1093745837</v>
      </c>
      <c r="G147">
        <v>1.405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-0.23019493985897979</v>
      </c>
      <c r="Q147">
        <f t="shared" ref="Q147" si="711">F147*P147</f>
        <v>-251774757.1692245</v>
      </c>
      <c r="R147">
        <f t="shared" ref="R147" si="712">R148+Q147</f>
        <v>1157303476.8772442</v>
      </c>
      <c r="S147">
        <f t="shared" ref="S147" si="713">R147/100000</f>
        <v>11573.034768772442</v>
      </c>
      <c r="T147">
        <f t="shared" ref="T147" si="714">S147/1000</f>
        <v>11.573034768772443</v>
      </c>
    </row>
    <row r="148" spans="1:20" x14ac:dyDescent="0.25">
      <c r="A148" s="5">
        <v>44445</v>
      </c>
      <c r="B148">
        <v>1.2150000000000001</v>
      </c>
      <c r="C148">
        <v>1.48</v>
      </c>
      <c r="D148">
        <v>1.1837</v>
      </c>
      <c r="E148">
        <v>1.3931</v>
      </c>
      <c r="F148">
        <v>465595375.80000001</v>
      </c>
      <c r="G148">
        <v>1.3931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0.41343233209584895</v>
      </c>
      <c r="Q148">
        <f t="shared" ref="Q148" si="716">F148*P148</f>
        <v>192492182.03003719</v>
      </c>
      <c r="R148">
        <f t="shared" ref="R148" si="717">R149+Q148</f>
        <v>1409078234.0464687</v>
      </c>
      <c r="S148">
        <f t="shared" ref="S148" si="718">R148/100000</f>
        <v>14090.782340464688</v>
      </c>
      <c r="T148">
        <f t="shared" ref="T148" si="719">S148/1000</f>
        <v>14.090782340464688</v>
      </c>
    </row>
    <row r="149" spans="1:20" x14ac:dyDescent="0.25">
      <c r="A149" s="5">
        <v>44444</v>
      </c>
      <c r="B149">
        <v>1.0616000000000001</v>
      </c>
      <c r="C149">
        <v>1.2742</v>
      </c>
      <c r="D149">
        <v>1.012</v>
      </c>
      <c r="E149">
        <v>1.2156</v>
      </c>
      <c r="F149">
        <v>400793053.39999998</v>
      </c>
      <c r="G149">
        <v>1.2156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0.55301296720061033</v>
      </c>
      <c r="Q149">
        <f t="shared" ref="Q149" si="721">F149*P149</f>
        <v>221643755.69412664</v>
      </c>
      <c r="R149">
        <f t="shared" ref="R149" si="722">R150+Q149</f>
        <v>1216586052.0164316</v>
      </c>
      <c r="S149">
        <f t="shared" ref="S149" si="723">R149/100000</f>
        <v>12165.860520164315</v>
      </c>
      <c r="T149">
        <f t="shared" ref="T149" si="724">S149/1000</f>
        <v>12.165860520164316</v>
      </c>
    </row>
    <row r="150" spans="1:20" x14ac:dyDescent="0.25">
      <c r="A150" s="5">
        <v>44443</v>
      </c>
      <c r="B150">
        <v>0.97529999999999994</v>
      </c>
      <c r="C150">
        <v>1.1903999999999999</v>
      </c>
      <c r="D150">
        <v>0.96609999999999996</v>
      </c>
      <c r="E150">
        <v>1.0616000000000001</v>
      </c>
      <c r="F150">
        <v>495997501.39999998</v>
      </c>
      <c r="G150">
        <v>1.0616000000000001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-0.14846188140882599</v>
      </c>
      <c r="Q150">
        <f t="shared" ref="Q150" si="726">F150*P150</f>
        <v>-73636722.231920794</v>
      </c>
      <c r="R150">
        <f t="shared" ref="R150" si="727">R151+Q150</f>
        <v>994942296.32230484</v>
      </c>
      <c r="S150">
        <f t="shared" ref="S150" si="728">R150/100000</f>
        <v>9949.422963223049</v>
      </c>
      <c r="T150">
        <f t="shared" ref="T150" si="729">S150/1000</f>
        <v>9.9494229632230482</v>
      </c>
    </row>
    <row r="151" spans="1:20" x14ac:dyDescent="0.25">
      <c r="A151" s="5">
        <v>44442</v>
      </c>
      <c r="B151">
        <v>0.84889999999999999</v>
      </c>
      <c r="C151">
        <v>0.98370000000000002</v>
      </c>
      <c r="D151">
        <v>0.8135</v>
      </c>
      <c r="E151">
        <v>0.97499999999999998</v>
      </c>
      <c r="F151">
        <v>339578953.39999998</v>
      </c>
      <c r="G151">
        <v>0.97499999999999998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0.89776733254994079</v>
      </c>
      <c r="Q151">
        <f t="shared" ref="Q151" si="731">F151*P151</f>
        <v>304862891.18401861</v>
      </c>
      <c r="R151">
        <f t="shared" ref="R151" si="732">R152+Q151</f>
        <v>1068579018.5542257</v>
      </c>
      <c r="S151">
        <f t="shared" ref="S151" si="733">R151/100000</f>
        <v>10685.790185542257</v>
      </c>
      <c r="T151">
        <f t="shared" ref="T151" si="734">S151/1000</f>
        <v>10.685790185542256</v>
      </c>
    </row>
    <row r="152" spans="1:20" x14ac:dyDescent="0.25">
      <c r="A152" s="5">
        <v>44441</v>
      </c>
      <c r="B152">
        <v>0.87080000000000002</v>
      </c>
      <c r="C152">
        <v>0.93200000000000005</v>
      </c>
      <c r="D152">
        <v>0.81110000000000004</v>
      </c>
      <c r="E152">
        <v>0.84889999999999999</v>
      </c>
      <c r="F152">
        <v>356511032</v>
      </c>
      <c r="G152">
        <v>0.84889999999999999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-0.37468982630273046</v>
      </c>
      <c r="Q152">
        <f t="shared" ref="Q152" si="736">F152*P152</f>
        <v>-133581056.65508717</v>
      </c>
      <c r="R152">
        <f t="shared" ref="R152" si="737">R153+Q152</f>
        <v>763716127.37020707</v>
      </c>
      <c r="S152">
        <f t="shared" ref="S152" si="738">R152/100000</f>
        <v>7637.1612737020705</v>
      </c>
      <c r="T152">
        <f t="shared" ref="T152" si="739">S152/1000</f>
        <v>7.6371612737020707</v>
      </c>
    </row>
    <row r="153" spans="1:20" x14ac:dyDescent="0.25">
      <c r="A153" s="5">
        <v>44440</v>
      </c>
      <c r="B153">
        <v>0.71960000000000002</v>
      </c>
      <c r="C153">
        <v>0.96750000000000003</v>
      </c>
      <c r="D153">
        <v>0.69469999999999998</v>
      </c>
      <c r="E153">
        <v>0.87090000000000001</v>
      </c>
      <c r="F153">
        <v>555894614.89999998</v>
      </c>
      <c r="G153">
        <v>0.87090000000000001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0.2917888563049853</v>
      </c>
      <c r="Q153">
        <f t="shared" ref="Q153" si="741">F153*P153</f>
        <v>162203853.90777123</v>
      </c>
      <c r="R153">
        <f t="shared" ref="R153" si="742">R154+Q153</f>
        <v>897297184.02529418</v>
      </c>
      <c r="S153">
        <f t="shared" ref="S153" si="743">R153/100000</f>
        <v>8972.9718402529415</v>
      </c>
      <c r="T153">
        <f t="shared" ref="T153" si="744">S153/1000</f>
        <v>8.9729718402529421</v>
      </c>
    </row>
    <row r="154" spans="1:20" x14ac:dyDescent="0.25">
      <c r="A154" s="5">
        <v>44439</v>
      </c>
      <c r="B154">
        <v>0.79849999999999999</v>
      </c>
      <c r="C154">
        <v>0.88759999999999994</v>
      </c>
      <c r="D154">
        <v>0.68710000000000004</v>
      </c>
      <c r="E154">
        <v>0.72</v>
      </c>
      <c r="F154">
        <v>465332986</v>
      </c>
      <c r="G154">
        <v>0.72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-0.67182044887780601</v>
      </c>
      <c r="Q154">
        <f t="shared" ref="Q154" si="746">F154*P154</f>
        <v>-312620215.53216982</v>
      </c>
      <c r="R154">
        <f t="shared" ref="R154" si="747">R155+Q154</f>
        <v>735093330.11752295</v>
      </c>
      <c r="S154">
        <f t="shared" ref="S154" si="748">R154/100000</f>
        <v>7350.9333011752296</v>
      </c>
      <c r="T154">
        <f t="shared" ref="T154" si="749">S154/1000</f>
        <v>7.35093330117523</v>
      </c>
    </row>
    <row r="155" spans="1:20" x14ac:dyDescent="0.25">
      <c r="A155" s="5">
        <v>44438</v>
      </c>
      <c r="B155">
        <v>0.58560000000000001</v>
      </c>
      <c r="C155">
        <v>0.90600000000000003</v>
      </c>
      <c r="D155">
        <v>0.58309999999999995</v>
      </c>
      <c r="E155">
        <v>0.79859999999999998</v>
      </c>
      <c r="F155">
        <v>989208763.70000005</v>
      </c>
      <c r="G155">
        <v>0.79859999999999998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0.33477856921647553</v>
      </c>
      <c r="Q155">
        <f t="shared" ref="Q155" si="751">F155*P155</f>
        <v>331165894.56788462</v>
      </c>
      <c r="R155">
        <f t="shared" ref="R155" si="752">R156+Q155</f>
        <v>1047713545.6496928</v>
      </c>
      <c r="S155">
        <f t="shared" ref="S155" si="753">R155/100000</f>
        <v>10477.135456496928</v>
      </c>
      <c r="T155">
        <f t="shared" ref="T155" si="754">S155/1000</f>
        <v>10.477135456496928</v>
      </c>
    </row>
    <row r="156" spans="1:20" x14ac:dyDescent="0.25">
      <c r="A156" s="5">
        <v>44437</v>
      </c>
      <c r="B156">
        <v>0.52300000000000002</v>
      </c>
      <c r="C156">
        <v>0.58720000000000006</v>
      </c>
      <c r="D156">
        <v>0.49440000000000001</v>
      </c>
      <c r="E156">
        <v>0.58560000000000001</v>
      </c>
      <c r="F156">
        <v>121381016.8</v>
      </c>
      <c r="G156">
        <v>0.58560000000000001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0.96551724137930939</v>
      </c>
      <c r="Q156">
        <f t="shared" ref="Q156" si="756">F156*P156</f>
        <v>117195464.4965516</v>
      </c>
      <c r="R156">
        <f t="shared" ref="R156" si="757">R157+Q156</f>
        <v>716547651.08180821</v>
      </c>
      <c r="S156">
        <f t="shared" ref="S156" si="758">R156/100000</f>
        <v>7165.4765108180818</v>
      </c>
      <c r="T156">
        <f t="shared" ref="T156" si="759">S156/1000</f>
        <v>7.165476510818082</v>
      </c>
    </row>
    <row r="157" spans="1:20" x14ac:dyDescent="0.25">
      <c r="A157" s="5">
        <v>44436</v>
      </c>
      <c r="B157">
        <v>0.49209999999999998</v>
      </c>
      <c r="C157">
        <v>0.53390000000000004</v>
      </c>
      <c r="D157">
        <v>0.46779999999999999</v>
      </c>
      <c r="E157">
        <v>0.52310000000000001</v>
      </c>
      <c r="F157">
        <v>107134269.09999999</v>
      </c>
      <c r="G157">
        <v>0.52310000000000001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0.6732223903176997</v>
      </c>
      <c r="Q157">
        <f t="shared" ref="Q157" si="761">F157*P157</f>
        <v>72125188.728441671</v>
      </c>
      <c r="R157">
        <f t="shared" ref="R157" si="762">R158+Q157</f>
        <v>599352186.58525658</v>
      </c>
      <c r="S157">
        <f t="shared" ref="S157" si="763">R157/100000</f>
        <v>5993.5218658525655</v>
      </c>
      <c r="T157">
        <f t="shared" ref="T157" si="764">S157/1000</f>
        <v>5.9935218658525651</v>
      </c>
    </row>
    <row r="158" spans="1:20" x14ac:dyDescent="0.25">
      <c r="A158" s="5">
        <v>44435</v>
      </c>
      <c r="B158">
        <v>0.43309999999999998</v>
      </c>
      <c r="C158">
        <v>0.495</v>
      </c>
      <c r="D158">
        <v>0.41610000000000003</v>
      </c>
      <c r="E158">
        <v>0.49199999999999999</v>
      </c>
      <c r="F158">
        <v>123146808.3</v>
      </c>
      <c r="G158">
        <v>0.49199999999999999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0.92395437262357405</v>
      </c>
      <c r="Q158">
        <f t="shared" ref="Q158" si="766">F158*P158</f>
        <v>113782032.00342204</v>
      </c>
      <c r="R158">
        <f t="shared" ref="R158" si="767">R159+Q158</f>
        <v>527226997.85681486</v>
      </c>
      <c r="S158">
        <f t="shared" ref="S158" si="768">R158/100000</f>
        <v>5272.2699785681489</v>
      </c>
      <c r="T158">
        <f t="shared" ref="T158" si="769">S158/1000</f>
        <v>5.2722699785681488</v>
      </c>
    </row>
    <row r="159" spans="1:20" x14ac:dyDescent="0.25">
      <c r="A159" s="5">
        <v>44434</v>
      </c>
      <c r="B159">
        <v>0.49773000000000001</v>
      </c>
      <c r="C159">
        <v>0.51746000000000003</v>
      </c>
      <c r="D159">
        <v>0.43</v>
      </c>
      <c r="E159">
        <v>0.43330000000000002</v>
      </c>
      <c r="F159">
        <v>150582426.80000001</v>
      </c>
      <c r="G159">
        <v>0.43330000000000002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-0.92453693116853364</v>
      </c>
      <c r="Q159">
        <f t="shared" ref="Q159" si="771">F159*P159</f>
        <v>-139219014.76158237</v>
      </c>
      <c r="R159">
        <f t="shared" ref="R159" si="772">R160+Q159</f>
        <v>413444965.85339284</v>
      </c>
      <c r="S159">
        <f t="shared" ref="S159" si="773">R159/100000</f>
        <v>4134.4496585339284</v>
      </c>
      <c r="T159">
        <f t="shared" ref="T159" si="774">S159/1000</f>
        <v>4.1344496585339288</v>
      </c>
    </row>
    <row r="160" spans="1:20" x14ac:dyDescent="0.25">
      <c r="A160" s="5">
        <v>44433</v>
      </c>
      <c r="B160">
        <v>0.48139999999999999</v>
      </c>
      <c r="C160">
        <v>0.52032999999999996</v>
      </c>
      <c r="D160">
        <v>0.46250000000000002</v>
      </c>
      <c r="E160">
        <v>0.49773000000000001</v>
      </c>
      <c r="F160">
        <v>121790946.8</v>
      </c>
      <c r="G160">
        <v>0.49773000000000001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0.21839875497146885</v>
      </c>
      <c r="Q160">
        <f t="shared" ref="Q160" si="776">F160*P160</f>
        <v>26598991.147916399</v>
      </c>
      <c r="R160">
        <f t="shared" ref="R160" si="777">R161+Q160</f>
        <v>552663980.61497521</v>
      </c>
      <c r="S160">
        <f t="shared" ref="S160" si="778">R160/100000</f>
        <v>5526.6398061497521</v>
      </c>
      <c r="T160">
        <f t="shared" ref="T160" si="779">S160/1000</f>
        <v>5.5266398061497517</v>
      </c>
    </row>
    <row r="161" spans="1:20" x14ac:dyDescent="0.25">
      <c r="A161" s="5">
        <v>44432</v>
      </c>
      <c r="B161">
        <v>0.55120000000000002</v>
      </c>
      <c r="C161">
        <v>0.55813000000000001</v>
      </c>
      <c r="D161">
        <v>0.46259</v>
      </c>
      <c r="E161">
        <v>0.48139999999999999</v>
      </c>
      <c r="F161">
        <v>145542754.69999999</v>
      </c>
      <c r="G161">
        <v>0.48139999999999999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-0.60623822482729761</v>
      </c>
      <c r="Q161">
        <f t="shared" ref="Q161" si="781">F161*P161</f>
        <v>-88233581.24580282</v>
      </c>
      <c r="R161">
        <f t="shared" ref="R161" si="782">R162+Q161</f>
        <v>526064989.46705884</v>
      </c>
      <c r="S161">
        <f t="shared" ref="S161" si="783">R161/100000</f>
        <v>5260.6498946705888</v>
      </c>
      <c r="T161">
        <f t="shared" ref="T161" si="784">S161/1000</f>
        <v>5.2606498946705891</v>
      </c>
    </row>
    <row r="162" spans="1:20" x14ac:dyDescent="0.25">
      <c r="A162" s="5">
        <v>44431</v>
      </c>
      <c r="B162">
        <v>0.55579999999999996</v>
      </c>
      <c r="C162">
        <v>0.58928000000000003</v>
      </c>
      <c r="D162">
        <v>0.53330999999999995</v>
      </c>
      <c r="E162">
        <v>0.55123</v>
      </c>
      <c r="F162">
        <v>115070932.5</v>
      </c>
      <c r="G162">
        <v>0.55123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-0.35965695908522338</v>
      </c>
      <c r="Q162">
        <f t="shared" ref="Q162" si="786">F162*P162</f>
        <v>-41386061.662051</v>
      </c>
      <c r="R162">
        <f t="shared" ref="R162" si="787">R163+Q162</f>
        <v>614298570.71286166</v>
      </c>
      <c r="S162">
        <f t="shared" ref="S162" si="788">R162/100000</f>
        <v>6142.9857071286169</v>
      </c>
      <c r="T162">
        <f t="shared" ref="T162" si="789">S162/1000</f>
        <v>6.1429857071286174</v>
      </c>
    </row>
    <row r="163" spans="1:20" x14ac:dyDescent="0.25">
      <c r="A163" s="5">
        <v>44430</v>
      </c>
      <c r="B163">
        <v>0.57352999999999998</v>
      </c>
      <c r="C163">
        <v>0.59799999999999998</v>
      </c>
      <c r="D163">
        <v>0.54500000000000004</v>
      </c>
      <c r="E163">
        <v>0.57293000000000005</v>
      </c>
      <c r="F163">
        <v>62299295.899999999</v>
      </c>
      <c r="G163">
        <v>0.57293000000000005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5.3962264150945058E-2</v>
      </c>
      <c r="Q163">
        <f t="shared" ref="Q163" si="791">F163*P163</f>
        <v>3361811.0617736885</v>
      </c>
      <c r="R163">
        <f t="shared" ref="R163" si="792">R164+Q163</f>
        <v>655684632.37491262</v>
      </c>
      <c r="S163">
        <f t="shared" ref="S163" si="793">R163/100000</f>
        <v>6556.846323749126</v>
      </c>
      <c r="T163">
        <f t="shared" ref="T163" si="794">S163/1000</f>
        <v>6.5568463237491263</v>
      </c>
    </row>
    <row r="164" spans="1:20" x14ac:dyDescent="0.25">
      <c r="A164" s="5">
        <v>44429</v>
      </c>
      <c r="B164">
        <v>0.49192999999999998</v>
      </c>
      <c r="C164">
        <v>0.57799999999999996</v>
      </c>
      <c r="D164">
        <v>0.47482000000000002</v>
      </c>
      <c r="E164">
        <v>0.57321999999999995</v>
      </c>
      <c r="F164">
        <v>223328210.40000001</v>
      </c>
      <c r="G164">
        <v>0.57321999999999995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0.90734638495832509</v>
      </c>
      <c r="Q164">
        <f t="shared" ref="Q164" si="796">F164*P164</f>
        <v>202636044.36565223</v>
      </c>
      <c r="R164">
        <f t="shared" ref="R164" si="797">R165+Q164</f>
        <v>652322821.31313896</v>
      </c>
      <c r="S164">
        <f t="shared" ref="S164" si="798">R164/100000</f>
        <v>6523.2282131313896</v>
      </c>
      <c r="T164">
        <f t="shared" ref="T164" si="799">S164/1000</f>
        <v>6.5232282131313895</v>
      </c>
    </row>
    <row r="165" spans="1:20" x14ac:dyDescent="0.25">
      <c r="A165" s="5">
        <v>44428</v>
      </c>
      <c r="B165">
        <v>0.50758000000000003</v>
      </c>
      <c r="C165">
        <v>0.54420000000000002</v>
      </c>
      <c r="D165">
        <v>0.48393000000000003</v>
      </c>
      <c r="E165">
        <v>0.49214999999999998</v>
      </c>
      <c r="F165">
        <v>210259649.90000001</v>
      </c>
      <c r="G165">
        <v>0.49214999999999998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-0.72722747635639784</v>
      </c>
      <c r="Q165">
        <f t="shared" ref="Q165" si="801">F165*P165</f>
        <v>-152906594.57635674</v>
      </c>
      <c r="R165">
        <f t="shared" ref="R165" si="802">R166+Q165</f>
        <v>449686776.94748676</v>
      </c>
      <c r="S165">
        <f t="shared" ref="S165" si="803">R165/100000</f>
        <v>4496.8677694748676</v>
      </c>
      <c r="T165">
        <f t="shared" ref="T165" si="804">S165/1000</f>
        <v>4.4968677694748678</v>
      </c>
    </row>
    <row r="166" spans="1:20" x14ac:dyDescent="0.25">
      <c r="A166" s="5">
        <v>44427</v>
      </c>
      <c r="B166">
        <v>0.41446</v>
      </c>
      <c r="C166">
        <v>0.50814999999999999</v>
      </c>
      <c r="D166">
        <v>0.41339999999999999</v>
      </c>
      <c r="E166">
        <v>0.50756000000000001</v>
      </c>
      <c r="F166">
        <v>344924066</v>
      </c>
      <c r="G166">
        <v>0.50756000000000001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0.98754617414248069</v>
      </c>
      <c r="Q166">
        <f t="shared" ref="Q166" si="806">F166*P166</f>
        <v>340628441.74796849</v>
      </c>
      <c r="R166">
        <f t="shared" ref="R166" si="807">R167+Q166</f>
        <v>602593371.52384353</v>
      </c>
      <c r="S166">
        <f t="shared" ref="S166" si="808">R166/100000</f>
        <v>6025.9337152384351</v>
      </c>
      <c r="T166">
        <f t="shared" ref="T166" si="809">S166/1000</f>
        <v>6.0259337152384349</v>
      </c>
    </row>
    <row r="167" spans="1:20" x14ac:dyDescent="0.25">
      <c r="A167" s="5">
        <v>44426</v>
      </c>
      <c r="B167">
        <v>0.39122000000000001</v>
      </c>
      <c r="C167">
        <v>0.45166000000000001</v>
      </c>
      <c r="D167">
        <v>0.36601</v>
      </c>
      <c r="E167">
        <v>0.41398000000000001</v>
      </c>
      <c r="F167">
        <v>267236936.69999999</v>
      </c>
      <c r="G167">
        <v>0.41398000000000001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0.12014010507880934</v>
      </c>
      <c r="Q167">
        <f t="shared" ref="Q167" si="811">F167*P167</f>
        <v>32105873.65607712</v>
      </c>
      <c r="R167">
        <f t="shared" ref="R167" si="812">R168+Q167</f>
        <v>261964929.77587497</v>
      </c>
      <c r="S167">
        <f t="shared" ref="S167" si="813">R167/100000</f>
        <v>2619.6492977587495</v>
      </c>
      <c r="T167">
        <f t="shared" ref="T167" si="814">S167/1000</f>
        <v>2.6196492977587496</v>
      </c>
    </row>
    <row r="168" spans="1:20" x14ac:dyDescent="0.25">
      <c r="A168" s="5">
        <v>44425</v>
      </c>
      <c r="B168">
        <v>0.39509</v>
      </c>
      <c r="C168">
        <v>0.46587000000000001</v>
      </c>
      <c r="D168">
        <v>0.37622</v>
      </c>
      <c r="E168">
        <v>0.39151999999999998</v>
      </c>
      <c r="F168">
        <v>289586855</v>
      </c>
      <c r="G168">
        <v>0.39151999999999998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-0.65867261572783087</v>
      </c>
      <c r="Q168">
        <f t="shared" ref="Q168" si="816">F168*P168</f>
        <v>-190742931.26324609</v>
      </c>
      <c r="R168">
        <f t="shared" ref="R168" si="817">R169+Q168</f>
        <v>229859056.11979786</v>
      </c>
      <c r="S168">
        <f t="shared" ref="S168" si="818">R168/100000</f>
        <v>2298.5905611979783</v>
      </c>
      <c r="T168">
        <f t="shared" ref="T168" si="819">S168/1000</f>
        <v>2.2985905611979782</v>
      </c>
    </row>
    <row r="169" spans="1:20" x14ac:dyDescent="0.25">
      <c r="A169" s="5">
        <v>44424</v>
      </c>
      <c r="B169">
        <v>0.34717999999999999</v>
      </c>
      <c r="C169">
        <v>0.42967</v>
      </c>
      <c r="D169">
        <v>0.34697</v>
      </c>
      <c r="E169">
        <v>0.39507999999999999</v>
      </c>
      <c r="F169">
        <v>271634561.89999998</v>
      </c>
      <c r="G169">
        <v>0.39507999999999999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0.16348246674727904</v>
      </c>
      <c r="Q169">
        <f t="shared" ref="Q169" si="821">F169*P169</f>
        <v>44407488.233228453</v>
      </c>
      <c r="R169">
        <f t="shared" ref="R169" si="822">R170+Q169</f>
        <v>420601987.38304394</v>
      </c>
      <c r="S169">
        <f t="shared" ref="S169" si="823">R169/100000</f>
        <v>4206.0198738304398</v>
      </c>
      <c r="T169">
        <f t="shared" ref="T169" si="824">S169/1000</f>
        <v>4.2060198738304395</v>
      </c>
    </row>
    <row r="170" spans="1:20" x14ac:dyDescent="0.25">
      <c r="A170" s="5">
        <v>44423</v>
      </c>
      <c r="B170">
        <v>0.33789999999999998</v>
      </c>
      <c r="C170">
        <v>0.35</v>
      </c>
      <c r="D170">
        <v>0.32050000000000001</v>
      </c>
      <c r="E170">
        <v>0.34693000000000002</v>
      </c>
      <c r="F170">
        <v>76679585.700000003</v>
      </c>
      <c r="G170">
        <v>0.34693000000000002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0.79186440677966341</v>
      </c>
      <c r="Q170">
        <f t="shared" ref="Q170" si="826">F170*P170</f>
        <v>60719834.642440863</v>
      </c>
      <c r="R170">
        <f t="shared" ref="R170" si="827">R171+Q170</f>
        <v>376194499.1498155</v>
      </c>
      <c r="S170">
        <f t="shared" ref="S170" si="828">R170/100000</f>
        <v>3761.9449914981551</v>
      </c>
      <c r="T170">
        <f t="shared" ref="T170" si="829">S170/1000</f>
        <v>3.7619449914981553</v>
      </c>
    </row>
    <row r="171" spans="1:20" x14ac:dyDescent="0.25">
      <c r="A171" s="5">
        <v>44422</v>
      </c>
      <c r="B171">
        <v>0.34443000000000001</v>
      </c>
      <c r="C171">
        <v>0.35544999999999999</v>
      </c>
      <c r="D171">
        <v>0.32501000000000002</v>
      </c>
      <c r="E171">
        <v>0.33798</v>
      </c>
      <c r="F171">
        <v>86016762.700000003</v>
      </c>
      <c r="G171">
        <v>0.33798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-0.14783180026281237</v>
      </c>
      <c r="Q171">
        <f t="shared" ref="Q171" si="831">F171*P171</f>
        <v>-12716012.88272013</v>
      </c>
      <c r="R171">
        <f t="shared" ref="R171" si="832">R172+Q171</f>
        <v>315474664.50737464</v>
      </c>
      <c r="S171">
        <f t="shared" ref="S171" si="833">R171/100000</f>
        <v>3154.7466450737465</v>
      </c>
      <c r="T171">
        <f t="shared" ref="T171" si="834">S171/1000</f>
        <v>3.1547466450737467</v>
      </c>
    </row>
    <row r="172" spans="1:20" x14ac:dyDescent="0.25">
      <c r="A172" s="5">
        <v>44421</v>
      </c>
      <c r="B172">
        <v>0.30791000000000002</v>
      </c>
      <c r="C172">
        <v>0.35149000000000002</v>
      </c>
      <c r="D172">
        <v>0.30392000000000002</v>
      </c>
      <c r="E172">
        <v>0.34449000000000002</v>
      </c>
      <c r="F172">
        <v>99810559</v>
      </c>
      <c r="G172">
        <v>0.34449000000000002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0.7056968677738068</v>
      </c>
      <c r="Q172">
        <f t="shared" ref="Q172" si="836">F172*P172</f>
        <v>70435998.857052743</v>
      </c>
      <c r="R172">
        <f t="shared" ref="R172" si="837">R173+Q172</f>
        <v>328190677.39009476</v>
      </c>
      <c r="S172">
        <f t="shared" ref="S172" si="838">R172/100000</f>
        <v>3281.9067739009474</v>
      </c>
      <c r="T172">
        <f t="shared" ref="T172" si="839">S172/1000</f>
        <v>3.2819067739009475</v>
      </c>
    </row>
    <row r="173" spans="1:20" x14ac:dyDescent="0.25">
      <c r="A173" s="5">
        <v>44420</v>
      </c>
      <c r="B173">
        <v>0.32002999999999998</v>
      </c>
      <c r="C173">
        <v>0.33975</v>
      </c>
      <c r="D173">
        <v>0.29009000000000001</v>
      </c>
      <c r="E173">
        <v>0.30808999999999997</v>
      </c>
      <c r="F173">
        <v>113576359.09999999</v>
      </c>
      <c r="G173">
        <v>0.30808999999999997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-0.27507047925896227</v>
      </c>
      <c r="Q173">
        <f t="shared" ref="Q173" si="841">F173*P173</f>
        <v>-31241503.530125</v>
      </c>
      <c r="R173">
        <f t="shared" ref="R173" si="842">R174+Q173</f>
        <v>257754678.53304204</v>
      </c>
      <c r="S173">
        <f t="shared" ref="S173" si="843">R173/100000</f>
        <v>2577.5467853304203</v>
      </c>
      <c r="T173">
        <f t="shared" ref="T173" si="844">S173/1000</f>
        <v>2.5775467853304201</v>
      </c>
    </row>
    <row r="174" spans="1:20" x14ac:dyDescent="0.25">
      <c r="A174" s="5">
        <v>44419</v>
      </c>
      <c r="B174">
        <v>0.29683999999999999</v>
      </c>
      <c r="C174">
        <v>0.33956999999999998</v>
      </c>
      <c r="D174">
        <v>0.29520000000000002</v>
      </c>
      <c r="E174">
        <v>0.32002000000000003</v>
      </c>
      <c r="F174">
        <v>131809786</v>
      </c>
      <c r="G174">
        <v>0.32002000000000003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0.11877394636015454</v>
      </c>
      <c r="Q174">
        <f t="shared" ref="Q174" si="846">F174*P174</f>
        <v>15655568.452107448</v>
      </c>
      <c r="R174">
        <f t="shared" ref="R174" si="847">R175+Q174</f>
        <v>288996182.06316704</v>
      </c>
      <c r="S174">
        <f t="shared" ref="S174" si="848">R174/100000</f>
        <v>2889.9618206316704</v>
      </c>
      <c r="T174">
        <f t="shared" ref="T174" si="849">S174/1000</f>
        <v>2.8899618206316706</v>
      </c>
    </row>
    <row r="175" spans="1:20" x14ac:dyDescent="0.25">
      <c r="A175" s="5">
        <v>44418</v>
      </c>
      <c r="B175">
        <v>0.27879999999999999</v>
      </c>
      <c r="C175">
        <v>0.30387999999999998</v>
      </c>
      <c r="D175">
        <v>0.27361999999999997</v>
      </c>
      <c r="E175">
        <v>0.29657</v>
      </c>
      <c r="F175">
        <v>106756625</v>
      </c>
      <c r="G175">
        <v>0.29657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0.51685393258427093</v>
      </c>
      <c r="Q175">
        <f t="shared" ref="Q175" si="851">F175*P175</f>
        <v>55177581.460674293</v>
      </c>
      <c r="R175">
        <f t="shared" ref="R175" si="852">R176+Q175</f>
        <v>273340613.61105961</v>
      </c>
      <c r="S175">
        <f t="shared" ref="S175" si="853">R175/100000</f>
        <v>2733.406136110596</v>
      </c>
      <c r="T175">
        <f t="shared" ref="T175" si="854">S175/1000</f>
        <v>2.7334061361105961</v>
      </c>
    </row>
    <row r="176" spans="1:20" x14ac:dyDescent="0.25">
      <c r="A176" s="5">
        <v>44417</v>
      </c>
      <c r="B176">
        <v>0.26726</v>
      </c>
      <c r="C176">
        <v>0.28993999999999998</v>
      </c>
      <c r="D176">
        <v>0.25686999999999999</v>
      </c>
      <c r="E176">
        <v>0.27865000000000001</v>
      </c>
      <c r="F176">
        <v>96775590.200000003</v>
      </c>
      <c r="G176">
        <v>0.27865000000000001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0.31720592682189475</v>
      </c>
      <c r="Q176">
        <f t="shared" ref="Q176" si="856">F176*P176</f>
        <v>30697790.783126876</v>
      </c>
      <c r="R176">
        <f t="shared" ref="R176" si="857">R177+Q176</f>
        <v>218163032.15038532</v>
      </c>
      <c r="S176">
        <f t="shared" ref="S176" si="858">R176/100000</f>
        <v>2181.6303215038533</v>
      </c>
      <c r="T176">
        <f t="shared" ref="T176" si="859">S176/1000</f>
        <v>2.1816303215038535</v>
      </c>
    </row>
    <row r="177" spans="1:20" x14ac:dyDescent="0.25">
      <c r="A177" s="5">
        <v>44416</v>
      </c>
      <c r="B177">
        <v>0.28628999999999999</v>
      </c>
      <c r="C177">
        <v>0.3</v>
      </c>
      <c r="D177">
        <v>0.26035000000000003</v>
      </c>
      <c r="E177">
        <v>0.26701999999999998</v>
      </c>
      <c r="F177">
        <v>114709284.59999999</v>
      </c>
      <c r="G177">
        <v>0.26701999999999998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-0.66355611601513442</v>
      </c>
      <c r="Q177">
        <f t="shared" ref="Q177" si="861">F177*P177</f>
        <v>-76116047.360050663</v>
      </c>
      <c r="R177">
        <f t="shared" ref="R177" si="862">R178+Q177</f>
        <v>187465241.36725843</v>
      </c>
      <c r="S177">
        <f t="shared" ref="S177" si="863">R177/100000</f>
        <v>1874.6524136725843</v>
      </c>
      <c r="T177">
        <f t="shared" ref="T177" si="864">S177/1000</f>
        <v>1.8746524136725844</v>
      </c>
    </row>
    <row r="178" spans="1:20" x14ac:dyDescent="0.25">
      <c r="A178" s="5">
        <v>44415</v>
      </c>
      <c r="B178">
        <v>0.27984999999999999</v>
      </c>
      <c r="C178">
        <v>0.2964</v>
      </c>
      <c r="D178">
        <v>0.26769999999999999</v>
      </c>
      <c r="E178">
        <v>0.2863</v>
      </c>
      <c r="F178">
        <v>102459502</v>
      </c>
      <c r="G178">
        <v>0.2863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0.29616724738675981</v>
      </c>
      <c r="Q178">
        <f t="shared" ref="Q178" si="866">F178*P178</f>
        <v>30345148.675958212</v>
      </c>
      <c r="R178">
        <f t="shared" ref="R178" si="867">R179+Q178</f>
        <v>263581288.72730911</v>
      </c>
      <c r="S178">
        <f t="shared" ref="S178" si="868">R178/100000</f>
        <v>2635.8128872730913</v>
      </c>
      <c r="T178">
        <f t="shared" ref="T178" si="869">S178/1000</f>
        <v>2.6358128872730915</v>
      </c>
    </row>
    <row r="179" spans="1:20" x14ac:dyDescent="0.25">
      <c r="A179" s="5">
        <v>44414</v>
      </c>
      <c r="B179">
        <v>0.25992999999999999</v>
      </c>
      <c r="C179">
        <v>0.28720000000000001</v>
      </c>
      <c r="D179">
        <v>0.25890000000000002</v>
      </c>
      <c r="E179">
        <v>0.27936</v>
      </c>
      <c r="F179">
        <v>127108954.90000001</v>
      </c>
      <c r="G179">
        <v>0.27936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0.44593639575971616</v>
      </c>
      <c r="Q179">
        <f t="shared" ref="Q179" si="871">F179*P179</f>
        <v>56682509.216890313</v>
      </c>
      <c r="R179">
        <f t="shared" ref="R179" si="872">R180+Q179</f>
        <v>233236140.05135089</v>
      </c>
      <c r="S179">
        <f t="shared" ref="S179" si="873">R179/100000</f>
        <v>2332.3614005135091</v>
      </c>
      <c r="T179">
        <f t="shared" ref="T179" si="874">S179/1000</f>
        <v>2.3323614005135092</v>
      </c>
    </row>
    <row r="180" spans="1:20" x14ac:dyDescent="0.25">
      <c r="A180" s="5">
        <v>44413</v>
      </c>
      <c r="B180">
        <v>0.24554999999999999</v>
      </c>
      <c r="C180">
        <v>0.26</v>
      </c>
      <c r="D180">
        <v>0.23111999999999999</v>
      </c>
      <c r="E180">
        <v>0.26</v>
      </c>
      <c r="F180">
        <v>79135753.5</v>
      </c>
      <c r="G180">
        <v>0.26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1</v>
      </c>
      <c r="Q180">
        <f t="shared" ref="Q180" si="876">F180*P180</f>
        <v>79135753.5</v>
      </c>
      <c r="R180">
        <f t="shared" ref="R180" si="877">R181+Q180</f>
        <v>176553630.83446059</v>
      </c>
      <c r="S180">
        <f t="shared" ref="S180" si="878">R180/100000</f>
        <v>1765.5363083446059</v>
      </c>
      <c r="T180">
        <f t="shared" ref="T180" si="879">S180/1000</f>
        <v>1.7655363083446058</v>
      </c>
    </row>
    <row r="181" spans="1:20" x14ac:dyDescent="0.25">
      <c r="A181" s="5">
        <v>44412</v>
      </c>
      <c r="B181">
        <v>0.23834</v>
      </c>
      <c r="C181">
        <v>0.25152000000000002</v>
      </c>
      <c r="D181">
        <v>0.22982</v>
      </c>
      <c r="E181">
        <v>0.24548</v>
      </c>
      <c r="F181">
        <v>66751512.700000003</v>
      </c>
      <c r="G181">
        <v>0.24548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0.44331797235022941</v>
      </c>
      <c r="Q181">
        <f t="shared" ref="Q181" si="881">F181*P181</f>
        <v>29592145.261474587</v>
      </c>
      <c r="R181">
        <f t="shared" ref="R181" si="882">R182+Q181</f>
        <v>97417877.334460586</v>
      </c>
      <c r="S181">
        <f t="shared" ref="S181" si="883">R181/100000</f>
        <v>974.17877334460582</v>
      </c>
      <c r="T181">
        <f t="shared" ref="T181" si="884">S181/1000</f>
        <v>0.97417877334460579</v>
      </c>
    </row>
    <row r="182" spans="1:20" x14ac:dyDescent="0.25">
      <c r="A182" s="5">
        <v>44411</v>
      </c>
      <c r="B182">
        <v>0.25097000000000003</v>
      </c>
      <c r="C182">
        <v>0.25873000000000002</v>
      </c>
      <c r="D182">
        <v>0.23358999999999999</v>
      </c>
      <c r="E182">
        <v>0.23835000000000001</v>
      </c>
      <c r="F182">
        <v>55490970</v>
      </c>
      <c r="G182">
        <v>0.23835000000000001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-0.62132060461415994</v>
      </c>
      <c r="Q182">
        <f t="shared" ref="Q182" si="886">F182*P182</f>
        <v>-34477683.031026214</v>
      </c>
      <c r="R182">
        <f t="shared" ref="R182" si="887">R183+Q182</f>
        <v>67825732.072986007</v>
      </c>
      <c r="S182">
        <f t="shared" ref="S182" si="888">R182/100000</f>
        <v>678.25732072986011</v>
      </c>
      <c r="T182">
        <f t="shared" ref="T182" si="889">S182/1000</f>
        <v>0.67825732072986011</v>
      </c>
    </row>
    <row r="183" spans="1:20" x14ac:dyDescent="0.25">
      <c r="A183" s="5">
        <v>44410</v>
      </c>
      <c r="B183">
        <v>0.24568000000000001</v>
      </c>
      <c r="C183">
        <v>0.25479000000000002</v>
      </c>
      <c r="D183">
        <v>0.23794999999999999</v>
      </c>
      <c r="E183">
        <v>0.25079000000000001</v>
      </c>
      <c r="F183">
        <v>73317606.099999994</v>
      </c>
      <c r="G183">
        <v>0.25079000000000001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0.52494061757719734</v>
      </c>
      <c r="Q183">
        <f t="shared" ref="Q183" si="891">F183*P183</f>
        <v>38487389.425415687</v>
      </c>
      <c r="R183">
        <f t="shared" ref="R183" si="892">R184+Q183</f>
        <v>102303415.10401222</v>
      </c>
      <c r="S183">
        <f t="shared" ref="S183" si="893">R183/100000</f>
        <v>1023.0341510401222</v>
      </c>
      <c r="T183">
        <f t="shared" ref="T183" si="894">S183/1000</f>
        <v>1.0230341510401222</v>
      </c>
    </row>
    <row r="184" spans="1:20" x14ac:dyDescent="0.25">
      <c r="A184" s="5">
        <v>44409</v>
      </c>
      <c r="B184">
        <v>0.25605</v>
      </c>
      <c r="C184">
        <v>0.26754</v>
      </c>
      <c r="D184">
        <v>0.24203</v>
      </c>
      <c r="E184">
        <v>0.24568999999999999</v>
      </c>
      <c r="F184">
        <v>97920572.200000003</v>
      </c>
      <c r="G184">
        <v>0.24568999999999999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-0.71305370442963578</v>
      </c>
      <c r="Q184">
        <f t="shared" ref="Q184" si="896">F184*P184</f>
        <v>-69822626.747079611</v>
      </c>
      <c r="R184">
        <f t="shared" ref="R184" si="897">R185+Q184</f>
        <v>63816025.678596541</v>
      </c>
      <c r="S184">
        <f t="shared" ref="S184" si="898">R184/100000</f>
        <v>638.16025678596543</v>
      </c>
      <c r="T184">
        <f t="shared" ref="T184" si="899">S184/1000</f>
        <v>0.63816025678596544</v>
      </c>
    </row>
    <row r="185" spans="1:20" x14ac:dyDescent="0.25">
      <c r="A185" s="5">
        <v>44408</v>
      </c>
      <c r="B185">
        <v>0.25352999999999998</v>
      </c>
      <c r="C185">
        <v>0.25997999999999999</v>
      </c>
      <c r="D185">
        <v>0.2442</v>
      </c>
      <c r="E185">
        <v>0.25625999999999999</v>
      </c>
      <c r="F185">
        <v>74241328.799999997</v>
      </c>
      <c r="G185">
        <v>0.25625999999999999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0.52851711026615922</v>
      </c>
      <c r="Q185">
        <f t="shared" ref="Q185" si="901">F185*P185</f>
        <v>39237812.55969578</v>
      </c>
      <c r="R185">
        <f t="shared" ref="R185" si="902">R186+Q185</f>
        <v>133638652.42567615</v>
      </c>
      <c r="S185">
        <f t="shared" ref="S185" si="903">R185/100000</f>
        <v>1336.3865242567615</v>
      </c>
      <c r="T185">
        <f t="shared" ref="T185" si="904">S185/1000</f>
        <v>1.3363865242567614</v>
      </c>
    </row>
    <row r="186" spans="1:20" x14ac:dyDescent="0.25">
      <c r="A186" s="5">
        <v>44407</v>
      </c>
      <c r="B186">
        <v>0.24972</v>
      </c>
      <c r="C186">
        <v>0.25800000000000001</v>
      </c>
      <c r="D186">
        <v>0.22832</v>
      </c>
      <c r="E186">
        <v>0.25364999999999999</v>
      </c>
      <c r="F186">
        <v>102336074.2</v>
      </c>
      <c r="G186">
        <v>0.25364999999999999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0.70687331536388009</v>
      </c>
      <c r="Q186">
        <f t="shared" ref="Q186" si="906">F186*P186</f>
        <v>72338640.051078036</v>
      </c>
      <c r="R186">
        <f t="shared" ref="R186" si="907">R187+Q186</f>
        <v>94400839.865980372</v>
      </c>
      <c r="S186">
        <f t="shared" ref="S186" si="908">R186/100000</f>
        <v>944.00839865980367</v>
      </c>
      <c r="T186">
        <f t="shared" ref="T186" si="909">S186/1000</f>
        <v>0.94400839865980368</v>
      </c>
    </row>
    <row r="187" spans="1:20" x14ac:dyDescent="0.25">
      <c r="A187" s="5">
        <v>44406</v>
      </c>
      <c r="B187">
        <v>0.22764999999999999</v>
      </c>
      <c r="C187">
        <v>0.25540000000000002</v>
      </c>
      <c r="D187">
        <v>0.22309999999999999</v>
      </c>
      <c r="E187">
        <v>0.24948000000000001</v>
      </c>
      <c r="F187">
        <v>156931003.5</v>
      </c>
      <c r="G187">
        <v>0.24948000000000001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0.63343653250773968</v>
      </c>
      <c r="Q187">
        <f t="shared" ref="Q187" si="911">F187*P187</f>
        <v>99405830.699999958</v>
      </c>
      <c r="R187">
        <f t="shared" ref="R187" si="912">R188+Q187</f>
        <v>22062199.814902335</v>
      </c>
      <c r="S187">
        <f t="shared" ref="S187" si="913">R187/100000</f>
        <v>220.62199814902334</v>
      </c>
      <c r="T187">
        <f t="shared" ref="T187" si="914">S187/1000</f>
        <v>0.22062199814902334</v>
      </c>
    </row>
    <row r="188" spans="1:20" x14ac:dyDescent="0.25">
      <c r="A188" s="5">
        <v>44405</v>
      </c>
      <c r="B188">
        <v>0.22423999999999999</v>
      </c>
      <c r="C188">
        <v>0.22964999999999999</v>
      </c>
      <c r="D188">
        <v>0.21554999999999999</v>
      </c>
      <c r="E188">
        <v>0.22738</v>
      </c>
      <c r="F188">
        <v>93648901.200000003</v>
      </c>
      <c r="G188">
        <v>0.22738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0.67801418439716399</v>
      </c>
      <c r="Q188">
        <f t="shared" ref="Q188" si="916">F188*P188</f>
        <v>63495283.366808593</v>
      </c>
      <c r="R188">
        <f t="shared" ref="R188" si="917">R189+Q188</f>
        <v>-77343630.885097623</v>
      </c>
      <c r="S188">
        <f t="shared" ref="S188" si="918">R188/100000</f>
        <v>-773.43630885097627</v>
      </c>
      <c r="T188">
        <f t="shared" ref="T188" si="919">S188/1000</f>
        <v>-0.77343630885097625</v>
      </c>
    </row>
    <row r="189" spans="1:20" x14ac:dyDescent="0.25">
      <c r="A189" s="5">
        <v>44404</v>
      </c>
      <c r="B189">
        <v>0.20913000000000001</v>
      </c>
      <c r="C189">
        <v>0.2351</v>
      </c>
      <c r="D189">
        <v>0.2</v>
      </c>
      <c r="E189">
        <v>0.22395999999999999</v>
      </c>
      <c r="F189">
        <v>122667419.8</v>
      </c>
      <c r="G189">
        <v>0.22395999999999999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0.36524216524216446</v>
      </c>
      <c r="Q189">
        <f t="shared" ref="Q189" si="921">F189*P189</f>
        <v>44803314.012421556</v>
      </c>
      <c r="R189">
        <f t="shared" ref="R189" si="922">R190+Q189</f>
        <v>-140838914.25190622</v>
      </c>
      <c r="S189">
        <f t="shared" ref="S189" si="923">R189/100000</f>
        <v>-1408.3891425190623</v>
      </c>
      <c r="T189">
        <f t="shared" ref="T189" si="924">S189/1000</f>
        <v>-1.4083891425190622</v>
      </c>
    </row>
    <row r="190" spans="1:20" x14ac:dyDescent="0.25">
      <c r="A190" s="5">
        <v>44403</v>
      </c>
      <c r="B190">
        <v>0.19792000000000001</v>
      </c>
      <c r="C190">
        <v>0.24195</v>
      </c>
      <c r="D190">
        <v>0.19550000000000001</v>
      </c>
      <c r="E190">
        <v>0.20937</v>
      </c>
      <c r="F190">
        <v>180222949.30000001</v>
      </c>
      <c r="G190">
        <v>0.20937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-0.40279870828848241</v>
      </c>
      <c r="Q190">
        <f t="shared" ref="Q190" si="926">F190*P190</f>
        <v>-72593571.181980655</v>
      </c>
      <c r="R190">
        <f t="shared" ref="R190" si="927">R191+Q190</f>
        <v>-185642228.26432776</v>
      </c>
      <c r="S190">
        <f t="shared" ref="S190" si="928">R190/100000</f>
        <v>-1856.4222826432776</v>
      </c>
      <c r="T190">
        <f t="shared" ref="T190" si="929">S190/1000</f>
        <v>-1.8564222826432777</v>
      </c>
    </row>
    <row r="191" spans="1:20" x14ac:dyDescent="0.25">
      <c r="A191" s="5">
        <v>44402</v>
      </c>
      <c r="B191">
        <v>0.19467999999999999</v>
      </c>
      <c r="C191">
        <v>0.19813</v>
      </c>
      <c r="D191">
        <v>0.18609000000000001</v>
      </c>
      <c r="E191">
        <v>0.19794999999999999</v>
      </c>
      <c r="F191">
        <v>54817938.799999997</v>
      </c>
      <c r="G191">
        <v>0.19794999999999999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0.97009966777408407</v>
      </c>
      <c r="Q191">
        <f t="shared" ref="Q191" si="931">F191*P191</f>
        <v>53178864.21794007</v>
      </c>
      <c r="R191">
        <f t="shared" ref="R191" si="932">R192+Q191</f>
        <v>-113048657.0823471</v>
      </c>
      <c r="S191">
        <f t="shared" ref="S191" si="933">R191/100000</f>
        <v>-1130.4865708234709</v>
      </c>
      <c r="T191">
        <f t="shared" ref="T191:T197" si="934">S191/1000</f>
        <v>-1.1304865708234708</v>
      </c>
    </row>
    <row r="192" spans="1:20" x14ac:dyDescent="0.25">
      <c r="A192" s="5">
        <v>44401</v>
      </c>
      <c r="B192">
        <v>0.19144</v>
      </c>
      <c r="C192">
        <v>0.20208000000000001</v>
      </c>
      <c r="D192">
        <v>0.18934999999999999</v>
      </c>
      <c r="E192">
        <v>0.19470000000000001</v>
      </c>
      <c r="F192">
        <v>68627412.900000006</v>
      </c>
      <c r="G192">
        <v>0.19470000000000001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-0.15946582875097984</v>
      </c>
      <c r="Q192">
        <f t="shared" ref="Q192" si="936">F192*P192</f>
        <v>-10943727.273134185</v>
      </c>
      <c r="R192">
        <f t="shared" ref="R192" si="937">R193+Q192</f>
        <v>-166227521.30028716</v>
      </c>
      <c r="S192">
        <f t="shared" ref="S192" si="938">R192/100000</f>
        <v>-1662.2752130028716</v>
      </c>
      <c r="T192">
        <f t="shared" si="934"/>
        <v>-1.6622752130028717</v>
      </c>
    </row>
    <row r="193" spans="1:20" x14ac:dyDescent="0.25">
      <c r="A193" s="5">
        <v>44400</v>
      </c>
      <c r="B193">
        <v>0.18568999999999999</v>
      </c>
      <c r="C193">
        <v>0.19342000000000001</v>
      </c>
      <c r="D193">
        <v>0.1789</v>
      </c>
      <c r="E193">
        <v>0.19128000000000001</v>
      </c>
      <c r="F193">
        <v>62541713.700000003</v>
      </c>
      <c r="G193">
        <v>0.19128000000000001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0.70523415977961401</v>
      </c>
      <c r="Q193">
        <f t="shared" ref="Q193" si="940">F193*P193</f>
        <v>44106552.912396677</v>
      </c>
      <c r="R193">
        <f t="shared" ref="R193" si="941">R194+Q193</f>
        <v>-155283794.02715299</v>
      </c>
      <c r="S193">
        <f t="shared" ref="S193" si="942">R193/100000</f>
        <v>-1552.8379402715298</v>
      </c>
      <c r="T193">
        <f t="shared" si="934"/>
        <v>-1.5528379402715298</v>
      </c>
    </row>
    <row r="194" spans="1:20" x14ac:dyDescent="0.25">
      <c r="A194" s="5">
        <v>44399</v>
      </c>
      <c r="B194">
        <v>0.17702000000000001</v>
      </c>
      <c r="C194">
        <v>0.18973999999999999</v>
      </c>
      <c r="D194">
        <v>0.17177000000000001</v>
      </c>
      <c r="E194">
        <v>0.18559</v>
      </c>
      <c r="F194">
        <v>77452875.700000003</v>
      </c>
      <c r="G194">
        <v>0.18559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0.53811908736783631</v>
      </c>
      <c r="Q194">
        <f t="shared" ref="Q194" si="944">F194*P194</f>
        <v>41678870.785698466</v>
      </c>
      <c r="R194">
        <f t="shared" ref="R194" si="945">R195+Q194</f>
        <v>-199390346.93954965</v>
      </c>
      <c r="S194">
        <f t="shared" ref="S194" si="946">R194/100000</f>
        <v>-1993.9034693954966</v>
      </c>
      <c r="T194">
        <f t="shared" si="934"/>
        <v>-1.9939034693954967</v>
      </c>
    </row>
    <row r="195" spans="1:20" x14ac:dyDescent="0.25">
      <c r="A195" s="5">
        <v>44398</v>
      </c>
      <c r="B195">
        <v>0.16006999999999999</v>
      </c>
      <c r="C195">
        <v>0.18482000000000001</v>
      </c>
      <c r="D195">
        <v>0.15593000000000001</v>
      </c>
      <c r="E195">
        <v>0.17709</v>
      </c>
      <c r="F195">
        <v>94265099.900000006</v>
      </c>
      <c r="G195">
        <v>0.17709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0.46486673589477223</v>
      </c>
      <c r="Q195">
        <f t="shared" ref="Q195" si="948">F195*P195</f>
        <v>43820709.299307622</v>
      </c>
      <c r="R195">
        <f t="shared" ref="R195" si="949">R196+Q195</f>
        <v>-241069217.72524813</v>
      </c>
      <c r="S195">
        <f t="shared" ref="S195" si="950">R195/100000</f>
        <v>-2410.6921772524811</v>
      </c>
      <c r="T195">
        <f t="shared" si="934"/>
        <v>-2.4106921772524812</v>
      </c>
    </row>
    <row r="196" spans="1:20" x14ac:dyDescent="0.25">
      <c r="A196" s="5">
        <v>44397</v>
      </c>
      <c r="B196">
        <v>0.17047000000000001</v>
      </c>
      <c r="C196">
        <v>0.17660999999999999</v>
      </c>
      <c r="D196">
        <v>0.153</v>
      </c>
      <c r="E196">
        <v>0.15998999999999999</v>
      </c>
      <c r="F196">
        <v>89854866.200000003</v>
      </c>
      <c r="G196">
        <v>0.15998999999999999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-0.40787801778907257</v>
      </c>
      <c r="Q196">
        <f t="shared" ref="Q196" si="952">F196*P196</f>
        <v>-36649824.714358337</v>
      </c>
      <c r="R196">
        <f t="shared" ref="R196" si="953">R197+Q196</f>
        <v>-284889927.02455574</v>
      </c>
      <c r="S196">
        <f t="shared" ref="S196" si="954">R196/100000</f>
        <v>-2848.8992702455575</v>
      </c>
      <c r="T196">
        <f t="shared" si="934"/>
        <v>-2.8488992702455573</v>
      </c>
    </row>
    <row r="197" spans="1:20" x14ac:dyDescent="0.25">
      <c r="A197" s="5">
        <v>44396</v>
      </c>
      <c r="B197">
        <v>0.19016</v>
      </c>
      <c r="C197">
        <v>0.19148999999999999</v>
      </c>
      <c r="D197">
        <v>0.16811999999999999</v>
      </c>
      <c r="E197">
        <v>0.17047999999999999</v>
      </c>
      <c r="F197">
        <v>60780094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-0.79803166452717156</v>
      </c>
      <c r="Q197">
        <f t="shared" ref="Q197" si="956">F197*P197</f>
        <v>-48504439.584937952</v>
      </c>
      <c r="R197">
        <f t="shared" ref="R197" si="957">R198+Q197</f>
        <v>-248240102.31019738</v>
      </c>
      <c r="S197">
        <f t="shared" ref="S197" si="958">R197/100000</f>
        <v>-2482.4010231019738</v>
      </c>
      <c r="T197">
        <f t="shared" si="934"/>
        <v>-2.482401023101974</v>
      </c>
    </row>
    <row r="198" spans="1:20" x14ac:dyDescent="0.25">
      <c r="A198" s="5">
        <v>44395</v>
      </c>
      <c r="B198">
        <v>0.19627</v>
      </c>
      <c r="C198">
        <v>0.20291999999999999</v>
      </c>
      <c r="D198">
        <v>0.18737000000000001</v>
      </c>
      <c r="E198">
        <v>0.19009999999999999</v>
      </c>
      <c r="F198">
        <v>38898714.299999997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-0.64887459807074133</v>
      </c>
      <c r="Q198">
        <f t="shared" ref="Q198:Q261" si="960">F198*P198</f>
        <v>-25240387.606881097</v>
      </c>
      <c r="R198">
        <f t="shared" ref="R198:R261" si="961">R199+Q198</f>
        <v>-199735662.72525942</v>
      </c>
      <c r="S198">
        <f t="shared" ref="S198:S261" si="962">R198/100000</f>
        <v>-1997.3566272525943</v>
      </c>
      <c r="T198">
        <f t="shared" ref="T198:T261" si="963">S198/1000</f>
        <v>-1.9973566272525942</v>
      </c>
    </row>
    <row r="199" spans="1:20" x14ac:dyDescent="0.25">
      <c r="A199" s="5">
        <v>44394</v>
      </c>
      <c r="B199">
        <v>0.19347</v>
      </c>
      <c r="C199">
        <v>0.19805</v>
      </c>
      <c r="D199">
        <v>0.18825</v>
      </c>
      <c r="E199">
        <v>0.19631999999999999</v>
      </c>
      <c r="F199">
        <v>45109464.399999999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0.64693877551020229</v>
      </c>
      <c r="Q199">
        <f t="shared" si="960"/>
        <v>29183061.662857059</v>
      </c>
      <c r="R199">
        <f t="shared" si="961"/>
        <v>-174495275.11837834</v>
      </c>
      <c r="S199">
        <f t="shared" si="962"/>
        <v>-1744.9527511837834</v>
      </c>
      <c r="T199">
        <f t="shared" si="963"/>
        <v>-1.7449527511837835</v>
      </c>
    </row>
    <row r="200" spans="1:20" x14ac:dyDescent="0.25">
      <c r="A200" s="5">
        <v>44393</v>
      </c>
      <c r="B200">
        <v>0.21165</v>
      </c>
      <c r="C200">
        <v>0.21584</v>
      </c>
      <c r="D200">
        <v>0.19336</v>
      </c>
      <c r="E200">
        <v>0.19350999999999999</v>
      </c>
      <c r="F200">
        <v>46875851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-0.98665480427046415</v>
      </c>
      <c r="Q200">
        <f t="shared" si="960"/>
        <v>-46250283.593416438</v>
      </c>
      <c r="R200">
        <f t="shared" si="961"/>
        <v>-203678336.7812354</v>
      </c>
      <c r="S200">
        <f t="shared" si="962"/>
        <v>-2036.7833678123541</v>
      </c>
      <c r="T200">
        <f t="shared" si="963"/>
        <v>-2.0367833678123541</v>
      </c>
    </row>
    <row r="201" spans="1:20" x14ac:dyDescent="0.25">
      <c r="A201" s="5">
        <v>44392</v>
      </c>
      <c r="B201">
        <v>0.21954000000000001</v>
      </c>
      <c r="C201">
        <v>0.2233</v>
      </c>
      <c r="D201">
        <v>0.20277000000000001</v>
      </c>
      <c r="E201">
        <v>0.21163999999999999</v>
      </c>
      <c r="F201">
        <v>54551598.5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-0.13589868485143769</v>
      </c>
      <c r="Q201">
        <f t="shared" si="960"/>
        <v>-7413490.4926936608</v>
      </c>
      <c r="R201">
        <f t="shared" si="961"/>
        <v>-157428053.18781894</v>
      </c>
      <c r="S201">
        <f t="shared" si="962"/>
        <v>-1574.2805318781895</v>
      </c>
      <c r="T201">
        <f t="shared" si="963"/>
        <v>-1.5742805318781896</v>
      </c>
    </row>
    <row r="202" spans="1:20" x14ac:dyDescent="0.25">
      <c r="A202" s="5">
        <v>44391</v>
      </c>
      <c r="B202">
        <v>0.22291</v>
      </c>
      <c r="C202">
        <v>0.22431999999999999</v>
      </c>
      <c r="D202">
        <v>0.20612</v>
      </c>
      <c r="E202">
        <v>0.21951999999999999</v>
      </c>
      <c r="F202">
        <v>51934661.600000001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0.47252747252747251</v>
      </c>
      <c r="Q202">
        <f t="shared" si="960"/>
        <v>24540554.382417582</v>
      </c>
      <c r="R202">
        <f t="shared" si="961"/>
        <v>-150014562.69512528</v>
      </c>
      <c r="S202">
        <f t="shared" si="962"/>
        <v>-1500.1456269512528</v>
      </c>
      <c r="T202">
        <f t="shared" si="963"/>
        <v>-1.5001456269512528</v>
      </c>
    </row>
    <row r="203" spans="1:20" x14ac:dyDescent="0.25">
      <c r="A203" s="5">
        <v>44390</v>
      </c>
      <c r="B203">
        <v>0.22362000000000001</v>
      </c>
      <c r="C203">
        <v>0.23843</v>
      </c>
      <c r="D203">
        <v>0.21609999999999999</v>
      </c>
      <c r="E203">
        <v>0.22275</v>
      </c>
      <c r="F203">
        <v>57436977.200000003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-0.40438871473354121</v>
      </c>
      <c r="Q203">
        <f t="shared" si="960"/>
        <v>-23226865.388087712</v>
      </c>
      <c r="R203">
        <f t="shared" si="961"/>
        <v>-174555117.07754287</v>
      </c>
      <c r="S203">
        <f t="shared" si="962"/>
        <v>-1745.5511707754288</v>
      </c>
      <c r="T203">
        <f t="shared" si="963"/>
        <v>-1.7455511707754288</v>
      </c>
    </row>
    <row r="204" spans="1:20" x14ac:dyDescent="0.25">
      <c r="A204" s="5">
        <v>44389</v>
      </c>
      <c r="B204">
        <v>0.23172999999999999</v>
      </c>
      <c r="C204">
        <v>0.23899999999999999</v>
      </c>
      <c r="D204">
        <v>0.21809000000000001</v>
      </c>
      <c r="E204">
        <v>0.22370000000000001</v>
      </c>
      <c r="F204">
        <v>54399947.299999997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-0.46341463414634071</v>
      </c>
      <c r="Q204">
        <f t="shared" si="960"/>
        <v>-25209731.675609715</v>
      </c>
      <c r="R204">
        <f t="shared" si="961"/>
        <v>-151328251.68945515</v>
      </c>
      <c r="S204">
        <f t="shared" si="962"/>
        <v>-1513.2825168945515</v>
      </c>
      <c r="T204">
        <f t="shared" si="963"/>
        <v>-1.5132825168945514</v>
      </c>
    </row>
    <row r="205" spans="1:20" x14ac:dyDescent="0.25">
      <c r="A205" s="5">
        <v>44388</v>
      </c>
      <c r="B205">
        <v>0.22606000000000001</v>
      </c>
      <c r="C205">
        <v>0.23679</v>
      </c>
      <c r="D205">
        <v>0.22034999999999999</v>
      </c>
      <c r="E205">
        <v>0.23193</v>
      </c>
      <c r="F205">
        <v>47190557.600000001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0.40875912408759124</v>
      </c>
      <c r="Q205">
        <f t="shared" si="960"/>
        <v>19289570.989781022</v>
      </c>
      <c r="R205">
        <f t="shared" si="961"/>
        <v>-126118520.01384544</v>
      </c>
      <c r="S205">
        <f t="shared" si="962"/>
        <v>-1261.1852001384545</v>
      </c>
      <c r="T205">
        <f t="shared" si="963"/>
        <v>-1.2611852001384545</v>
      </c>
    </row>
    <row r="206" spans="1:20" x14ac:dyDescent="0.25">
      <c r="A206" s="5">
        <v>44387</v>
      </c>
      <c r="B206">
        <v>0.23426</v>
      </c>
      <c r="C206">
        <v>0.2417</v>
      </c>
      <c r="D206">
        <v>0.22137000000000001</v>
      </c>
      <c r="E206">
        <v>0.22605</v>
      </c>
      <c r="F206">
        <v>48390087.100000001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-0.53959665518937605</v>
      </c>
      <c r="Q206">
        <f t="shared" si="960"/>
        <v>-26111129.143482573</v>
      </c>
      <c r="R206">
        <f t="shared" si="961"/>
        <v>-145408091.00362647</v>
      </c>
      <c r="S206">
        <f t="shared" si="962"/>
        <v>-1454.0809100362646</v>
      </c>
      <c r="T206">
        <f t="shared" si="963"/>
        <v>-1.4540809100362646</v>
      </c>
    </row>
    <row r="207" spans="1:20" x14ac:dyDescent="0.25">
      <c r="A207" s="5">
        <v>44386</v>
      </c>
      <c r="B207">
        <v>0.23835000000000001</v>
      </c>
      <c r="C207">
        <v>0.24112</v>
      </c>
      <c r="D207">
        <v>0.22398000000000001</v>
      </c>
      <c r="E207">
        <v>0.23424</v>
      </c>
      <c r="F207">
        <v>68787228.5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0.19719953325554238</v>
      </c>
      <c r="Q207">
        <f t="shared" si="960"/>
        <v>13564809.354142342</v>
      </c>
      <c r="R207">
        <f t="shared" si="961"/>
        <v>-119296961.8601439</v>
      </c>
      <c r="S207">
        <f t="shared" si="962"/>
        <v>-1192.9696186014389</v>
      </c>
      <c r="T207">
        <f t="shared" si="963"/>
        <v>-1.1929696186014389</v>
      </c>
    </row>
    <row r="208" spans="1:20" x14ac:dyDescent="0.25">
      <c r="A208" s="5">
        <v>44385</v>
      </c>
      <c r="B208">
        <v>0.25814999999999999</v>
      </c>
      <c r="C208">
        <v>0.26008999999999999</v>
      </c>
      <c r="D208">
        <v>0.23114999999999999</v>
      </c>
      <c r="E208">
        <v>0.23835000000000001</v>
      </c>
      <c r="F208">
        <v>102677161.90000001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-0.50241879751209306</v>
      </c>
      <c r="Q208">
        <f t="shared" si="960"/>
        <v>-51586936.213752501</v>
      </c>
      <c r="R208">
        <f t="shared" si="961"/>
        <v>-132861771.21428624</v>
      </c>
      <c r="S208">
        <f t="shared" si="962"/>
        <v>-1328.6177121428623</v>
      </c>
      <c r="T208">
        <f t="shared" si="963"/>
        <v>-1.3286177121428622</v>
      </c>
    </row>
    <row r="209" spans="1:20" x14ac:dyDescent="0.25">
      <c r="A209" s="5">
        <v>44384</v>
      </c>
      <c r="B209">
        <v>0.24959999999999999</v>
      </c>
      <c r="C209">
        <v>0.2777</v>
      </c>
      <c r="D209">
        <v>0.24532999999999999</v>
      </c>
      <c r="E209">
        <v>0.25834000000000001</v>
      </c>
      <c r="F209">
        <v>123578530.8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-0.19616929255483365</v>
      </c>
      <c r="Q209">
        <f t="shared" si="960"/>
        <v>-24242312.962001719</v>
      </c>
      <c r="R209">
        <f t="shared" si="961"/>
        <v>-81274835.00053373</v>
      </c>
      <c r="S209">
        <f t="shared" si="962"/>
        <v>-812.74835000533733</v>
      </c>
      <c r="T209">
        <f t="shared" si="963"/>
        <v>-0.81274835000533729</v>
      </c>
    </row>
    <row r="210" spans="1:20" x14ac:dyDescent="0.25">
      <c r="A210" s="5">
        <v>44383</v>
      </c>
      <c r="B210">
        <v>0.22991</v>
      </c>
      <c r="C210">
        <v>0.25490000000000002</v>
      </c>
      <c r="D210">
        <v>0.22921</v>
      </c>
      <c r="E210">
        <v>0.24945999999999999</v>
      </c>
      <c r="F210">
        <v>91341114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0.57648890618917681</v>
      </c>
      <c r="Q210">
        <f t="shared" si="960"/>
        <v>52657138.899960905</v>
      </c>
      <c r="R210">
        <f t="shared" si="961"/>
        <v>-57032522.038532019</v>
      </c>
      <c r="S210">
        <f t="shared" si="962"/>
        <v>-570.32522038532022</v>
      </c>
      <c r="T210">
        <f t="shared" si="963"/>
        <v>-0.57032522038532019</v>
      </c>
    </row>
    <row r="211" spans="1:20" x14ac:dyDescent="0.25">
      <c r="A211" s="5">
        <v>44382</v>
      </c>
      <c r="B211">
        <v>0.24265999999999999</v>
      </c>
      <c r="C211">
        <v>0.24489</v>
      </c>
      <c r="D211">
        <v>0.22478000000000001</v>
      </c>
      <c r="E211">
        <v>0.22961999999999999</v>
      </c>
      <c r="F211">
        <v>87336812.799999997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-0.51864743908503375</v>
      </c>
      <c r="Q211">
        <f t="shared" si="960"/>
        <v>-45297014.296568997</v>
      </c>
      <c r="R211">
        <f t="shared" si="961"/>
        <v>-109689660.93849292</v>
      </c>
      <c r="S211">
        <f t="shared" si="962"/>
        <v>-1096.8966093849292</v>
      </c>
      <c r="T211">
        <f t="shared" si="963"/>
        <v>-1.0968966093849293</v>
      </c>
    </row>
    <row r="212" spans="1:20" x14ac:dyDescent="0.25">
      <c r="A212" s="5">
        <v>44381</v>
      </c>
      <c r="B212">
        <v>0.23455999999999999</v>
      </c>
      <c r="C212">
        <v>0.25900000000000001</v>
      </c>
      <c r="D212">
        <v>0.22700000000000001</v>
      </c>
      <c r="E212">
        <v>0.24257000000000001</v>
      </c>
      <c r="F212">
        <v>78796622.900000006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-2.6874999999999989E-2</v>
      </c>
      <c r="Q212">
        <f t="shared" si="960"/>
        <v>-2117659.2404374992</v>
      </c>
      <c r="R212">
        <f t="shared" si="961"/>
        <v>-64392646.641923927</v>
      </c>
      <c r="S212">
        <f t="shared" si="962"/>
        <v>-643.92646641923932</v>
      </c>
      <c r="T212">
        <f t="shared" si="963"/>
        <v>-0.64392646641923934</v>
      </c>
    </row>
    <row r="213" spans="1:20" x14ac:dyDescent="0.25">
      <c r="A213" s="5">
        <v>44380</v>
      </c>
      <c r="B213">
        <v>0.22733</v>
      </c>
      <c r="C213">
        <v>0.23980000000000001</v>
      </c>
      <c r="D213">
        <v>0.22469</v>
      </c>
      <c r="E213">
        <v>0.23447000000000001</v>
      </c>
      <c r="F213">
        <v>57092230.5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0.294506949040371</v>
      </c>
      <c r="Q213">
        <f t="shared" si="960"/>
        <v>16814058.618464615</v>
      </c>
      <c r="R213">
        <f t="shared" si="961"/>
        <v>-62274987.401486427</v>
      </c>
      <c r="S213">
        <f t="shared" si="962"/>
        <v>-622.7498740148643</v>
      </c>
      <c r="T213">
        <f t="shared" si="963"/>
        <v>-0.62274987401486426</v>
      </c>
    </row>
    <row r="214" spans="1:20" x14ac:dyDescent="0.25">
      <c r="A214" s="5">
        <v>44379</v>
      </c>
      <c r="B214">
        <v>0.22125</v>
      </c>
      <c r="C214">
        <v>0.23114999999999999</v>
      </c>
      <c r="D214">
        <v>0.21446000000000001</v>
      </c>
      <c r="E214">
        <v>0.22702</v>
      </c>
      <c r="F214">
        <v>85514430.900000006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0.50509286998202529</v>
      </c>
      <c r="Q214">
        <f t="shared" si="960"/>
        <v>43192729.328160591</v>
      </c>
      <c r="R214">
        <f t="shared" si="961"/>
        <v>-79089046.019951046</v>
      </c>
      <c r="S214">
        <f t="shared" si="962"/>
        <v>-790.89046019951047</v>
      </c>
      <c r="T214">
        <f t="shared" si="963"/>
        <v>-0.79089046019951048</v>
      </c>
    </row>
    <row r="215" spans="1:20" x14ac:dyDescent="0.25">
      <c r="A215" s="5">
        <v>44378</v>
      </c>
      <c r="B215">
        <v>0.24124999999999999</v>
      </c>
      <c r="C215">
        <v>0.24279999999999999</v>
      </c>
      <c r="D215">
        <v>0.2185</v>
      </c>
      <c r="E215">
        <v>0.22144</v>
      </c>
      <c r="F215">
        <v>121733288.90000001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-0.75802469135802475</v>
      </c>
      <c r="Q215">
        <f t="shared" si="960"/>
        <v>-92276838.746419758</v>
      </c>
      <c r="R215">
        <f t="shared" si="961"/>
        <v>-122281775.34811163</v>
      </c>
      <c r="S215">
        <f t="shared" si="962"/>
        <v>-1222.8177534811164</v>
      </c>
      <c r="T215">
        <f t="shared" si="963"/>
        <v>-1.2228177534811164</v>
      </c>
    </row>
    <row r="216" spans="1:20" x14ac:dyDescent="0.25">
      <c r="A216" s="5">
        <v>44377</v>
      </c>
      <c r="B216">
        <v>0.23522000000000001</v>
      </c>
      <c r="C216">
        <v>0.24193000000000001</v>
      </c>
      <c r="D216">
        <v>0.21310999999999999</v>
      </c>
      <c r="E216">
        <v>0.24121000000000001</v>
      </c>
      <c r="F216">
        <v>133788610.09999999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0.95003469812630126</v>
      </c>
      <c r="Q216">
        <f t="shared" si="960"/>
        <v>127103821.80909091</v>
      </c>
      <c r="R216">
        <f t="shared" si="961"/>
        <v>-30004936.601691872</v>
      </c>
      <c r="S216">
        <f t="shared" si="962"/>
        <v>-300.04936601691873</v>
      </c>
      <c r="T216">
        <f t="shared" si="963"/>
        <v>-0.30004936601691873</v>
      </c>
    </row>
    <row r="217" spans="1:20" x14ac:dyDescent="0.25">
      <c r="A217" s="5">
        <v>44376</v>
      </c>
      <c r="B217">
        <v>0.22558</v>
      </c>
      <c r="C217">
        <v>0.25014999999999998</v>
      </c>
      <c r="D217">
        <v>0.22458</v>
      </c>
      <c r="E217">
        <v>0.23580000000000001</v>
      </c>
      <c r="F217">
        <v>119228678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-0.122409073132576</v>
      </c>
      <c r="Q217">
        <f t="shared" si="960"/>
        <v>-14594671.964802355</v>
      </c>
      <c r="R217">
        <f t="shared" si="961"/>
        <v>-157108758.41078278</v>
      </c>
      <c r="S217">
        <f t="shared" si="962"/>
        <v>-1571.0875841078278</v>
      </c>
      <c r="T217">
        <f t="shared" si="963"/>
        <v>-1.5710875841078278</v>
      </c>
    </row>
    <row r="218" spans="1:20" x14ac:dyDescent="0.25">
      <c r="A218" s="5">
        <v>44375</v>
      </c>
      <c r="B218">
        <v>0.21815000000000001</v>
      </c>
      <c r="C218">
        <v>0.23294000000000001</v>
      </c>
      <c r="D218">
        <v>0.21503</v>
      </c>
      <c r="E218">
        <v>0.22533</v>
      </c>
      <c r="F218">
        <v>115085492.90000001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0.15019542155220528</v>
      </c>
      <c r="Q218">
        <f t="shared" si="960"/>
        <v>17285314.12065883</v>
      </c>
      <c r="R218">
        <f t="shared" si="961"/>
        <v>-142514086.44598043</v>
      </c>
      <c r="S218">
        <f t="shared" si="962"/>
        <v>-1425.1408644598043</v>
      </c>
      <c r="T218">
        <f t="shared" si="963"/>
        <v>-1.4251408644598043</v>
      </c>
    </row>
    <row r="219" spans="1:20" x14ac:dyDescent="0.25">
      <c r="A219" s="5">
        <v>44374</v>
      </c>
      <c r="B219">
        <v>0.21257999999999999</v>
      </c>
      <c r="C219">
        <v>0.21819</v>
      </c>
      <c r="D219">
        <v>0.20061000000000001</v>
      </c>
      <c r="E219">
        <v>0.21818000000000001</v>
      </c>
      <c r="F219">
        <v>102268803.7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0.99886234357224324</v>
      </c>
      <c r="Q219">
        <f t="shared" si="960"/>
        <v>102152456.93811171</v>
      </c>
      <c r="R219">
        <f t="shared" si="961"/>
        <v>-159799400.56663924</v>
      </c>
      <c r="S219">
        <f t="shared" si="962"/>
        <v>-1597.9940056663925</v>
      </c>
      <c r="T219">
        <f t="shared" si="963"/>
        <v>-1.5979940056663924</v>
      </c>
    </row>
    <row r="220" spans="1:20" x14ac:dyDescent="0.25">
      <c r="A220" s="5">
        <v>44373</v>
      </c>
      <c r="B220">
        <v>0.20565</v>
      </c>
      <c r="C220">
        <v>0.217</v>
      </c>
      <c r="D220">
        <v>0.1938</v>
      </c>
      <c r="E220">
        <v>0.21265999999999999</v>
      </c>
      <c r="F220">
        <v>139885004.19999999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0.62586206896551633</v>
      </c>
      <c r="Q220">
        <f t="shared" si="960"/>
        <v>87548718.145861939</v>
      </c>
      <c r="R220">
        <f t="shared" si="961"/>
        <v>-261951857.50475097</v>
      </c>
      <c r="S220">
        <f t="shared" si="962"/>
        <v>-2619.5185750475098</v>
      </c>
      <c r="T220">
        <f t="shared" si="963"/>
        <v>-2.6195185750475098</v>
      </c>
    </row>
    <row r="221" spans="1:20" x14ac:dyDescent="0.25">
      <c r="A221" s="5">
        <v>44372</v>
      </c>
      <c r="B221">
        <v>0.24215999999999999</v>
      </c>
      <c r="C221">
        <v>0.24787999999999999</v>
      </c>
      <c r="D221">
        <v>0.20416000000000001</v>
      </c>
      <c r="E221">
        <v>0.20566000000000001</v>
      </c>
      <c r="F221">
        <v>171625647.40000001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-0.93138151875571806</v>
      </c>
      <c r="Q221">
        <f t="shared" si="960"/>
        <v>-159848956.13284537</v>
      </c>
      <c r="R221">
        <f t="shared" si="961"/>
        <v>-349500575.65061289</v>
      </c>
      <c r="S221">
        <f t="shared" si="962"/>
        <v>-3495.0057565061288</v>
      </c>
      <c r="T221">
        <f t="shared" si="963"/>
        <v>-3.4950057565061288</v>
      </c>
    </row>
    <row r="222" spans="1:20" x14ac:dyDescent="0.25">
      <c r="A222" s="5">
        <v>44371</v>
      </c>
      <c r="B222">
        <v>0.24645</v>
      </c>
      <c r="C222">
        <v>0.25897999999999999</v>
      </c>
      <c r="D222">
        <v>0.23283000000000001</v>
      </c>
      <c r="E222">
        <v>0.24217</v>
      </c>
      <c r="F222">
        <v>127375620.90000001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-0.28565965583174036</v>
      </c>
      <c r="Q222">
        <f t="shared" si="960"/>
        <v>-36386076.027648233</v>
      </c>
      <c r="R222">
        <f t="shared" si="961"/>
        <v>-189651619.51776752</v>
      </c>
      <c r="S222">
        <f t="shared" si="962"/>
        <v>-1896.5161951776752</v>
      </c>
      <c r="T222">
        <f t="shared" si="963"/>
        <v>-1.8965161951776752</v>
      </c>
    </row>
    <row r="223" spans="1:20" x14ac:dyDescent="0.25">
      <c r="A223" s="5">
        <v>44370</v>
      </c>
      <c r="B223">
        <v>0.21709999999999999</v>
      </c>
      <c r="C223">
        <v>0.26857999999999999</v>
      </c>
      <c r="D223">
        <v>0.20671999999999999</v>
      </c>
      <c r="E223">
        <v>0.24654999999999999</v>
      </c>
      <c r="F223">
        <v>190866299.09999999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0.28774652440995813</v>
      </c>
      <c r="Q223">
        <f t="shared" si="960"/>
        <v>54921114.193016514</v>
      </c>
      <c r="R223">
        <f t="shared" si="961"/>
        <v>-153265543.49011928</v>
      </c>
      <c r="S223">
        <f t="shared" si="962"/>
        <v>-1532.6554349011928</v>
      </c>
      <c r="T223">
        <f t="shared" si="963"/>
        <v>-1.5326554349011929</v>
      </c>
    </row>
    <row r="224" spans="1:20" x14ac:dyDescent="0.25">
      <c r="A224" s="5">
        <v>44369</v>
      </c>
      <c r="B224">
        <v>0.23465</v>
      </c>
      <c r="C224">
        <v>0.25425999999999999</v>
      </c>
      <c r="D224">
        <v>0.18601000000000001</v>
      </c>
      <c r="E224">
        <v>0.21693999999999999</v>
      </c>
      <c r="F224">
        <v>330483806.80000001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-9.3626373626373757E-2</v>
      </c>
      <c r="Q224">
        <f t="shared" si="960"/>
        <v>-30942000.372923121</v>
      </c>
      <c r="R224">
        <f t="shared" si="961"/>
        <v>-208186657.68313581</v>
      </c>
      <c r="S224">
        <f t="shared" si="962"/>
        <v>-2081.8665768313581</v>
      </c>
      <c r="T224">
        <f t="shared" si="963"/>
        <v>-2.081866576831358</v>
      </c>
    </row>
    <row r="225" spans="1:20" x14ac:dyDescent="0.25">
      <c r="A225" s="5">
        <v>44368</v>
      </c>
      <c r="B225">
        <v>0.30889</v>
      </c>
      <c r="C225">
        <v>0.31169000000000002</v>
      </c>
      <c r="D225">
        <v>0.23350000000000001</v>
      </c>
      <c r="E225">
        <v>0.23483000000000001</v>
      </c>
      <c r="F225">
        <v>247291531.90000001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-0.96598030438675031</v>
      </c>
      <c r="Q225">
        <f t="shared" si="960"/>
        <v>-238878749.25702778</v>
      </c>
      <c r="R225">
        <f t="shared" si="961"/>
        <v>-177244657.31021267</v>
      </c>
      <c r="S225">
        <f t="shared" si="962"/>
        <v>-1772.4465731021266</v>
      </c>
      <c r="T225">
        <f t="shared" si="963"/>
        <v>-1.7724465731021266</v>
      </c>
    </row>
    <row r="226" spans="1:20" x14ac:dyDescent="0.25">
      <c r="A226" s="5">
        <v>44367</v>
      </c>
      <c r="B226">
        <v>0.30774000000000001</v>
      </c>
      <c r="C226">
        <v>0.32008999999999999</v>
      </c>
      <c r="D226">
        <v>0.28199999999999997</v>
      </c>
      <c r="E226">
        <v>0.30848999999999999</v>
      </c>
      <c r="F226">
        <v>161417196.09999999</v>
      </c>
      <c r="G226">
        <v>0</v>
      </c>
      <c r="L226" t="s">
        <v>8</v>
      </c>
      <c r="M226" t="s">
        <v>7</v>
      </c>
      <c r="N226" t="s">
        <v>8</v>
      </c>
      <c r="P226">
        <f t="shared" si="959"/>
        <v>0.3909162509845106</v>
      </c>
      <c r="Q226">
        <f t="shared" si="960"/>
        <v>63100605.143843561</v>
      </c>
      <c r="R226">
        <f t="shared" si="961"/>
        <v>61634091.946815088</v>
      </c>
      <c r="S226">
        <f t="shared" si="962"/>
        <v>616.3409194681509</v>
      </c>
      <c r="T226">
        <f t="shared" si="963"/>
        <v>0.61634091946815095</v>
      </c>
    </row>
    <row r="227" spans="1:20" x14ac:dyDescent="0.25">
      <c r="A227" s="5">
        <v>44366</v>
      </c>
      <c r="B227">
        <v>0.29554000000000002</v>
      </c>
      <c r="C227">
        <v>0.32873999999999998</v>
      </c>
      <c r="D227">
        <v>0.28199999999999997</v>
      </c>
      <c r="E227">
        <v>0.30787999999999999</v>
      </c>
      <c r="F227">
        <v>163831162.5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0.10740265297389867</v>
      </c>
      <c r="Q227">
        <f t="shared" si="960"/>
        <v>17595901.492297903</v>
      </c>
      <c r="R227">
        <f t="shared" si="961"/>
        <v>-1466513.197028473</v>
      </c>
      <c r="S227">
        <f t="shared" si="962"/>
        <v>-14.66513197028473</v>
      </c>
      <c r="T227">
        <f t="shared" si="963"/>
        <v>-1.4665131970284729E-2</v>
      </c>
    </row>
    <row r="228" spans="1:20" x14ac:dyDescent="0.25">
      <c r="A228" s="5">
        <v>44365</v>
      </c>
      <c r="B228">
        <v>0.32169999999999999</v>
      </c>
      <c r="C228">
        <v>0.34688000000000002</v>
      </c>
      <c r="D228">
        <v>0.28514</v>
      </c>
      <c r="E228">
        <v>0.29543999999999998</v>
      </c>
      <c r="F228">
        <v>253023040.5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-0.66634272756721824</v>
      </c>
      <c r="Q228">
        <f t="shared" si="960"/>
        <v>-168600062.94412073</v>
      </c>
      <c r="R228">
        <f t="shared" si="961"/>
        <v>-19062414.689326376</v>
      </c>
      <c r="S228">
        <f t="shared" si="962"/>
        <v>-190.62414689326377</v>
      </c>
      <c r="T228">
        <f t="shared" si="963"/>
        <v>-0.19062414689326376</v>
      </c>
    </row>
    <row r="229" spans="1:20" x14ac:dyDescent="0.25">
      <c r="A229" s="5">
        <v>44364</v>
      </c>
      <c r="B229">
        <v>0.28028999999999998</v>
      </c>
      <c r="C229">
        <v>0.32400000000000001</v>
      </c>
      <c r="D229">
        <v>0.27889999999999998</v>
      </c>
      <c r="E229">
        <v>0.32138</v>
      </c>
      <c r="F229">
        <v>220521387.90000001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0.88381374722838091</v>
      </c>
      <c r="Q229">
        <f t="shared" si="960"/>
        <v>194899834.18390235</v>
      </c>
      <c r="R229">
        <f t="shared" si="961"/>
        <v>149537648.25479436</v>
      </c>
      <c r="S229">
        <f t="shared" si="962"/>
        <v>1495.3764825479436</v>
      </c>
      <c r="T229">
        <f t="shared" si="963"/>
        <v>1.4953764825479436</v>
      </c>
    </row>
    <row r="230" spans="1:20" x14ac:dyDescent="0.25">
      <c r="A230" s="5">
        <v>44363</v>
      </c>
      <c r="B230">
        <v>0.28852</v>
      </c>
      <c r="C230">
        <v>0.29139999999999999</v>
      </c>
      <c r="D230">
        <v>0.2666</v>
      </c>
      <c r="E230">
        <v>0.28072000000000003</v>
      </c>
      <c r="F230">
        <v>120155278.09999999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0.13870967741935708</v>
      </c>
      <c r="Q230">
        <f t="shared" si="960"/>
        <v>16666699.865484139</v>
      </c>
      <c r="R230">
        <f t="shared" si="961"/>
        <v>-45362185.929108009</v>
      </c>
      <c r="S230">
        <f t="shared" si="962"/>
        <v>-453.62185929108011</v>
      </c>
      <c r="T230">
        <f t="shared" si="963"/>
        <v>-0.45362185929108012</v>
      </c>
    </row>
    <row r="231" spans="1:20" x14ac:dyDescent="0.25">
      <c r="A231" s="5">
        <v>44362</v>
      </c>
      <c r="B231">
        <v>0.29997000000000001</v>
      </c>
      <c r="C231">
        <v>0.30941000000000002</v>
      </c>
      <c r="D231">
        <v>0.28076000000000001</v>
      </c>
      <c r="E231">
        <v>0.28872999999999999</v>
      </c>
      <c r="F231">
        <v>132806304.3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-0.44363001745200875</v>
      </c>
      <c r="Q231">
        <f t="shared" si="960"/>
        <v>-58916863.094345786</v>
      </c>
      <c r="R231">
        <f t="shared" si="961"/>
        <v>-62028885.79459215</v>
      </c>
      <c r="S231">
        <f t="shared" si="962"/>
        <v>-620.28885794592145</v>
      </c>
      <c r="T231">
        <f t="shared" si="963"/>
        <v>-0.62028885794592148</v>
      </c>
    </row>
    <row r="232" spans="1:20" x14ac:dyDescent="0.25">
      <c r="A232" s="5">
        <v>44361</v>
      </c>
      <c r="B232">
        <v>0.28010000000000002</v>
      </c>
      <c r="C232">
        <v>0.30847999999999998</v>
      </c>
      <c r="D232">
        <v>0.26900000000000002</v>
      </c>
      <c r="E232">
        <v>0.29959999999999998</v>
      </c>
      <c r="F232">
        <v>171295005.30000001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0.55015197568389018</v>
      </c>
      <c r="Q232">
        <f t="shared" si="960"/>
        <v>94238285.590577453</v>
      </c>
      <c r="R232">
        <f t="shared" si="961"/>
        <v>-3112022.7002463639</v>
      </c>
      <c r="S232">
        <f t="shared" si="962"/>
        <v>-31.12022700246364</v>
      </c>
      <c r="T232">
        <f t="shared" si="963"/>
        <v>-3.1120227002463641E-2</v>
      </c>
    </row>
    <row r="233" spans="1:20" x14ac:dyDescent="0.25">
      <c r="A233" s="5">
        <v>44360</v>
      </c>
      <c r="B233">
        <v>0.23909</v>
      </c>
      <c r="C233">
        <v>0.28353</v>
      </c>
      <c r="D233">
        <v>0.23216999999999999</v>
      </c>
      <c r="E233">
        <v>0.27994000000000002</v>
      </c>
      <c r="F233">
        <v>133506583.5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0.86020249221183875</v>
      </c>
      <c r="Q233">
        <f t="shared" si="960"/>
        <v>114842695.85338795</v>
      </c>
      <c r="R233">
        <f t="shared" si="961"/>
        <v>-97350308.290823817</v>
      </c>
      <c r="S233">
        <f t="shared" si="962"/>
        <v>-973.50308290823818</v>
      </c>
      <c r="T233">
        <f t="shared" si="963"/>
        <v>-0.97350308290823817</v>
      </c>
    </row>
    <row r="234" spans="1:20" x14ac:dyDescent="0.25">
      <c r="A234" s="5">
        <v>44359</v>
      </c>
      <c r="B234">
        <v>0.25283</v>
      </c>
      <c r="C234">
        <v>0.25312000000000001</v>
      </c>
      <c r="D234">
        <v>0.23188</v>
      </c>
      <c r="E234">
        <v>0.23910000000000001</v>
      </c>
      <c r="F234">
        <v>125814028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-0.32015065913370988</v>
      </c>
      <c r="Q234">
        <f t="shared" si="960"/>
        <v>-40279443.992467031</v>
      </c>
      <c r="R234">
        <f t="shared" si="961"/>
        <v>-212193004.14421177</v>
      </c>
      <c r="S234">
        <f t="shared" si="962"/>
        <v>-2121.9300414421177</v>
      </c>
      <c r="T234">
        <f t="shared" si="963"/>
        <v>-2.1219300414421176</v>
      </c>
    </row>
    <row r="235" spans="1:20" x14ac:dyDescent="0.25">
      <c r="A235" s="5">
        <v>44358</v>
      </c>
      <c r="B235">
        <v>0.27934999999999999</v>
      </c>
      <c r="C235">
        <v>0.2848</v>
      </c>
      <c r="D235">
        <v>0.24811</v>
      </c>
      <c r="E235">
        <v>0.25289</v>
      </c>
      <c r="F235">
        <v>113630632.90000001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-0.73943853911147417</v>
      </c>
      <c r="Q235">
        <f t="shared" si="960"/>
        <v>-84022869.189888224</v>
      </c>
      <c r="R235">
        <f t="shared" si="961"/>
        <v>-171913560.15174472</v>
      </c>
      <c r="S235">
        <f t="shared" si="962"/>
        <v>-1719.1356015174472</v>
      </c>
      <c r="T235">
        <f t="shared" si="963"/>
        <v>-1.7191356015174473</v>
      </c>
    </row>
    <row r="236" spans="1:20" x14ac:dyDescent="0.25">
      <c r="A236" s="5">
        <v>44357</v>
      </c>
      <c r="B236">
        <v>0.30647999999999997</v>
      </c>
      <c r="C236">
        <v>0.30901000000000001</v>
      </c>
      <c r="D236">
        <v>0.27023000000000003</v>
      </c>
      <c r="E236">
        <v>0.27958</v>
      </c>
      <c r="F236">
        <v>137475367.09999999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-0.51779267663744333</v>
      </c>
      <c r="Q236">
        <f t="shared" si="960"/>
        <v>-71183738.302424118</v>
      </c>
      <c r="R236">
        <f t="shared" si="961"/>
        <v>-87890690.961856499</v>
      </c>
      <c r="S236">
        <f t="shared" si="962"/>
        <v>-878.90690961856501</v>
      </c>
      <c r="T236">
        <f t="shared" si="963"/>
        <v>-0.87890690961856499</v>
      </c>
    </row>
    <row r="237" spans="1:20" x14ac:dyDescent="0.25">
      <c r="A237" s="5">
        <v>44356</v>
      </c>
      <c r="B237">
        <v>0.29200999999999999</v>
      </c>
      <c r="C237">
        <v>0.32</v>
      </c>
      <c r="D237">
        <v>0.27245000000000003</v>
      </c>
      <c r="E237">
        <v>0.30596000000000001</v>
      </c>
      <c r="F237">
        <v>177626590.30000001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0.40946372239747625</v>
      </c>
      <c r="Q237">
        <f t="shared" si="960"/>
        <v>72731644.861009449</v>
      </c>
      <c r="R237">
        <f t="shared" si="961"/>
        <v>-16706952.659432381</v>
      </c>
      <c r="S237">
        <f t="shared" si="962"/>
        <v>-167.0695265943238</v>
      </c>
      <c r="T237">
        <f t="shared" si="963"/>
        <v>-0.16706952659432381</v>
      </c>
    </row>
    <row r="238" spans="1:20" x14ac:dyDescent="0.25">
      <c r="A238" s="5">
        <v>44355</v>
      </c>
      <c r="B238">
        <v>0.29823</v>
      </c>
      <c r="C238">
        <v>0.30642000000000003</v>
      </c>
      <c r="D238">
        <v>0.25714999999999999</v>
      </c>
      <c r="E238">
        <v>0.29187000000000002</v>
      </c>
      <c r="F238">
        <v>215454373.09999999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0.40937690278059685</v>
      </c>
      <c r="Q238">
        <f t="shared" si="960"/>
        <v>88202043.950213134</v>
      </c>
      <c r="R238">
        <f t="shared" si="961"/>
        <v>-89438597.52044183</v>
      </c>
      <c r="S238">
        <f t="shared" si="962"/>
        <v>-894.38597520441829</v>
      </c>
      <c r="T238">
        <f t="shared" si="963"/>
        <v>-0.89438597520441832</v>
      </c>
    </row>
    <row r="239" spans="1:20" x14ac:dyDescent="0.25">
      <c r="A239" s="5">
        <v>44354</v>
      </c>
      <c r="B239">
        <v>0.34087000000000001</v>
      </c>
      <c r="C239">
        <v>0.35714000000000001</v>
      </c>
      <c r="D239">
        <v>0.29293000000000002</v>
      </c>
      <c r="E239">
        <v>0.29852000000000001</v>
      </c>
      <c r="F239">
        <v>145415287.69999999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-0.82588381871982608</v>
      </c>
      <c r="Q239">
        <f t="shared" si="960"/>
        <v>-120096133.10591814</v>
      </c>
      <c r="R239">
        <f t="shared" si="961"/>
        <v>-177640641.47065496</v>
      </c>
      <c r="S239">
        <f t="shared" si="962"/>
        <v>-1776.4064147065496</v>
      </c>
      <c r="T239">
        <f t="shared" si="963"/>
        <v>-1.7764064147065497</v>
      </c>
    </row>
    <row r="240" spans="1:20" x14ac:dyDescent="0.25">
      <c r="A240" s="5">
        <v>44353</v>
      </c>
      <c r="B240">
        <v>0.31231999999999999</v>
      </c>
      <c r="C240">
        <v>0.34836</v>
      </c>
      <c r="D240">
        <v>0.31058999999999998</v>
      </c>
      <c r="E240">
        <v>0.34116999999999997</v>
      </c>
      <c r="F240">
        <v>99811318.900000006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0.61927455652634233</v>
      </c>
      <c r="Q240">
        <f t="shared" si="960"/>
        <v>61810610.248106837</v>
      </c>
      <c r="R240">
        <f t="shared" si="961"/>
        <v>-57544508.364736825</v>
      </c>
      <c r="S240">
        <f t="shared" si="962"/>
        <v>-575.44508364736828</v>
      </c>
      <c r="T240">
        <f t="shared" si="963"/>
        <v>-0.57544508364736824</v>
      </c>
    </row>
    <row r="241" spans="1:20" x14ac:dyDescent="0.25">
      <c r="A241" s="5">
        <v>44352</v>
      </c>
      <c r="B241">
        <v>0.33545000000000003</v>
      </c>
      <c r="C241">
        <v>0.36349999999999999</v>
      </c>
      <c r="D241">
        <v>0.29849999999999999</v>
      </c>
      <c r="E241">
        <v>0.31280000000000002</v>
      </c>
      <c r="F241">
        <v>177355531.90000001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-0.55999999999999894</v>
      </c>
      <c r="Q241">
        <f t="shared" si="960"/>
        <v>-99319097.863999814</v>
      </c>
      <c r="R241">
        <f t="shared" si="961"/>
        <v>-119355118.61284366</v>
      </c>
      <c r="S241">
        <f t="shared" si="962"/>
        <v>-1193.5511861284367</v>
      </c>
      <c r="T241">
        <f t="shared" si="963"/>
        <v>-1.1935511861284367</v>
      </c>
    </row>
    <row r="242" spans="1:20" x14ac:dyDescent="0.25">
      <c r="A242" s="5">
        <v>44351</v>
      </c>
      <c r="B242">
        <v>0.38179000000000002</v>
      </c>
      <c r="C242">
        <v>0.38402999999999998</v>
      </c>
      <c r="D242">
        <v>0.31530000000000002</v>
      </c>
      <c r="E242">
        <v>0.33567999999999998</v>
      </c>
      <c r="F242">
        <v>191138985.90000001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-0.40695475047286583</v>
      </c>
      <c r="Q242">
        <f t="shared" si="960"/>
        <v>-77784918.312571123</v>
      </c>
      <c r="R242">
        <f t="shared" si="961"/>
        <v>-20036020.748843849</v>
      </c>
      <c r="S242">
        <f t="shared" si="962"/>
        <v>-200.36020748843848</v>
      </c>
      <c r="T242">
        <f t="shared" si="963"/>
        <v>-0.20036020748843847</v>
      </c>
    </row>
    <row r="243" spans="1:20" x14ac:dyDescent="0.25">
      <c r="A243" s="5">
        <v>44350</v>
      </c>
      <c r="B243">
        <v>0.34942000000000001</v>
      </c>
      <c r="C243">
        <v>0.40500000000000003</v>
      </c>
      <c r="D243">
        <v>0.34272999999999998</v>
      </c>
      <c r="E243">
        <v>0.38169999999999998</v>
      </c>
      <c r="F243">
        <v>239618035.5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0.25164605749156815</v>
      </c>
      <c r="Q243">
        <f t="shared" si="960"/>
        <v>60298933.937449619</v>
      </c>
      <c r="R243">
        <f t="shared" si="961"/>
        <v>57748897.563727275</v>
      </c>
      <c r="S243">
        <f t="shared" si="962"/>
        <v>577.4889756372728</v>
      </c>
      <c r="T243">
        <f t="shared" si="963"/>
        <v>0.57748897563727275</v>
      </c>
    </row>
    <row r="244" spans="1:20" x14ac:dyDescent="0.25">
      <c r="A244" s="5">
        <v>44349</v>
      </c>
      <c r="B244">
        <v>0.30943999999999999</v>
      </c>
      <c r="C244">
        <v>0.36652000000000001</v>
      </c>
      <c r="D244">
        <v>0.29709999999999998</v>
      </c>
      <c r="E244">
        <v>0.34970000000000001</v>
      </c>
      <c r="F244">
        <v>217418005.5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0.51541342552578528</v>
      </c>
      <c r="Q244">
        <f t="shared" si="960"/>
        <v>112060158.98573902</v>
      </c>
      <c r="R244">
        <f t="shared" si="961"/>
        <v>-2550036.3737223446</v>
      </c>
      <c r="S244">
        <f t="shared" si="962"/>
        <v>-25.500363737223445</v>
      </c>
      <c r="T244">
        <f t="shared" si="963"/>
        <v>-2.5500363737223444E-2</v>
      </c>
    </row>
    <row r="245" spans="1:20" x14ac:dyDescent="0.25">
      <c r="A245" s="5">
        <v>44348</v>
      </c>
      <c r="B245">
        <v>0.32041999999999998</v>
      </c>
      <c r="C245">
        <v>0.33</v>
      </c>
      <c r="D245">
        <v>0.3</v>
      </c>
      <c r="E245">
        <v>0.30945</v>
      </c>
      <c r="F245">
        <v>129683560.09999999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-0.36999999999999961</v>
      </c>
      <c r="Q245">
        <f t="shared" si="960"/>
        <v>-47982917.236999944</v>
      </c>
      <c r="R245">
        <f t="shared" si="961"/>
        <v>-114610195.35946137</v>
      </c>
      <c r="S245">
        <f t="shared" si="962"/>
        <v>-1146.1019535946136</v>
      </c>
      <c r="T245">
        <f t="shared" si="963"/>
        <v>-1.1461019535946135</v>
      </c>
    </row>
    <row r="246" spans="1:20" x14ac:dyDescent="0.25">
      <c r="A246" s="5">
        <v>44347</v>
      </c>
      <c r="B246">
        <v>0.29463</v>
      </c>
      <c r="C246">
        <v>0.32447999999999999</v>
      </c>
      <c r="D246">
        <v>0.27433999999999997</v>
      </c>
      <c r="E246">
        <v>0.32069999999999999</v>
      </c>
      <c r="F246">
        <v>125795318.59999999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0.8492221779018746</v>
      </c>
      <c r="Q246">
        <f t="shared" si="960"/>
        <v>106828174.43135218</v>
      </c>
      <c r="R246">
        <f t="shared" si="961"/>
        <v>-66627278.122461423</v>
      </c>
      <c r="S246">
        <f t="shared" si="962"/>
        <v>-666.27278122461428</v>
      </c>
      <c r="T246">
        <f t="shared" si="963"/>
        <v>-0.66627278122461431</v>
      </c>
    </row>
    <row r="247" spans="1:20" x14ac:dyDescent="0.25">
      <c r="A247" s="5">
        <v>44346</v>
      </c>
      <c r="B247">
        <v>0.27654000000000001</v>
      </c>
      <c r="C247">
        <v>0.31348999999999999</v>
      </c>
      <c r="D247">
        <v>0.26217000000000001</v>
      </c>
      <c r="E247">
        <v>0.29504999999999998</v>
      </c>
      <c r="F247">
        <v>122594558.3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0.28137178487918862</v>
      </c>
      <c r="Q247">
        <f t="shared" si="960"/>
        <v>34494649.685346745</v>
      </c>
      <c r="R247">
        <f t="shared" si="961"/>
        <v>-173455452.55381361</v>
      </c>
      <c r="S247">
        <f t="shared" si="962"/>
        <v>-1734.554525538136</v>
      </c>
      <c r="T247">
        <f t="shared" si="963"/>
        <v>-1.734554525538136</v>
      </c>
    </row>
    <row r="248" spans="1:20" x14ac:dyDescent="0.25">
      <c r="A248" s="5">
        <v>44345</v>
      </c>
      <c r="B248">
        <v>0.30365999999999999</v>
      </c>
      <c r="C248">
        <v>0.31858999999999998</v>
      </c>
      <c r="D248">
        <v>0.26217000000000001</v>
      </c>
      <c r="E248">
        <v>0.27592</v>
      </c>
      <c r="F248">
        <v>121392224.5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-0.51258419000354516</v>
      </c>
      <c r="Q248">
        <f t="shared" si="960"/>
        <v>-62223735.068061009</v>
      </c>
      <c r="R248">
        <f t="shared" si="961"/>
        <v>-207950102.23916036</v>
      </c>
      <c r="S248">
        <f t="shared" si="962"/>
        <v>-2079.5010223916038</v>
      </c>
      <c r="T248">
        <f t="shared" si="963"/>
        <v>-2.0795010223916037</v>
      </c>
    </row>
    <row r="249" spans="1:20" x14ac:dyDescent="0.25">
      <c r="A249" s="5">
        <v>44344</v>
      </c>
      <c r="B249">
        <v>0.34844000000000003</v>
      </c>
      <c r="C249">
        <v>0.35276000000000002</v>
      </c>
      <c r="D249">
        <v>0.28569</v>
      </c>
      <c r="E249">
        <v>0.30367</v>
      </c>
      <c r="F249">
        <v>225757231.69999999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-0.46384374534068912</v>
      </c>
      <c r="Q249">
        <f t="shared" si="960"/>
        <v>-104716079.88947374</v>
      </c>
      <c r="R249">
        <f t="shared" si="961"/>
        <v>-145726367.17109936</v>
      </c>
      <c r="S249">
        <f t="shared" si="962"/>
        <v>-1457.2636717109935</v>
      </c>
      <c r="T249">
        <f t="shared" si="963"/>
        <v>-1.4572636717109935</v>
      </c>
    </row>
    <row r="250" spans="1:20" x14ac:dyDescent="0.25">
      <c r="A250" s="5">
        <v>44343</v>
      </c>
      <c r="B250">
        <v>0.37823000000000001</v>
      </c>
      <c r="C250">
        <v>0.37863999999999998</v>
      </c>
      <c r="D250">
        <v>0.32213999999999998</v>
      </c>
      <c r="E250">
        <v>0.34833999999999998</v>
      </c>
      <c r="F250">
        <v>187286796.40000001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-7.2566371681415803E-2</v>
      </c>
      <c r="Q250">
        <f t="shared" si="960"/>
        <v>-13590723.278584048</v>
      </c>
      <c r="R250">
        <f t="shared" si="961"/>
        <v>-41010287.281625628</v>
      </c>
      <c r="S250">
        <f t="shared" si="962"/>
        <v>-410.10287281625631</v>
      </c>
      <c r="T250">
        <f t="shared" si="963"/>
        <v>-0.41010287281625629</v>
      </c>
    </row>
    <row r="251" spans="1:20" x14ac:dyDescent="0.25">
      <c r="A251" s="5">
        <v>44342</v>
      </c>
      <c r="B251">
        <v>0.32968999999999998</v>
      </c>
      <c r="C251">
        <v>0.40531</v>
      </c>
      <c r="D251">
        <v>0.31474000000000002</v>
      </c>
      <c r="E251">
        <v>0.37786999999999998</v>
      </c>
      <c r="F251">
        <v>303935978.39999998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0.39405984321519211</v>
      </c>
      <c r="Q251">
        <f t="shared" si="960"/>
        <v>119768963.99576001</v>
      </c>
      <c r="R251">
        <f t="shared" si="961"/>
        <v>-27419564.00304158</v>
      </c>
      <c r="S251">
        <f t="shared" si="962"/>
        <v>-274.1956400304158</v>
      </c>
      <c r="T251">
        <f t="shared" si="963"/>
        <v>-0.2741956400304158</v>
      </c>
    </row>
    <row r="252" spans="1:20" x14ac:dyDescent="0.25">
      <c r="A252" s="5">
        <v>44341</v>
      </c>
      <c r="B252">
        <v>0.34294999999999998</v>
      </c>
      <c r="C252">
        <v>0.379</v>
      </c>
      <c r="D252">
        <v>0.28605999999999998</v>
      </c>
      <c r="E252">
        <v>0.33</v>
      </c>
      <c r="F252">
        <v>284633357.30000001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-5.4443727135786012E-2</v>
      </c>
      <c r="Q252">
        <f t="shared" si="960"/>
        <v>-15496500.838583887</v>
      </c>
      <c r="R252">
        <f t="shared" si="961"/>
        <v>-147188527.99880159</v>
      </c>
      <c r="S252">
        <f t="shared" si="962"/>
        <v>-1471.8852799880158</v>
      </c>
      <c r="T252">
        <f t="shared" si="963"/>
        <v>-1.4718852799880158</v>
      </c>
    </row>
    <row r="253" spans="1:20" x14ac:dyDescent="0.25">
      <c r="A253" s="5">
        <v>44340</v>
      </c>
      <c r="B253">
        <v>0.25209999999999999</v>
      </c>
      <c r="C253">
        <v>0.35798000000000002</v>
      </c>
      <c r="D253">
        <v>0.25168000000000001</v>
      </c>
      <c r="E253">
        <v>0.34332000000000001</v>
      </c>
      <c r="F253">
        <v>396671781.69999999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0.72417685794920028</v>
      </c>
      <c r="Q253">
        <f t="shared" si="960"/>
        <v>287260524.5086171</v>
      </c>
      <c r="R253">
        <f t="shared" si="961"/>
        <v>-131692027.1602177</v>
      </c>
      <c r="S253">
        <f t="shared" si="962"/>
        <v>-1316.9202716021771</v>
      </c>
      <c r="T253">
        <f t="shared" si="963"/>
        <v>-1.3169202716021771</v>
      </c>
    </row>
    <row r="254" spans="1:20" x14ac:dyDescent="0.25">
      <c r="A254" s="5">
        <v>44339</v>
      </c>
      <c r="B254">
        <v>0.29011999999999999</v>
      </c>
      <c r="C254">
        <v>0.3024</v>
      </c>
      <c r="D254">
        <v>0.1832</v>
      </c>
      <c r="E254">
        <v>0.252</v>
      </c>
      <c r="F254">
        <v>523168831.89999998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0.15436241610738255</v>
      </c>
      <c r="Q254">
        <f t="shared" si="960"/>
        <v>80757604.924161077</v>
      </c>
      <c r="R254">
        <f t="shared" si="961"/>
        <v>-418952551.66883481</v>
      </c>
      <c r="S254">
        <f t="shared" si="962"/>
        <v>-4189.525516688348</v>
      </c>
      <c r="T254">
        <f t="shared" si="963"/>
        <v>-4.1895255166883478</v>
      </c>
    </row>
    <row r="255" spans="1:20" x14ac:dyDescent="0.25">
      <c r="A255" s="5">
        <v>44338</v>
      </c>
      <c r="B255">
        <v>0.35196</v>
      </c>
      <c r="C255">
        <v>0.36630000000000001</v>
      </c>
      <c r="D255">
        <v>0.28921999999999998</v>
      </c>
      <c r="E255">
        <v>0.29047000000000001</v>
      </c>
      <c r="F255">
        <v>240164762.30000001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-0.96756616502335158</v>
      </c>
      <c r="Q255">
        <f t="shared" si="960"/>
        <v>-232375298.03235582</v>
      </c>
      <c r="R255">
        <f t="shared" si="961"/>
        <v>-499710156.59299588</v>
      </c>
      <c r="S255">
        <f t="shared" si="962"/>
        <v>-4997.1015659299592</v>
      </c>
      <c r="T255">
        <f t="shared" si="963"/>
        <v>-4.9971015659299596</v>
      </c>
    </row>
    <row r="256" spans="1:20" x14ac:dyDescent="0.25">
      <c r="A256" s="5">
        <v>44337</v>
      </c>
      <c r="B256">
        <v>0.44829999999999998</v>
      </c>
      <c r="C256">
        <v>0.47999000000000003</v>
      </c>
      <c r="D256">
        <v>0.30499999999999999</v>
      </c>
      <c r="E256">
        <v>0.35277999999999998</v>
      </c>
      <c r="F256">
        <v>291402144.89999998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-0.45391165209440565</v>
      </c>
      <c r="Q256">
        <f t="shared" si="960"/>
        <v>-132270829.01541238</v>
      </c>
      <c r="R256">
        <f t="shared" si="961"/>
        <v>-267334858.5606401</v>
      </c>
      <c r="S256">
        <f t="shared" si="962"/>
        <v>-2673.3485856064008</v>
      </c>
      <c r="T256">
        <f t="shared" si="963"/>
        <v>-2.673348585606401</v>
      </c>
    </row>
    <row r="257" spans="1:20" x14ac:dyDescent="0.25">
      <c r="A257" s="5">
        <v>44336</v>
      </c>
      <c r="B257">
        <v>0.39439999999999997</v>
      </c>
      <c r="C257">
        <v>0.52900000000000003</v>
      </c>
      <c r="D257">
        <v>0.33271000000000001</v>
      </c>
      <c r="E257">
        <v>0.44828000000000001</v>
      </c>
      <c r="F257">
        <v>383983142.5</v>
      </c>
      <c r="G257">
        <v>0</v>
      </c>
      <c r="L257" t="s">
        <v>7</v>
      </c>
      <c r="M257" t="s">
        <v>7</v>
      </c>
      <c r="N257" t="s">
        <v>8</v>
      </c>
      <c r="P257">
        <f t="shared" si="959"/>
        <v>0.17754343063834116</v>
      </c>
      <c r="Q257">
        <f t="shared" si="960"/>
        <v>68173684.426741019</v>
      </c>
      <c r="R257">
        <f t="shared" si="961"/>
        <v>-135064029.54522771</v>
      </c>
      <c r="S257">
        <f t="shared" si="962"/>
        <v>-1350.6402954522771</v>
      </c>
      <c r="T257">
        <f t="shared" si="963"/>
        <v>-1.3506402954522772</v>
      </c>
    </row>
    <row r="258" spans="1:20" x14ac:dyDescent="0.25">
      <c r="A258" s="5">
        <v>44335</v>
      </c>
      <c r="B258">
        <v>0.68379999999999996</v>
      </c>
      <c r="C258">
        <v>0.76500000000000001</v>
      </c>
      <c r="D258">
        <v>0.28999999999999998</v>
      </c>
      <c r="E258">
        <v>0.39479999999999998</v>
      </c>
      <c r="F258">
        <v>798641676.60000002</v>
      </c>
      <c r="G258">
        <v>0</v>
      </c>
      <c r="L258" t="s">
        <v>8</v>
      </c>
      <c r="M258" t="s">
        <v>8</v>
      </c>
      <c r="N258" t="s">
        <v>7</v>
      </c>
      <c r="P258">
        <f t="shared" si="959"/>
        <v>-0.5587368421052632</v>
      </c>
      <c r="Q258">
        <f t="shared" si="960"/>
        <v>-446230528.35713691</v>
      </c>
      <c r="R258">
        <f t="shared" si="961"/>
        <v>-203237713.97196871</v>
      </c>
      <c r="S258">
        <f t="shared" si="962"/>
        <v>-2032.3771397196872</v>
      </c>
      <c r="T258">
        <f t="shared" si="963"/>
        <v>-2.0323771397196873</v>
      </c>
    </row>
    <row r="259" spans="1:20" x14ac:dyDescent="0.25">
      <c r="A259" s="5">
        <v>44334</v>
      </c>
      <c r="B259">
        <v>0.57996000000000003</v>
      </c>
      <c r="C259">
        <v>0.70987</v>
      </c>
      <c r="D259">
        <v>0.57218000000000002</v>
      </c>
      <c r="E259">
        <v>0.68389</v>
      </c>
      <c r="F259">
        <v>201417248.80000001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0.62263054688067387</v>
      </c>
      <c r="Q259">
        <f t="shared" si="960"/>
        <v>125408531.77154475</v>
      </c>
      <c r="R259">
        <f t="shared" si="961"/>
        <v>242992814.38516819</v>
      </c>
      <c r="S259">
        <f t="shared" si="962"/>
        <v>2429.9281438516819</v>
      </c>
      <c r="T259">
        <f t="shared" si="963"/>
        <v>2.429928143851682</v>
      </c>
    </row>
    <row r="260" spans="1:20" x14ac:dyDescent="0.25">
      <c r="A260" s="5">
        <v>44333</v>
      </c>
      <c r="B260">
        <v>0.63127</v>
      </c>
      <c r="C260">
        <v>0.64</v>
      </c>
      <c r="D260">
        <v>0.54</v>
      </c>
      <c r="E260">
        <v>0.57979999999999998</v>
      </c>
      <c r="F260">
        <v>155431445.5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-0.2040000000000009</v>
      </c>
      <c r="Q260">
        <f t="shared" si="960"/>
        <v>-31708014.882000141</v>
      </c>
      <c r="R260">
        <f t="shared" si="961"/>
        <v>117584282.61362344</v>
      </c>
      <c r="S260">
        <f t="shared" si="962"/>
        <v>1175.8428261362344</v>
      </c>
      <c r="T260">
        <f t="shared" si="963"/>
        <v>1.1758428261362344</v>
      </c>
    </row>
    <row r="261" spans="1:20" x14ac:dyDescent="0.25">
      <c r="A261" s="5">
        <v>44332</v>
      </c>
      <c r="B261">
        <v>0.61406000000000005</v>
      </c>
      <c r="C261">
        <v>0.72750000000000004</v>
      </c>
      <c r="D261">
        <v>0.58699999999999997</v>
      </c>
      <c r="E261">
        <v>0.63207000000000002</v>
      </c>
      <c r="F261">
        <v>185809772.80000001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-0.35843416370106718</v>
      </c>
      <c r="Q261">
        <f t="shared" si="960"/>
        <v>-66600570.521053307</v>
      </c>
      <c r="R261">
        <f t="shared" si="961"/>
        <v>149292297.49562359</v>
      </c>
      <c r="S261">
        <f t="shared" si="962"/>
        <v>1492.922974956236</v>
      </c>
      <c r="T261">
        <f t="shared" si="963"/>
        <v>1.492922974956236</v>
      </c>
    </row>
    <row r="262" spans="1:20" x14ac:dyDescent="0.25">
      <c r="A262" s="5">
        <v>44331</v>
      </c>
      <c r="B262">
        <v>0.69189999999999996</v>
      </c>
      <c r="C262">
        <v>0.73570000000000002</v>
      </c>
      <c r="D262">
        <v>0.60692000000000002</v>
      </c>
      <c r="E262">
        <v>0.61377999999999999</v>
      </c>
      <c r="F262">
        <v>143428579.59999999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-0.89346171765802174</v>
      </c>
      <c r="Q262">
        <f t="shared" ref="Q262:Q325" si="965">F262*P262</f>
        <v>-128147945.09066629</v>
      </c>
      <c r="R262">
        <f t="shared" ref="R262:R325" si="966">R263+Q262</f>
        <v>215892868.0166769</v>
      </c>
      <c r="S262">
        <f t="shared" ref="S262:S325" si="967">R262/100000</f>
        <v>2158.928680166769</v>
      </c>
      <c r="T262">
        <f t="shared" ref="T262:T325" si="968">S262/1000</f>
        <v>2.1589286801667691</v>
      </c>
    </row>
    <row r="263" spans="1:20" x14ac:dyDescent="0.25">
      <c r="A263" s="5">
        <v>44330</v>
      </c>
      <c r="B263">
        <v>0.61775999999999998</v>
      </c>
      <c r="C263">
        <v>0.74121000000000004</v>
      </c>
      <c r="D263">
        <v>0.61378999999999995</v>
      </c>
      <c r="E263">
        <v>0.69179000000000002</v>
      </c>
      <c r="F263">
        <v>157413279.09999999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0.22429759849317243</v>
      </c>
      <c r="Q263">
        <f t="shared" si="965"/>
        <v>35307420.473065488</v>
      </c>
      <c r="R263">
        <f t="shared" si="966"/>
        <v>344040813.1073432</v>
      </c>
      <c r="S263">
        <f t="shared" si="967"/>
        <v>3440.4081310734318</v>
      </c>
      <c r="T263">
        <f t="shared" si="968"/>
        <v>3.4404081310734318</v>
      </c>
    </row>
    <row r="264" spans="1:20" x14ac:dyDescent="0.25">
      <c r="A264" s="5">
        <v>44329</v>
      </c>
      <c r="B264">
        <v>0.60512999999999995</v>
      </c>
      <c r="C264">
        <v>0.70233000000000001</v>
      </c>
      <c r="D264">
        <v>0.56549000000000005</v>
      </c>
      <c r="E264">
        <v>0.61799999999999999</v>
      </c>
      <c r="F264">
        <v>180936364.59999999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-0.23253434668225723</v>
      </c>
      <c r="Q264">
        <f t="shared" si="965"/>
        <v>-42073919.333323695</v>
      </c>
      <c r="R264">
        <f t="shared" si="966"/>
        <v>308733392.6342777</v>
      </c>
      <c r="S264">
        <f t="shared" si="967"/>
        <v>3087.333926342777</v>
      </c>
      <c r="T264">
        <f t="shared" si="968"/>
        <v>3.0873339263427768</v>
      </c>
    </row>
    <row r="265" spans="1:20" x14ac:dyDescent="0.25">
      <c r="A265" s="5">
        <v>44328</v>
      </c>
      <c r="B265">
        <v>0.78752999999999995</v>
      </c>
      <c r="C265">
        <v>0.79164999999999996</v>
      </c>
      <c r="D265">
        <v>0.58799999999999997</v>
      </c>
      <c r="E265">
        <v>0.60511999999999999</v>
      </c>
      <c r="F265">
        <v>227528140.5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-0.8318684016695308</v>
      </c>
      <c r="Q265">
        <f t="shared" si="965"/>
        <v>-189273470.57257545</v>
      </c>
      <c r="R265">
        <f t="shared" si="966"/>
        <v>350807311.96760142</v>
      </c>
      <c r="S265">
        <f t="shared" si="967"/>
        <v>3508.0731196760144</v>
      </c>
      <c r="T265">
        <f t="shared" si="968"/>
        <v>3.5080731196760144</v>
      </c>
    </row>
    <row r="266" spans="1:20" x14ac:dyDescent="0.25">
      <c r="A266" s="5">
        <v>44327</v>
      </c>
      <c r="B266">
        <v>0.77103999999999995</v>
      </c>
      <c r="C266">
        <v>0.81369999999999998</v>
      </c>
      <c r="D266">
        <v>0.71</v>
      </c>
      <c r="E266">
        <v>0.78752999999999995</v>
      </c>
      <c r="F266">
        <v>166359636.90000001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0.49527483124397254</v>
      </c>
      <c r="Q266">
        <f t="shared" si="965"/>
        <v>82393741.091456056</v>
      </c>
      <c r="R266">
        <f t="shared" si="966"/>
        <v>540080782.54017687</v>
      </c>
      <c r="S266">
        <f t="shared" si="967"/>
        <v>5400.8078254017682</v>
      </c>
      <c r="T266">
        <f t="shared" si="968"/>
        <v>5.4008078254017686</v>
      </c>
    </row>
    <row r="267" spans="1:20" x14ac:dyDescent="0.25">
      <c r="A267" s="5">
        <v>44326</v>
      </c>
      <c r="B267">
        <v>0.91891999999999996</v>
      </c>
      <c r="C267">
        <v>0.95872999999999997</v>
      </c>
      <c r="D267">
        <v>0.7</v>
      </c>
      <c r="E267">
        <v>0.77154</v>
      </c>
      <c r="F267">
        <v>231473761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-0.44699107177366332</v>
      </c>
      <c r="Q267">
        <f t="shared" si="965"/>
        <v>-103466704.51687078</v>
      </c>
      <c r="R267">
        <f t="shared" si="966"/>
        <v>457687041.44872075</v>
      </c>
      <c r="S267">
        <f t="shared" si="967"/>
        <v>4576.8704144872072</v>
      </c>
      <c r="T267">
        <f t="shared" si="968"/>
        <v>4.5768704144872068</v>
      </c>
    </row>
    <row r="268" spans="1:20" x14ac:dyDescent="0.25">
      <c r="A268" s="5">
        <v>44325</v>
      </c>
      <c r="B268">
        <v>0.81520000000000004</v>
      </c>
      <c r="C268">
        <v>0.94155999999999995</v>
      </c>
      <c r="D268">
        <v>0.71240000000000003</v>
      </c>
      <c r="E268">
        <v>0.91837999999999997</v>
      </c>
      <c r="F268">
        <v>276959505.69999999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0.79769593297259567</v>
      </c>
      <c r="Q268">
        <f t="shared" si="965"/>
        <v>220929471.29499042</v>
      </c>
      <c r="R268">
        <f t="shared" si="966"/>
        <v>561153745.96559155</v>
      </c>
      <c r="S268">
        <f t="shared" si="967"/>
        <v>5611.5374596559159</v>
      </c>
      <c r="T268">
        <f t="shared" si="968"/>
        <v>5.6115374596559162</v>
      </c>
    </row>
    <row r="269" spans="1:20" x14ac:dyDescent="0.25">
      <c r="A269" s="5">
        <v>44324</v>
      </c>
      <c r="B269">
        <v>0.77693000000000001</v>
      </c>
      <c r="C269">
        <v>0.93899999999999995</v>
      </c>
      <c r="D269">
        <v>0.76971999999999996</v>
      </c>
      <c r="E269">
        <v>0.81725999999999999</v>
      </c>
      <c r="F269">
        <v>366808470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-0.43832703213610552</v>
      </c>
      <c r="Q269">
        <f t="shared" si="965"/>
        <v>-160782068.01748571</v>
      </c>
      <c r="R269">
        <f t="shared" si="966"/>
        <v>340224274.67060113</v>
      </c>
      <c r="S269">
        <f t="shared" si="967"/>
        <v>3402.2427467060111</v>
      </c>
      <c r="T269">
        <f t="shared" si="968"/>
        <v>3.402242746706011</v>
      </c>
    </row>
    <row r="270" spans="1:20" x14ac:dyDescent="0.25">
      <c r="A270" s="5">
        <v>44323</v>
      </c>
      <c r="B270">
        <v>0.73126999999999998</v>
      </c>
      <c r="C270">
        <v>0.79346000000000005</v>
      </c>
      <c r="D270">
        <v>0.68489999999999995</v>
      </c>
      <c r="E270">
        <v>0.77576000000000001</v>
      </c>
      <c r="F270">
        <v>119186660.59999999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0.67391304347826031</v>
      </c>
      <c r="Q270">
        <f t="shared" si="965"/>
        <v>80321445.18695645</v>
      </c>
      <c r="R270">
        <f t="shared" si="966"/>
        <v>501006342.68808681</v>
      </c>
      <c r="S270">
        <f t="shared" si="967"/>
        <v>5010.0634268808681</v>
      </c>
      <c r="T270">
        <f t="shared" si="968"/>
        <v>5.0100634268808681</v>
      </c>
    </row>
    <row r="271" spans="1:20" x14ac:dyDescent="0.25">
      <c r="A271" s="5">
        <v>44322</v>
      </c>
      <c r="B271">
        <v>0.78210999999999997</v>
      </c>
      <c r="C271">
        <v>0.81369999999999998</v>
      </c>
      <c r="D271">
        <v>0.69267000000000001</v>
      </c>
      <c r="E271">
        <v>0.73146</v>
      </c>
      <c r="F271">
        <v>157149544.30000001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-0.35900190035528379</v>
      </c>
      <c r="Q271">
        <f t="shared" si="965"/>
        <v>-56416985.043666862</v>
      </c>
      <c r="R271">
        <f t="shared" si="966"/>
        <v>420684897.50113034</v>
      </c>
      <c r="S271">
        <f t="shared" si="967"/>
        <v>4206.8489750113031</v>
      </c>
      <c r="T271">
        <f t="shared" si="968"/>
        <v>4.2068489750113027</v>
      </c>
    </row>
    <row r="272" spans="1:20" x14ac:dyDescent="0.25">
      <c r="A272" s="5">
        <v>44321</v>
      </c>
      <c r="B272">
        <v>0.65049999999999997</v>
      </c>
      <c r="C272">
        <v>0.83850999999999998</v>
      </c>
      <c r="D272">
        <v>0.64200000000000002</v>
      </c>
      <c r="E272">
        <v>0.78139999999999998</v>
      </c>
      <c r="F272">
        <v>289259318.69999999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0.41875731514935621</v>
      </c>
      <c r="Q272">
        <f t="shared" si="965"/>
        <v>121129455.68074396</v>
      </c>
      <c r="R272">
        <f t="shared" si="966"/>
        <v>477101882.54479718</v>
      </c>
      <c r="S272">
        <f t="shared" si="967"/>
        <v>4771.0188254479717</v>
      </c>
      <c r="T272">
        <f t="shared" si="968"/>
        <v>4.771018825447972</v>
      </c>
    </row>
    <row r="273" spans="1:20" x14ac:dyDescent="0.25">
      <c r="A273" s="5">
        <v>44320</v>
      </c>
      <c r="B273">
        <v>0.71092</v>
      </c>
      <c r="C273">
        <v>0.76700000000000002</v>
      </c>
      <c r="D273">
        <v>0.63100000000000001</v>
      </c>
      <c r="E273">
        <v>0.65032999999999996</v>
      </c>
      <c r="F273">
        <v>265224936.5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-0.71573529411764769</v>
      </c>
      <c r="Q273">
        <f t="shared" si="965"/>
        <v>-189830847.93316194</v>
      </c>
      <c r="R273">
        <f t="shared" si="966"/>
        <v>355972426.86405325</v>
      </c>
      <c r="S273">
        <f t="shared" si="967"/>
        <v>3559.7242686405325</v>
      </c>
      <c r="T273">
        <f t="shared" si="968"/>
        <v>3.5597242686405326</v>
      </c>
    </row>
    <row r="274" spans="1:20" x14ac:dyDescent="0.25">
      <c r="A274" s="5">
        <v>44319</v>
      </c>
      <c r="B274">
        <v>0.75338000000000005</v>
      </c>
      <c r="C274">
        <v>0.78598999999999997</v>
      </c>
      <c r="D274">
        <v>0.69728999999999997</v>
      </c>
      <c r="E274">
        <v>0.71092</v>
      </c>
      <c r="F274">
        <v>198380062.09999999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-0.69267192784667353</v>
      </c>
      <c r="Q274">
        <f t="shared" si="965"/>
        <v>-137412300.06114981</v>
      </c>
      <c r="R274">
        <f t="shared" si="966"/>
        <v>545803274.79721522</v>
      </c>
      <c r="S274">
        <f t="shared" si="967"/>
        <v>5458.0327479721518</v>
      </c>
      <c r="T274">
        <f t="shared" si="968"/>
        <v>5.458032747972152</v>
      </c>
    </row>
    <row r="275" spans="1:20" x14ac:dyDescent="0.25">
      <c r="A275" s="5">
        <v>44318</v>
      </c>
      <c r="B275">
        <v>0.81369999999999998</v>
      </c>
      <c r="C275">
        <v>0.84899999999999998</v>
      </c>
      <c r="D275">
        <v>0.74056</v>
      </c>
      <c r="E275">
        <v>0.75338000000000005</v>
      </c>
      <c r="F275">
        <v>216281828.90000001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-0.76355588343784475</v>
      </c>
      <c r="Q275">
        <f t="shared" si="965"/>
        <v>-165143262.93729228</v>
      </c>
      <c r="R275">
        <f t="shared" si="966"/>
        <v>683215574.85836506</v>
      </c>
      <c r="S275">
        <f t="shared" si="967"/>
        <v>6832.1557485836502</v>
      </c>
      <c r="T275">
        <f t="shared" si="968"/>
        <v>6.8321557485836504</v>
      </c>
    </row>
    <row r="276" spans="1:20" x14ac:dyDescent="0.25">
      <c r="A276" s="5">
        <v>44317</v>
      </c>
      <c r="B276">
        <v>0.73973</v>
      </c>
      <c r="C276">
        <v>0.84099999999999997</v>
      </c>
      <c r="D276">
        <v>0.69379999999999997</v>
      </c>
      <c r="E276">
        <v>0.81371000000000004</v>
      </c>
      <c r="F276">
        <v>347205832.19999999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0.62921195652174011</v>
      </c>
      <c r="Q276">
        <f t="shared" si="965"/>
        <v>218466060.99432099</v>
      </c>
      <c r="R276">
        <f t="shared" si="966"/>
        <v>848358837.79565728</v>
      </c>
      <c r="S276">
        <f t="shared" si="967"/>
        <v>8483.588377956572</v>
      </c>
      <c r="T276">
        <f t="shared" si="968"/>
        <v>8.4835883779565719</v>
      </c>
    </row>
    <row r="277" spans="1:20" x14ac:dyDescent="0.25">
      <c r="A277" s="5">
        <v>44316</v>
      </c>
      <c r="B277">
        <v>0.58099999999999996</v>
      </c>
      <c r="C277">
        <v>0.79525999999999997</v>
      </c>
      <c r="D277">
        <v>0.56220000000000003</v>
      </c>
      <c r="E277">
        <v>0.74068000000000001</v>
      </c>
      <c r="F277">
        <v>494803524.19999999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0.53162275808804615</v>
      </c>
      <c r="Q277">
        <f t="shared" si="965"/>
        <v>263048814.24688929</v>
      </c>
      <c r="R277">
        <f t="shared" si="966"/>
        <v>629892776.80133629</v>
      </c>
      <c r="S277">
        <f t="shared" si="967"/>
        <v>6298.9277680133628</v>
      </c>
      <c r="T277">
        <f t="shared" si="968"/>
        <v>6.2989277680133631</v>
      </c>
    </row>
    <row r="278" spans="1:20" x14ac:dyDescent="0.25">
      <c r="A278" s="5">
        <v>44315</v>
      </c>
      <c r="B278">
        <v>0.59418000000000004</v>
      </c>
      <c r="C278">
        <v>0.73</v>
      </c>
      <c r="D278">
        <v>0.56913000000000002</v>
      </c>
      <c r="E278">
        <v>0.58179000000000003</v>
      </c>
      <c r="F278">
        <v>588968280.29999995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-0.8426058307950518</v>
      </c>
      <c r="Q278">
        <f t="shared" si="965"/>
        <v>-496268107.13411438</v>
      </c>
      <c r="R278">
        <f t="shared" si="966"/>
        <v>366843962.55444705</v>
      </c>
      <c r="S278">
        <f t="shared" si="967"/>
        <v>3668.4396255444703</v>
      </c>
      <c r="T278">
        <f t="shared" si="968"/>
        <v>3.6684396255444702</v>
      </c>
    </row>
    <row r="279" spans="1:20" x14ac:dyDescent="0.25">
      <c r="A279" s="5">
        <v>44314</v>
      </c>
      <c r="B279">
        <v>0.52656000000000003</v>
      </c>
      <c r="C279">
        <v>0.61787999999999998</v>
      </c>
      <c r="D279">
        <v>0.44161</v>
      </c>
      <c r="E279">
        <v>0.59311000000000003</v>
      </c>
      <c r="F279">
        <v>454709867.80000001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0.71895387757417639</v>
      </c>
      <c r="Q279">
        <f t="shared" si="965"/>
        <v>326915422.62605113</v>
      </c>
      <c r="R279">
        <f t="shared" si="966"/>
        <v>863112069.68856144</v>
      </c>
      <c r="S279">
        <f t="shared" si="967"/>
        <v>8631.120696885615</v>
      </c>
      <c r="T279">
        <f t="shared" si="968"/>
        <v>8.6311206968856151</v>
      </c>
    </row>
    <row r="280" spans="1:20" x14ac:dyDescent="0.25">
      <c r="A280" s="5">
        <v>44313</v>
      </c>
      <c r="B280">
        <v>0.38485000000000003</v>
      </c>
      <c r="C280">
        <v>0.53400000000000003</v>
      </c>
      <c r="D280">
        <v>0.37684000000000001</v>
      </c>
      <c r="E280">
        <v>0.52656000000000003</v>
      </c>
      <c r="F280">
        <v>288531092.19999999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0.90531941969966911</v>
      </c>
      <c r="Q280">
        <f t="shared" si="965"/>
        <v>261212800.9558157</v>
      </c>
      <c r="R280">
        <f t="shared" si="966"/>
        <v>536196647.06251025</v>
      </c>
      <c r="S280">
        <f t="shared" si="967"/>
        <v>5361.9664706251024</v>
      </c>
      <c r="T280">
        <f t="shared" si="968"/>
        <v>5.3619664706251022</v>
      </c>
    </row>
    <row r="281" spans="1:20" x14ac:dyDescent="0.25">
      <c r="A281" s="5">
        <v>44312</v>
      </c>
      <c r="B281">
        <v>0.30542000000000002</v>
      </c>
      <c r="C281">
        <v>0.42</v>
      </c>
      <c r="D281">
        <v>0.29593000000000003</v>
      </c>
      <c r="E281">
        <v>0.38474999999999998</v>
      </c>
      <c r="F281">
        <v>196960378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0.43177238655597622</v>
      </c>
      <c r="Q281">
        <f t="shared" si="965"/>
        <v>85042052.4660272</v>
      </c>
      <c r="R281">
        <f t="shared" si="966"/>
        <v>274983846.10669458</v>
      </c>
      <c r="S281">
        <f t="shared" si="967"/>
        <v>2749.8384610669459</v>
      </c>
      <c r="T281">
        <f t="shared" si="968"/>
        <v>2.749838461066946</v>
      </c>
    </row>
    <row r="282" spans="1:20" x14ac:dyDescent="0.25">
      <c r="A282" s="5">
        <v>44311</v>
      </c>
      <c r="B282">
        <v>0.27867999999999998</v>
      </c>
      <c r="C282">
        <v>0.32800000000000001</v>
      </c>
      <c r="D282">
        <v>0.27644999999999997</v>
      </c>
      <c r="E282">
        <v>0.30597999999999997</v>
      </c>
      <c r="F282">
        <v>76254729.700000003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0.14568380213384977</v>
      </c>
      <c r="Q282">
        <f t="shared" si="965"/>
        <v>11109078.953384997</v>
      </c>
      <c r="R282">
        <f t="shared" si="966"/>
        <v>189941793.64066738</v>
      </c>
      <c r="S282">
        <f t="shared" si="967"/>
        <v>1899.4179364066738</v>
      </c>
      <c r="T282">
        <f t="shared" si="968"/>
        <v>1.8994179364066739</v>
      </c>
    </row>
    <row r="283" spans="1:20" x14ac:dyDescent="0.25">
      <c r="A283" s="5">
        <v>44310</v>
      </c>
      <c r="B283">
        <v>0.31547999999999998</v>
      </c>
      <c r="C283">
        <v>0.32119999999999999</v>
      </c>
      <c r="D283">
        <v>0.27649000000000001</v>
      </c>
      <c r="E283">
        <v>0.27861999999999998</v>
      </c>
      <c r="F283">
        <v>87593004.599999994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-0.90471930216953855</v>
      </c>
      <c r="Q283">
        <f t="shared" si="965"/>
        <v>-79247081.996645182</v>
      </c>
      <c r="R283">
        <f t="shared" si="966"/>
        <v>178832714.68728238</v>
      </c>
      <c r="S283">
        <f t="shared" si="967"/>
        <v>1788.3271468728237</v>
      </c>
      <c r="T283">
        <f t="shared" si="968"/>
        <v>1.7883271468728237</v>
      </c>
    </row>
    <row r="284" spans="1:20" x14ac:dyDescent="0.25">
      <c r="A284" s="5">
        <v>44309</v>
      </c>
      <c r="B284">
        <v>0.32818999999999998</v>
      </c>
      <c r="C284">
        <v>0.33711000000000002</v>
      </c>
      <c r="D284">
        <v>0.25</v>
      </c>
      <c r="E284">
        <v>0.31547999999999998</v>
      </c>
      <c r="F284">
        <v>179142736.80000001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0.50338652278727969</v>
      </c>
      <c r="Q284">
        <f t="shared" si="965"/>
        <v>90178039.36034885</v>
      </c>
      <c r="R284">
        <f t="shared" si="966"/>
        <v>258079796.68392757</v>
      </c>
      <c r="S284">
        <f t="shared" si="967"/>
        <v>2580.7979668392754</v>
      </c>
      <c r="T284">
        <f t="shared" si="968"/>
        <v>2.5807979668392753</v>
      </c>
    </row>
    <row r="285" spans="1:20" x14ac:dyDescent="0.25">
      <c r="A285" s="5">
        <v>44308</v>
      </c>
      <c r="B285">
        <v>0.36806</v>
      </c>
      <c r="C285">
        <v>0.39111000000000001</v>
      </c>
      <c r="D285">
        <v>0.30690000000000001</v>
      </c>
      <c r="E285">
        <v>0.32822000000000001</v>
      </c>
      <c r="F285">
        <v>116655329.09999999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-0.49364683529272047</v>
      </c>
      <c r="Q285">
        <f t="shared" si="965"/>
        <v>-57586534.030245796</v>
      </c>
      <c r="R285">
        <f t="shared" si="966"/>
        <v>167901757.32357872</v>
      </c>
      <c r="S285">
        <f t="shared" si="967"/>
        <v>1679.017573235787</v>
      </c>
      <c r="T285">
        <f t="shared" si="968"/>
        <v>1.679017573235787</v>
      </c>
    </row>
    <row r="286" spans="1:20" x14ac:dyDescent="0.25">
      <c r="A286" s="5">
        <v>44307</v>
      </c>
      <c r="B286">
        <v>0.40065000000000001</v>
      </c>
      <c r="C286">
        <v>0.4088</v>
      </c>
      <c r="D286">
        <v>0.36747000000000002</v>
      </c>
      <c r="E286">
        <v>0.36775000000000002</v>
      </c>
      <c r="F286">
        <v>83582758.099999994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-0.98645052020324209</v>
      </c>
      <c r="Q286">
        <f t="shared" si="965"/>
        <v>-82450255.207766742</v>
      </c>
      <c r="R286">
        <f t="shared" si="966"/>
        <v>225488291.35382453</v>
      </c>
      <c r="S286">
        <f t="shared" si="967"/>
        <v>2254.8829135382452</v>
      </c>
      <c r="T286">
        <f t="shared" si="968"/>
        <v>2.2548829135382453</v>
      </c>
    </row>
    <row r="287" spans="1:20" x14ac:dyDescent="0.25">
      <c r="A287" s="5">
        <v>44306</v>
      </c>
      <c r="B287">
        <v>0.40009</v>
      </c>
      <c r="C287">
        <v>0.41983999999999999</v>
      </c>
      <c r="D287">
        <v>0.35627999999999999</v>
      </c>
      <c r="E287">
        <v>0.40094999999999997</v>
      </c>
      <c r="F287">
        <v>111195203.8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0.40560100692259232</v>
      </c>
      <c r="Q287">
        <f t="shared" si="965"/>
        <v>45100886.626242861</v>
      </c>
      <c r="R287">
        <f t="shared" si="966"/>
        <v>307938546.56159127</v>
      </c>
      <c r="S287">
        <f t="shared" si="967"/>
        <v>3079.3854656159128</v>
      </c>
      <c r="T287">
        <f t="shared" si="968"/>
        <v>3.0793854656159128</v>
      </c>
    </row>
    <row r="288" spans="1:20" x14ac:dyDescent="0.25">
      <c r="A288" s="5">
        <v>44305</v>
      </c>
      <c r="B288">
        <v>0.42362</v>
      </c>
      <c r="C288">
        <v>0.43403000000000003</v>
      </c>
      <c r="D288">
        <v>0.35720000000000002</v>
      </c>
      <c r="E288">
        <v>0.40026</v>
      </c>
      <c r="F288">
        <v>166901660.40000001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0.12091630873356715</v>
      </c>
      <c r="Q288">
        <f t="shared" si="965"/>
        <v>20181132.697071381</v>
      </c>
      <c r="R288">
        <f t="shared" si="966"/>
        <v>262837659.93534842</v>
      </c>
      <c r="S288">
        <f t="shared" si="967"/>
        <v>2628.3765993534844</v>
      </c>
      <c r="T288">
        <f t="shared" si="968"/>
        <v>2.6283765993534844</v>
      </c>
    </row>
    <row r="289" spans="1:20" x14ac:dyDescent="0.25">
      <c r="A289" s="5">
        <v>44304</v>
      </c>
      <c r="B289">
        <v>0.49486999999999998</v>
      </c>
      <c r="C289">
        <v>0.50490000000000002</v>
      </c>
      <c r="D289">
        <v>0.32100000000000001</v>
      </c>
      <c r="E289">
        <v>0.42309999999999998</v>
      </c>
      <c r="F289">
        <v>255067326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0.11038607939097296</v>
      </c>
      <c r="Q289">
        <f t="shared" si="965"/>
        <v>28155882.097879183</v>
      </c>
      <c r="R289">
        <f t="shared" si="966"/>
        <v>242656527.23827705</v>
      </c>
      <c r="S289">
        <f t="shared" si="967"/>
        <v>2426.5652723827707</v>
      </c>
      <c r="T289">
        <f t="shared" si="968"/>
        <v>2.4265652723827706</v>
      </c>
    </row>
    <row r="290" spans="1:20" x14ac:dyDescent="0.25">
      <c r="A290" s="5">
        <v>44303</v>
      </c>
      <c r="B290">
        <v>0.45504</v>
      </c>
      <c r="C290">
        <v>0.57799999999999996</v>
      </c>
      <c r="D290">
        <v>0.43</v>
      </c>
      <c r="E290">
        <v>0.495</v>
      </c>
      <c r="F290">
        <v>382013447.5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-0.12162162162162138</v>
      </c>
      <c r="Q290">
        <f t="shared" si="965"/>
        <v>-46461094.966216125</v>
      </c>
      <c r="R290">
        <f t="shared" si="966"/>
        <v>214500645.14039788</v>
      </c>
      <c r="S290">
        <f t="shared" si="967"/>
        <v>2145.0064514039786</v>
      </c>
      <c r="T290">
        <f t="shared" si="968"/>
        <v>2.1450064514039786</v>
      </c>
    </row>
    <row r="291" spans="1:20" x14ac:dyDescent="0.25">
      <c r="A291" s="5">
        <v>44302</v>
      </c>
      <c r="B291">
        <v>0.44491000000000003</v>
      </c>
      <c r="C291">
        <v>0.46</v>
      </c>
      <c r="D291">
        <v>0.40765000000000001</v>
      </c>
      <c r="E291">
        <v>0.45462999999999998</v>
      </c>
      <c r="F291">
        <v>109926797.2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0.79484240687678931</v>
      </c>
      <c r="Q291">
        <f t="shared" si="965"/>
        <v>87374480.066704705</v>
      </c>
      <c r="R291">
        <f t="shared" si="966"/>
        <v>260961740.10661399</v>
      </c>
      <c r="S291">
        <f t="shared" si="967"/>
        <v>2609.6174010661398</v>
      </c>
      <c r="T291">
        <f t="shared" si="968"/>
        <v>2.6096174010661399</v>
      </c>
    </row>
    <row r="292" spans="1:20" x14ac:dyDescent="0.25">
      <c r="A292" s="5">
        <v>44301</v>
      </c>
      <c r="B292">
        <v>0.41704000000000002</v>
      </c>
      <c r="C292">
        <v>0.45956999999999998</v>
      </c>
      <c r="D292">
        <v>0.41083999999999998</v>
      </c>
      <c r="E292">
        <v>0.44458999999999999</v>
      </c>
      <c r="F292">
        <v>106974174.09999999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0.38518366509337187</v>
      </c>
      <c r="Q292">
        <f t="shared" si="965"/>
        <v>41204704.450174451</v>
      </c>
      <c r="R292">
        <f t="shared" si="966"/>
        <v>173587260.0399093</v>
      </c>
      <c r="S292">
        <f t="shared" si="967"/>
        <v>1735.872600399093</v>
      </c>
      <c r="T292">
        <f t="shared" si="968"/>
        <v>1.735872600399093</v>
      </c>
    </row>
    <row r="293" spans="1:20" x14ac:dyDescent="0.25">
      <c r="A293" s="5">
        <v>44300</v>
      </c>
      <c r="B293">
        <v>0.41820000000000002</v>
      </c>
      <c r="C293">
        <v>0.44096999999999997</v>
      </c>
      <c r="D293">
        <v>0.38507999999999998</v>
      </c>
      <c r="E293">
        <v>0.41711999999999999</v>
      </c>
      <c r="F293">
        <v>96391144.700000003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0.14653784219001667</v>
      </c>
      <c r="Q293">
        <f t="shared" si="965"/>
        <v>14124950.350563662</v>
      </c>
      <c r="R293">
        <f t="shared" si="966"/>
        <v>132382555.58973487</v>
      </c>
      <c r="S293">
        <f t="shared" si="967"/>
        <v>1323.8255558973487</v>
      </c>
      <c r="T293">
        <f t="shared" si="968"/>
        <v>1.3238255558973488</v>
      </c>
    </row>
    <row r="294" spans="1:20" x14ac:dyDescent="0.25">
      <c r="A294" s="5">
        <v>44299</v>
      </c>
      <c r="B294">
        <v>0.42788999999999999</v>
      </c>
      <c r="C294">
        <v>0.44430999999999998</v>
      </c>
      <c r="D294">
        <v>0.4118</v>
      </c>
      <c r="E294">
        <v>0.41803000000000001</v>
      </c>
      <c r="F294">
        <v>80248137.700000003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-0.61673331282682153</v>
      </c>
      <c r="Q294">
        <f t="shared" si="965"/>
        <v>-49491699.811903954</v>
      </c>
      <c r="R294">
        <f t="shared" si="966"/>
        <v>118257605.23917121</v>
      </c>
      <c r="S294">
        <f t="shared" si="967"/>
        <v>1182.576052391712</v>
      </c>
      <c r="T294">
        <f t="shared" si="968"/>
        <v>1.1825760523917119</v>
      </c>
    </row>
    <row r="295" spans="1:20" x14ac:dyDescent="0.25">
      <c r="A295" s="5">
        <v>44298</v>
      </c>
      <c r="B295">
        <v>0.45794000000000001</v>
      </c>
      <c r="C295">
        <v>0.46689999999999998</v>
      </c>
      <c r="D295">
        <v>0.42403000000000002</v>
      </c>
      <c r="E295">
        <v>0.42765999999999998</v>
      </c>
      <c r="F295">
        <v>82270869.799999997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-0.83065080475857389</v>
      </c>
      <c r="Q295">
        <f t="shared" si="965"/>
        <v>-68338364.207557857</v>
      </c>
      <c r="R295">
        <f t="shared" si="966"/>
        <v>167749305.05107516</v>
      </c>
      <c r="S295">
        <f t="shared" si="967"/>
        <v>1677.4930505107516</v>
      </c>
      <c r="T295">
        <f t="shared" si="968"/>
        <v>1.6774930505107515</v>
      </c>
    </row>
    <row r="296" spans="1:20" x14ac:dyDescent="0.25">
      <c r="A296" s="5">
        <v>44297</v>
      </c>
      <c r="B296">
        <v>0.43919000000000002</v>
      </c>
      <c r="C296">
        <v>0.47</v>
      </c>
      <c r="D296">
        <v>0.42299999999999999</v>
      </c>
      <c r="E296">
        <v>0.45817000000000002</v>
      </c>
      <c r="F296">
        <v>78202799.5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0.49659574468085299</v>
      </c>
      <c r="Q296">
        <f t="shared" si="965"/>
        <v>38835177.453829937</v>
      </c>
      <c r="R296">
        <f t="shared" si="966"/>
        <v>236087669.25863302</v>
      </c>
      <c r="S296">
        <f t="shared" si="967"/>
        <v>2360.8766925863301</v>
      </c>
      <c r="T296">
        <f t="shared" si="968"/>
        <v>2.3608766925863303</v>
      </c>
    </row>
    <row r="297" spans="1:20" x14ac:dyDescent="0.25">
      <c r="A297" s="5">
        <v>44296</v>
      </c>
      <c r="B297">
        <v>0.45215</v>
      </c>
      <c r="C297">
        <v>0.47620000000000001</v>
      </c>
      <c r="D297">
        <v>0.42299999999999999</v>
      </c>
      <c r="E297">
        <v>0.43923000000000001</v>
      </c>
      <c r="F297">
        <v>91495585.700000003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-0.38984962406014984</v>
      </c>
      <c r="Q297">
        <f t="shared" si="965"/>
        <v>-35669519.688308224</v>
      </c>
      <c r="R297">
        <f t="shared" si="966"/>
        <v>197252491.80480307</v>
      </c>
      <c r="S297">
        <f t="shared" si="967"/>
        <v>1972.5249180480307</v>
      </c>
      <c r="T297">
        <f t="shared" si="968"/>
        <v>1.9725249180480307</v>
      </c>
    </row>
    <row r="298" spans="1:20" x14ac:dyDescent="0.25">
      <c r="A298" s="5">
        <v>44295</v>
      </c>
      <c r="B298">
        <v>0.43774999999999997</v>
      </c>
      <c r="C298">
        <v>0.47599999999999998</v>
      </c>
      <c r="D298">
        <v>0.42897000000000002</v>
      </c>
      <c r="E298">
        <v>0.45172000000000001</v>
      </c>
      <c r="F298">
        <v>106816864.7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-3.2532426110992496E-2</v>
      </c>
      <c r="Q298">
        <f t="shared" si="965"/>
        <v>-3475011.7582606329</v>
      </c>
      <c r="R298">
        <f t="shared" si="966"/>
        <v>232922011.49311131</v>
      </c>
      <c r="S298">
        <f t="shared" si="967"/>
        <v>2329.2201149311131</v>
      </c>
      <c r="T298">
        <f t="shared" si="968"/>
        <v>2.3292201149311129</v>
      </c>
    </row>
    <row r="299" spans="1:20" x14ac:dyDescent="0.25">
      <c r="A299" s="5">
        <v>44294</v>
      </c>
      <c r="B299">
        <v>0.4148</v>
      </c>
      <c r="C299">
        <v>0.45598</v>
      </c>
      <c r="D299">
        <v>0.41</v>
      </c>
      <c r="E299">
        <v>0.43757000000000001</v>
      </c>
      <c r="F299">
        <v>119326763.3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0.1992170508916932</v>
      </c>
      <c r="Q299">
        <f t="shared" si="965"/>
        <v>23771925.877077129</v>
      </c>
      <c r="R299">
        <f t="shared" si="966"/>
        <v>236397023.25137195</v>
      </c>
      <c r="S299">
        <f t="shared" si="967"/>
        <v>2363.9702325137196</v>
      </c>
      <c r="T299">
        <f t="shared" si="968"/>
        <v>2.3639702325137195</v>
      </c>
    </row>
    <row r="300" spans="1:20" x14ac:dyDescent="0.25">
      <c r="A300" s="5">
        <v>44293</v>
      </c>
      <c r="B300">
        <v>0.45785999999999999</v>
      </c>
      <c r="C300">
        <v>0.48299999999999998</v>
      </c>
      <c r="D300">
        <v>0.39800000000000002</v>
      </c>
      <c r="E300">
        <v>0.41504999999999997</v>
      </c>
      <c r="F300">
        <v>176155874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-0.59882352941176564</v>
      </c>
      <c r="Q300">
        <f t="shared" si="965"/>
        <v>-105486282.19529428</v>
      </c>
      <c r="R300">
        <f t="shared" si="966"/>
        <v>212625097.37429482</v>
      </c>
      <c r="S300">
        <f t="shared" si="967"/>
        <v>2126.2509737429482</v>
      </c>
      <c r="T300">
        <f t="shared" si="968"/>
        <v>2.1262509737429482</v>
      </c>
    </row>
    <row r="301" spans="1:20" x14ac:dyDescent="0.25">
      <c r="A301" s="5">
        <v>44292</v>
      </c>
      <c r="B301">
        <v>0.48150999999999999</v>
      </c>
      <c r="C301">
        <v>0.55686000000000002</v>
      </c>
      <c r="D301">
        <v>0.44500000000000001</v>
      </c>
      <c r="E301">
        <v>0.45756999999999998</v>
      </c>
      <c r="F301">
        <v>345443179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-0.77525478276417004</v>
      </c>
      <c r="Q301">
        <f t="shared" si="965"/>
        <v>-267806476.69300932</v>
      </c>
      <c r="R301">
        <f t="shared" si="966"/>
        <v>318111379.56958908</v>
      </c>
      <c r="S301">
        <f t="shared" si="967"/>
        <v>3181.113795695891</v>
      </c>
      <c r="T301">
        <f t="shared" si="968"/>
        <v>3.1811137956958908</v>
      </c>
    </row>
    <row r="302" spans="1:20" x14ac:dyDescent="0.25">
      <c r="A302" s="5">
        <v>44291</v>
      </c>
      <c r="B302">
        <v>0.40777000000000002</v>
      </c>
      <c r="C302">
        <v>0.48698999999999998</v>
      </c>
      <c r="D302">
        <v>0.39312999999999998</v>
      </c>
      <c r="E302">
        <v>0.48207</v>
      </c>
      <c r="F302">
        <v>224555224.80000001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0.89516300873641641</v>
      </c>
      <c r="Q302">
        <f t="shared" si="965"/>
        <v>201013530.65945035</v>
      </c>
      <c r="R302">
        <f t="shared" si="966"/>
        <v>585917856.2625984</v>
      </c>
      <c r="S302">
        <f t="shared" si="967"/>
        <v>5859.1785626259843</v>
      </c>
      <c r="T302">
        <f t="shared" si="968"/>
        <v>5.859178562625984</v>
      </c>
    </row>
    <row r="303" spans="1:20" x14ac:dyDescent="0.25">
      <c r="A303" s="5">
        <v>44290</v>
      </c>
      <c r="B303">
        <v>0.38705000000000001</v>
      </c>
      <c r="C303">
        <v>0.42343999999999998</v>
      </c>
      <c r="D303">
        <v>0.38</v>
      </c>
      <c r="E303">
        <v>0.40799999999999997</v>
      </c>
      <c r="F303">
        <v>79966298.099999994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0.28913443830570823</v>
      </c>
      <c r="Q303">
        <f t="shared" si="965"/>
        <v>23121010.684530322</v>
      </c>
      <c r="R303">
        <f t="shared" si="966"/>
        <v>384904325.60314804</v>
      </c>
      <c r="S303">
        <f t="shared" si="967"/>
        <v>3849.0432560314803</v>
      </c>
      <c r="T303">
        <f t="shared" si="968"/>
        <v>3.8490432560314805</v>
      </c>
    </row>
    <row r="304" spans="1:20" x14ac:dyDescent="0.25">
      <c r="A304" s="5">
        <v>44289</v>
      </c>
      <c r="B304">
        <v>0.42773</v>
      </c>
      <c r="C304">
        <v>0.44608999999999999</v>
      </c>
      <c r="D304">
        <v>0.38529999999999998</v>
      </c>
      <c r="E304">
        <v>0.38757999999999998</v>
      </c>
      <c r="F304">
        <v>91936045.700000003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-0.92498766244448083</v>
      </c>
      <c r="Q304">
        <f t="shared" si="965"/>
        <v>-85039708.006431967</v>
      </c>
      <c r="R304">
        <f t="shared" si="966"/>
        <v>361783314.91861773</v>
      </c>
      <c r="S304">
        <f t="shared" si="967"/>
        <v>3617.8331491861773</v>
      </c>
      <c r="T304">
        <f t="shared" si="968"/>
        <v>3.6178331491861773</v>
      </c>
    </row>
    <row r="305" spans="1:20" x14ac:dyDescent="0.25">
      <c r="A305" s="5">
        <v>44288</v>
      </c>
      <c r="B305">
        <v>0.44311</v>
      </c>
      <c r="C305">
        <v>0.46799000000000002</v>
      </c>
      <c r="D305">
        <v>0.41933999999999999</v>
      </c>
      <c r="E305">
        <v>0.42749999999999999</v>
      </c>
      <c r="F305">
        <v>101991108.2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-0.66454265159301151</v>
      </c>
      <c r="Q305">
        <f t="shared" si="965"/>
        <v>-67777441.48213774</v>
      </c>
      <c r="R305">
        <f t="shared" si="966"/>
        <v>446823022.92504972</v>
      </c>
      <c r="S305">
        <f t="shared" si="967"/>
        <v>4468.2302292504974</v>
      </c>
      <c r="T305">
        <f t="shared" si="968"/>
        <v>4.468230229250497</v>
      </c>
    </row>
    <row r="306" spans="1:20" x14ac:dyDescent="0.25">
      <c r="A306" s="5">
        <v>44287</v>
      </c>
      <c r="B306">
        <v>0.42257</v>
      </c>
      <c r="C306">
        <v>0.45800000000000002</v>
      </c>
      <c r="D306">
        <v>0.40848000000000001</v>
      </c>
      <c r="E306">
        <v>0.44257000000000002</v>
      </c>
      <c r="F306">
        <v>130193113.40000001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0.37681744749596136</v>
      </c>
      <c r="Q306">
        <f t="shared" si="965"/>
        <v>49059036.672940247</v>
      </c>
      <c r="R306">
        <f t="shared" si="966"/>
        <v>514600464.40718746</v>
      </c>
      <c r="S306">
        <f t="shared" si="967"/>
        <v>5146.0046440718743</v>
      </c>
      <c r="T306">
        <f t="shared" si="968"/>
        <v>5.1460046440718745</v>
      </c>
    </row>
    <row r="307" spans="1:20" x14ac:dyDescent="0.25">
      <c r="A307" s="5">
        <v>44286</v>
      </c>
      <c r="B307">
        <v>0.43163000000000001</v>
      </c>
      <c r="C307">
        <v>0.44724000000000003</v>
      </c>
      <c r="D307">
        <v>0.38600000000000001</v>
      </c>
      <c r="E307">
        <v>0.42224</v>
      </c>
      <c r="F307">
        <v>158380469.5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0.18354016982364418</v>
      </c>
      <c r="Q307">
        <f t="shared" si="965"/>
        <v>29069178.268778499</v>
      </c>
      <c r="R307">
        <f t="shared" si="966"/>
        <v>465541427.73424721</v>
      </c>
      <c r="S307">
        <f t="shared" si="967"/>
        <v>4655.4142773424719</v>
      </c>
      <c r="T307">
        <f t="shared" si="968"/>
        <v>4.655414277342472</v>
      </c>
    </row>
    <row r="308" spans="1:20" x14ac:dyDescent="0.25">
      <c r="A308" s="5">
        <v>44285</v>
      </c>
      <c r="B308">
        <v>0.43209999999999998</v>
      </c>
      <c r="C308">
        <v>0.48</v>
      </c>
      <c r="D308">
        <v>0.42109000000000002</v>
      </c>
      <c r="E308">
        <v>0.43192000000000003</v>
      </c>
      <c r="F308">
        <v>168894049.30000001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-0.63232048888134396</v>
      </c>
      <c r="Q308">
        <f t="shared" si="965"/>
        <v>-106795167.82252581</v>
      </c>
      <c r="R308">
        <f t="shared" si="966"/>
        <v>436472249.4654687</v>
      </c>
      <c r="S308">
        <f t="shared" si="967"/>
        <v>4364.7224946546867</v>
      </c>
      <c r="T308">
        <f t="shared" si="968"/>
        <v>4.3647224946546865</v>
      </c>
    </row>
    <row r="309" spans="1:20" x14ac:dyDescent="0.25">
      <c r="A309" s="5">
        <v>44284</v>
      </c>
      <c r="B309">
        <v>0.39357999999999999</v>
      </c>
      <c r="C309">
        <v>0.44</v>
      </c>
      <c r="D309">
        <v>0.38319999999999999</v>
      </c>
      <c r="E309">
        <v>0.43263000000000001</v>
      </c>
      <c r="F309">
        <v>137255513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0.74049295774647939</v>
      </c>
      <c r="Q309">
        <f t="shared" si="965"/>
        <v>101636740.78838035</v>
      </c>
      <c r="R309">
        <f t="shared" si="966"/>
        <v>543267417.2879945</v>
      </c>
      <c r="S309">
        <f t="shared" si="967"/>
        <v>5432.6741728799452</v>
      </c>
      <c r="T309">
        <f t="shared" si="968"/>
        <v>5.4326741728799455</v>
      </c>
    </row>
    <row r="310" spans="1:20" x14ac:dyDescent="0.25">
      <c r="A310" s="5">
        <v>44283</v>
      </c>
      <c r="B310">
        <v>0.35943000000000003</v>
      </c>
      <c r="C310">
        <v>0.41949999999999998</v>
      </c>
      <c r="D310">
        <v>0.35352</v>
      </c>
      <c r="E310">
        <v>0.39323999999999998</v>
      </c>
      <c r="F310">
        <v>152468330.59999999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0.20400121248863254</v>
      </c>
      <c r="Q310">
        <f t="shared" si="965"/>
        <v>31103724.308517672</v>
      </c>
      <c r="R310">
        <f t="shared" si="966"/>
        <v>441630676.49961412</v>
      </c>
      <c r="S310">
        <f t="shared" si="967"/>
        <v>4416.3067649961413</v>
      </c>
      <c r="T310">
        <f t="shared" si="968"/>
        <v>4.4163067649961416</v>
      </c>
    </row>
    <row r="311" spans="1:20" x14ac:dyDescent="0.25">
      <c r="A311" s="5">
        <v>44282</v>
      </c>
      <c r="B311">
        <v>0.36709999999999998</v>
      </c>
      <c r="C311">
        <v>0.37452999999999997</v>
      </c>
      <c r="D311">
        <v>0.34</v>
      </c>
      <c r="E311">
        <v>0.35981000000000002</v>
      </c>
      <c r="F311">
        <v>76709496.200000003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0.14740805097017221</v>
      </c>
      <c r="Q311">
        <f t="shared" si="965"/>
        <v>11307597.325745832</v>
      </c>
      <c r="R311">
        <f t="shared" si="966"/>
        <v>410526952.19109643</v>
      </c>
      <c r="S311">
        <f t="shared" si="967"/>
        <v>4105.2695219109646</v>
      </c>
      <c r="T311">
        <f t="shared" si="968"/>
        <v>4.1052695219109649</v>
      </c>
    </row>
    <row r="312" spans="1:20" x14ac:dyDescent="0.25">
      <c r="A312" s="5">
        <v>44281</v>
      </c>
      <c r="B312">
        <v>0.32333000000000001</v>
      </c>
      <c r="C312">
        <v>0.378</v>
      </c>
      <c r="D312">
        <v>0.32181999999999999</v>
      </c>
      <c r="E312">
        <v>0.36708000000000002</v>
      </c>
      <c r="F312">
        <v>108892844.59999999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0.61124955500178058</v>
      </c>
      <c r="Q312">
        <f t="shared" si="965"/>
        <v>66560702.804628044</v>
      </c>
      <c r="R312">
        <f t="shared" si="966"/>
        <v>399219354.8653506</v>
      </c>
      <c r="S312">
        <f t="shared" si="967"/>
        <v>3992.1935486535062</v>
      </c>
      <c r="T312">
        <f t="shared" si="968"/>
        <v>3.9921935486535061</v>
      </c>
    </row>
    <row r="313" spans="1:20" x14ac:dyDescent="0.25">
      <c r="A313" s="5">
        <v>44280</v>
      </c>
      <c r="B313">
        <v>0.33627000000000001</v>
      </c>
      <c r="C313">
        <v>0.35235</v>
      </c>
      <c r="D313">
        <v>0.31173000000000001</v>
      </c>
      <c r="E313">
        <v>0.3236</v>
      </c>
      <c r="F313">
        <v>115147776.2</v>
      </c>
      <c r="G313">
        <v>0</v>
      </c>
      <c r="L313" t="s">
        <v>8</v>
      </c>
      <c r="M313" t="s">
        <v>8</v>
      </c>
      <c r="N313" t="s">
        <v>7</v>
      </c>
      <c r="P313">
        <f t="shared" si="964"/>
        <v>-0.41555883801083238</v>
      </c>
      <c r="Q313">
        <f t="shared" si="965"/>
        <v>-47850676.077203378</v>
      </c>
      <c r="R313">
        <f t="shared" si="966"/>
        <v>332658652.06072259</v>
      </c>
      <c r="S313">
        <f t="shared" si="967"/>
        <v>3326.5865206072258</v>
      </c>
      <c r="T313">
        <f t="shared" si="968"/>
        <v>3.3265865206072256</v>
      </c>
    </row>
    <row r="314" spans="1:20" x14ac:dyDescent="0.25">
      <c r="A314" s="5">
        <v>44279</v>
      </c>
      <c r="B314">
        <v>0.37880999999999998</v>
      </c>
      <c r="C314">
        <v>0.41039999999999999</v>
      </c>
      <c r="D314">
        <v>0.29081000000000001</v>
      </c>
      <c r="E314">
        <v>0.33572999999999997</v>
      </c>
      <c r="F314">
        <v>109023573.90000001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-0.24876661928254923</v>
      </c>
      <c r="Q314">
        <f t="shared" si="965"/>
        <v>-27121425.901204173</v>
      </c>
      <c r="R314">
        <f t="shared" si="966"/>
        <v>380509328.13792598</v>
      </c>
      <c r="S314">
        <f t="shared" si="967"/>
        <v>3805.0932813792597</v>
      </c>
      <c r="T314">
        <f t="shared" si="968"/>
        <v>3.8050932813792597</v>
      </c>
    </row>
    <row r="315" spans="1:20" x14ac:dyDescent="0.25">
      <c r="A315" s="5">
        <v>44278</v>
      </c>
      <c r="B315">
        <v>0.39499000000000001</v>
      </c>
      <c r="C315">
        <v>0.42309999999999998</v>
      </c>
      <c r="D315">
        <v>0.36353000000000002</v>
      </c>
      <c r="E315">
        <v>0.37845000000000001</v>
      </c>
      <c r="F315">
        <v>95450942.299999997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-0.49907671646802082</v>
      </c>
      <c r="Q315">
        <f t="shared" si="965"/>
        <v>-47637342.866862513</v>
      </c>
      <c r="R315">
        <f t="shared" si="966"/>
        <v>407630754.03913015</v>
      </c>
      <c r="S315">
        <f t="shared" si="967"/>
        <v>4076.3075403913017</v>
      </c>
      <c r="T315">
        <f t="shared" si="968"/>
        <v>4.0763075403913014</v>
      </c>
    </row>
    <row r="316" spans="1:20" x14ac:dyDescent="0.25">
      <c r="A316" s="5">
        <v>44277</v>
      </c>
      <c r="B316">
        <v>0.42520999999999998</v>
      </c>
      <c r="C316">
        <v>0.45506000000000002</v>
      </c>
      <c r="D316">
        <v>0.3846</v>
      </c>
      <c r="E316">
        <v>0.39445999999999998</v>
      </c>
      <c r="F316">
        <v>130331811.40000001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-0.72012489355662856</v>
      </c>
      <c r="Q316">
        <f t="shared" si="965"/>
        <v>-93855181.811467588</v>
      </c>
      <c r="R316">
        <f t="shared" si="966"/>
        <v>455268096.90599269</v>
      </c>
      <c r="S316">
        <f t="shared" si="967"/>
        <v>4552.6809690599266</v>
      </c>
      <c r="T316">
        <f t="shared" si="968"/>
        <v>4.552680969059927</v>
      </c>
    </row>
    <row r="317" spans="1:20" x14ac:dyDescent="0.25">
      <c r="A317" s="5">
        <v>44276</v>
      </c>
      <c r="B317">
        <v>0.42685000000000001</v>
      </c>
      <c r="C317">
        <v>0.44236999999999999</v>
      </c>
      <c r="D317">
        <v>0.39455000000000001</v>
      </c>
      <c r="E317">
        <v>0.42542999999999997</v>
      </c>
      <c r="F317">
        <v>101063735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0.29150982852362944</v>
      </c>
      <c r="Q317">
        <f t="shared" si="965"/>
        <v>29461072.059807528</v>
      </c>
      <c r="R317">
        <f t="shared" si="966"/>
        <v>549123278.71746027</v>
      </c>
      <c r="S317">
        <f t="shared" si="967"/>
        <v>5491.2327871746029</v>
      </c>
      <c r="T317">
        <f t="shared" si="968"/>
        <v>5.4912327871746029</v>
      </c>
    </row>
    <row r="318" spans="1:20" x14ac:dyDescent="0.25">
      <c r="A318" s="5">
        <v>44275</v>
      </c>
      <c r="B318">
        <v>0.41214000000000001</v>
      </c>
      <c r="C318">
        <v>0.48875000000000002</v>
      </c>
      <c r="D318">
        <v>0.41070000000000001</v>
      </c>
      <c r="E318">
        <v>0.42681000000000002</v>
      </c>
      <c r="F318">
        <v>149385988.69999999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-0.58718770019218425</v>
      </c>
      <c r="Q318">
        <f t="shared" si="965"/>
        <v>-87717615.145688623</v>
      </c>
      <c r="R318">
        <f t="shared" si="966"/>
        <v>519662206.65765274</v>
      </c>
      <c r="S318">
        <f t="shared" si="967"/>
        <v>5196.6220665765277</v>
      </c>
      <c r="T318">
        <f t="shared" si="968"/>
        <v>5.1966220665765279</v>
      </c>
    </row>
    <row r="319" spans="1:20" x14ac:dyDescent="0.25">
      <c r="A319" s="5">
        <v>44274</v>
      </c>
      <c r="B319">
        <v>0.39849000000000001</v>
      </c>
      <c r="C319">
        <v>0.43942999999999999</v>
      </c>
      <c r="D319">
        <v>0.38500000000000001</v>
      </c>
      <c r="E319">
        <v>0.41213</v>
      </c>
      <c r="F319">
        <v>94005137.200000003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-3.1232776042624207E-3</v>
      </c>
      <c r="Q319">
        <f t="shared" si="965"/>
        <v>-293604.13970237615</v>
      </c>
      <c r="R319">
        <f t="shared" si="966"/>
        <v>607379821.80334139</v>
      </c>
      <c r="S319">
        <f t="shared" si="967"/>
        <v>6073.7982180334138</v>
      </c>
      <c r="T319">
        <f t="shared" si="968"/>
        <v>6.0737982180334136</v>
      </c>
    </row>
    <row r="320" spans="1:20" x14ac:dyDescent="0.25">
      <c r="A320" s="5">
        <v>44273</v>
      </c>
      <c r="B320">
        <v>0.42607</v>
      </c>
      <c r="C320">
        <v>0.44379999999999997</v>
      </c>
      <c r="D320">
        <v>0.38500000000000001</v>
      </c>
      <c r="E320">
        <v>0.39842</v>
      </c>
      <c r="F320">
        <v>106271687.8</v>
      </c>
      <c r="G320">
        <v>0</v>
      </c>
      <c r="L320" t="s">
        <v>7</v>
      </c>
      <c r="M320" t="s">
        <v>8</v>
      </c>
      <c r="N320" t="s">
        <v>7</v>
      </c>
      <c r="P320">
        <f t="shared" si="964"/>
        <v>-0.54353741496598651</v>
      </c>
      <c r="Q320">
        <f t="shared" si="965"/>
        <v>-57762638.470884368</v>
      </c>
      <c r="R320">
        <f t="shared" si="966"/>
        <v>607673425.94304371</v>
      </c>
      <c r="S320">
        <f t="shared" si="967"/>
        <v>6076.7342594304373</v>
      </c>
      <c r="T320">
        <f t="shared" si="968"/>
        <v>6.0767342594304372</v>
      </c>
    </row>
    <row r="321" spans="1:20" x14ac:dyDescent="0.25">
      <c r="A321" s="5">
        <v>44272</v>
      </c>
      <c r="B321">
        <v>0.38179000000000002</v>
      </c>
      <c r="C321">
        <v>0.43709999999999999</v>
      </c>
      <c r="D321">
        <v>0.36703000000000002</v>
      </c>
      <c r="E321">
        <v>0.42559999999999998</v>
      </c>
      <c r="F321">
        <v>150028424.40000001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0.67175681461395698</v>
      </c>
      <c r="Q321">
        <f t="shared" si="965"/>
        <v>100782616.47649486</v>
      </c>
      <c r="R321">
        <f t="shared" si="966"/>
        <v>665436064.41392803</v>
      </c>
      <c r="S321">
        <f t="shared" si="967"/>
        <v>6654.3606441392803</v>
      </c>
      <c r="T321">
        <f t="shared" si="968"/>
        <v>6.6543606441392802</v>
      </c>
    </row>
    <row r="322" spans="1:20" x14ac:dyDescent="0.25">
      <c r="A322" s="5">
        <v>44271</v>
      </c>
      <c r="B322">
        <v>0.36631999999999998</v>
      </c>
      <c r="C322">
        <v>0.40799999999999997</v>
      </c>
      <c r="D322">
        <v>0.35020000000000001</v>
      </c>
      <c r="E322">
        <v>0.38175999999999999</v>
      </c>
      <c r="F322">
        <v>111675686.2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9.2041522491349392E-2</v>
      </c>
      <c r="Q322">
        <f t="shared" si="965"/>
        <v>10278800.183114177</v>
      </c>
      <c r="R322">
        <f t="shared" si="966"/>
        <v>564653447.93743312</v>
      </c>
      <c r="S322">
        <f t="shared" si="967"/>
        <v>5646.5344793743316</v>
      </c>
      <c r="T322">
        <f t="shared" si="968"/>
        <v>5.6465344793743313</v>
      </c>
    </row>
    <row r="323" spans="1:20" x14ac:dyDescent="0.25">
      <c r="A323" s="5">
        <v>44270</v>
      </c>
      <c r="B323">
        <v>0.38918999999999998</v>
      </c>
      <c r="C323">
        <v>0.42249999999999999</v>
      </c>
      <c r="D323">
        <v>0.34899999999999998</v>
      </c>
      <c r="E323">
        <v>0.36638999999999999</v>
      </c>
      <c r="F323">
        <v>134672454.09999999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-0.52680272108843496</v>
      </c>
      <c r="Q323">
        <f t="shared" si="965"/>
        <v>-70945815.275537357</v>
      </c>
      <c r="R323">
        <f t="shared" si="966"/>
        <v>554374647.75431895</v>
      </c>
      <c r="S323">
        <f t="shared" si="967"/>
        <v>5543.7464775431899</v>
      </c>
      <c r="T323">
        <f t="shared" si="968"/>
        <v>5.5437464775431895</v>
      </c>
    </row>
    <row r="324" spans="1:20" x14ac:dyDescent="0.25">
      <c r="A324" s="5">
        <v>44269</v>
      </c>
      <c r="B324">
        <v>0.40615000000000001</v>
      </c>
      <c r="C324">
        <v>0.42269000000000001</v>
      </c>
      <c r="D324">
        <v>0.37565999999999999</v>
      </c>
      <c r="E324">
        <v>0.38918999999999998</v>
      </c>
      <c r="F324">
        <v>109607240.90000001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-0.42462258133106606</v>
      </c>
      <c r="Q324">
        <f t="shared" si="965"/>
        <v>-46541709.563534006</v>
      </c>
      <c r="R324">
        <f t="shared" si="966"/>
        <v>625320463.02985632</v>
      </c>
      <c r="S324">
        <f t="shared" si="967"/>
        <v>6253.2046302985636</v>
      </c>
      <c r="T324">
        <f t="shared" si="968"/>
        <v>6.2532046302985638</v>
      </c>
    </row>
    <row r="325" spans="1:20" x14ac:dyDescent="0.25">
      <c r="A325" s="5">
        <v>44268</v>
      </c>
      <c r="B325">
        <v>0.38866000000000001</v>
      </c>
      <c r="C325">
        <v>0.44780999999999999</v>
      </c>
      <c r="D325">
        <v>0.36299999999999999</v>
      </c>
      <c r="E325">
        <v>0.40604000000000001</v>
      </c>
      <c r="F325">
        <v>178216276.69999999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1.4974649215894928E-2</v>
      </c>
      <c r="Q325">
        <f t="shared" si="965"/>
        <v>2668726.2281453684</v>
      </c>
      <c r="R325">
        <f t="shared" si="966"/>
        <v>671862172.59339035</v>
      </c>
      <c r="S325">
        <f t="shared" si="967"/>
        <v>6718.6217259339037</v>
      </c>
      <c r="T325">
        <f t="shared" si="968"/>
        <v>6.7186217259339038</v>
      </c>
    </row>
    <row r="326" spans="1:20" x14ac:dyDescent="0.25">
      <c r="A326" s="5">
        <v>44267</v>
      </c>
      <c r="B326">
        <v>0.44219000000000003</v>
      </c>
      <c r="C326">
        <v>0.44833000000000001</v>
      </c>
      <c r="D326">
        <v>0.35522999999999999</v>
      </c>
      <c r="E326">
        <v>0.38867000000000002</v>
      </c>
      <c r="F326">
        <v>311832296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-0.28163265306122409</v>
      </c>
      <c r="Q326">
        <f t="shared" ref="Q326:Q389" si="970">F326*P326</f>
        <v>-87822156.832652941</v>
      </c>
      <c r="R326">
        <f t="shared" ref="R326:R389" si="971">R327+Q326</f>
        <v>669193446.36524498</v>
      </c>
      <c r="S326">
        <f t="shared" ref="S326:S389" si="972">R326/100000</f>
        <v>6691.9344636524502</v>
      </c>
      <c r="T326">
        <f t="shared" ref="T326:T389" si="973">S326/1000</f>
        <v>6.6919344636524505</v>
      </c>
    </row>
    <row r="327" spans="1:20" x14ac:dyDescent="0.25">
      <c r="A327" s="5">
        <v>44266</v>
      </c>
      <c r="B327">
        <v>0.45683000000000001</v>
      </c>
      <c r="C327">
        <v>0.46899000000000002</v>
      </c>
      <c r="D327">
        <v>0.43479000000000001</v>
      </c>
      <c r="E327">
        <v>0.44219000000000003</v>
      </c>
      <c r="F327">
        <v>167186107.5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-0.56725146198830312</v>
      </c>
      <c r="Q327">
        <f t="shared" si="970"/>
        <v>-94836563.903508604</v>
      </c>
      <c r="R327">
        <f t="shared" si="971"/>
        <v>757015603.19789791</v>
      </c>
      <c r="S327">
        <f t="shared" si="972"/>
        <v>7570.1560319789787</v>
      </c>
      <c r="T327">
        <f t="shared" si="973"/>
        <v>7.5701560319789785</v>
      </c>
    </row>
    <row r="328" spans="1:20" x14ac:dyDescent="0.25">
      <c r="A328" s="5">
        <v>44265</v>
      </c>
      <c r="B328">
        <v>0.52947999999999995</v>
      </c>
      <c r="C328">
        <v>0.55000000000000004</v>
      </c>
      <c r="D328">
        <v>0.44500000000000001</v>
      </c>
      <c r="E328">
        <v>0.45745999999999998</v>
      </c>
      <c r="F328">
        <v>203432665.80000001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-0.76266666666666727</v>
      </c>
      <c r="Q328">
        <f t="shared" si="970"/>
        <v>-155151313.11680013</v>
      </c>
      <c r="R328">
        <f t="shared" si="971"/>
        <v>851852167.10140657</v>
      </c>
      <c r="S328">
        <f t="shared" si="972"/>
        <v>8518.5216710140649</v>
      </c>
      <c r="T328">
        <f t="shared" si="973"/>
        <v>8.5185216710140654</v>
      </c>
    </row>
    <row r="329" spans="1:20" x14ac:dyDescent="0.25">
      <c r="A329" s="5">
        <v>44264</v>
      </c>
      <c r="B329">
        <v>0.44985000000000003</v>
      </c>
      <c r="C329">
        <v>0.54662999999999995</v>
      </c>
      <c r="D329">
        <v>0.435</v>
      </c>
      <c r="E329">
        <v>0.53027000000000002</v>
      </c>
      <c r="F329">
        <v>274429889.80000001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0.70688882916778761</v>
      </c>
      <c r="Q329">
        <f t="shared" si="970"/>
        <v>193991423.48936698</v>
      </c>
      <c r="R329">
        <f t="shared" si="971"/>
        <v>1007003480.2182068</v>
      </c>
      <c r="S329">
        <f t="shared" si="972"/>
        <v>10070.034802182068</v>
      </c>
      <c r="T329">
        <f t="shared" si="973"/>
        <v>10.070034802182068</v>
      </c>
    </row>
    <row r="330" spans="1:20" x14ac:dyDescent="0.25">
      <c r="A330" s="5">
        <v>44263</v>
      </c>
      <c r="B330">
        <v>0.44457999999999998</v>
      </c>
      <c r="C330">
        <v>0.48</v>
      </c>
      <c r="D330">
        <v>0.42599999999999999</v>
      </c>
      <c r="E330">
        <v>0.44985000000000003</v>
      </c>
      <c r="F330">
        <v>174000349.80000001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-0.11666666666666514</v>
      </c>
      <c r="Q330">
        <f t="shared" si="970"/>
        <v>-20300040.809999738</v>
      </c>
      <c r="R330">
        <f t="shared" si="971"/>
        <v>813012056.72883976</v>
      </c>
      <c r="S330">
        <f t="shared" si="972"/>
        <v>8130.120567288398</v>
      </c>
      <c r="T330">
        <f t="shared" si="973"/>
        <v>8.1301205672883974</v>
      </c>
    </row>
    <row r="331" spans="1:20" x14ac:dyDescent="0.25">
      <c r="A331" s="5">
        <v>44262</v>
      </c>
      <c r="B331">
        <v>0.44195000000000001</v>
      </c>
      <c r="C331">
        <v>0.47360000000000002</v>
      </c>
      <c r="D331">
        <v>0.42393999999999998</v>
      </c>
      <c r="E331">
        <v>0.44403999999999999</v>
      </c>
      <c r="F331">
        <v>140780395.30000001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-0.19049536850584003</v>
      </c>
      <c r="Q331">
        <f t="shared" si="970"/>
        <v>-26818013.281071331</v>
      </c>
      <c r="R331">
        <f t="shared" si="971"/>
        <v>833312097.53883946</v>
      </c>
      <c r="S331">
        <f t="shared" si="972"/>
        <v>8333.1209753883941</v>
      </c>
      <c r="T331">
        <f t="shared" si="973"/>
        <v>8.3331209753883932</v>
      </c>
    </row>
    <row r="332" spans="1:20" x14ac:dyDescent="0.25">
      <c r="A332" s="5">
        <v>44261</v>
      </c>
      <c r="B332">
        <v>0.45728999999999997</v>
      </c>
      <c r="C332">
        <v>0.47</v>
      </c>
      <c r="D332">
        <v>0.42749999999999999</v>
      </c>
      <c r="E332">
        <v>0.44146000000000002</v>
      </c>
      <c r="F332">
        <v>128322526.5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-0.3430588235294102</v>
      </c>
      <c r="Q332">
        <f t="shared" si="970"/>
        <v>-44022174.97341156</v>
      </c>
      <c r="R332">
        <f t="shared" si="971"/>
        <v>860130110.81991076</v>
      </c>
      <c r="S332">
        <f t="shared" si="972"/>
        <v>8601.3011081991081</v>
      </c>
      <c r="T332">
        <f t="shared" si="973"/>
        <v>8.6013011081991078</v>
      </c>
    </row>
    <row r="333" spans="1:20" x14ac:dyDescent="0.25">
      <c r="A333" s="5">
        <v>44260</v>
      </c>
      <c r="B333">
        <v>0.45695999999999998</v>
      </c>
      <c r="C333">
        <v>0.49</v>
      </c>
      <c r="D333">
        <v>0.42008000000000001</v>
      </c>
      <c r="E333">
        <v>0.45724999999999999</v>
      </c>
      <c r="F333">
        <v>205012120.90000001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6.3215102974828102E-2</v>
      </c>
      <c r="Q333">
        <f t="shared" si="970"/>
        <v>12959862.333781408</v>
      </c>
      <c r="R333">
        <f t="shared" si="971"/>
        <v>904152285.79332232</v>
      </c>
      <c r="S333">
        <f t="shared" si="972"/>
        <v>9041.5228579332233</v>
      </c>
      <c r="T333">
        <f t="shared" si="973"/>
        <v>9.0415228579332236</v>
      </c>
    </row>
    <row r="334" spans="1:20" x14ac:dyDescent="0.25">
      <c r="A334" s="5">
        <v>44259</v>
      </c>
      <c r="B334">
        <v>0.52066000000000001</v>
      </c>
      <c r="C334">
        <v>0.52525999999999995</v>
      </c>
      <c r="D334">
        <v>0.43852999999999998</v>
      </c>
      <c r="E334">
        <v>0.45695999999999998</v>
      </c>
      <c r="F334">
        <v>264070462.19999999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-0.57500288250893561</v>
      </c>
      <c r="Q334">
        <f t="shared" si="970"/>
        <v>-151841276.9504669</v>
      </c>
      <c r="R334">
        <f t="shared" si="971"/>
        <v>891192423.45954096</v>
      </c>
      <c r="S334">
        <f t="shared" si="972"/>
        <v>8911.9242345954099</v>
      </c>
      <c r="T334">
        <f t="shared" si="973"/>
        <v>8.9119242345954106</v>
      </c>
    </row>
    <row r="335" spans="1:20" x14ac:dyDescent="0.25">
      <c r="A335" s="5">
        <v>44258</v>
      </c>
      <c r="B335">
        <v>0.51868000000000003</v>
      </c>
      <c r="C335">
        <v>0.6048</v>
      </c>
      <c r="D335">
        <v>0.50710999999999995</v>
      </c>
      <c r="E335">
        <v>0.52037999999999995</v>
      </c>
      <c r="F335">
        <v>263103256.30000001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-0.72832429112498731</v>
      </c>
      <c r="Q335">
        <f t="shared" si="970"/>
        <v>-191624492.63737336</v>
      </c>
      <c r="R335">
        <f t="shared" si="971"/>
        <v>1043033700.4100078</v>
      </c>
      <c r="S335">
        <f t="shared" si="972"/>
        <v>10430.337004100078</v>
      </c>
      <c r="T335">
        <f t="shared" si="973"/>
        <v>10.430337004100078</v>
      </c>
    </row>
    <row r="336" spans="1:20" x14ac:dyDescent="0.25">
      <c r="A336" s="5">
        <v>44257</v>
      </c>
      <c r="B336">
        <v>0.58350000000000002</v>
      </c>
      <c r="C336">
        <v>0.58794999999999997</v>
      </c>
      <c r="D336">
        <v>0.48299999999999998</v>
      </c>
      <c r="E336">
        <v>0.51788000000000001</v>
      </c>
      <c r="F336">
        <v>347549660.10000002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-0.33530252501190994</v>
      </c>
      <c r="Q336">
        <f t="shared" si="970"/>
        <v>-116534278.59856105</v>
      </c>
      <c r="R336">
        <f t="shared" si="971"/>
        <v>1234658193.0473812</v>
      </c>
      <c r="S336">
        <f t="shared" si="972"/>
        <v>12346.581930473812</v>
      </c>
      <c r="T336">
        <f t="shared" si="973"/>
        <v>12.346581930473812</v>
      </c>
    </row>
    <row r="337" spans="1:20" x14ac:dyDescent="0.25">
      <c r="A337" s="5">
        <v>44256</v>
      </c>
      <c r="B337">
        <v>0.42209999999999998</v>
      </c>
      <c r="C337">
        <v>0.64617000000000002</v>
      </c>
      <c r="D337">
        <v>0.41420000000000001</v>
      </c>
      <c r="E337">
        <v>0.58347000000000004</v>
      </c>
      <c r="F337">
        <v>638755056.20000005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0.45941285511057484</v>
      </c>
      <c r="Q337">
        <f t="shared" si="970"/>
        <v>293452284.08515769</v>
      </c>
      <c r="R337">
        <f t="shared" si="971"/>
        <v>1351192471.6459422</v>
      </c>
      <c r="S337">
        <f t="shared" si="972"/>
        <v>13511.924716459422</v>
      </c>
      <c r="T337">
        <f t="shared" si="973"/>
        <v>13.511924716459422</v>
      </c>
    </row>
    <row r="338" spans="1:20" x14ac:dyDescent="0.25">
      <c r="A338" s="5">
        <v>44255</v>
      </c>
      <c r="B338">
        <v>0.46805999999999998</v>
      </c>
      <c r="C338">
        <v>0.5</v>
      </c>
      <c r="D338">
        <v>0.38</v>
      </c>
      <c r="E338">
        <v>0.42299999999999999</v>
      </c>
      <c r="F338">
        <v>360790970.39999998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-0.2833333333333336</v>
      </c>
      <c r="Q338">
        <f t="shared" si="970"/>
        <v>-102224108.28000009</v>
      </c>
      <c r="R338">
        <f t="shared" si="971"/>
        <v>1057740187.5607845</v>
      </c>
      <c r="S338">
        <f t="shared" si="972"/>
        <v>10577.401875607844</v>
      </c>
      <c r="T338">
        <f t="shared" si="973"/>
        <v>10.577401875607844</v>
      </c>
    </row>
    <row r="339" spans="1:20" x14ac:dyDescent="0.25">
      <c r="A339" s="5">
        <v>44254</v>
      </c>
      <c r="B339">
        <v>0.52109000000000005</v>
      </c>
      <c r="C339">
        <v>0.55850999999999995</v>
      </c>
      <c r="D339">
        <v>0.44044</v>
      </c>
      <c r="E339">
        <v>0.46869</v>
      </c>
      <c r="F339">
        <v>469258279.30000001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-0.5214703142203776</v>
      </c>
      <c r="Q339">
        <f t="shared" si="970"/>
        <v>-244704262.35708472</v>
      </c>
      <c r="R339">
        <f t="shared" si="971"/>
        <v>1159964295.8407845</v>
      </c>
      <c r="S339">
        <f t="shared" si="972"/>
        <v>11599.642958407845</v>
      </c>
      <c r="T339">
        <f t="shared" si="973"/>
        <v>11.599642958407845</v>
      </c>
    </row>
    <row r="340" spans="1:20" x14ac:dyDescent="0.25">
      <c r="A340" s="5">
        <v>44253</v>
      </c>
      <c r="B340">
        <v>0.59374000000000005</v>
      </c>
      <c r="C340">
        <v>0.7</v>
      </c>
      <c r="D340">
        <v>0.49829000000000001</v>
      </c>
      <c r="E340">
        <v>0.52197000000000005</v>
      </c>
      <c r="F340">
        <v>634317998.29999995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-0.76520747607951967</v>
      </c>
      <c r="Q340">
        <f t="shared" si="970"/>
        <v>-485384874.51095599</v>
      </c>
      <c r="R340">
        <f t="shared" si="971"/>
        <v>1404668558.1978693</v>
      </c>
      <c r="S340">
        <f t="shared" si="972"/>
        <v>14046.685581978692</v>
      </c>
      <c r="T340">
        <f t="shared" si="973"/>
        <v>14.046685581978693</v>
      </c>
    </row>
    <row r="341" spans="1:20" x14ac:dyDescent="0.25">
      <c r="A341" s="5">
        <v>44252</v>
      </c>
      <c r="B341">
        <v>0.64883000000000002</v>
      </c>
      <c r="C341">
        <v>0.87797000000000003</v>
      </c>
      <c r="D341">
        <v>0.58233999999999997</v>
      </c>
      <c r="E341">
        <v>0.59309000000000001</v>
      </c>
      <c r="F341">
        <v>910175569.60000002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-0.92727395731150397</v>
      </c>
      <c r="Q341">
        <f t="shared" si="970"/>
        <v>-843982102.27124429</v>
      </c>
      <c r="R341">
        <f t="shared" si="971"/>
        <v>1890053432.7088253</v>
      </c>
      <c r="S341">
        <f t="shared" si="972"/>
        <v>18900.534327088255</v>
      </c>
      <c r="T341">
        <f t="shared" si="973"/>
        <v>18.900534327088256</v>
      </c>
    </row>
    <row r="342" spans="1:20" x14ac:dyDescent="0.25">
      <c r="A342" s="5">
        <v>44251</v>
      </c>
      <c r="B342">
        <v>0.44741999999999998</v>
      </c>
      <c r="C342">
        <v>0.66900000000000004</v>
      </c>
      <c r="D342">
        <v>0.41</v>
      </c>
      <c r="E342">
        <v>0.64956000000000003</v>
      </c>
      <c r="F342">
        <v>509704421.30000001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0.84988416988416982</v>
      </c>
      <c r="Q342">
        <f t="shared" si="970"/>
        <v>433189718.98284167</v>
      </c>
      <c r="R342">
        <f t="shared" si="971"/>
        <v>2734035534.9800696</v>
      </c>
      <c r="S342">
        <f t="shared" si="972"/>
        <v>27340.355349800695</v>
      </c>
      <c r="T342">
        <f t="shared" si="973"/>
        <v>27.340355349800696</v>
      </c>
    </row>
    <row r="343" spans="1:20" x14ac:dyDescent="0.25">
      <c r="A343" s="5">
        <v>44250</v>
      </c>
      <c r="B343">
        <v>0.45748</v>
      </c>
      <c r="C343">
        <v>0.52</v>
      </c>
      <c r="D343">
        <v>0.30869999999999997</v>
      </c>
      <c r="E343">
        <v>0.44735999999999998</v>
      </c>
      <c r="F343">
        <v>664585612.10000002</v>
      </c>
      <c r="G343">
        <v>0</v>
      </c>
      <c r="L343" t="s">
        <v>8</v>
      </c>
      <c r="M343" t="s">
        <v>8</v>
      </c>
      <c r="N343" t="s">
        <v>8</v>
      </c>
      <c r="P343">
        <f t="shared" si="969"/>
        <v>0.31244675816374801</v>
      </c>
      <c r="Q343">
        <f t="shared" si="970"/>
        <v>207647620.02291515</v>
      </c>
      <c r="R343">
        <f t="shared" si="971"/>
        <v>2300845815.9972281</v>
      </c>
      <c r="S343">
        <f t="shared" si="972"/>
        <v>23008.458159972281</v>
      </c>
      <c r="T343">
        <f t="shared" si="973"/>
        <v>23.008458159972282</v>
      </c>
    </row>
    <row r="344" spans="1:20" x14ac:dyDescent="0.25">
      <c r="A344" s="5">
        <v>44249</v>
      </c>
      <c r="B344">
        <v>0.34638000000000002</v>
      </c>
      <c r="C344">
        <v>0.48692000000000002</v>
      </c>
      <c r="D344">
        <v>0.3</v>
      </c>
      <c r="E344">
        <v>0.45662999999999998</v>
      </c>
      <c r="F344">
        <v>579535700.89999998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0.67590413010913719</v>
      </c>
      <c r="Q344">
        <f t="shared" si="970"/>
        <v>391710573.78400362</v>
      </c>
      <c r="R344">
        <f t="shared" si="971"/>
        <v>2093198195.9743128</v>
      </c>
      <c r="S344">
        <f t="shared" si="972"/>
        <v>20931.981959743127</v>
      </c>
      <c r="T344">
        <f t="shared" si="973"/>
        <v>20.931981959743126</v>
      </c>
    </row>
    <row r="345" spans="1:20" x14ac:dyDescent="0.25">
      <c r="A345" s="5">
        <v>44248</v>
      </c>
      <c r="B345">
        <v>0.23372000000000001</v>
      </c>
      <c r="C345">
        <v>0.37869999999999998</v>
      </c>
      <c r="D345">
        <v>0.22533</v>
      </c>
      <c r="E345">
        <v>0.34721000000000002</v>
      </c>
      <c r="F345">
        <v>445418456.89999998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0.58935906631023061</v>
      </c>
      <c r="Q345">
        <f t="shared" si="970"/>
        <v>262511405.87592769</v>
      </c>
      <c r="R345">
        <f t="shared" si="971"/>
        <v>1701487622.190309</v>
      </c>
      <c r="S345">
        <f t="shared" si="972"/>
        <v>17014.87622190309</v>
      </c>
      <c r="T345">
        <f t="shared" si="973"/>
        <v>17.014876221903091</v>
      </c>
    </row>
    <row r="346" spans="1:20" x14ac:dyDescent="0.25">
      <c r="A346" s="5">
        <v>44247</v>
      </c>
      <c r="B346">
        <v>0.24182000000000001</v>
      </c>
      <c r="C346">
        <v>0.28999999999999998</v>
      </c>
      <c r="D346">
        <v>0.21024999999999999</v>
      </c>
      <c r="E346">
        <v>0.23366000000000001</v>
      </c>
      <c r="F346">
        <v>281763198.60000002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-0.41291536050156696</v>
      </c>
      <c r="Q346">
        <f t="shared" si="970"/>
        <v>-116344352.72599362</v>
      </c>
      <c r="R346">
        <f t="shared" si="971"/>
        <v>1438976216.3143814</v>
      </c>
      <c r="S346">
        <f t="shared" si="972"/>
        <v>14389.762163143814</v>
      </c>
      <c r="T346">
        <f t="shared" si="973"/>
        <v>14.389762163143814</v>
      </c>
    </row>
    <row r="347" spans="1:20" x14ac:dyDescent="0.25">
      <c r="A347" s="5">
        <v>44246</v>
      </c>
      <c r="B347">
        <v>0.21071000000000001</v>
      </c>
      <c r="C347">
        <v>0.24979999999999999</v>
      </c>
      <c r="D347">
        <v>0.191</v>
      </c>
      <c r="E347">
        <v>0.24093999999999999</v>
      </c>
      <c r="F347">
        <v>168212755.09999999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0.69863945578231268</v>
      </c>
      <c r="Q347">
        <f t="shared" si="970"/>
        <v>117520067.67870744</v>
      </c>
      <c r="R347">
        <f t="shared" si="971"/>
        <v>1555320569.040375</v>
      </c>
      <c r="S347">
        <f t="shared" si="972"/>
        <v>15553.205690403751</v>
      </c>
      <c r="T347">
        <f t="shared" si="973"/>
        <v>15.55320569040375</v>
      </c>
    </row>
    <row r="348" spans="1:20" x14ac:dyDescent="0.25">
      <c r="A348" s="5">
        <v>44245</v>
      </c>
      <c r="B348">
        <v>0.16546</v>
      </c>
      <c r="C348">
        <v>0.22947000000000001</v>
      </c>
      <c r="D348">
        <v>0.16514000000000001</v>
      </c>
      <c r="E348">
        <v>0.21048</v>
      </c>
      <c r="F348">
        <v>310602913.10000002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0.40960671537385335</v>
      </c>
      <c r="Q348">
        <f t="shared" si="970"/>
        <v>127225039.02044141</v>
      </c>
      <c r="R348">
        <f t="shared" si="971"/>
        <v>1437800501.3616676</v>
      </c>
      <c r="S348">
        <f t="shared" si="972"/>
        <v>14378.005013616676</v>
      </c>
      <c r="T348">
        <f t="shared" si="973"/>
        <v>14.378005013616676</v>
      </c>
    </row>
    <row r="349" spans="1:20" x14ac:dyDescent="0.25">
      <c r="A349" s="5">
        <v>44244</v>
      </c>
      <c r="B349">
        <v>0.17230000000000001</v>
      </c>
      <c r="C349">
        <v>0.17419999999999999</v>
      </c>
      <c r="D349">
        <v>0.15251000000000001</v>
      </c>
      <c r="E349">
        <v>0.16544</v>
      </c>
      <c r="F349">
        <v>87526509.299999997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0.1922544951590599</v>
      </c>
      <c r="Q349">
        <f t="shared" si="970"/>
        <v>16827364.858506262</v>
      </c>
      <c r="R349">
        <f t="shared" si="971"/>
        <v>1310575462.3412261</v>
      </c>
      <c r="S349">
        <f t="shared" si="972"/>
        <v>13105.75462341226</v>
      </c>
      <c r="T349">
        <f t="shared" si="973"/>
        <v>13.10575462341226</v>
      </c>
    </row>
    <row r="350" spans="1:20" x14ac:dyDescent="0.25">
      <c r="A350" s="5">
        <v>44243</v>
      </c>
      <c r="B350">
        <v>0.17355000000000001</v>
      </c>
      <c r="C350">
        <v>0.18989</v>
      </c>
      <c r="D350">
        <v>0.16317999999999999</v>
      </c>
      <c r="E350">
        <v>0.17205000000000001</v>
      </c>
      <c r="F350">
        <v>111183525.90000001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-0.33582927742418472</v>
      </c>
      <c r="Q350">
        <f t="shared" si="970"/>
        <v>-37338683.164470129</v>
      </c>
      <c r="R350">
        <f t="shared" si="971"/>
        <v>1293748097.4827199</v>
      </c>
      <c r="S350">
        <f t="shared" si="972"/>
        <v>12937.480974827198</v>
      </c>
      <c r="T350">
        <f t="shared" si="973"/>
        <v>12.937480974827197</v>
      </c>
    </row>
    <row r="351" spans="1:20" x14ac:dyDescent="0.25">
      <c r="A351" s="5">
        <v>44242</v>
      </c>
      <c r="B351">
        <v>0.16897000000000001</v>
      </c>
      <c r="C351">
        <v>0.19799</v>
      </c>
      <c r="D351">
        <v>0.13833999999999999</v>
      </c>
      <c r="E351">
        <v>0.17360999999999999</v>
      </c>
      <c r="F351">
        <v>184416109.5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0.18256496227996616</v>
      </c>
      <c r="Q351">
        <f t="shared" si="970"/>
        <v>33667920.074685611</v>
      </c>
      <c r="R351">
        <f t="shared" si="971"/>
        <v>1331086780.6471901</v>
      </c>
      <c r="S351">
        <f t="shared" si="972"/>
        <v>13310.867806471901</v>
      </c>
      <c r="T351">
        <f t="shared" si="973"/>
        <v>13.310867806471901</v>
      </c>
    </row>
    <row r="352" spans="1:20" x14ac:dyDescent="0.25">
      <c r="A352" s="5">
        <v>44241</v>
      </c>
      <c r="B352">
        <v>0.18003</v>
      </c>
      <c r="C352">
        <v>0.18495</v>
      </c>
      <c r="D352">
        <v>0.16320000000000001</v>
      </c>
      <c r="E352">
        <v>0.16872000000000001</v>
      </c>
      <c r="F352">
        <v>100434945.09999999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-0.49241379310344835</v>
      </c>
      <c r="Q352">
        <f t="shared" si="970"/>
        <v>-49455552.276827589</v>
      </c>
      <c r="R352">
        <f t="shared" si="971"/>
        <v>1297418860.5725045</v>
      </c>
      <c r="S352">
        <f t="shared" si="972"/>
        <v>12974.188605725045</v>
      </c>
      <c r="T352">
        <f t="shared" si="973"/>
        <v>12.974188605725045</v>
      </c>
    </row>
    <row r="353" spans="1:20" x14ac:dyDescent="0.25">
      <c r="A353" s="5">
        <v>44240</v>
      </c>
      <c r="B353">
        <v>0.18459</v>
      </c>
      <c r="C353">
        <v>0.19700000000000001</v>
      </c>
      <c r="D353">
        <v>0.17</v>
      </c>
      <c r="E353">
        <v>0.18003</v>
      </c>
      <c r="F353">
        <v>163064630.5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-0.25703703703703817</v>
      </c>
      <c r="Q353">
        <f t="shared" si="970"/>
        <v>-41913649.469259448</v>
      </c>
      <c r="R353">
        <f t="shared" si="971"/>
        <v>1346874412.8493321</v>
      </c>
      <c r="S353">
        <f t="shared" si="972"/>
        <v>13468.744128493321</v>
      </c>
      <c r="T353">
        <f t="shared" si="973"/>
        <v>13.468744128493322</v>
      </c>
    </row>
    <row r="354" spans="1:20" x14ac:dyDescent="0.25">
      <c r="A354" s="5">
        <v>44239</v>
      </c>
      <c r="B354">
        <v>0.17748</v>
      </c>
      <c r="C354">
        <v>0.19800000000000001</v>
      </c>
      <c r="D354">
        <v>0.16875000000000001</v>
      </c>
      <c r="E354">
        <v>0.18451999999999999</v>
      </c>
      <c r="F354">
        <v>325502072.39999998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7.8290598290596883E-2</v>
      </c>
      <c r="Q354">
        <f t="shared" si="970"/>
        <v>25483751.99302518</v>
      </c>
      <c r="R354">
        <f t="shared" si="971"/>
        <v>1388788062.3185916</v>
      </c>
      <c r="S354">
        <f t="shared" si="972"/>
        <v>13887.880623185916</v>
      </c>
      <c r="T354">
        <f t="shared" si="973"/>
        <v>13.887880623185916</v>
      </c>
    </row>
    <row r="355" spans="1:20" x14ac:dyDescent="0.25">
      <c r="A355" s="5">
        <v>44238</v>
      </c>
      <c r="B355">
        <v>0.13894999999999999</v>
      </c>
      <c r="C355">
        <v>0.18848999999999999</v>
      </c>
      <c r="D355">
        <v>0.13449</v>
      </c>
      <c r="E355">
        <v>0.17749999999999999</v>
      </c>
      <c r="F355">
        <v>378394968.80000001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0.59296296296296291</v>
      </c>
      <c r="Q355">
        <f t="shared" si="970"/>
        <v>224374201.86992592</v>
      </c>
      <c r="R355">
        <f t="shared" si="971"/>
        <v>1363304310.3255665</v>
      </c>
      <c r="S355">
        <f t="shared" si="972"/>
        <v>13633.043103255666</v>
      </c>
      <c r="T355">
        <f t="shared" si="973"/>
        <v>13.633043103255666</v>
      </c>
    </row>
    <row r="356" spans="1:20" x14ac:dyDescent="0.25">
      <c r="A356" s="5">
        <v>44237</v>
      </c>
      <c r="B356">
        <v>0.14793000000000001</v>
      </c>
      <c r="C356">
        <v>0.158</v>
      </c>
      <c r="D356">
        <v>0.12841</v>
      </c>
      <c r="E356">
        <v>0.13869999999999999</v>
      </c>
      <c r="F356">
        <v>206279467.30000001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-0.30449476174383294</v>
      </c>
      <c r="Q356">
        <f t="shared" si="970"/>
        <v>-62811017.248158284</v>
      </c>
      <c r="R356">
        <f t="shared" si="971"/>
        <v>1138930108.4556406</v>
      </c>
      <c r="S356">
        <f t="shared" si="972"/>
        <v>11389.301084556406</v>
      </c>
      <c r="T356">
        <f t="shared" si="973"/>
        <v>11.389301084556406</v>
      </c>
    </row>
    <row r="357" spans="1:20" x14ac:dyDescent="0.25">
      <c r="A357" s="5">
        <v>44236</v>
      </c>
      <c r="B357">
        <v>0.14568</v>
      </c>
      <c r="C357">
        <v>0.15484999999999999</v>
      </c>
      <c r="D357">
        <v>0.13743</v>
      </c>
      <c r="E357">
        <v>0.14771000000000001</v>
      </c>
      <c r="F357">
        <v>193211811.19999999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0.18025258323765977</v>
      </c>
      <c r="Q357">
        <f t="shared" si="970"/>
        <v>34826928.080827005</v>
      </c>
      <c r="R357">
        <f t="shared" si="971"/>
        <v>1201741125.7037988</v>
      </c>
      <c r="S357">
        <f t="shared" si="972"/>
        <v>12017.411257037988</v>
      </c>
      <c r="T357">
        <f t="shared" si="973"/>
        <v>12.017411257037988</v>
      </c>
    </row>
    <row r="358" spans="1:20" x14ac:dyDescent="0.25">
      <c r="A358" s="5">
        <v>44235</v>
      </c>
      <c r="B358">
        <v>0.13250999999999999</v>
      </c>
      <c r="C358">
        <v>0.15128</v>
      </c>
      <c r="D358">
        <v>0.12764</v>
      </c>
      <c r="E358">
        <v>0.14549999999999999</v>
      </c>
      <c r="F358">
        <v>193376991.59999999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0.51099830795262191</v>
      </c>
      <c r="Q358">
        <f t="shared" si="970"/>
        <v>98815315.504568383</v>
      </c>
      <c r="R358">
        <f t="shared" si="971"/>
        <v>1166914197.6229718</v>
      </c>
      <c r="S358">
        <f t="shared" si="972"/>
        <v>11669.141976229717</v>
      </c>
      <c r="T358">
        <f t="shared" si="973"/>
        <v>11.669141976229717</v>
      </c>
    </row>
    <row r="359" spans="1:20" x14ac:dyDescent="0.25">
      <c r="A359" s="5">
        <v>44234</v>
      </c>
      <c r="B359">
        <v>0.14138000000000001</v>
      </c>
      <c r="C359">
        <v>0.1439</v>
      </c>
      <c r="D359">
        <v>0.11985</v>
      </c>
      <c r="E359">
        <v>0.13253999999999999</v>
      </c>
      <c r="F359">
        <v>172674039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5.5301455301454631E-2</v>
      </c>
      <c r="Q359">
        <f t="shared" si="970"/>
        <v>9549125.6494801342</v>
      </c>
      <c r="R359">
        <f t="shared" si="971"/>
        <v>1068098882.1184034</v>
      </c>
      <c r="S359">
        <f t="shared" si="972"/>
        <v>10680.988821184033</v>
      </c>
      <c r="T359">
        <f t="shared" si="973"/>
        <v>10.680988821184034</v>
      </c>
    </row>
    <row r="360" spans="1:20" x14ac:dyDescent="0.25">
      <c r="A360" s="5">
        <v>44233</v>
      </c>
      <c r="B360">
        <v>0.16420000000000001</v>
      </c>
      <c r="C360">
        <v>0.17194999999999999</v>
      </c>
      <c r="D360">
        <v>0.13256999999999999</v>
      </c>
      <c r="E360">
        <v>0.14122999999999999</v>
      </c>
      <c r="F360">
        <v>224900184.80000001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-0.56018283392585067</v>
      </c>
      <c r="Q360">
        <f t="shared" si="970"/>
        <v>-125985222.87171154</v>
      </c>
      <c r="R360">
        <f t="shared" si="971"/>
        <v>1058549756.4689233</v>
      </c>
      <c r="S360">
        <f t="shared" si="972"/>
        <v>10585.497564689233</v>
      </c>
      <c r="T360">
        <f t="shared" si="973"/>
        <v>10.585497564689232</v>
      </c>
    </row>
    <row r="361" spans="1:20" x14ac:dyDescent="0.25">
      <c r="A361" s="5">
        <v>44232</v>
      </c>
      <c r="B361">
        <v>0.13411000000000001</v>
      </c>
      <c r="C361">
        <v>0.17399000000000001</v>
      </c>
      <c r="D361">
        <v>0.13345000000000001</v>
      </c>
      <c r="E361">
        <v>0.16420999999999999</v>
      </c>
      <c r="F361">
        <v>229121330.19999999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0.51751356684755734</v>
      </c>
      <c r="Q361">
        <f t="shared" si="970"/>
        <v>118573396.83265895</v>
      </c>
      <c r="R361">
        <f t="shared" si="971"/>
        <v>1184534979.3406348</v>
      </c>
      <c r="S361">
        <f t="shared" si="972"/>
        <v>11845.349793406349</v>
      </c>
      <c r="T361">
        <f t="shared" si="973"/>
        <v>11.845349793406349</v>
      </c>
    </row>
    <row r="362" spans="1:20" x14ac:dyDescent="0.25">
      <c r="A362" s="5">
        <v>44231</v>
      </c>
      <c r="B362">
        <v>0.13006000000000001</v>
      </c>
      <c r="C362">
        <v>0.15</v>
      </c>
      <c r="D362">
        <v>0.12101000000000001</v>
      </c>
      <c r="E362">
        <v>0.13403000000000001</v>
      </c>
      <c r="F362">
        <v>298317393.10000002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-0.10175922731976481</v>
      </c>
      <c r="Q362">
        <f t="shared" si="970"/>
        <v>-30356547.41790254</v>
      </c>
      <c r="R362">
        <f t="shared" si="971"/>
        <v>1065961582.5079759</v>
      </c>
      <c r="S362">
        <f t="shared" si="972"/>
        <v>10659.61582507976</v>
      </c>
      <c r="T362">
        <f t="shared" si="973"/>
        <v>10.65961582507976</v>
      </c>
    </row>
    <row r="363" spans="1:20" x14ac:dyDescent="0.25">
      <c r="A363" s="5">
        <v>44230</v>
      </c>
      <c r="B363">
        <v>0.12648999999999999</v>
      </c>
      <c r="C363">
        <v>0.15870000000000001</v>
      </c>
      <c r="D363">
        <v>0.12403</v>
      </c>
      <c r="E363">
        <v>0.13008</v>
      </c>
      <c r="F363">
        <v>480092586.19999999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-0.65099509662532451</v>
      </c>
      <c r="Q363">
        <f t="shared" si="970"/>
        <v>-312537919.54237092</v>
      </c>
      <c r="R363">
        <f t="shared" si="971"/>
        <v>1096318129.9258785</v>
      </c>
      <c r="S363">
        <f t="shared" si="972"/>
        <v>10963.181299258786</v>
      </c>
      <c r="T363">
        <f t="shared" si="973"/>
        <v>10.963181299258785</v>
      </c>
    </row>
    <row r="364" spans="1:20" x14ac:dyDescent="0.25">
      <c r="A364" s="5">
        <v>44229</v>
      </c>
      <c r="B364">
        <v>0.10811</v>
      </c>
      <c r="C364">
        <v>0.13466</v>
      </c>
      <c r="D364">
        <v>9.6659999999999996E-2</v>
      </c>
      <c r="E364">
        <v>0.12644</v>
      </c>
      <c r="F364">
        <v>485305119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0.56736842105263141</v>
      </c>
      <c r="Q364">
        <f t="shared" si="970"/>
        <v>275346799.09578937</v>
      </c>
      <c r="R364">
        <f t="shared" si="971"/>
        <v>1408856049.4682493</v>
      </c>
      <c r="S364">
        <f t="shared" si="972"/>
        <v>14088.560494682493</v>
      </c>
      <c r="T364">
        <f t="shared" si="973"/>
        <v>14.088560494682493</v>
      </c>
    </row>
    <row r="365" spans="1:20" x14ac:dyDescent="0.25">
      <c r="A365" s="5">
        <v>44228</v>
      </c>
      <c r="B365">
        <v>0.12820999999999999</v>
      </c>
      <c r="C365">
        <v>0.12855</v>
      </c>
      <c r="D365">
        <v>0.105</v>
      </c>
      <c r="E365">
        <v>0.10785</v>
      </c>
      <c r="F365">
        <v>225049112.5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-0.75796178343949006</v>
      </c>
      <c r="Q365">
        <f t="shared" si="970"/>
        <v>-170578626.67197442</v>
      </c>
      <c r="R365">
        <f t="shared" si="971"/>
        <v>1133509250.3724599</v>
      </c>
      <c r="S365">
        <f t="shared" si="972"/>
        <v>11335.0925037246</v>
      </c>
      <c r="T365">
        <f t="shared" si="973"/>
        <v>11.335092503724599</v>
      </c>
    </row>
    <row r="366" spans="1:20" x14ac:dyDescent="0.25">
      <c r="A366" s="5">
        <v>44227</v>
      </c>
      <c r="B366">
        <v>0.13114000000000001</v>
      </c>
      <c r="C366">
        <v>0.13464000000000001</v>
      </c>
      <c r="D366">
        <v>0.10245</v>
      </c>
      <c r="E366">
        <v>0.128</v>
      </c>
      <c r="F366">
        <v>508363470.80000001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0.58744951848400095</v>
      </c>
      <c r="Q366">
        <f t="shared" si="970"/>
        <v>298637876.13631546</v>
      </c>
      <c r="R366">
        <f t="shared" si="971"/>
        <v>1304087877.0444343</v>
      </c>
      <c r="S366">
        <f t="shared" si="972"/>
        <v>13040.878770444344</v>
      </c>
      <c r="T366">
        <f t="shared" si="973"/>
        <v>13.040878770444344</v>
      </c>
    </row>
    <row r="367" spans="1:20" x14ac:dyDescent="0.25">
      <c r="A367" s="5">
        <v>44226</v>
      </c>
      <c r="B367">
        <v>0.12795000000000001</v>
      </c>
      <c r="C367">
        <v>0.16666</v>
      </c>
      <c r="D367">
        <v>0.11468</v>
      </c>
      <c r="E367">
        <v>0.13117000000000001</v>
      </c>
      <c r="F367">
        <v>623530790.79999995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-0.36552520200076932</v>
      </c>
      <c r="Q367">
        <f t="shared" si="970"/>
        <v>-227916218.26086941</v>
      </c>
      <c r="R367">
        <f t="shared" si="971"/>
        <v>1005450000.9081188</v>
      </c>
      <c r="S367">
        <f t="shared" si="972"/>
        <v>10054.500009081188</v>
      </c>
      <c r="T367">
        <f t="shared" si="973"/>
        <v>10.054500009081188</v>
      </c>
    </row>
    <row r="368" spans="1:20" x14ac:dyDescent="0.25">
      <c r="A368" s="5">
        <v>44225</v>
      </c>
      <c r="B368">
        <v>0.11921</v>
      </c>
      <c r="C368">
        <v>0.26</v>
      </c>
      <c r="D368">
        <v>0.1118</v>
      </c>
      <c r="E368">
        <v>0.12812000000000001</v>
      </c>
      <c r="F368">
        <v>1326936670.8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-0.77975708502024277</v>
      </c>
      <c r="Q368">
        <f t="shared" si="970"/>
        <v>-1034688270.4294734</v>
      </c>
      <c r="R368">
        <f t="shared" si="971"/>
        <v>1233366219.1689882</v>
      </c>
      <c r="S368">
        <f t="shared" si="972"/>
        <v>12333.662191689882</v>
      </c>
      <c r="T368">
        <f t="shared" si="973"/>
        <v>12.333662191689882</v>
      </c>
    </row>
    <row r="369" spans="1:20" x14ac:dyDescent="0.25">
      <c r="A369" s="5">
        <v>44224</v>
      </c>
      <c r="B369">
        <v>8.1089999999999995E-2</v>
      </c>
      <c r="C369">
        <v>0.13300000000000001</v>
      </c>
      <c r="D369">
        <v>7.6619999999999994E-2</v>
      </c>
      <c r="E369">
        <v>0.11932</v>
      </c>
      <c r="F369">
        <v>587028010.89999998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0.51472153245831831</v>
      </c>
      <c r="Q369">
        <f t="shared" si="970"/>
        <v>302155957.36640638</v>
      </c>
      <c r="R369">
        <f t="shared" si="971"/>
        <v>2268054489.5984616</v>
      </c>
      <c r="S369">
        <f t="shared" si="972"/>
        <v>22680.544895984618</v>
      </c>
      <c r="T369">
        <f t="shared" si="973"/>
        <v>22.680544895984617</v>
      </c>
    </row>
    <row r="370" spans="1:20" x14ac:dyDescent="0.25">
      <c r="A370" s="5">
        <v>44223</v>
      </c>
      <c r="B370">
        <v>7.2739999999999999E-2</v>
      </c>
      <c r="C370">
        <v>8.5489999999999997E-2</v>
      </c>
      <c r="D370">
        <v>6.4699999999999994E-2</v>
      </c>
      <c r="E370">
        <v>8.1089999999999995E-2</v>
      </c>
      <c r="F370">
        <v>647054739.10000002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0.57671957671957663</v>
      </c>
      <c r="Q370">
        <f t="shared" si="970"/>
        <v>373169135.24814808</v>
      </c>
      <c r="R370">
        <f t="shared" si="971"/>
        <v>1965898532.2320552</v>
      </c>
      <c r="S370">
        <f t="shared" si="972"/>
        <v>19658.985322320554</v>
      </c>
      <c r="T370">
        <f t="shared" si="973"/>
        <v>19.658985322320554</v>
      </c>
    </row>
    <row r="371" spans="1:20" x14ac:dyDescent="0.25">
      <c r="A371" s="5">
        <v>44222</v>
      </c>
      <c r="B371">
        <v>5.2299999999999999E-2</v>
      </c>
      <c r="C371">
        <v>7.4990000000000001E-2</v>
      </c>
      <c r="D371">
        <v>5.0509999999999999E-2</v>
      </c>
      <c r="E371">
        <v>7.2999999999999995E-2</v>
      </c>
      <c r="F371">
        <v>364259606.89999998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0.83741830065359435</v>
      </c>
      <c r="Q371">
        <f t="shared" si="970"/>
        <v>305037661.0069443</v>
      </c>
      <c r="R371">
        <f t="shared" si="971"/>
        <v>1592729396.9839072</v>
      </c>
      <c r="S371">
        <f t="shared" si="972"/>
        <v>15927.293969839073</v>
      </c>
      <c r="T371">
        <f t="shared" si="973"/>
        <v>15.927293969839074</v>
      </c>
    </row>
    <row r="372" spans="1:20" x14ac:dyDescent="0.25">
      <c r="A372" s="5">
        <v>44221</v>
      </c>
      <c r="B372">
        <v>5.6950000000000001E-2</v>
      </c>
      <c r="C372">
        <v>6.4990000000000006E-2</v>
      </c>
      <c r="D372">
        <v>5.2150000000000002E-2</v>
      </c>
      <c r="E372">
        <v>5.2260000000000001E-2</v>
      </c>
      <c r="F372">
        <v>506293201.5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-0.98286604361370733</v>
      </c>
      <c r="Q372">
        <f t="shared" si="970"/>
        <v>-497618395.86682254</v>
      </c>
      <c r="R372">
        <f t="shared" si="971"/>
        <v>1287691735.9769628</v>
      </c>
      <c r="S372">
        <f t="shared" si="972"/>
        <v>12876.917359769628</v>
      </c>
      <c r="T372">
        <f t="shared" si="973"/>
        <v>12.876917359769628</v>
      </c>
    </row>
    <row r="373" spans="1:20" x14ac:dyDescent="0.25">
      <c r="A373" s="5">
        <v>44220</v>
      </c>
      <c r="B373">
        <v>4.0570000000000002E-2</v>
      </c>
      <c r="C373">
        <v>6.1400000000000003E-2</v>
      </c>
      <c r="D373">
        <v>3.9280000000000002E-2</v>
      </c>
      <c r="E373">
        <v>5.7000000000000002E-2</v>
      </c>
      <c r="F373">
        <v>1064556081.5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0.60216998191681725</v>
      </c>
      <c r="Q373">
        <f t="shared" si="970"/>
        <v>641043716.34629285</v>
      </c>
      <c r="R373">
        <f t="shared" si="971"/>
        <v>1785310131.8437853</v>
      </c>
      <c r="S373">
        <f t="shared" si="972"/>
        <v>17853.101318437853</v>
      </c>
      <c r="T373">
        <f t="shared" si="973"/>
        <v>17.853101318437854</v>
      </c>
    </row>
    <row r="374" spans="1:20" x14ac:dyDescent="0.25">
      <c r="A374" s="5">
        <v>44219</v>
      </c>
      <c r="B374">
        <v>2.708E-2</v>
      </c>
      <c r="C374">
        <v>4.4330000000000001E-2</v>
      </c>
      <c r="D374">
        <v>2.6519999999999998E-2</v>
      </c>
      <c r="E374">
        <v>4.0599999999999997E-2</v>
      </c>
      <c r="F374">
        <v>611610331.60000002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0.58113419427288004</v>
      </c>
      <c r="Q374">
        <f t="shared" si="970"/>
        <v>355427677.26333499</v>
      </c>
      <c r="R374">
        <f t="shared" si="971"/>
        <v>1144266415.4974926</v>
      </c>
      <c r="S374">
        <f t="shared" si="972"/>
        <v>11442.664154974926</v>
      </c>
      <c r="T374">
        <f t="shared" si="973"/>
        <v>11.442664154974926</v>
      </c>
    </row>
    <row r="375" spans="1:20" x14ac:dyDescent="0.25">
      <c r="A375" s="5">
        <v>44218</v>
      </c>
      <c r="B375">
        <v>2.6380000000000001E-2</v>
      </c>
      <c r="C375">
        <v>2.8369999999999999E-2</v>
      </c>
      <c r="D375">
        <v>2.41E-2</v>
      </c>
      <c r="E375">
        <v>2.7089999999999999E-2</v>
      </c>
      <c r="F375">
        <v>103687139.40000001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0.40046838407494145</v>
      </c>
      <c r="Q375">
        <f t="shared" si="970"/>
        <v>41523421.164871193</v>
      </c>
      <c r="R375">
        <f t="shared" si="971"/>
        <v>788838738.23415756</v>
      </c>
      <c r="S375">
        <f t="shared" si="972"/>
        <v>7888.3873823415752</v>
      </c>
      <c r="T375">
        <f t="shared" si="973"/>
        <v>7.8883873823415751</v>
      </c>
    </row>
    <row r="376" spans="1:20" x14ac:dyDescent="0.25">
      <c r="A376" s="5">
        <v>44217</v>
      </c>
      <c r="B376">
        <v>2.869E-2</v>
      </c>
      <c r="C376">
        <v>2.9170000000000001E-2</v>
      </c>
      <c r="D376">
        <v>2.5680000000000001E-2</v>
      </c>
      <c r="E376">
        <v>2.64E-2</v>
      </c>
      <c r="F376">
        <v>132024970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-0.58739255014326741</v>
      </c>
      <c r="Q376">
        <f t="shared" si="970"/>
        <v>-77550483.81088838</v>
      </c>
      <c r="R376">
        <f t="shared" si="971"/>
        <v>747315317.06928635</v>
      </c>
      <c r="S376">
        <f t="shared" si="972"/>
        <v>7473.1531706928636</v>
      </c>
      <c r="T376">
        <f t="shared" si="973"/>
        <v>7.4731531706928633</v>
      </c>
    </row>
    <row r="377" spans="1:20" x14ac:dyDescent="0.25">
      <c r="A377" s="5">
        <v>44216</v>
      </c>
      <c r="B377">
        <v>2.8049999999999999E-2</v>
      </c>
      <c r="C377">
        <v>2.895E-2</v>
      </c>
      <c r="D377">
        <v>2.5749999999999999E-2</v>
      </c>
      <c r="E377">
        <v>2.8670000000000001E-2</v>
      </c>
      <c r="F377">
        <v>110681425.40000001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0.82500000000000073</v>
      </c>
      <c r="Q377">
        <f t="shared" si="970"/>
        <v>91312175.955000088</v>
      </c>
      <c r="R377">
        <f t="shared" si="971"/>
        <v>824865800.88017476</v>
      </c>
      <c r="S377">
        <f t="shared" si="972"/>
        <v>8248.6580088017472</v>
      </c>
      <c r="T377">
        <f t="shared" si="973"/>
        <v>8.2486580088017476</v>
      </c>
    </row>
    <row r="378" spans="1:20" x14ac:dyDescent="0.25">
      <c r="A378" s="5">
        <v>44215</v>
      </c>
      <c r="B378">
        <v>2.9770000000000001E-2</v>
      </c>
      <c r="C378">
        <v>3.1009999999999999E-2</v>
      </c>
      <c r="D378">
        <v>2.7859999999999999E-2</v>
      </c>
      <c r="E378">
        <v>2.8039999999999999E-2</v>
      </c>
      <c r="F378">
        <v>105064577.7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-0.88571428571428601</v>
      </c>
      <c r="Q378">
        <f t="shared" si="970"/>
        <v>-93057197.391428605</v>
      </c>
      <c r="R378">
        <f t="shared" si="971"/>
        <v>733553624.92517471</v>
      </c>
      <c r="S378">
        <f t="shared" si="972"/>
        <v>7335.536249251747</v>
      </c>
      <c r="T378">
        <f t="shared" si="973"/>
        <v>7.3355362492517466</v>
      </c>
    </row>
    <row r="379" spans="1:20" x14ac:dyDescent="0.25">
      <c r="A379" s="5">
        <v>44214</v>
      </c>
      <c r="B379">
        <v>3.0009999999999998E-2</v>
      </c>
      <c r="C379">
        <v>3.1609999999999999E-2</v>
      </c>
      <c r="D379">
        <v>2.8459999999999999E-2</v>
      </c>
      <c r="E379">
        <v>2.9829999999999999E-2</v>
      </c>
      <c r="F379">
        <v>113786891.8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-0.13015873015873036</v>
      </c>
      <c r="Q379">
        <f t="shared" si="970"/>
        <v>-14810357.345396848</v>
      </c>
      <c r="R379">
        <f t="shared" si="971"/>
        <v>826610822.3166033</v>
      </c>
      <c r="S379">
        <f t="shared" si="972"/>
        <v>8266.108223166033</v>
      </c>
      <c r="T379">
        <f t="shared" si="973"/>
        <v>8.2661082231660323</v>
      </c>
    </row>
    <row r="380" spans="1:20" x14ac:dyDescent="0.25">
      <c r="A380" s="5">
        <v>44213</v>
      </c>
      <c r="B380">
        <v>2.8500000000000001E-2</v>
      </c>
      <c r="C380">
        <v>3.1E-2</v>
      </c>
      <c r="D380">
        <v>2.6089999999999999E-2</v>
      </c>
      <c r="E380">
        <v>2.998E-2</v>
      </c>
      <c r="F380">
        <v>144606202.90000001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0.58452138492871697</v>
      </c>
      <c r="Q380">
        <f t="shared" si="970"/>
        <v>84525417.988391057</v>
      </c>
      <c r="R380">
        <f t="shared" si="971"/>
        <v>841421179.66200018</v>
      </c>
      <c r="S380">
        <f t="shared" si="972"/>
        <v>8414.2117966200021</v>
      </c>
      <c r="T380">
        <f t="shared" si="973"/>
        <v>8.4142117966200018</v>
      </c>
    </row>
    <row r="381" spans="1:20" x14ac:dyDescent="0.25">
      <c r="A381" s="5">
        <v>44212</v>
      </c>
      <c r="B381">
        <v>2.64E-2</v>
      </c>
      <c r="C381">
        <v>3.075E-2</v>
      </c>
      <c r="D381">
        <v>2.6030000000000001E-2</v>
      </c>
      <c r="E381">
        <v>2.8559999999999999E-2</v>
      </c>
      <c r="F381">
        <v>185445986.19999999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7.203389830508404E-2</v>
      </c>
      <c r="Q381">
        <f t="shared" si="970"/>
        <v>13358397.311016817</v>
      </c>
      <c r="R381">
        <f t="shared" si="971"/>
        <v>756895761.67360914</v>
      </c>
      <c r="S381">
        <f t="shared" si="972"/>
        <v>7568.957616736091</v>
      </c>
      <c r="T381">
        <f t="shared" si="973"/>
        <v>7.5689576167360908</v>
      </c>
    </row>
    <row r="382" spans="1:20" x14ac:dyDescent="0.25">
      <c r="A382" s="5">
        <v>44211</v>
      </c>
      <c r="B382">
        <v>2.462E-2</v>
      </c>
      <c r="C382">
        <v>2.8000000000000001E-2</v>
      </c>
      <c r="D382">
        <v>2.3300000000000001E-2</v>
      </c>
      <c r="E382">
        <v>2.6349999999999998E-2</v>
      </c>
      <c r="F382">
        <v>187774561.69999999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0.2978723404255309</v>
      </c>
      <c r="Q382">
        <f t="shared" si="970"/>
        <v>55932848.16595725</v>
      </c>
      <c r="R382">
        <f t="shared" si="971"/>
        <v>743537364.36259234</v>
      </c>
      <c r="S382">
        <f t="shared" si="972"/>
        <v>7435.3736436259233</v>
      </c>
      <c r="T382">
        <f t="shared" si="973"/>
        <v>7.4353736436259235</v>
      </c>
    </row>
    <row r="383" spans="1:20" x14ac:dyDescent="0.25">
      <c r="A383" s="5">
        <v>44210</v>
      </c>
      <c r="B383">
        <v>2.393E-2</v>
      </c>
      <c r="C383">
        <v>2.5340000000000001E-2</v>
      </c>
      <c r="D383">
        <v>2.2890000000000001E-2</v>
      </c>
      <c r="E383">
        <v>2.4629999999999999E-2</v>
      </c>
      <c r="F383">
        <v>74487449.799999997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0.42040816326530445</v>
      </c>
      <c r="Q383">
        <f t="shared" si="970"/>
        <v>31315131.956734568</v>
      </c>
      <c r="R383">
        <f t="shared" si="971"/>
        <v>687604516.19663513</v>
      </c>
      <c r="S383">
        <f t="shared" si="972"/>
        <v>6876.0451619663509</v>
      </c>
      <c r="T383">
        <f t="shared" si="973"/>
        <v>6.876045161966351</v>
      </c>
    </row>
    <row r="384" spans="1:20" x14ac:dyDescent="0.25">
      <c r="A384" s="5">
        <v>44209</v>
      </c>
      <c r="B384">
        <v>2.1909999999999999E-2</v>
      </c>
      <c r="C384">
        <v>2.4420000000000001E-2</v>
      </c>
      <c r="D384">
        <v>2.1059999999999999E-2</v>
      </c>
      <c r="E384">
        <v>2.393E-2</v>
      </c>
      <c r="F384">
        <v>97258048.599999994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0.70833333333333304</v>
      </c>
      <c r="Q384">
        <f t="shared" si="970"/>
        <v>68891117.758333296</v>
      </c>
      <c r="R384">
        <f t="shared" si="971"/>
        <v>656289384.23990059</v>
      </c>
      <c r="S384">
        <f t="shared" si="972"/>
        <v>6562.8938423990057</v>
      </c>
      <c r="T384">
        <f t="shared" si="973"/>
        <v>6.5628938423990055</v>
      </c>
    </row>
    <row r="385" spans="1:20" x14ac:dyDescent="0.25">
      <c r="A385" s="5">
        <v>44208</v>
      </c>
      <c r="B385">
        <v>2.2110000000000001E-2</v>
      </c>
      <c r="C385">
        <v>2.4660000000000001E-2</v>
      </c>
      <c r="D385">
        <v>2.128E-2</v>
      </c>
      <c r="E385">
        <v>2.1899999999999999E-2</v>
      </c>
      <c r="F385">
        <v>144185427.59999999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-0.63313609467455689</v>
      </c>
      <c r="Q385">
        <f t="shared" si="970"/>
        <v>-91288998.539645061</v>
      </c>
      <c r="R385">
        <f t="shared" si="971"/>
        <v>587398266.48156726</v>
      </c>
      <c r="S385">
        <f t="shared" si="972"/>
        <v>5873.9826648156723</v>
      </c>
      <c r="T385">
        <f t="shared" si="973"/>
        <v>5.8739826648156725</v>
      </c>
    </row>
    <row r="386" spans="1:20" x14ac:dyDescent="0.25">
      <c r="A386" s="5">
        <v>44207</v>
      </c>
      <c r="B386">
        <v>2.5190000000000001E-2</v>
      </c>
      <c r="C386">
        <v>2.521E-2</v>
      </c>
      <c r="D386">
        <v>1.864E-2</v>
      </c>
      <c r="E386">
        <v>2.2120000000000001E-2</v>
      </c>
      <c r="F386">
        <v>226555411.80000001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5.9360730593607532E-2</v>
      </c>
      <c r="Q386">
        <f t="shared" si="970"/>
        <v>13448494.764383614</v>
      </c>
      <c r="R386">
        <f t="shared" si="971"/>
        <v>678687265.02121234</v>
      </c>
      <c r="S386">
        <f t="shared" si="972"/>
        <v>6786.8726502121235</v>
      </c>
      <c r="T386">
        <f t="shared" si="973"/>
        <v>6.7868726502121239</v>
      </c>
    </row>
    <row r="387" spans="1:20" x14ac:dyDescent="0.25">
      <c r="A387" s="5">
        <v>44206</v>
      </c>
      <c r="B387">
        <v>2.7140000000000001E-2</v>
      </c>
      <c r="C387">
        <v>2.9090000000000001E-2</v>
      </c>
      <c r="D387">
        <v>2.3230000000000001E-2</v>
      </c>
      <c r="E387">
        <v>2.5180000000000001E-2</v>
      </c>
      <c r="F387">
        <v>230365265.40000001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-0.33447098976109213</v>
      </c>
      <c r="Q387">
        <f t="shared" si="970"/>
        <v>-77050498.324914679</v>
      </c>
      <c r="R387">
        <f t="shared" si="971"/>
        <v>665238770.25682878</v>
      </c>
      <c r="S387">
        <f t="shared" si="972"/>
        <v>6652.3877025682878</v>
      </c>
      <c r="T387">
        <f t="shared" si="973"/>
        <v>6.652387702568288</v>
      </c>
    </row>
    <row r="388" spans="1:20" x14ac:dyDescent="0.25">
      <c r="A388" s="5">
        <v>44205</v>
      </c>
      <c r="B388">
        <v>2.6249999999999999E-2</v>
      </c>
      <c r="C388">
        <v>2.9000000000000001E-2</v>
      </c>
      <c r="D388">
        <v>2.5000000000000001E-2</v>
      </c>
      <c r="E388">
        <v>2.7060000000000001E-2</v>
      </c>
      <c r="F388">
        <v>158385387.30000001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2.9999999999999645E-2</v>
      </c>
      <c r="Q388">
        <f t="shared" si="970"/>
        <v>4751561.6189999441</v>
      </c>
      <c r="R388">
        <f t="shared" si="971"/>
        <v>742289268.58174348</v>
      </c>
      <c r="S388">
        <f t="shared" si="972"/>
        <v>7422.8926858174345</v>
      </c>
      <c r="T388">
        <f t="shared" si="973"/>
        <v>7.4228926858174349</v>
      </c>
    </row>
    <row r="389" spans="1:20" x14ac:dyDescent="0.25">
      <c r="A389" s="5">
        <v>44204</v>
      </c>
      <c r="B389">
        <v>2.3869999999999999E-2</v>
      </c>
      <c r="C389">
        <v>2.76E-2</v>
      </c>
      <c r="D389">
        <v>2.145E-2</v>
      </c>
      <c r="E389">
        <v>2.5989999999999999E-2</v>
      </c>
      <c r="F389">
        <v>193932119.19999999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0.47642276422764213</v>
      </c>
      <c r="Q389">
        <f t="shared" si="970"/>
        <v>92393676.301788583</v>
      </c>
      <c r="R389">
        <f t="shared" si="971"/>
        <v>737537706.96274352</v>
      </c>
      <c r="S389">
        <f t="shared" si="972"/>
        <v>7375.377069627435</v>
      </c>
      <c r="T389">
        <f t="shared" si="973"/>
        <v>7.3753770696274348</v>
      </c>
    </row>
    <row r="390" spans="1:20" x14ac:dyDescent="0.25">
      <c r="A390" s="5">
        <v>44203</v>
      </c>
      <c r="B390">
        <v>2.4469999999999999E-2</v>
      </c>
      <c r="C390">
        <v>2.76E-2</v>
      </c>
      <c r="D390">
        <v>2.3099999999999999E-2</v>
      </c>
      <c r="E390">
        <v>2.383E-2</v>
      </c>
      <c r="F390">
        <v>264971073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-0.67555555555555491</v>
      </c>
      <c r="Q390">
        <f t="shared" ref="Q390:Q453" si="975">F390*P390</f>
        <v>-179002680.4266665</v>
      </c>
      <c r="R390">
        <f t="shared" ref="R390:R453" si="976">R391+Q390</f>
        <v>645144030.66095495</v>
      </c>
      <c r="S390">
        <f t="shared" ref="S390:S453" si="977">R390/100000</f>
        <v>6451.4403066095492</v>
      </c>
      <c r="T390">
        <f t="shared" ref="T390:T453" si="978">S390/1000</f>
        <v>6.4514403066095491</v>
      </c>
    </row>
    <row r="391" spans="1:20" x14ac:dyDescent="0.25">
      <c r="A391" s="5">
        <v>44202</v>
      </c>
      <c r="B391">
        <v>2.06E-2</v>
      </c>
      <c r="C391">
        <v>2.4500000000000001E-2</v>
      </c>
      <c r="D391">
        <v>1.9650000000000001E-2</v>
      </c>
      <c r="E391">
        <v>2.4420000000000001E-2</v>
      </c>
      <c r="F391">
        <v>194498180.19999999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0.96701030927835041</v>
      </c>
      <c r="Q391">
        <f t="shared" si="975"/>
        <v>188081745.38927832</v>
      </c>
      <c r="R391">
        <f t="shared" si="976"/>
        <v>824146711.08762145</v>
      </c>
      <c r="S391">
        <f t="shared" si="977"/>
        <v>8241.4671108762141</v>
      </c>
      <c r="T391">
        <f t="shared" si="978"/>
        <v>8.2414671108762132</v>
      </c>
    </row>
    <row r="392" spans="1:20" x14ac:dyDescent="0.25">
      <c r="A392" s="5">
        <v>44201</v>
      </c>
      <c r="B392">
        <v>2.0500000000000001E-2</v>
      </c>
      <c r="C392">
        <v>2.1440000000000001E-2</v>
      </c>
      <c r="D392">
        <v>1.8669999999999999E-2</v>
      </c>
      <c r="E392">
        <v>2.0629999999999999E-2</v>
      </c>
      <c r="F392">
        <v>210818537.90000001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0.41516245487364534</v>
      </c>
      <c r="Q392">
        <f t="shared" si="975"/>
        <v>87523941.727436647</v>
      </c>
      <c r="R392">
        <f t="shared" si="976"/>
        <v>636064965.69834316</v>
      </c>
      <c r="S392">
        <f t="shared" si="977"/>
        <v>6360.6496569834317</v>
      </c>
      <c r="T392">
        <f t="shared" si="978"/>
        <v>6.3606496569834317</v>
      </c>
    </row>
    <row r="393" spans="1:20" x14ac:dyDescent="0.25">
      <c r="A393" s="5">
        <v>44200</v>
      </c>
      <c r="B393">
        <v>1.8919999999999999E-2</v>
      </c>
      <c r="C393">
        <v>2.0820000000000002E-2</v>
      </c>
      <c r="D393">
        <v>1.651E-2</v>
      </c>
      <c r="E393">
        <v>2.0469999999999999E-2</v>
      </c>
      <c r="F393">
        <v>243704478.90000001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0.83758700696055544</v>
      </c>
      <c r="Q393">
        <f t="shared" si="975"/>
        <v>204123705.06473285</v>
      </c>
      <c r="R393">
        <f t="shared" si="976"/>
        <v>548541023.9709065</v>
      </c>
      <c r="S393">
        <f t="shared" si="977"/>
        <v>5485.4102397090646</v>
      </c>
      <c r="T393">
        <f t="shared" si="978"/>
        <v>5.4854102397090649</v>
      </c>
    </row>
    <row r="394" spans="1:20" x14ac:dyDescent="0.25">
      <c r="A394" s="5">
        <v>44199</v>
      </c>
      <c r="B394">
        <v>1.6410000000000001E-2</v>
      </c>
      <c r="C394">
        <v>1.9599999999999999E-2</v>
      </c>
      <c r="D394">
        <v>1.602E-2</v>
      </c>
      <c r="E394">
        <v>1.8710000000000001E-2</v>
      </c>
      <c r="F394">
        <v>184230430.40000001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0.50279329608938628</v>
      </c>
      <c r="Q394">
        <f t="shared" si="975"/>
        <v>92629825.34078227</v>
      </c>
      <c r="R394">
        <f t="shared" si="976"/>
        <v>344417318.90617371</v>
      </c>
      <c r="S394">
        <f t="shared" si="977"/>
        <v>3444.173189061737</v>
      </c>
      <c r="T394">
        <f t="shared" si="978"/>
        <v>3.4441731890617371</v>
      </c>
    </row>
    <row r="395" spans="1:20" x14ac:dyDescent="0.25">
      <c r="A395" s="5">
        <v>44198</v>
      </c>
      <c r="B395">
        <v>1.719E-2</v>
      </c>
      <c r="C395">
        <v>1.7219999999999999E-2</v>
      </c>
      <c r="D395">
        <v>1.6049999999999998E-2</v>
      </c>
      <c r="E395">
        <v>1.6389999999999998E-2</v>
      </c>
      <c r="F395">
        <v>93652914.900000006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-0.4188034188034192</v>
      </c>
      <c r="Q395">
        <f t="shared" si="975"/>
        <v>-39222160.941025682</v>
      </c>
      <c r="R395">
        <f t="shared" si="976"/>
        <v>251787493.56539142</v>
      </c>
      <c r="S395">
        <f t="shared" si="977"/>
        <v>2517.8749356539142</v>
      </c>
      <c r="T395">
        <f t="shared" si="978"/>
        <v>2.5178749356539143</v>
      </c>
    </row>
    <row r="396" spans="1:20" x14ac:dyDescent="0.25">
      <c r="A396" s="5">
        <v>44197</v>
      </c>
      <c r="B396">
        <v>1.6899999999999998E-2</v>
      </c>
      <c r="C396">
        <v>1.7899999999999999E-2</v>
      </c>
      <c r="D396">
        <v>1.6580000000000001E-2</v>
      </c>
      <c r="E396">
        <v>1.719E-2</v>
      </c>
      <c r="F396">
        <v>110561258.5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-7.5757575757575399E-2</v>
      </c>
      <c r="Q396">
        <f t="shared" si="975"/>
        <v>-8375852.9166666269</v>
      </c>
      <c r="R396">
        <f t="shared" si="976"/>
        <v>291009654.5064171</v>
      </c>
      <c r="S396">
        <f t="shared" si="977"/>
        <v>2910.0965450641711</v>
      </c>
      <c r="T396">
        <f t="shared" si="978"/>
        <v>2.9100965450641709</v>
      </c>
    </row>
    <row r="397" spans="1:20" x14ac:dyDescent="0.25">
      <c r="A397" s="5">
        <v>44196</v>
      </c>
      <c r="B397">
        <v>1.6580000000000001E-2</v>
      </c>
      <c r="C397">
        <v>1.711E-2</v>
      </c>
      <c r="D397">
        <v>1.593E-2</v>
      </c>
      <c r="E397">
        <v>1.6899999999999998E-2</v>
      </c>
      <c r="F397">
        <v>91098113.599999994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0.64406779661016655</v>
      </c>
      <c r="Q397">
        <f t="shared" si="975"/>
        <v>58673361.301694646</v>
      </c>
      <c r="R397">
        <f t="shared" si="976"/>
        <v>299385507.42308372</v>
      </c>
      <c r="S397">
        <f t="shared" si="977"/>
        <v>2993.8550742308371</v>
      </c>
      <c r="T397">
        <f t="shared" si="978"/>
        <v>2.993855074230837</v>
      </c>
    </row>
    <row r="398" spans="1:20" x14ac:dyDescent="0.25">
      <c r="A398" s="5">
        <v>44195</v>
      </c>
      <c r="B398">
        <v>1.634E-2</v>
      </c>
      <c r="C398">
        <v>1.7299999999999999E-2</v>
      </c>
      <c r="D398">
        <v>1.5469999999999999E-2</v>
      </c>
      <c r="E398">
        <v>1.6590000000000001E-2</v>
      </c>
      <c r="F398">
        <v>127422455.09999999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0.22404371584699584</v>
      </c>
      <c r="Q398">
        <f t="shared" si="975"/>
        <v>28548200.322950985</v>
      </c>
      <c r="R398">
        <f t="shared" si="976"/>
        <v>240712146.12138906</v>
      </c>
      <c r="S398">
        <f t="shared" si="977"/>
        <v>2407.1214612138906</v>
      </c>
      <c r="T398">
        <f t="shared" si="978"/>
        <v>2.4071214612138907</v>
      </c>
    </row>
    <row r="399" spans="1:20" x14ac:dyDescent="0.25">
      <c r="A399" s="5">
        <v>44194</v>
      </c>
      <c r="B399">
        <v>1.737E-2</v>
      </c>
      <c r="C399">
        <v>1.772E-2</v>
      </c>
      <c r="D399">
        <v>1.553E-2</v>
      </c>
      <c r="E399">
        <v>1.6330000000000001E-2</v>
      </c>
      <c r="F399">
        <v>135641800.69999999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-0.26940639269406336</v>
      </c>
      <c r="Q399">
        <f t="shared" si="975"/>
        <v>-36542768.225114077</v>
      </c>
      <c r="R399">
        <f t="shared" si="976"/>
        <v>212163945.79843807</v>
      </c>
      <c r="S399">
        <f t="shared" si="977"/>
        <v>2121.6394579843809</v>
      </c>
      <c r="T399">
        <f t="shared" si="978"/>
        <v>2.1216394579843807</v>
      </c>
    </row>
    <row r="400" spans="1:20" x14ac:dyDescent="0.25">
      <c r="A400" s="5">
        <v>44193</v>
      </c>
      <c r="B400">
        <v>1.6650000000000002E-2</v>
      </c>
      <c r="C400">
        <v>1.7999999999999999E-2</v>
      </c>
      <c r="D400">
        <v>1.6299999999999999E-2</v>
      </c>
      <c r="E400">
        <v>1.7389999999999999E-2</v>
      </c>
      <c r="F400">
        <v>106208452.40000001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0.28235294117647131</v>
      </c>
      <c r="Q400">
        <f t="shared" si="975"/>
        <v>29988268.912941255</v>
      </c>
      <c r="R400">
        <f t="shared" si="976"/>
        <v>248706714.02355215</v>
      </c>
      <c r="S400">
        <f t="shared" si="977"/>
        <v>2487.0671402355215</v>
      </c>
      <c r="T400">
        <f t="shared" si="978"/>
        <v>2.4870671402355216</v>
      </c>
    </row>
    <row r="401" spans="1:20" x14ac:dyDescent="0.25">
      <c r="A401" s="5">
        <v>44192</v>
      </c>
      <c r="B401">
        <v>1.6639999999999999E-2</v>
      </c>
      <c r="C401">
        <v>1.7729999999999999E-2</v>
      </c>
      <c r="D401">
        <v>1.6140000000000002E-2</v>
      </c>
      <c r="E401">
        <v>1.6639999999999999E-2</v>
      </c>
      <c r="F401">
        <v>113322541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-0.37106918238993997</v>
      </c>
      <c r="Q401">
        <f t="shared" si="975"/>
        <v>-42050502.635220453</v>
      </c>
      <c r="R401">
        <f t="shared" si="976"/>
        <v>218718445.1106109</v>
      </c>
      <c r="S401">
        <f t="shared" si="977"/>
        <v>2187.184451106109</v>
      </c>
      <c r="T401">
        <f t="shared" si="978"/>
        <v>2.1871844511061092</v>
      </c>
    </row>
    <row r="402" spans="1:20" x14ac:dyDescent="0.25">
      <c r="A402" s="5">
        <v>44191</v>
      </c>
      <c r="B402">
        <v>1.7299999999999999E-2</v>
      </c>
      <c r="C402">
        <v>1.7309999999999999E-2</v>
      </c>
      <c r="D402">
        <v>1.609E-2</v>
      </c>
      <c r="E402">
        <v>1.6629999999999999E-2</v>
      </c>
      <c r="F402">
        <v>79524714.099999994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-0.11475409836065685</v>
      </c>
      <c r="Q402">
        <f t="shared" si="975"/>
        <v>-9125786.8639345132</v>
      </c>
      <c r="R402">
        <f t="shared" si="976"/>
        <v>260768947.74583137</v>
      </c>
      <c r="S402">
        <f t="shared" si="977"/>
        <v>2607.6894774583138</v>
      </c>
      <c r="T402">
        <f t="shared" si="978"/>
        <v>2.6076894774583139</v>
      </c>
    </row>
    <row r="403" spans="1:20" x14ac:dyDescent="0.25">
      <c r="A403" s="5">
        <v>44190</v>
      </c>
      <c r="B403">
        <v>1.7600000000000001E-2</v>
      </c>
      <c r="C403">
        <v>1.84E-2</v>
      </c>
      <c r="D403">
        <v>1.6629999999999999E-2</v>
      </c>
      <c r="E403">
        <v>1.7340000000000001E-2</v>
      </c>
      <c r="F403">
        <v>67057139.5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-0.19774011299434802</v>
      </c>
      <c r="Q403">
        <f t="shared" si="975"/>
        <v>-13259886.341807758</v>
      </c>
      <c r="R403">
        <f t="shared" si="976"/>
        <v>269894734.60976589</v>
      </c>
      <c r="S403">
        <f t="shared" si="977"/>
        <v>2698.9473460976587</v>
      </c>
      <c r="T403">
        <f t="shared" si="978"/>
        <v>2.6989473460976585</v>
      </c>
    </row>
    <row r="404" spans="1:20" x14ac:dyDescent="0.25">
      <c r="A404" s="5">
        <v>44189</v>
      </c>
      <c r="B404">
        <v>1.6379999999999999E-2</v>
      </c>
      <c r="C404">
        <v>1.7829999999999999E-2</v>
      </c>
      <c r="D404">
        <v>1.546E-2</v>
      </c>
      <c r="E404">
        <v>1.7590000000000001E-2</v>
      </c>
      <c r="F404">
        <v>108707861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0.797468354430382</v>
      </c>
      <c r="Q404">
        <f t="shared" si="975"/>
        <v>86691079.0253167</v>
      </c>
      <c r="R404">
        <f t="shared" si="976"/>
        <v>283154620.95157367</v>
      </c>
      <c r="S404">
        <f t="shared" si="977"/>
        <v>2831.5462095157368</v>
      </c>
      <c r="T404">
        <f t="shared" si="978"/>
        <v>2.8315462095157367</v>
      </c>
    </row>
    <row r="405" spans="1:20" x14ac:dyDescent="0.25">
      <c r="A405" s="5">
        <v>44188</v>
      </c>
      <c r="B405">
        <v>1.8800000000000001E-2</v>
      </c>
      <c r="C405">
        <v>1.9380000000000001E-2</v>
      </c>
      <c r="D405">
        <v>1.469E-2</v>
      </c>
      <c r="E405">
        <v>1.6410000000000001E-2</v>
      </c>
      <c r="F405">
        <v>140243601.80000001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-0.26652452025586332</v>
      </c>
      <c r="Q405">
        <f t="shared" si="975"/>
        <v>-37378358.688699335</v>
      </c>
      <c r="R405">
        <f t="shared" si="976"/>
        <v>196463541.92625698</v>
      </c>
      <c r="S405">
        <f t="shared" si="977"/>
        <v>1964.6354192625699</v>
      </c>
      <c r="T405">
        <f t="shared" si="978"/>
        <v>1.9646354192625699</v>
      </c>
    </row>
    <row r="406" spans="1:20" x14ac:dyDescent="0.25">
      <c r="A406" s="5">
        <v>44187</v>
      </c>
      <c r="B406">
        <v>1.8939999999999999E-2</v>
      </c>
      <c r="C406">
        <v>1.9300000000000001E-2</v>
      </c>
      <c r="D406">
        <v>1.7569999999999999E-2</v>
      </c>
      <c r="E406">
        <v>1.881E-2</v>
      </c>
      <c r="F406">
        <v>70377053.299999997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0.43352601156069343</v>
      </c>
      <c r="Q406">
        <f t="shared" si="975"/>
        <v>30510283.222543336</v>
      </c>
      <c r="R406">
        <f t="shared" si="976"/>
        <v>233841900.61495632</v>
      </c>
      <c r="S406">
        <f t="shared" si="977"/>
        <v>2338.4190061495633</v>
      </c>
      <c r="T406">
        <f t="shared" si="978"/>
        <v>2.3384190061495631</v>
      </c>
    </row>
    <row r="407" spans="1:20" x14ac:dyDescent="0.25">
      <c r="A407" s="5">
        <v>44186</v>
      </c>
      <c r="B407">
        <v>2.0840000000000001E-2</v>
      </c>
      <c r="C407">
        <v>2.1819999999999999E-2</v>
      </c>
      <c r="D407">
        <v>1.8749999999999999E-2</v>
      </c>
      <c r="E407">
        <v>1.89E-2</v>
      </c>
      <c r="F407">
        <v>129173818.2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-0.90228013029315901</v>
      </c>
      <c r="Q407">
        <f t="shared" si="975"/>
        <v>-116550969.51596084</v>
      </c>
      <c r="R407">
        <f t="shared" si="976"/>
        <v>203331617.39241299</v>
      </c>
      <c r="S407">
        <f t="shared" si="977"/>
        <v>2033.31617392413</v>
      </c>
      <c r="T407">
        <f t="shared" si="978"/>
        <v>2.0333161739241299</v>
      </c>
    </row>
    <row r="408" spans="1:20" x14ac:dyDescent="0.25">
      <c r="A408" s="5">
        <v>44185</v>
      </c>
      <c r="B408">
        <v>2.068E-2</v>
      </c>
      <c r="C408">
        <v>2.1999999999999999E-2</v>
      </c>
      <c r="D408">
        <v>1.9800000000000002E-2</v>
      </c>
      <c r="E408">
        <v>2.0840000000000001E-2</v>
      </c>
      <c r="F408">
        <v>149189538.40000001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-5.4545454545453974E-2</v>
      </c>
      <c r="Q408">
        <f t="shared" si="975"/>
        <v>-8137611.1854544608</v>
      </c>
      <c r="R408">
        <f t="shared" si="976"/>
        <v>319882586.90837383</v>
      </c>
      <c r="S408">
        <f t="shared" si="977"/>
        <v>3198.8258690837383</v>
      </c>
      <c r="T408">
        <f t="shared" si="978"/>
        <v>3.1988258690837381</v>
      </c>
    </row>
    <row r="409" spans="1:20" x14ac:dyDescent="0.25">
      <c r="A409" s="5">
        <v>44184</v>
      </c>
      <c r="B409">
        <v>2.027E-2</v>
      </c>
      <c r="C409">
        <v>2.1489999999999999E-2</v>
      </c>
      <c r="D409">
        <v>2.0029999999999999E-2</v>
      </c>
      <c r="E409">
        <v>2.0709999999999999E-2</v>
      </c>
      <c r="F409">
        <v>82760559.599999994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-6.8493150684931114E-2</v>
      </c>
      <c r="Q409">
        <f t="shared" si="975"/>
        <v>-5668531.4794520224</v>
      </c>
      <c r="R409">
        <f t="shared" si="976"/>
        <v>328020198.09382832</v>
      </c>
      <c r="S409">
        <f t="shared" si="977"/>
        <v>3280.2019809382832</v>
      </c>
      <c r="T409">
        <f t="shared" si="978"/>
        <v>3.2802019809382834</v>
      </c>
    </row>
    <row r="410" spans="1:20" x14ac:dyDescent="0.25">
      <c r="A410" s="5">
        <v>44183</v>
      </c>
      <c r="B410">
        <v>1.9570000000000001E-2</v>
      </c>
      <c r="C410">
        <v>2.0670000000000001E-2</v>
      </c>
      <c r="D410">
        <v>1.9029999999999998E-2</v>
      </c>
      <c r="E410">
        <v>2.026E-2</v>
      </c>
      <c r="F410">
        <v>80152057.799999997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0.5</v>
      </c>
      <c r="Q410">
        <f t="shared" si="975"/>
        <v>40076028.899999999</v>
      </c>
      <c r="R410">
        <f t="shared" si="976"/>
        <v>333688729.57328033</v>
      </c>
      <c r="S410">
        <f t="shared" si="977"/>
        <v>3336.8872957328035</v>
      </c>
      <c r="T410">
        <f t="shared" si="978"/>
        <v>3.3368872957328035</v>
      </c>
    </row>
    <row r="411" spans="1:20" x14ac:dyDescent="0.25">
      <c r="A411" s="5">
        <v>44182</v>
      </c>
      <c r="B411">
        <v>2.0820000000000002E-2</v>
      </c>
      <c r="C411">
        <v>2.1409999999999998E-2</v>
      </c>
      <c r="D411">
        <v>1.932E-2</v>
      </c>
      <c r="E411">
        <v>1.9570000000000001E-2</v>
      </c>
      <c r="F411">
        <v>176586495.5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-0.76076555023923398</v>
      </c>
      <c r="Q411">
        <f t="shared" si="975"/>
        <v>-134340922.41387552</v>
      </c>
      <c r="R411">
        <f t="shared" si="976"/>
        <v>293612700.67328036</v>
      </c>
      <c r="S411">
        <f t="shared" si="977"/>
        <v>2936.1270067328037</v>
      </c>
      <c r="T411">
        <f t="shared" si="978"/>
        <v>2.9361270067328036</v>
      </c>
    </row>
    <row r="412" spans="1:20" x14ac:dyDescent="0.25">
      <c r="A412" s="5">
        <v>44181</v>
      </c>
      <c r="B412">
        <v>2.102E-2</v>
      </c>
      <c r="C412">
        <v>2.1499999999999998E-2</v>
      </c>
      <c r="D412">
        <v>2.0109999999999999E-2</v>
      </c>
      <c r="E412">
        <v>2.0809999999999999E-2</v>
      </c>
      <c r="F412">
        <v>69698782.599999994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7.1942446043162592E-3</v>
      </c>
      <c r="Q412">
        <f t="shared" si="975"/>
        <v>501430.09064746194</v>
      </c>
      <c r="R412">
        <f t="shared" si="976"/>
        <v>427953623.08715588</v>
      </c>
      <c r="S412">
        <f t="shared" si="977"/>
        <v>4279.5362308715585</v>
      </c>
      <c r="T412">
        <f t="shared" si="978"/>
        <v>4.2795362308715585</v>
      </c>
    </row>
    <row r="413" spans="1:20" x14ac:dyDescent="0.25">
      <c r="A413" s="5">
        <v>44180</v>
      </c>
      <c r="B413">
        <v>2.103E-2</v>
      </c>
      <c r="C413">
        <v>2.145E-2</v>
      </c>
      <c r="D413">
        <v>2.0400000000000001E-2</v>
      </c>
      <c r="E413">
        <v>2.1000000000000001E-2</v>
      </c>
      <c r="F413">
        <v>51318343.600000001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0.14285714285714379</v>
      </c>
      <c r="Q413">
        <f t="shared" si="975"/>
        <v>7331191.942857191</v>
      </c>
      <c r="R413">
        <f t="shared" si="976"/>
        <v>427452192.99650842</v>
      </c>
      <c r="S413">
        <f t="shared" si="977"/>
        <v>4274.5219299650844</v>
      </c>
      <c r="T413">
        <f t="shared" si="978"/>
        <v>4.2745219299650845</v>
      </c>
    </row>
    <row r="414" spans="1:20" x14ac:dyDescent="0.25">
      <c r="A414" s="5">
        <v>44179</v>
      </c>
      <c r="B414">
        <v>1.993E-2</v>
      </c>
      <c r="C414">
        <v>2.1260000000000001E-2</v>
      </c>
      <c r="D414">
        <v>1.9369999999999998E-2</v>
      </c>
      <c r="E414">
        <v>2.1000000000000001E-2</v>
      </c>
      <c r="F414">
        <v>77861521.200000003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0.72486772486772544</v>
      </c>
      <c r="Q414">
        <f t="shared" si="975"/>
        <v>56439303.726984173</v>
      </c>
      <c r="R414">
        <f t="shared" si="976"/>
        <v>420121001.05365121</v>
      </c>
      <c r="S414">
        <f t="shared" si="977"/>
        <v>4201.2100105365125</v>
      </c>
      <c r="T414">
        <f t="shared" si="978"/>
        <v>4.2012100105365127</v>
      </c>
    </row>
    <row r="415" spans="1:20" x14ac:dyDescent="0.25">
      <c r="A415" s="5">
        <v>44178</v>
      </c>
      <c r="B415">
        <v>1.9109999999999999E-2</v>
      </c>
      <c r="C415">
        <v>2.0789999999999999E-2</v>
      </c>
      <c r="D415">
        <v>1.8890000000000001E-2</v>
      </c>
      <c r="E415">
        <v>1.993E-2</v>
      </c>
      <c r="F415">
        <v>76068673.200000003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9.4736842105263008E-2</v>
      </c>
      <c r="Q415">
        <f t="shared" si="975"/>
        <v>7206505.8821052518</v>
      </c>
      <c r="R415">
        <f t="shared" si="976"/>
        <v>363681697.32666707</v>
      </c>
      <c r="S415">
        <f t="shared" si="977"/>
        <v>3636.8169732666706</v>
      </c>
      <c r="T415">
        <f t="shared" si="978"/>
        <v>3.6368169732666704</v>
      </c>
    </row>
    <row r="416" spans="1:20" x14ac:dyDescent="0.25">
      <c r="A416" s="5">
        <v>44177</v>
      </c>
      <c r="B416">
        <v>1.8339999999999999E-2</v>
      </c>
      <c r="C416">
        <v>1.9359999999999999E-2</v>
      </c>
      <c r="D416">
        <v>1.8339999999999999E-2</v>
      </c>
      <c r="E416">
        <v>1.9050000000000001E-2</v>
      </c>
      <c r="F416">
        <v>37703340.399999999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0.39215686274510242</v>
      </c>
      <c r="Q416">
        <f t="shared" si="975"/>
        <v>14785623.686274674</v>
      </c>
      <c r="R416">
        <f t="shared" si="976"/>
        <v>356475191.44456184</v>
      </c>
      <c r="S416">
        <f t="shared" si="977"/>
        <v>3564.7519144456182</v>
      </c>
      <c r="T416">
        <f t="shared" si="978"/>
        <v>3.5647519144456181</v>
      </c>
    </row>
    <row r="417" spans="1:20" x14ac:dyDescent="0.25">
      <c r="A417" s="5">
        <v>44176</v>
      </c>
      <c r="B417">
        <v>1.9939999999999999E-2</v>
      </c>
      <c r="C417">
        <v>2.01E-2</v>
      </c>
      <c r="D417">
        <v>1.7950000000000001E-2</v>
      </c>
      <c r="E417">
        <v>1.8329999999999999E-2</v>
      </c>
      <c r="F417">
        <v>91767651.099999994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-0.64651162790697814</v>
      </c>
      <c r="Q417">
        <f t="shared" si="975"/>
        <v>-59328853.501860589</v>
      </c>
      <c r="R417">
        <f t="shared" si="976"/>
        <v>341689567.75828719</v>
      </c>
      <c r="S417">
        <f t="shared" si="977"/>
        <v>3416.8956775828719</v>
      </c>
      <c r="T417">
        <f t="shared" si="978"/>
        <v>3.4168956775828718</v>
      </c>
    </row>
    <row r="418" spans="1:20" x14ac:dyDescent="0.25">
      <c r="A418" s="5">
        <v>44175</v>
      </c>
      <c r="B418">
        <v>1.9570000000000001E-2</v>
      </c>
      <c r="C418">
        <v>2.0799999999999999E-2</v>
      </c>
      <c r="D418">
        <v>1.8689999999999998E-2</v>
      </c>
      <c r="E418">
        <v>1.9910000000000001E-2</v>
      </c>
      <c r="F418">
        <v>137998757.90000001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0.15639810426540462</v>
      </c>
      <c r="Q418">
        <f t="shared" si="975"/>
        <v>21582744.12654053</v>
      </c>
      <c r="R418">
        <f t="shared" si="976"/>
        <v>401018421.26014781</v>
      </c>
      <c r="S418">
        <f t="shared" si="977"/>
        <v>4010.1842126014781</v>
      </c>
      <c r="T418">
        <f t="shared" si="978"/>
        <v>4.0101842126014784</v>
      </c>
    </row>
    <row r="419" spans="1:20" x14ac:dyDescent="0.25">
      <c r="A419" s="5">
        <v>44174</v>
      </c>
      <c r="B419">
        <v>1.9060000000000001E-2</v>
      </c>
      <c r="C419">
        <v>0.02</v>
      </c>
      <c r="D419">
        <v>1.7600000000000001E-2</v>
      </c>
      <c r="E419">
        <v>1.9560000000000001E-2</v>
      </c>
      <c r="F419">
        <v>138644155.5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0.63333333333333375</v>
      </c>
      <c r="Q419">
        <f t="shared" si="975"/>
        <v>87807965.150000051</v>
      </c>
      <c r="R419">
        <f t="shared" si="976"/>
        <v>379435677.13360727</v>
      </c>
      <c r="S419">
        <f t="shared" si="977"/>
        <v>3794.3567713360726</v>
      </c>
      <c r="T419">
        <f t="shared" si="978"/>
        <v>3.7943567713360724</v>
      </c>
    </row>
    <row r="420" spans="1:20" x14ac:dyDescent="0.25">
      <c r="A420" s="5">
        <v>44173</v>
      </c>
      <c r="B420">
        <v>2.1649999999999999E-2</v>
      </c>
      <c r="C420">
        <v>2.1669999999999998E-2</v>
      </c>
      <c r="D420">
        <v>1.8579999999999999E-2</v>
      </c>
      <c r="E420">
        <v>1.9060000000000001E-2</v>
      </c>
      <c r="F420">
        <v>117884694.40000001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-0.6893203883495137</v>
      </c>
      <c r="Q420">
        <f t="shared" si="975"/>
        <v>-81260323.324271753</v>
      </c>
      <c r="R420">
        <f t="shared" si="976"/>
        <v>291627711.98360723</v>
      </c>
      <c r="S420">
        <f t="shared" si="977"/>
        <v>2916.2771198360724</v>
      </c>
      <c r="T420">
        <f t="shared" si="978"/>
        <v>2.9162771198360726</v>
      </c>
    </row>
    <row r="421" spans="1:20" x14ac:dyDescent="0.25">
      <c r="A421" s="5">
        <v>44172</v>
      </c>
      <c r="B421">
        <v>2.1930000000000002E-2</v>
      </c>
      <c r="C421">
        <v>2.2669999999999999E-2</v>
      </c>
      <c r="D421">
        <v>2.1190000000000001E-2</v>
      </c>
      <c r="E421">
        <v>2.1649999999999999E-2</v>
      </c>
      <c r="F421">
        <v>70246446.299999997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-0.37837837837837973</v>
      </c>
      <c r="Q421">
        <f t="shared" si="975"/>
        <v>-26579736.437837932</v>
      </c>
      <c r="R421">
        <f t="shared" si="976"/>
        <v>372888035.30787897</v>
      </c>
      <c r="S421">
        <f t="shared" si="977"/>
        <v>3728.8803530787895</v>
      </c>
      <c r="T421">
        <f t="shared" si="978"/>
        <v>3.7288803530787895</v>
      </c>
    </row>
    <row r="422" spans="1:20" x14ac:dyDescent="0.25">
      <c r="A422" s="5">
        <v>44171</v>
      </c>
      <c r="B422">
        <v>2.249E-2</v>
      </c>
      <c r="C422">
        <v>2.3089999999999999E-2</v>
      </c>
      <c r="D422">
        <v>2.0979999999999999E-2</v>
      </c>
      <c r="E422">
        <v>2.1950000000000001E-2</v>
      </c>
      <c r="F422">
        <v>63731380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-8.0568720379145253E-2</v>
      </c>
      <c r="Q422">
        <f t="shared" si="975"/>
        <v>-5134755.7345970506</v>
      </c>
      <c r="R422">
        <f t="shared" si="976"/>
        <v>399467771.74571693</v>
      </c>
      <c r="S422">
        <f t="shared" si="977"/>
        <v>3994.6777174571694</v>
      </c>
      <c r="T422">
        <f t="shared" si="978"/>
        <v>3.9946777174571695</v>
      </c>
    </row>
    <row r="423" spans="1:20" x14ac:dyDescent="0.25">
      <c r="A423" s="5">
        <v>44170</v>
      </c>
      <c r="B423">
        <v>2.087E-2</v>
      </c>
      <c r="C423">
        <v>2.2679999999999999E-2</v>
      </c>
      <c r="D423">
        <v>2.0400000000000001E-2</v>
      </c>
      <c r="E423">
        <v>2.248E-2</v>
      </c>
      <c r="F423">
        <v>71356002.400000006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0.82456140350877283</v>
      </c>
      <c r="Q423">
        <f t="shared" si="975"/>
        <v>58837405.487719364</v>
      </c>
      <c r="R423">
        <f t="shared" si="976"/>
        <v>404602527.48031396</v>
      </c>
      <c r="S423">
        <f t="shared" si="977"/>
        <v>4046.0252748031394</v>
      </c>
      <c r="T423">
        <f t="shared" si="978"/>
        <v>4.0460252748031396</v>
      </c>
    </row>
    <row r="424" spans="1:20" x14ac:dyDescent="0.25">
      <c r="A424" s="5">
        <v>44169</v>
      </c>
      <c r="B424">
        <v>2.2780000000000002E-2</v>
      </c>
      <c r="C424">
        <v>2.3210000000000001E-2</v>
      </c>
      <c r="D424">
        <v>2.06E-2</v>
      </c>
      <c r="E424">
        <v>2.0910000000000002E-2</v>
      </c>
      <c r="F424">
        <v>97968484.400000006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-0.76245210727969259</v>
      </c>
      <c r="Q424">
        <f t="shared" si="975"/>
        <v>-74696277.377777696</v>
      </c>
      <c r="R424">
        <f t="shared" si="976"/>
        <v>345765121.9925946</v>
      </c>
      <c r="S424">
        <f t="shared" si="977"/>
        <v>3457.651219925946</v>
      </c>
      <c r="T424">
        <f t="shared" si="978"/>
        <v>3.4576512199259462</v>
      </c>
    </row>
    <row r="425" spans="1:20" x14ac:dyDescent="0.25">
      <c r="A425" s="5">
        <v>44168</v>
      </c>
      <c r="B425">
        <v>2.256E-2</v>
      </c>
      <c r="C425">
        <v>2.4740000000000002E-2</v>
      </c>
      <c r="D425">
        <v>2.2290000000000001E-2</v>
      </c>
      <c r="E425">
        <v>2.2839999999999999E-2</v>
      </c>
      <c r="F425">
        <v>154821952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-0.55102040816326681</v>
      </c>
      <c r="Q425">
        <f t="shared" si="975"/>
        <v>-85310055.183673695</v>
      </c>
      <c r="R425">
        <f t="shared" si="976"/>
        <v>420461399.3703723</v>
      </c>
      <c r="S425">
        <f t="shared" si="977"/>
        <v>4204.6139937037233</v>
      </c>
      <c r="T425">
        <f t="shared" si="978"/>
        <v>4.204613993703723</v>
      </c>
    </row>
    <row r="426" spans="1:20" x14ac:dyDescent="0.25">
      <c r="A426" s="5">
        <v>44167</v>
      </c>
      <c r="B426">
        <v>2.0400000000000001E-2</v>
      </c>
      <c r="C426">
        <v>2.3089999999999999E-2</v>
      </c>
      <c r="D426">
        <v>2.001E-2</v>
      </c>
      <c r="E426">
        <v>2.2589999999999999E-2</v>
      </c>
      <c r="F426">
        <v>108513259.8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0.67532467532467499</v>
      </c>
      <c r="Q426">
        <f t="shared" si="975"/>
        <v>73281681.942857102</v>
      </c>
      <c r="R426">
        <f t="shared" si="976"/>
        <v>505771454.55404598</v>
      </c>
      <c r="S426">
        <f t="shared" si="977"/>
        <v>5057.7145455404598</v>
      </c>
      <c r="T426">
        <f t="shared" si="978"/>
        <v>5.0577145455404597</v>
      </c>
    </row>
    <row r="427" spans="1:20" x14ac:dyDescent="0.25">
      <c r="A427" s="5">
        <v>44166</v>
      </c>
      <c r="B427">
        <v>2.102E-2</v>
      </c>
      <c r="C427">
        <v>2.317E-2</v>
      </c>
      <c r="D427">
        <v>1.9869999999999999E-2</v>
      </c>
      <c r="E427">
        <v>2.044E-2</v>
      </c>
      <c r="F427">
        <v>160549010.30000001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-0.65454545454545399</v>
      </c>
      <c r="Q427">
        <f t="shared" si="975"/>
        <v>-105086624.92363629</v>
      </c>
      <c r="R427">
        <f t="shared" si="976"/>
        <v>432489772.61118889</v>
      </c>
      <c r="S427">
        <f t="shared" si="977"/>
        <v>4324.8977261118889</v>
      </c>
      <c r="T427">
        <f t="shared" si="978"/>
        <v>4.3248977261118888</v>
      </c>
    </row>
    <row r="428" spans="1:20" x14ac:dyDescent="0.25">
      <c r="A428" s="5">
        <v>44165</v>
      </c>
      <c r="B428">
        <v>1.9359999999999999E-2</v>
      </c>
      <c r="C428">
        <v>2.1129999999999999E-2</v>
      </c>
      <c r="D428">
        <v>1.933E-2</v>
      </c>
      <c r="E428">
        <v>2.1049999999999999E-2</v>
      </c>
      <c r="F428">
        <v>120058547.5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0.91111111111111087</v>
      </c>
      <c r="Q428">
        <f t="shared" si="975"/>
        <v>109386676.61111109</v>
      </c>
      <c r="R428">
        <f t="shared" si="976"/>
        <v>537576397.53482521</v>
      </c>
      <c r="S428">
        <f t="shared" si="977"/>
        <v>5375.7639753482517</v>
      </c>
      <c r="T428">
        <f t="shared" si="978"/>
        <v>5.375763975348252</v>
      </c>
    </row>
    <row r="429" spans="1:20" x14ac:dyDescent="0.25">
      <c r="A429" s="5">
        <v>44164</v>
      </c>
      <c r="B429">
        <v>1.9380000000000001E-2</v>
      </c>
      <c r="C429">
        <v>2.0250000000000001E-2</v>
      </c>
      <c r="D429">
        <v>1.8800000000000001E-2</v>
      </c>
      <c r="E429">
        <v>1.9310000000000001E-2</v>
      </c>
      <c r="F429">
        <v>56663897.399999999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-0.29655172413793096</v>
      </c>
      <c r="Q429">
        <f t="shared" si="975"/>
        <v>-16803776.470344823</v>
      </c>
      <c r="R429">
        <f t="shared" si="976"/>
        <v>428189720.92371416</v>
      </c>
      <c r="S429">
        <f t="shared" si="977"/>
        <v>4281.8972092371414</v>
      </c>
      <c r="T429">
        <f t="shared" si="978"/>
        <v>4.2818972092371412</v>
      </c>
    </row>
    <row r="430" spans="1:20" x14ac:dyDescent="0.25">
      <c r="A430" s="5">
        <v>44163</v>
      </c>
      <c r="B430">
        <v>1.7999999999999999E-2</v>
      </c>
      <c r="C430">
        <v>2.0029999999999999E-2</v>
      </c>
      <c r="D430">
        <v>1.7610000000000001E-2</v>
      </c>
      <c r="E430">
        <v>1.933E-2</v>
      </c>
      <c r="F430">
        <v>125957676.5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0.42148760330578539</v>
      </c>
      <c r="Q430">
        <f t="shared" si="975"/>
        <v>53089599.185950443</v>
      </c>
      <c r="R430">
        <f t="shared" si="976"/>
        <v>444993497.394059</v>
      </c>
      <c r="S430">
        <f t="shared" si="977"/>
        <v>4449.9349739405898</v>
      </c>
      <c r="T430">
        <f t="shared" si="978"/>
        <v>4.4499349739405893</v>
      </c>
    </row>
    <row r="431" spans="1:20" x14ac:dyDescent="0.25">
      <c r="A431" s="5">
        <v>44162</v>
      </c>
      <c r="B431">
        <v>1.8280000000000001E-2</v>
      </c>
      <c r="C431">
        <v>1.9130000000000001E-2</v>
      </c>
      <c r="D431">
        <v>1.694E-2</v>
      </c>
      <c r="E431">
        <v>1.7999999999999999E-2</v>
      </c>
      <c r="F431">
        <v>119203229.59999999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-3.1963470319636554E-2</v>
      </c>
      <c r="Q431">
        <f t="shared" si="975"/>
        <v>-3810148.8913244214</v>
      </c>
      <c r="R431">
        <f t="shared" si="976"/>
        <v>391903898.20810854</v>
      </c>
      <c r="S431">
        <f t="shared" si="977"/>
        <v>3919.0389820810856</v>
      </c>
      <c r="T431">
        <f t="shared" si="978"/>
        <v>3.9190389820810854</v>
      </c>
    </row>
    <row r="432" spans="1:20" x14ac:dyDescent="0.25">
      <c r="A432" s="5">
        <v>44161</v>
      </c>
      <c r="B432">
        <v>2.2589999999999999E-2</v>
      </c>
      <c r="C432">
        <v>2.3519999999999999E-2</v>
      </c>
      <c r="D432">
        <v>1.6500000000000001E-2</v>
      </c>
      <c r="E432">
        <v>1.8290000000000001E-2</v>
      </c>
      <c r="F432">
        <v>350439542.60000002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-0.49002849002848992</v>
      </c>
      <c r="Q432">
        <f t="shared" si="975"/>
        <v>-171725359.90655267</v>
      </c>
      <c r="R432">
        <f t="shared" si="976"/>
        <v>395714047.09943295</v>
      </c>
      <c r="S432">
        <f t="shared" si="977"/>
        <v>3957.1404709943295</v>
      </c>
      <c r="T432">
        <f t="shared" si="978"/>
        <v>3.9571404709943296</v>
      </c>
    </row>
    <row r="433" spans="1:20" x14ac:dyDescent="0.25">
      <c r="A433" s="5">
        <v>44160</v>
      </c>
      <c r="B433">
        <v>2.3519999999999999E-2</v>
      </c>
      <c r="C433">
        <v>2.5559999999999999E-2</v>
      </c>
      <c r="D433">
        <v>2.1590000000000002E-2</v>
      </c>
      <c r="E433">
        <v>2.2610000000000002E-2</v>
      </c>
      <c r="F433">
        <v>240353046.80000001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-0.48614609571788381</v>
      </c>
      <c r="Q433">
        <f t="shared" si="975"/>
        <v>-116846695.29571781</v>
      </c>
      <c r="R433">
        <f t="shared" si="976"/>
        <v>567439407.00598562</v>
      </c>
      <c r="S433">
        <f t="shared" si="977"/>
        <v>5674.3940700598559</v>
      </c>
      <c r="T433">
        <f t="shared" si="978"/>
        <v>5.6743940700598561</v>
      </c>
    </row>
    <row r="434" spans="1:20" x14ac:dyDescent="0.25">
      <c r="A434" s="5">
        <v>44159</v>
      </c>
      <c r="B434">
        <v>2.2179999999999998E-2</v>
      </c>
      <c r="C434">
        <v>2.4230000000000002E-2</v>
      </c>
      <c r="D434">
        <v>2.1329999999999998E-2</v>
      </c>
      <c r="E434">
        <v>2.3460000000000002E-2</v>
      </c>
      <c r="F434">
        <v>295561425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0.46896551724138003</v>
      </c>
      <c r="Q434">
        <f t="shared" si="975"/>
        <v>138608116.55172434</v>
      </c>
      <c r="R434">
        <f t="shared" si="976"/>
        <v>684286102.30170345</v>
      </c>
      <c r="S434">
        <f t="shared" si="977"/>
        <v>6842.8610230170343</v>
      </c>
      <c r="T434">
        <f t="shared" si="978"/>
        <v>6.8428610230170346</v>
      </c>
    </row>
    <row r="435" spans="1:20" x14ac:dyDescent="0.25">
      <c r="A435" s="5">
        <v>44158</v>
      </c>
      <c r="B435">
        <v>1.8950000000000002E-2</v>
      </c>
      <c r="C435">
        <v>2.2579999999999999E-2</v>
      </c>
      <c r="D435">
        <v>1.8589999999999999E-2</v>
      </c>
      <c r="E435">
        <v>2.215E-2</v>
      </c>
      <c r="F435">
        <v>227046487.30000001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0.78446115288220564</v>
      </c>
      <c r="Q435">
        <f t="shared" si="975"/>
        <v>178109149.18521306</v>
      </c>
      <c r="R435">
        <f t="shared" si="976"/>
        <v>545677985.74997914</v>
      </c>
      <c r="S435">
        <f t="shared" si="977"/>
        <v>5456.7798574997914</v>
      </c>
      <c r="T435">
        <f t="shared" si="978"/>
        <v>5.4567798574997912</v>
      </c>
    </row>
    <row r="436" spans="1:20" x14ac:dyDescent="0.25">
      <c r="A436" s="5">
        <v>44157</v>
      </c>
      <c r="B436">
        <v>1.9990000000000001E-2</v>
      </c>
      <c r="C436">
        <v>2.0410000000000001E-2</v>
      </c>
      <c r="D436">
        <v>1.7610000000000001E-2</v>
      </c>
      <c r="E436">
        <v>1.89E-2</v>
      </c>
      <c r="F436">
        <v>131078349.2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-7.8571428571429069E-2</v>
      </c>
      <c r="Q436">
        <f t="shared" si="975"/>
        <v>-10299013.151428636</v>
      </c>
      <c r="R436">
        <f t="shared" si="976"/>
        <v>367568836.56476611</v>
      </c>
      <c r="S436">
        <f t="shared" si="977"/>
        <v>3675.6883656476612</v>
      </c>
      <c r="T436">
        <f t="shared" si="978"/>
        <v>3.6756883656476611</v>
      </c>
    </row>
    <row r="437" spans="1:20" x14ac:dyDescent="0.25">
      <c r="A437" s="5">
        <v>44156</v>
      </c>
      <c r="B437">
        <v>1.847E-2</v>
      </c>
      <c r="C437">
        <v>2.0619999999999999E-2</v>
      </c>
      <c r="D437">
        <v>1.805E-2</v>
      </c>
      <c r="E437">
        <v>2.0060000000000001E-2</v>
      </c>
      <c r="F437">
        <v>170666932.80000001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0.56420233463035163</v>
      </c>
      <c r="Q437">
        <f t="shared" si="975"/>
        <v>96290681.929961339</v>
      </c>
      <c r="R437">
        <f t="shared" si="976"/>
        <v>377867849.71619475</v>
      </c>
      <c r="S437">
        <f t="shared" si="977"/>
        <v>3778.6784971619477</v>
      </c>
      <c r="T437">
        <f t="shared" si="978"/>
        <v>3.7786784971619478</v>
      </c>
    </row>
    <row r="438" spans="1:20" x14ac:dyDescent="0.25">
      <c r="A438" s="5">
        <v>44155</v>
      </c>
      <c r="B438">
        <v>1.8079999999999999E-2</v>
      </c>
      <c r="C438">
        <v>1.932E-2</v>
      </c>
      <c r="D438">
        <v>1.8020000000000001E-2</v>
      </c>
      <c r="E438">
        <v>1.848E-2</v>
      </c>
      <c r="F438">
        <v>97474782.900000006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-0.29230769230769393</v>
      </c>
      <c r="Q438">
        <f t="shared" si="975"/>
        <v>-28492628.847692467</v>
      </c>
      <c r="R438">
        <f t="shared" si="976"/>
        <v>281577167.78623343</v>
      </c>
      <c r="S438">
        <f t="shared" si="977"/>
        <v>2815.7716778623344</v>
      </c>
      <c r="T438">
        <f t="shared" si="978"/>
        <v>2.8157716778623345</v>
      </c>
    </row>
    <row r="439" spans="1:20" x14ac:dyDescent="0.25">
      <c r="A439" s="5">
        <v>44154</v>
      </c>
      <c r="B439">
        <v>1.7399999999999999E-2</v>
      </c>
      <c r="C439">
        <v>1.9199999999999998E-2</v>
      </c>
      <c r="D439">
        <v>1.668E-2</v>
      </c>
      <c r="E439">
        <v>1.814E-2</v>
      </c>
      <c r="F439">
        <v>150615512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0.15873015873015928</v>
      </c>
      <c r="Q439">
        <f t="shared" si="975"/>
        <v>23907224.126984209</v>
      </c>
      <c r="R439">
        <f t="shared" si="976"/>
        <v>310069796.63392591</v>
      </c>
      <c r="S439">
        <f t="shared" si="977"/>
        <v>3100.697966339259</v>
      </c>
      <c r="T439">
        <f t="shared" si="978"/>
        <v>3.1006979663392591</v>
      </c>
    </row>
    <row r="440" spans="1:20" x14ac:dyDescent="0.25">
      <c r="A440" s="5">
        <v>44153</v>
      </c>
      <c r="B440">
        <v>1.95E-2</v>
      </c>
      <c r="C440">
        <v>1.9650000000000001E-2</v>
      </c>
      <c r="D440">
        <v>1.6199999999999999E-2</v>
      </c>
      <c r="E440">
        <v>1.736E-2</v>
      </c>
      <c r="F440">
        <v>136729365.90000001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-0.32753623188405756</v>
      </c>
      <c r="Q440">
        <f t="shared" si="975"/>
        <v>-44783821.294782557</v>
      </c>
      <c r="R440">
        <f t="shared" si="976"/>
        <v>286162572.50694168</v>
      </c>
      <c r="S440">
        <f t="shared" si="977"/>
        <v>2861.6257250694166</v>
      </c>
      <c r="T440">
        <f t="shared" si="978"/>
        <v>2.8616257250694166</v>
      </c>
    </row>
    <row r="441" spans="1:20" x14ac:dyDescent="0.25">
      <c r="A441" s="5">
        <v>44152</v>
      </c>
      <c r="B441">
        <v>1.924E-2</v>
      </c>
      <c r="C441">
        <v>2.026E-2</v>
      </c>
      <c r="D441">
        <v>1.8280000000000001E-2</v>
      </c>
      <c r="E441">
        <v>1.9529999999999999E-2</v>
      </c>
      <c r="F441">
        <v>163083908.30000001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0.26262626262626082</v>
      </c>
      <c r="Q441">
        <f t="shared" si="975"/>
        <v>42830117.331312843</v>
      </c>
      <c r="R441">
        <f t="shared" si="976"/>
        <v>330946393.80172426</v>
      </c>
      <c r="S441">
        <f t="shared" si="977"/>
        <v>3309.4639380172425</v>
      </c>
      <c r="T441">
        <f t="shared" si="978"/>
        <v>3.3094639380172426</v>
      </c>
    </row>
    <row r="442" spans="1:20" x14ac:dyDescent="0.25">
      <c r="A442" s="5">
        <v>44151</v>
      </c>
      <c r="B442">
        <v>1.7610000000000001E-2</v>
      </c>
      <c r="C442">
        <v>1.9959999999999999E-2</v>
      </c>
      <c r="D442">
        <v>1.7160000000000002E-2</v>
      </c>
      <c r="E442">
        <v>1.924E-2</v>
      </c>
      <c r="F442">
        <v>136329655.09999999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0.48571428571428626</v>
      </c>
      <c r="Q442">
        <f t="shared" si="975"/>
        <v>66217261.048571497</v>
      </c>
      <c r="R442">
        <f t="shared" si="976"/>
        <v>288116276.47041142</v>
      </c>
      <c r="S442">
        <f t="shared" si="977"/>
        <v>2881.1627647041141</v>
      </c>
      <c r="T442">
        <f t="shared" si="978"/>
        <v>2.881162764704114</v>
      </c>
    </row>
    <row r="443" spans="1:20" x14ac:dyDescent="0.25">
      <c r="A443" s="5">
        <v>44150</v>
      </c>
      <c r="B443">
        <v>1.7950000000000001E-2</v>
      </c>
      <c r="C443">
        <v>1.8780000000000002E-2</v>
      </c>
      <c r="D443">
        <v>1.694E-2</v>
      </c>
      <c r="E443">
        <v>1.7690000000000001E-2</v>
      </c>
      <c r="F443">
        <v>97956170.299999997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-0.18478260869565205</v>
      </c>
      <c r="Q443">
        <f t="shared" si="975"/>
        <v>-18100596.685869552</v>
      </c>
      <c r="R443">
        <f t="shared" si="976"/>
        <v>221899015.42183992</v>
      </c>
      <c r="S443">
        <f t="shared" si="977"/>
        <v>2218.9901542183993</v>
      </c>
      <c r="T443">
        <f t="shared" si="978"/>
        <v>2.2189901542183992</v>
      </c>
    </row>
    <row r="444" spans="1:20" x14ac:dyDescent="0.25">
      <c r="A444" s="5">
        <v>44149</v>
      </c>
      <c r="B444">
        <v>1.8599999999999998E-2</v>
      </c>
      <c r="C444">
        <v>1.8970000000000001E-2</v>
      </c>
      <c r="D444">
        <v>1.7049999999999999E-2</v>
      </c>
      <c r="E444">
        <v>1.7899999999999999E-2</v>
      </c>
      <c r="F444">
        <v>101971480.40000001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-0.11458333333333399</v>
      </c>
      <c r="Q444">
        <f t="shared" si="975"/>
        <v>-11684232.129166735</v>
      </c>
      <c r="R444">
        <f t="shared" si="976"/>
        <v>239999612.10770947</v>
      </c>
      <c r="S444">
        <f t="shared" si="977"/>
        <v>2399.9961210770948</v>
      </c>
      <c r="T444">
        <f t="shared" si="978"/>
        <v>2.3999961210770948</v>
      </c>
    </row>
    <row r="445" spans="1:20" x14ac:dyDescent="0.25">
      <c r="A445" s="5">
        <v>44148</v>
      </c>
      <c r="B445">
        <v>1.7579999999999998E-2</v>
      </c>
      <c r="C445">
        <v>1.934E-2</v>
      </c>
      <c r="D445">
        <v>1.7299999999999999E-2</v>
      </c>
      <c r="E445">
        <v>1.8599999999999998E-2</v>
      </c>
      <c r="F445">
        <v>124078927.90000001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0.27450980392156765</v>
      </c>
      <c r="Q445">
        <f t="shared" si="975"/>
        <v>34060882.168627329</v>
      </c>
      <c r="R445">
        <f t="shared" si="976"/>
        <v>251683844.23687619</v>
      </c>
      <c r="S445">
        <f t="shared" si="977"/>
        <v>2516.8384423687621</v>
      </c>
      <c r="T445">
        <f t="shared" si="978"/>
        <v>2.516838442368762</v>
      </c>
    </row>
    <row r="446" spans="1:20" x14ac:dyDescent="0.25">
      <c r="A446" s="5">
        <v>44147</v>
      </c>
      <c r="B446">
        <v>1.9720000000000001E-2</v>
      </c>
      <c r="C446">
        <v>2.0320000000000001E-2</v>
      </c>
      <c r="D446">
        <v>1.7000000000000001E-2</v>
      </c>
      <c r="E446">
        <v>1.7579999999999998E-2</v>
      </c>
      <c r="F446">
        <v>146548141.40000001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-0.65060240963855587</v>
      </c>
      <c r="Q446">
        <f t="shared" si="975"/>
        <v>-95344573.922891811</v>
      </c>
      <c r="R446">
        <f t="shared" si="976"/>
        <v>217622962.06824887</v>
      </c>
      <c r="S446">
        <f t="shared" si="977"/>
        <v>2176.2296206824885</v>
      </c>
      <c r="T446">
        <f t="shared" si="978"/>
        <v>2.1762296206824887</v>
      </c>
    </row>
    <row r="447" spans="1:20" x14ac:dyDescent="0.25">
      <c r="A447" s="5">
        <v>44146</v>
      </c>
      <c r="B447">
        <v>2.085E-2</v>
      </c>
      <c r="C447">
        <v>2.2069999999999999E-2</v>
      </c>
      <c r="D447">
        <v>1.9699999999999999E-2</v>
      </c>
      <c r="E447">
        <v>1.9720000000000001E-2</v>
      </c>
      <c r="F447">
        <v>160670985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-0.98312236286919608</v>
      </c>
      <c r="Q447">
        <f t="shared" si="975"/>
        <v>-157959238.41772115</v>
      </c>
      <c r="R447">
        <f t="shared" si="976"/>
        <v>312967535.99114066</v>
      </c>
      <c r="S447">
        <f t="shared" si="977"/>
        <v>3129.6753599114068</v>
      </c>
      <c r="T447">
        <f t="shared" si="978"/>
        <v>3.1296753599114067</v>
      </c>
    </row>
    <row r="448" spans="1:20" x14ac:dyDescent="0.25">
      <c r="A448" s="5">
        <v>44145</v>
      </c>
      <c r="B448">
        <v>1.8180000000000002E-2</v>
      </c>
      <c r="C448">
        <v>2.1000000000000001E-2</v>
      </c>
      <c r="D448">
        <v>1.7850000000000001E-2</v>
      </c>
      <c r="E448">
        <v>2.095E-2</v>
      </c>
      <c r="F448">
        <v>150646462.59999999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0.96825396825396737</v>
      </c>
      <c r="Q448">
        <f t="shared" si="975"/>
        <v>145864035.21587288</v>
      </c>
      <c r="R448">
        <f t="shared" si="976"/>
        <v>470926774.40886182</v>
      </c>
      <c r="S448">
        <f t="shared" si="977"/>
        <v>4709.2677440886182</v>
      </c>
      <c r="T448">
        <f t="shared" si="978"/>
        <v>4.7092677440886179</v>
      </c>
    </row>
    <row r="449" spans="1:20" x14ac:dyDescent="0.25">
      <c r="A449" s="5">
        <v>44144</v>
      </c>
      <c r="B449">
        <v>1.933E-2</v>
      </c>
      <c r="C449">
        <v>1.9470000000000001E-2</v>
      </c>
      <c r="D449">
        <v>1.7500000000000002E-2</v>
      </c>
      <c r="E449">
        <v>1.8180000000000002E-2</v>
      </c>
      <c r="F449">
        <v>131109813.40000001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-0.30964467005076118</v>
      </c>
      <c r="Q449">
        <f t="shared" si="975"/>
        <v>-40597454.910659872</v>
      </c>
      <c r="R449">
        <f t="shared" si="976"/>
        <v>325062739.19298893</v>
      </c>
      <c r="S449">
        <f t="shared" si="977"/>
        <v>3250.6273919298892</v>
      </c>
      <c r="T449">
        <f t="shared" si="978"/>
        <v>3.2506273919298891</v>
      </c>
    </row>
    <row r="450" spans="1:20" x14ac:dyDescent="0.25">
      <c r="A450" s="5">
        <v>44143</v>
      </c>
      <c r="B450">
        <v>1.8020000000000001E-2</v>
      </c>
      <c r="C450">
        <v>2.0129999999999999E-2</v>
      </c>
      <c r="D450">
        <v>1.736E-2</v>
      </c>
      <c r="E450">
        <v>1.934E-2</v>
      </c>
      <c r="F450">
        <v>209651760.09999999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0.42960288808664293</v>
      </c>
      <c r="Q450">
        <f t="shared" si="975"/>
        <v>90067001.631408006</v>
      </c>
      <c r="R450">
        <f t="shared" si="976"/>
        <v>365660194.10364878</v>
      </c>
      <c r="S450">
        <f t="shared" si="977"/>
        <v>3656.6019410364879</v>
      </c>
      <c r="T450">
        <f t="shared" si="978"/>
        <v>3.6566019410364881</v>
      </c>
    </row>
    <row r="451" spans="1:20" x14ac:dyDescent="0.25">
      <c r="A451" s="5">
        <v>44142</v>
      </c>
      <c r="B451">
        <v>1.797E-2</v>
      </c>
      <c r="C451">
        <v>2.198E-2</v>
      </c>
      <c r="D451">
        <v>1.6799999999999999E-2</v>
      </c>
      <c r="E451">
        <v>1.8020000000000001E-2</v>
      </c>
      <c r="F451">
        <v>316631211.10000002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-0.52895752895752812</v>
      </c>
      <c r="Q451">
        <f t="shared" si="975"/>
        <v>-167484463.01428548</v>
      </c>
      <c r="R451">
        <f t="shared" si="976"/>
        <v>275593192.47224081</v>
      </c>
      <c r="S451">
        <f t="shared" si="977"/>
        <v>2755.931924722408</v>
      </c>
      <c r="T451">
        <f t="shared" si="978"/>
        <v>2.7559319247224079</v>
      </c>
    </row>
    <row r="452" spans="1:20" x14ac:dyDescent="0.25">
      <c r="A452" s="5">
        <v>44141</v>
      </c>
      <c r="B452">
        <v>1.435E-2</v>
      </c>
      <c r="C452">
        <v>1.83E-2</v>
      </c>
      <c r="D452">
        <v>1.418E-2</v>
      </c>
      <c r="E452">
        <v>1.7909999999999999E-2</v>
      </c>
      <c r="F452">
        <v>247679889.59999999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0.81067961165048474</v>
      </c>
      <c r="Q452">
        <f t="shared" si="975"/>
        <v>200789036.71456292</v>
      </c>
      <c r="R452">
        <f t="shared" si="976"/>
        <v>443077655.48652631</v>
      </c>
      <c r="S452">
        <f t="shared" si="977"/>
        <v>4430.7765548652633</v>
      </c>
      <c r="T452">
        <f t="shared" si="978"/>
        <v>4.4307765548652629</v>
      </c>
    </row>
    <row r="453" spans="1:20" x14ac:dyDescent="0.25">
      <c r="A453" s="5">
        <v>44140</v>
      </c>
      <c r="B453">
        <v>1.379E-2</v>
      </c>
      <c r="C453">
        <v>1.515E-2</v>
      </c>
      <c r="D453">
        <v>1.329E-2</v>
      </c>
      <c r="E453">
        <v>1.4370000000000001E-2</v>
      </c>
      <c r="F453">
        <v>176764522.40000001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0.16129032258064602</v>
      </c>
      <c r="Q453">
        <f t="shared" si="975"/>
        <v>28510406.838709831</v>
      </c>
      <c r="R453">
        <f t="shared" si="976"/>
        <v>242288618.77196339</v>
      </c>
      <c r="S453">
        <f t="shared" si="977"/>
        <v>2422.8861877196337</v>
      </c>
      <c r="T453">
        <f t="shared" si="978"/>
        <v>2.4228861877196337</v>
      </c>
    </row>
    <row r="454" spans="1:20" x14ac:dyDescent="0.25">
      <c r="A454" s="5">
        <v>44139</v>
      </c>
      <c r="B454">
        <v>1.521E-2</v>
      </c>
      <c r="C454">
        <v>1.523E-2</v>
      </c>
      <c r="D454">
        <v>1.264E-2</v>
      </c>
      <c r="E454">
        <v>1.3809999999999999E-2</v>
      </c>
      <c r="F454">
        <v>164934098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-9.6525096525097276E-2</v>
      </c>
      <c r="Q454">
        <f t="shared" ref="Q454:Q517" si="980">F454*P454</f>
        <v>-15920279.729729854</v>
      </c>
      <c r="R454">
        <f t="shared" ref="R454:R517" si="981">R455+Q454</f>
        <v>213778211.93325356</v>
      </c>
      <c r="S454">
        <f t="shared" ref="S454:S517" si="982">R454/100000</f>
        <v>2137.7821193325358</v>
      </c>
      <c r="T454">
        <f t="shared" ref="T454:T517" si="983">S454/1000</f>
        <v>2.1377821193325359</v>
      </c>
    </row>
    <row r="455" spans="1:20" x14ac:dyDescent="0.25">
      <c r="A455" s="5">
        <v>44138</v>
      </c>
      <c r="B455">
        <v>1.5910000000000001E-2</v>
      </c>
      <c r="C455">
        <v>1.61E-2</v>
      </c>
      <c r="D455">
        <v>1.447E-2</v>
      </c>
      <c r="E455">
        <v>1.5180000000000001E-2</v>
      </c>
      <c r="F455">
        <v>114057156.09999999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-0.12883435582821989</v>
      </c>
      <c r="Q455">
        <f t="shared" si="980"/>
        <v>-14694480.23374222</v>
      </c>
      <c r="R455">
        <f t="shared" si="981"/>
        <v>229698491.66298342</v>
      </c>
      <c r="S455">
        <f t="shared" si="982"/>
        <v>2296.9849166298341</v>
      </c>
      <c r="T455">
        <f t="shared" si="983"/>
        <v>2.296984916629834</v>
      </c>
    </row>
    <row r="456" spans="1:20" x14ac:dyDescent="0.25">
      <c r="A456" s="5">
        <v>44137</v>
      </c>
      <c r="B456">
        <v>1.6109999999999999E-2</v>
      </c>
      <c r="C456">
        <v>1.755E-2</v>
      </c>
      <c r="D456">
        <v>1.585E-2</v>
      </c>
      <c r="E456">
        <v>1.5910000000000001E-2</v>
      </c>
      <c r="F456">
        <v>121664892.5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-0.92941176470588116</v>
      </c>
      <c r="Q456">
        <f t="shared" si="980"/>
        <v>-113076782.44117633</v>
      </c>
      <c r="R456">
        <f t="shared" si="981"/>
        <v>244392971.89672562</v>
      </c>
      <c r="S456">
        <f t="shared" si="982"/>
        <v>2443.9297189672561</v>
      </c>
      <c r="T456">
        <f t="shared" si="983"/>
        <v>2.4439297189672562</v>
      </c>
    </row>
    <row r="457" spans="1:20" x14ac:dyDescent="0.25">
      <c r="A457" s="5">
        <v>44136</v>
      </c>
      <c r="B457">
        <v>1.669E-2</v>
      </c>
      <c r="C457">
        <v>1.7080000000000001E-2</v>
      </c>
      <c r="D457">
        <v>1.5730000000000001E-2</v>
      </c>
      <c r="E457">
        <v>1.6109999999999999E-2</v>
      </c>
      <c r="F457">
        <v>93353598.5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-0.43703703703703961</v>
      </c>
      <c r="Q457">
        <f t="shared" si="980"/>
        <v>-40798980.085185423</v>
      </c>
      <c r="R457">
        <f t="shared" si="981"/>
        <v>357469754.33790195</v>
      </c>
      <c r="S457">
        <f t="shared" si="982"/>
        <v>3574.6975433790194</v>
      </c>
      <c r="T457">
        <f t="shared" si="983"/>
        <v>3.5746975433790196</v>
      </c>
    </row>
    <row r="458" spans="1:20" x14ac:dyDescent="0.25">
      <c r="A458" s="5">
        <v>44135</v>
      </c>
      <c r="B458">
        <v>1.7100000000000001E-2</v>
      </c>
      <c r="C458">
        <v>1.8370000000000001E-2</v>
      </c>
      <c r="D458">
        <v>1.6160000000000001E-2</v>
      </c>
      <c r="E458">
        <v>1.669E-2</v>
      </c>
      <c r="F458">
        <v>147815540.5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-0.52036199095022695</v>
      </c>
      <c r="Q458">
        <f t="shared" si="980"/>
        <v>-76917588.947963908</v>
      </c>
      <c r="R458">
        <f t="shared" si="981"/>
        <v>398268734.42308736</v>
      </c>
      <c r="S458">
        <f t="shared" si="982"/>
        <v>3982.6873442308738</v>
      </c>
      <c r="T458">
        <f t="shared" si="983"/>
        <v>3.9826873442308739</v>
      </c>
    </row>
    <row r="459" spans="1:20" x14ac:dyDescent="0.25">
      <c r="A459" s="5">
        <v>44134</v>
      </c>
      <c r="B459">
        <v>1.6650000000000002E-2</v>
      </c>
      <c r="C459">
        <v>1.7639999999999999E-2</v>
      </c>
      <c r="D459">
        <v>1.487E-2</v>
      </c>
      <c r="E459">
        <v>1.7069999999999998E-2</v>
      </c>
      <c r="F459">
        <v>177034215.90000001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0.58844765342960215</v>
      </c>
      <c r="Q459">
        <f t="shared" si="980"/>
        <v>104175368.92310457</v>
      </c>
      <c r="R459">
        <f t="shared" si="981"/>
        <v>475186323.37105125</v>
      </c>
      <c r="S459">
        <f t="shared" si="982"/>
        <v>4751.8632337105128</v>
      </c>
      <c r="T459">
        <f t="shared" si="983"/>
        <v>4.7518632337105124</v>
      </c>
    </row>
    <row r="460" spans="1:20" x14ac:dyDescent="0.25">
      <c r="A460" s="5">
        <v>44133</v>
      </c>
      <c r="B460">
        <v>1.8870000000000001E-2</v>
      </c>
      <c r="C460">
        <v>1.933E-2</v>
      </c>
      <c r="D460">
        <v>1.6060000000000001E-2</v>
      </c>
      <c r="E460">
        <v>1.6650000000000002E-2</v>
      </c>
      <c r="F460">
        <v>154438985.5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-0.63914373088684984</v>
      </c>
      <c r="Q460">
        <f t="shared" si="980"/>
        <v>-98708709.386850104</v>
      </c>
      <c r="R460">
        <f t="shared" si="981"/>
        <v>371010954.44794667</v>
      </c>
      <c r="S460">
        <f t="shared" si="982"/>
        <v>3710.1095444794669</v>
      </c>
      <c r="T460">
        <f t="shared" si="983"/>
        <v>3.7101095444794669</v>
      </c>
    </row>
    <row r="461" spans="1:20" x14ac:dyDescent="0.25">
      <c r="A461" s="5">
        <v>44132</v>
      </c>
      <c r="B461">
        <v>2.1600000000000001E-2</v>
      </c>
      <c r="C461">
        <v>2.1819999999999999E-2</v>
      </c>
      <c r="D461">
        <v>1.8249999999999999E-2</v>
      </c>
      <c r="E461">
        <v>1.8890000000000001E-2</v>
      </c>
      <c r="F461">
        <v>192688693.90000001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-0.64145658263305227</v>
      </c>
      <c r="Q461">
        <f t="shared" si="980"/>
        <v>-123601431.10112026</v>
      </c>
      <c r="R461">
        <f t="shared" si="981"/>
        <v>469719663.83479679</v>
      </c>
      <c r="S461">
        <f t="shared" si="982"/>
        <v>4697.1966383479676</v>
      </c>
      <c r="T461">
        <f t="shared" si="983"/>
        <v>4.6971966383479673</v>
      </c>
    </row>
    <row r="462" spans="1:20" x14ac:dyDescent="0.25">
      <c r="A462" s="5">
        <v>44131</v>
      </c>
      <c r="B462">
        <v>2.179E-2</v>
      </c>
      <c r="C462">
        <v>2.2950000000000002E-2</v>
      </c>
      <c r="D462">
        <v>2.1000000000000001E-2</v>
      </c>
      <c r="E462">
        <v>2.1600000000000001E-2</v>
      </c>
      <c r="F462">
        <v>99305533.700000003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-0.38461538461538491</v>
      </c>
      <c r="Q462">
        <f t="shared" si="980"/>
        <v>-38194436.038461566</v>
      </c>
      <c r="R462">
        <f t="shared" si="981"/>
        <v>593321094.93591702</v>
      </c>
      <c r="S462">
        <f t="shared" si="982"/>
        <v>5933.2109493591706</v>
      </c>
      <c r="T462">
        <f t="shared" si="983"/>
        <v>5.9332109493591707</v>
      </c>
    </row>
    <row r="463" spans="1:20" x14ac:dyDescent="0.25">
      <c r="A463" s="5">
        <v>44130</v>
      </c>
      <c r="B463">
        <v>2.4199999999999999E-2</v>
      </c>
      <c r="C463">
        <v>2.4750000000000001E-2</v>
      </c>
      <c r="D463">
        <v>2.1499999999999998E-2</v>
      </c>
      <c r="E463">
        <v>2.18E-2</v>
      </c>
      <c r="F463">
        <v>70746754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-0.81538461538461449</v>
      </c>
      <c r="Q463">
        <f t="shared" si="980"/>
        <v>-57685814.799999937</v>
      </c>
      <c r="R463">
        <f t="shared" si="981"/>
        <v>631515530.97437859</v>
      </c>
      <c r="S463">
        <f t="shared" si="982"/>
        <v>6315.1553097437854</v>
      </c>
      <c r="T463">
        <f t="shared" si="983"/>
        <v>6.3151553097437851</v>
      </c>
    </row>
    <row r="464" spans="1:20" x14ac:dyDescent="0.25">
      <c r="A464" s="5">
        <v>44129</v>
      </c>
      <c r="B464">
        <v>2.5870000000000001E-2</v>
      </c>
      <c r="C464">
        <v>2.6259999999999999E-2</v>
      </c>
      <c r="D464">
        <v>2.3429999999999999E-2</v>
      </c>
      <c r="E464">
        <v>2.4230000000000002E-2</v>
      </c>
      <c r="F464">
        <v>53794062.700000003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-0.43462897526501604</v>
      </c>
      <c r="Q464">
        <f t="shared" si="980"/>
        <v>-23380458.346643023</v>
      </c>
      <c r="R464">
        <f t="shared" si="981"/>
        <v>689201345.77437854</v>
      </c>
      <c r="S464">
        <f t="shared" si="982"/>
        <v>6892.0134577437857</v>
      </c>
      <c r="T464">
        <f t="shared" si="983"/>
        <v>6.8920134577437855</v>
      </c>
    </row>
    <row r="465" spans="1:20" x14ac:dyDescent="0.25">
      <c r="A465" s="5">
        <v>44128</v>
      </c>
      <c r="B465">
        <v>2.4389999999999998E-2</v>
      </c>
      <c r="C465">
        <v>2.6499999999999999E-2</v>
      </c>
      <c r="D465">
        <v>2.3939999999999999E-2</v>
      </c>
      <c r="E465">
        <v>2.5829999999999999E-2</v>
      </c>
      <c r="F465">
        <v>78865790.700000003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0.47656249999999961</v>
      </c>
      <c r="Q465">
        <f t="shared" si="980"/>
        <v>37584478.380468719</v>
      </c>
      <c r="R465">
        <f t="shared" si="981"/>
        <v>712581804.12102151</v>
      </c>
      <c r="S465">
        <f t="shared" si="982"/>
        <v>7125.8180412102147</v>
      </c>
      <c r="T465">
        <f t="shared" si="983"/>
        <v>7.1258180412102146</v>
      </c>
    </row>
    <row r="466" spans="1:20" x14ac:dyDescent="0.25">
      <c r="A466" s="5">
        <v>44127</v>
      </c>
      <c r="B466">
        <v>2.504E-2</v>
      </c>
      <c r="C466">
        <v>2.588E-2</v>
      </c>
      <c r="D466">
        <v>2.3400000000000001E-2</v>
      </c>
      <c r="E466">
        <v>2.4389999999999998E-2</v>
      </c>
      <c r="F466">
        <v>60623453.799999997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-0.20161290322580808</v>
      </c>
      <c r="Q466">
        <f t="shared" si="980"/>
        <v>-12222470.524193646</v>
      </c>
      <c r="R466">
        <f t="shared" si="981"/>
        <v>674997325.74055278</v>
      </c>
      <c r="S466">
        <f t="shared" si="982"/>
        <v>6749.9732574055279</v>
      </c>
      <c r="T466">
        <f t="shared" si="983"/>
        <v>6.7499732574055278</v>
      </c>
    </row>
    <row r="467" spans="1:20" x14ac:dyDescent="0.25">
      <c r="A467" s="5">
        <v>44126</v>
      </c>
      <c r="B467">
        <v>2.3599999999999999E-2</v>
      </c>
      <c r="C467">
        <v>2.75E-2</v>
      </c>
      <c r="D467">
        <v>2.35E-2</v>
      </c>
      <c r="E467">
        <v>2.5049999999999999E-2</v>
      </c>
      <c r="F467">
        <v>113784460.59999999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-0.22500000000000037</v>
      </c>
      <c r="Q467">
        <f t="shared" si="980"/>
        <v>-25601503.635000039</v>
      </c>
      <c r="R467">
        <f t="shared" si="981"/>
        <v>687219796.26474643</v>
      </c>
      <c r="S467">
        <f t="shared" si="982"/>
        <v>6872.197962647464</v>
      </c>
      <c r="T467">
        <f t="shared" si="983"/>
        <v>6.8721979626474639</v>
      </c>
    </row>
    <row r="468" spans="1:20" x14ac:dyDescent="0.25">
      <c r="A468" s="5">
        <v>44125</v>
      </c>
      <c r="B468">
        <v>2.2689999999999998E-2</v>
      </c>
      <c r="C468">
        <v>2.53E-2</v>
      </c>
      <c r="D468">
        <v>2.264E-2</v>
      </c>
      <c r="E468">
        <v>2.3609999999999999E-2</v>
      </c>
      <c r="F468">
        <v>92478403.799999997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-0.27067669172932413</v>
      </c>
      <c r="Q468">
        <f t="shared" si="980"/>
        <v>-25031748.396992557</v>
      </c>
      <c r="R468">
        <f t="shared" si="981"/>
        <v>712821299.89974642</v>
      </c>
      <c r="S468">
        <f t="shared" si="982"/>
        <v>7128.2129989974637</v>
      </c>
      <c r="T468">
        <f t="shared" si="983"/>
        <v>7.1282129989974639</v>
      </c>
    </row>
    <row r="469" spans="1:20" x14ac:dyDescent="0.25">
      <c r="A469" s="5">
        <v>44124</v>
      </c>
      <c r="B469">
        <v>2.521E-2</v>
      </c>
      <c r="C469">
        <v>2.5569999999999999E-2</v>
      </c>
      <c r="D469">
        <v>2.1440000000000001E-2</v>
      </c>
      <c r="E469">
        <v>2.2720000000000001E-2</v>
      </c>
      <c r="F469">
        <v>128882098.59999999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-0.380145278450363</v>
      </c>
      <c r="Q469">
        <f t="shared" si="980"/>
        <v>-48993921.259564139</v>
      </c>
      <c r="R469">
        <f t="shared" si="981"/>
        <v>737853048.29673898</v>
      </c>
      <c r="S469">
        <f t="shared" si="982"/>
        <v>7378.5304829673896</v>
      </c>
      <c r="T469">
        <f t="shared" si="983"/>
        <v>7.3785304829673892</v>
      </c>
    </row>
    <row r="470" spans="1:20" x14ac:dyDescent="0.25">
      <c r="A470" s="5">
        <v>44123</v>
      </c>
      <c r="B470">
        <v>2.623E-2</v>
      </c>
      <c r="C470">
        <v>2.6270000000000002E-2</v>
      </c>
      <c r="D470">
        <v>2.4850000000000001E-2</v>
      </c>
      <c r="E470">
        <v>2.52E-2</v>
      </c>
      <c r="F470">
        <v>42357098.700000003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-0.50704225352112764</v>
      </c>
      <c r="Q470">
        <f t="shared" si="980"/>
        <v>-21476838.777464826</v>
      </c>
      <c r="R470">
        <f t="shared" si="981"/>
        <v>786846969.55630314</v>
      </c>
      <c r="S470">
        <f t="shared" si="982"/>
        <v>7868.4696955630316</v>
      </c>
      <c r="T470">
        <f t="shared" si="983"/>
        <v>7.8684696955630313</v>
      </c>
    </row>
    <row r="471" spans="1:20" x14ac:dyDescent="0.25">
      <c r="A471" s="5">
        <v>44122</v>
      </c>
      <c r="B471">
        <v>2.6030000000000001E-2</v>
      </c>
      <c r="C471">
        <v>2.7349999999999999E-2</v>
      </c>
      <c r="D471">
        <v>2.5780000000000001E-2</v>
      </c>
      <c r="E471">
        <v>2.6179999999999998E-2</v>
      </c>
      <c r="F471">
        <v>50440778.399999999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-0.49044585987261408</v>
      </c>
      <c r="Q471">
        <f t="shared" si="980"/>
        <v>-24738470.935031977</v>
      </c>
      <c r="R471">
        <f t="shared" si="981"/>
        <v>808323808.33376801</v>
      </c>
      <c r="S471">
        <f t="shared" si="982"/>
        <v>8083.2380833376801</v>
      </c>
      <c r="T471">
        <f t="shared" si="983"/>
        <v>8.0832380833376796</v>
      </c>
    </row>
    <row r="472" spans="1:20" x14ac:dyDescent="0.25">
      <c r="A472" s="5">
        <v>44121</v>
      </c>
      <c r="B472">
        <v>2.5239999999999999E-2</v>
      </c>
      <c r="C472">
        <v>2.6890000000000001E-2</v>
      </c>
      <c r="D472">
        <v>2.427E-2</v>
      </c>
      <c r="E472">
        <v>2.597E-2</v>
      </c>
      <c r="F472">
        <v>105122698.90000001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0.29770992366412186</v>
      </c>
      <c r="Q472">
        <f t="shared" si="980"/>
        <v>31296070.664885469</v>
      </c>
      <c r="R472">
        <f t="shared" si="981"/>
        <v>833062279.26880002</v>
      </c>
      <c r="S472">
        <f t="shared" si="982"/>
        <v>8330.6227926880001</v>
      </c>
      <c r="T472">
        <f t="shared" si="983"/>
        <v>8.3306227926880005</v>
      </c>
    </row>
    <row r="473" spans="1:20" x14ac:dyDescent="0.25">
      <c r="A473" s="5">
        <v>44120</v>
      </c>
      <c r="B473">
        <v>2.988E-2</v>
      </c>
      <c r="C473">
        <v>3.0249999999999999E-2</v>
      </c>
      <c r="D473">
        <v>2.5080000000000002E-2</v>
      </c>
      <c r="E473">
        <v>2.5219999999999999E-2</v>
      </c>
      <c r="F473">
        <v>97764705.900000006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-0.94584139264990408</v>
      </c>
      <c r="Q473">
        <f t="shared" si="980"/>
        <v>-92469905.580464303</v>
      </c>
      <c r="R473">
        <f t="shared" si="981"/>
        <v>801766208.6039145</v>
      </c>
      <c r="S473">
        <f t="shared" si="982"/>
        <v>8017.6620860391449</v>
      </c>
      <c r="T473">
        <f t="shared" si="983"/>
        <v>8.0176620860391452</v>
      </c>
    </row>
    <row r="474" spans="1:20" x14ac:dyDescent="0.25">
      <c r="A474" s="5">
        <v>44119</v>
      </c>
      <c r="B474">
        <v>2.8830000000000001E-2</v>
      </c>
      <c r="C474">
        <v>3.1220000000000001E-2</v>
      </c>
      <c r="D474">
        <v>2.656E-2</v>
      </c>
      <c r="E474">
        <v>2.988E-2</v>
      </c>
      <c r="F474">
        <v>154741306.09999999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0.42489270386266065</v>
      </c>
      <c r="Q474">
        <f t="shared" si="980"/>
        <v>65748451.948068619</v>
      </c>
      <c r="R474">
        <f t="shared" si="981"/>
        <v>894236114.18437874</v>
      </c>
      <c r="S474">
        <f t="shared" si="982"/>
        <v>8942.3611418437868</v>
      </c>
      <c r="T474">
        <f t="shared" si="983"/>
        <v>8.9423611418437865</v>
      </c>
    </row>
    <row r="475" spans="1:20" x14ac:dyDescent="0.25">
      <c r="A475" s="5">
        <v>44118</v>
      </c>
      <c r="B475">
        <v>3.1150000000000001E-2</v>
      </c>
      <c r="C475">
        <v>3.15E-2</v>
      </c>
      <c r="D475">
        <v>2.759E-2</v>
      </c>
      <c r="E475">
        <v>2.8819999999999998E-2</v>
      </c>
      <c r="F475">
        <v>98226892.400000006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-0.3708439897698218</v>
      </c>
      <c r="Q475">
        <f t="shared" si="980"/>
        <v>-36426852.680306986</v>
      </c>
      <c r="R475">
        <f t="shared" si="981"/>
        <v>828487662.23631012</v>
      </c>
      <c r="S475">
        <f t="shared" si="982"/>
        <v>8284.876622363101</v>
      </c>
      <c r="T475">
        <f t="shared" si="983"/>
        <v>8.2848766223631003</v>
      </c>
    </row>
    <row r="476" spans="1:20" x14ac:dyDescent="0.25">
      <c r="A476" s="5">
        <v>44117</v>
      </c>
      <c r="B476">
        <v>3.1719999999999998E-2</v>
      </c>
      <c r="C476">
        <v>3.2899999999999999E-2</v>
      </c>
      <c r="D476">
        <v>3.056E-2</v>
      </c>
      <c r="E476">
        <v>3.1050000000000001E-2</v>
      </c>
      <c r="F476">
        <v>43424973.399999999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-0.58119658119658013</v>
      </c>
      <c r="Q476">
        <f t="shared" si="980"/>
        <v>-25238446.078632433</v>
      </c>
      <c r="R476">
        <f t="shared" si="981"/>
        <v>864914514.91661716</v>
      </c>
      <c r="S476">
        <f t="shared" si="982"/>
        <v>8649.1451491661719</v>
      </c>
      <c r="T476">
        <f t="shared" si="983"/>
        <v>8.6491451491661717</v>
      </c>
    </row>
    <row r="477" spans="1:20" x14ac:dyDescent="0.25">
      <c r="A477" s="5">
        <v>44116</v>
      </c>
      <c r="B477">
        <v>3.2509999999999997E-2</v>
      </c>
      <c r="C477">
        <v>3.4410000000000003E-2</v>
      </c>
      <c r="D477">
        <v>3.082E-2</v>
      </c>
      <c r="E477">
        <v>3.1789999999999999E-2</v>
      </c>
      <c r="F477">
        <v>87974475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-0.45961002785515442</v>
      </c>
      <c r="Q477">
        <f t="shared" si="980"/>
        <v>-40433950.905292585</v>
      </c>
      <c r="R477">
        <f t="shared" si="981"/>
        <v>890152960.99524963</v>
      </c>
      <c r="S477">
        <f t="shared" si="982"/>
        <v>8901.5296099524967</v>
      </c>
      <c r="T477">
        <f t="shared" si="983"/>
        <v>8.9015296099524974</v>
      </c>
    </row>
    <row r="478" spans="1:20" x14ac:dyDescent="0.25">
      <c r="A478" s="5">
        <v>44115</v>
      </c>
      <c r="B478">
        <v>3.1199999999999999E-2</v>
      </c>
      <c r="C478">
        <v>3.3709999999999997E-2</v>
      </c>
      <c r="D478">
        <v>2.989E-2</v>
      </c>
      <c r="E478">
        <v>3.2469999999999999E-2</v>
      </c>
      <c r="F478">
        <v>69039861.900000006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0.35078534031413666</v>
      </c>
      <c r="Q478">
        <f t="shared" si="980"/>
        <v>24218171.451832499</v>
      </c>
      <c r="R478">
        <f t="shared" si="981"/>
        <v>930586911.90054226</v>
      </c>
      <c r="S478">
        <f t="shared" si="982"/>
        <v>9305.8691190054233</v>
      </c>
      <c r="T478">
        <f t="shared" si="983"/>
        <v>9.3058691190054237</v>
      </c>
    </row>
    <row r="479" spans="1:20" x14ac:dyDescent="0.25">
      <c r="A479" s="5">
        <v>44114</v>
      </c>
      <c r="B479">
        <v>3.1609999999999999E-2</v>
      </c>
      <c r="C479">
        <v>3.3599999999999998E-2</v>
      </c>
      <c r="D479">
        <v>3.0870000000000002E-2</v>
      </c>
      <c r="E479">
        <v>3.1289999999999998E-2</v>
      </c>
      <c r="F479">
        <v>95341265.400000006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-0.69230769230769429</v>
      </c>
      <c r="Q479">
        <f t="shared" si="980"/>
        <v>-66005491.430769421</v>
      </c>
      <c r="R479">
        <f t="shared" si="981"/>
        <v>906368740.44870973</v>
      </c>
      <c r="S479">
        <f t="shared" si="982"/>
        <v>9063.6874044870965</v>
      </c>
      <c r="T479">
        <f t="shared" si="983"/>
        <v>9.0636874044870961</v>
      </c>
    </row>
    <row r="480" spans="1:20" x14ac:dyDescent="0.25">
      <c r="A480" s="5">
        <v>44113</v>
      </c>
      <c r="B480">
        <v>2.9159999999999998E-2</v>
      </c>
      <c r="C480">
        <v>3.2149999999999998E-2</v>
      </c>
      <c r="D480">
        <v>2.8379999999999999E-2</v>
      </c>
      <c r="E480">
        <v>3.1609999999999999E-2</v>
      </c>
      <c r="F480">
        <v>144120626.09999999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0.71352785145888653</v>
      </c>
      <c r="Q480">
        <f t="shared" si="980"/>
        <v>102834080.69204251</v>
      </c>
      <c r="R480">
        <f t="shared" si="981"/>
        <v>972374231.87947917</v>
      </c>
      <c r="S480">
        <f t="shared" si="982"/>
        <v>9723.7423187947916</v>
      </c>
      <c r="T480">
        <f t="shared" si="983"/>
        <v>9.7237423187947911</v>
      </c>
    </row>
    <row r="481" spans="1:20" x14ac:dyDescent="0.25">
      <c r="A481" s="5">
        <v>44112</v>
      </c>
      <c r="B481">
        <v>2.707E-2</v>
      </c>
      <c r="C481">
        <v>2.93E-2</v>
      </c>
      <c r="D481">
        <v>2.5010000000000001E-2</v>
      </c>
      <c r="E481">
        <v>2.9180000000000001E-2</v>
      </c>
      <c r="F481">
        <v>110634882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0.94405594405594473</v>
      </c>
      <c r="Q481">
        <f t="shared" si="980"/>
        <v>104445517.97202805</v>
      </c>
      <c r="R481">
        <f t="shared" si="981"/>
        <v>869540151.1874367</v>
      </c>
      <c r="S481">
        <f t="shared" si="982"/>
        <v>8695.4015118743664</v>
      </c>
      <c r="T481">
        <f t="shared" si="983"/>
        <v>8.6954015118743673</v>
      </c>
    </row>
    <row r="482" spans="1:20" x14ac:dyDescent="0.25">
      <c r="A482" s="5">
        <v>44111</v>
      </c>
      <c r="B482">
        <v>2.5829999999999999E-2</v>
      </c>
      <c r="C482">
        <v>2.801E-2</v>
      </c>
      <c r="D482">
        <v>2.35E-2</v>
      </c>
      <c r="E482">
        <v>2.7060000000000001E-2</v>
      </c>
      <c r="F482">
        <v>149023587.80000001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0.57871396895787164</v>
      </c>
      <c r="Q482">
        <f t="shared" si="980"/>
        <v>86242031.964079872</v>
      </c>
      <c r="R482">
        <f t="shared" si="981"/>
        <v>765094633.21540868</v>
      </c>
      <c r="S482">
        <f t="shared" si="982"/>
        <v>7650.946332154087</v>
      </c>
      <c r="T482">
        <f t="shared" si="983"/>
        <v>7.6509463321540867</v>
      </c>
    </row>
    <row r="483" spans="1:20" x14ac:dyDescent="0.25">
      <c r="A483" s="5">
        <v>44110</v>
      </c>
      <c r="B483">
        <v>3.014E-2</v>
      </c>
      <c r="C483">
        <v>3.0329999999999999E-2</v>
      </c>
      <c r="D483">
        <v>2.4840000000000001E-2</v>
      </c>
      <c r="E483">
        <v>2.5930000000000002E-2</v>
      </c>
      <c r="F483">
        <v>167130030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-0.6029143897996353</v>
      </c>
      <c r="Q483">
        <f t="shared" si="980"/>
        <v>-100765100.05464475</v>
      </c>
      <c r="R483">
        <f t="shared" si="981"/>
        <v>678852601.25132883</v>
      </c>
      <c r="S483">
        <f t="shared" si="982"/>
        <v>6788.5260125132882</v>
      </c>
      <c r="T483">
        <f t="shared" si="983"/>
        <v>6.7885260125132882</v>
      </c>
    </row>
    <row r="484" spans="1:20" x14ac:dyDescent="0.25">
      <c r="A484" s="5">
        <v>44109</v>
      </c>
      <c r="B484">
        <v>3.1789999999999999E-2</v>
      </c>
      <c r="C484">
        <v>3.2379999999999999E-2</v>
      </c>
      <c r="D484">
        <v>2.9000000000000001E-2</v>
      </c>
      <c r="E484">
        <v>3.0169999999999999E-2</v>
      </c>
      <c r="F484">
        <v>95095446.900000006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-0.30769230769230871</v>
      </c>
      <c r="Q484">
        <f t="shared" si="980"/>
        <v>-29260137.507692408</v>
      </c>
      <c r="R484">
        <f t="shared" si="981"/>
        <v>779617701.30597353</v>
      </c>
      <c r="S484">
        <f t="shared" si="982"/>
        <v>7796.1770130597351</v>
      </c>
      <c r="T484">
        <f t="shared" si="983"/>
        <v>7.7961770130597348</v>
      </c>
    </row>
    <row r="485" spans="1:20" x14ac:dyDescent="0.25">
      <c r="A485" s="5">
        <v>44108</v>
      </c>
      <c r="B485">
        <v>3.099E-2</v>
      </c>
      <c r="C485">
        <v>3.3099999999999997E-2</v>
      </c>
      <c r="D485">
        <v>2.9499999999999998E-2</v>
      </c>
      <c r="E485">
        <v>3.1879999999999999E-2</v>
      </c>
      <c r="F485">
        <v>87737190.900000006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0.32222222222222269</v>
      </c>
      <c r="Q485">
        <f t="shared" si="980"/>
        <v>28270872.623333376</v>
      </c>
      <c r="R485">
        <f t="shared" si="981"/>
        <v>808877838.81366599</v>
      </c>
      <c r="S485">
        <f t="shared" si="982"/>
        <v>8088.7783881366595</v>
      </c>
      <c r="T485">
        <f t="shared" si="983"/>
        <v>8.0887783881366602</v>
      </c>
    </row>
    <row r="486" spans="1:20" x14ac:dyDescent="0.25">
      <c r="A486" s="5">
        <v>44107</v>
      </c>
      <c r="B486">
        <v>3.3349999999999998E-2</v>
      </c>
      <c r="C486">
        <v>3.4520000000000002E-2</v>
      </c>
      <c r="D486">
        <v>3.0429999999999999E-2</v>
      </c>
      <c r="E486">
        <v>3.0960000000000001E-2</v>
      </c>
      <c r="F486">
        <v>111194567.09999999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-0.7408312958435197</v>
      </c>
      <c r="Q486">
        <f t="shared" si="980"/>
        <v>-82376415.235452205</v>
      </c>
      <c r="R486">
        <f t="shared" si="981"/>
        <v>780606966.19033265</v>
      </c>
      <c r="S486">
        <f t="shared" si="982"/>
        <v>7806.069661903327</v>
      </c>
      <c r="T486">
        <f t="shared" si="983"/>
        <v>7.8060696619033267</v>
      </c>
    </row>
    <row r="487" spans="1:20" x14ac:dyDescent="0.25">
      <c r="A487" s="5">
        <v>44106</v>
      </c>
      <c r="B487">
        <v>3.6999999999999998E-2</v>
      </c>
      <c r="C487">
        <v>3.7569999999999999E-2</v>
      </c>
      <c r="D487">
        <v>3.0169999999999999E-2</v>
      </c>
      <c r="E487">
        <v>3.3309999999999999E-2</v>
      </c>
      <c r="F487">
        <v>207691336.19999999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-0.15135135135135128</v>
      </c>
      <c r="Q487">
        <f t="shared" si="980"/>
        <v>-31434364.397837821</v>
      </c>
      <c r="R487">
        <f t="shared" si="981"/>
        <v>862983381.42578483</v>
      </c>
      <c r="S487">
        <f t="shared" si="982"/>
        <v>8629.8338142578486</v>
      </c>
      <c r="T487">
        <f t="shared" si="983"/>
        <v>8.6298338142578483</v>
      </c>
    </row>
    <row r="488" spans="1:20" x14ac:dyDescent="0.25">
      <c r="A488" s="5">
        <v>44105</v>
      </c>
      <c r="B488">
        <v>3.9109999999999999E-2</v>
      </c>
      <c r="C488">
        <v>4.0500000000000001E-2</v>
      </c>
      <c r="D488">
        <v>3.5000000000000003E-2</v>
      </c>
      <c r="E488">
        <v>3.7010000000000001E-2</v>
      </c>
      <c r="F488">
        <v>129909741.59999999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-0.2690909090909096</v>
      </c>
      <c r="Q488">
        <f t="shared" si="980"/>
        <v>-34957530.466909155</v>
      </c>
      <c r="R488">
        <f t="shared" si="981"/>
        <v>894417745.8236227</v>
      </c>
      <c r="S488">
        <f t="shared" si="982"/>
        <v>8944.1774582362268</v>
      </c>
      <c r="T488">
        <f t="shared" si="983"/>
        <v>8.9441774582362275</v>
      </c>
    </row>
    <row r="489" spans="1:20" x14ac:dyDescent="0.25">
      <c r="A489" s="5">
        <v>44104</v>
      </c>
      <c r="B489">
        <v>3.9E-2</v>
      </c>
      <c r="C489">
        <v>3.918E-2</v>
      </c>
      <c r="D489">
        <v>3.5610000000000003E-2</v>
      </c>
      <c r="E489">
        <v>3.9100000000000003E-2</v>
      </c>
      <c r="F489">
        <v>100889162.7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0.95518207282913348</v>
      </c>
      <c r="Q489">
        <f t="shared" si="980"/>
        <v>96367519.553781703</v>
      </c>
      <c r="R489">
        <f t="shared" si="981"/>
        <v>929375276.29053187</v>
      </c>
      <c r="S489">
        <f t="shared" si="982"/>
        <v>9293.7527629053184</v>
      </c>
      <c r="T489">
        <f t="shared" si="983"/>
        <v>9.2937527629053189</v>
      </c>
    </row>
    <row r="490" spans="1:20" x14ac:dyDescent="0.25">
      <c r="A490" s="5">
        <v>44103</v>
      </c>
      <c r="B490">
        <v>3.9140000000000001E-2</v>
      </c>
      <c r="C490">
        <v>4.0620000000000003E-2</v>
      </c>
      <c r="D490">
        <v>3.6900000000000002E-2</v>
      </c>
      <c r="E490">
        <v>3.9079999999999997E-2</v>
      </c>
      <c r="F490">
        <v>107531793.09999999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0.17204301075268486</v>
      </c>
      <c r="Q490">
        <f t="shared" si="980"/>
        <v>18500093.436558783</v>
      </c>
      <c r="R490">
        <f t="shared" si="981"/>
        <v>833007756.73675013</v>
      </c>
      <c r="S490">
        <f t="shared" si="982"/>
        <v>8330.0775673675016</v>
      </c>
      <c r="T490">
        <f t="shared" si="983"/>
        <v>8.3300775673675016</v>
      </c>
    </row>
    <row r="491" spans="1:20" x14ac:dyDescent="0.25">
      <c r="A491" s="5">
        <v>44102</v>
      </c>
      <c r="B491">
        <v>3.9759999999999997E-2</v>
      </c>
      <c r="C491">
        <v>4.4900000000000002E-2</v>
      </c>
      <c r="D491">
        <v>3.8449999999999998E-2</v>
      </c>
      <c r="E491">
        <v>3.9219999999999998E-2</v>
      </c>
      <c r="F491">
        <v>176158845.40000001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-0.76124031007751958</v>
      </c>
      <c r="Q491">
        <f t="shared" si="980"/>
        <v>-134099214.09519383</v>
      </c>
      <c r="R491">
        <f t="shared" si="981"/>
        <v>814507663.3001914</v>
      </c>
      <c r="S491">
        <f t="shared" si="982"/>
        <v>8145.0766330019142</v>
      </c>
      <c r="T491">
        <f t="shared" si="983"/>
        <v>8.1450766330019135</v>
      </c>
    </row>
    <row r="492" spans="1:20" x14ac:dyDescent="0.25">
      <c r="A492" s="5">
        <v>44101</v>
      </c>
      <c r="B492">
        <v>4.0079999999999998E-2</v>
      </c>
      <c r="C492">
        <v>4.0930000000000001E-2</v>
      </c>
      <c r="D492">
        <v>3.7310000000000003E-2</v>
      </c>
      <c r="E492">
        <v>3.9719999999999998E-2</v>
      </c>
      <c r="F492">
        <v>111875643.59999999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0.33149171270718047</v>
      </c>
      <c r="Q492">
        <f t="shared" si="980"/>
        <v>37085848.707182109</v>
      </c>
      <c r="R492">
        <f t="shared" si="981"/>
        <v>948606877.39538527</v>
      </c>
      <c r="S492">
        <f t="shared" si="982"/>
        <v>9486.0687739538535</v>
      </c>
      <c r="T492">
        <f t="shared" si="983"/>
        <v>9.4860687739538534</v>
      </c>
    </row>
    <row r="493" spans="1:20" x14ac:dyDescent="0.25">
      <c r="A493" s="5">
        <v>44100</v>
      </c>
      <c r="B493">
        <v>4.1849999999999998E-2</v>
      </c>
      <c r="C493">
        <v>4.2389999999999997E-2</v>
      </c>
      <c r="D493">
        <v>3.8249999999999999E-2</v>
      </c>
      <c r="E493">
        <v>4.0079999999999998E-2</v>
      </c>
      <c r="F493">
        <v>127145932.5</v>
      </c>
      <c r="G493">
        <v>0</v>
      </c>
      <c r="L493" t="s">
        <v>7</v>
      </c>
      <c r="M493" t="s">
        <v>8</v>
      </c>
      <c r="N493" t="s">
        <v>8</v>
      </c>
      <c r="P493">
        <f t="shared" si="979"/>
        <v>-0.11594202898550761</v>
      </c>
      <c r="Q493">
        <f t="shared" si="980"/>
        <v>-14741557.391304394</v>
      </c>
      <c r="R493">
        <f t="shared" si="981"/>
        <v>911521028.68820322</v>
      </c>
      <c r="S493">
        <f t="shared" si="982"/>
        <v>9115.210286882033</v>
      </c>
      <c r="T493">
        <f t="shared" si="983"/>
        <v>9.1152102868820322</v>
      </c>
    </row>
    <row r="494" spans="1:20" x14ac:dyDescent="0.25">
      <c r="A494" s="5">
        <v>44099</v>
      </c>
      <c r="B494">
        <v>3.9690000000000003E-2</v>
      </c>
      <c r="C494">
        <v>4.3400000000000001E-2</v>
      </c>
      <c r="D494">
        <v>3.6630000000000003E-2</v>
      </c>
      <c r="E494">
        <v>4.1869999999999997E-2</v>
      </c>
      <c r="F494">
        <v>158708735.90000001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0.54800590841949659</v>
      </c>
      <c r="Q494">
        <f t="shared" si="980"/>
        <v>86973324.990989476</v>
      </c>
      <c r="R494">
        <f t="shared" si="981"/>
        <v>926262586.07950759</v>
      </c>
      <c r="S494">
        <f t="shared" si="982"/>
        <v>9262.6258607950767</v>
      </c>
      <c r="T494">
        <f t="shared" si="983"/>
        <v>9.262625860795076</v>
      </c>
    </row>
    <row r="495" spans="1:20" x14ac:dyDescent="0.25">
      <c r="A495" s="5">
        <v>44098</v>
      </c>
      <c r="B495">
        <v>3.5299999999999998E-2</v>
      </c>
      <c r="C495">
        <v>4.1329999999999999E-2</v>
      </c>
      <c r="D495">
        <v>3.4229999999999997E-2</v>
      </c>
      <c r="E495">
        <v>3.968E-2</v>
      </c>
      <c r="F495">
        <v>211137405.90000001</v>
      </c>
      <c r="G495">
        <v>0</v>
      </c>
      <c r="L495" t="s">
        <v>8</v>
      </c>
      <c r="M495" t="s">
        <v>8</v>
      </c>
      <c r="N495" t="s">
        <v>8</v>
      </c>
      <c r="P495">
        <f t="shared" si="979"/>
        <v>0.53521126760563431</v>
      </c>
      <c r="Q495">
        <f t="shared" si="980"/>
        <v>113003118.65070434</v>
      </c>
      <c r="R495">
        <f t="shared" si="981"/>
        <v>839289261.08851814</v>
      </c>
      <c r="S495">
        <f t="shared" si="982"/>
        <v>8392.8926108851811</v>
      </c>
      <c r="T495">
        <f t="shared" si="983"/>
        <v>8.3928926108851805</v>
      </c>
    </row>
    <row r="496" spans="1:20" x14ac:dyDescent="0.25">
      <c r="A496" s="5">
        <v>44097</v>
      </c>
      <c r="B496">
        <v>4.4540000000000003E-2</v>
      </c>
      <c r="C496">
        <v>4.58E-2</v>
      </c>
      <c r="D496">
        <v>3.4000000000000002E-2</v>
      </c>
      <c r="E496">
        <v>3.5299999999999998E-2</v>
      </c>
      <c r="F496">
        <v>242318946.80000001</v>
      </c>
      <c r="G496">
        <v>0</v>
      </c>
      <c r="L496" t="s">
        <v>7</v>
      </c>
      <c r="M496" t="s">
        <v>7</v>
      </c>
      <c r="N496" t="s">
        <v>8</v>
      </c>
      <c r="P496">
        <f t="shared" si="979"/>
        <v>-0.77966101694915324</v>
      </c>
      <c r="Q496">
        <f t="shared" si="980"/>
        <v>-188926636.48813578</v>
      </c>
      <c r="R496">
        <f t="shared" si="981"/>
        <v>726286142.43781376</v>
      </c>
      <c r="S496">
        <f t="shared" si="982"/>
        <v>7262.8614243781376</v>
      </c>
      <c r="T496">
        <f t="shared" si="983"/>
        <v>7.262861424378138</v>
      </c>
    </row>
    <row r="497" spans="1:20" x14ac:dyDescent="0.25">
      <c r="A497" s="5">
        <v>44096</v>
      </c>
      <c r="B497">
        <v>3.7199999999999997E-2</v>
      </c>
      <c r="C497">
        <v>4.5990000000000003E-2</v>
      </c>
      <c r="D497">
        <v>3.5749999999999997E-2</v>
      </c>
      <c r="E497">
        <v>4.4549999999999999E-2</v>
      </c>
      <c r="F497">
        <v>275673648.80000001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0.71874999999999944</v>
      </c>
      <c r="Q497">
        <f t="shared" si="980"/>
        <v>198140435.07499987</v>
      </c>
      <c r="R497">
        <f t="shared" si="981"/>
        <v>915212778.92594957</v>
      </c>
      <c r="S497">
        <f t="shared" si="982"/>
        <v>9152.1277892594953</v>
      </c>
      <c r="T497">
        <f t="shared" si="983"/>
        <v>9.1521277892594952</v>
      </c>
    </row>
    <row r="498" spans="1:20" x14ac:dyDescent="0.25">
      <c r="A498" s="5">
        <v>44095</v>
      </c>
      <c r="B498">
        <v>3.456E-2</v>
      </c>
      <c r="C498">
        <v>4.3279999999999999E-2</v>
      </c>
      <c r="D498">
        <v>3.2559999999999999E-2</v>
      </c>
      <c r="E498">
        <v>3.7199999999999997E-2</v>
      </c>
      <c r="F498">
        <v>300961781</v>
      </c>
      <c r="G498">
        <v>0</v>
      </c>
      <c r="L498" t="s">
        <v>8</v>
      </c>
      <c r="M498" t="s">
        <v>8</v>
      </c>
      <c r="N498" t="s">
        <v>8</v>
      </c>
      <c r="P498">
        <f t="shared" si="979"/>
        <v>-0.13432835820895558</v>
      </c>
      <c r="Q498">
        <f t="shared" si="980"/>
        <v>-40427701.925373241</v>
      </c>
      <c r="R498">
        <f t="shared" si="981"/>
        <v>717072343.85094976</v>
      </c>
      <c r="S498">
        <f t="shared" si="982"/>
        <v>7170.723438509498</v>
      </c>
      <c r="T498">
        <f t="shared" si="983"/>
        <v>7.1707234385094978</v>
      </c>
    </row>
    <row r="499" spans="1:20" x14ac:dyDescent="0.25">
      <c r="A499" s="5">
        <v>44094</v>
      </c>
      <c r="B499">
        <v>3.9739999999999998E-2</v>
      </c>
      <c r="C499">
        <v>4.0529999999999997E-2</v>
      </c>
      <c r="D499">
        <v>3.2099999999999997E-2</v>
      </c>
      <c r="E499">
        <v>3.4549999999999997E-2</v>
      </c>
      <c r="F499">
        <v>153196500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-0.4187425860023723</v>
      </c>
      <c r="Q499">
        <f t="shared" si="980"/>
        <v>-64149898.576512426</v>
      </c>
      <c r="R499">
        <f t="shared" si="981"/>
        <v>757500045.77632296</v>
      </c>
      <c r="S499">
        <f t="shared" si="982"/>
        <v>7575.0004577632299</v>
      </c>
      <c r="T499">
        <f t="shared" si="983"/>
        <v>7.5750004577632302</v>
      </c>
    </row>
    <row r="500" spans="1:20" x14ac:dyDescent="0.25">
      <c r="A500" s="5">
        <v>44093</v>
      </c>
      <c r="B500">
        <v>3.9170000000000003E-2</v>
      </c>
      <c r="C500">
        <v>4.795E-2</v>
      </c>
      <c r="D500">
        <v>3.671E-2</v>
      </c>
      <c r="E500">
        <v>3.9570000000000001E-2</v>
      </c>
      <c r="F500">
        <v>436018510.10000002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-0.49110320284697484</v>
      </c>
      <c r="Q500">
        <f t="shared" si="980"/>
        <v>-214130086.81067607</v>
      </c>
      <c r="R500">
        <f t="shared" si="981"/>
        <v>821649944.35283542</v>
      </c>
      <c r="S500">
        <f t="shared" si="982"/>
        <v>8216.4994435283534</v>
      </c>
      <c r="T500">
        <f t="shared" si="983"/>
        <v>8.2164994435283525</v>
      </c>
    </row>
    <row r="501" spans="1:20" x14ac:dyDescent="0.25">
      <c r="A501" s="5">
        <v>44092</v>
      </c>
      <c r="B501">
        <v>2.7040000000000002E-2</v>
      </c>
      <c r="C501">
        <v>0.04</v>
      </c>
      <c r="D501">
        <v>2.6200000000000001E-2</v>
      </c>
      <c r="E501">
        <v>3.9199999999999999E-2</v>
      </c>
      <c r="F501">
        <v>385602741.89999998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0.88405797101449246</v>
      </c>
      <c r="Q501">
        <f t="shared" si="980"/>
        <v>340895177.62173897</v>
      </c>
      <c r="R501">
        <f t="shared" si="981"/>
        <v>1035780031.1635115</v>
      </c>
      <c r="S501">
        <f t="shared" si="982"/>
        <v>10357.800311635116</v>
      </c>
      <c r="T501">
        <f t="shared" si="983"/>
        <v>10.357800311635115</v>
      </c>
    </row>
    <row r="502" spans="1:20" x14ac:dyDescent="0.25">
      <c r="A502" s="5">
        <v>44091</v>
      </c>
      <c r="B502">
        <v>2.7040000000000002E-2</v>
      </c>
      <c r="C502">
        <v>2.9559999999999999E-2</v>
      </c>
      <c r="D502">
        <v>2.6200000000000001E-2</v>
      </c>
      <c r="E502">
        <v>2.7029999999999998E-2</v>
      </c>
      <c r="F502">
        <v>74841690.700000003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-0.50595238095238226</v>
      </c>
      <c r="Q502">
        <f t="shared" si="980"/>
        <v>-37866331.604166768</v>
      </c>
      <c r="R502">
        <f t="shared" si="981"/>
        <v>694884853.54177248</v>
      </c>
      <c r="S502">
        <f t="shared" si="982"/>
        <v>6948.8485354177246</v>
      </c>
      <c r="T502">
        <f t="shared" si="983"/>
        <v>6.9488485354177243</v>
      </c>
    </row>
    <row r="503" spans="1:20" x14ac:dyDescent="0.25">
      <c r="A503" s="5">
        <v>44090</v>
      </c>
      <c r="B503">
        <v>2.6710000000000001E-2</v>
      </c>
      <c r="C503">
        <v>2.7609999999999999E-2</v>
      </c>
      <c r="D503">
        <v>2.5100000000000001E-2</v>
      </c>
      <c r="E503">
        <v>2.6980000000000001E-2</v>
      </c>
      <c r="F503">
        <v>55678877.200000003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0.49800796812749082</v>
      </c>
      <c r="Q503">
        <f t="shared" si="980"/>
        <v>27728524.501992077</v>
      </c>
      <c r="R503">
        <f t="shared" si="981"/>
        <v>732751185.14593923</v>
      </c>
      <c r="S503">
        <f t="shared" si="982"/>
        <v>7327.5118514593923</v>
      </c>
      <c r="T503">
        <f t="shared" si="983"/>
        <v>7.3275118514593922</v>
      </c>
    </row>
    <row r="504" spans="1:20" x14ac:dyDescent="0.25">
      <c r="A504" s="5">
        <v>44089</v>
      </c>
      <c r="B504">
        <v>2.9409999999999999E-2</v>
      </c>
      <c r="C504">
        <v>3.3500000000000002E-2</v>
      </c>
      <c r="D504">
        <v>2.6339999999999999E-2</v>
      </c>
      <c r="E504">
        <v>2.6710000000000001E-2</v>
      </c>
      <c r="F504">
        <v>109872370.09999999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-0.89664804469273685</v>
      </c>
      <c r="Q504">
        <f t="shared" si="980"/>
        <v>-98516845.815921724</v>
      </c>
      <c r="R504">
        <f t="shared" si="981"/>
        <v>705022660.64394712</v>
      </c>
      <c r="S504">
        <f t="shared" si="982"/>
        <v>7050.2266064394717</v>
      </c>
      <c r="T504">
        <f t="shared" si="983"/>
        <v>7.0502266064394714</v>
      </c>
    </row>
    <row r="505" spans="1:20" x14ac:dyDescent="0.25">
      <c r="A505" s="5">
        <v>44088</v>
      </c>
      <c r="B505">
        <v>2.681E-2</v>
      </c>
      <c r="C505">
        <v>3.1260000000000003E-2</v>
      </c>
      <c r="D505">
        <v>2.5180000000000001E-2</v>
      </c>
      <c r="E505">
        <v>2.9409999999999999E-2</v>
      </c>
      <c r="F505">
        <v>94379094.700000003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0.39144736842105138</v>
      </c>
      <c r="Q505">
        <f t="shared" si="980"/>
        <v>36944448.254276201</v>
      </c>
      <c r="R505">
        <f t="shared" si="981"/>
        <v>803539506.45986879</v>
      </c>
      <c r="S505">
        <f t="shared" si="982"/>
        <v>8035.3950645986879</v>
      </c>
      <c r="T505">
        <f t="shared" si="983"/>
        <v>8.0353950645986885</v>
      </c>
    </row>
    <row r="506" spans="1:20" x14ac:dyDescent="0.25">
      <c r="A506" s="5">
        <v>44087</v>
      </c>
      <c r="B506">
        <v>3.0079999999999999E-2</v>
      </c>
      <c r="C506">
        <v>3.057E-2</v>
      </c>
      <c r="D506">
        <v>2.5000000000000001E-2</v>
      </c>
      <c r="E506">
        <v>2.6780000000000002E-2</v>
      </c>
      <c r="F506">
        <v>100514091.09999999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-0.36086175942549342</v>
      </c>
      <c r="Q506">
        <f t="shared" si="980"/>
        <v>-36271691.761400327</v>
      </c>
      <c r="R506">
        <f t="shared" si="981"/>
        <v>766595058.20559263</v>
      </c>
      <c r="S506">
        <f t="shared" si="982"/>
        <v>7665.9505820559261</v>
      </c>
      <c r="T506">
        <f t="shared" si="983"/>
        <v>7.6659505820559257</v>
      </c>
    </row>
    <row r="507" spans="1:20" x14ac:dyDescent="0.25">
      <c r="A507" s="5">
        <v>44086</v>
      </c>
      <c r="B507">
        <v>3.0980000000000001E-2</v>
      </c>
      <c r="C507">
        <v>3.1519999999999999E-2</v>
      </c>
      <c r="D507">
        <v>2.8879999999999999E-2</v>
      </c>
      <c r="E507">
        <v>3.0030000000000001E-2</v>
      </c>
      <c r="F507">
        <v>64978066.5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-0.12878787878787748</v>
      </c>
      <c r="Q507">
        <f t="shared" si="980"/>
        <v>-8368387.3522726418</v>
      </c>
      <c r="R507">
        <f t="shared" si="981"/>
        <v>802866749.96699297</v>
      </c>
      <c r="S507">
        <f t="shared" si="982"/>
        <v>8028.6674996699294</v>
      </c>
      <c r="T507">
        <f t="shared" si="983"/>
        <v>8.028667499669929</v>
      </c>
    </row>
    <row r="508" spans="1:20" x14ac:dyDescent="0.25">
      <c r="A508" s="5">
        <v>44085</v>
      </c>
      <c r="B508">
        <v>3.2500000000000001E-2</v>
      </c>
      <c r="C508">
        <v>3.2730000000000002E-2</v>
      </c>
      <c r="D508">
        <v>2.9149999999999999E-2</v>
      </c>
      <c r="E508">
        <v>3.0970000000000001E-2</v>
      </c>
      <c r="F508">
        <v>81413092.599999994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1.6759776536313119E-2</v>
      </c>
      <c r="Q508">
        <f t="shared" si="980"/>
        <v>1364465.2391061671</v>
      </c>
      <c r="R508">
        <f t="shared" si="981"/>
        <v>811235137.3192656</v>
      </c>
      <c r="S508">
        <f t="shared" si="982"/>
        <v>8112.351373192656</v>
      </c>
      <c r="T508">
        <f t="shared" si="983"/>
        <v>8.1123513731926558</v>
      </c>
    </row>
    <row r="509" spans="1:20" x14ac:dyDescent="0.25">
      <c r="A509" s="5">
        <v>44084</v>
      </c>
      <c r="B509">
        <v>3.057E-2</v>
      </c>
      <c r="C509">
        <v>3.3660000000000002E-2</v>
      </c>
      <c r="D509">
        <v>3.039E-2</v>
      </c>
      <c r="E509">
        <v>3.2390000000000002E-2</v>
      </c>
      <c r="F509">
        <v>100517290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0.22324159021406759</v>
      </c>
      <c r="Q509">
        <f t="shared" si="980"/>
        <v>22439639.663608592</v>
      </c>
      <c r="R509">
        <f t="shared" si="981"/>
        <v>809870672.08015943</v>
      </c>
      <c r="S509">
        <f t="shared" si="982"/>
        <v>8098.7067208015942</v>
      </c>
      <c r="T509">
        <f t="shared" si="983"/>
        <v>8.0987067208015944</v>
      </c>
    </row>
    <row r="510" spans="1:20" x14ac:dyDescent="0.25">
      <c r="A510" s="5">
        <v>44083</v>
      </c>
      <c r="B510">
        <v>2.9760000000000002E-2</v>
      </c>
      <c r="C510">
        <v>3.3980000000000003E-2</v>
      </c>
      <c r="D510">
        <v>2.785E-2</v>
      </c>
      <c r="E510">
        <v>3.0530000000000002E-2</v>
      </c>
      <c r="F510">
        <v>138956418.30000001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-0.12561174551386614</v>
      </c>
      <c r="Q510">
        <f t="shared" si="980"/>
        <v>-17454558.253017932</v>
      </c>
      <c r="R510">
        <f t="shared" si="981"/>
        <v>787431032.41655087</v>
      </c>
      <c r="S510">
        <f t="shared" si="982"/>
        <v>7874.310324165509</v>
      </c>
      <c r="T510">
        <f t="shared" si="983"/>
        <v>7.874310324165509</v>
      </c>
    </row>
    <row r="511" spans="1:20" x14ac:dyDescent="0.25">
      <c r="A511" s="5">
        <v>44082</v>
      </c>
      <c r="B511">
        <v>3.2460000000000003E-2</v>
      </c>
      <c r="C511">
        <v>3.4000000000000002E-2</v>
      </c>
      <c r="D511">
        <v>2.776E-2</v>
      </c>
      <c r="E511">
        <v>2.9760000000000002E-2</v>
      </c>
      <c r="F511">
        <v>133768026.8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-0.35897435897435864</v>
      </c>
      <c r="Q511">
        <f t="shared" si="980"/>
        <v>-48019291.671794824</v>
      </c>
      <c r="R511">
        <f t="shared" si="981"/>
        <v>804885590.66956878</v>
      </c>
      <c r="S511">
        <f t="shared" si="982"/>
        <v>8048.8559066956877</v>
      </c>
      <c r="T511">
        <f t="shared" si="983"/>
        <v>8.0488559066956871</v>
      </c>
    </row>
    <row r="512" spans="1:20" x14ac:dyDescent="0.25">
      <c r="A512" s="5">
        <v>44081</v>
      </c>
      <c r="B512">
        <v>3.3529999999999997E-2</v>
      </c>
      <c r="C512">
        <v>3.5970000000000002E-2</v>
      </c>
      <c r="D512">
        <v>2.7E-2</v>
      </c>
      <c r="E512">
        <v>3.2239999999999998E-2</v>
      </c>
      <c r="F512">
        <v>154427673.19999999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0.16833890746934155</v>
      </c>
      <c r="Q512">
        <f t="shared" si="980"/>
        <v>25996185.789520513</v>
      </c>
      <c r="R512">
        <f t="shared" si="981"/>
        <v>852904882.34136355</v>
      </c>
      <c r="S512">
        <f t="shared" si="982"/>
        <v>8529.0488234136355</v>
      </c>
      <c r="T512">
        <f t="shared" si="983"/>
        <v>8.5290488234136355</v>
      </c>
    </row>
    <row r="513" spans="1:20" x14ac:dyDescent="0.25">
      <c r="A513" s="5">
        <v>44080</v>
      </c>
      <c r="B513">
        <v>3.0460000000000001E-2</v>
      </c>
      <c r="C513">
        <v>3.6130000000000002E-2</v>
      </c>
      <c r="D513">
        <v>2.401E-2</v>
      </c>
      <c r="E513">
        <v>3.3660000000000002E-2</v>
      </c>
      <c r="F513">
        <v>264701272.80000001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0.59240924092409253</v>
      </c>
      <c r="Q513">
        <f t="shared" si="980"/>
        <v>156811480.09108916</v>
      </c>
      <c r="R513">
        <f t="shared" si="981"/>
        <v>826908696.55184305</v>
      </c>
      <c r="S513">
        <f t="shared" si="982"/>
        <v>8269.0869655184306</v>
      </c>
      <c r="T513">
        <f t="shared" si="983"/>
        <v>8.2690869655184311</v>
      </c>
    </row>
    <row r="514" spans="1:20" x14ac:dyDescent="0.25">
      <c r="A514" s="5">
        <v>44079</v>
      </c>
      <c r="B514">
        <v>4.5319999999999999E-2</v>
      </c>
      <c r="C514">
        <v>4.5569999999999999E-2</v>
      </c>
      <c r="D514">
        <v>2.06E-2</v>
      </c>
      <c r="E514">
        <v>3.0540000000000001E-2</v>
      </c>
      <c r="F514">
        <v>224961719.90000001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-0.20384461353624339</v>
      </c>
      <c r="Q514">
        <f t="shared" si="980"/>
        <v>-45857234.853464134</v>
      </c>
      <c r="R514">
        <f t="shared" si="981"/>
        <v>670097216.46075392</v>
      </c>
      <c r="S514">
        <f t="shared" si="982"/>
        <v>6700.9721646075395</v>
      </c>
      <c r="T514">
        <f t="shared" si="983"/>
        <v>6.7009721646075393</v>
      </c>
    </row>
    <row r="515" spans="1:20" x14ac:dyDescent="0.25">
      <c r="A515" s="5">
        <v>44078</v>
      </c>
      <c r="B515">
        <v>4.0910000000000002E-2</v>
      </c>
      <c r="C515">
        <v>4.6039999999999998E-2</v>
      </c>
      <c r="D515">
        <v>3.5110000000000002E-2</v>
      </c>
      <c r="E515">
        <v>4.53E-2</v>
      </c>
      <c r="F515">
        <v>196724554.5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0.86459286367795096</v>
      </c>
      <c r="Q515">
        <f t="shared" si="980"/>
        <v>170086645.93092415</v>
      </c>
      <c r="R515">
        <f t="shared" si="981"/>
        <v>715954451.31421804</v>
      </c>
      <c r="S515">
        <f t="shared" si="982"/>
        <v>7159.5445131421802</v>
      </c>
      <c r="T515">
        <f t="shared" si="983"/>
        <v>7.1595445131421807</v>
      </c>
    </row>
    <row r="516" spans="1:20" x14ac:dyDescent="0.25">
      <c r="A516" s="5">
        <v>44077</v>
      </c>
      <c r="B516">
        <v>5.5100000000000003E-2</v>
      </c>
      <c r="C516">
        <v>5.525E-2</v>
      </c>
      <c r="D516">
        <v>3.925E-2</v>
      </c>
      <c r="E516">
        <v>4.0890000000000003E-2</v>
      </c>
      <c r="F516">
        <v>244660331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-0.79499999999999971</v>
      </c>
      <c r="Q516">
        <f t="shared" si="980"/>
        <v>-194504963.14499992</v>
      </c>
      <c r="R516">
        <f t="shared" si="981"/>
        <v>545867805.38329387</v>
      </c>
      <c r="S516">
        <f t="shared" si="982"/>
        <v>5458.6780538329385</v>
      </c>
      <c r="T516">
        <f t="shared" si="983"/>
        <v>5.4586780538329389</v>
      </c>
    </row>
    <row r="517" spans="1:20" x14ac:dyDescent="0.25">
      <c r="A517" s="5">
        <v>44076</v>
      </c>
      <c r="B517">
        <v>3.9849999999999997E-2</v>
      </c>
      <c r="C517">
        <v>5.6649999999999999E-2</v>
      </c>
      <c r="D517">
        <v>3.8859999999999999E-2</v>
      </c>
      <c r="E517">
        <v>5.5160000000000001E-2</v>
      </c>
      <c r="F517">
        <v>473672100.30000001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0.83249016301292877</v>
      </c>
      <c r="Q517">
        <f t="shared" si="980"/>
        <v>394327363.99342334</v>
      </c>
      <c r="R517">
        <f t="shared" si="981"/>
        <v>740372768.52829385</v>
      </c>
      <c r="S517">
        <f t="shared" si="982"/>
        <v>7403.7276852829382</v>
      </c>
      <c r="T517">
        <f t="shared" si="983"/>
        <v>7.4037276852829379</v>
      </c>
    </row>
    <row r="518" spans="1:20" x14ac:dyDescent="0.25">
      <c r="A518" s="5">
        <v>44075</v>
      </c>
      <c r="B518">
        <v>3.9239999999999997E-2</v>
      </c>
      <c r="C518">
        <v>4.1930000000000002E-2</v>
      </c>
      <c r="D518">
        <v>3.4099999999999998E-2</v>
      </c>
      <c r="E518">
        <v>3.9849999999999997E-2</v>
      </c>
      <c r="F518">
        <v>184482423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0.4687100893997434</v>
      </c>
      <c r="Q518">
        <f t="shared" ref="Q518:Q581" si="985">F518*P518</f>
        <v>86468772.977011278</v>
      </c>
      <c r="R518">
        <f t="shared" ref="R518:R581" si="986">R519+Q518</f>
        <v>346045404.53487051</v>
      </c>
      <c r="S518">
        <f t="shared" ref="S518:S581" si="987">R518/100000</f>
        <v>3460.4540453487052</v>
      </c>
      <c r="T518">
        <f t="shared" ref="T518:T581" si="988">S518/1000</f>
        <v>3.4604540453487052</v>
      </c>
    </row>
    <row r="519" spans="1:20" x14ac:dyDescent="0.25">
      <c r="A519" s="5">
        <v>44074</v>
      </c>
      <c r="B519">
        <v>3.5749999999999997E-2</v>
      </c>
      <c r="C519">
        <v>4.6920000000000003E-2</v>
      </c>
      <c r="D519">
        <v>3.5270000000000003E-2</v>
      </c>
      <c r="E519">
        <v>3.925E-2</v>
      </c>
      <c r="F519">
        <v>444396437.5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-0.31673819742489318</v>
      </c>
      <c r="Q519">
        <f t="shared" si="985"/>
        <v>-140757326.55579421</v>
      </c>
      <c r="R519">
        <f t="shared" si="986"/>
        <v>259576631.55785921</v>
      </c>
      <c r="S519">
        <f t="shared" si="987"/>
        <v>2595.7663155785922</v>
      </c>
      <c r="T519">
        <f t="shared" si="988"/>
        <v>2.5957663155785924</v>
      </c>
    </row>
    <row r="520" spans="1:20" x14ac:dyDescent="0.25">
      <c r="A520" s="5">
        <v>44073</v>
      </c>
      <c r="B520">
        <v>2.6759999999999999E-2</v>
      </c>
      <c r="C520">
        <v>3.6229999999999998E-2</v>
      </c>
      <c r="D520">
        <v>2.6159999999999999E-2</v>
      </c>
      <c r="E520">
        <v>3.5970000000000002E-2</v>
      </c>
      <c r="F520">
        <v>193543326.69999999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0.94836146971201662</v>
      </c>
      <c r="Q520">
        <f t="shared" si="985"/>
        <v>183549033.76216498</v>
      </c>
      <c r="R520">
        <f t="shared" si="986"/>
        <v>400333958.11365342</v>
      </c>
      <c r="S520">
        <f t="shared" si="987"/>
        <v>4003.3395811365344</v>
      </c>
      <c r="T520">
        <f t="shared" si="988"/>
        <v>4.0033395811365349</v>
      </c>
    </row>
    <row r="521" spans="1:20" x14ac:dyDescent="0.25">
      <c r="A521" s="5">
        <v>44072</v>
      </c>
      <c r="B521">
        <v>2.7799999999999998E-2</v>
      </c>
      <c r="C521">
        <v>2.8989999999999998E-2</v>
      </c>
      <c r="D521">
        <v>2.6499999999999999E-2</v>
      </c>
      <c r="E521">
        <v>2.6759999999999999E-2</v>
      </c>
      <c r="F521">
        <v>53714503.899999999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-0.79116465863453822</v>
      </c>
      <c r="Q521">
        <f t="shared" si="985"/>
        <v>-42497017.14176707</v>
      </c>
      <c r="R521">
        <f t="shared" si="986"/>
        <v>216784924.35148847</v>
      </c>
      <c r="S521">
        <f t="shared" si="987"/>
        <v>2167.8492435148846</v>
      </c>
      <c r="T521">
        <f t="shared" si="988"/>
        <v>2.1678492435148846</v>
      </c>
    </row>
    <row r="522" spans="1:20" x14ac:dyDescent="0.25">
      <c r="A522" s="5">
        <v>44071</v>
      </c>
      <c r="B522">
        <v>2.6440000000000002E-2</v>
      </c>
      <c r="C522">
        <v>2.809E-2</v>
      </c>
      <c r="D522">
        <v>2.5919999999999999E-2</v>
      </c>
      <c r="E522">
        <v>2.7779999999999999E-2</v>
      </c>
      <c r="F522">
        <v>58431796.700000003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0.71428571428571341</v>
      </c>
      <c r="Q522">
        <f t="shared" si="985"/>
        <v>41736997.642857097</v>
      </c>
      <c r="R522">
        <f t="shared" si="986"/>
        <v>259281941.49325556</v>
      </c>
      <c r="S522">
        <f t="shared" si="987"/>
        <v>2592.8194149325554</v>
      </c>
      <c r="T522">
        <f t="shared" si="988"/>
        <v>2.5928194149325554</v>
      </c>
    </row>
    <row r="523" spans="1:20" x14ac:dyDescent="0.25">
      <c r="A523" s="5">
        <v>44070</v>
      </c>
      <c r="B523">
        <v>2.8889999999999999E-2</v>
      </c>
      <c r="C523">
        <v>2.9579999999999999E-2</v>
      </c>
      <c r="D523">
        <v>2.477E-2</v>
      </c>
      <c r="E523">
        <v>2.6200000000000001E-2</v>
      </c>
      <c r="F523">
        <v>85789196.5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-0.40540540540540487</v>
      </c>
      <c r="Q523">
        <f t="shared" si="985"/>
        <v>-34779403.986486442</v>
      </c>
      <c r="R523">
        <f t="shared" si="986"/>
        <v>217544943.85039845</v>
      </c>
      <c r="S523">
        <f t="shared" si="987"/>
        <v>2175.4494385039843</v>
      </c>
      <c r="T523">
        <f t="shared" si="988"/>
        <v>2.1754494385039842</v>
      </c>
    </row>
    <row r="524" spans="1:20" x14ac:dyDescent="0.25">
      <c r="A524" s="5">
        <v>44069</v>
      </c>
      <c r="B524">
        <v>2.9409999999999999E-2</v>
      </c>
      <c r="C524">
        <v>3.1300000000000001E-2</v>
      </c>
      <c r="D524">
        <v>2.7439999999999999E-2</v>
      </c>
      <c r="E524">
        <v>2.8850000000000001E-2</v>
      </c>
      <c r="F524">
        <v>73311957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-0.26943005181347113</v>
      </c>
      <c r="Q524">
        <f t="shared" si="985"/>
        <v>-19752444.373056967</v>
      </c>
      <c r="R524">
        <f t="shared" si="986"/>
        <v>252324347.83688489</v>
      </c>
      <c r="S524">
        <f t="shared" si="987"/>
        <v>2523.2434783688491</v>
      </c>
      <c r="T524">
        <f t="shared" si="988"/>
        <v>2.5232434783688489</v>
      </c>
    </row>
    <row r="525" spans="1:20" x14ac:dyDescent="0.25">
      <c r="A525" s="5">
        <v>44068</v>
      </c>
      <c r="B525">
        <v>3.1690000000000003E-2</v>
      </c>
      <c r="C525">
        <v>3.1730000000000001E-2</v>
      </c>
      <c r="D525">
        <v>2.7E-2</v>
      </c>
      <c r="E525">
        <v>2.9270000000000001E-2</v>
      </c>
      <c r="F525">
        <v>107758655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-4.0169133192388823E-2</v>
      </c>
      <c r="Q525">
        <f t="shared" si="985"/>
        <v>-4328571.7653276762</v>
      </c>
      <c r="R525">
        <f t="shared" si="986"/>
        <v>272076792.20994186</v>
      </c>
      <c r="S525">
        <f t="shared" si="987"/>
        <v>2720.7679220994187</v>
      </c>
      <c r="T525">
        <f t="shared" si="988"/>
        <v>2.7207679220994185</v>
      </c>
    </row>
    <row r="526" spans="1:20" x14ac:dyDescent="0.25">
      <c r="A526" s="5">
        <v>44067</v>
      </c>
      <c r="B526">
        <v>3.313E-2</v>
      </c>
      <c r="C526">
        <v>3.3680000000000002E-2</v>
      </c>
      <c r="D526">
        <v>3.15E-2</v>
      </c>
      <c r="E526">
        <v>3.1550000000000002E-2</v>
      </c>
      <c r="F526">
        <v>42789098</v>
      </c>
      <c r="G526">
        <v>0</v>
      </c>
      <c r="L526" t="s">
        <v>7</v>
      </c>
      <c r="M526" t="s">
        <v>8</v>
      </c>
      <c r="N526" t="s">
        <v>8</v>
      </c>
      <c r="P526">
        <f t="shared" si="984"/>
        <v>-0.9541284403669712</v>
      </c>
      <c r="Q526">
        <f t="shared" si="985"/>
        <v>-40826295.339449488</v>
      </c>
      <c r="R526">
        <f t="shared" si="986"/>
        <v>276405363.97526956</v>
      </c>
      <c r="S526">
        <f t="shared" si="987"/>
        <v>2764.0536397526957</v>
      </c>
      <c r="T526">
        <f t="shared" si="988"/>
        <v>2.7640536397526958</v>
      </c>
    </row>
    <row r="527" spans="1:20" x14ac:dyDescent="0.25">
      <c r="A527" s="5">
        <v>44066</v>
      </c>
      <c r="B527">
        <v>3.2039999999999999E-2</v>
      </c>
      <c r="C527">
        <v>3.5000000000000003E-2</v>
      </c>
      <c r="D527">
        <v>3.1390000000000001E-2</v>
      </c>
      <c r="E527">
        <v>3.3119999999999997E-2</v>
      </c>
      <c r="F527">
        <v>74874105.299999997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-4.1551246537399208E-2</v>
      </c>
      <c r="Q527">
        <f t="shared" si="985"/>
        <v>-3111112.4085874888</v>
      </c>
      <c r="R527">
        <f t="shared" si="986"/>
        <v>317231659.31471902</v>
      </c>
      <c r="S527">
        <f t="shared" si="987"/>
        <v>3172.3165931471904</v>
      </c>
      <c r="T527">
        <f t="shared" si="988"/>
        <v>3.1723165931471904</v>
      </c>
    </row>
    <row r="528" spans="1:20" x14ac:dyDescent="0.25">
      <c r="A528" s="5">
        <v>44065</v>
      </c>
      <c r="B528">
        <v>2.8029999999999999E-2</v>
      </c>
      <c r="C528">
        <v>3.5130000000000002E-2</v>
      </c>
      <c r="D528">
        <v>2.3730000000000001E-2</v>
      </c>
      <c r="E528">
        <v>3.2059999999999998E-2</v>
      </c>
      <c r="F528">
        <v>214514685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0.46140350877192926</v>
      </c>
      <c r="Q528">
        <f t="shared" si="985"/>
        <v>98977828.342105135</v>
      </c>
      <c r="R528">
        <f t="shared" si="986"/>
        <v>320342771.72330654</v>
      </c>
      <c r="S528">
        <f t="shared" si="987"/>
        <v>3203.4277172330653</v>
      </c>
      <c r="T528">
        <f t="shared" si="988"/>
        <v>3.2034277172330654</v>
      </c>
    </row>
    <row r="529" spans="1:20" x14ac:dyDescent="0.25">
      <c r="A529" s="5">
        <v>44064</v>
      </c>
      <c r="B529">
        <v>3.5299999999999998E-2</v>
      </c>
      <c r="C529">
        <v>3.5990000000000001E-2</v>
      </c>
      <c r="D529">
        <v>2.7279999999999999E-2</v>
      </c>
      <c r="E529">
        <v>2.8119999999999999E-2</v>
      </c>
      <c r="F529">
        <v>149990972.5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-0.80711825487944888</v>
      </c>
      <c r="Q529">
        <f t="shared" si="985"/>
        <v>-121060451.97187141</v>
      </c>
      <c r="R529">
        <f t="shared" si="986"/>
        <v>221364943.38120142</v>
      </c>
      <c r="S529">
        <f t="shared" si="987"/>
        <v>2213.6494338120142</v>
      </c>
      <c r="T529">
        <f t="shared" si="988"/>
        <v>2.2136494338120141</v>
      </c>
    </row>
    <row r="530" spans="1:20" x14ac:dyDescent="0.25">
      <c r="A530" s="5">
        <v>44063</v>
      </c>
      <c r="B530">
        <v>2.9829999999999999E-2</v>
      </c>
      <c r="C530">
        <v>3.807E-2</v>
      </c>
      <c r="D530">
        <v>2.921E-2</v>
      </c>
      <c r="E530">
        <v>3.5439999999999999E-2</v>
      </c>
      <c r="F530">
        <v>248930819.19999999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0.40632054176072224</v>
      </c>
      <c r="Q530">
        <f t="shared" si="985"/>
        <v>101145705.31828439</v>
      </c>
      <c r="R530">
        <f t="shared" si="986"/>
        <v>342425395.35307282</v>
      </c>
      <c r="S530">
        <f t="shared" si="987"/>
        <v>3424.2539535307283</v>
      </c>
      <c r="T530">
        <f t="shared" si="988"/>
        <v>3.4242539535307284</v>
      </c>
    </row>
    <row r="531" spans="1:20" x14ac:dyDescent="0.25">
      <c r="A531" s="5">
        <v>44062</v>
      </c>
      <c r="B531">
        <v>2.964E-2</v>
      </c>
      <c r="C531">
        <v>3.1E-2</v>
      </c>
      <c r="D531">
        <v>2.623E-2</v>
      </c>
      <c r="E531">
        <v>2.9850000000000002E-2</v>
      </c>
      <c r="F531">
        <v>151796382.19999999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0.51781970649895248</v>
      </c>
      <c r="Q531">
        <f t="shared" si="985"/>
        <v>78603158.078406811</v>
      </c>
      <c r="R531">
        <f t="shared" si="986"/>
        <v>241279690.03478843</v>
      </c>
      <c r="S531">
        <f t="shared" si="987"/>
        <v>2412.7969003478843</v>
      </c>
      <c r="T531">
        <f t="shared" si="988"/>
        <v>2.4127969003478844</v>
      </c>
    </row>
    <row r="532" spans="1:20" x14ac:dyDescent="0.25">
      <c r="A532" s="5">
        <v>44061</v>
      </c>
      <c r="B532">
        <v>2.6329999999999999E-2</v>
      </c>
      <c r="C532">
        <v>3.2829999999999998E-2</v>
      </c>
      <c r="D532">
        <v>2.6020000000000001E-2</v>
      </c>
      <c r="E532">
        <v>2.954E-2</v>
      </c>
      <c r="F532">
        <v>221612692.30000001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3.3773861967694739E-2</v>
      </c>
      <c r="Q532">
        <f t="shared" si="985"/>
        <v>7484716.480029407</v>
      </c>
      <c r="R532">
        <f t="shared" si="986"/>
        <v>162676531.95638162</v>
      </c>
      <c r="S532">
        <f t="shared" si="987"/>
        <v>1626.7653195638161</v>
      </c>
      <c r="T532">
        <f t="shared" si="988"/>
        <v>1.6267653195638161</v>
      </c>
    </row>
    <row r="533" spans="1:20" x14ac:dyDescent="0.25">
      <c r="A533" s="5">
        <v>44060</v>
      </c>
      <c r="B533">
        <v>2.6120000000000001E-2</v>
      </c>
      <c r="C533">
        <v>2.8709999999999999E-2</v>
      </c>
      <c r="D533">
        <v>2.5569999999999999E-2</v>
      </c>
      <c r="E533">
        <v>2.631E-2</v>
      </c>
      <c r="F533">
        <v>110143099.59999999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-0.52866242038216493</v>
      </c>
      <c r="Q533">
        <f t="shared" si="985"/>
        <v>-58228517.622929856</v>
      </c>
      <c r="R533">
        <f t="shared" si="986"/>
        <v>155191815.47635221</v>
      </c>
      <c r="S533">
        <f t="shared" si="987"/>
        <v>1551.9181547635221</v>
      </c>
      <c r="T533">
        <f t="shared" si="988"/>
        <v>1.5519181547635221</v>
      </c>
    </row>
    <row r="534" spans="1:20" x14ac:dyDescent="0.25">
      <c r="A534" s="5">
        <v>44059</v>
      </c>
      <c r="B534">
        <v>2.7119999999999998E-2</v>
      </c>
      <c r="C534">
        <v>2.9309999999999999E-2</v>
      </c>
      <c r="D534">
        <v>2.5010000000000001E-2</v>
      </c>
      <c r="E534">
        <v>2.6110000000000001E-2</v>
      </c>
      <c r="F534">
        <v>276519929.10000002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-0.48837209302325546</v>
      </c>
      <c r="Q534">
        <f t="shared" si="985"/>
        <v>-135044616.53720921</v>
      </c>
      <c r="R534">
        <f t="shared" si="986"/>
        <v>213420333.09928209</v>
      </c>
      <c r="S534">
        <f t="shared" si="987"/>
        <v>2134.2033309928211</v>
      </c>
      <c r="T534">
        <f t="shared" si="988"/>
        <v>2.134203330992821</v>
      </c>
    </row>
    <row r="535" spans="1:20" x14ac:dyDescent="0.25">
      <c r="A535" s="5">
        <v>44058</v>
      </c>
      <c r="B535">
        <v>1.9900000000000001E-2</v>
      </c>
      <c r="C535">
        <v>3.1029999999999999E-2</v>
      </c>
      <c r="D535">
        <v>1.9369999999999998E-2</v>
      </c>
      <c r="E535">
        <v>2.7130000000000001E-2</v>
      </c>
      <c r="F535">
        <v>337488099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0.33104631217838815</v>
      </c>
      <c r="Q535">
        <f t="shared" si="985"/>
        <v>111724190.57804476</v>
      </c>
      <c r="R535">
        <f t="shared" si="986"/>
        <v>348464949.6364913</v>
      </c>
      <c r="S535">
        <f t="shared" si="987"/>
        <v>3484.6494963649129</v>
      </c>
      <c r="T535">
        <f t="shared" si="988"/>
        <v>3.4846494963649128</v>
      </c>
    </row>
    <row r="536" spans="1:20" x14ac:dyDescent="0.25">
      <c r="A536" s="5">
        <v>44057</v>
      </c>
      <c r="B536">
        <v>1.9120000000000002E-2</v>
      </c>
      <c r="C536">
        <v>2.0709999999999999E-2</v>
      </c>
      <c r="D536">
        <v>1.881E-2</v>
      </c>
      <c r="E536">
        <v>1.9859999999999999E-2</v>
      </c>
      <c r="F536">
        <v>78494765.900000006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0.10526315789473627</v>
      </c>
      <c r="Q536">
        <f t="shared" si="985"/>
        <v>8262606.9368420606</v>
      </c>
      <c r="R536">
        <f t="shared" si="986"/>
        <v>236740759.05844656</v>
      </c>
      <c r="S536">
        <f t="shared" si="987"/>
        <v>2367.4075905844657</v>
      </c>
      <c r="T536">
        <f t="shared" si="988"/>
        <v>2.3674075905844658</v>
      </c>
    </row>
    <row r="537" spans="1:20" x14ac:dyDescent="0.25">
      <c r="A537" s="5">
        <v>44056</v>
      </c>
      <c r="B537">
        <v>1.866E-2</v>
      </c>
      <c r="C537">
        <v>2.18E-2</v>
      </c>
      <c r="D537">
        <v>1.814E-2</v>
      </c>
      <c r="E537">
        <v>1.916E-2</v>
      </c>
      <c r="F537">
        <v>195738995.90000001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-0.44262295081967212</v>
      </c>
      <c r="Q537">
        <f t="shared" si="985"/>
        <v>-86638571.95573771</v>
      </c>
      <c r="R537">
        <f t="shared" si="986"/>
        <v>228478152.1216045</v>
      </c>
      <c r="S537">
        <f t="shared" si="987"/>
        <v>2284.7815212160449</v>
      </c>
      <c r="T537">
        <f t="shared" si="988"/>
        <v>2.2847815212160447</v>
      </c>
    </row>
    <row r="538" spans="1:20" x14ac:dyDescent="0.25">
      <c r="A538" s="5">
        <v>44055</v>
      </c>
      <c r="B538">
        <v>1.6219999999999998E-2</v>
      </c>
      <c r="C538">
        <v>1.9400000000000001E-2</v>
      </c>
      <c r="D538">
        <v>1.473E-2</v>
      </c>
      <c r="E538">
        <v>1.8689999999999998E-2</v>
      </c>
      <c r="F538">
        <v>176750546.69999999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0.69593147751605899</v>
      </c>
      <c r="Q538">
        <f t="shared" si="985"/>
        <v>123006269.11670218</v>
      </c>
      <c r="R538">
        <f t="shared" si="986"/>
        <v>315116724.07734221</v>
      </c>
      <c r="S538">
        <f t="shared" si="987"/>
        <v>3151.1672407734222</v>
      </c>
      <c r="T538">
        <f t="shared" si="988"/>
        <v>3.1511672407734221</v>
      </c>
    </row>
    <row r="539" spans="1:20" x14ac:dyDescent="0.25">
      <c r="A539" s="5">
        <v>44054</v>
      </c>
      <c r="B539">
        <v>1.831E-2</v>
      </c>
      <c r="C539">
        <v>1.8350000000000002E-2</v>
      </c>
      <c r="D539">
        <v>1.525E-2</v>
      </c>
      <c r="E539">
        <v>1.6289999999999999E-2</v>
      </c>
      <c r="F539">
        <v>112488909.5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-0.32903225806451708</v>
      </c>
      <c r="Q539">
        <f t="shared" si="985"/>
        <v>-37012479.90000011</v>
      </c>
      <c r="R539">
        <f t="shared" si="986"/>
        <v>192110454.96064001</v>
      </c>
      <c r="S539">
        <f t="shared" si="987"/>
        <v>1921.1045496064</v>
      </c>
      <c r="T539">
        <f t="shared" si="988"/>
        <v>1.9211045496064001</v>
      </c>
    </row>
    <row r="540" spans="1:20" x14ac:dyDescent="0.25">
      <c r="A540" s="5">
        <v>44053</v>
      </c>
      <c r="B540">
        <v>1.8100000000000002E-2</v>
      </c>
      <c r="C540">
        <v>1.8599999999999998E-2</v>
      </c>
      <c r="D540">
        <v>1.6760000000000001E-2</v>
      </c>
      <c r="E540">
        <v>1.84E-2</v>
      </c>
      <c r="F540">
        <v>131680364.2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0.78260869565217495</v>
      </c>
      <c r="Q540">
        <f t="shared" si="985"/>
        <v>103054198.06956536</v>
      </c>
      <c r="R540">
        <f t="shared" si="986"/>
        <v>229122934.86064011</v>
      </c>
      <c r="S540">
        <f t="shared" si="987"/>
        <v>2291.2293486064009</v>
      </c>
      <c r="T540">
        <f t="shared" si="988"/>
        <v>2.291229348606401</v>
      </c>
    </row>
    <row r="541" spans="1:20" x14ac:dyDescent="0.25">
      <c r="A541" s="5">
        <v>44052</v>
      </c>
      <c r="B541">
        <v>1.7399999999999999E-2</v>
      </c>
      <c r="C541">
        <v>1.916E-2</v>
      </c>
      <c r="D541">
        <v>1.6660000000000001E-2</v>
      </c>
      <c r="E541">
        <v>1.806E-2</v>
      </c>
      <c r="F541">
        <v>138055627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0.11999999999999933</v>
      </c>
      <c r="Q541">
        <f t="shared" si="985"/>
        <v>16566675.239999907</v>
      </c>
      <c r="R541">
        <f t="shared" si="986"/>
        <v>126068736.79107474</v>
      </c>
      <c r="S541">
        <f t="shared" si="987"/>
        <v>1260.6873679107473</v>
      </c>
      <c r="T541">
        <f t="shared" si="988"/>
        <v>1.2606873679107473</v>
      </c>
    </row>
    <row r="542" spans="1:20" x14ac:dyDescent="0.25">
      <c r="A542" s="5">
        <v>44051</v>
      </c>
      <c r="B542">
        <v>1.6570000000000001E-2</v>
      </c>
      <c r="C542">
        <v>1.7979999999999999E-2</v>
      </c>
      <c r="D542">
        <v>1.6219999999999998E-2</v>
      </c>
      <c r="E542">
        <v>1.7399999999999999E-2</v>
      </c>
      <c r="F542">
        <v>99054999.200000003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0.34090909090909061</v>
      </c>
      <c r="Q542">
        <f t="shared" si="985"/>
        <v>33768749.727272697</v>
      </c>
      <c r="R542">
        <f t="shared" si="986"/>
        <v>109502061.55107483</v>
      </c>
      <c r="S542">
        <f t="shared" si="987"/>
        <v>1095.0206155107483</v>
      </c>
      <c r="T542">
        <f t="shared" si="988"/>
        <v>1.0950206155107483</v>
      </c>
    </row>
    <row r="543" spans="1:20" x14ac:dyDescent="0.25">
      <c r="A543" s="5">
        <v>44050</v>
      </c>
      <c r="B543">
        <v>1.6119999999999999E-2</v>
      </c>
      <c r="C543">
        <v>1.7780000000000001E-2</v>
      </c>
      <c r="D543">
        <v>1.525E-2</v>
      </c>
      <c r="E543">
        <v>1.6580000000000001E-2</v>
      </c>
      <c r="F543">
        <v>123630822.7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5.1383399209486792E-2</v>
      </c>
      <c r="Q543">
        <f t="shared" si="985"/>
        <v>6352571.9173913822</v>
      </c>
      <c r="R543">
        <f t="shared" si="986"/>
        <v>75733311.823802143</v>
      </c>
      <c r="S543">
        <f t="shared" si="987"/>
        <v>757.33311823802148</v>
      </c>
      <c r="T543">
        <f t="shared" si="988"/>
        <v>0.75733311823802152</v>
      </c>
    </row>
    <row r="544" spans="1:20" x14ac:dyDescent="0.25">
      <c r="A544" s="5">
        <v>44049</v>
      </c>
      <c r="B544">
        <v>1.5720000000000001E-2</v>
      </c>
      <c r="C544">
        <v>1.7250000000000001E-2</v>
      </c>
      <c r="D544">
        <v>1.545E-2</v>
      </c>
      <c r="E544">
        <v>1.6129999999999999E-2</v>
      </c>
      <c r="F544">
        <v>166960119.90000001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-0.24444444444444685</v>
      </c>
      <c r="Q544">
        <f t="shared" si="985"/>
        <v>-40812473.75333374</v>
      </c>
      <c r="R544">
        <f t="shared" si="986"/>
        <v>69380739.906410754</v>
      </c>
      <c r="S544">
        <f t="shared" si="987"/>
        <v>693.80739906410759</v>
      </c>
      <c r="T544">
        <f t="shared" si="988"/>
        <v>0.6938073990641076</v>
      </c>
    </row>
    <row r="545" spans="1:20" x14ac:dyDescent="0.25">
      <c r="A545" s="5">
        <v>44048</v>
      </c>
      <c r="B545">
        <v>1.3690000000000001E-2</v>
      </c>
      <c r="C545">
        <v>1.619E-2</v>
      </c>
      <c r="D545">
        <v>1.345E-2</v>
      </c>
      <c r="E545">
        <v>1.5800000000000002E-2</v>
      </c>
      <c r="F545">
        <v>144284418.59999999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0.71532846715328613</v>
      </c>
      <c r="Q545">
        <f t="shared" si="985"/>
        <v>103210751.99124108</v>
      </c>
      <c r="R545">
        <f t="shared" si="986"/>
        <v>110193213.65974449</v>
      </c>
      <c r="S545">
        <f t="shared" si="987"/>
        <v>1101.9321365974449</v>
      </c>
      <c r="T545">
        <f t="shared" si="988"/>
        <v>1.1019321365974448</v>
      </c>
    </row>
    <row r="546" spans="1:20" x14ac:dyDescent="0.25">
      <c r="A546" s="5">
        <v>44047</v>
      </c>
      <c r="B546">
        <v>1.333E-2</v>
      </c>
      <c r="C546">
        <v>1.3979999999999999E-2</v>
      </c>
      <c r="D546">
        <v>1.2829999999999999E-2</v>
      </c>
      <c r="E546">
        <v>1.3679999999999999E-2</v>
      </c>
      <c r="F546">
        <v>83869021.200000003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0.47826086956521752</v>
      </c>
      <c r="Q546">
        <f t="shared" si="985"/>
        <v>40111271.008695662</v>
      </c>
      <c r="R546">
        <f t="shared" si="986"/>
        <v>6982461.6685034037</v>
      </c>
      <c r="S546">
        <f t="shared" si="987"/>
        <v>69.82461668503403</v>
      </c>
      <c r="T546">
        <f t="shared" si="988"/>
        <v>6.9824616685034036E-2</v>
      </c>
    </row>
    <row r="547" spans="1:20" x14ac:dyDescent="0.25">
      <c r="A547" s="5">
        <v>44046</v>
      </c>
      <c r="B547">
        <v>1.3050000000000001E-2</v>
      </c>
      <c r="C547">
        <v>1.3939999999999999E-2</v>
      </c>
      <c r="D547">
        <v>1.295E-2</v>
      </c>
      <c r="E547">
        <v>1.333E-2</v>
      </c>
      <c r="F547">
        <v>90152438.200000003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-0.23232323232323171</v>
      </c>
      <c r="Q547">
        <f t="shared" si="985"/>
        <v>-20944505.84444439</v>
      </c>
      <c r="R547">
        <f t="shared" si="986"/>
        <v>-33128809.340192258</v>
      </c>
      <c r="S547">
        <f t="shared" si="987"/>
        <v>-331.28809340192259</v>
      </c>
      <c r="T547">
        <f t="shared" si="988"/>
        <v>-0.33128809340192261</v>
      </c>
    </row>
    <row r="548" spans="1:20" x14ac:dyDescent="0.25">
      <c r="A548" s="5">
        <v>44045</v>
      </c>
      <c r="B548">
        <v>1.2959999999999999E-2</v>
      </c>
      <c r="C548">
        <v>1.393E-2</v>
      </c>
      <c r="D548">
        <v>1.1809999999999999E-2</v>
      </c>
      <c r="E548">
        <v>1.3050000000000001E-2</v>
      </c>
      <c r="F548">
        <v>92109567.400000006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0.16981132075471822</v>
      </c>
      <c r="Q548">
        <f t="shared" si="985"/>
        <v>15641247.294339737</v>
      </c>
      <c r="R548">
        <f t="shared" si="986"/>
        <v>-12184303.49574787</v>
      </c>
      <c r="S548">
        <f t="shared" si="987"/>
        <v>-121.84303495747869</v>
      </c>
      <c r="T548">
        <f t="shared" si="988"/>
        <v>-0.1218430349574787</v>
      </c>
    </row>
    <row r="549" spans="1:20" x14ac:dyDescent="0.25">
      <c r="A549" s="5">
        <v>44044</v>
      </c>
      <c r="B549">
        <v>1.324E-2</v>
      </c>
      <c r="C549">
        <v>1.362E-2</v>
      </c>
      <c r="D549">
        <v>1.2800000000000001E-2</v>
      </c>
      <c r="E549">
        <v>1.3010000000000001E-2</v>
      </c>
      <c r="F549">
        <v>65413063.100000001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-0.48780487804877992</v>
      </c>
      <c r="Q549">
        <f t="shared" si="985"/>
        <v>-31908811.268292647</v>
      </c>
      <c r="R549">
        <f t="shared" si="986"/>
        <v>-27825550.790087607</v>
      </c>
      <c r="S549">
        <f t="shared" si="987"/>
        <v>-278.25550790087607</v>
      </c>
      <c r="T549">
        <f t="shared" si="988"/>
        <v>-0.27825550790087605</v>
      </c>
    </row>
    <row r="550" spans="1:20" x14ac:dyDescent="0.25">
      <c r="A550" s="5">
        <v>44043</v>
      </c>
      <c r="B550">
        <v>1.3820000000000001E-2</v>
      </c>
      <c r="C550">
        <v>1.4460000000000001E-2</v>
      </c>
      <c r="D550">
        <v>1.295E-2</v>
      </c>
      <c r="E550">
        <v>1.3259999999999999E-2</v>
      </c>
      <c r="F550">
        <v>110601740.40000001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-0.58940397350993468</v>
      </c>
      <c r="Q550">
        <f t="shared" si="985"/>
        <v>-65189105.268874273</v>
      </c>
      <c r="R550">
        <f t="shared" si="986"/>
        <v>4083260.4782050401</v>
      </c>
      <c r="S550">
        <f t="shared" si="987"/>
        <v>40.832604782050403</v>
      </c>
      <c r="T550">
        <f t="shared" si="988"/>
        <v>4.0832604782050405E-2</v>
      </c>
    </row>
    <row r="551" spans="1:20" x14ac:dyDescent="0.25">
      <c r="A551" s="5">
        <v>44042</v>
      </c>
      <c r="B551">
        <v>1.2670000000000001E-2</v>
      </c>
      <c r="C551">
        <v>1.474E-2</v>
      </c>
      <c r="D551">
        <v>1.2619999999999999E-2</v>
      </c>
      <c r="E551">
        <v>1.3809999999999999E-2</v>
      </c>
      <c r="F551">
        <v>134876930.09999999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0.12264150943396215</v>
      </c>
      <c r="Q551">
        <f t="shared" si="985"/>
        <v>16541510.295283003</v>
      </c>
      <c r="R551">
        <f t="shared" si="986"/>
        <v>69272365.747079313</v>
      </c>
      <c r="S551">
        <f t="shared" si="987"/>
        <v>692.72365747079311</v>
      </c>
      <c r="T551">
        <f t="shared" si="988"/>
        <v>0.69272365747079312</v>
      </c>
    </row>
    <row r="552" spans="1:20" x14ac:dyDescent="0.25">
      <c r="A552" s="5">
        <v>44041</v>
      </c>
      <c r="B552">
        <v>1.2999999999999999E-2</v>
      </c>
      <c r="C552">
        <v>1.3979999999999999E-2</v>
      </c>
      <c r="D552">
        <v>1.244E-2</v>
      </c>
      <c r="E552">
        <v>1.265E-2</v>
      </c>
      <c r="F552">
        <v>94014209.799999997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-0.72727272727272707</v>
      </c>
      <c r="Q552">
        <f t="shared" si="985"/>
        <v>-68373970.763636336</v>
      </c>
      <c r="R552">
        <f t="shared" si="986"/>
        <v>52730855.451796308</v>
      </c>
      <c r="S552">
        <f t="shared" si="987"/>
        <v>527.3085545179631</v>
      </c>
      <c r="T552">
        <f t="shared" si="988"/>
        <v>0.5273085545179631</v>
      </c>
    </row>
    <row r="553" spans="1:20" x14ac:dyDescent="0.25">
      <c r="A553" s="5">
        <v>44040</v>
      </c>
      <c r="B553">
        <v>1.2319999999999999E-2</v>
      </c>
      <c r="C553">
        <v>1.418E-2</v>
      </c>
      <c r="D553">
        <v>1.2E-2</v>
      </c>
      <c r="E553">
        <v>1.294E-2</v>
      </c>
      <c r="F553">
        <v>134993142.09999999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-0.13761467889908255</v>
      </c>
      <c r="Q553">
        <f t="shared" si="985"/>
        <v>-18577037.903669722</v>
      </c>
      <c r="R553">
        <f t="shared" si="986"/>
        <v>121104826.21543264</v>
      </c>
      <c r="S553">
        <f t="shared" si="987"/>
        <v>1211.0482621543265</v>
      </c>
      <c r="T553">
        <f t="shared" si="988"/>
        <v>1.2110482621543266</v>
      </c>
    </row>
    <row r="554" spans="1:20" x14ac:dyDescent="0.25">
      <c r="A554" s="5">
        <v>44039</v>
      </c>
      <c r="B554">
        <v>1.511E-2</v>
      </c>
      <c r="C554">
        <v>1.5299999999999999E-2</v>
      </c>
      <c r="D554">
        <v>1.0999999999999999E-2</v>
      </c>
      <c r="E554">
        <v>1.2370000000000001E-2</v>
      </c>
      <c r="F554">
        <v>257804478.59999999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-0.36279069767441796</v>
      </c>
      <c r="Q554">
        <f t="shared" si="985"/>
        <v>-93529066.654883549</v>
      </c>
      <c r="R554">
        <f t="shared" si="986"/>
        <v>139681864.11910236</v>
      </c>
      <c r="S554">
        <f t="shared" si="987"/>
        <v>1396.8186411910235</v>
      </c>
      <c r="T554">
        <f t="shared" si="988"/>
        <v>1.3968186411910235</v>
      </c>
    </row>
    <row r="555" spans="1:20" x14ac:dyDescent="0.25">
      <c r="A555" s="5">
        <v>44038</v>
      </c>
      <c r="B555">
        <v>1.3899999999999999E-2</v>
      </c>
      <c r="C555">
        <v>1.52E-2</v>
      </c>
      <c r="D555">
        <v>1.323E-2</v>
      </c>
      <c r="E555">
        <v>1.511E-2</v>
      </c>
      <c r="F555">
        <v>137829210.90000001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0.90862944162436565</v>
      </c>
      <c r="Q555">
        <f t="shared" si="985"/>
        <v>125235678.93959394</v>
      </c>
      <c r="R555">
        <f t="shared" si="986"/>
        <v>233210930.77398592</v>
      </c>
      <c r="S555">
        <f t="shared" si="987"/>
        <v>2332.1093077398591</v>
      </c>
      <c r="T555">
        <f t="shared" si="988"/>
        <v>2.3321093077398589</v>
      </c>
    </row>
    <row r="556" spans="1:20" x14ac:dyDescent="0.25">
      <c r="A556" s="5">
        <v>44037</v>
      </c>
      <c r="B556">
        <v>1.468E-2</v>
      </c>
      <c r="C556">
        <v>1.567E-2</v>
      </c>
      <c r="D556">
        <v>1.38E-2</v>
      </c>
      <c r="E556">
        <v>1.389E-2</v>
      </c>
      <c r="F556">
        <v>160842603.90000001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-0.90374331550802156</v>
      </c>
      <c r="Q556">
        <f t="shared" si="985"/>
        <v>-145360428.12352943</v>
      </c>
      <c r="R556">
        <f t="shared" si="986"/>
        <v>107975251.83439198</v>
      </c>
      <c r="S556">
        <f t="shared" si="987"/>
        <v>1079.7525183439197</v>
      </c>
      <c r="T556">
        <f t="shared" si="988"/>
        <v>1.0797525183439198</v>
      </c>
    </row>
    <row r="557" spans="1:20" x14ac:dyDescent="0.25">
      <c r="A557" s="5">
        <v>44036</v>
      </c>
      <c r="B557">
        <v>1.457E-2</v>
      </c>
      <c r="C557">
        <v>1.4710000000000001E-2</v>
      </c>
      <c r="D557">
        <v>1.349E-2</v>
      </c>
      <c r="E557">
        <v>1.468E-2</v>
      </c>
      <c r="F557">
        <v>80256661.099999994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0.95081967213114671</v>
      </c>
      <c r="Q557">
        <f t="shared" si="985"/>
        <v>76309612.193442553</v>
      </c>
      <c r="R557">
        <f t="shared" si="986"/>
        <v>253335679.95792142</v>
      </c>
      <c r="S557">
        <f t="shared" si="987"/>
        <v>2533.3567995792141</v>
      </c>
      <c r="T557">
        <f t="shared" si="988"/>
        <v>2.5333567995792139</v>
      </c>
    </row>
    <row r="558" spans="1:20" x14ac:dyDescent="0.25">
      <c r="A558" s="5">
        <v>44035</v>
      </c>
      <c r="B558">
        <v>1.482E-2</v>
      </c>
      <c r="C558">
        <v>1.602E-2</v>
      </c>
      <c r="D558">
        <v>1.4E-2</v>
      </c>
      <c r="E558">
        <v>1.457E-2</v>
      </c>
      <c r="F558">
        <v>183516356.69999999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-0.43564356435643609</v>
      </c>
      <c r="Q558">
        <f t="shared" si="985"/>
        <v>-79947719.750495121</v>
      </c>
      <c r="R558">
        <f t="shared" si="986"/>
        <v>177026067.76447886</v>
      </c>
      <c r="S558">
        <f t="shared" si="987"/>
        <v>1770.2606776447885</v>
      </c>
      <c r="T558">
        <f t="shared" si="988"/>
        <v>1.7702606776447884</v>
      </c>
    </row>
    <row r="559" spans="1:20" x14ac:dyDescent="0.25">
      <c r="A559" s="5">
        <v>44034</v>
      </c>
      <c r="B559">
        <v>1.529E-2</v>
      </c>
      <c r="C559">
        <v>1.6619999999999999E-2</v>
      </c>
      <c r="D559">
        <v>1.452E-2</v>
      </c>
      <c r="E559">
        <v>1.482E-2</v>
      </c>
      <c r="F559">
        <v>210568509.19999999</v>
      </c>
      <c r="G559">
        <v>0</v>
      </c>
      <c r="L559" t="s">
        <v>7</v>
      </c>
      <c r="M559" t="s">
        <v>7</v>
      </c>
      <c r="N559" t="s">
        <v>8</v>
      </c>
      <c r="P559">
        <f t="shared" si="984"/>
        <v>-0.7142857142857143</v>
      </c>
      <c r="Q559">
        <f t="shared" si="985"/>
        <v>-150406078</v>
      </c>
      <c r="R559">
        <f t="shared" si="986"/>
        <v>256973787.514974</v>
      </c>
      <c r="S559">
        <f t="shared" si="987"/>
        <v>2569.7378751497399</v>
      </c>
      <c r="T559">
        <f t="shared" si="988"/>
        <v>2.5697378751497397</v>
      </c>
    </row>
    <row r="560" spans="1:20" x14ac:dyDescent="0.25">
      <c r="A560" s="5">
        <v>44033</v>
      </c>
      <c r="B560">
        <v>1.6160000000000001E-2</v>
      </c>
      <c r="C560">
        <v>1.95E-2</v>
      </c>
      <c r="D560">
        <v>1.4760000000000001E-2</v>
      </c>
      <c r="E560">
        <v>1.524E-2</v>
      </c>
      <c r="F560">
        <v>545138916.10000002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-0.79746835443037989</v>
      </c>
      <c r="Q560">
        <f t="shared" si="985"/>
        <v>-434731034.35822797</v>
      </c>
      <c r="R560">
        <f t="shared" si="986"/>
        <v>407379865.514974</v>
      </c>
      <c r="S560">
        <f t="shared" si="987"/>
        <v>4073.7986551497402</v>
      </c>
      <c r="T560">
        <f t="shared" si="988"/>
        <v>4.0737986551497398</v>
      </c>
    </row>
    <row r="561" spans="1:104" x14ac:dyDescent="0.25">
      <c r="A561" s="5">
        <v>44032</v>
      </c>
      <c r="B561">
        <v>1.281E-2</v>
      </c>
      <c r="C561">
        <v>1.7129999999999999E-2</v>
      </c>
      <c r="D561">
        <v>1.2330000000000001E-2</v>
      </c>
      <c r="E561">
        <v>1.6150000000000001E-2</v>
      </c>
      <c r="F561">
        <v>526128986.69999999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0.59166666666666734</v>
      </c>
      <c r="Q561">
        <f t="shared" si="985"/>
        <v>311292983.79750037</v>
      </c>
      <c r="R561">
        <f t="shared" si="986"/>
        <v>842110899.87320197</v>
      </c>
      <c r="S561">
        <f t="shared" si="987"/>
        <v>8421.1089987320192</v>
      </c>
      <c r="T561">
        <f t="shared" si="988"/>
        <v>8.42110899873202</v>
      </c>
      <c r="CZ561" t="s">
        <v>7</v>
      </c>
    </row>
    <row r="562" spans="1:104" x14ac:dyDescent="0.25">
      <c r="A562" s="5">
        <v>44031</v>
      </c>
      <c r="B562">
        <v>1.206E-2</v>
      </c>
      <c r="C562">
        <v>1.295E-2</v>
      </c>
      <c r="D562">
        <v>1.159E-2</v>
      </c>
      <c r="E562">
        <v>1.281E-2</v>
      </c>
      <c r="F562">
        <v>132154870.2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0.79411764705882426</v>
      </c>
      <c r="Q562">
        <f t="shared" si="985"/>
        <v>104946514.57058834</v>
      </c>
      <c r="R562">
        <f t="shared" si="986"/>
        <v>530817916.07570159</v>
      </c>
      <c r="S562">
        <f t="shared" si="987"/>
        <v>5308.1791607570158</v>
      </c>
      <c r="T562">
        <f t="shared" si="988"/>
        <v>5.3081791607570157</v>
      </c>
      <c r="CZ562" t="s">
        <v>7</v>
      </c>
    </row>
    <row r="563" spans="1:104" x14ac:dyDescent="0.25">
      <c r="A563" s="5">
        <v>44030</v>
      </c>
      <c r="B563">
        <v>1.2619999999999999E-2</v>
      </c>
      <c r="C563">
        <v>1.3100000000000001E-2</v>
      </c>
      <c r="D563">
        <v>1.158E-2</v>
      </c>
      <c r="E563">
        <v>1.2E-2</v>
      </c>
      <c r="F563">
        <v>226546845.30000001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-0.44736842105263147</v>
      </c>
      <c r="Q563">
        <f t="shared" si="985"/>
        <v>-101349904.47631577</v>
      </c>
      <c r="R563">
        <f t="shared" si="986"/>
        <v>425871401.50511324</v>
      </c>
      <c r="S563">
        <f t="shared" si="987"/>
        <v>4258.7140150511323</v>
      </c>
      <c r="T563">
        <f t="shared" si="988"/>
        <v>4.2587140150511322</v>
      </c>
      <c r="CZ563" t="s">
        <v>7</v>
      </c>
    </row>
    <row r="564" spans="1:104" x14ac:dyDescent="0.25">
      <c r="A564" s="5">
        <v>44029</v>
      </c>
      <c r="B564">
        <v>1.013E-2</v>
      </c>
      <c r="C564">
        <v>1.277E-2</v>
      </c>
      <c r="D564">
        <v>9.8499999999999994E-3</v>
      </c>
      <c r="E564">
        <v>1.268E-2</v>
      </c>
      <c r="F564">
        <v>334840624.89999998</v>
      </c>
      <c r="G564">
        <v>0</v>
      </c>
      <c r="L564" t="s">
        <v>8</v>
      </c>
      <c r="M564" t="s">
        <v>8</v>
      </c>
      <c r="N564" t="s">
        <v>7</v>
      </c>
      <c r="P564">
        <f t="shared" si="984"/>
        <v>0.93835616438356184</v>
      </c>
      <c r="Q564">
        <f t="shared" si="985"/>
        <v>314199764.46095896</v>
      </c>
      <c r="R564">
        <f t="shared" si="986"/>
        <v>527221305.98142898</v>
      </c>
      <c r="S564">
        <f t="shared" si="987"/>
        <v>5272.2130598142894</v>
      </c>
      <c r="T564">
        <f t="shared" si="988"/>
        <v>5.2722130598142893</v>
      </c>
    </row>
    <row r="565" spans="1:104" x14ac:dyDescent="0.25">
      <c r="A565" s="5">
        <v>44028</v>
      </c>
      <c r="B565">
        <v>1.06E-2</v>
      </c>
      <c r="C565">
        <v>1.0710000000000001E-2</v>
      </c>
      <c r="D565">
        <v>9.41E-3</v>
      </c>
      <c r="E565">
        <v>1.013E-2</v>
      </c>
      <c r="F565">
        <v>121678352.5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0.10769230769230724</v>
      </c>
      <c r="Q565">
        <f t="shared" si="985"/>
        <v>13103822.576923022</v>
      </c>
      <c r="R565">
        <f t="shared" si="986"/>
        <v>213021541.52047002</v>
      </c>
      <c r="S565">
        <f t="shared" si="987"/>
        <v>2130.2154152047001</v>
      </c>
      <c r="T565">
        <f t="shared" si="988"/>
        <v>2.1302154152047001</v>
      </c>
    </row>
    <row r="566" spans="1:104" x14ac:dyDescent="0.25">
      <c r="A566" s="5">
        <v>44027</v>
      </c>
      <c r="B566">
        <v>1.076E-2</v>
      </c>
      <c r="C566">
        <v>1.094E-2</v>
      </c>
      <c r="D566">
        <v>1.025E-2</v>
      </c>
      <c r="E566">
        <v>1.06E-2</v>
      </c>
      <c r="F566">
        <v>71207252.299999997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1.4492753623187823E-2</v>
      </c>
      <c r="Q566">
        <f t="shared" si="985"/>
        <v>1031989.1637680744</v>
      </c>
      <c r="R566">
        <f t="shared" si="986"/>
        <v>199917718.94354701</v>
      </c>
      <c r="S566">
        <f t="shared" si="987"/>
        <v>1999.1771894354702</v>
      </c>
      <c r="T566">
        <f t="shared" si="988"/>
        <v>1.9991771894354702</v>
      </c>
    </row>
    <row r="567" spans="1:104" x14ac:dyDescent="0.25">
      <c r="A567" s="5">
        <v>44026</v>
      </c>
      <c r="B567">
        <v>1.0699999999999999E-2</v>
      </c>
      <c r="C567">
        <v>1.128E-2</v>
      </c>
      <c r="D567">
        <v>1.0410000000000001E-2</v>
      </c>
      <c r="E567">
        <v>1.077E-2</v>
      </c>
      <c r="F567">
        <v>105144248.3</v>
      </c>
      <c r="G567">
        <v>0</v>
      </c>
      <c r="L567" t="s">
        <v>8</v>
      </c>
      <c r="M567" t="s">
        <v>7</v>
      </c>
      <c r="N567" t="s">
        <v>7</v>
      </c>
      <c r="P567">
        <f t="shared" si="984"/>
        <v>-0.17241379310344937</v>
      </c>
      <c r="Q567">
        <f t="shared" si="985"/>
        <v>-18128318.672413908</v>
      </c>
      <c r="R567">
        <f t="shared" si="986"/>
        <v>198885729.77977893</v>
      </c>
      <c r="S567">
        <f t="shared" si="987"/>
        <v>1988.8572977977892</v>
      </c>
      <c r="T567">
        <f t="shared" si="988"/>
        <v>1.9888572977977892</v>
      </c>
    </row>
    <row r="568" spans="1:104" x14ac:dyDescent="0.25">
      <c r="A568" s="5">
        <v>44025</v>
      </c>
      <c r="B568">
        <v>1.176E-2</v>
      </c>
      <c r="C568">
        <v>1.2200000000000001E-2</v>
      </c>
      <c r="D568">
        <v>1.0449999999999999E-2</v>
      </c>
      <c r="E568">
        <v>1.069E-2</v>
      </c>
      <c r="F568">
        <v>158151241.59999999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-0.7257142857142852</v>
      </c>
      <c r="Q568">
        <f t="shared" si="985"/>
        <v>-114772615.33257134</v>
      </c>
      <c r="R568">
        <f t="shared" si="986"/>
        <v>217014048.45219284</v>
      </c>
      <c r="S568">
        <f t="shared" si="987"/>
        <v>2170.1404845219286</v>
      </c>
      <c r="T568">
        <f t="shared" si="988"/>
        <v>2.1701404845219288</v>
      </c>
    </row>
    <row r="569" spans="1:104" x14ac:dyDescent="0.25">
      <c r="A569" s="5">
        <v>44024</v>
      </c>
      <c r="B569">
        <v>1.128E-2</v>
      </c>
      <c r="C569">
        <v>1.29E-2</v>
      </c>
      <c r="D569">
        <v>1.123E-2</v>
      </c>
      <c r="E569">
        <v>1.1730000000000001E-2</v>
      </c>
      <c r="F569">
        <v>193876052.5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-0.40119760479041849</v>
      </c>
      <c r="Q569">
        <f t="shared" si="985"/>
        <v>-77782607.88922143</v>
      </c>
      <c r="R569">
        <f t="shared" si="986"/>
        <v>331786663.78476417</v>
      </c>
      <c r="S569">
        <f t="shared" si="987"/>
        <v>3317.8666378476419</v>
      </c>
      <c r="T569">
        <f t="shared" si="988"/>
        <v>3.3178666378476418</v>
      </c>
    </row>
    <row r="570" spans="1:104" x14ac:dyDescent="0.25">
      <c r="A570" s="5">
        <v>44023</v>
      </c>
      <c r="B570">
        <v>1.0370000000000001E-2</v>
      </c>
      <c r="C570">
        <v>1.24E-2</v>
      </c>
      <c r="D570">
        <v>1.0319999999999999E-2</v>
      </c>
      <c r="E570">
        <v>1.1259999999999999E-2</v>
      </c>
      <c r="F570">
        <v>263247069.5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-9.6153846153846395E-2</v>
      </c>
      <c r="Q570">
        <f t="shared" si="985"/>
        <v>-25312218.221153911</v>
      </c>
      <c r="R570">
        <f t="shared" si="986"/>
        <v>409569271.6739856</v>
      </c>
      <c r="S570">
        <f t="shared" si="987"/>
        <v>4095.6927167398562</v>
      </c>
      <c r="T570">
        <f t="shared" si="988"/>
        <v>4.0956927167398565</v>
      </c>
    </row>
    <row r="571" spans="1:104" x14ac:dyDescent="0.25">
      <c r="A571" s="5">
        <v>44022</v>
      </c>
      <c r="B571">
        <v>1.116E-2</v>
      </c>
      <c r="C571">
        <v>1.1390000000000001E-2</v>
      </c>
      <c r="D571">
        <v>9.7900000000000001E-3</v>
      </c>
      <c r="E571">
        <v>1.0370000000000001E-2</v>
      </c>
      <c r="F571">
        <v>192463190.59999999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-0.27499999999999952</v>
      </c>
      <c r="Q571">
        <f t="shared" si="985"/>
        <v>-52927377.41499991</v>
      </c>
      <c r="R571">
        <f t="shared" si="986"/>
        <v>434881489.89513952</v>
      </c>
      <c r="S571">
        <f t="shared" si="987"/>
        <v>4348.8148989513948</v>
      </c>
      <c r="T571">
        <f t="shared" si="988"/>
        <v>4.3488148989513951</v>
      </c>
    </row>
    <row r="572" spans="1:104" x14ac:dyDescent="0.25">
      <c r="A572" s="5">
        <v>44021</v>
      </c>
      <c r="B572">
        <v>1.1560000000000001E-2</v>
      </c>
      <c r="C572">
        <v>1.17E-2</v>
      </c>
      <c r="D572">
        <v>1.051E-2</v>
      </c>
      <c r="E572">
        <v>1.1169999999999999E-2</v>
      </c>
      <c r="F572">
        <v>187174860.19999999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0.10924369747899006</v>
      </c>
      <c r="Q572">
        <f t="shared" si="985"/>
        <v>20447673.803361055</v>
      </c>
      <c r="R572">
        <f t="shared" si="986"/>
        <v>487808867.31013942</v>
      </c>
      <c r="S572">
        <f t="shared" si="987"/>
        <v>4878.0886731013943</v>
      </c>
      <c r="T572">
        <f t="shared" si="988"/>
        <v>4.8780886731013942</v>
      </c>
    </row>
    <row r="573" spans="1:104" x14ac:dyDescent="0.25">
      <c r="A573" s="5">
        <v>44020</v>
      </c>
      <c r="B573">
        <v>1.206E-2</v>
      </c>
      <c r="C573">
        <v>1.2290000000000001E-2</v>
      </c>
      <c r="D573">
        <v>1.129E-2</v>
      </c>
      <c r="E573">
        <v>1.1560000000000001E-2</v>
      </c>
      <c r="F573">
        <v>223898124.19999999</v>
      </c>
      <c r="G573">
        <v>0</v>
      </c>
      <c r="L573" t="s">
        <v>7</v>
      </c>
      <c r="M573" t="s">
        <v>7</v>
      </c>
      <c r="N573" t="s">
        <v>8</v>
      </c>
      <c r="P573">
        <f t="shared" si="984"/>
        <v>-0.45999999999999819</v>
      </c>
      <c r="Q573">
        <f t="shared" si="985"/>
        <v>-102993137.13199958</v>
      </c>
      <c r="R573">
        <f t="shared" si="986"/>
        <v>467361193.50677836</v>
      </c>
      <c r="S573">
        <f t="shared" si="987"/>
        <v>4673.6119350677836</v>
      </c>
      <c r="T573">
        <f t="shared" si="988"/>
        <v>4.6736119350677834</v>
      </c>
    </row>
    <row r="574" spans="1:104" x14ac:dyDescent="0.25">
      <c r="A574" s="5">
        <v>44019</v>
      </c>
      <c r="B574">
        <v>1.24E-2</v>
      </c>
      <c r="C574">
        <v>1.3639999999999999E-2</v>
      </c>
      <c r="D574">
        <v>1.1809999999999999E-2</v>
      </c>
      <c r="E574">
        <v>1.2120000000000001E-2</v>
      </c>
      <c r="F574">
        <v>270766751</v>
      </c>
      <c r="G574">
        <v>0</v>
      </c>
      <c r="L574" t="s">
        <v>7</v>
      </c>
      <c r="M574" t="s">
        <v>8</v>
      </c>
      <c r="N574" t="s">
        <v>8</v>
      </c>
      <c r="P574">
        <f t="shared" si="984"/>
        <v>-0.66120218579234835</v>
      </c>
      <c r="Q574">
        <f t="shared" si="985"/>
        <v>-179031567.60109252</v>
      </c>
      <c r="R574">
        <f t="shared" si="986"/>
        <v>570354330.63877797</v>
      </c>
      <c r="S574">
        <f t="shared" si="987"/>
        <v>5703.5433063877799</v>
      </c>
      <c r="T574">
        <f t="shared" si="988"/>
        <v>5.7035433063877798</v>
      </c>
    </row>
    <row r="575" spans="1:104" x14ac:dyDescent="0.25">
      <c r="A575" s="5">
        <v>44018</v>
      </c>
      <c r="B575">
        <v>1.1010000000000001E-2</v>
      </c>
      <c r="C575">
        <v>1.3899999999999999E-2</v>
      </c>
      <c r="D575">
        <v>1.056E-2</v>
      </c>
      <c r="E575">
        <v>1.24E-2</v>
      </c>
      <c r="F575">
        <v>529580314.80000001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0.10179640718562877</v>
      </c>
      <c r="Q575">
        <f t="shared" si="985"/>
        <v>53909373.362874269</v>
      </c>
      <c r="R575">
        <f t="shared" si="986"/>
        <v>749385898.23987055</v>
      </c>
      <c r="S575">
        <f t="shared" si="987"/>
        <v>7493.8589823987058</v>
      </c>
      <c r="T575">
        <f t="shared" si="988"/>
        <v>7.4938589823987058</v>
      </c>
    </row>
    <row r="576" spans="1:104" x14ac:dyDescent="0.25">
      <c r="A576" s="5">
        <v>44017</v>
      </c>
      <c r="B576">
        <v>1.141E-2</v>
      </c>
      <c r="C576">
        <v>1.225E-2</v>
      </c>
      <c r="D576">
        <v>1.021E-2</v>
      </c>
      <c r="E576">
        <v>1.106E-2</v>
      </c>
      <c r="F576">
        <v>360711951.80000001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-0.16666666666666666</v>
      </c>
      <c r="Q576">
        <f t="shared" si="985"/>
        <v>-60118658.633333333</v>
      </c>
      <c r="R576">
        <f t="shared" si="986"/>
        <v>695476524.87699628</v>
      </c>
      <c r="S576">
        <f t="shared" si="987"/>
        <v>6954.7652487699625</v>
      </c>
      <c r="T576">
        <f t="shared" si="988"/>
        <v>6.954765248769962</v>
      </c>
    </row>
    <row r="577" spans="1:20" x14ac:dyDescent="0.25">
      <c r="A577" s="5">
        <v>44016</v>
      </c>
      <c r="B577">
        <v>1.273E-2</v>
      </c>
      <c r="C577">
        <v>1.4069999999999999E-2</v>
      </c>
      <c r="D577">
        <v>1.128E-2</v>
      </c>
      <c r="E577">
        <v>1.1390000000000001E-2</v>
      </c>
      <c r="F577">
        <v>665881183.39999998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-0.9211469534050174</v>
      </c>
      <c r="Q577">
        <f t="shared" si="985"/>
        <v>-613374423.41863763</v>
      </c>
      <c r="R577">
        <f t="shared" si="986"/>
        <v>755595183.5103296</v>
      </c>
      <c r="S577">
        <f t="shared" si="987"/>
        <v>7555.9518351032957</v>
      </c>
      <c r="T577">
        <f t="shared" si="988"/>
        <v>7.5559518351032953</v>
      </c>
    </row>
    <row r="578" spans="1:20" x14ac:dyDescent="0.25">
      <c r="A578" s="5">
        <v>44015</v>
      </c>
      <c r="B578">
        <v>8.7600000000000004E-3</v>
      </c>
      <c r="C578">
        <v>1.3390000000000001E-2</v>
      </c>
      <c r="D578">
        <v>8.2000000000000007E-3</v>
      </c>
      <c r="E578">
        <v>1.2789999999999999E-2</v>
      </c>
      <c r="F578">
        <v>1468007637.7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0.76878612716762951</v>
      </c>
      <c r="Q578">
        <f t="shared" si="985"/>
        <v>1128583906.4398837</v>
      </c>
      <c r="R578">
        <f t="shared" si="986"/>
        <v>1368969606.9289672</v>
      </c>
      <c r="S578">
        <f t="shared" si="987"/>
        <v>13689.696069289672</v>
      </c>
      <c r="T578">
        <f t="shared" si="988"/>
        <v>13.689696069289672</v>
      </c>
    </row>
    <row r="579" spans="1:20" x14ac:dyDescent="0.25">
      <c r="A579" s="5">
        <v>44014</v>
      </c>
      <c r="B579">
        <v>5.94E-3</v>
      </c>
      <c r="C579">
        <v>1.0109999999999999E-2</v>
      </c>
      <c r="D579">
        <v>5.9300000000000004E-3</v>
      </c>
      <c r="E579">
        <v>8.77E-3</v>
      </c>
      <c r="F579">
        <v>908571864.70000005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0.35885167464114853</v>
      </c>
      <c r="Q579">
        <f t="shared" si="985"/>
        <v>326042535.17942601</v>
      </c>
      <c r="R579">
        <f t="shared" si="986"/>
        <v>240385700.48908362</v>
      </c>
      <c r="S579">
        <f t="shared" si="987"/>
        <v>2403.8570048908364</v>
      </c>
      <c r="T579">
        <f t="shared" si="988"/>
        <v>2.4038570048908365</v>
      </c>
    </row>
    <row r="580" spans="1:20" x14ac:dyDescent="0.25">
      <c r="A580" s="5">
        <v>44013</v>
      </c>
      <c r="B580">
        <v>6.1000000000000004E-3</v>
      </c>
      <c r="C580">
        <v>6.1399999999999996E-3</v>
      </c>
      <c r="D580">
        <v>5.7000000000000002E-3</v>
      </c>
      <c r="E580">
        <v>5.9800000000000001E-3</v>
      </c>
      <c r="F580">
        <v>48856601.799999997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0.27272727272727382</v>
      </c>
      <c r="Q580">
        <f t="shared" si="985"/>
        <v>13324527.763636416</v>
      </c>
      <c r="R580">
        <f t="shared" si="986"/>
        <v>-85656834.690342396</v>
      </c>
      <c r="S580">
        <f t="shared" si="987"/>
        <v>-856.56834690342396</v>
      </c>
      <c r="T580">
        <f t="shared" si="988"/>
        <v>-0.85656834690342398</v>
      </c>
    </row>
    <row r="581" spans="1:20" x14ac:dyDescent="0.25">
      <c r="A581" s="5">
        <v>44012</v>
      </c>
      <c r="B581">
        <v>5.8900000000000003E-3</v>
      </c>
      <c r="C581">
        <v>6.1399999999999996E-3</v>
      </c>
      <c r="D581">
        <v>5.7400000000000003E-3</v>
      </c>
      <c r="E581">
        <v>6.1000000000000004E-3</v>
      </c>
      <c r="F581">
        <v>19922642.899999999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0.80000000000000349</v>
      </c>
      <c r="Q581">
        <f t="shared" si="985"/>
        <v>15938114.320000067</v>
      </c>
      <c r="R581">
        <f t="shared" si="986"/>
        <v>-98981362.453978807</v>
      </c>
      <c r="S581">
        <f t="shared" si="987"/>
        <v>-989.81362453978807</v>
      </c>
      <c r="T581">
        <f t="shared" si="988"/>
        <v>-0.98981362453978805</v>
      </c>
    </row>
    <row r="582" spans="1:20" x14ac:dyDescent="0.25">
      <c r="A582" s="5">
        <v>44011</v>
      </c>
      <c r="B582">
        <v>5.9699999999999996E-3</v>
      </c>
      <c r="C582">
        <v>6.0400000000000002E-3</v>
      </c>
      <c r="D582">
        <v>5.5999999999999999E-3</v>
      </c>
      <c r="E582">
        <v>5.9300000000000004E-3</v>
      </c>
      <c r="F582">
        <v>29666920.600000001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0.500000000000001</v>
      </c>
      <c r="Q582">
        <f t="shared" ref="Q582:Q645" si="990">F582*P582</f>
        <v>14833460.300000031</v>
      </c>
      <c r="R582">
        <f t="shared" ref="R582:R645" si="991">R583+Q582</f>
        <v>-114919476.77397887</v>
      </c>
      <c r="S582">
        <f t="shared" ref="S582:S645" si="992">R582/100000</f>
        <v>-1149.1947677397886</v>
      </c>
      <c r="T582">
        <f t="shared" ref="T582:T645" si="993">S582/1000</f>
        <v>-1.1491947677397887</v>
      </c>
    </row>
    <row r="583" spans="1:20" x14ac:dyDescent="0.25">
      <c r="A583" s="5">
        <v>44010</v>
      </c>
      <c r="B583">
        <v>5.7400000000000003E-3</v>
      </c>
      <c r="C583">
        <v>6.1000000000000004E-3</v>
      </c>
      <c r="D583">
        <v>5.5999999999999999E-3</v>
      </c>
      <c r="E583">
        <v>6.0099999999999997E-3</v>
      </c>
      <c r="F583">
        <v>25918712.5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0.63999999999999768</v>
      </c>
      <c r="Q583">
        <f t="shared" si="990"/>
        <v>16587975.99999994</v>
      </c>
      <c r="R583">
        <f t="shared" si="991"/>
        <v>-129752937.0739789</v>
      </c>
      <c r="S583">
        <f t="shared" si="992"/>
        <v>-1297.5293707397891</v>
      </c>
      <c r="T583">
        <f t="shared" si="993"/>
        <v>-1.297529370739789</v>
      </c>
    </row>
    <row r="584" spans="1:20" x14ac:dyDescent="0.25">
      <c r="A584" s="5">
        <v>44009</v>
      </c>
      <c r="B584">
        <v>6.3299999999999997E-3</v>
      </c>
      <c r="C584">
        <v>6.3899999999999998E-3</v>
      </c>
      <c r="D584">
        <v>5.4200000000000003E-3</v>
      </c>
      <c r="E584">
        <v>5.6899999999999997E-3</v>
      </c>
      <c r="F584">
        <v>54041297.100000001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-0.44329896907216587</v>
      </c>
      <c r="Q584">
        <f t="shared" si="990"/>
        <v>-23956451.291752629</v>
      </c>
      <c r="R584">
        <f t="shared" si="991"/>
        <v>-146340913.07397884</v>
      </c>
      <c r="S584">
        <f t="shared" si="992"/>
        <v>-1463.4091307397885</v>
      </c>
      <c r="T584">
        <f t="shared" si="993"/>
        <v>-1.4634091307397885</v>
      </c>
    </row>
    <row r="585" spans="1:20" x14ac:dyDescent="0.25">
      <c r="A585" s="5">
        <v>44008</v>
      </c>
      <c r="B585">
        <v>6.7499999999999999E-3</v>
      </c>
      <c r="C585">
        <v>6.8999999999999999E-3</v>
      </c>
      <c r="D585">
        <v>6.1599999999999997E-3</v>
      </c>
      <c r="E585">
        <v>6.3800000000000003E-3</v>
      </c>
      <c r="F585">
        <v>48198288.600000001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-0.40540540540540398</v>
      </c>
      <c r="Q585">
        <f t="shared" si="990"/>
        <v>-19539846.729729664</v>
      </c>
      <c r="R585">
        <f t="shared" si="991"/>
        <v>-122384461.7822262</v>
      </c>
      <c r="S585">
        <f t="shared" si="992"/>
        <v>-1223.8446178222621</v>
      </c>
      <c r="T585">
        <f t="shared" si="993"/>
        <v>-1.2238446178222622</v>
      </c>
    </row>
    <row r="586" spans="1:20" x14ac:dyDescent="0.25">
      <c r="A586" s="5">
        <v>44007</v>
      </c>
      <c r="B586">
        <v>6.5599999999999999E-3</v>
      </c>
      <c r="C586">
        <v>6.7799999999999996E-3</v>
      </c>
      <c r="D586">
        <v>6.13E-3</v>
      </c>
      <c r="E586">
        <v>6.7000000000000002E-3</v>
      </c>
      <c r="F586">
        <v>35106304.399999999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0.75384615384615572</v>
      </c>
      <c r="Q586">
        <f t="shared" si="990"/>
        <v>26464752.547692373</v>
      </c>
      <c r="R586">
        <f t="shared" si="991"/>
        <v>-102844615.05249654</v>
      </c>
      <c r="S586">
        <f t="shared" si="992"/>
        <v>-1028.4461505249653</v>
      </c>
      <c r="T586">
        <f t="shared" si="993"/>
        <v>-1.0284461505249654</v>
      </c>
    </row>
    <row r="587" spans="1:20" x14ac:dyDescent="0.25">
      <c r="A587" s="5">
        <v>44006</v>
      </c>
      <c r="B587">
        <v>7.0400000000000003E-3</v>
      </c>
      <c r="C587">
        <v>7.0899999999999999E-3</v>
      </c>
      <c r="D587">
        <v>6.3200000000000001E-3</v>
      </c>
      <c r="E587">
        <v>6.5900000000000004E-3</v>
      </c>
      <c r="F587">
        <v>73006384.200000003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-0.29870129870129786</v>
      </c>
      <c r="Q587">
        <f t="shared" si="990"/>
        <v>-21807101.774025913</v>
      </c>
      <c r="R587">
        <f t="shared" si="991"/>
        <v>-129309367.60018891</v>
      </c>
      <c r="S587">
        <f t="shared" si="992"/>
        <v>-1293.0936760018892</v>
      </c>
      <c r="T587">
        <f t="shared" si="993"/>
        <v>-1.2930936760018892</v>
      </c>
    </row>
    <row r="588" spans="1:20" x14ac:dyDescent="0.25">
      <c r="A588" s="5">
        <v>44005</v>
      </c>
      <c r="B588">
        <v>7.0299999999999998E-3</v>
      </c>
      <c r="C588">
        <v>7.1999999999999998E-3</v>
      </c>
      <c r="D588">
        <v>6.9699999999999996E-3</v>
      </c>
      <c r="E588">
        <v>7.0400000000000003E-3</v>
      </c>
      <c r="F588">
        <v>21810508.300000001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-0.39130434782608203</v>
      </c>
      <c r="Q588">
        <f t="shared" si="990"/>
        <v>-8534546.7260868493</v>
      </c>
      <c r="R588">
        <f t="shared" si="991"/>
        <v>-107502265.82616299</v>
      </c>
      <c r="S588">
        <f t="shared" si="992"/>
        <v>-1075.0226582616299</v>
      </c>
      <c r="T588">
        <f t="shared" si="993"/>
        <v>-1.0750226582616298</v>
      </c>
    </row>
    <row r="589" spans="1:20" x14ac:dyDescent="0.25">
      <c r="A589" s="5">
        <v>44004</v>
      </c>
      <c r="B589">
        <v>7.3200000000000001E-3</v>
      </c>
      <c r="C589">
        <v>7.45E-3</v>
      </c>
      <c r="D589">
        <v>6.7000000000000002E-3</v>
      </c>
      <c r="E589">
        <v>7.0299999999999998E-3</v>
      </c>
      <c r="F589">
        <v>107395013.09999999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-0.12000000000000093</v>
      </c>
      <c r="Q589">
        <f t="shared" si="990"/>
        <v>-12887401.572000099</v>
      </c>
      <c r="R589">
        <f t="shared" si="991"/>
        <v>-98967719.100076139</v>
      </c>
      <c r="S589">
        <f t="shared" si="992"/>
        <v>-989.67719100076135</v>
      </c>
      <c r="T589">
        <f t="shared" si="993"/>
        <v>-0.98967719100076135</v>
      </c>
    </row>
    <row r="590" spans="1:20" x14ac:dyDescent="0.25">
      <c r="A590" s="5">
        <v>44003</v>
      </c>
      <c r="B590">
        <v>7.4900000000000001E-3</v>
      </c>
      <c r="C590">
        <v>7.6699999999999997E-3</v>
      </c>
      <c r="D590">
        <v>7.26E-3</v>
      </c>
      <c r="E590">
        <v>7.3000000000000001E-3</v>
      </c>
      <c r="F590">
        <v>36941706.899999999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-0.80487804878048719</v>
      </c>
      <c r="Q590">
        <f t="shared" si="990"/>
        <v>-29733568.968292657</v>
      </c>
      <c r="R590">
        <f t="shared" si="991"/>
        <v>-86080317.528076038</v>
      </c>
      <c r="S590">
        <f t="shared" si="992"/>
        <v>-860.80317528076034</v>
      </c>
      <c r="T590">
        <f t="shared" si="993"/>
        <v>-0.86080317528076034</v>
      </c>
    </row>
    <row r="591" spans="1:20" x14ac:dyDescent="0.25">
      <c r="A591" s="5">
        <v>44002</v>
      </c>
      <c r="B591">
        <v>7.5399999999999998E-3</v>
      </c>
      <c r="C591">
        <v>7.7499999999999999E-3</v>
      </c>
      <c r="D591">
        <v>7.2199999999999999E-3</v>
      </c>
      <c r="E591">
        <v>7.5300000000000002E-3</v>
      </c>
      <c r="F591">
        <v>55035604.899999999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0.16981132075471822</v>
      </c>
      <c r="Q591">
        <f t="shared" si="990"/>
        <v>9345668.7566038407</v>
      </c>
      <c r="R591">
        <f t="shared" si="991"/>
        <v>-56346748.559783384</v>
      </c>
      <c r="S591">
        <f t="shared" si="992"/>
        <v>-563.46748559783384</v>
      </c>
      <c r="T591">
        <f t="shared" si="993"/>
        <v>-0.56346748559783388</v>
      </c>
    </row>
    <row r="592" spans="1:20" x14ac:dyDescent="0.25">
      <c r="A592" s="5">
        <v>44001</v>
      </c>
      <c r="B592">
        <v>7.3200000000000001E-3</v>
      </c>
      <c r="C592">
        <v>7.8799999999999999E-3</v>
      </c>
      <c r="D592">
        <v>6.96E-3</v>
      </c>
      <c r="E592">
        <v>7.5399999999999998E-3</v>
      </c>
      <c r="F592">
        <v>83687662.799999997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0.26086956521739108</v>
      </c>
      <c r="Q592">
        <f t="shared" si="990"/>
        <v>21831564.208695631</v>
      </c>
      <c r="R592">
        <f t="shared" si="991"/>
        <v>-65692417.316387221</v>
      </c>
      <c r="S592">
        <f t="shared" si="992"/>
        <v>-656.92417316387218</v>
      </c>
      <c r="T592">
        <f t="shared" si="993"/>
        <v>-0.65692417316387219</v>
      </c>
    </row>
    <row r="593" spans="1:20" x14ac:dyDescent="0.25">
      <c r="A593" s="5">
        <v>44000</v>
      </c>
      <c r="B593">
        <v>6.7299999999999999E-3</v>
      </c>
      <c r="C593">
        <v>7.45E-3</v>
      </c>
      <c r="D593">
        <v>6.6499999999999997E-3</v>
      </c>
      <c r="E593">
        <v>7.3099999999999997E-3</v>
      </c>
      <c r="F593">
        <v>67811759.099999994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0.64999999999999925</v>
      </c>
      <c r="Q593">
        <f t="shared" si="990"/>
        <v>44077643.414999947</v>
      </c>
      <c r="R593">
        <f t="shared" si="991"/>
        <v>-87523981.525082856</v>
      </c>
      <c r="S593">
        <f t="shared" si="992"/>
        <v>-875.23981525082854</v>
      </c>
      <c r="T593">
        <f t="shared" si="993"/>
        <v>-0.8752398152508285</v>
      </c>
    </row>
    <row r="594" spans="1:20" x14ac:dyDescent="0.25">
      <c r="A594" s="5">
        <v>43999</v>
      </c>
      <c r="B594">
        <v>6.8300000000000001E-3</v>
      </c>
      <c r="C594">
        <v>6.8999999999999999E-3</v>
      </c>
      <c r="D594">
        <v>6.5399999999999998E-3</v>
      </c>
      <c r="E594">
        <v>6.7299999999999999E-3</v>
      </c>
      <c r="F594">
        <v>20407089.899999999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5.5555555555555691E-2</v>
      </c>
      <c r="Q594">
        <f t="shared" si="990"/>
        <v>1133727.2166666694</v>
      </c>
      <c r="R594">
        <f t="shared" si="991"/>
        <v>-131601624.9400828</v>
      </c>
      <c r="S594">
        <f t="shared" si="992"/>
        <v>-1316.016249400828</v>
      </c>
      <c r="T594">
        <f t="shared" si="993"/>
        <v>-1.3160162494008281</v>
      </c>
    </row>
    <row r="595" spans="1:20" x14ac:dyDescent="0.25">
      <c r="A595" s="5">
        <v>43998</v>
      </c>
      <c r="B595">
        <v>6.5500000000000003E-3</v>
      </c>
      <c r="C595">
        <v>7.0499999999999998E-3</v>
      </c>
      <c r="D595">
        <v>6.4700000000000001E-3</v>
      </c>
      <c r="E595">
        <v>6.7999999999999996E-3</v>
      </c>
      <c r="F595">
        <v>53957530.299999997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0.13793103448275754</v>
      </c>
      <c r="Q595">
        <f t="shared" si="990"/>
        <v>7442417.9724137345</v>
      </c>
      <c r="R595">
        <f t="shared" si="991"/>
        <v>-132735352.15674947</v>
      </c>
      <c r="S595">
        <f t="shared" si="992"/>
        <v>-1327.3535215674947</v>
      </c>
      <c r="T595">
        <f t="shared" si="993"/>
        <v>-1.3273535215674948</v>
      </c>
    </row>
    <row r="596" spans="1:20" x14ac:dyDescent="0.25">
      <c r="A596" s="5">
        <v>43997</v>
      </c>
      <c r="B596">
        <v>6.5799999999999999E-3</v>
      </c>
      <c r="C596">
        <v>6.6299999999999996E-3</v>
      </c>
      <c r="D596">
        <v>5.9300000000000004E-3</v>
      </c>
      <c r="E596">
        <v>6.5599999999999999E-3</v>
      </c>
      <c r="F596">
        <v>69326951.5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0.80000000000000049</v>
      </c>
      <c r="Q596">
        <f t="shared" si="990"/>
        <v>55461561.200000033</v>
      </c>
      <c r="R596">
        <f t="shared" si="991"/>
        <v>-140177770.12916321</v>
      </c>
      <c r="S596">
        <f t="shared" si="992"/>
        <v>-1401.777701291632</v>
      </c>
      <c r="T596">
        <f t="shared" si="993"/>
        <v>-1.4017777012916319</v>
      </c>
    </row>
    <row r="597" spans="1:20" x14ac:dyDescent="0.25">
      <c r="A597" s="5">
        <v>43996</v>
      </c>
      <c r="B597">
        <v>6.7099999999999998E-3</v>
      </c>
      <c r="C597">
        <v>7.3499999999999998E-3</v>
      </c>
      <c r="D597">
        <v>6.2199999999999998E-3</v>
      </c>
      <c r="E597">
        <v>6.5700000000000003E-3</v>
      </c>
      <c r="F597">
        <v>106689707.2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-0.38053097345132653</v>
      </c>
      <c r="Q597">
        <f t="shared" si="990"/>
        <v>-40598738.138053</v>
      </c>
      <c r="R597">
        <f t="shared" si="991"/>
        <v>-195639331.32916325</v>
      </c>
      <c r="S597">
        <f t="shared" si="992"/>
        <v>-1956.3933132916325</v>
      </c>
      <c r="T597">
        <f t="shared" si="993"/>
        <v>-1.9563933132916325</v>
      </c>
    </row>
    <row r="598" spans="1:20" x14ac:dyDescent="0.25">
      <c r="A598" s="5">
        <v>43995</v>
      </c>
      <c r="B598">
        <v>6.0499999999999998E-3</v>
      </c>
      <c r="C598">
        <v>6.9499999999999996E-3</v>
      </c>
      <c r="D598">
        <v>5.9500000000000004E-3</v>
      </c>
      <c r="E598">
        <v>6.6899999999999998E-3</v>
      </c>
      <c r="F598">
        <v>97754629.900000006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0.47999999999999993</v>
      </c>
      <c r="Q598">
        <f t="shared" si="990"/>
        <v>46922222.351999998</v>
      </c>
      <c r="R598">
        <f t="shared" si="991"/>
        <v>-155040593.19111025</v>
      </c>
      <c r="S598">
        <f t="shared" si="992"/>
        <v>-1550.4059319111025</v>
      </c>
      <c r="T598">
        <f t="shared" si="993"/>
        <v>-1.5504059319111025</v>
      </c>
    </row>
    <row r="599" spans="1:20" x14ac:dyDescent="0.25">
      <c r="A599" s="5">
        <v>43994</v>
      </c>
      <c r="B599">
        <v>6.0099999999999997E-3</v>
      </c>
      <c r="C599">
        <v>6.1599999999999997E-3</v>
      </c>
      <c r="D599">
        <v>5.7999999999999996E-3</v>
      </c>
      <c r="E599">
        <v>6.0299999999999998E-3</v>
      </c>
      <c r="F599">
        <v>44998001.600000001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0.27777777777777846</v>
      </c>
      <c r="Q599">
        <f t="shared" si="990"/>
        <v>12499444.88888892</v>
      </c>
      <c r="R599">
        <f t="shared" si="991"/>
        <v>-201962815.54311025</v>
      </c>
      <c r="S599">
        <f t="shared" si="992"/>
        <v>-2019.6281554311024</v>
      </c>
      <c r="T599">
        <f t="shared" si="993"/>
        <v>-2.0196281554311026</v>
      </c>
    </row>
    <row r="600" spans="1:20" x14ac:dyDescent="0.25">
      <c r="A600" s="5">
        <v>43993</v>
      </c>
      <c r="B600">
        <v>6.6400000000000001E-3</v>
      </c>
      <c r="C600">
        <v>6.8799999999999998E-3</v>
      </c>
      <c r="D600">
        <v>5.5199999999999997E-3</v>
      </c>
      <c r="E600">
        <v>6.0099999999999997E-3</v>
      </c>
      <c r="F600">
        <v>102853939.59999999</v>
      </c>
      <c r="G600">
        <v>0</v>
      </c>
      <c r="L600" t="s">
        <v>8</v>
      </c>
      <c r="M600" t="s">
        <v>7</v>
      </c>
      <c r="N600" t="s">
        <v>8</v>
      </c>
      <c r="P600">
        <f t="shared" si="989"/>
        <v>-0.27941176470588241</v>
      </c>
      <c r="Q600">
        <f t="shared" si="990"/>
        <v>-28738600.770588242</v>
      </c>
      <c r="R600">
        <f t="shared" si="991"/>
        <v>-214462260.43199918</v>
      </c>
      <c r="S600">
        <f t="shared" si="992"/>
        <v>-2144.6226043199918</v>
      </c>
      <c r="T600">
        <f t="shared" si="993"/>
        <v>-2.1446226043199919</v>
      </c>
    </row>
    <row r="601" spans="1:20" x14ac:dyDescent="0.25">
      <c r="A601" s="5">
        <v>43992</v>
      </c>
      <c r="B601">
        <v>6.2199999999999998E-3</v>
      </c>
      <c r="C601">
        <v>6.6899999999999998E-3</v>
      </c>
      <c r="D601">
        <v>6.1199999999999996E-3</v>
      </c>
      <c r="E601">
        <v>6.6299999999999996E-3</v>
      </c>
      <c r="F601">
        <v>62587808.299999997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0.78947368421052588</v>
      </c>
      <c r="Q601">
        <f t="shared" si="990"/>
        <v>49411427.605263129</v>
      </c>
      <c r="R601">
        <f t="shared" si="991"/>
        <v>-185723659.66141093</v>
      </c>
      <c r="S601">
        <f t="shared" si="992"/>
        <v>-1857.2365966141092</v>
      </c>
      <c r="T601">
        <f t="shared" si="993"/>
        <v>-1.8572365966141091</v>
      </c>
    </row>
    <row r="602" spans="1:20" x14ac:dyDescent="0.25">
      <c r="A602" s="5">
        <v>43991</v>
      </c>
      <c r="B602">
        <v>6.2500000000000003E-3</v>
      </c>
      <c r="C602">
        <v>6.4000000000000003E-3</v>
      </c>
      <c r="D602">
        <v>6.13E-3</v>
      </c>
      <c r="E602">
        <v>6.2300000000000003E-3</v>
      </c>
      <c r="F602">
        <v>23078526.399999999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-0.25925925925925808</v>
      </c>
      <c r="Q602">
        <f t="shared" si="990"/>
        <v>-5983321.6592592318</v>
      </c>
      <c r="R602">
        <f t="shared" si="991"/>
        <v>-235135087.26667404</v>
      </c>
      <c r="S602">
        <f t="shared" si="992"/>
        <v>-2351.3508726667405</v>
      </c>
      <c r="T602">
        <f t="shared" si="993"/>
        <v>-2.3513508726667407</v>
      </c>
    </row>
    <row r="603" spans="1:20" x14ac:dyDescent="0.25">
      <c r="A603" s="5">
        <v>43990</v>
      </c>
      <c r="B603">
        <v>6.2599999999999999E-3</v>
      </c>
      <c r="C603">
        <v>6.4000000000000003E-3</v>
      </c>
      <c r="D603">
        <v>6.1799999999999997E-3</v>
      </c>
      <c r="E603">
        <v>6.2599999999999999E-3</v>
      </c>
      <c r="F603">
        <v>18513926.100000001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-0.27272727272727271</v>
      </c>
      <c r="Q603">
        <f t="shared" si="990"/>
        <v>-5049252.5727272732</v>
      </c>
      <c r="R603">
        <f t="shared" si="991"/>
        <v>-229151765.60741481</v>
      </c>
      <c r="S603">
        <f t="shared" si="992"/>
        <v>-2291.5176560741479</v>
      </c>
      <c r="T603">
        <f t="shared" si="993"/>
        <v>-2.2915176560741477</v>
      </c>
    </row>
    <row r="604" spans="1:20" x14ac:dyDescent="0.25">
      <c r="A604" s="5">
        <v>43989</v>
      </c>
      <c r="B604">
        <v>6.4000000000000003E-3</v>
      </c>
      <c r="C604">
        <v>6.4999999999999997E-3</v>
      </c>
      <c r="D604">
        <v>6.0899999999999999E-3</v>
      </c>
      <c r="E604">
        <v>6.3099999999999996E-3</v>
      </c>
      <c r="F604">
        <v>33502238.399999999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7.317073170731625E-2</v>
      </c>
      <c r="Q604">
        <f t="shared" si="990"/>
        <v>2451383.2975609479</v>
      </c>
      <c r="R604">
        <f t="shared" si="991"/>
        <v>-224102513.03468755</v>
      </c>
      <c r="S604">
        <f t="shared" si="992"/>
        <v>-2241.0251303468754</v>
      </c>
      <c r="T604">
        <f t="shared" si="993"/>
        <v>-2.2410251303468756</v>
      </c>
    </row>
    <row r="605" spans="1:20" x14ac:dyDescent="0.25">
      <c r="A605" s="5">
        <v>43988</v>
      </c>
      <c r="B605">
        <v>6.2100000000000002E-3</v>
      </c>
      <c r="C605">
        <v>6.4900000000000001E-3</v>
      </c>
      <c r="D605">
        <v>6.1700000000000001E-3</v>
      </c>
      <c r="E605">
        <v>6.4000000000000003E-3</v>
      </c>
      <c r="F605">
        <v>20301791.899999999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0.43750000000000117</v>
      </c>
      <c r="Q605">
        <f t="shared" si="990"/>
        <v>8882033.9562500231</v>
      </c>
      <c r="R605">
        <f t="shared" si="991"/>
        <v>-226553896.33224851</v>
      </c>
      <c r="S605">
        <f t="shared" si="992"/>
        <v>-2265.538963322485</v>
      </c>
      <c r="T605">
        <f t="shared" si="993"/>
        <v>-2.2655389633224852</v>
      </c>
    </row>
    <row r="606" spans="1:20" x14ac:dyDescent="0.25">
      <c r="A606" s="5">
        <v>43987</v>
      </c>
      <c r="B606">
        <v>6.4900000000000001E-3</v>
      </c>
      <c r="C606">
        <v>6.7499999999999999E-3</v>
      </c>
      <c r="D606">
        <v>6.1599999999999997E-3</v>
      </c>
      <c r="E606">
        <v>6.2700000000000004E-3</v>
      </c>
      <c r="F606">
        <v>57390648.200000003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-0.62711864406779427</v>
      </c>
      <c r="Q606">
        <f t="shared" si="990"/>
        <v>-35990745.481355801</v>
      </c>
      <c r="R606">
        <f t="shared" si="991"/>
        <v>-235435930.28849852</v>
      </c>
      <c r="S606">
        <f t="shared" si="992"/>
        <v>-2354.359302884985</v>
      </c>
      <c r="T606">
        <f t="shared" si="993"/>
        <v>-2.3543593028849852</v>
      </c>
    </row>
    <row r="607" spans="1:20" x14ac:dyDescent="0.25">
      <c r="A607" s="5">
        <v>43986</v>
      </c>
      <c r="B607">
        <v>6.3299999999999997E-3</v>
      </c>
      <c r="C607">
        <v>6.5300000000000002E-3</v>
      </c>
      <c r="D607">
        <v>5.94E-3</v>
      </c>
      <c r="E607">
        <v>6.4599999999999996E-3</v>
      </c>
      <c r="F607">
        <v>80540157.400000006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0.76271186440677763</v>
      </c>
      <c r="Q607">
        <f t="shared" si="990"/>
        <v>61428933.610169329</v>
      </c>
      <c r="R607">
        <f t="shared" si="991"/>
        <v>-199445184.8071427</v>
      </c>
      <c r="S607">
        <f t="shared" si="992"/>
        <v>-1994.4518480714271</v>
      </c>
      <c r="T607">
        <f t="shared" si="993"/>
        <v>-1.9944518480714271</v>
      </c>
    </row>
    <row r="608" spans="1:20" x14ac:dyDescent="0.25">
      <c r="A608" s="5">
        <v>43985</v>
      </c>
      <c r="B608">
        <v>5.8999999999999999E-3</v>
      </c>
      <c r="C608">
        <v>6.5900000000000004E-3</v>
      </c>
      <c r="D608">
        <v>5.8799999999999998E-3</v>
      </c>
      <c r="E608">
        <v>6.3200000000000001E-3</v>
      </c>
      <c r="F608">
        <v>93057683.200000003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0.23943661971830968</v>
      </c>
      <c r="Q608">
        <f t="shared" si="990"/>
        <v>22281417.104225338</v>
      </c>
      <c r="R608">
        <f t="shared" si="991"/>
        <v>-260874118.41731203</v>
      </c>
      <c r="S608">
        <f t="shared" si="992"/>
        <v>-2608.7411841731205</v>
      </c>
      <c r="T608">
        <f t="shared" si="993"/>
        <v>-2.6087411841731205</v>
      </c>
    </row>
    <row r="609" spans="1:20" x14ac:dyDescent="0.25">
      <c r="A609" s="5">
        <v>43984</v>
      </c>
      <c r="B609">
        <v>5.62E-3</v>
      </c>
      <c r="C609">
        <v>6.1999999999999998E-3</v>
      </c>
      <c r="D609">
        <v>5.4200000000000003E-3</v>
      </c>
      <c r="E609">
        <v>5.8799999999999998E-3</v>
      </c>
      <c r="F609">
        <v>105192158.59999999</v>
      </c>
      <c r="G609">
        <v>0</v>
      </c>
      <c r="L609" t="s">
        <v>8</v>
      </c>
      <c r="M609" t="s">
        <v>7</v>
      </c>
      <c r="N609" t="s">
        <v>8</v>
      </c>
      <c r="P609">
        <f t="shared" si="989"/>
        <v>0.17948717948717896</v>
      </c>
      <c r="Q609">
        <f t="shared" si="990"/>
        <v>18880643.851281993</v>
      </c>
      <c r="R609">
        <f t="shared" si="991"/>
        <v>-283155535.52153736</v>
      </c>
      <c r="S609">
        <f t="shared" si="992"/>
        <v>-2831.5553552153738</v>
      </c>
      <c r="T609">
        <f t="shared" si="993"/>
        <v>-2.8315553552153738</v>
      </c>
    </row>
    <row r="610" spans="1:20" x14ac:dyDescent="0.25">
      <c r="A610" s="5">
        <v>43983</v>
      </c>
      <c r="B610">
        <v>5.4999999999999997E-3</v>
      </c>
      <c r="C610">
        <v>5.9800000000000001E-3</v>
      </c>
      <c r="D610">
        <v>5.47E-3</v>
      </c>
      <c r="E610">
        <v>5.5900000000000004E-3</v>
      </c>
      <c r="F610">
        <v>56261217.700000003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-0.52941176470588114</v>
      </c>
      <c r="Q610">
        <f t="shared" si="990"/>
        <v>-29785350.547058757</v>
      </c>
      <c r="R610">
        <f t="shared" si="991"/>
        <v>-302036179.37281936</v>
      </c>
      <c r="S610">
        <f t="shared" si="992"/>
        <v>-3020.3617937281938</v>
      </c>
      <c r="T610">
        <f t="shared" si="993"/>
        <v>-3.0203617937281937</v>
      </c>
    </row>
    <row r="611" spans="1:20" x14ac:dyDescent="0.25">
      <c r="A611" s="5">
        <v>43982</v>
      </c>
      <c r="B611">
        <v>5.8500000000000002E-3</v>
      </c>
      <c r="C611">
        <v>6.0600000000000003E-3</v>
      </c>
      <c r="D611">
        <v>5.45E-3</v>
      </c>
      <c r="E611">
        <v>5.5599999999999998E-3</v>
      </c>
      <c r="F611">
        <v>83890112.200000003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-0.63934426229508257</v>
      </c>
      <c r="Q611">
        <f t="shared" si="990"/>
        <v>-53634661.898360707</v>
      </c>
      <c r="R611">
        <f t="shared" si="991"/>
        <v>-272250828.8257606</v>
      </c>
      <c r="S611">
        <f t="shared" si="992"/>
        <v>-2722.5082882576062</v>
      </c>
      <c r="T611">
        <f t="shared" si="993"/>
        <v>-2.7225082882576062</v>
      </c>
    </row>
    <row r="612" spans="1:20" x14ac:dyDescent="0.25">
      <c r="A612" s="5">
        <v>43981</v>
      </c>
      <c r="B612">
        <v>5.9699999999999996E-3</v>
      </c>
      <c r="C612">
        <v>6.1500000000000001E-3</v>
      </c>
      <c r="D612">
        <v>5.6600000000000001E-3</v>
      </c>
      <c r="E612">
        <v>5.8199999999999997E-3</v>
      </c>
      <c r="F612">
        <v>59316400.100000001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-0.34693877551020591</v>
      </c>
      <c r="Q612">
        <f t="shared" si="990"/>
        <v>-20579159.218367457</v>
      </c>
      <c r="R612">
        <f t="shared" si="991"/>
        <v>-218616166.92739987</v>
      </c>
      <c r="S612">
        <f t="shared" si="992"/>
        <v>-2186.1616692739985</v>
      </c>
      <c r="T612">
        <f t="shared" si="993"/>
        <v>-2.1861616692739987</v>
      </c>
    </row>
    <row r="613" spans="1:20" x14ac:dyDescent="0.25">
      <c r="A613" s="5">
        <v>43980</v>
      </c>
      <c r="B613">
        <v>5.5700000000000003E-3</v>
      </c>
      <c r="C613">
        <v>6.0800000000000003E-3</v>
      </c>
      <c r="D613">
        <v>5.5300000000000002E-3</v>
      </c>
      <c r="E613">
        <v>5.9699999999999996E-3</v>
      </c>
      <c r="F613">
        <v>54312471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0.59999999999999742</v>
      </c>
      <c r="Q613">
        <f t="shared" si="990"/>
        <v>32587482.59999986</v>
      </c>
      <c r="R613">
        <f t="shared" si="991"/>
        <v>-198037007.70903242</v>
      </c>
      <c r="S613">
        <f t="shared" si="992"/>
        <v>-1980.3700770903242</v>
      </c>
      <c r="T613">
        <f t="shared" si="993"/>
        <v>-1.9803700770903243</v>
      </c>
    </row>
    <row r="614" spans="1:20" x14ac:dyDescent="0.25">
      <c r="A614" s="5">
        <v>43979</v>
      </c>
      <c r="B614">
        <v>5.4400000000000004E-3</v>
      </c>
      <c r="C614">
        <v>5.6899999999999997E-3</v>
      </c>
      <c r="D614">
        <v>5.3800000000000002E-3</v>
      </c>
      <c r="E614">
        <v>5.5500000000000002E-3</v>
      </c>
      <c r="F614">
        <v>48039935.700000003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9.6774193548388898E-2</v>
      </c>
      <c r="Q614">
        <f t="shared" si="990"/>
        <v>4649026.0354839582</v>
      </c>
      <c r="R614">
        <f t="shared" si="991"/>
        <v>-230624490.30903229</v>
      </c>
      <c r="S614">
        <f t="shared" si="992"/>
        <v>-2306.2449030903231</v>
      </c>
      <c r="T614">
        <f t="shared" si="993"/>
        <v>-2.3062449030903229</v>
      </c>
    </row>
    <row r="615" spans="1:20" x14ac:dyDescent="0.25">
      <c r="A615" s="5">
        <v>43978</v>
      </c>
      <c r="B615">
        <v>5.8199999999999997E-3</v>
      </c>
      <c r="C615">
        <v>5.96E-3</v>
      </c>
      <c r="D615">
        <v>5.2500000000000003E-3</v>
      </c>
      <c r="E615">
        <v>5.4400000000000004E-3</v>
      </c>
      <c r="F615">
        <v>122539587.40000001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-0.4647887323943658</v>
      </c>
      <c r="Q615">
        <f t="shared" si="990"/>
        <v>-56955019.495774604</v>
      </c>
      <c r="R615">
        <f t="shared" si="991"/>
        <v>-235273516.34451625</v>
      </c>
      <c r="S615">
        <f t="shared" si="992"/>
        <v>-2352.7351634451625</v>
      </c>
      <c r="T615">
        <f t="shared" si="993"/>
        <v>-2.3527351634451623</v>
      </c>
    </row>
    <row r="616" spans="1:20" x14ac:dyDescent="0.25">
      <c r="A616" s="5">
        <v>43977</v>
      </c>
      <c r="B616">
        <v>5.7200000000000003E-3</v>
      </c>
      <c r="C616">
        <v>6.2599999999999999E-3</v>
      </c>
      <c r="D616">
        <v>5.6100000000000004E-3</v>
      </c>
      <c r="E616">
        <v>5.8199999999999997E-3</v>
      </c>
      <c r="F616">
        <v>105938270.5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-0.3538461538461557</v>
      </c>
      <c r="Q616">
        <f t="shared" si="990"/>
        <v>-37485849.561538659</v>
      </c>
      <c r="R616">
        <f t="shared" si="991"/>
        <v>-178318496.84874165</v>
      </c>
      <c r="S616">
        <f t="shared" si="992"/>
        <v>-1783.1849684874164</v>
      </c>
      <c r="T616">
        <f t="shared" si="993"/>
        <v>-1.7831849684874164</v>
      </c>
    </row>
    <row r="617" spans="1:20" x14ac:dyDescent="0.25">
      <c r="A617" s="5">
        <v>43976</v>
      </c>
      <c r="B617">
        <v>5.4799999999999996E-3</v>
      </c>
      <c r="C617">
        <v>6.1199999999999996E-3</v>
      </c>
      <c r="D617">
        <v>5.3200000000000001E-3</v>
      </c>
      <c r="E617">
        <v>5.7200000000000003E-3</v>
      </c>
      <c r="F617">
        <v>124838783.90000001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1.084202172485505E-15</v>
      </c>
      <c r="Q617">
        <f t="shared" si="990"/>
        <v>1.3535048071482849E-7</v>
      </c>
      <c r="R617">
        <f t="shared" si="991"/>
        <v>-140832647.28720298</v>
      </c>
      <c r="S617">
        <f t="shared" si="992"/>
        <v>-1408.3264728720299</v>
      </c>
      <c r="T617">
        <f t="shared" si="993"/>
        <v>-1.4083264728720299</v>
      </c>
    </row>
    <row r="618" spans="1:20" x14ac:dyDescent="0.25">
      <c r="A618" s="5">
        <v>43975</v>
      </c>
      <c r="B618">
        <v>5.8199999999999997E-3</v>
      </c>
      <c r="C618">
        <v>6.3E-3</v>
      </c>
      <c r="D618">
        <v>5.1000000000000004E-3</v>
      </c>
      <c r="E618">
        <v>5.4999999999999997E-3</v>
      </c>
      <c r="F618">
        <v>200215700.19999999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-0.33333333333333431</v>
      </c>
      <c r="Q618">
        <f t="shared" si="990"/>
        <v>-66738566.733333528</v>
      </c>
      <c r="R618">
        <f t="shared" si="991"/>
        <v>-140832647.28720313</v>
      </c>
      <c r="S618">
        <f t="shared" si="992"/>
        <v>-1408.3264728720312</v>
      </c>
      <c r="T618">
        <f t="shared" si="993"/>
        <v>-1.4083264728720313</v>
      </c>
    </row>
    <row r="619" spans="1:20" x14ac:dyDescent="0.25">
      <c r="A619" s="5">
        <v>43974</v>
      </c>
      <c r="B619">
        <v>5.3400000000000001E-3</v>
      </c>
      <c r="C619">
        <v>6.0699999999999999E-3</v>
      </c>
      <c r="D619">
        <v>5.1799999999999997E-3</v>
      </c>
      <c r="E619">
        <v>5.7999999999999996E-3</v>
      </c>
      <c r="F619">
        <v>87716013.900000006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0.39325842696629165</v>
      </c>
      <c r="Q619">
        <f t="shared" si="990"/>
        <v>34495061.646067373</v>
      </c>
      <c r="R619">
        <f t="shared" si="991"/>
        <v>-74094080.553869605</v>
      </c>
      <c r="S619">
        <f t="shared" si="992"/>
        <v>-740.94080553869605</v>
      </c>
      <c r="T619">
        <f t="shared" si="993"/>
        <v>-0.74094080553869601</v>
      </c>
    </row>
    <row r="620" spans="1:20" x14ac:dyDescent="0.25">
      <c r="A620" s="5">
        <v>43973</v>
      </c>
      <c r="B620">
        <v>4.79E-3</v>
      </c>
      <c r="C620">
        <v>5.62E-3</v>
      </c>
      <c r="D620">
        <v>4.7699999999999999E-3</v>
      </c>
      <c r="E620">
        <v>5.3099999999999996E-3</v>
      </c>
      <c r="F620">
        <v>109468675.59999999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0.2705882352941168</v>
      </c>
      <c r="Q620">
        <f t="shared" si="990"/>
        <v>29620935.750588141</v>
      </c>
      <c r="R620">
        <f t="shared" si="991"/>
        <v>-108589142.19993699</v>
      </c>
      <c r="S620">
        <f t="shared" si="992"/>
        <v>-1085.8914219993699</v>
      </c>
      <c r="T620">
        <f t="shared" si="993"/>
        <v>-1.0858914219993698</v>
      </c>
    </row>
    <row r="621" spans="1:20" x14ac:dyDescent="0.25">
      <c r="A621" s="5">
        <v>43972</v>
      </c>
      <c r="B621">
        <v>5.1500000000000001E-3</v>
      </c>
      <c r="C621">
        <v>5.3600000000000002E-3</v>
      </c>
      <c r="D621">
        <v>4.4999999999999997E-3</v>
      </c>
      <c r="E621">
        <v>4.7999999999999996E-3</v>
      </c>
      <c r="F621">
        <v>104659394.7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-0.30232558139534943</v>
      </c>
      <c r="Q621">
        <f t="shared" si="990"/>
        <v>-31641212.351162855</v>
      </c>
      <c r="R621">
        <f t="shared" si="991"/>
        <v>-138210077.95052513</v>
      </c>
      <c r="S621">
        <f t="shared" si="992"/>
        <v>-1382.1007795052512</v>
      </c>
      <c r="T621">
        <f t="shared" si="993"/>
        <v>-1.3821007795052513</v>
      </c>
    </row>
    <row r="622" spans="1:20" x14ac:dyDescent="0.25">
      <c r="A622" s="5">
        <v>43971</v>
      </c>
      <c r="B622">
        <v>4.8300000000000001E-3</v>
      </c>
      <c r="C622">
        <v>5.5300000000000002E-3</v>
      </c>
      <c r="D622">
        <v>4.7999999999999996E-3</v>
      </c>
      <c r="E622">
        <v>5.1399999999999996E-3</v>
      </c>
      <c r="F622">
        <v>148949247.90000001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-6.8493150684932225E-2</v>
      </c>
      <c r="Q622">
        <f t="shared" si="990"/>
        <v>-10202003.280822026</v>
      </c>
      <c r="R622">
        <f t="shared" si="991"/>
        <v>-106568865.59936227</v>
      </c>
      <c r="S622">
        <f t="shared" si="992"/>
        <v>-1065.6886559936227</v>
      </c>
      <c r="T622">
        <f t="shared" si="993"/>
        <v>-1.0656886559936227</v>
      </c>
    </row>
    <row r="623" spans="1:20" x14ac:dyDescent="0.25">
      <c r="A623" s="5">
        <v>43970</v>
      </c>
      <c r="B623">
        <v>4.6499999999999996E-3</v>
      </c>
      <c r="C623">
        <v>5.2500000000000003E-3</v>
      </c>
      <c r="D623">
        <v>4.4600000000000004E-3</v>
      </c>
      <c r="E623">
        <v>4.81E-3</v>
      </c>
      <c r="F623">
        <v>89007424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-0.11392405063291225</v>
      </c>
      <c r="Q623">
        <f t="shared" si="990"/>
        <v>-10140086.278481089</v>
      </c>
      <c r="R623">
        <f t="shared" si="991"/>
        <v>-96366862.318540245</v>
      </c>
      <c r="S623">
        <f t="shared" si="992"/>
        <v>-963.66862318540245</v>
      </c>
      <c r="T623">
        <f t="shared" si="993"/>
        <v>-0.96366862318540247</v>
      </c>
    </row>
    <row r="624" spans="1:20" x14ac:dyDescent="0.25">
      <c r="A624" s="5">
        <v>43969</v>
      </c>
      <c r="B624">
        <v>4.5700000000000003E-3</v>
      </c>
      <c r="C624">
        <v>4.9100000000000003E-3</v>
      </c>
      <c r="D624">
        <v>4.3E-3</v>
      </c>
      <c r="E624">
        <v>4.6299999999999996E-3</v>
      </c>
      <c r="F624">
        <v>109252210.2</v>
      </c>
      <c r="G624">
        <v>0</v>
      </c>
      <c r="L624" t="s">
        <v>7</v>
      </c>
      <c r="M624" t="s">
        <v>7</v>
      </c>
      <c r="N624" t="s">
        <v>8</v>
      </c>
      <c r="P624">
        <f t="shared" si="989"/>
        <v>8.1967213114752135E-2</v>
      </c>
      <c r="Q624">
        <f t="shared" si="990"/>
        <v>8955099.1967210975</v>
      </c>
      <c r="R624">
        <f t="shared" si="991"/>
        <v>-86226776.040059164</v>
      </c>
      <c r="S624">
        <f t="shared" si="992"/>
        <v>-862.26776040059167</v>
      </c>
      <c r="T624">
        <f t="shared" si="993"/>
        <v>-0.86226776040059172</v>
      </c>
    </row>
    <row r="625" spans="1:20" x14ac:dyDescent="0.25">
      <c r="A625" s="5">
        <v>43968</v>
      </c>
      <c r="B625">
        <v>4.8399999999999997E-3</v>
      </c>
      <c r="C625">
        <v>5.0200000000000002E-3</v>
      </c>
      <c r="D625">
        <v>4.4900000000000001E-3</v>
      </c>
      <c r="E625">
        <v>4.5799999999999999E-3</v>
      </c>
      <c r="F625">
        <v>93643906.900000006</v>
      </c>
      <c r="G625">
        <v>0</v>
      </c>
      <c r="L625" t="s">
        <v>7</v>
      </c>
      <c r="M625" t="s">
        <v>7</v>
      </c>
      <c r="N625" t="s">
        <v>8</v>
      </c>
      <c r="P625">
        <f t="shared" si="989"/>
        <v>-0.66037735849056689</v>
      </c>
      <c r="Q625">
        <f t="shared" si="990"/>
        <v>-61840315.877358571</v>
      </c>
      <c r="R625">
        <f t="shared" si="991"/>
        <v>-95181875.236780256</v>
      </c>
      <c r="S625">
        <f t="shared" si="992"/>
        <v>-951.81875236780252</v>
      </c>
      <c r="T625">
        <f t="shared" si="993"/>
        <v>-0.95181875236780256</v>
      </c>
    </row>
    <row r="626" spans="1:20" x14ac:dyDescent="0.25">
      <c r="A626" s="5">
        <v>43967</v>
      </c>
      <c r="B626">
        <v>5.1399999999999996E-3</v>
      </c>
      <c r="C626">
        <v>5.1900000000000002E-3</v>
      </c>
      <c r="D626">
        <v>4.6499999999999996E-3</v>
      </c>
      <c r="E626">
        <v>4.8300000000000001E-3</v>
      </c>
      <c r="F626">
        <v>114117907.8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-0.33333333333333226</v>
      </c>
      <c r="Q626">
        <f t="shared" si="990"/>
        <v>-38039302.599999875</v>
      </c>
      <c r="R626">
        <f t="shared" si="991"/>
        <v>-33341559.359421685</v>
      </c>
      <c r="S626">
        <f t="shared" si="992"/>
        <v>-333.41559359421683</v>
      </c>
      <c r="T626">
        <f t="shared" si="993"/>
        <v>-0.33341559359421685</v>
      </c>
    </row>
    <row r="627" spans="1:20" x14ac:dyDescent="0.25">
      <c r="A627" s="5">
        <v>43966</v>
      </c>
      <c r="B627">
        <v>5.5300000000000002E-3</v>
      </c>
      <c r="C627">
        <v>5.7000000000000002E-3</v>
      </c>
      <c r="D627">
        <v>4.9399999999999999E-3</v>
      </c>
      <c r="E627">
        <v>5.1799999999999997E-3</v>
      </c>
      <c r="F627">
        <v>143824034.30000001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-0.36842105263157982</v>
      </c>
      <c r="Q627">
        <f t="shared" si="990"/>
        <v>-52987802.110526443</v>
      </c>
      <c r="R627">
        <f t="shared" si="991"/>
        <v>4697743.2405781895</v>
      </c>
      <c r="S627">
        <f t="shared" si="992"/>
        <v>46.977432405781897</v>
      </c>
      <c r="T627">
        <f t="shared" si="993"/>
        <v>4.6977432405781901E-2</v>
      </c>
    </row>
    <row r="628" spans="1:20" x14ac:dyDescent="0.25">
      <c r="A628" s="5">
        <v>43965</v>
      </c>
      <c r="B628">
        <v>4.6699999999999997E-3</v>
      </c>
      <c r="C628">
        <v>5.5900000000000004E-3</v>
      </c>
      <c r="D628">
        <v>4.64E-3</v>
      </c>
      <c r="E628">
        <v>5.5300000000000002E-3</v>
      </c>
      <c r="F628">
        <v>218692454.80000001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0.87368421052631551</v>
      </c>
      <c r="Q628">
        <f t="shared" si="990"/>
        <v>191068144.71999994</v>
      </c>
      <c r="R628">
        <f t="shared" si="991"/>
        <v>57685545.351104632</v>
      </c>
      <c r="S628">
        <f t="shared" si="992"/>
        <v>576.85545351104633</v>
      </c>
      <c r="T628">
        <f t="shared" si="993"/>
        <v>0.57685545351104639</v>
      </c>
    </row>
    <row r="629" spans="1:20" x14ac:dyDescent="0.25">
      <c r="A629" s="5">
        <v>43964</v>
      </c>
      <c r="B629">
        <v>3.9300000000000003E-3</v>
      </c>
      <c r="C629">
        <v>4.7299999999999998E-3</v>
      </c>
      <c r="D629">
        <v>3.8999999999999998E-3</v>
      </c>
      <c r="E629">
        <v>4.64E-3</v>
      </c>
      <c r="F629">
        <v>153547342.19999999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0.78313253012048245</v>
      </c>
      <c r="Q629">
        <f t="shared" si="990"/>
        <v>120247918.59036152</v>
      </c>
      <c r="R629">
        <f t="shared" si="991"/>
        <v>-133382599.36889531</v>
      </c>
      <c r="S629">
        <f t="shared" si="992"/>
        <v>-1333.8259936889531</v>
      </c>
      <c r="T629">
        <f t="shared" si="993"/>
        <v>-1.3338259936889532</v>
      </c>
    </row>
    <row r="630" spans="1:20" x14ac:dyDescent="0.25">
      <c r="A630" s="5">
        <v>43963</v>
      </c>
      <c r="B630">
        <v>3.9399999999999999E-3</v>
      </c>
      <c r="C630">
        <v>4.0699999999999998E-3</v>
      </c>
      <c r="D630">
        <v>3.8500000000000001E-3</v>
      </c>
      <c r="E630">
        <v>3.9300000000000003E-3</v>
      </c>
      <c r="F630">
        <v>45690273.299999997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-0.27272727272726988</v>
      </c>
      <c r="Q630">
        <f t="shared" si="990"/>
        <v>-12460983.627272597</v>
      </c>
      <c r="R630">
        <f t="shared" si="991"/>
        <v>-253630517.95925683</v>
      </c>
      <c r="S630">
        <f t="shared" si="992"/>
        <v>-2536.3051795925685</v>
      </c>
      <c r="T630">
        <f t="shared" si="993"/>
        <v>-2.5363051795925684</v>
      </c>
    </row>
    <row r="631" spans="1:20" x14ac:dyDescent="0.25">
      <c r="A631" s="5">
        <v>43962</v>
      </c>
      <c r="B631">
        <v>3.5999999999999999E-3</v>
      </c>
      <c r="C631">
        <v>4.1399999999999996E-3</v>
      </c>
      <c r="D631">
        <v>3.5300000000000002E-3</v>
      </c>
      <c r="E631">
        <v>3.9899999999999996E-3</v>
      </c>
      <c r="F631">
        <v>138132450.40000001</v>
      </c>
      <c r="G631">
        <v>0</v>
      </c>
      <c r="L631" t="s">
        <v>8</v>
      </c>
      <c r="M631" t="s">
        <v>8</v>
      </c>
      <c r="N631" t="s">
        <v>7</v>
      </c>
      <c r="P631">
        <f t="shared" si="989"/>
        <v>0.50819672131147509</v>
      </c>
      <c r="Q631">
        <f t="shared" si="990"/>
        <v>70198458.399999961</v>
      </c>
      <c r="R631">
        <f t="shared" si="991"/>
        <v>-241169534.33198422</v>
      </c>
      <c r="S631">
        <f t="shared" si="992"/>
        <v>-2411.6953433198423</v>
      </c>
      <c r="T631">
        <f t="shared" si="993"/>
        <v>-2.4116953433198423</v>
      </c>
    </row>
    <row r="632" spans="1:20" x14ac:dyDescent="0.25">
      <c r="A632" s="5">
        <v>43961</v>
      </c>
      <c r="B632">
        <v>3.9300000000000003E-3</v>
      </c>
      <c r="C632">
        <v>3.9300000000000003E-3</v>
      </c>
      <c r="D632">
        <v>3.1700000000000001E-3</v>
      </c>
      <c r="E632">
        <v>3.5799999999999998E-3</v>
      </c>
      <c r="F632">
        <v>103680132.40000001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7.894736842105167E-2</v>
      </c>
      <c r="Q632">
        <f t="shared" si="990"/>
        <v>8185273.6105262162</v>
      </c>
      <c r="R632">
        <f t="shared" si="991"/>
        <v>-311367992.7319842</v>
      </c>
      <c r="S632">
        <f t="shared" si="992"/>
        <v>-3113.6799273198421</v>
      </c>
      <c r="T632">
        <f t="shared" si="993"/>
        <v>-3.1136799273198421</v>
      </c>
    </row>
    <row r="633" spans="1:20" x14ac:dyDescent="0.25">
      <c r="A633" s="5">
        <v>43960</v>
      </c>
      <c r="B633">
        <v>4.0099999999999997E-3</v>
      </c>
      <c r="C633">
        <v>4.13E-3</v>
      </c>
      <c r="D633">
        <v>3.8700000000000002E-3</v>
      </c>
      <c r="E633">
        <v>3.9199999999999999E-3</v>
      </c>
      <c r="F633">
        <v>30861298.5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-0.61538461538461742</v>
      </c>
      <c r="Q633">
        <f t="shared" si="990"/>
        <v>-18991568.307692371</v>
      </c>
      <c r="R633">
        <f t="shared" si="991"/>
        <v>-319553266.3425104</v>
      </c>
      <c r="S633">
        <f t="shared" si="992"/>
        <v>-3195.5326634251041</v>
      </c>
      <c r="T633">
        <f t="shared" si="993"/>
        <v>-3.1955326634251042</v>
      </c>
    </row>
    <row r="634" spans="1:20" x14ac:dyDescent="0.25">
      <c r="A634" s="5">
        <v>43959</v>
      </c>
      <c r="B634">
        <v>4.0299999999999997E-3</v>
      </c>
      <c r="C634">
        <v>4.13E-3</v>
      </c>
      <c r="D634">
        <v>3.8999999999999998E-3</v>
      </c>
      <c r="E634">
        <v>4.0099999999999997E-3</v>
      </c>
      <c r="F634">
        <v>34195813.100000001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-4.3478260869567187E-2</v>
      </c>
      <c r="Q634">
        <f t="shared" si="990"/>
        <v>-1486774.482608763</v>
      </c>
      <c r="R634">
        <f t="shared" si="991"/>
        <v>-300561698.03481805</v>
      </c>
      <c r="S634">
        <f t="shared" si="992"/>
        <v>-3005.6169803481807</v>
      </c>
      <c r="T634">
        <f t="shared" si="993"/>
        <v>-3.0056169803481807</v>
      </c>
    </row>
    <row r="635" spans="1:20" x14ac:dyDescent="0.25">
      <c r="A635" s="5">
        <v>43958</v>
      </c>
      <c r="B635">
        <v>3.96E-3</v>
      </c>
      <c r="C635">
        <v>4.1000000000000003E-3</v>
      </c>
      <c r="D635">
        <v>3.7399999999999998E-3</v>
      </c>
      <c r="E635">
        <v>4.0600000000000002E-3</v>
      </c>
      <c r="F635">
        <v>57429342.5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0.77777777777777746</v>
      </c>
      <c r="Q635">
        <f t="shared" si="990"/>
        <v>44667266.388888873</v>
      </c>
      <c r="R635">
        <f t="shared" si="991"/>
        <v>-299074923.55220932</v>
      </c>
      <c r="S635">
        <f t="shared" si="992"/>
        <v>-2990.7492355220934</v>
      </c>
      <c r="T635">
        <f t="shared" si="993"/>
        <v>-2.9907492355220935</v>
      </c>
    </row>
    <row r="636" spans="1:20" x14ac:dyDescent="0.25">
      <c r="A636" s="5">
        <v>43957</v>
      </c>
      <c r="B636">
        <v>4.3600000000000002E-3</v>
      </c>
      <c r="C636">
        <v>4.3699999999999998E-3</v>
      </c>
      <c r="D636">
        <v>3.9100000000000003E-3</v>
      </c>
      <c r="E636">
        <v>3.9500000000000004E-3</v>
      </c>
      <c r="F636">
        <v>71733779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-0.82608695652173847</v>
      </c>
      <c r="Q636">
        <f t="shared" si="990"/>
        <v>-59258339.173912995</v>
      </c>
      <c r="R636">
        <f t="shared" si="991"/>
        <v>-343742189.94109821</v>
      </c>
      <c r="S636">
        <f t="shared" si="992"/>
        <v>-3437.421899410982</v>
      </c>
      <c r="T636">
        <f t="shared" si="993"/>
        <v>-3.4374218994109818</v>
      </c>
    </row>
    <row r="637" spans="1:20" x14ac:dyDescent="0.25">
      <c r="A637" s="5">
        <v>43956</v>
      </c>
      <c r="B637">
        <v>4.3800000000000002E-3</v>
      </c>
      <c r="C637">
        <v>4.47E-3</v>
      </c>
      <c r="D637">
        <v>4.28E-3</v>
      </c>
      <c r="E637">
        <v>4.3600000000000002E-3</v>
      </c>
      <c r="F637">
        <v>26367683.600000001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-0.15789473684210334</v>
      </c>
      <c r="Q637">
        <f t="shared" si="990"/>
        <v>-4163318.4631578443</v>
      </c>
      <c r="R637">
        <f t="shared" si="991"/>
        <v>-284483850.76718521</v>
      </c>
      <c r="S637">
        <f t="shared" si="992"/>
        <v>-2844.8385076718523</v>
      </c>
      <c r="T637">
        <f t="shared" si="993"/>
        <v>-2.8448385076718523</v>
      </c>
    </row>
    <row r="638" spans="1:20" x14ac:dyDescent="0.25">
      <c r="A638" s="5">
        <v>43955</v>
      </c>
      <c r="B638">
        <v>4.6100000000000004E-3</v>
      </c>
      <c r="C638">
        <v>4.62E-3</v>
      </c>
      <c r="D638">
        <v>4.1000000000000003E-3</v>
      </c>
      <c r="E638">
        <v>4.3800000000000002E-3</v>
      </c>
      <c r="F638">
        <v>106186544.2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7.6923076923077177E-2</v>
      </c>
      <c r="Q638">
        <f t="shared" si="990"/>
        <v>8168195.7076923354</v>
      </c>
      <c r="R638">
        <f t="shared" si="991"/>
        <v>-280320532.30402738</v>
      </c>
      <c r="S638">
        <f t="shared" si="992"/>
        <v>-2803.2053230402739</v>
      </c>
      <c r="T638">
        <f t="shared" si="993"/>
        <v>-2.8032053230402738</v>
      </c>
    </row>
    <row r="639" spans="1:20" x14ac:dyDescent="0.25">
      <c r="A639" s="5">
        <v>43954</v>
      </c>
      <c r="B639">
        <v>4.96E-3</v>
      </c>
      <c r="C639">
        <v>5.0200000000000002E-3</v>
      </c>
      <c r="D639">
        <v>4.47E-3</v>
      </c>
      <c r="E639">
        <v>4.5900000000000003E-3</v>
      </c>
      <c r="F639">
        <v>57364622.700000003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-0.5636363636363626</v>
      </c>
      <c r="Q639">
        <f t="shared" si="990"/>
        <v>-32332787.339999944</v>
      </c>
      <c r="R639">
        <f t="shared" si="991"/>
        <v>-288488728.0117197</v>
      </c>
      <c r="S639">
        <f t="shared" si="992"/>
        <v>-2884.887280117197</v>
      </c>
      <c r="T639">
        <f t="shared" si="993"/>
        <v>-2.884887280117197</v>
      </c>
    </row>
    <row r="640" spans="1:20" x14ac:dyDescent="0.25">
      <c r="A640" s="5">
        <v>43953</v>
      </c>
      <c r="B640">
        <v>4.8900000000000002E-3</v>
      </c>
      <c r="C640">
        <v>5.0200000000000002E-3</v>
      </c>
      <c r="D640">
        <v>4.7499999999999999E-3</v>
      </c>
      <c r="E640">
        <v>4.9699999999999996E-3</v>
      </c>
      <c r="F640">
        <v>48902195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0.62962962962962588</v>
      </c>
      <c r="Q640">
        <f t="shared" si="990"/>
        <v>30790270.925925743</v>
      </c>
      <c r="R640">
        <f t="shared" si="991"/>
        <v>-256155940.67171979</v>
      </c>
      <c r="S640">
        <f t="shared" si="992"/>
        <v>-2561.5594067171978</v>
      </c>
      <c r="T640">
        <f t="shared" si="993"/>
        <v>-2.5615594067171976</v>
      </c>
    </row>
    <row r="641" spans="1:20" x14ac:dyDescent="0.25">
      <c r="A641" s="5">
        <v>43952</v>
      </c>
      <c r="B641">
        <v>4.5599999999999998E-3</v>
      </c>
      <c r="C641">
        <v>5.1399999999999996E-3</v>
      </c>
      <c r="D641">
        <v>4.5500000000000002E-3</v>
      </c>
      <c r="E641">
        <v>4.8999999999999998E-3</v>
      </c>
      <c r="F641">
        <v>75793189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0.18644067796610164</v>
      </c>
      <c r="Q641">
        <f t="shared" si="990"/>
        <v>14130933.542372877</v>
      </c>
      <c r="R641">
        <f t="shared" si="991"/>
        <v>-286946211.59764552</v>
      </c>
      <c r="S641">
        <f t="shared" si="992"/>
        <v>-2869.4621159764552</v>
      </c>
      <c r="T641">
        <f t="shared" si="993"/>
        <v>-2.8694621159764551</v>
      </c>
    </row>
    <row r="642" spans="1:20" x14ac:dyDescent="0.25">
      <c r="A642" s="5">
        <v>43951</v>
      </c>
      <c r="B642">
        <v>4.8799999999999998E-3</v>
      </c>
      <c r="C642">
        <v>5.2300000000000003E-3</v>
      </c>
      <c r="D642">
        <v>4.4099999999999999E-3</v>
      </c>
      <c r="E642">
        <v>4.5500000000000002E-3</v>
      </c>
      <c r="F642">
        <v>143646867.19999999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-0.65853658536585291</v>
      </c>
      <c r="Q642">
        <f t="shared" si="990"/>
        <v>-94596717.424390122</v>
      </c>
      <c r="R642">
        <f t="shared" si="991"/>
        <v>-301077145.1400184</v>
      </c>
      <c r="S642">
        <f t="shared" si="992"/>
        <v>-3010.7714514001841</v>
      </c>
      <c r="T642">
        <f t="shared" si="993"/>
        <v>-3.010771451400184</v>
      </c>
    </row>
    <row r="643" spans="1:20" x14ac:dyDescent="0.25">
      <c r="A643" s="5">
        <v>43950</v>
      </c>
      <c r="B643">
        <v>4.45E-3</v>
      </c>
      <c r="C643">
        <v>5.0499999999999998E-3</v>
      </c>
      <c r="D643">
        <v>4.2700000000000004E-3</v>
      </c>
      <c r="E643">
        <v>4.8300000000000001E-3</v>
      </c>
      <c r="F643">
        <v>169738669.30000001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0.43589743589743624</v>
      </c>
      <c r="Q643">
        <f t="shared" si="990"/>
        <v>73988650.720512882</v>
      </c>
      <c r="R643">
        <f t="shared" si="991"/>
        <v>-206480427.71562827</v>
      </c>
      <c r="S643">
        <f t="shared" si="992"/>
        <v>-2064.8042771562828</v>
      </c>
      <c r="T643">
        <f t="shared" si="993"/>
        <v>-2.0648042771562829</v>
      </c>
    </row>
    <row r="644" spans="1:20" x14ac:dyDescent="0.25">
      <c r="A644" s="5">
        <v>43949</v>
      </c>
      <c r="B644">
        <v>4.4299999999999999E-3</v>
      </c>
      <c r="C644">
        <v>4.5900000000000003E-3</v>
      </c>
      <c r="D644">
        <v>4.15E-3</v>
      </c>
      <c r="E644">
        <v>4.4200000000000003E-3</v>
      </c>
      <c r="F644">
        <v>81090690.200000003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0.22727272727272771</v>
      </c>
      <c r="Q644">
        <f t="shared" si="990"/>
        <v>18429702.318181854</v>
      </c>
      <c r="R644">
        <f t="shared" si="991"/>
        <v>-280469078.43614113</v>
      </c>
      <c r="S644">
        <f t="shared" si="992"/>
        <v>-2804.6907843614113</v>
      </c>
      <c r="T644">
        <f t="shared" si="993"/>
        <v>-2.8046907843614113</v>
      </c>
    </row>
    <row r="645" spans="1:20" x14ac:dyDescent="0.25">
      <c r="A645" s="5">
        <v>43948</v>
      </c>
      <c r="B645">
        <v>4.2199999999999998E-3</v>
      </c>
      <c r="C645">
        <v>4.9399999999999999E-3</v>
      </c>
      <c r="D645">
        <v>3.98E-3</v>
      </c>
      <c r="E645">
        <v>4.4200000000000003E-3</v>
      </c>
      <c r="F645">
        <v>251799992.5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-8.3333333333332663E-2</v>
      </c>
      <c r="Q645">
        <f t="shared" si="990"/>
        <v>-20983332.708333164</v>
      </c>
      <c r="R645">
        <f t="shared" si="991"/>
        <v>-298898780.75432301</v>
      </c>
      <c r="S645">
        <f t="shared" si="992"/>
        <v>-2988.9878075432302</v>
      </c>
      <c r="T645">
        <f t="shared" si="993"/>
        <v>-2.9889878075432303</v>
      </c>
    </row>
    <row r="646" spans="1:20" x14ac:dyDescent="0.25">
      <c r="A646" s="5">
        <v>43947</v>
      </c>
      <c r="B646">
        <v>3.7200000000000002E-3</v>
      </c>
      <c r="C646">
        <v>4.3800000000000002E-3</v>
      </c>
      <c r="D646">
        <v>3.6900000000000001E-3</v>
      </c>
      <c r="E646">
        <v>4.1799999999999997E-3</v>
      </c>
      <c r="F646">
        <v>155349936.30000001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0.4202898550724623</v>
      </c>
      <c r="Q646">
        <f t="shared" ref="Q646:Q709" si="995">F646*P646</f>
        <v>65292002.213043258</v>
      </c>
      <c r="R646">
        <f t="shared" ref="R646:R709" si="996">R647+Q646</f>
        <v>-277915448.04598987</v>
      </c>
      <c r="S646">
        <f t="shared" ref="S646:S709" si="997">R646/100000</f>
        <v>-2779.1544804598989</v>
      </c>
      <c r="T646">
        <f t="shared" ref="T646:T709" si="998">S646/1000</f>
        <v>-2.7791544804598987</v>
      </c>
    </row>
    <row r="647" spans="1:20" x14ac:dyDescent="0.25">
      <c r="A647" s="5">
        <v>43946</v>
      </c>
      <c r="B647">
        <v>3.3400000000000001E-3</v>
      </c>
      <c r="C647">
        <v>3.7499999999999999E-3</v>
      </c>
      <c r="D647">
        <v>3.3E-3</v>
      </c>
      <c r="E647">
        <v>3.7200000000000002E-3</v>
      </c>
      <c r="F647">
        <v>63193705.600000001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0.86666666666666825</v>
      </c>
      <c r="Q647">
        <f t="shared" si="995"/>
        <v>54767878.186666772</v>
      </c>
      <c r="R647">
        <f t="shared" si="996"/>
        <v>-343207450.25903314</v>
      </c>
      <c r="S647">
        <f t="shared" si="997"/>
        <v>-3432.0745025903316</v>
      </c>
      <c r="T647">
        <f t="shared" si="998"/>
        <v>-3.4320745025903316</v>
      </c>
    </row>
    <row r="648" spans="1:20" x14ac:dyDescent="0.25">
      <c r="A648" s="5">
        <v>43945</v>
      </c>
      <c r="B648">
        <v>3.14E-3</v>
      </c>
      <c r="C648">
        <v>3.47E-3</v>
      </c>
      <c r="D648">
        <v>3.14E-3</v>
      </c>
      <c r="E648">
        <v>3.3700000000000002E-3</v>
      </c>
      <c r="F648">
        <v>55664446.600000001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0.39393939393939498</v>
      </c>
      <c r="Q648">
        <f t="shared" si="995"/>
        <v>21928418.357575815</v>
      </c>
      <c r="R648">
        <f t="shared" si="996"/>
        <v>-397975328.44569993</v>
      </c>
      <c r="S648">
        <f t="shared" si="997"/>
        <v>-3979.7532844569992</v>
      </c>
      <c r="T648">
        <f t="shared" si="998"/>
        <v>-3.9797532844569989</v>
      </c>
    </row>
    <row r="649" spans="1:20" x14ac:dyDescent="0.25">
      <c r="A649" s="5">
        <v>43944</v>
      </c>
      <c r="B649">
        <v>3.1700000000000001E-3</v>
      </c>
      <c r="C649">
        <v>3.2499999999999999E-3</v>
      </c>
      <c r="D649">
        <v>3.0300000000000001E-3</v>
      </c>
      <c r="E649">
        <v>3.15E-3</v>
      </c>
      <c r="F649">
        <v>37394582.899999999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9.0909090909091272E-2</v>
      </c>
      <c r="Q649">
        <f t="shared" si="995"/>
        <v>3399507.5363636496</v>
      </c>
      <c r="R649">
        <f t="shared" si="996"/>
        <v>-419903746.80327576</v>
      </c>
      <c r="S649">
        <f t="shared" si="997"/>
        <v>-4199.0374680327577</v>
      </c>
      <c r="T649">
        <f t="shared" si="998"/>
        <v>-4.199037468032758</v>
      </c>
    </row>
    <row r="650" spans="1:20" x14ac:dyDescent="0.25">
      <c r="A650" s="5">
        <v>43943</v>
      </c>
      <c r="B650">
        <v>2.96E-3</v>
      </c>
      <c r="C650">
        <v>3.2100000000000002E-3</v>
      </c>
      <c r="D650">
        <v>2.9399999999999999E-3</v>
      </c>
      <c r="E650">
        <v>3.1800000000000001E-3</v>
      </c>
      <c r="F650">
        <v>17503395.399999999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0.77777777777777746</v>
      </c>
      <c r="Q650">
        <f t="shared" si="995"/>
        <v>13613751.977777772</v>
      </c>
      <c r="R650">
        <f t="shared" si="996"/>
        <v>-423303254.33963943</v>
      </c>
      <c r="S650">
        <f t="shared" si="997"/>
        <v>-4233.0325433963944</v>
      </c>
      <c r="T650">
        <f t="shared" si="998"/>
        <v>-4.2330325433963942</v>
      </c>
    </row>
    <row r="651" spans="1:20" x14ac:dyDescent="0.25">
      <c r="A651" s="5">
        <v>43942</v>
      </c>
      <c r="B651">
        <v>2.98E-3</v>
      </c>
      <c r="C651">
        <v>3.0599999999999998E-3</v>
      </c>
      <c r="D651">
        <v>2.9399999999999999E-3</v>
      </c>
      <c r="E651">
        <v>2.96E-3</v>
      </c>
      <c r="F651">
        <v>16040428.300000001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-0.66666666666666541</v>
      </c>
      <c r="Q651">
        <f t="shared" si="995"/>
        <v>-10693618.866666647</v>
      </c>
      <c r="R651">
        <f t="shared" si="996"/>
        <v>-436917006.3174172</v>
      </c>
      <c r="S651">
        <f t="shared" si="997"/>
        <v>-4369.1700631741724</v>
      </c>
      <c r="T651">
        <f t="shared" si="998"/>
        <v>-4.3691700631741721</v>
      </c>
    </row>
    <row r="652" spans="1:20" x14ac:dyDescent="0.25">
      <c r="A652" s="5">
        <v>43941</v>
      </c>
      <c r="B652">
        <v>3.2699999999999999E-3</v>
      </c>
      <c r="C652">
        <v>3.31E-3</v>
      </c>
      <c r="D652">
        <v>2.8700000000000002E-3</v>
      </c>
      <c r="E652">
        <v>2.9399999999999999E-3</v>
      </c>
      <c r="F652">
        <v>43057725.799999997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-0.68181818181818288</v>
      </c>
      <c r="Q652">
        <f t="shared" si="995"/>
        <v>-29357540.318181861</v>
      </c>
      <c r="R652">
        <f t="shared" si="996"/>
        <v>-426223387.45075053</v>
      </c>
      <c r="S652">
        <f t="shared" si="997"/>
        <v>-4262.2338745075049</v>
      </c>
      <c r="T652">
        <f t="shared" si="998"/>
        <v>-4.2622338745075048</v>
      </c>
    </row>
    <row r="653" spans="1:20" x14ac:dyDescent="0.25">
      <c r="A653" s="5">
        <v>43940</v>
      </c>
      <c r="B653">
        <v>3.2799999999999999E-3</v>
      </c>
      <c r="C653">
        <v>3.32E-3</v>
      </c>
      <c r="D653">
        <v>3.2000000000000002E-3</v>
      </c>
      <c r="E653">
        <v>3.2699999999999999E-3</v>
      </c>
      <c r="F653">
        <v>16911158.300000001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0.16666666666666366</v>
      </c>
      <c r="Q653">
        <f t="shared" si="995"/>
        <v>2818526.3833332825</v>
      </c>
      <c r="R653">
        <f t="shared" si="996"/>
        <v>-396865847.13256866</v>
      </c>
      <c r="S653">
        <f t="shared" si="997"/>
        <v>-3968.6584713256866</v>
      </c>
      <c r="T653">
        <f t="shared" si="998"/>
        <v>-3.9686584713256865</v>
      </c>
    </row>
    <row r="654" spans="1:20" x14ac:dyDescent="0.25">
      <c r="A654" s="5">
        <v>43939</v>
      </c>
      <c r="B654">
        <v>3.1099999999999999E-3</v>
      </c>
      <c r="C654">
        <v>3.32E-3</v>
      </c>
      <c r="D654">
        <v>3.0999999999999999E-3</v>
      </c>
      <c r="E654">
        <v>3.32E-3</v>
      </c>
      <c r="F654">
        <v>27878573.399999999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1</v>
      </c>
      <c r="Q654">
        <f t="shared" si="995"/>
        <v>27878573.399999999</v>
      </c>
      <c r="R654">
        <f t="shared" si="996"/>
        <v>-399684373.51590192</v>
      </c>
      <c r="S654">
        <f t="shared" si="997"/>
        <v>-3996.8437351590192</v>
      </c>
      <c r="T654">
        <f t="shared" si="998"/>
        <v>-3.9968437351590191</v>
      </c>
    </row>
    <row r="655" spans="1:20" x14ac:dyDescent="0.25">
      <c r="A655" s="5">
        <v>43938</v>
      </c>
      <c r="B655">
        <v>3.14E-3</v>
      </c>
      <c r="C655">
        <v>3.2499999999999999E-3</v>
      </c>
      <c r="D655">
        <v>3.0899999999999999E-3</v>
      </c>
      <c r="E655">
        <v>3.1099999999999999E-3</v>
      </c>
      <c r="F655">
        <v>63519363.100000001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-0.74999999999999933</v>
      </c>
      <c r="Q655">
        <f t="shared" si="995"/>
        <v>-47639522.324999958</v>
      </c>
      <c r="R655">
        <f t="shared" si="996"/>
        <v>-427562946.9159019</v>
      </c>
      <c r="S655">
        <f t="shared" si="997"/>
        <v>-4275.6294691590192</v>
      </c>
      <c r="T655">
        <f t="shared" si="998"/>
        <v>-4.2756294691590195</v>
      </c>
    </row>
    <row r="656" spans="1:20" x14ac:dyDescent="0.25">
      <c r="A656" s="5">
        <v>43937</v>
      </c>
      <c r="B656">
        <v>2.9499999999999999E-3</v>
      </c>
      <c r="C656">
        <v>3.1700000000000001E-3</v>
      </c>
      <c r="D656">
        <v>2.8500000000000001E-3</v>
      </c>
      <c r="E656">
        <v>3.14E-3</v>
      </c>
      <c r="F656">
        <v>51442620.5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0.81249999999999944</v>
      </c>
      <c r="Q656">
        <f t="shared" si="995"/>
        <v>41797129.15624997</v>
      </c>
      <c r="R656">
        <f t="shared" si="996"/>
        <v>-379923424.59090197</v>
      </c>
      <c r="S656">
        <f t="shared" si="997"/>
        <v>-3799.2342459090196</v>
      </c>
      <c r="T656">
        <f t="shared" si="998"/>
        <v>-3.7992342459090196</v>
      </c>
    </row>
    <row r="657" spans="1:20" x14ac:dyDescent="0.25">
      <c r="A657" s="5">
        <v>43936</v>
      </c>
      <c r="B657">
        <v>3.2299999999999998E-3</v>
      </c>
      <c r="C657">
        <v>3.2699999999999999E-3</v>
      </c>
      <c r="D657">
        <v>2.9199999999999999E-3</v>
      </c>
      <c r="E657">
        <v>2.96E-3</v>
      </c>
      <c r="F657">
        <v>34686694.299999997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-0.77142857142857091</v>
      </c>
      <c r="Q657">
        <f t="shared" si="995"/>
        <v>-26758307.031428549</v>
      </c>
      <c r="R657">
        <f t="shared" si="996"/>
        <v>-421720553.74715191</v>
      </c>
      <c r="S657">
        <f t="shared" si="997"/>
        <v>-4217.2055374715192</v>
      </c>
      <c r="T657">
        <f t="shared" si="998"/>
        <v>-4.2172055374715196</v>
      </c>
    </row>
    <row r="658" spans="1:20" x14ac:dyDescent="0.25">
      <c r="A658" s="5">
        <v>43935</v>
      </c>
      <c r="B658">
        <v>3.2399999999999998E-3</v>
      </c>
      <c r="C658">
        <v>3.32E-3</v>
      </c>
      <c r="D658">
        <v>3.1800000000000001E-3</v>
      </c>
      <c r="E658">
        <v>3.2399999999999998E-3</v>
      </c>
      <c r="F658">
        <v>21480143.100000001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-0.1428571428571464</v>
      </c>
      <c r="Q658">
        <f t="shared" si="995"/>
        <v>-3068591.871428648</v>
      </c>
      <c r="R658">
        <f t="shared" si="996"/>
        <v>-394962246.71572334</v>
      </c>
      <c r="S658">
        <f t="shared" si="997"/>
        <v>-3949.6224671572331</v>
      </c>
      <c r="T658">
        <f t="shared" si="998"/>
        <v>-3.9496224671572331</v>
      </c>
    </row>
    <row r="659" spans="1:20" x14ac:dyDescent="0.25">
      <c r="A659" s="5">
        <v>43934</v>
      </c>
      <c r="B659">
        <v>3.3600000000000001E-3</v>
      </c>
      <c r="C659">
        <v>3.3700000000000002E-3</v>
      </c>
      <c r="D659">
        <v>3.0899999999999999E-3</v>
      </c>
      <c r="E659">
        <v>3.2599999999999999E-3</v>
      </c>
      <c r="F659">
        <v>39596573.399999999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0.21428571428571308</v>
      </c>
      <c r="Q659">
        <f t="shared" si="995"/>
        <v>8484980.0142856669</v>
      </c>
      <c r="R659">
        <f t="shared" si="996"/>
        <v>-391893654.84429467</v>
      </c>
      <c r="S659">
        <f t="shared" si="997"/>
        <v>-3918.9365484429468</v>
      </c>
      <c r="T659">
        <f t="shared" si="998"/>
        <v>-3.9189365484429466</v>
      </c>
    </row>
    <row r="660" spans="1:20" x14ac:dyDescent="0.25">
      <c r="A660" s="5">
        <v>43933</v>
      </c>
      <c r="B660">
        <v>3.3E-3</v>
      </c>
      <c r="C660">
        <v>3.5999999999999999E-3</v>
      </c>
      <c r="D660">
        <v>3.1900000000000001E-3</v>
      </c>
      <c r="E660">
        <v>3.3600000000000001E-3</v>
      </c>
      <c r="F660">
        <v>36183258.399999999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-0.17073170731707266</v>
      </c>
      <c r="Q660">
        <f t="shared" si="995"/>
        <v>-6177629.4829268102</v>
      </c>
      <c r="R660">
        <f t="shared" si="996"/>
        <v>-400378634.85858035</v>
      </c>
      <c r="S660">
        <f t="shared" si="997"/>
        <v>-4003.7863485858034</v>
      </c>
      <c r="T660">
        <f t="shared" si="998"/>
        <v>-4.0037863485858036</v>
      </c>
    </row>
    <row r="661" spans="1:20" x14ac:dyDescent="0.25">
      <c r="A661" s="5">
        <v>43932</v>
      </c>
      <c r="B661">
        <v>3.2799999999999999E-3</v>
      </c>
      <c r="C661">
        <v>3.4099999999999998E-3</v>
      </c>
      <c r="D661">
        <v>3.15E-3</v>
      </c>
      <c r="E661">
        <v>3.3E-3</v>
      </c>
      <c r="F661">
        <v>38894297.200000003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0.15384615384615435</v>
      </c>
      <c r="Q661">
        <f t="shared" si="995"/>
        <v>5983738.0307692513</v>
      </c>
      <c r="R661">
        <f t="shared" si="996"/>
        <v>-394201005.37565356</v>
      </c>
      <c r="S661">
        <f t="shared" si="997"/>
        <v>-3942.0100537565359</v>
      </c>
      <c r="T661">
        <f t="shared" si="998"/>
        <v>-3.9420100537565359</v>
      </c>
    </row>
    <row r="662" spans="1:20" x14ac:dyDescent="0.25">
      <c r="A662" s="5">
        <v>43931</v>
      </c>
      <c r="B662">
        <v>3.82E-3</v>
      </c>
      <c r="C662">
        <v>3.8300000000000001E-3</v>
      </c>
      <c r="D662">
        <v>3.0999999999999999E-3</v>
      </c>
      <c r="E662">
        <v>3.2299999999999998E-3</v>
      </c>
      <c r="F662">
        <v>81567178.299999997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-0.64383561643835652</v>
      </c>
      <c r="Q662">
        <f t="shared" si="995"/>
        <v>-52515854.521917835</v>
      </c>
      <c r="R662">
        <f t="shared" si="996"/>
        <v>-400184743.40642279</v>
      </c>
      <c r="S662">
        <f t="shared" si="997"/>
        <v>-4001.8474340642279</v>
      </c>
      <c r="T662">
        <f t="shared" si="998"/>
        <v>-4.0018474340642278</v>
      </c>
    </row>
    <row r="663" spans="1:20" x14ac:dyDescent="0.25">
      <c r="A663" s="5">
        <v>43930</v>
      </c>
      <c r="B663">
        <v>3.47E-3</v>
      </c>
      <c r="C663">
        <v>3.8899999999999998E-3</v>
      </c>
      <c r="D663">
        <v>3.3999999999999998E-3</v>
      </c>
      <c r="E663">
        <v>3.82E-3</v>
      </c>
      <c r="F663">
        <v>57232208.399999999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0.7142857142857153</v>
      </c>
      <c r="Q663">
        <f t="shared" si="995"/>
        <v>40880148.857142918</v>
      </c>
      <c r="R663">
        <f t="shared" si="996"/>
        <v>-347668888.88450497</v>
      </c>
      <c r="S663">
        <f t="shared" si="997"/>
        <v>-3476.6888888450499</v>
      </c>
      <c r="T663">
        <f t="shared" si="998"/>
        <v>-3.4766888888450498</v>
      </c>
    </row>
    <row r="664" spans="1:20" x14ac:dyDescent="0.25">
      <c r="A664" s="5">
        <v>43929</v>
      </c>
      <c r="B664">
        <v>3.3999999999999998E-3</v>
      </c>
      <c r="C664">
        <v>3.62E-3</v>
      </c>
      <c r="D664">
        <v>3.3500000000000001E-3</v>
      </c>
      <c r="E664">
        <v>3.48E-3</v>
      </c>
      <c r="F664">
        <v>35313150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-3.7037037037037153E-2</v>
      </c>
      <c r="Q664">
        <f t="shared" si="995"/>
        <v>-1307894.4444444485</v>
      </c>
      <c r="R664">
        <f t="shared" si="996"/>
        <v>-388549037.7416479</v>
      </c>
      <c r="S664">
        <f t="shared" si="997"/>
        <v>-3885.4903774164791</v>
      </c>
      <c r="T664">
        <f t="shared" si="998"/>
        <v>-3.8854903774164793</v>
      </c>
    </row>
    <row r="665" spans="1:20" x14ac:dyDescent="0.25">
      <c r="A665" s="5">
        <v>43928</v>
      </c>
      <c r="B665">
        <v>3.3700000000000002E-3</v>
      </c>
      <c r="C665">
        <v>3.6700000000000001E-3</v>
      </c>
      <c r="D665">
        <v>3.2799999999999999E-3</v>
      </c>
      <c r="E665">
        <v>3.3999999999999998E-3</v>
      </c>
      <c r="F665">
        <v>54842888.700000003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-0.38461538461538547</v>
      </c>
      <c r="Q665">
        <f t="shared" si="995"/>
        <v>-21093418.73076928</v>
      </c>
      <c r="R665">
        <f t="shared" si="996"/>
        <v>-387241143.29720342</v>
      </c>
      <c r="S665">
        <f t="shared" si="997"/>
        <v>-3872.4114329720342</v>
      </c>
      <c r="T665">
        <f t="shared" si="998"/>
        <v>-3.8724114329720343</v>
      </c>
    </row>
    <row r="666" spans="1:20" x14ac:dyDescent="0.25">
      <c r="A666" s="5">
        <v>43927</v>
      </c>
      <c r="B666">
        <v>3.1700000000000001E-3</v>
      </c>
      <c r="C666">
        <v>3.4299999999999999E-3</v>
      </c>
      <c r="D666">
        <v>3.15E-3</v>
      </c>
      <c r="E666">
        <v>3.3700000000000002E-3</v>
      </c>
      <c r="F666">
        <v>32587558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0.57142857142857317</v>
      </c>
      <c r="Q666">
        <f t="shared" si="995"/>
        <v>18621461.714285772</v>
      </c>
      <c r="R666">
        <f t="shared" si="996"/>
        <v>-366147724.56643414</v>
      </c>
      <c r="S666">
        <f t="shared" si="997"/>
        <v>-3661.4772456643414</v>
      </c>
      <c r="T666">
        <f t="shared" si="998"/>
        <v>-3.6614772456643414</v>
      </c>
    </row>
    <row r="667" spans="1:20" x14ac:dyDescent="0.25">
      <c r="A667" s="5">
        <v>43926</v>
      </c>
      <c r="B667">
        <v>3.2399999999999998E-3</v>
      </c>
      <c r="C667">
        <v>3.3E-3</v>
      </c>
      <c r="D667">
        <v>3.0899999999999999E-3</v>
      </c>
      <c r="E667">
        <v>3.1700000000000001E-3</v>
      </c>
      <c r="F667">
        <v>16783259.600000001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-0.23809523809523653</v>
      </c>
      <c r="Q667">
        <f t="shared" si="995"/>
        <v>-3996014.1904761647</v>
      </c>
      <c r="R667">
        <f t="shared" si="996"/>
        <v>-384769186.28071994</v>
      </c>
      <c r="S667">
        <f t="shared" si="997"/>
        <v>-3847.6918628071994</v>
      </c>
      <c r="T667">
        <f t="shared" si="998"/>
        <v>-3.8476918628071992</v>
      </c>
    </row>
    <row r="668" spans="1:20" x14ac:dyDescent="0.25">
      <c r="A668" s="5">
        <v>43925</v>
      </c>
      <c r="B668">
        <v>3.2000000000000002E-3</v>
      </c>
      <c r="C668">
        <v>3.29E-3</v>
      </c>
      <c r="D668">
        <v>3.1199999999999999E-3</v>
      </c>
      <c r="E668">
        <v>3.2399999999999998E-3</v>
      </c>
      <c r="F668">
        <v>18257711.399999999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0.41176470588235142</v>
      </c>
      <c r="Q668">
        <f t="shared" si="995"/>
        <v>7517881.1647058539</v>
      </c>
      <c r="R668">
        <f t="shared" si="996"/>
        <v>-380773172.09024376</v>
      </c>
      <c r="S668">
        <f t="shared" si="997"/>
        <v>-3807.7317209024377</v>
      </c>
      <c r="T668">
        <f t="shared" si="998"/>
        <v>-3.8077317209024377</v>
      </c>
    </row>
    <row r="669" spans="1:20" x14ac:dyDescent="0.25">
      <c r="A669" s="5">
        <v>43924</v>
      </c>
      <c r="B669">
        <v>3.13E-3</v>
      </c>
      <c r="C669">
        <v>3.2299999999999998E-3</v>
      </c>
      <c r="D669">
        <v>3.0500000000000002E-3</v>
      </c>
      <c r="E669">
        <v>3.1700000000000001E-3</v>
      </c>
      <c r="F669">
        <v>28717107.5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0.33333333333333492</v>
      </c>
      <c r="Q669">
        <f t="shared" si="995"/>
        <v>9572369.1666667126</v>
      </c>
      <c r="R669">
        <f t="shared" si="996"/>
        <v>-388291053.25494963</v>
      </c>
      <c r="S669">
        <f t="shared" si="997"/>
        <v>-3882.9105325494961</v>
      </c>
      <c r="T669">
        <f t="shared" si="998"/>
        <v>-3.8829105325494959</v>
      </c>
    </row>
    <row r="670" spans="1:20" x14ac:dyDescent="0.25">
      <c r="A670" s="5">
        <v>43923</v>
      </c>
      <c r="B670">
        <v>3.13E-3</v>
      </c>
      <c r="C670">
        <v>3.3300000000000001E-3</v>
      </c>
      <c r="D670">
        <v>3.0300000000000001E-3</v>
      </c>
      <c r="E670">
        <v>3.1199999999999999E-3</v>
      </c>
      <c r="F670">
        <v>40151633.299999997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-0.40000000000000113</v>
      </c>
      <c r="Q670">
        <f t="shared" si="995"/>
        <v>-16060653.320000045</v>
      </c>
      <c r="R670">
        <f t="shared" si="996"/>
        <v>-397863422.42161632</v>
      </c>
      <c r="S670">
        <f t="shared" si="997"/>
        <v>-3978.6342242161631</v>
      </c>
      <c r="T670">
        <f t="shared" si="998"/>
        <v>-3.978634224216163</v>
      </c>
    </row>
    <row r="671" spans="1:20" x14ac:dyDescent="0.25">
      <c r="A671" s="5">
        <v>43922</v>
      </c>
      <c r="B671">
        <v>3.0599999999999998E-3</v>
      </c>
      <c r="C671">
        <v>3.13E-3</v>
      </c>
      <c r="D671">
        <v>2.9099999999999998E-3</v>
      </c>
      <c r="E671">
        <v>3.0899999999999999E-3</v>
      </c>
      <c r="F671">
        <v>53689790.600000001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0.63636363636363569</v>
      </c>
      <c r="Q671">
        <f t="shared" si="995"/>
        <v>34166230.381818146</v>
      </c>
      <c r="R671">
        <f t="shared" si="996"/>
        <v>-381802769.10161626</v>
      </c>
      <c r="S671">
        <f t="shared" si="997"/>
        <v>-3818.0276910161624</v>
      </c>
      <c r="T671">
        <f t="shared" si="998"/>
        <v>-3.8180276910161624</v>
      </c>
    </row>
    <row r="672" spans="1:20" x14ac:dyDescent="0.25">
      <c r="A672" s="5">
        <v>43921</v>
      </c>
      <c r="B672">
        <v>2.96E-3</v>
      </c>
      <c r="C672">
        <v>3.3999999999999998E-3</v>
      </c>
      <c r="D672">
        <v>2.9099999999999998E-3</v>
      </c>
      <c r="E672">
        <v>3.0599999999999998E-3</v>
      </c>
      <c r="F672">
        <v>107278540.90000001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-0.38775510204081648</v>
      </c>
      <c r="Q672">
        <f t="shared" si="995"/>
        <v>-41597801.573469408</v>
      </c>
      <c r="R672">
        <f t="shared" si="996"/>
        <v>-415968999.48343438</v>
      </c>
      <c r="S672">
        <f t="shared" si="997"/>
        <v>-4159.6899948343435</v>
      </c>
      <c r="T672">
        <f t="shared" si="998"/>
        <v>-4.1596899948343431</v>
      </c>
    </row>
    <row r="673" spans="1:20" x14ac:dyDescent="0.25">
      <c r="A673" s="5">
        <v>43920</v>
      </c>
      <c r="B673">
        <v>2.7200000000000002E-3</v>
      </c>
      <c r="C673">
        <v>3.0400000000000002E-3</v>
      </c>
      <c r="D673">
        <v>2.6900000000000001E-3</v>
      </c>
      <c r="E673">
        <v>2.97E-3</v>
      </c>
      <c r="F673">
        <v>34872257.200000003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0.59999999999999898</v>
      </c>
      <c r="Q673">
        <f t="shared" si="995"/>
        <v>20923354.319999967</v>
      </c>
      <c r="R673">
        <f t="shared" si="996"/>
        <v>-374371197.90996498</v>
      </c>
      <c r="S673">
        <f t="shared" si="997"/>
        <v>-3743.7119790996499</v>
      </c>
      <c r="T673">
        <f t="shared" si="998"/>
        <v>-3.74371197909965</v>
      </c>
    </row>
    <row r="674" spans="1:20" x14ac:dyDescent="0.25">
      <c r="A674" s="5">
        <v>43919</v>
      </c>
      <c r="B674">
        <v>2.99E-3</v>
      </c>
      <c r="C674">
        <v>3.0100000000000001E-3</v>
      </c>
      <c r="D674">
        <v>2.6700000000000001E-3</v>
      </c>
      <c r="E674">
        <v>2.7299999999999998E-3</v>
      </c>
      <c r="F674">
        <v>42366990.899999999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-0.64705882352941346</v>
      </c>
      <c r="Q674">
        <f t="shared" si="995"/>
        <v>-27413935.288235366</v>
      </c>
      <c r="R674">
        <f t="shared" si="996"/>
        <v>-395294552.22996497</v>
      </c>
      <c r="S674">
        <f t="shared" si="997"/>
        <v>-3952.9455222996498</v>
      </c>
      <c r="T674">
        <f t="shared" si="998"/>
        <v>-3.9529455222996499</v>
      </c>
    </row>
    <row r="675" spans="1:20" x14ac:dyDescent="0.25">
      <c r="A675" s="5">
        <v>43918</v>
      </c>
      <c r="B675">
        <v>3.0000000000000001E-3</v>
      </c>
      <c r="C675">
        <v>3.0599999999999998E-3</v>
      </c>
      <c r="D675">
        <v>2.7200000000000002E-3</v>
      </c>
      <c r="E675">
        <v>2.98E-3</v>
      </c>
      <c r="F675">
        <v>47910451.700000003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0.52941176470588314</v>
      </c>
      <c r="Q675">
        <f t="shared" si="995"/>
        <v>25364356.78235298</v>
      </c>
      <c r="R675">
        <f t="shared" si="996"/>
        <v>-367880616.94172961</v>
      </c>
      <c r="S675">
        <f t="shared" si="997"/>
        <v>-3678.8061694172961</v>
      </c>
      <c r="T675">
        <f t="shared" si="998"/>
        <v>-3.678806169417296</v>
      </c>
    </row>
    <row r="676" spans="1:20" x14ac:dyDescent="0.25">
      <c r="A676" s="5">
        <v>43917</v>
      </c>
      <c r="B676">
        <v>3.15E-3</v>
      </c>
      <c r="C676">
        <v>3.3600000000000001E-3</v>
      </c>
      <c r="D676">
        <v>2.9399999999999999E-3</v>
      </c>
      <c r="E676">
        <v>3.0000000000000001E-3</v>
      </c>
      <c r="F676">
        <v>61392059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-0.71428571428571375</v>
      </c>
      <c r="Q676">
        <f t="shared" si="995"/>
        <v>-43851470.714285679</v>
      </c>
      <c r="R676">
        <f t="shared" si="996"/>
        <v>-393244973.72408259</v>
      </c>
      <c r="S676">
        <f t="shared" si="997"/>
        <v>-3932.4497372408259</v>
      </c>
      <c r="T676">
        <f t="shared" si="998"/>
        <v>-3.9324497372408258</v>
      </c>
    </row>
    <row r="677" spans="1:20" x14ac:dyDescent="0.25">
      <c r="A677" s="5">
        <v>43916</v>
      </c>
      <c r="B677">
        <v>3.1099999999999999E-3</v>
      </c>
      <c r="C677">
        <v>3.15E-3</v>
      </c>
      <c r="D677">
        <v>2.97E-3</v>
      </c>
      <c r="E677">
        <v>3.14E-3</v>
      </c>
      <c r="F677">
        <v>36545813.799999997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0.88888888888888862</v>
      </c>
      <c r="Q677">
        <f t="shared" si="995"/>
        <v>32485167.82222221</v>
      </c>
      <c r="R677">
        <f t="shared" si="996"/>
        <v>-349393503.00979692</v>
      </c>
      <c r="S677">
        <f t="shared" si="997"/>
        <v>-3493.935030097969</v>
      </c>
      <c r="T677">
        <f t="shared" si="998"/>
        <v>-3.493935030097969</v>
      </c>
    </row>
    <row r="678" spans="1:20" x14ac:dyDescent="0.25">
      <c r="A678" s="5">
        <v>43915</v>
      </c>
      <c r="B678">
        <v>2.82E-3</v>
      </c>
      <c r="C678">
        <v>3.1800000000000001E-3</v>
      </c>
      <c r="D678">
        <v>2.65E-3</v>
      </c>
      <c r="E678">
        <v>3.1099999999999999E-3</v>
      </c>
      <c r="F678">
        <v>79389836.099999994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0.73584905660377298</v>
      </c>
      <c r="Q678">
        <f t="shared" si="995"/>
        <v>58418935.998113155</v>
      </c>
      <c r="R678">
        <f t="shared" si="996"/>
        <v>-381878670.83201915</v>
      </c>
      <c r="S678">
        <f t="shared" si="997"/>
        <v>-3818.7867083201913</v>
      </c>
      <c r="T678">
        <f t="shared" si="998"/>
        <v>-3.8187867083201912</v>
      </c>
    </row>
    <row r="679" spans="1:20" x14ac:dyDescent="0.25">
      <c r="A679" s="5">
        <v>43914</v>
      </c>
      <c r="B679">
        <v>2.7599999999999999E-3</v>
      </c>
      <c r="C679">
        <v>2.96E-3</v>
      </c>
      <c r="D679">
        <v>2.7100000000000002E-3</v>
      </c>
      <c r="E679">
        <v>2.8300000000000001E-3</v>
      </c>
      <c r="F679">
        <v>47344947.5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-4.000000000000014E-2</v>
      </c>
      <c r="Q679">
        <f t="shared" si="995"/>
        <v>-1893797.9000000067</v>
      </c>
      <c r="R679">
        <f t="shared" si="996"/>
        <v>-440297606.83013231</v>
      </c>
      <c r="S679">
        <f t="shared" si="997"/>
        <v>-4402.9760683013228</v>
      </c>
      <c r="T679">
        <f t="shared" si="998"/>
        <v>-4.4029760683013226</v>
      </c>
    </row>
    <row r="680" spans="1:20" x14ac:dyDescent="0.25">
      <c r="A680" s="5">
        <v>43913</v>
      </c>
      <c r="B680">
        <v>2.49E-3</v>
      </c>
      <c r="C680">
        <v>2.82E-3</v>
      </c>
      <c r="D680">
        <v>2.3700000000000001E-3</v>
      </c>
      <c r="E680">
        <v>2.7799999999999999E-3</v>
      </c>
      <c r="F680">
        <v>49815505.100000001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0.82222222222222174</v>
      </c>
      <c r="Q680">
        <f t="shared" si="995"/>
        <v>40959415.304444425</v>
      </c>
      <c r="R680">
        <f t="shared" si="996"/>
        <v>-438403808.93013227</v>
      </c>
      <c r="S680">
        <f t="shared" si="997"/>
        <v>-4384.0380893013225</v>
      </c>
      <c r="T680">
        <f t="shared" si="998"/>
        <v>-4.3840380893013222</v>
      </c>
    </row>
    <row r="681" spans="1:20" x14ac:dyDescent="0.25">
      <c r="A681" s="5">
        <v>43912</v>
      </c>
      <c r="B681">
        <v>2.7299999999999998E-3</v>
      </c>
      <c r="C681">
        <v>2.8999999999999998E-3</v>
      </c>
      <c r="D681">
        <v>2.4499999999999999E-3</v>
      </c>
      <c r="E681">
        <v>2.5100000000000001E-3</v>
      </c>
      <c r="F681">
        <v>54114454.200000003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-0.73333333333333262</v>
      </c>
      <c r="Q681">
        <f t="shared" si="995"/>
        <v>-39683933.079999961</v>
      </c>
      <c r="R681">
        <f t="shared" si="996"/>
        <v>-479363224.2345767</v>
      </c>
      <c r="S681">
        <f t="shared" si="997"/>
        <v>-4793.6322423457668</v>
      </c>
      <c r="T681">
        <f t="shared" si="998"/>
        <v>-4.7936322423457671</v>
      </c>
    </row>
    <row r="682" spans="1:20" x14ac:dyDescent="0.25">
      <c r="A682" s="5">
        <v>43911</v>
      </c>
      <c r="B682">
        <v>2.8300000000000001E-3</v>
      </c>
      <c r="C682">
        <v>2.97E-3</v>
      </c>
      <c r="D682">
        <v>2.5500000000000002E-3</v>
      </c>
      <c r="E682">
        <v>2.7200000000000002E-3</v>
      </c>
      <c r="F682">
        <v>98203505.400000006</v>
      </c>
      <c r="G682">
        <v>0</v>
      </c>
      <c r="L682" t="s">
        <v>8</v>
      </c>
      <c r="M682" t="s">
        <v>8</v>
      </c>
      <c r="N682" t="s">
        <v>7</v>
      </c>
      <c r="P682">
        <f t="shared" si="994"/>
        <v>-0.19047619047619002</v>
      </c>
      <c r="Q682">
        <f t="shared" si="995"/>
        <v>-18705429.599999957</v>
      </c>
      <c r="R682">
        <f t="shared" si="996"/>
        <v>-439679291.15457672</v>
      </c>
      <c r="S682">
        <f t="shared" si="997"/>
        <v>-4396.7929115457673</v>
      </c>
      <c r="T682">
        <f t="shared" si="998"/>
        <v>-4.3967929115457673</v>
      </c>
    </row>
    <row r="683" spans="1:20" x14ac:dyDescent="0.25">
      <c r="A683" s="5">
        <v>43910</v>
      </c>
      <c r="B683">
        <v>2.97E-3</v>
      </c>
      <c r="C683">
        <v>3.4399999999999999E-3</v>
      </c>
      <c r="D683">
        <v>2.47E-3</v>
      </c>
      <c r="E683">
        <v>2.82E-3</v>
      </c>
      <c r="F683">
        <v>137979454.59999999</v>
      </c>
      <c r="G683">
        <v>0</v>
      </c>
      <c r="L683" t="s">
        <v>7</v>
      </c>
      <c r="M683" t="s">
        <v>7</v>
      </c>
      <c r="N683" t="s">
        <v>7</v>
      </c>
      <c r="P683">
        <f t="shared" si="994"/>
        <v>-0.27835051546391737</v>
      </c>
      <c r="Q683">
        <f t="shared" si="995"/>
        <v>-38406652.311340183</v>
      </c>
      <c r="R683">
        <f t="shared" si="996"/>
        <v>-420973861.55457675</v>
      </c>
      <c r="S683">
        <f t="shared" si="997"/>
        <v>-4209.738615545768</v>
      </c>
      <c r="T683">
        <f t="shared" si="998"/>
        <v>-4.2097386155457679</v>
      </c>
    </row>
    <row r="684" spans="1:20" x14ac:dyDescent="0.25">
      <c r="A684" s="5">
        <v>43909</v>
      </c>
      <c r="B684">
        <v>2.31E-3</v>
      </c>
      <c r="C684">
        <v>3.8E-3</v>
      </c>
      <c r="D684">
        <v>2.2699999999999999E-3</v>
      </c>
      <c r="E684">
        <v>2.97E-3</v>
      </c>
      <c r="F684">
        <v>157686190.80000001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-8.4967320261437843E-2</v>
      </c>
      <c r="Q684">
        <f t="shared" si="995"/>
        <v>-13398173.074509794</v>
      </c>
      <c r="R684">
        <f t="shared" si="996"/>
        <v>-382567209.24323654</v>
      </c>
      <c r="S684">
        <f t="shared" si="997"/>
        <v>-3825.6720924323654</v>
      </c>
      <c r="T684">
        <f t="shared" si="998"/>
        <v>-3.8256720924323653</v>
      </c>
    </row>
    <row r="685" spans="1:20" x14ac:dyDescent="0.25">
      <c r="A685" s="5">
        <v>43908</v>
      </c>
      <c r="B685">
        <v>2.3600000000000001E-3</v>
      </c>
      <c r="C685">
        <v>2.3999999999999998E-3</v>
      </c>
      <c r="D685">
        <v>2.1299999999999999E-3</v>
      </c>
      <c r="E685">
        <v>2.31E-3</v>
      </c>
      <c r="F685">
        <v>53254541.100000001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0.33333333333333443</v>
      </c>
      <c r="Q685">
        <f t="shared" si="995"/>
        <v>17751513.700000059</v>
      </c>
      <c r="R685">
        <f t="shared" si="996"/>
        <v>-369169036.16872674</v>
      </c>
      <c r="S685">
        <f t="shared" si="997"/>
        <v>-3691.6903616872673</v>
      </c>
      <c r="T685">
        <f t="shared" si="998"/>
        <v>-3.6916903616872672</v>
      </c>
    </row>
    <row r="686" spans="1:20" x14ac:dyDescent="0.25">
      <c r="A686" s="5">
        <v>43907</v>
      </c>
      <c r="B686">
        <v>2.2899999999999999E-3</v>
      </c>
      <c r="C686">
        <v>2.5300000000000001E-3</v>
      </c>
      <c r="D686">
        <v>2.2200000000000002E-3</v>
      </c>
      <c r="E686">
        <v>2.3500000000000001E-3</v>
      </c>
      <c r="F686">
        <v>58404880.700000003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-0.1612903225806456</v>
      </c>
      <c r="Q686">
        <f t="shared" si="995"/>
        <v>-9420142.0483871233</v>
      </c>
      <c r="R686">
        <f t="shared" si="996"/>
        <v>-386920549.86872679</v>
      </c>
      <c r="S686">
        <f t="shared" si="997"/>
        <v>-3869.2054986872681</v>
      </c>
      <c r="T686">
        <f t="shared" si="998"/>
        <v>-3.8692054986872679</v>
      </c>
    </row>
    <row r="687" spans="1:20" x14ac:dyDescent="0.25">
      <c r="A687" s="5">
        <v>43906</v>
      </c>
      <c r="B687">
        <v>2.7100000000000002E-3</v>
      </c>
      <c r="C687">
        <v>2.7299999999999998E-3</v>
      </c>
      <c r="D687">
        <v>1.9499999999999999E-3</v>
      </c>
      <c r="E687">
        <v>2.3E-3</v>
      </c>
      <c r="F687">
        <v>89047018.5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-0.1025641025641023</v>
      </c>
      <c r="Q687">
        <f t="shared" si="995"/>
        <v>-9133027.5384615138</v>
      </c>
      <c r="R687">
        <f t="shared" si="996"/>
        <v>-377500407.82033968</v>
      </c>
      <c r="S687">
        <f t="shared" si="997"/>
        <v>-3775.0040782033966</v>
      </c>
      <c r="T687">
        <f t="shared" si="998"/>
        <v>-3.7750040782033967</v>
      </c>
    </row>
    <row r="688" spans="1:20" x14ac:dyDescent="0.25">
      <c r="A688" s="5">
        <v>43905</v>
      </c>
      <c r="B688">
        <v>2.6199999999999999E-3</v>
      </c>
      <c r="C688">
        <v>2.9299999999999999E-3</v>
      </c>
      <c r="D688">
        <v>2.5400000000000002E-3</v>
      </c>
      <c r="E688">
        <v>2.7499999999999998E-3</v>
      </c>
      <c r="F688">
        <v>51588692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7.6923076923076067E-2</v>
      </c>
      <c r="Q688">
        <f t="shared" si="995"/>
        <v>3968360.9230768788</v>
      </c>
      <c r="R688">
        <f t="shared" si="996"/>
        <v>-368367380.28187817</v>
      </c>
      <c r="S688">
        <f t="shared" si="997"/>
        <v>-3683.673802818782</v>
      </c>
      <c r="T688">
        <f t="shared" si="998"/>
        <v>-3.6836738028187819</v>
      </c>
    </row>
    <row r="689" spans="1:20" x14ac:dyDescent="0.25">
      <c r="A689" s="5">
        <v>43904</v>
      </c>
      <c r="B689">
        <v>2.82E-3</v>
      </c>
      <c r="C689">
        <v>3.1199999999999999E-3</v>
      </c>
      <c r="D689">
        <v>2.5200000000000001E-3</v>
      </c>
      <c r="E689">
        <v>2.6099999999999999E-3</v>
      </c>
      <c r="F689">
        <v>43418108.899999999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-0.70000000000000062</v>
      </c>
      <c r="Q689">
        <f t="shared" si="995"/>
        <v>-30392676.230000027</v>
      </c>
      <c r="R689">
        <f t="shared" si="996"/>
        <v>-372335741.20495504</v>
      </c>
      <c r="S689">
        <f t="shared" si="997"/>
        <v>-3723.3574120495505</v>
      </c>
      <c r="T689">
        <f t="shared" si="998"/>
        <v>-3.7233574120495505</v>
      </c>
    </row>
    <row r="690" spans="1:20" x14ac:dyDescent="0.25">
      <c r="A690" s="5">
        <v>43903</v>
      </c>
      <c r="B690">
        <v>2.5999999999999999E-3</v>
      </c>
      <c r="C690">
        <v>3.81E-3</v>
      </c>
      <c r="D690">
        <v>1.6999999999999999E-3</v>
      </c>
      <c r="E690">
        <v>2.82E-3</v>
      </c>
      <c r="F690">
        <v>134466027.69999999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6.1611374407582999E-2</v>
      </c>
      <c r="Q690">
        <f t="shared" si="995"/>
        <v>8284636.7777251257</v>
      </c>
      <c r="R690">
        <f t="shared" si="996"/>
        <v>-341943064.97495502</v>
      </c>
      <c r="S690">
        <f t="shared" si="997"/>
        <v>-3419.4306497495504</v>
      </c>
      <c r="T690">
        <f t="shared" si="998"/>
        <v>-3.4194306497495504</v>
      </c>
    </row>
    <row r="691" spans="1:20" x14ac:dyDescent="0.25">
      <c r="A691" s="5">
        <v>43902</v>
      </c>
      <c r="B691">
        <v>5.8599999999999998E-3</v>
      </c>
      <c r="C691">
        <v>5.8900000000000003E-3</v>
      </c>
      <c r="D691">
        <v>2.4499999999999999E-3</v>
      </c>
      <c r="E691">
        <v>2.5600000000000002E-3</v>
      </c>
      <c r="F691">
        <v>153179504.90000001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-0.93604651162790686</v>
      </c>
      <c r="Q691">
        <f t="shared" si="995"/>
        <v>-143383141.21453488</v>
      </c>
      <c r="R691">
        <f t="shared" si="996"/>
        <v>-350227701.75268012</v>
      </c>
      <c r="S691">
        <f t="shared" si="997"/>
        <v>-3502.277017526801</v>
      </c>
      <c r="T691">
        <f t="shared" si="998"/>
        <v>-3.5022770175268012</v>
      </c>
    </row>
    <row r="692" spans="1:20" x14ac:dyDescent="0.25">
      <c r="A692" s="5">
        <v>43901</v>
      </c>
      <c r="B692">
        <v>6.2199999999999998E-3</v>
      </c>
      <c r="C692">
        <v>6.5199999999999998E-3</v>
      </c>
      <c r="D692">
        <v>5.3600000000000002E-3</v>
      </c>
      <c r="E692">
        <v>5.8599999999999998E-3</v>
      </c>
      <c r="F692">
        <v>49600153.600000001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-0.13793103448275904</v>
      </c>
      <c r="Q692">
        <f t="shared" si="995"/>
        <v>-6841400.4965517446</v>
      </c>
      <c r="R692">
        <f t="shared" si="996"/>
        <v>-206844560.53814524</v>
      </c>
      <c r="S692">
        <f t="shared" si="997"/>
        <v>-2068.4456053814524</v>
      </c>
      <c r="T692">
        <f t="shared" si="998"/>
        <v>-2.0684456053814526</v>
      </c>
    </row>
    <row r="693" spans="1:20" x14ac:dyDescent="0.25">
      <c r="A693" s="5">
        <v>43900</v>
      </c>
      <c r="B693">
        <v>6.1500000000000001E-3</v>
      </c>
      <c r="C693">
        <v>6.9300000000000004E-3</v>
      </c>
      <c r="D693">
        <v>5.8100000000000001E-3</v>
      </c>
      <c r="E693">
        <v>6.1999999999999998E-3</v>
      </c>
      <c r="F693">
        <v>53277412.200000003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-0.30357142857142927</v>
      </c>
      <c r="Q693">
        <f t="shared" si="995"/>
        <v>-16173500.132142896</v>
      </c>
      <c r="R693">
        <f t="shared" si="996"/>
        <v>-200003160.04159349</v>
      </c>
      <c r="S693">
        <f t="shared" si="997"/>
        <v>-2000.0316004159349</v>
      </c>
      <c r="T693">
        <f t="shared" si="998"/>
        <v>-2.0000316004159351</v>
      </c>
    </row>
    <row r="694" spans="1:20" x14ac:dyDescent="0.25">
      <c r="A694" s="5">
        <v>43899</v>
      </c>
      <c r="B694">
        <v>6.3E-3</v>
      </c>
      <c r="C694">
        <v>6.9800000000000001E-3</v>
      </c>
      <c r="D694">
        <v>5.6499999999999996E-3</v>
      </c>
      <c r="E694">
        <v>6.1199999999999996E-3</v>
      </c>
      <c r="F694">
        <v>60367180.100000001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-0.29323308270676723</v>
      </c>
      <c r="Q694">
        <f t="shared" si="995"/>
        <v>-17701654.315037612</v>
      </c>
      <c r="R694">
        <f t="shared" si="996"/>
        <v>-183829659.90945059</v>
      </c>
      <c r="S694">
        <f t="shared" si="997"/>
        <v>-1838.2965990945058</v>
      </c>
      <c r="T694">
        <f t="shared" si="998"/>
        <v>-1.8382965990945059</v>
      </c>
    </row>
    <row r="695" spans="1:20" x14ac:dyDescent="0.25">
      <c r="A695" s="5">
        <v>43898</v>
      </c>
      <c r="B695">
        <v>7.7600000000000004E-3</v>
      </c>
      <c r="C695">
        <v>7.9500000000000005E-3</v>
      </c>
      <c r="D695">
        <v>6.1999999999999998E-3</v>
      </c>
      <c r="E695">
        <v>6.3200000000000001E-3</v>
      </c>
      <c r="F695">
        <v>103819132.8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-0.86285714285714255</v>
      </c>
      <c r="Q695">
        <f t="shared" si="995"/>
        <v>-89581080.301714256</v>
      </c>
      <c r="R695">
        <f t="shared" si="996"/>
        <v>-166128005.59441298</v>
      </c>
      <c r="S695">
        <f t="shared" si="997"/>
        <v>-1661.2800559441298</v>
      </c>
      <c r="T695">
        <f t="shared" si="998"/>
        <v>-1.6612800559441299</v>
      </c>
    </row>
    <row r="696" spans="1:20" x14ac:dyDescent="0.25">
      <c r="A696" s="5">
        <v>43897</v>
      </c>
      <c r="B696">
        <v>7.7200000000000003E-3</v>
      </c>
      <c r="C696">
        <v>8.6E-3</v>
      </c>
      <c r="D696">
        <v>7.4200000000000004E-3</v>
      </c>
      <c r="E696">
        <v>7.7600000000000004E-3</v>
      </c>
      <c r="F696">
        <v>168488417.80000001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-0.42372881355932179</v>
      </c>
      <c r="Q696">
        <f t="shared" si="995"/>
        <v>-71393397.372881323</v>
      </c>
      <c r="R696">
        <f t="shared" si="996"/>
        <v>-76546925.292698711</v>
      </c>
      <c r="S696">
        <f t="shared" si="997"/>
        <v>-765.46925292698711</v>
      </c>
      <c r="T696">
        <f t="shared" si="998"/>
        <v>-0.76546925292698709</v>
      </c>
    </row>
    <row r="697" spans="1:20" x14ac:dyDescent="0.25">
      <c r="A697" s="5">
        <v>43896</v>
      </c>
      <c r="B697">
        <v>7.7299999999999999E-3</v>
      </c>
      <c r="C697">
        <v>7.9399999999999991E-3</v>
      </c>
      <c r="D697">
        <v>7.1999999999999998E-3</v>
      </c>
      <c r="E697">
        <v>7.7200000000000003E-3</v>
      </c>
      <c r="F697">
        <v>71280419.400000006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0.40540540540540798</v>
      </c>
      <c r="Q697">
        <f t="shared" si="995"/>
        <v>28897467.324324511</v>
      </c>
      <c r="R697">
        <f t="shared" si="996"/>
        <v>-5153527.9198173806</v>
      </c>
      <c r="S697">
        <f t="shared" si="997"/>
        <v>-51.535279198173804</v>
      </c>
      <c r="T697">
        <f t="shared" si="998"/>
        <v>-5.1535279198173807E-2</v>
      </c>
    </row>
    <row r="698" spans="1:20" x14ac:dyDescent="0.25">
      <c r="A698" s="5">
        <v>43895</v>
      </c>
      <c r="B698">
        <v>6.8700000000000002E-3</v>
      </c>
      <c r="C698">
        <v>8.3499999999999998E-3</v>
      </c>
      <c r="D698">
        <v>6.8300000000000001E-3</v>
      </c>
      <c r="E698">
        <v>7.7000000000000002E-3</v>
      </c>
      <c r="F698">
        <v>113921378.7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0.14473684210526358</v>
      </c>
      <c r="Q698">
        <f t="shared" si="995"/>
        <v>16488620.601315837</v>
      </c>
      <c r="R698">
        <f t="shared" si="996"/>
        <v>-34050995.244141892</v>
      </c>
      <c r="S698">
        <f t="shared" si="997"/>
        <v>-340.50995244141893</v>
      </c>
      <c r="T698">
        <f t="shared" si="998"/>
        <v>-0.34050995244141891</v>
      </c>
    </row>
    <row r="699" spans="1:20" x14ac:dyDescent="0.25">
      <c r="A699" s="5">
        <v>43894</v>
      </c>
      <c r="B699">
        <v>6.6400000000000001E-3</v>
      </c>
      <c r="C699">
        <v>7.2899999999999996E-3</v>
      </c>
      <c r="D699">
        <v>6.62E-3</v>
      </c>
      <c r="E699">
        <v>6.8399999999999997E-3</v>
      </c>
      <c r="F699">
        <v>40053443.399999999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-0.34328358208955273</v>
      </c>
      <c r="Q699">
        <f t="shared" si="995"/>
        <v>-13749689.525373153</v>
      </c>
      <c r="R699">
        <f t="shared" si="996"/>
        <v>-50539615.845457733</v>
      </c>
      <c r="S699">
        <f t="shared" si="997"/>
        <v>-505.39615845457735</v>
      </c>
      <c r="T699">
        <f t="shared" si="998"/>
        <v>-0.5053961584545773</v>
      </c>
    </row>
    <row r="700" spans="1:20" x14ac:dyDescent="0.25">
      <c r="A700" s="5">
        <v>43893</v>
      </c>
      <c r="B700">
        <v>6.7499999999999999E-3</v>
      </c>
      <c r="C700">
        <v>7.4000000000000003E-3</v>
      </c>
      <c r="D700">
        <v>6.5599999999999999E-3</v>
      </c>
      <c r="E700">
        <v>6.6499999999999997E-3</v>
      </c>
      <c r="F700">
        <v>100814673.3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-0.78571428571428625</v>
      </c>
      <c r="Q700">
        <f t="shared" si="995"/>
        <v>-79211529.02142863</v>
      </c>
      <c r="R700">
        <f t="shared" si="996"/>
        <v>-36789926.320084579</v>
      </c>
      <c r="S700">
        <f t="shared" si="997"/>
        <v>-367.89926320084578</v>
      </c>
      <c r="T700">
        <f t="shared" si="998"/>
        <v>-0.36789926320084576</v>
      </c>
    </row>
    <row r="701" spans="1:20" x14ac:dyDescent="0.25">
      <c r="A701" s="5">
        <v>43892</v>
      </c>
      <c r="B701">
        <v>6.3600000000000002E-3</v>
      </c>
      <c r="C701">
        <v>6.8599999999999998E-3</v>
      </c>
      <c r="D701">
        <v>6.1900000000000002E-3</v>
      </c>
      <c r="E701">
        <v>6.79E-3</v>
      </c>
      <c r="F701">
        <v>66718248.5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0.7910447761194036</v>
      </c>
      <c r="Q701">
        <f t="shared" si="995"/>
        <v>52777121.947761238</v>
      </c>
      <c r="R701">
        <f t="shared" si="996"/>
        <v>42421602.70134405</v>
      </c>
      <c r="S701">
        <f t="shared" si="997"/>
        <v>424.21602701344051</v>
      </c>
      <c r="T701">
        <f t="shared" si="998"/>
        <v>0.42421602701344052</v>
      </c>
    </row>
    <row r="702" spans="1:20" x14ac:dyDescent="0.25">
      <c r="A702" s="5">
        <v>43891</v>
      </c>
      <c r="B702">
        <v>6.5799999999999999E-3</v>
      </c>
      <c r="C702">
        <v>6.7499999999999999E-3</v>
      </c>
      <c r="D702">
        <v>6.2199999999999998E-3</v>
      </c>
      <c r="E702">
        <v>6.45E-3</v>
      </c>
      <c r="F702">
        <v>27820879.199999999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-0.13207547169811271</v>
      </c>
      <c r="Q702">
        <f t="shared" si="995"/>
        <v>-3674455.7433962123</v>
      </c>
      <c r="R702">
        <f t="shared" si="996"/>
        <v>-10355519.246417187</v>
      </c>
      <c r="S702">
        <f t="shared" si="997"/>
        <v>-103.55519246417187</v>
      </c>
      <c r="T702">
        <f t="shared" si="998"/>
        <v>-0.10355519246417187</v>
      </c>
    </row>
    <row r="703" spans="1:20" x14ac:dyDescent="0.25">
      <c r="A703" s="5">
        <v>43890</v>
      </c>
      <c r="B703">
        <v>7.0400000000000003E-3</v>
      </c>
      <c r="C703">
        <v>7.2100000000000003E-3</v>
      </c>
      <c r="D703">
        <v>6.5199999999999998E-3</v>
      </c>
      <c r="E703">
        <v>6.5900000000000004E-3</v>
      </c>
      <c r="F703">
        <v>50217987.799999997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-0.79710144927536064</v>
      </c>
      <c r="Q703">
        <f t="shared" si="995"/>
        <v>-40028830.855072379</v>
      </c>
      <c r="R703">
        <f t="shared" si="996"/>
        <v>-6681063.5030209757</v>
      </c>
      <c r="S703">
        <f t="shared" si="997"/>
        <v>-66.810635030209752</v>
      </c>
      <c r="T703">
        <f t="shared" si="998"/>
        <v>-6.6810635030209758E-2</v>
      </c>
    </row>
    <row r="704" spans="1:20" x14ac:dyDescent="0.25">
      <c r="A704" s="5">
        <v>43889</v>
      </c>
      <c r="B704">
        <v>6.9800000000000001E-3</v>
      </c>
      <c r="C704">
        <v>7.1999999999999998E-3</v>
      </c>
      <c r="D704">
        <v>6.5500000000000003E-3</v>
      </c>
      <c r="E704">
        <v>7.0400000000000003E-3</v>
      </c>
      <c r="F704">
        <v>51167948.299999997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0.50769230769230866</v>
      </c>
      <c r="Q704">
        <f t="shared" si="995"/>
        <v>25977573.752307739</v>
      </c>
      <c r="R704">
        <f t="shared" si="996"/>
        <v>33347767.352051403</v>
      </c>
      <c r="S704">
        <f t="shared" si="997"/>
        <v>333.47767352051403</v>
      </c>
      <c r="T704">
        <f t="shared" si="998"/>
        <v>0.33347767352051405</v>
      </c>
    </row>
    <row r="705" spans="1:20" x14ac:dyDescent="0.25">
      <c r="A705" s="5">
        <v>43888</v>
      </c>
      <c r="B705">
        <v>7.0499999999999998E-3</v>
      </c>
      <c r="C705">
        <v>7.6600000000000001E-3</v>
      </c>
      <c r="D705">
        <v>6.6400000000000001E-3</v>
      </c>
      <c r="E705">
        <v>6.9699999999999996E-3</v>
      </c>
      <c r="F705">
        <v>46509480.299999997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-0.35294117647058915</v>
      </c>
      <c r="Q705">
        <f t="shared" si="995"/>
        <v>-16415110.694117688</v>
      </c>
      <c r="R705">
        <f t="shared" si="996"/>
        <v>7370193.5997436643</v>
      </c>
      <c r="S705">
        <f t="shared" si="997"/>
        <v>73.701935997436649</v>
      </c>
      <c r="T705">
        <f t="shared" si="998"/>
        <v>7.3701935997436643E-2</v>
      </c>
    </row>
    <row r="706" spans="1:20" x14ac:dyDescent="0.25">
      <c r="A706" s="5">
        <v>43887</v>
      </c>
      <c r="B706">
        <v>7.9100000000000004E-3</v>
      </c>
      <c r="C706">
        <v>7.9600000000000001E-3</v>
      </c>
      <c r="D706">
        <v>6.5500000000000003E-3</v>
      </c>
      <c r="E706">
        <v>7.0499999999999998E-3</v>
      </c>
      <c r="F706">
        <v>111942947.8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-0.29078014184397211</v>
      </c>
      <c r="Q706">
        <f t="shared" si="995"/>
        <v>-32550786.239716366</v>
      </c>
      <c r="R706">
        <f t="shared" si="996"/>
        <v>23785304.293861352</v>
      </c>
      <c r="S706">
        <f t="shared" si="997"/>
        <v>237.85304293861353</v>
      </c>
      <c r="T706">
        <f t="shared" si="998"/>
        <v>0.23785304293861353</v>
      </c>
    </row>
    <row r="707" spans="1:20" x14ac:dyDescent="0.25">
      <c r="A707" s="5">
        <v>43886</v>
      </c>
      <c r="B707">
        <v>8.9999999999999993E-3</v>
      </c>
      <c r="C707">
        <v>9.0100000000000006E-3</v>
      </c>
      <c r="D707">
        <v>7.6800000000000002E-3</v>
      </c>
      <c r="E707">
        <v>7.9100000000000004E-3</v>
      </c>
      <c r="F707">
        <v>69490776.799999997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-0.65413533834586457</v>
      </c>
      <c r="Q707">
        <f t="shared" si="995"/>
        <v>-45456372.793984957</v>
      </c>
      <c r="R707">
        <f t="shared" si="996"/>
        <v>56336090.533577718</v>
      </c>
      <c r="S707">
        <f t="shared" si="997"/>
        <v>563.36090533577715</v>
      </c>
      <c r="T707">
        <f t="shared" si="998"/>
        <v>0.5633609053357771</v>
      </c>
    </row>
    <row r="708" spans="1:20" x14ac:dyDescent="0.25">
      <c r="A708" s="5">
        <v>43885</v>
      </c>
      <c r="B708">
        <v>9.5899999999999996E-3</v>
      </c>
      <c r="C708">
        <v>9.5899999999999996E-3</v>
      </c>
      <c r="D708">
        <v>8.8199999999999997E-3</v>
      </c>
      <c r="E708">
        <v>9.0100000000000006E-3</v>
      </c>
      <c r="F708">
        <v>33822670.299999997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-0.506493506493504</v>
      </c>
      <c r="Q708">
        <f t="shared" si="995"/>
        <v>-17130962.879220694</v>
      </c>
      <c r="R708">
        <f t="shared" si="996"/>
        <v>101792463.32756267</v>
      </c>
      <c r="S708">
        <f t="shared" si="997"/>
        <v>1017.9246332756268</v>
      </c>
      <c r="T708">
        <f t="shared" si="998"/>
        <v>1.0179246332756269</v>
      </c>
    </row>
    <row r="709" spans="1:20" x14ac:dyDescent="0.25">
      <c r="A709" s="5">
        <v>43884</v>
      </c>
      <c r="B709">
        <v>9.2300000000000004E-3</v>
      </c>
      <c r="C709">
        <v>9.5999999999999992E-3</v>
      </c>
      <c r="D709">
        <v>9.1000000000000004E-3</v>
      </c>
      <c r="E709">
        <v>9.5999999999999992E-3</v>
      </c>
      <c r="F709">
        <v>52047922.600000001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1</v>
      </c>
      <c r="Q709">
        <f t="shared" si="995"/>
        <v>52047922.600000001</v>
      </c>
      <c r="R709">
        <f t="shared" si="996"/>
        <v>118923426.20678337</v>
      </c>
      <c r="S709">
        <f t="shared" si="997"/>
        <v>1189.2342620678337</v>
      </c>
      <c r="T709">
        <f t="shared" si="998"/>
        <v>1.1892342620678338</v>
      </c>
    </row>
    <row r="710" spans="1:20" x14ac:dyDescent="0.25">
      <c r="A710" s="5">
        <v>43883</v>
      </c>
      <c r="B710">
        <v>9.4199999999999996E-3</v>
      </c>
      <c r="C710">
        <v>9.4299999999999991E-3</v>
      </c>
      <c r="D710">
        <v>9.0699999999999999E-3</v>
      </c>
      <c r="E710">
        <v>9.2300000000000004E-3</v>
      </c>
      <c r="F710">
        <v>30067198.5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-0.11111111111110683</v>
      </c>
      <c r="Q710">
        <f t="shared" ref="Q710:Q766" si="1000">F710*P710</f>
        <v>-3340799.8333332045</v>
      </c>
      <c r="R710">
        <f t="shared" ref="R710:R766" si="1001">R711+Q710</f>
        <v>66875503.606783368</v>
      </c>
      <c r="S710">
        <f t="shared" ref="S710:S766" si="1002">R710/100000</f>
        <v>668.75503606783366</v>
      </c>
      <c r="T710">
        <f t="shared" ref="T710:T766" si="1003">S710/1000</f>
        <v>0.66875503606783371</v>
      </c>
    </row>
    <row r="711" spans="1:20" x14ac:dyDescent="0.25">
      <c r="A711" s="5">
        <v>43882</v>
      </c>
      <c r="B711">
        <v>9.2999999999999992E-3</v>
      </c>
      <c r="C711">
        <v>9.7800000000000005E-3</v>
      </c>
      <c r="D711">
        <v>9.2200000000000008E-3</v>
      </c>
      <c r="E711">
        <v>9.3799999999999994E-3</v>
      </c>
      <c r="F711">
        <v>46533409.700000003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-0.42857142857143299</v>
      </c>
      <c r="Q711">
        <f t="shared" si="1000"/>
        <v>-19942889.871428777</v>
      </c>
      <c r="R711">
        <f t="shared" si="1001"/>
        <v>70216303.440116569</v>
      </c>
      <c r="S711">
        <f t="shared" si="1002"/>
        <v>702.16303440116565</v>
      </c>
      <c r="T711">
        <f t="shared" si="1003"/>
        <v>0.70216303440116568</v>
      </c>
    </row>
    <row r="712" spans="1:20" x14ac:dyDescent="0.25">
      <c r="A712" s="5">
        <v>43881</v>
      </c>
      <c r="B712">
        <v>9.7699999999999992E-3</v>
      </c>
      <c r="C712">
        <v>9.8200000000000006E-3</v>
      </c>
      <c r="D712">
        <v>8.8999999999999999E-3</v>
      </c>
      <c r="E712">
        <v>9.2999999999999992E-3</v>
      </c>
      <c r="F712">
        <v>63603739.600000001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-0.13043478260869779</v>
      </c>
      <c r="Q712">
        <f t="shared" si="1000"/>
        <v>-8296139.9478262225</v>
      </c>
      <c r="R712">
        <f t="shared" si="1001"/>
        <v>90159193.311545342</v>
      </c>
      <c r="S712">
        <f t="shared" si="1002"/>
        <v>901.59193311545346</v>
      </c>
      <c r="T712">
        <f t="shared" si="1003"/>
        <v>0.90159193311545349</v>
      </c>
    </row>
    <row r="713" spans="1:20" x14ac:dyDescent="0.25">
      <c r="A713" s="5">
        <v>43880</v>
      </c>
      <c r="B713">
        <v>1.061E-2</v>
      </c>
      <c r="C713">
        <v>1.0800000000000001E-2</v>
      </c>
      <c r="D713">
        <v>9.4800000000000006E-3</v>
      </c>
      <c r="E713">
        <v>9.7900000000000001E-3</v>
      </c>
      <c r="F713">
        <v>22242244.5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-0.53030303030303105</v>
      </c>
      <c r="Q713">
        <f t="shared" si="1000"/>
        <v>-11795129.659090925</v>
      </c>
      <c r="R713">
        <f t="shared" si="1001"/>
        <v>98455333.259371564</v>
      </c>
      <c r="S713">
        <f t="shared" si="1002"/>
        <v>984.5533325937156</v>
      </c>
      <c r="T713">
        <f t="shared" si="1003"/>
        <v>0.98455333259371558</v>
      </c>
    </row>
    <row r="714" spans="1:20" x14ac:dyDescent="0.25">
      <c r="A714" s="5">
        <v>43879</v>
      </c>
      <c r="B714">
        <v>1.038E-2</v>
      </c>
      <c r="C714">
        <v>1.085E-2</v>
      </c>
      <c r="D714">
        <v>1.01E-2</v>
      </c>
      <c r="E714">
        <v>1.061E-2</v>
      </c>
      <c r="F714">
        <v>28578160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0.35999999999999888</v>
      </c>
      <c r="Q714">
        <f t="shared" si="1000"/>
        <v>10288137.599999968</v>
      </c>
      <c r="R714">
        <f t="shared" si="1001"/>
        <v>110250462.91846249</v>
      </c>
      <c r="S714">
        <f t="shared" si="1002"/>
        <v>1102.5046291846249</v>
      </c>
      <c r="T714">
        <f t="shared" si="1003"/>
        <v>1.102504629184625</v>
      </c>
    </row>
    <row r="715" spans="1:20" x14ac:dyDescent="0.25">
      <c r="A715" s="5">
        <v>43878</v>
      </c>
      <c r="B715">
        <v>1.065E-2</v>
      </c>
      <c r="C715">
        <v>1.0670000000000001E-2</v>
      </c>
      <c r="D715">
        <v>9.7599999999999996E-3</v>
      </c>
      <c r="E715">
        <v>1.042E-2</v>
      </c>
      <c r="F715">
        <v>68486591.900000006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0.45054945054945073</v>
      </c>
      <c r="Q715">
        <f t="shared" si="1000"/>
        <v>30856596.350549467</v>
      </c>
      <c r="R715">
        <f t="shared" si="1001"/>
        <v>99962325.318462521</v>
      </c>
      <c r="S715">
        <f t="shared" si="1002"/>
        <v>999.62325318462524</v>
      </c>
      <c r="T715">
        <f t="shared" si="1003"/>
        <v>0.99962325318462519</v>
      </c>
    </row>
    <row r="716" spans="1:20" x14ac:dyDescent="0.25">
      <c r="A716" s="5">
        <v>43877</v>
      </c>
      <c r="B716">
        <v>1.1599999999999999E-2</v>
      </c>
      <c r="C716">
        <v>1.1860000000000001E-2</v>
      </c>
      <c r="D716">
        <v>9.8499999999999994E-3</v>
      </c>
      <c r="E716">
        <v>1.0699999999999999E-2</v>
      </c>
      <c r="F716">
        <v>53011770.799999997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-0.15422885572139355</v>
      </c>
      <c r="Q716">
        <f t="shared" si="1000"/>
        <v>-8175944.7502487833</v>
      </c>
      <c r="R716">
        <f t="shared" si="1001"/>
        <v>69105728.967913061</v>
      </c>
      <c r="S716">
        <f t="shared" si="1002"/>
        <v>691.05728967913058</v>
      </c>
      <c r="T716">
        <f t="shared" si="1003"/>
        <v>0.6910572896791306</v>
      </c>
    </row>
    <row r="717" spans="1:20" x14ac:dyDescent="0.25">
      <c r="A717" s="5">
        <v>43876</v>
      </c>
      <c r="B717">
        <v>1.2930000000000001E-2</v>
      </c>
      <c r="C717">
        <v>1.299E-2</v>
      </c>
      <c r="D717">
        <v>1.11E-2</v>
      </c>
      <c r="E717">
        <v>1.157E-2</v>
      </c>
      <c r="F717">
        <v>49572925.299999997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-0.50264550264550256</v>
      </c>
      <c r="Q717">
        <f t="shared" si="1000"/>
        <v>-24917607.955026448</v>
      </c>
      <c r="R717">
        <f t="shared" si="1001"/>
        <v>77281673.718161851</v>
      </c>
      <c r="S717">
        <f t="shared" si="1002"/>
        <v>772.81673718161846</v>
      </c>
      <c r="T717">
        <f t="shared" si="1003"/>
        <v>0.77281673718161847</v>
      </c>
    </row>
    <row r="718" spans="1:20" x14ac:dyDescent="0.25">
      <c r="A718" s="5">
        <v>43875</v>
      </c>
      <c r="B718">
        <v>1.193E-2</v>
      </c>
      <c r="C718">
        <v>1.2930000000000001E-2</v>
      </c>
      <c r="D718">
        <v>1.1560000000000001E-2</v>
      </c>
      <c r="E718">
        <v>1.2930000000000001E-2</v>
      </c>
      <c r="F718">
        <v>35687481.600000001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1</v>
      </c>
      <c r="Q718">
        <f t="shared" si="1000"/>
        <v>35687481.600000001</v>
      </c>
      <c r="R718">
        <f t="shared" si="1001"/>
        <v>102199281.6731883</v>
      </c>
      <c r="S718">
        <f t="shared" si="1002"/>
        <v>1021.992816731883</v>
      </c>
      <c r="T718">
        <f t="shared" si="1003"/>
        <v>1.021992816731883</v>
      </c>
    </row>
    <row r="719" spans="1:20" x14ac:dyDescent="0.25">
      <c r="A719" s="5">
        <v>43874</v>
      </c>
      <c r="B719">
        <v>1.204E-2</v>
      </c>
      <c r="C719">
        <v>1.2279999999999999E-2</v>
      </c>
      <c r="D719">
        <v>1.102E-2</v>
      </c>
      <c r="E719">
        <v>1.193E-2</v>
      </c>
      <c r="F719">
        <v>88511802.700000003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0.44444444444444459</v>
      </c>
      <c r="Q719">
        <f t="shared" si="1000"/>
        <v>39338578.977777794</v>
      </c>
      <c r="R719">
        <f t="shared" si="1001"/>
        <v>66511800.073188305</v>
      </c>
      <c r="S719">
        <f t="shared" si="1002"/>
        <v>665.11800073188306</v>
      </c>
      <c r="T719">
        <f t="shared" si="1003"/>
        <v>0.6651180007318831</v>
      </c>
    </row>
    <row r="720" spans="1:20" x14ac:dyDescent="0.25">
      <c r="A720" s="5">
        <v>43873</v>
      </c>
      <c r="B720">
        <v>1.141E-2</v>
      </c>
      <c r="C720">
        <v>1.2919999999999999E-2</v>
      </c>
      <c r="D720">
        <v>1.1299999999999999E-2</v>
      </c>
      <c r="E720">
        <v>1.204E-2</v>
      </c>
      <c r="F720">
        <v>83874941.700000003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-8.6419753086418374E-2</v>
      </c>
      <c r="Q720">
        <f t="shared" si="1000"/>
        <v>-7248451.7518517366</v>
      </c>
      <c r="R720">
        <f t="shared" si="1001"/>
        <v>27173221.095410511</v>
      </c>
      <c r="S720">
        <f t="shared" si="1002"/>
        <v>271.73221095410508</v>
      </c>
      <c r="T720">
        <f t="shared" si="1003"/>
        <v>0.2717322109541051</v>
      </c>
    </row>
    <row r="721" spans="1:20" x14ac:dyDescent="0.25">
      <c r="A721" s="5">
        <v>43872</v>
      </c>
      <c r="B721">
        <v>1.074E-2</v>
      </c>
      <c r="C721">
        <v>1.1560000000000001E-2</v>
      </c>
      <c r="D721">
        <v>1.044E-2</v>
      </c>
      <c r="E721">
        <v>1.141E-2</v>
      </c>
      <c r="F721">
        <v>47492744</v>
      </c>
      <c r="G721">
        <v>0</v>
      </c>
      <c r="L721" t="s">
        <v>8</v>
      </c>
      <c r="M721" t="s">
        <v>8</v>
      </c>
      <c r="N721" t="s">
        <v>7</v>
      </c>
      <c r="P721">
        <f t="shared" si="999"/>
        <v>0.73214285714285599</v>
      </c>
      <c r="Q721">
        <f t="shared" si="1000"/>
        <v>34771473.285714231</v>
      </c>
      <c r="R721">
        <f t="shared" si="1001"/>
        <v>34421672.847262248</v>
      </c>
      <c r="S721">
        <f t="shared" si="1002"/>
        <v>344.21672847262249</v>
      </c>
      <c r="T721">
        <f t="shared" si="1003"/>
        <v>0.34421672847262247</v>
      </c>
    </row>
    <row r="722" spans="1:20" x14ac:dyDescent="0.25">
      <c r="A722" s="5">
        <v>43871</v>
      </c>
      <c r="B722">
        <v>1.0970000000000001E-2</v>
      </c>
      <c r="C722">
        <v>1.1140000000000001E-2</v>
      </c>
      <c r="D722">
        <v>0.01</v>
      </c>
      <c r="E722">
        <v>1.0800000000000001E-2</v>
      </c>
      <c r="F722">
        <v>67824647.200000003</v>
      </c>
      <c r="G722">
        <v>0</v>
      </c>
      <c r="L722" t="s">
        <v>7</v>
      </c>
      <c r="M722" t="s">
        <v>8</v>
      </c>
      <c r="N722" t="s">
        <v>7</v>
      </c>
      <c r="P722">
        <f t="shared" si="999"/>
        <v>0.40350877192982471</v>
      </c>
      <c r="Q722">
        <f t="shared" si="1000"/>
        <v>27367840.098245624</v>
      </c>
      <c r="R722">
        <f t="shared" si="1001"/>
        <v>-349800.43845198303</v>
      </c>
      <c r="S722">
        <f t="shared" si="1002"/>
        <v>-3.4980043845198305</v>
      </c>
      <c r="T722">
        <f t="shared" si="1003"/>
        <v>-3.4980043845198303E-3</v>
      </c>
    </row>
    <row r="723" spans="1:20" x14ac:dyDescent="0.25">
      <c r="A723" s="5">
        <v>43870</v>
      </c>
      <c r="B723">
        <v>1.061E-2</v>
      </c>
      <c r="C723">
        <v>1.1299999999999999E-2</v>
      </c>
      <c r="D723">
        <v>1.052E-2</v>
      </c>
      <c r="E723">
        <v>1.099E-2</v>
      </c>
      <c r="F723">
        <v>30659533</v>
      </c>
      <c r="G723">
        <v>0</v>
      </c>
      <c r="L723" t="s">
        <v>8</v>
      </c>
      <c r="M723" t="s">
        <v>8</v>
      </c>
      <c r="N723" t="s">
        <v>7</v>
      </c>
      <c r="P723">
        <f t="shared" si="999"/>
        <v>0.20512820512820581</v>
      </c>
      <c r="Q723">
        <f t="shared" si="1000"/>
        <v>6289134.9743589954</v>
      </c>
      <c r="R723">
        <f t="shared" si="1001"/>
        <v>-27717640.536697607</v>
      </c>
      <c r="S723">
        <f t="shared" si="1002"/>
        <v>-277.1764053669761</v>
      </c>
      <c r="T723">
        <f t="shared" si="1003"/>
        <v>-0.27717640536697608</v>
      </c>
    </row>
    <row r="724" spans="1:20" x14ac:dyDescent="0.25">
      <c r="A724" s="5">
        <v>43869</v>
      </c>
      <c r="B724">
        <v>1.1350000000000001E-2</v>
      </c>
      <c r="C724">
        <v>1.1390000000000001E-2</v>
      </c>
      <c r="D724">
        <v>1.027E-2</v>
      </c>
      <c r="E724">
        <v>1.057E-2</v>
      </c>
      <c r="F724">
        <v>31228702.100000001</v>
      </c>
      <c r="G724">
        <v>0</v>
      </c>
      <c r="L724" t="s">
        <v>7</v>
      </c>
      <c r="M724" t="s">
        <v>8</v>
      </c>
      <c r="N724" t="s">
        <v>7</v>
      </c>
      <c r="P724">
        <f t="shared" si="999"/>
        <v>-0.46428571428571502</v>
      </c>
      <c r="Q724">
        <f t="shared" si="1000"/>
        <v>-14499040.260714309</v>
      </c>
      <c r="R724">
        <f t="shared" si="1001"/>
        <v>-34006775.511056602</v>
      </c>
      <c r="S724">
        <f t="shared" si="1002"/>
        <v>-340.067755110566</v>
      </c>
      <c r="T724">
        <f t="shared" si="1003"/>
        <v>-0.34006775511056597</v>
      </c>
    </row>
    <row r="725" spans="1:20" x14ac:dyDescent="0.25">
      <c r="A725" s="5">
        <v>43868</v>
      </c>
      <c r="B725">
        <v>1.064E-2</v>
      </c>
      <c r="C725">
        <v>1.158E-2</v>
      </c>
      <c r="D725">
        <v>1.039E-2</v>
      </c>
      <c r="E725">
        <v>1.137E-2</v>
      </c>
      <c r="F725">
        <v>44079646.899999999</v>
      </c>
      <c r="G725">
        <v>0</v>
      </c>
      <c r="L725" t="s">
        <v>8</v>
      </c>
      <c r="M725" t="s">
        <v>8</v>
      </c>
      <c r="N725" t="s">
        <v>7</v>
      </c>
      <c r="P725">
        <f t="shared" si="999"/>
        <v>0.64705882352941158</v>
      </c>
      <c r="Q725">
        <f t="shared" si="1000"/>
        <v>28522124.464705873</v>
      </c>
      <c r="R725">
        <f t="shared" si="1001"/>
        <v>-19507735.250342291</v>
      </c>
      <c r="S725">
        <f t="shared" si="1002"/>
        <v>-195.0773525034229</v>
      </c>
      <c r="T725">
        <f t="shared" si="1003"/>
        <v>-0.1950773525034229</v>
      </c>
    </row>
    <row r="726" spans="1:20" x14ac:dyDescent="0.25">
      <c r="A726" s="5">
        <v>43867</v>
      </c>
      <c r="B726">
        <v>9.9399999999999992E-3</v>
      </c>
      <c r="C726">
        <v>1.078E-2</v>
      </c>
      <c r="D726">
        <v>9.8300000000000002E-3</v>
      </c>
      <c r="E726">
        <v>1.064E-2</v>
      </c>
      <c r="F726">
        <v>44701918.5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0.7052631578947377</v>
      </c>
      <c r="Q726">
        <f t="shared" si="1000"/>
        <v>31526616.205263197</v>
      </c>
      <c r="R726">
        <f t="shared" si="1001"/>
        <v>-48029859.715048164</v>
      </c>
      <c r="S726">
        <f t="shared" si="1002"/>
        <v>-480.29859715048167</v>
      </c>
      <c r="T726">
        <f t="shared" si="1003"/>
        <v>-0.48029859715048168</v>
      </c>
    </row>
    <row r="727" spans="1:20" x14ac:dyDescent="0.25">
      <c r="A727" s="5">
        <v>43866</v>
      </c>
      <c r="B727">
        <v>1.0070000000000001E-2</v>
      </c>
      <c r="C727">
        <v>1.026E-2</v>
      </c>
      <c r="D727">
        <v>9.4999999999999998E-3</v>
      </c>
      <c r="E727">
        <v>9.9399999999999992E-3</v>
      </c>
      <c r="F727">
        <v>58164589.5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0.15789473684210334</v>
      </c>
      <c r="Q727">
        <f t="shared" si="1000"/>
        <v>9183882.5526314676</v>
      </c>
      <c r="R727">
        <f t="shared" si="1001"/>
        <v>-79556475.920311362</v>
      </c>
      <c r="S727">
        <f t="shared" si="1002"/>
        <v>-795.56475920311357</v>
      </c>
      <c r="T727">
        <f t="shared" si="1003"/>
        <v>-0.79556475920311354</v>
      </c>
    </row>
    <row r="728" spans="1:20" x14ac:dyDescent="0.25">
      <c r="A728" s="5">
        <v>43865</v>
      </c>
      <c r="B728">
        <v>9.4500000000000001E-3</v>
      </c>
      <c r="C728">
        <v>1.025E-2</v>
      </c>
      <c r="D728">
        <v>9.1999999999999998E-3</v>
      </c>
      <c r="E728">
        <v>1.0070000000000001E-2</v>
      </c>
      <c r="F728">
        <v>82509576.900000006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0.65714285714285814</v>
      </c>
      <c r="Q728">
        <f t="shared" si="1000"/>
        <v>54220579.105714373</v>
      </c>
      <c r="R728">
        <f t="shared" si="1001"/>
        <v>-88740358.472942829</v>
      </c>
      <c r="S728">
        <f t="shared" si="1002"/>
        <v>-887.4035847294283</v>
      </c>
      <c r="T728">
        <f t="shared" si="1003"/>
        <v>-0.88740358472942826</v>
      </c>
    </row>
    <row r="729" spans="1:20" x14ac:dyDescent="0.25">
      <c r="A729" s="5">
        <v>43864</v>
      </c>
      <c r="B729">
        <v>9.2099999999999994E-3</v>
      </c>
      <c r="C729">
        <v>9.6100000000000005E-3</v>
      </c>
      <c r="D729">
        <v>9.1000000000000004E-3</v>
      </c>
      <c r="E729">
        <v>9.4299999999999991E-3</v>
      </c>
      <c r="F729">
        <v>29069074.699999999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0.29411764705881832</v>
      </c>
      <c r="Q729">
        <f t="shared" si="1000"/>
        <v>8549727.852941025</v>
      </c>
      <c r="R729">
        <f t="shared" si="1001"/>
        <v>-142960937.57865721</v>
      </c>
      <c r="S729">
        <f t="shared" si="1002"/>
        <v>-1429.6093757865722</v>
      </c>
      <c r="T729">
        <f t="shared" si="1003"/>
        <v>-1.4296093757865722</v>
      </c>
    </row>
    <row r="730" spans="1:20" x14ac:dyDescent="0.25">
      <c r="A730" s="5">
        <v>43863</v>
      </c>
      <c r="B730">
        <v>9.5499999999999995E-3</v>
      </c>
      <c r="C730">
        <v>9.6600000000000002E-3</v>
      </c>
      <c r="D730">
        <v>8.9700000000000005E-3</v>
      </c>
      <c r="E730">
        <v>9.2099999999999994E-3</v>
      </c>
      <c r="F730">
        <v>46327707.200000003</v>
      </c>
      <c r="G730">
        <v>0</v>
      </c>
      <c r="L730" t="s">
        <v>7</v>
      </c>
      <c r="M730" t="s">
        <v>7</v>
      </c>
      <c r="N730" t="s">
        <v>7</v>
      </c>
      <c r="P730">
        <f t="shared" si="999"/>
        <v>-0.30434782608695937</v>
      </c>
      <c r="Q730">
        <f t="shared" si="1000"/>
        <v>-14099736.973913176</v>
      </c>
      <c r="R730">
        <f t="shared" si="1001"/>
        <v>-151510665.43159825</v>
      </c>
      <c r="S730">
        <f t="shared" si="1002"/>
        <v>-1515.1066543159825</v>
      </c>
      <c r="T730">
        <f t="shared" si="1003"/>
        <v>-1.5151066543159826</v>
      </c>
    </row>
    <row r="731" spans="1:20" x14ac:dyDescent="0.25">
      <c r="A731" s="5">
        <v>43862</v>
      </c>
      <c r="B731">
        <v>9.2899999999999996E-3</v>
      </c>
      <c r="C731">
        <v>9.8700000000000003E-3</v>
      </c>
      <c r="D731">
        <v>9.1199999999999996E-3</v>
      </c>
      <c r="E731">
        <v>9.5499999999999995E-3</v>
      </c>
      <c r="F731">
        <v>44895435.700000003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0.1466666666666652</v>
      </c>
      <c r="Q731">
        <f t="shared" si="1000"/>
        <v>6584663.9026666014</v>
      </c>
      <c r="R731">
        <f t="shared" si="1001"/>
        <v>-137410928.45768508</v>
      </c>
      <c r="S731">
        <f t="shared" si="1002"/>
        <v>-1374.1092845768508</v>
      </c>
      <c r="T731">
        <f t="shared" si="1003"/>
        <v>-1.3741092845768508</v>
      </c>
    </row>
    <row r="732" spans="1:20" x14ac:dyDescent="0.25">
      <c r="A732" s="5">
        <v>43861</v>
      </c>
      <c r="B732">
        <v>8.7500000000000008E-3</v>
      </c>
      <c r="C732">
        <v>9.5200000000000007E-3</v>
      </c>
      <c r="D732">
        <v>8.6099999999999996E-3</v>
      </c>
      <c r="E732">
        <v>9.2499999999999995E-3</v>
      </c>
      <c r="F732">
        <v>40816110.200000003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0.40659340659340482</v>
      </c>
      <c r="Q732">
        <f t="shared" si="1000"/>
        <v>16595561.290109819</v>
      </c>
      <c r="R732">
        <f t="shared" si="1001"/>
        <v>-143995592.36035168</v>
      </c>
      <c r="S732">
        <f t="shared" si="1002"/>
        <v>-1439.9559236035168</v>
      </c>
      <c r="T732">
        <f t="shared" si="1003"/>
        <v>-1.4399559236035169</v>
      </c>
    </row>
    <row r="733" spans="1:20" x14ac:dyDescent="0.25">
      <c r="A733" s="5">
        <v>43860</v>
      </c>
      <c r="B733">
        <v>8.8100000000000001E-3</v>
      </c>
      <c r="C733">
        <v>9.1000000000000004E-3</v>
      </c>
      <c r="D733">
        <v>8.6199999999999992E-3</v>
      </c>
      <c r="E733">
        <v>8.7799999999999996E-3</v>
      </c>
      <c r="F733">
        <v>35569613.200000003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-0.33333333333333331</v>
      </c>
      <c r="Q733">
        <f t="shared" si="1000"/>
        <v>-11856537.733333334</v>
      </c>
      <c r="R733">
        <f t="shared" si="1001"/>
        <v>-160591153.65046149</v>
      </c>
      <c r="S733">
        <f t="shared" si="1002"/>
        <v>-1605.911536504615</v>
      </c>
      <c r="T733">
        <f t="shared" si="1003"/>
        <v>-1.605911536504615</v>
      </c>
    </row>
    <row r="734" spans="1:20" x14ac:dyDescent="0.25">
      <c r="A734" s="5">
        <v>43859</v>
      </c>
      <c r="B734">
        <v>9.1299999999999992E-3</v>
      </c>
      <c r="C734">
        <v>9.2200000000000008E-3</v>
      </c>
      <c r="D734">
        <v>8.7500000000000008E-3</v>
      </c>
      <c r="E734">
        <v>8.7600000000000004E-3</v>
      </c>
      <c r="F734">
        <v>46989664.600000001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-0.95744680851064001</v>
      </c>
      <c r="Q734">
        <f t="shared" si="1000"/>
        <v>-44990104.404255398</v>
      </c>
      <c r="R734">
        <f t="shared" si="1001"/>
        <v>-148734615.91712818</v>
      </c>
      <c r="S734">
        <f t="shared" si="1002"/>
        <v>-1487.3461591712817</v>
      </c>
      <c r="T734">
        <f t="shared" si="1003"/>
        <v>-1.4873461591712818</v>
      </c>
    </row>
    <row r="735" spans="1:20" x14ac:dyDescent="0.25">
      <c r="A735" s="5">
        <v>43858</v>
      </c>
      <c r="B735">
        <v>9.6399999999999993E-3</v>
      </c>
      <c r="C735">
        <v>9.6399999999999993E-3</v>
      </c>
      <c r="D735">
        <v>9.0200000000000002E-3</v>
      </c>
      <c r="E735">
        <v>9.11E-3</v>
      </c>
      <c r="F735">
        <v>72008283.5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-0.70967741935483886</v>
      </c>
      <c r="Q735">
        <f t="shared" si="1000"/>
        <v>-51102652.806451626</v>
      </c>
      <c r="R735">
        <f t="shared" si="1001"/>
        <v>-103744511.51287279</v>
      </c>
      <c r="S735">
        <f t="shared" si="1002"/>
        <v>-1037.4451151287278</v>
      </c>
      <c r="T735">
        <f t="shared" si="1003"/>
        <v>-1.0374451151287278</v>
      </c>
    </row>
    <row r="736" spans="1:20" x14ac:dyDescent="0.25">
      <c r="A736" s="5">
        <v>43857</v>
      </c>
      <c r="B736">
        <v>9.6500000000000006E-3</v>
      </c>
      <c r="C736">
        <v>9.7800000000000005E-3</v>
      </c>
      <c r="D736">
        <v>9.3100000000000006E-3</v>
      </c>
      <c r="E736">
        <v>9.6399999999999993E-3</v>
      </c>
      <c r="F736">
        <v>20099266.800000001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0.40425531914893081</v>
      </c>
      <c r="Q736">
        <f t="shared" si="1000"/>
        <v>8125235.5148935094</v>
      </c>
      <c r="R736">
        <f t="shared" si="1001"/>
        <v>-52641858.706421152</v>
      </c>
      <c r="S736">
        <f t="shared" si="1002"/>
        <v>-526.41858706421147</v>
      </c>
      <c r="T736">
        <f t="shared" si="1003"/>
        <v>-0.52641858706421152</v>
      </c>
    </row>
    <row r="737" spans="1:20" x14ac:dyDescent="0.25">
      <c r="A737" s="5">
        <v>43856</v>
      </c>
      <c r="B737">
        <v>9.4999999999999998E-3</v>
      </c>
      <c r="C737">
        <v>9.9000000000000008E-3</v>
      </c>
      <c r="D737">
        <v>9.3900000000000008E-3</v>
      </c>
      <c r="E737">
        <v>9.6500000000000006E-3</v>
      </c>
      <c r="F737">
        <v>14376634.199999999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1.96078431372541E-2</v>
      </c>
      <c r="Q737">
        <f t="shared" si="1000"/>
        <v>281894.78823528258</v>
      </c>
      <c r="R737">
        <f t="shared" si="1001"/>
        <v>-60767094.221314661</v>
      </c>
      <c r="S737">
        <f t="shared" si="1002"/>
        <v>-607.67094221314665</v>
      </c>
      <c r="T737">
        <f t="shared" si="1003"/>
        <v>-0.60767094221314666</v>
      </c>
    </row>
    <row r="738" spans="1:20" x14ac:dyDescent="0.25">
      <c r="A738" s="5">
        <v>43855</v>
      </c>
      <c r="B738">
        <v>9.4000000000000004E-3</v>
      </c>
      <c r="C738">
        <v>9.6100000000000005E-3</v>
      </c>
      <c r="D738">
        <v>9.1800000000000007E-3</v>
      </c>
      <c r="E738">
        <v>9.5099999999999994E-3</v>
      </c>
      <c r="F738">
        <v>11747084.4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0.53488372093022707</v>
      </c>
      <c r="Q738">
        <f t="shared" si="1000"/>
        <v>6283324.2139534242</v>
      </c>
      <c r="R738">
        <f t="shared" si="1001"/>
        <v>-61048989.009549946</v>
      </c>
      <c r="S738">
        <f t="shared" si="1002"/>
        <v>-610.4898900954995</v>
      </c>
      <c r="T738">
        <f t="shared" si="1003"/>
        <v>-0.61048989009549948</v>
      </c>
    </row>
    <row r="739" spans="1:20" x14ac:dyDescent="0.25">
      <c r="A739" s="5">
        <v>43854</v>
      </c>
      <c r="B739">
        <v>9.3200000000000002E-3</v>
      </c>
      <c r="C739">
        <v>9.5999999999999992E-3</v>
      </c>
      <c r="D739">
        <v>9.0699999999999999E-3</v>
      </c>
      <c r="E739">
        <v>9.4000000000000004E-3</v>
      </c>
      <c r="F739">
        <v>7776606.7000000002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0.245283018867928</v>
      </c>
      <c r="Q739">
        <f t="shared" si="1000"/>
        <v>1907469.5679245554</v>
      </c>
      <c r="R739">
        <f t="shared" si="1001"/>
        <v>-67332313.223503366</v>
      </c>
      <c r="S739">
        <f t="shared" si="1002"/>
        <v>-673.32313223503365</v>
      </c>
      <c r="T739">
        <f t="shared" si="1003"/>
        <v>-0.67332313223503371</v>
      </c>
    </row>
    <row r="740" spans="1:20" x14ac:dyDescent="0.25">
      <c r="A740" s="5">
        <v>43853</v>
      </c>
      <c r="B740">
        <v>9.5899999999999996E-3</v>
      </c>
      <c r="C740">
        <v>9.6299999999999997E-3</v>
      </c>
      <c r="D740">
        <v>9.0799999999999995E-3</v>
      </c>
      <c r="E740">
        <v>9.3200000000000002E-3</v>
      </c>
      <c r="F740">
        <v>11097975.699999999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-0.12727272727272521</v>
      </c>
      <c r="Q740">
        <f t="shared" si="1000"/>
        <v>-1412469.6345454315</v>
      </c>
      <c r="R740">
        <f t="shared" si="1001"/>
        <v>-69239782.791427925</v>
      </c>
      <c r="S740">
        <f t="shared" si="1002"/>
        <v>-692.39782791427922</v>
      </c>
      <c r="T740">
        <f t="shared" si="1003"/>
        <v>-0.69239782791427917</v>
      </c>
    </row>
    <row r="741" spans="1:20" x14ac:dyDescent="0.25">
      <c r="A741" s="5">
        <v>43852</v>
      </c>
      <c r="B741">
        <v>9.6299999999999997E-3</v>
      </c>
      <c r="C741">
        <v>9.7000000000000003E-3</v>
      </c>
      <c r="D741">
        <v>9.4699999999999993E-3</v>
      </c>
      <c r="E741">
        <v>9.5399999999999999E-3</v>
      </c>
      <c r="F741">
        <v>10944610.800000001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-0.39130434782608431</v>
      </c>
      <c r="Q741">
        <f t="shared" si="1000"/>
        <v>-4282673.7913043192</v>
      </c>
      <c r="R741">
        <f t="shared" si="1001"/>
        <v>-67827313.156882495</v>
      </c>
      <c r="S741">
        <f t="shared" si="1002"/>
        <v>-678.27313156882497</v>
      </c>
      <c r="T741">
        <f t="shared" si="1003"/>
        <v>-0.67827313156882496</v>
      </c>
    </row>
    <row r="742" spans="1:20" x14ac:dyDescent="0.25">
      <c r="A742" s="5">
        <v>43851</v>
      </c>
      <c r="B742">
        <v>9.5099999999999994E-3</v>
      </c>
      <c r="C742">
        <v>9.8499999999999994E-3</v>
      </c>
      <c r="D742">
        <v>9.3799999999999994E-3</v>
      </c>
      <c r="E742">
        <v>9.5999999999999992E-3</v>
      </c>
      <c r="F742">
        <v>17412871.300000001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-6.3829787234043658E-2</v>
      </c>
      <c r="Q742">
        <f t="shared" si="1000"/>
        <v>-1111459.8702127852</v>
      </c>
      <c r="R742">
        <f t="shared" si="1001"/>
        <v>-63544639.365578182</v>
      </c>
      <c r="S742">
        <f t="shared" si="1002"/>
        <v>-635.44639365578178</v>
      </c>
      <c r="T742">
        <f t="shared" si="1003"/>
        <v>-0.63544639365578182</v>
      </c>
    </row>
    <row r="743" spans="1:20" x14ac:dyDescent="0.25">
      <c r="A743" s="5">
        <v>43850</v>
      </c>
      <c r="B743">
        <v>9.58E-3</v>
      </c>
      <c r="C743">
        <v>9.6900000000000007E-3</v>
      </c>
      <c r="D743">
        <v>9.3299999999999998E-3</v>
      </c>
      <c r="E743">
        <v>9.4699999999999993E-3</v>
      </c>
      <c r="F743">
        <v>19424606.399999999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-0.22222222222222704</v>
      </c>
      <c r="Q743">
        <f t="shared" si="1000"/>
        <v>-4316579.2000000933</v>
      </c>
      <c r="R743">
        <f t="shared" si="1001"/>
        <v>-62433179.495365396</v>
      </c>
      <c r="S743">
        <f t="shared" si="1002"/>
        <v>-624.33179495365391</v>
      </c>
      <c r="T743">
        <f t="shared" si="1003"/>
        <v>-0.62433179495365387</v>
      </c>
    </row>
    <row r="744" spans="1:20" x14ac:dyDescent="0.25">
      <c r="A744" s="5">
        <v>43849</v>
      </c>
      <c r="B744">
        <v>1.0019999999999999E-2</v>
      </c>
      <c r="C744">
        <v>1.0120000000000001E-2</v>
      </c>
      <c r="D744">
        <v>9.2800000000000001E-3</v>
      </c>
      <c r="E744">
        <v>9.58E-3</v>
      </c>
      <c r="F744">
        <v>24934624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-0.28571428571428631</v>
      </c>
      <c r="Q744">
        <f t="shared" si="1000"/>
        <v>-7124178.2857143003</v>
      </c>
      <c r="R744">
        <f t="shared" si="1001"/>
        <v>-58116600.295365304</v>
      </c>
      <c r="S744">
        <f t="shared" si="1002"/>
        <v>-581.16600295365299</v>
      </c>
      <c r="T744">
        <f t="shared" si="1003"/>
        <v>-0.58116600295365295</v>
      </c>
    </row>
    <row r="745" spans="1:20" x14ac:dyDescent="0.25">
      <c r="A745" s="5">
        <v>43848</v>
      </c>
      <c r="B745">
        <v>1.004E-2</v>
      </c>
      <c r="C745">
        <v>1.025E-2</v>
      </c>
      <c r="D745">
        <v>9.75E-3</v>
      </c>
      <c r="E745">
        <v>1.0019999999999999E-2</v>
      </c>
      <c r="F745">
        <v>30634190</v>
      </c>
      <c r="G745">
        <v>0</v>
      </c>
      <c r="L745" t="s">
        <v>8</v>
      </c>
      <c r="M745" t="s">
        <v>7</v>
      </c>
      <c r="N745" t="s">
        <v>7</v>
      </c>
      <c r="P745">
        <f t="shared" si="999"/>
        <v>7.9999999999996671E-2</v>
      </c>
      <c r="Q745">
        <f t="shared" si="1000"/>
        <v>2450735.1999998982</v>
      </c>
      <c r="R745">
        <f t="shared" si="1001"/>
        <v>-50992422.009651005</v>
      </c>
      <c r="S745">
        <f t="shared" si="1002"/>
        <v>-509.92422009651006</v>
      </c>
      <c r="T745">
        <f t="shared" si="1003"/>
        <v>-0.50992422009651006</v>
      </c>
    </row>
    <row r="746" spans="1:20" x14ac:dyDescent="0.25">
      <c r="A746" s="5">
        <v>43847</v>
      </c>
      <c r="B746">
        <v>9.5899999999999996E-3</v>
      </c>
      <c r="C746">
        <v>1.0189999999999999E-2</v>
      </c>
      <c r="D746">
        <v>9.4000000000000004E-3</v>
      </c>
      <c r="E746">
        <v>1.004E-2</v>
      </c>
      <c r="F746">
        <v>39766238.600000001</v>
      </c>
      <c r="G746">
        <v>0</v>
      </c>
      <c r="L746" t="s">
        <v>8</v>
      </c>
      <c r="M746" t="s">
        <v>7</v>
      </c>
      <c r="N746" t="s">
        <v>7</v>
      </c>
      <c r="P746">
        <f t="shared" si="999"/>
        <v>0.62025316455696389</v>
      </c>
      <c r="Q746">
        <f t="shared" si="1000"/>
        <v>24665135.334177289</v>
      </c>
      <c r="R746">
        <f t="shared" si="1001"/>
        <v>-53443157.209650904</v>
      </c>
      <c r="S746">
        <f t="shared" si="1002"/>
        <v>-534.43157209650906</v>
      </c>
      <c r="T746">
        <f t="shared" si="1003"/>
        <v>-0.53443157209650904</v>
      </c>
    </row>
    <row r="747" spans="1:20" x14ac:dyDescent="0.25">
      <c r="A747" s="5">
        <v>43846</v>
      </c>
      <c r="B747">
        <v>9.6600000000000002E-3</v>
      </c>
      <c r="C747">
        <v>9.7300000000000008E-3</v>
      </c>
      <c r="D747">
        <v>9.2700000000000005E-3</v>
      </c>
      <c r="E747">
        <v>9.5899999999999996E-3</v>
      </c>
      <c r="F747">
        <v>37489029.600000001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0.39130434782608203</v>
      </c>
      <c r="Q747">
        <f t="shared" si="1000"/>
        <v>14669620.278260686</v>
      </c>
      <c r="R747">
        <f t="shared" si="1001"/>
        <v>-78108292.543828189</v>
      </c>
      <c r="S747">
        <f t="shared" si="1002"/>
        <v>-781.0829254382819</v>
      </c>
      <c r="T747">
        <f t="shared" si="1003"/>
        <v>-0.78108292543828195</v>
      </c>
    </row>
    <row r="748" spans="1:20" x14ac:dyDescent="0.25">
      <c r="A748" s="5">
        <v>43845</v>
      </c>
      <c r="B748">
        <v>9.4199999999999996E-3</v>
      </c>
      <c r="C748">
        <v>1.018E-2</v>
      </c>
      <c r="D748">
        <v>9.2200000000000008E-3</v>
      </c>
      <c r="E748">
        <v>9.6100000000000005E-3</v>
      </c>
      <c r="F748">
        <v>105883527.40000001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-0.18749999999999978</v>
      </c>
      <c r="Q748">
        <f t="shared" si="1000"/>
        <v>-19853161.387499977</v>
      </c>
      <c r="R748">
        <f t="shared" si="1001"/>
        <v>-92777912.822088882</v>
      </c>
      <c r="S748">
        <f t="shared" si="1002"/>
        <v>-927.77912822088888</v>
      </c>
      <c r="T748">
        <f t="shared" si="1003"/>
        <v>-0.92777912822088893</v>
      </c>
    </row>
    <row r="749" spans="1:20" x14ac:dyDescent="0.25">
      <c r="A749" s="5">
        <v>43844</v>
      </c>
      <c r="B749">
        <v>9.8200000000000006E-3</v>
      </c>
      <c r="C749">
        <v>1.0070000000000001E-2</v>
      </c>
      <c r="D749">
        <v>8.9999999999999993E-3</v>
      </c>
      <c r="E749">
        <v>9.4400000000000005E-3</v>
      </c>
      <c r="F749">
        <v>130773500.09999999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-0.17757009345794292</v>
      </c>
      <c r="Q749">
        <f t="shared" si="1000"/>
        <v>-23221462.634579308</v>
      </c>
      <c r="R749">
        <f t="shared" si="1001"/>
        <v>-72924751.434588909</v>
      </c>
      <c r="S749">
        <f t="shared" si="1002"/>
        <v>-729.24751434588904</v>
      </c>
      <c r="T749">
        <f t="shared" si="1003"/>
        <v>-0.72924751434588908</v>
      </c>
    </row>
    <row r="750" spans="1:20" x14ac:dyDescent="0.25">
      <c r="A750" s="5">
        <v>43843</v>
      </c>
      <c r="B750">
        <v>1.022E-2</v>
      </c>
      <c r="C750">
        <v>1.027E-2</v>
      </c>
      <c r="D750">
        <v>9.75E-3</v>
      </c>
      <c r="E750">
        <v>9.8899999999999995E-3</v>
      </c>
      <c r="F750">
        <v>26836491.199999999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-0.46153846153846306</v>
      </c>
      <c r="Q750">
        <f t="shared" si="1000"/>
        <v>-12386072.861538501</v>
      </c>
      <c r="R750">
        <f t="shared" si="1001"/>
        <v>-49703288.800009608</v>
      </c>
      <c r="S750">
        <f t="shared" si="1002"/>
        <v>-497.03288800009608</v>
      </c>
      <c r="T750">
        <f t="shared" si="1003"/>
        <v>-0.4970328880000961</v>
      </c>
    </row>
    <row r="751" spans="1:20" x14ac:dyDescent="0.25">
      <c r="A751" s="5">
        <v>43842</v>
      </c>
      <c r="B751">
        <v>1.01E-2</v>
      </c>
      <c r="C751">
        <v>1.0279999999999999E-2</v>
      </c>
      <c r="D751">
        <v>9.9900000000000006E-3</v>
      </c>
      <c r="E751">
        <v>1.017E-2</v>
      </c>
      <c r="F751">
        <v>9994782.5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0.2413793103448309</v>
      </c>
      <c r="Q751">
        <f t="shared" si="1000"/>
        <v>2412533.7068965849</v>
      </c>
      <c r="R751">
        <f t="shared" si="1001"/>
        <v>-37317215.938471109</v>
      </c>
      <c r="S751">
        <f t="shared" si="1002"/>
        <v>-373.17215938471111</v>
      </c>
      <c r="T751">
        <f t="shared" si="1003"/>
        <v>-0.3731721593847111</v>
      </c>
    </row>
    <row r="752" spans="1:20" x14ac:dyDescent="0.25">
      <c r="A752" s="5">
        <v>43841</v>
      </c>
      <c r="B752">
        <v>1.034E-2</v>
      </c>
      <c r="C752">
        <v>1.034E-2</v>
      </c>
      <c r="D752">
        <v>1.001E-2</v>
      </c>
      <c r="E752">
        <v>1.0070000000000001E-2</v>
      </c>
      <c r="F752">
        <v>9748104.6999999993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-0.63636363636363058</v>
      </c>
      <c r="Q752">
        <f t="shared" si="1000"/>
        <v>-6203339.3545453977</v>
      </c>
      <c r="R752">
        <f t="shared" si="1001"/>
        <v>-39729749.645367697</v>
      </c>
      <c r="S752">
        <f t="shared" si="1002"/>
        <v>-397.29749645367696</v>
      </c>
      <c r="T752">
        <f t="shared" si="1003"/>
        <v>-0.39729749645367696</v>
      </c>
    </row>
    <row r="753" spans="1:20" x14ac:dyDescent="0.25">
      <c r="A753" s="5">
        <v>43840</v>
      </c>
      <c r="B753">
        <v>1.0070000000000001E-2</v>
      </c>
      <c r="C753">
        <v>1.034E-2</v>
      </c>
      <c r="D753">
        <v>9.9699999999999997E-3</v>
      </c>
      <c r="E753">
        <v>1.0319999999999999E-2</v>
      </c>
      <c r="F753">
        <v>6072617.7000000002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0.89189189189188711</v>
      </c>
      <c r="Q753">
        <f t="shared" si="1000"/>
        <v>5416118.4891891601</v>
      </c>
      <c r="R753">
        <f t="shared" si="1001"/>
        <v>-33526410.290822301</v>
      </c>
      <c r="S753">
        <f t="shared" si="1002"/>
        <v>-335.26410290822304</v>
      </c>
      <c r="T753">
        <f t="shared" si="1003"/>
        <v>-0.33526410290822306</v>
      </c>
    </row>
    <row r="754" spans="1:20" x14ac:dyDescent="0.25">
      <c r="A754" s="5">
        <v>43839</v>
      </c>
      <c r="B754">
        <v>1.0120000000000001E-2</v>
      </c>
      <c r="C754">
        <v>1.0500000000000001E-2</v>
      </c>
      <c r="D754">
        <v>9.9500000000000005E-3</v>
      </c>
      <c r="E754">
        <v>1.009E-2</v>
      </c>
      <c r="F754">
        <v>19592232.699999999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-0.49090909090909285</v>
      </c>
      <c r="Q754">
        <f t="shared" si="1000"/>
        <v>-9618005.1436364017</v>
      </c>
      <c r="R754">
        <f t="shared" si="1001"/>
        <v>-38942528.78001146</v>
      </c>
      <c r="S754">
        <f t="shared" si="1002"/>
        <v>-389.42528780011457</v>
      </c>
      <c r="T754">
        <f t="shared" si="1003"/>
        <v>-0.38942528780011459</v>
      </c>
    </row>
    <row r="755" spans="1:20" x14ac:dyDescent="0.25">
      <c r="A755" s="5">
        <v>43838</v>
      </c>
      <c r="B755">
        <v>1.035E-2</v>
      </c>
      <c r="C755">
        <v>1.0500000000000001E-2</v>
      </c>
      <c r="D755">
        <v>0.01</v>
      </c>
      <c r="E755">
        <v>1.013E-2</v>
      </c>
      <c r="F755">
        <v>16194711.9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-0.48000000000000081</v>
      </c>
      <c r="Q755">
        <f t="shared" si="1000"/>
        <v>-7773461.7120000133</v>
      </c>
      <c r="R755">
        <f t="shared" si="1001"/>
        <v>-29324523.636375055</v>
      </c>
      <c r="S755">
        <f t="shared" si="1002"/>
        <v>-293.24523636375056</v>
      </c>
      <c r="T755">
        <f t="shared" si="1003"/>
        <v>-0.29324523636375055</v>
      </c>
    </row>
    <row r="756" spans="1:20" x14ac:dyDescent="0.25">
      <c r="A756" s="5">
        <v>43837</v>
      </c>
      <c r="B756">
        <v>1.077E-2</v>
      </c>
      <c r="C756">
        <v>1.093E-2</v>
      </c>
      <c r="D756">
        <v>1.022E-2</v>
      </c>
      <c r="E756">
        <v>1.035E-2</v>
      </c>
      <c r="F756">
        <v>23270191.699999999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-0.63380281690140905</v>
      </c>
      <c r="Q756">
        <f t="shared" si="1000"/>
        <v>-14748713.049295789</v>
      </c>
      <c r="R756">
        <f t="shared" si="1001"/>
        <v>-21551061.924375042</v>
      </c>
      <c r="S756">
        <f t="shared" si="1002"/>
        <v>-215.51061924375043</v>
      </c>
      <c r="T756">
        <f t="shared" si="1003"/>
        <v>-0.21551061924375042</v>
      </c>
    </row>
    <row r="757" spans="1:20" x14ac:dyDescent="0.25">
      <c r="A757" s="5">
        <v>43836</v>
      </c>
      <c r="B757">
        <v>1.0489999999999999E-2</v>
      </c>
      <c r="C757">
        <v>1.107E-2</v>
      </c>
      <c r="D757">
        <v>1.0449999999999999E-2</v>
      </c>
      <c r="E757">
        <v>1.076E-2</v>
      </c>
      <c r="F757">
        <v>19465295.100000001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2.7979410902851693E-15</v>
      </c>
      <c r="Q757">
        <f t="shared" si="1000"/>
        <v>5.4462748994816567E-8</v>
      </c>
      <c r="R757">
        <f t="shared" si="1001"/>
        <v>-6802348.8750792537</v>
      </c>
      <c r="S757">
        <f t="shared" si="1002"/>
        <v>-68.023488750792538</v>
      </c>
      <c r="T757">
        <f t="shared" si="1003"/>
        <v>-6.8023488750792532E-2</v>
      </c>
    </row>
    <row r="758" spans="1:20" x14ac:dyDescent="0.25">
      <c r="A758" s="5">
        <v>43835</v>
      </c>
      <c r="B758">
        <v>1.068E-2</v>
      </c>
      <c r="C758">
        <v>1.081E-2</v>
      </c>
      <c r="D758">
        <v>1.038E-2</v>
      </c>
      <c r="E758">
        <v>1.051E-2</v>
      </c>
      <c r="F758">
        <v>10868256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-0.39534883720930253</v>
      </c>
      <c r="Q758">
        <f t="shared" si="1000"/>
        <v>-4296752.3720930256</v>
      </c>
      <c r="R758">
        <f t="shared" si="1001"/>
        <v>-6802348.8750793077</v>
      </c>
      <c r="S758">
        <f t="shared" si="1002"/>
        <v>-68.023488750793078</v>
      </c>
      <c r="T758">
        <f t="shared" si="1003"/>
        <v>-6.8023488750793074E-2</v>
      </c>
    </row>
    <row r="759" spans="1:20" x14ac:dyDescent="0.25">
      <c r="A759" s="5">
        <v>43834</v>
      </c>
      <c r="B759">
        <v>1.0359999999999999E-2</v>
      </c>
      <c r="C759">
        <v>1.077E-2</v>
      </c>
      <c r="D759">
        <v>1.027E-2</v>
      </c>
      <c r="E759">
        <v>1.068E-2</v>
      </c>
      <c r="F759">
        <v>11636937.4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0.64000000000000112</v>
      </c>
      <c r="Q759">
        <f t="shared" si="1000"/>
        <v>7447639.9360000137</v>
      </c>
      <c r="R759">
        <f t="shared" si="1001"/>
        <v>-2505596.5029862821</v>
      </c>
      <c r="S759">
        <f t="shared" si="1002"/>
        <v>-25.055965029862822</v>
      </c>
      <c r="T759">
        <f t="shared" si="1003"/>
        <v>-2.5055965029862824E-2</v>
      </c>
    </row>
    <row r="760" spans="1:20" x14ac:dyDescent="0.25">
      <c r="A760" s="5">
        <v>43833</v>
      </c>
      <c r="B760">
        <v>1.0240000000000001E-2</v>
      </c>
      <c r="C760">
        <v>1.057E-2</v>
      </c>
      <c r="D760">
        <v>1.008E-2</v>
      </c>
      <c r="E760">
        <v>1.035E-2</v>
      </c>
      <c r="F760">
        <v>10063301.5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0.10204081632653018</v>
      </c>
      <c r="Q760">
        <f t="shared" si="1000"/>
        <v>1026867.4999999957</v>
      </c>
      <c r="R760">
        <f t="shared" si="1001"/>
        <v>-9953236.4389862958</v>
      </c>
      <c r="S760">
        <f t="shared" si="1002"/>
        <v>-99.532364389862963</v>
      </c>
      <c r="T760">
        <f t="shared" si="1003"/>
        <v>-9.953236438986296E-2</v>
      </c>
    </row>
    <row r="761" spans="1:20" x14ac:dyDescent="0.25">
      <c r="A761" s="5">
        <v>43832</v>
      </c>
      <c r="B761">
        <v>1.055E-2</v>
      </c>
      <c r="C761">
        <v>1.0659999999999999E-2</v>
      </c>
      <c r="D761">
        <v>1.0120000000000001E-2</v>
      </c>
      <c r="E761">
        <v>1.025E-2</v>
      </c>
      <c r="F761">
        <v>9099710.5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-0.51851851851851782</v>
      </c>
      <c r="Q761">
        <f t="shared" si="1000"/>
        <v>-4718368.4074074011</v>
      </c>
      <c r="R761">
        <f t="shared" si="1001"/>
        <v>-10980103.938986292</v>
      </c>
      <c r="S761">
        <f t="shared" si="1002"/>
        <v>-109.80103938986292</v>
      </c>
      <c r="T761">
        <f t="shared" si="1003"/>
        <v>-0.10980103938986292</v>
      </c>
    </row>
    <row r="762" spans="1:20" x14ac:dyDescent="0.25">
      <c r="A762" s="5">
        <v>43831</v>
      </c>
      <c r="B762">
        <v>1.0840000000000001E-2</v>
      </c>
      <c r="C762">
        <v>1.095E-2</v>
      </c>
      <c r="D762">
        <v>1.038E-2</v>
      </c>
      <c r="E762">
        <v>1.0580000000000001E-2</v>
      </c>
      <c r="F762">
        <v>20995230.899999999</v>
      </c>
      <c r="G762">
        <v>0</v>
      </c>
      <c r="P762">
        <f t="shared" si="999"/>
        <v>-0.29824561403508504</v>
      </c>
      <c r="Q762">
        <f t="shared" si="1000"/>
        <v>-6261735.531578891</v>
      </c>
      <c r="R762">
        <f t="shared" si="1001"/>
        <v>-6261735.531578891</v>
      </c>
      <c r="S762">
        <f t="shared" si="1002"/>
        <v>-62.617355315788913</v>
      </c>
      <c r="T762">
        <f t="shared" si="1003"/>
        <v>-6.2617355315788908E-2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T548" sqref="OT54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$A$547</v>
      </c>
      <c r="D111" s="1" t="str">
        <f>ADDRESS(C121-1,D121,1,1)</f>
        <v>$OT$547</v>
      </c>
      <c r="E111"/>
    </row>
    <row r="112" spans="1:5" x14ac:dyDescent="0.25">
      <c r="A112" s="7">
        <v>12164.144957890772</v>
      </c>
      <c r="C112" s="1" t="str">
        <f>ADDRESS(C121,1,1,1)</f>
        <v>$A$548</v>
      </c>
      <c r="D112" s="1" t="str">
        <f>ADDRESS(C121,D121-1,1,1)</f>
        <v>$OS$548</v>
      </c>
      <c r="E112"/>
    </row>
    <row r="113" spans="1:5" x14ac:dyDescent="0.25">
      <c r="A113" s="7">
        <v>11925.63231165762</v>
      </c>
      <c r="C113" s="1" t="str">
        <f>ADDRESS(C121+1,1,1,1)</f>
        <v>$A$549</v>
      </c>
      <c r="D113" s="1" t="str">
        <f>ADDRESS(C121-1,D121+1,1,1)</f>
        <v>$OU$547</v>
      </c>
    </row>
    <row r="114" spans="1:5" x14ac:dyDescent="0.25">
      <c r="A114" s="7">
        <v>11691.796383978059</v>
      </c>
      <c r="C114" s="1" t="str">
        <f>ADDRESS(C121,D121,1,1)</f>
        <v>$OT$548</v>
      </c>
      <c r="D114" s="1" t="str">
        <f>ADDRESS(C121+1,D121+1,1,1)</f>
        <v>$OU$549</v>
      </c>
    </row>
    <row r="115" spans="1:5" x14ac:dyDescent="0.25">
      <c r="A115" s="7">
        <v>11462.545474488292</v>
      </c>
      <c r="C115" s="1" t="str">
        <f>ADDRESS(C121+1,D121,1,1)</f>
        <v>$OT$549</v>
      </c>
    </row>
    <row r="116" spans="1:5" x14ac:dyDescent="0.25">
      <c r="A116" s="7">
        <v>11237.789680870874</v>
      </c>
      <c r="C116" s="1">
        <f>C117-1</f>
        <v>547</v>
      </c>
    </row>
    <row r="117" spans="1:5" x14ac:dyDescent="0.25">
      <c r="A117" s="7">
        <v>11017.440863598895</v>
      </c>
      <c r="C117" s="1">
        <f>C121</f>
        <v>548</v>
      </c>
      <c r="D117" s="1">
        <f>D121</f>
        <v>410</v>
      </c>
    </row>
    <row r="118" spans="1:5" x14ac:dyDescent="0.25">
      <c r="A118" s="7">
        <v>10801.412611371465</v>
      </c>
      <c r="C118" s="1">
        <f>C117+1</f>
        <v>549</v>
      </c>
      <c r="D118" s="1">
        <f>D117+1</f>
        <v>411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548</v>
      </c>
      <c r="D121" s="19">
        <v>410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R548</v>
      </c>
      <c r="D123" s="1" t="str">
        <f>"C"&amp;D121</f>
        <v>C410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2.1647447682498568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404" x14ac:dyDescent="0.25">
      <c r="A513" s="7">
        <v>4.3292504462035977</v>
      </c>
      <c r="B513"/>
      <c r="C513"/>
      <c r="D513"/>
      <c r="E513"/>
    </row>
    <row r="514" spans="1:404" x14ac:dyDescent="0.25">
      <c r="A514" s="7">
        <v>4.2443631825525463</v>
      </c>
      <c r="B514"/>
      <c r="C514"/>
      <c r="D514"/>
      <c r="E514"/>
    </row>
    <row r="515" spans="1:404" x14ac:dyDescent="0.25">
      <c r="A515" s="7">
        <v>4.1611403750515157</v>
      </c>
      <c r="B515"/>
      <c r="C515"/>
      <c r="D515"/>
      <c r="E515"/>
    </row>
    <row r="516" spans="1:404" x14ac:dyDescent="0.25">
      <c r="A516" s="7">
        <v>4.0795493873054074</v>
      </c>
      <c r="B516"/>
      <c r="C516"/>
      <c r="D516"/>
      <c r="E516"/>
    </row>
    <row r="517" spans="1:404" x14ac:dyDescent="0.25">
      <c r="A517" s="7">
        <v>3.9995582228484383</v>
      </c>
      <c r="B517"/>
      <c r="C517"/>
      <c r="D517"/>
      <c r="E517"/>
    </row>
    <row r="518" spans="1:404" x14ac:dyDescent="0.25">
      <c r="A518" s="7">
        <v>3.9211355125965079</v>
      </c>
      <c r="B518"/>
      <c r="C518"/>
      <c r="D518"/>
      <c r="E518"/>
    </row>
    <row r="519" spans="1:404" x14ac:dyDescent="0.25">
      <c r="A519" s="7">
        <v>3.844250502545596</v>
      </c>
      <c r="B519"/>
      <c r="C519"/>
      <c r="D519"/>
      <c r="E519"/>
    </row>
    <row r="520" spans="1:404" x14ac:dyDescent="0.25">
      <c r="A520" s="7">
        <v>3.7688730417113687</v>
      </c>
      <c r="B520"/>
      <c r="C520"/>
      <c r="D520"/>
      <c r="E520"/>
    </row>
    <row r="521" spans="1:404" x14ac:dyDescent="0.25">
      <c r="A521" s="7">
        <v>3.6949735703052635</v>
      </c>
      <c r="B521"/>
      <c r="C521"/>
      <c r="D521"/>
      <c r="E521"/>
    </row>
    <row r="522" spans="1:404" x14ac:dyDescent="0.25">
      <c r="A522" s="7">
        <v>3.6225231081424152</v>
      </c>
      <c r="B522"/>
      <c r="C522"/>
      <c r="D522"/>
      <c r="E522"/>
    </row>
    <row r="523" spans="1:404" x14ac:dyDescent="0.25">
      <c r="A523" s="7">
        <v>3.5514932432768775</v>
      </c>
      <c r="B523"/>
      <c r="C523"/>
      <c r="D523"/>
      <c r="E523"/>
    </row>
    <row r="524" spans="1:404" x14ac:dyDescent="0.25">
      <c r="A524" s="7">
        <v>3.4818561208596837</v>
      </c>
      <c r="B524"/>
      <c r="C524"/>
      <c r="D524"/>
      <c r="E524"/>
      <c r="MS524" s="27" t="s">
        <v>8</v>
      </c>
    </row>
    <row r="525" spans="1:404" x14ac:dyDescent="0.25">
      <c r="A525" s="7">
        <v>3.4135844322153761</v>
      </c>
      <c r="B525"/>
      <c r="C525"/>
      <c r="D525"/>
      <c r="E525"/>
      <c r="MQ525" s="27" t="s">
        <v>8</v>
      </c>
      <c r="MS525" s="27" t="s">
        <v>8</v>
      </c>
      <c r="MT525" s="27" t="s">
        <v>7</v>
      </c>
    </row>
    <row r="526" spans="1:404" x14ac:dyDescent="0.25">
      <c r="A526" s="7">
        <v>3.3466514041327216</v>
      </c>
      <c r="B526"/>
      <c r="C526"/>
      <c r="D526"/>
      <c r="E526"/>
      <c r="MQ526" s="27" t="s">
        <v>8</v>
      </c>
      <c r="MR526" s="27" t="s">
        <v>7</v>
      </c>
      <c r="MS526" s="27" t="s">
        <v>8</v>
      </c>
      <c r="MT526" s="27" t="s">
        <v>7</v>
      </c>
      <c r="OM526" s="27" t="s">
        <v>8</v>
      </c>
    </row>
    <row r="527" spans="1:404" x14ac:dyDescent="0.25">
      <c r="A527" s="7">
        <v>3.2810307883654133</v>
      </c>
      <c r="B527"/>
      <c r="C527"/>
      <c r="D527"/>
      <c r="E527"/>
      <c r="MQ527" s="27" t="s">
        <v>8</v>
      </c>
      <c r="MR527" s="27" t="s">
        <v>7</v>
      </c>
      <c r="MS527" s="27" t="s">
        <v>8</v>
      </c>
      <c r="MT527" s="27" t="s">
        <v>7</v>
      </c>
      <c r="OM527" s="27" t="s">
        <v>8</v>
      </c>
      <c r="ON527" s="27" t="s">
        <v>7</v>
      </c>
    </row>
    <row r="528" spans="1:404" x14ac:dyDescent="0.25">
      <c r="A528" s="7">
        <v>3.2166968513386403</v>
      </c>
      <c r="B528"/>
      <c r="C528"/>
      <c r="D528"/>
      <c r="E528"/>
      <c r="MQ528" s="27" t="s">
        <v>8</v>
      </c>
      <c r="MR528" s="27" t="s">
        <v>7</v>
      </c>
      <c r="MS528" s="27" t="s">
        <v>8</v>
      </c>
      <c r="MT528" s="27" t="s">
        <v>7</v>
      </c>
      <c r="OM528" s="27" t="s">
        <v>8</v>
      </c>
      <c r="ON528" s="27" t="s">
        <v>7</v>
      </c>
    </row>
    <row r="529" spans="1:410" x14ac:dyDescent="0.25">
      <c r="A529" s="7">
        <v>3.1536243640574906</v>
      </c>
      <c r="B529"/>
      <c r="C529"/>
      <c r="D529"/>
      <c r="E529"/>
      <c r="MQ529" s="27" t="s">
        <v>8</v>
      </c>
      <c r="MR529" s="27" t="s">
        <v>7</v>
      </c>
      <c r="MS529" s="27" t="s">
        <v>8</v>
      </c>
      <c r="MT529" s="27" t="s">
        <v>7</v>
      </c>
      <c r="MY529" s="27" t="s">
        <v>8</v>
      </c>
      <c r="OG529" s="27" t="s">
        <v>8</v>
      </c>
      <c r="OM529" s="27" t="s">
        <v>8</v>
      </c>
      <c r="ON529" s="27" t="s">
        <v>7</v>
      </c>
    </row>
    <row r="530" spans="1:410" x14ac:dyDescent="0.25">
      <c r="A530" s="7">
        <v>3.0917885922132262</v>
      </c>
      <c r="B530"/>
      <c r="C530"/>
      <c r="D530"/>
      <c r="E530"/>
      <c r="MQ530" s="27" t="s">
        <v>8</v>
      </c>
      <c r="MR530" s="27" t="s">
        <v>7</v>
      </c>
      <c r="MS530" s="27" t="s">
        <v>8</v>
      </c>
      <c r="MT530" s="27" t="s">
        <v>7</v>
      </c>
      <c r="MY530" s="27" t="s">
        <v>8</v>
      </c>
      <c r="MZ530" s="27" t="s">
        <v>7</v>
      </c>
      <c r="OG530" s="27" t="s">
        <v>8</v>
      </c>
      <c r="OH530" s="27" t="s">
        <v>7</v>
      </c>
      <c r="OK530" s="27" t="s">
        <v>8</v>
      </c>
      <c r="OM530" s="27" t="s">
        <v>8</v>
      </c>
      <c r="ON530" s="27" t="s">
        <v>7</v>
      </c>
    </row>
    <row r="531" spans="1:410" x14ac:dyDescent="0.25">
      <c r="A531" s="7">
        <v>3.0311652864835552</v>
      </c>
      <c r="B531"/>
      <c r="C531"/>
      <c r="D531"/>
      <c r="E531"/>
      <c r="MQ531" s="27" t="s">
        <v>8</v>
      </c>
      <c r="MR531" s="27" t="s">
        <v>7</v>
      </c>
      <c r="MS531" s="27" t="s">
        <v>8</v>
      </c>
      <c r="MT531" s="27" t="s">
        <v>7</v>
      </c>
      <c r="MY531" s="27" t="s">
        <v>8</v>
      </c>
      <c r="MZ531" s="27" t="s">
        <v>7</v>
      </c>
      <c r="OG531" s="27" t="s">
        <v>8</v>
      </c>
      <c r="OH531" s="27" t="s">
        <v>7</v>
      </c>
      <c r="OK531" s="27" t="s">
        <v>8</v>
      </c>
      <c r="OL531" s="27" t="s">
        <v>7</v>
      </c>
      <c r="OM531" s="27" t="s">
        <v>8</v>
      </c>
      <c r="ON531" s="27" t="s">
        <v>7</v>
      </c>
      <c r="OO531" s="27" t="s">
        <v>8</v>
      </c>
    </row>
    <row r="532" spans="1:410" x14ac:dyDescent="0.25">
      <c r="A532" s="7">
        <v>2.9717306730230932</v>
      </c>
      <c r="B532"/>
      <c r="C532"/>
      <c r="D532"/>
      <c r="E532"/>
      <c r="MQ532" s="27" t="s">
        <v>8</v>
      </c>
      <c r="MR532" s="27" t="s">
        <v>7</v>
      </c>
      <c r="MS532" s="27" t="s">
        <v>8</v>
      </c>
      <c r="MT532" s="27" t="s">
        <v>7</v>
      </c>
      <c r="MY532" s="27" t="s">
        <v>8</v>
      </c>
      <c r="MZ532" s="27" t="s">
        <v>7</v>
      </c>
      <c r="OG532" s="27" t="s">
        <v>8</v>
      </c>
      <c r="OH532" s="27" t="s">
        <v>7</v>
      </c>
      <c r="OK532" s="27" t="s">
        <v>8</v>
      </c>
      <c r="OL532" s="27" t="s">
        <v>7</v>
      </c>
      <c r="OM532" s="27" t="s">
        <v>8</v>
      </c>
      <c r="ON532" s="27" t="s">
        <v>7</v>
      </c>
      <c r="OO532" s="27" t="s">
        <v>8</v>
      </c>
      <c r="OP532" s="27" t="s">
        <v>7</v>
      </c>
    </row>
    <row r="533" spans="1:410" x14ac:dyDescent="0.25">
      <c r="A533" s="7">
        <v>2.9134614441402875</v>
      </c>
      <c r="B533"/>
      <c r="C533"/>
      <c r="D533"/>
      <c r="E533"/>
      <c r="MQ533" s="27" t="s">
        <v>8</v>
      </c>
      <c r="MR533" s="27" t="s">
        <v>7</v>
      </c>
      <c r="MS533" s="27" t="s">
        <v>8</v>
      </c>
      <c r="MT533" s="27" t="s">
        <v>7</v>
      </c>
      <c r="MU533" s="27" t="s">
        <v>8</v>
      </c>
      <c r="MW533" s="27" t="s">
        <v>8</v>
      </c>
      <c r="MY533" s="27" t="s">
        <v>8</v>
      </c>
      <c r="MZ533" s="27" t="s">
        <v>7</v>
      </c>
      <c r="OG533" s="27" t="s">
        <v>8</v>
      </c>
      <c r="OH533" s="27" t="s">
        <v>7</v>
      </c>
      <c r="OK533" s="27" t="s">
        <v>8</v>
      </c>
      <c r="OL533" s="27" t="s">
        <v>7</v>
      </c>
      <c r="OM533" s="27" t="s">
        <v>8</v>
      </c>
      <c r="ON533" s="27" t="s">
        <v>7</v>
      </c>
      <c r="OO533" s="27" t="s">
        <v>8</v>
      </c>
      <c r="OP533" s="27" t="s">
        <v>7</v>
      </c>
    </row>
    <row r="534" spans="1:410" x14ac:dyDescent="0.25">
      <c r="A534" s="7">
        <v>2.8563347491571447</v>
      </c>
      <c r="B534"/>
      <c r="C534"/>
      <c r="D534"/>
      <c r="E534"/>
      <c r="MQ534" s="27" t="s">
        <v>8</v>
      </c>
      <c r="MR534" s="27" t="s">
        <v>7</v>
      </c>
      <c r="MS534" s="27" t="s">
        <v>8</v>
      </c>
      <c r="MT534" s="27" t="s">
        <v>7</v>
      </c>
      <c r="MU534" s="27" t="s">
        <v>8</v>
      </c>
      <c r="MV534" s="27" t="s">
        <v>7</v>
      </c>
      <c r="MW534" s="27" t="s">
        <v>8</v>
      </c>
      <c r="MX534" s="27" t="s">
        <v>7</v>
      </c>
      <c r="MY534" s="27" t="s">
        <v>8</v>
      </c>
      <c r="MZ534" s="27" t="s">
        <v>7</v>
      </c>
      <c r="OG534" s="27" t="s">
        <v>8</v>
      </c>
      <c r="OH534" s="27" t="s">
        <v>7</v>
      </c>
      <c r="OK534" s="27" t="s">
        <v>8</v>
      </c>
      <c r="OL534" s="27" t="s">
        <v>7</v>
      </c>
      <c r="ON534" s="27" t="s">
        <v>7</v>
      </c>
      <c r="OO534" s="27" t="s">
        <v>8</v>
      </c>
      <c r="OP534" s="27" t="s">
        <v>7</v>
      </c>
    </row>
    <row r="535" spans="1:410" x14ac:dyDescent="0.25">
      <c r="A535" s="7">
        <v>2.8003281854481812</v>
      </c>
      <c r="B535"/>
      <c r="C535"/>
      <c r="D535"/>
      <c r="E535"/>
      <c r="MQ535" s="27" t="s">
        <v>8</v>
      </c>
      <c r="MR535" s="27" t="s">
        <v>7</v>
      </c>
      <c r="MS535" s="27" t="s">
        <v>8</v>
      </c>
      <c r="MT535" s="27" t="s">
        <v>7</v>
      </c>
      <c r="MU535" s="27" t="s">
        <v>8</v>
      </c>
      <c r="MV535" s="27" t="s">
        <v>7</v>
      </c>
      <c r="MW535" s="27" t="s">
        <v>8</v>
      </c>
      <c r="MX535" s="27" t="s">
        <v>7</v>
      </c>
      <c r="MY535" s="27" t="s">
        <v>8</v>
      </c>
      <c r="MZ535" s="27" t="s">
        <v>7</v>
      </c>
      <c r="OG535" s="27" t="s">
        <v>8</v>
      </c>
      <c r="OH535" s="27" t="s">
        <v>7</v>
      </c>
      <c r="OK535" s="27" t="s">
        <v>8</v>
      </c>
      <c r="ON535" s="27" t="s">
        <v>7</v>
      </c>
      <c r="OO535" s="27" t="s">
        <v>8</v>
      </c>
      <c r="OP535" s="27" t="s">
        <v>7</v>
      </c>
    </row>
    <row r="536" spans="1:410" x14ac:dyDescent="0.25">
      <c r="A536" s="7">
        <v>2.7454197896550796</v>
      </c>
      <c r="B536"/>
      <c r="C536"/>
      <c r="D536"/>
      <c r="E536"/>
      <c r="MQ536" s="27" t="s">
        <v>8</v>
      </c>
      <c r="MR536" s="27" t="s">
        <v>7</v>
      </c>
      <c r="MS536" s="27" t="s">
        <v>8</v>
      </c>
      <c r="MT536" s="27" t="s">
        <v>7</v>
      </c>
      <c r="MU536" s="27" t="s">
        <v>8</v>
      </c>
      <c r="MV536" s="27" t="s">
        <v>7</v>
      </c>
      <c r="MW536" s="27" t="s">
        <v>8</v>
      </c>
      <c r="MX536" s="27" t="s">
        <v>7</v>
      </c>
      <c r="MY536" s="27" t="s">
        <v>8</v>
      </c>
      <c r="MZ536" s="27" t="s">
        <v>7</v>
      </c>
      <c r="OG536" s="27" t="s">
        <v>8</v>
      </c>
      <c r="OH536" s="27" t="s">
        <v>7</v>
      </c>
      <c r="OK536" s="27" t="s">
        <v>8</v>
      </c>
      <c r="ON536" s="27" t="s">
        <v>7</v>
      </c>
      <c r="OP536" s="27" t="s">
        <v>7</v>
      </c>
    </row>
    <row r="537" spans="1:410" x14ac:dyDescent="0.25">
      <c r="A537" s="7">
        <v>2.6915880290736074</v>
      </c>
      <c r="B537"/>
      <c r="C537"/>
      <c r="D537"/>
      <c r="E537"/>
      <c r="MQ537" s="27" t="s">
        <v>8</v>
      </c>
      <c r="MR537" s="27" t="s">
        <v>7</v>
      </c>
      <c r="MS537" s="27" t="s">
        <v>8</v>
      </c>
      <c r="MT537" s="27" t="s">
        <v>7</v>
      </c>
      <c r="MU537" s="27" t="s">
        <v>8</v>
      </c>
      <c r="MV537" s="27" t="s">
        <v>7</v>
      </c>
      <c r="MW537" s="27" t="s">
        <v>8</v>
      </c>
      <c r="MX537" s="27" t="s">
        <v>7</v>
      </c>
      <c r="MY537" s="27" t="s">
        <v>8</v>
      </c>
      <c r="MZ537" s="27" t="s">
        <v>7</v>
      </c>
      <c r="NA537" s="27" t="s">
        <v>8</v>
      </c>
      <c r="NC537" s="27" t="s">
        <v>8</v>
      </c>
      <c r="OG537" s="27" t="s">
        <v>8</v>
      </c>
      <c r="OH537" s="27" t="s">
        <v>7</v>
      </c>
      <c r="OK537" s="27" t="s">
        <v>8</v>
      </c>
      <c r="OP537" s="27" t="s">
        <v>7</v>
      </c>
    </row>
    <row r="538" spans="1:410" x14ac:dyDescent="0.25">
      <c r="A538" s="7">
        <v>2.6388117932094191</v>
      </c>
      <c r="B538"/>
      <c r="C538"/>
      <c r="D538"/>
      <c r="E538"/>
      <c r="MO538" s="27" t="s">
        <v>8</v>
      </c>
      <c r="MQ538" s="27" t="s">
        <v>8</v>
      </c>
      <c r="MR538" s="27" t="s">
        <v>7</v>
      </c>
      <c r="MS538" s="27" t="s">
        <v>8</v>
      </c>
      <c r="MT538" s="27" t="s">
        <v>7</v>
      </c>
      <c r="MU538" s="27" t="s">
        <v>8</v>
      </c>
      <c r="MV538" s="27" t="s">
        <v>7</v>
      </c>
      <c r="MW538" s="27" t="s">
        <v>8</v>
      </c>
      <c r="MX538" s="27" t="s">
        <v>7</v>
      </c>
      <c r="MY538" s="27" t="s">
        <v>8</v>
      </c>
      <c r="MZ538" s="27" t="s">
        <v>7</v>
      </c>
      <c r="NA538" s="27" t="s">
        <v>8</v>
      </c>
      <c r="NB538" s="27" t="s">
        <v>7</v>
      </c>
      <c r="NC538" s="27" t="s">
        <v>8</v>
      </c>
      <c r="ND538" s="27" t="s">
        <v>7</v>
      </c>
      <c r="NK538" s="27" t="s">
        <v>8</v>
      </c>
      <c r="OG538" s="27" t="s">
        <v>8</v>
      </c>
      <c r="OH538" s="27" t="s">
        <v>7</v>
      </c>
      <c r="OK538" s="27" t="s">
        <v>8</v>
      </c>
      <c r="OP538" s="27" t="s">
        <v>7</v>
      </c>
    </row>
    <row r="539" spans="1:410" x14ac:dyDescent="0.25">
      <c r="A539" s="7">
        <v>2.5870703854994304</v>
      </c>
      <c r="B539"/>
      <c r="C539"/>
      <c r="D539"/>
      <c r="E539"/>
      <c r="MO539" s="27" t="s">
        <v>8</v>
      </c>
      <c r="MP539" s="27" t="s">
        <v>7</v>
      </c>
      <c r="MQ539" s="27" t="s">
        <v>8</v>
      </c>
      <c r="MR539" s="27" t="s">
        <v>7</v>
      </c>
      <c r="MS539" s="27" t="s">
        <v>8</v>
      </c>
      <c r="MT539" s="27" t="s">
        <v>7</v>
      </c>
      <c r="MV539" s="27" t="s">
        <v>7</v>
      </c>
      <c r="MW539" s="27" t="s">
        <v>8</v>
      </c>
      <c r="MX539" s="27" t="s">
        <v>7</v>
      </c>
      <c r="MZ539" s="27" t="s">
        <v>7</v>
      </c>
      <c r="NA539" s="27" t="s">
        <v>8</v>
      </c>
      <c r="NB539" s="27" t="s">
        <v>7</v>
      </c>
      <c r="NC539" s="27" t="s">
        <v>8</v>
      </c>
      <c r="ND539" s="27" t="s">
        <v>7</v>
      </c>
      <c r="NK539" s="27" t="s">
        <v>8</v>
      </c>
      <c r="NL539" s="27" t="s">
        <v>7</v>
      </c>
      <c r="OG539" s="27" t="s">
        <v>8</v>
      </c>
      <c r="OH539" s="27" t="s">
        <v>7</v>
      </c>
      <c r="OK539" s="27" t="s">
        <v>8</v>
      </c>
      <c r="OP539" s="27" t="s">
        <v>7</v>
      </c>
    </row>
    <row r="540" spans="1:410" x14ac:dyDescent="0.25">
      <c r="A540" s="7">
        <v>2.53634351519552</v>
      </c>
      <c r="B540"/>
      <c r="C540"/>
      <c r="D540"/>
      <c r="E540"/>
      <c r="MM540" s="27" t="s">
        <v>8</v>
      </c>
      <c r="MO540" s="27" t="s">
        <v>8</v>
      </c>
      <c r="MP540" s="27" t="s">
        <v>7</v>
      </c>
      <c r="MQ540" s="27" t="s">
        <v>8</v>
      </c>
      <c r="MR540" s="27" t="s">
        <v>7</v>
      </c>
      <c r="MV540" s="27" t="s">
        <v>7</v>
      </c>
      <c r="MW540" s="27" t="s">
        <v>8</v>
      </c>
      <c r="MZ540" s="27" t="s">
        <v>7</v>
      </c>
      <c r="NA540" s="27" t="s">
        <v>8</v>
      </c>
      <c r="NB540" s="27" t="s">
        <v>7</v>
      </c>
      <c r="NC540" s="27" t="s">
        <v>8</v>
      </c>
      <c r="ND540" s="27" t="s">
        <v>7</v>
      </c>
      <c r="NK540" s="27" t="s">
        <v>8</v>
      </c>
      <c r="NL540" s="27" t="s">
        <v>7</v>
      </c>
      <c r="OG540" s="27" t="s">
        <v>8</v>
      </c>
      <c r="OH540" s="27" t="s">
        <v>7</v>
      </c>
      <c r="OK540" s="27" t="s">
        <v>8</v>
      </c>
      <c r="OP540" s="27" t="s">
        <v>7</v>
      </c>
      <c r="OS540" s="27" t="s">
        <v>8</v>
      </c>
    </row>
    <row r="541" spans="1:410" x14ac:dyDescent="0.25">
      <c r="A541" s="7">
        <v>2.4866112894073726</v>
      </c>
      <c r="B541"/>
      <c r="C541"/>
      <c r="D541"/>
      <c r="E541"/>
      <c r="MM541" s="27" t="s">
        <v>8</v>
      </c>
      <c r="MN541" s="27" t="s">
        <v>7</v>
      </c>
      <c r="MO541" s="27" t="s">
        <v>8</v>
      </c>
      <c r="MP541" s="27" t="s">
        <v>7</v>
      </c>
      <c r="MV541" s="27" t="s">
        <v>7</v>
      </c>
      <c r="MW541" s="27" t="s">
        <v>8</v>
      </c>
      <c r="MZ541" s="27" t="s">
        <v>7</v>
      </c>
      <c r="NA541" s="27" t="s">
        <v>8</v>
      </c>
      <c r="NB541" s="27" t="s">
        <v>7</v>
      </c>
      <c r="ND541" s="27" t="s">
        <v>7</v>
      </c>
      <c r="NK541" s="27" t="s">
        <v>8</v>
      </c>
      <c r="NL541" s="27" t="s">
        <v>7</v>
      </c>
      <c r="OG541" s="27" t="s">
        <v>8</v>
      </c>
      <c r="OH541" s="27" t="s">
        <v>7</v>
      </c>
      <c r="OI541" s="27" t="s">
        <v>8</v>
      </c>
      <c r="OK541" s="27" t="s">
        <v>8</v>
      </c>
      <c r="OP541" s="27" t="s">
        <v>7</v>
      </c>
      <c r="OS541" s="27" t="s">
        <v>8</v>
      </c>
      <c r="OT541" s="27" t="s">
        <v>7</v>
      </c>
    </row>
    <row r="542" spans="1:410" x14ac:dyDescent="0.25">
      <c r="A542" s="7">
        <v>2.4378542053013459</v>
      </c>
      <c r="B542"/>
      <c r="C542"/>
      <c r="D542"/>
      <c r="E542"/>
      <c r="ME542" s="27" t="s">
        <v>8</v>
      </c>
      <c r="MM542" s="27" t="s">
        <v>8</v>
      </c>
      <c r="MN542" s="27" t="s">
        <v>7</v>
      </c>
      <c r="MO542" s="27" t="s">
        <v>8</v>
      </c>
      <c r="MV542" s="27" t="s">
        <v>7</v>
      </c>
      <c r="MZ542" s="27" t="s">
        <v>7</v>
      </c>
      <c r="NA542" s="27" t="s">
        <v>8</v>
      </c>
      <c r="ND542" s="27" t="s">
        <v>7</v>
      </c>
      <c r="NI542" s="27" t="s">
        <v>8</v>
      </c>
      <c r="NK542" s="27" t="s">
        <v>8</v>
      </c>
      <c r="NL542" s="27" t="s">
        <v>7</v>
      </c>
      <c r="OC542" s="27" t="s">
        <v>8</v>
      </c>
      <c r="OG542" s="27" t="s">
        <v>8</v>
      </c>
      <c r="OH542" s="27" t="s">
        <v>7</v>
      </c>
      <c r="OI542" s="27" t="s">
        <v>8</v>
      </c>
      <c r="OJ542" s="27" t="s">
        <v>7</v>
      </c>
      <c r="OK542" s="27" t="s">
        <v>8</v>
      </c>
      <c r="OP542" s="27" t="s">
        <v>7</v>
      </c>
      <c r="OS542" s="27" t="s">
        <v>8</v>
      </c>
      <c r="OT542" s="27" t="s">
        <v>7</v>
      </c>
    </row>
    <row r="543" spans="1:410" x14ac:dyDescent="0.25">
      <c r="A543" s="7">
        <v>2.3900531424522997</v>
      </c>
      <c r="B543"/>
      <c r="C543"/>
      <c r="D543"/>
      <c r="E543"/>
      <c r="ME543" s="27" t="s">
        <v>8</v>
      </c>
      <c r="MF543" s="27" t="s">
        <v>7</v>
      </c>
      <c r="MM543" s="27" t="s">
        <v>8</v>
      </c>
      <c r="MN543" s="27" t="s">
        <v>7</v>
      </c>
      <c r="MO543" s="27" t="s">
        <v>8</v>
      </c>
      <c r="MZ543" s="27" t="s">
        <v>7</v>
      </c>
      <c r="NA543" s="27" t="s">
        <v>8</v>
      </c>
      <c r="ND543" s="27" t="s">
        <v>7</v>
      </c>
      <c r="NI543" s="27" t="s">
        <v>8</v>
      </c>
      <c r="NJ543" s="27" t="s">
        <v>7</v>
      </c>
      <c r="NK543" s="27" t="s">
        <v>8</v>
      </c>
      <c r="NL543" s="27" t="s">
        <v>7</v>
      </c>
      <c r="OC543" s="27" t="s">
        <v>8</v>
      </c>
      <c r="OD543" s="27" t="s">
        <v>7</v>
      </c>
      <c r="OG543" s="27" t="s">
        <v>8</v>
      </c>
      <c r="OH543" s="27" t="s">
        <v>7</v>
      </c>
      <c r="OI543" s="27" t="s">
        <v>8</v>
      </c>
      <c r="OJ543" s="27" t="s">
        <v>7</v>
      </c>
      <c r="OK543" s="27" t="s">
        <v>8</v>
      </c>
      <c r="OP543" s="27" t="s">
        <v>7</v>
      </c>
      <c r="OQ543" s="27" t="s">
        <v>8</v>
      </c>
      <c r="OS543" s="27" t="s">
        <v>8</v>
      </c>
      <c r="OT543" s="27" t="s">
        <v>7</v>
      </c>
    </row>
    <row r="544" spans="1:410" x14ac:dyDescent="0.25">
      <c r="A544" s="7">
        <v>2.343189355345392</v>
      </c>
      <c r="B544"/>
      <c r="C544"/>
      <c r="D544"/>
      <c r="E544"/>
      <c r="ME544" s="27" t="s">
        <v>8</v>
      </c>
      <c r="MF544" s="27" t="s">
        <v>7</v>
      </c>
      <c r="MG544" s="27" t="s">
        <v>8</v>
      </c>
      <c r="MK544" s="27" t="s">
        <v>8</v>
      </c>
      <c r="MM544" s="27" t="s">
        <v>8</v>
      </c>
      <c r="MN544" s="27" t="s">
        <v>7</v>
      </c>
      <c r="MO544" s="27" t="s">
        <v>8</v>
      </c>
      <c r="MZ544" s="27" t="s">
        <v>7</v>
      </c>
      <c r="NA544" s="27" t="s">
        <v>8</v>
      </c>
      <c r="ND544" s="27" t="s">
        <v>7</v>
      </c>
      <c r="NE544" s="27" t="s">
        <v>8</v>
      </c>
      <c r="NI544" s="27" t="s">
        <v>8</v>
      </c>
      <c r="NJ544" s="27" t="s">
        <v>7</v>
      </c>
      <c r="NK544" s="27" t="s">
        <v>8</v>
      </c>
      <c r="NL544" s="27" t="s">
        <v>7</v>
      </c>
      <c r="OC544" s="27" t="s">
        <v>8</v>
      </c>
      <c r="OD544" s="27" t="s">
        <v>7</v>
      </c>
      <c r="OE544" s="27" t="s">
        <v>8</v>
      </c>
      <c r="OG544" s="27" t="s">
        <v>8</v>
      </c>
      <c r="OH544" s="27" t="s">
        <v>7</v>
      </c>
      <c r="OI544" s="27" t="s">
        <v>8</v>
      </c>
      <c r="OJ544" s="27" t="s">
        <v>7</v>
      </c>
      <c r="OK544" s="27" t="s">
        <v>8</v>
      </c>
      <c r="OP544" s="27" t="s">
        <v>7</v>
      </c>
      <c r="OQ544" s="27" t="s">
        <v>8</v>
      </c>
      <c r="OR544" s="27" t="s">
        <v>7</v>
      </c>
      <c r="OS544" s="27" t="s">
        <v>8</v>
      </c>
      <c r="OT544" s="27" t="s">
        <v>7</v>
      </c>
    </row>
    <row r="545" spans="1:410" x14ac:dyDescent="0.25">
      <c r="A545" s="7">
        <v>2.2972444660248938</v>
      </c>
      <c r="B545"/>
      <c r="C545"/>
      <c r="D545"/>
      <c r="E545"/>
      <c r="ME545" s="27" t="s">
        <v>8</v>
      </c>
      <c r="MF545" s="27" t="s">
        <v>7</v>
      </c>
      <c r="MG545" s="27" t="s">
        <v>8</v>
      </c>
      <c r="MH545" s="27" t="s">
        <v>7</v>
      </c>
      <c r="MK545" s="27" t="s">
        <v>8</v>
      </c>
      <c r="ML545" s="27" t="s">
        <v>7</v>
      </c>
      <c r="MM545" s="27" t="s">
        <v>8</v>
      </c>
      <c r="MN545" s="27" t="s">
        <v>7</v>
      </c>
      <c r="MO545" s="27" t="s">
        <v>8</v>
      </c>
      <c r="MZ545" s="27" t="s">
        <v>7</v>
      </c>
      <c r="ND545" s="27" t="s">
        <v>7</v>
      </c>
      <c r="NE545" s="27" t="s">
        <v>8</v>
      </c>
      <c r="NF545" s="27" t="s">
        <v>7</v>
      </c>
      <c r="NI545" s="27" t="s">
        <v>8</v>
      </c>
      <c r="NJ545" s="27" t="s">
        <v>7</v>
      </c>
      <c r="NK545" s="27" t="s">
        <v>8</v>
      </c>
      <c r="NL545" s="27" t="s">
        <v>7</v>
      </c>
      <c r="OC545" s="27" t="s">
        <v>8</v>
      </c>
      <c r="OD545" s="27" t="s">
        <v>7</v>
      </c>
      <c r="OE545" s="27" t="s">
        <v>8</v>
      </c>
      <c r="OF545" s="27" t="s">
        <v>7</v>
      </c>
      <c r="OG545" s="27" t="s">
        <v>8</v>
      </c>
      <c r="OH545" s="27" t="s">
        <v>7</v>
      </c>
      <c r="OI545" s="27" t="s">
        <v>8</v>
      </c>
      <c r="OJ545" s="27" t="s">
        <v>7</v>
      </c>
      <c r="OK545" s="27" t="s">
        <v>8</v>
      </c>
      <c r="OP545" s="27" t="s">
        <v>7</v>
      </c>
      <c r="OQ545" s="27" t="s">
        <v>8</v>
      </c>
      <c r="OR545" s="27" t="s">
        <v>7</v>
      </c>
      <c r="OS545" s="27" t="s">
        <v>8</v>
      </c>
      <c r="OT545" s="27" t="s">
        <v>7</v>
      </c>
    </row>
    <row r="546" spans="1:410" x14ac:dyDescent="0.25">
      <c r="A546" s="7">
        <v>2.252200456887151</v>
      </c>
      <c r="B546"/>
      <c r="C546"/>
      <c r="D546"/>
      <c r="E546"/>
      <c r="ME546" s="27" t="s">
        <v>8</v>
      </c>
      <c r="MF546" s="27" t="s">
        <v>7</v>
      </c>
      <c r="MG546" s="27" t="s">
        <v>8</v>
      </c>
      <c r="MH546" s="27" t="s">
        <v>7</v>
      </c>
      <c r="MK546" s="27" t="s">
        <v>8</v>
      </c>
      <c r="ML546" s="27" t="s">
        <v>7</v>
      </c>
      <c r="MM546" s="27" t="s">
        <v>8</v>
      </c>
      <c r="MN546" s="27" t="s">
        <v>7</v>
      </c>
      <c r="MO546" s="27" t="s">
        <v>8</v>
      </c>
      <c r="ND546" s="27" t="s">
        <v>7</v>
      </c>
      <c r="NE546" s="27" t="s">
        <v>8</v>
      </c>
      <c r="NF546" s="27" t="s">
        <v>7</v>
      </c>
      <c r="NG546" s="27" t="s">
        <v>8</v>
      </c>
      <c r="NI546" s="27" t="s">
        <v>8</v>
      </c>
      <c r="NJ546" s="27" t="s">
        <v>7</v>
      </c>
      <c r="NL546" s="27" t="s">
        <v>7</v>
      </c>
      <c r="NO546" s="27" t="s">
        <v>8</v>
      </c>
      <c r="OC546" s="27" t="s">
        <v>8</v>
      </c>
      <c r="OD546" s="27" t="s">
        <v>7</v>
      </c>
      <c r="OE546" s="27" t="s">
        <v>8</v>
      </c>
      <c r="OF546" s="27" t="s">
        <v>7</v>
      </c>
      <c r="OG546" s="27" t="s">
        <v>8</v>
      </c>
      <c r="OH546" s="27" t="s">
        <v>7</v>
      </c>
      <c r="OI546" s="27" t="s">
        <v>8</v>
      </c>
      <c r="OJ546" s="27" t="s">
        <v>7</v>
      </c>
      <c r="OK546" s="27" t="s">
        <v>8</v>
      </c>
      <c r="OP546" s="27" t="s">
        <v>7</v>
      </c>
      <c r="OQ546" s="27" t="s">
        <v>8</v>
      </c>
      <c r="OR546" s="27" t="s">
        <v>7</v>
      </c>
      <c r="OS546" s="27" t="s">
        <v>8</v>
      </c>
      <c r="OT546" s="27" t="s">
        <v>7</v>
      </c>
    </row>
    <row r="547" spans="1:410" x14ac:dyDescent="0.25">
      <c r="A547" s="7">
        <v>2.208039663614854</v>
      </c>
      <c r="B547"/>
      <c r="C547"/>
      <c r="D547"/>
      <c r="E547"/>
      <c r="ME547" s="27" t="s">
        <v>8</v>
      </c>
      <c r="MF547" s="27" t="s">
        <v>7</v>
      </c>
      <c r="MG547" s="27" t="s">
        <v>8</v>
      </c>
      <c r="MH547" s="27" t="s">
        <v>7</v>
      </c>
      <c r="MK547" s="27" t="s">
        <v>8</v>
      </c>
      <c r="ML547" s="27" t="s">
        <v>7</v>
      </c>
      <c r="MM547" s="27" t="s">
        <v>8</v>
      </c>
      <c r="MN547" s="27" t="s">
        <v>7</v>
      </c>
      <c r="ND547" s="27" t="s">
        <v>7</v>
      </c>
      <c r="NE547" s="27" t="s">
        <v>8</v>
      </c>
      <c r="NF547" s="27" t="s">
        <v>7</v>
      </c>
      <c r="NG547" s="27" t="s">
        <v>8</v>
      </c>
      <c r="NH547" s="27" t="s">
        <v>7</v>
      </c>
      <c r="NI547" s="27" t="s">
        <v>8</v>
      </c>
      <c r="NL547" s="27" t="s">
        <v>7</v>
      </c>
      <c r="NM547" s="27" t="s">
        <v>8</v>
      </c>
      <c r="NO547" s="27" t="s">
        <v>8</v>
      </c>
      <c r="NP547" s="27" t="s">
        <v>7</v>
      </c>
      <c r="OA547" s="27" t="s">
        <v>8</v>
      </c>
      <c r="OC547" s="27" t="s">
        <v>8</v>
      </c>
      <c r="OD547" s="27" t="s">
        <v>7</v>
      </c>
      <c r="OE547" s="27" t="s">
        <v>8</v>
      </c>
      <c r="OF547" s="27" t="s">
        <v>7</v>
      </c>
      <c r="OG547" s="27" t="s">
        <v>8</v>
      </c>
      <c r="OH547" s="27" t="s">
        <v>7</v>
      </c>
      <c r="OJ547" s="27" t="s">
        <v>7</v>
      </c>
      <c r="OK547" s="27" t="s">
        <v>8</v>
      </c>
      <c r="OP547" s="27" t="s">
        <v>7</v>
      </c>
      <c r="OQ547" s="27" t="s">
        <v>8</v>
      </c>
      <c r="OR547" s="27" t="s">
        <v>7</v>
      </c>
      <c r="OS547" s="27" t="s">
        <v>8</v>
      </c>
      <c r="OT547" s="27" t="s">
        <v>7</v>
      </c>
    </row>
    <row r="548" spans="1:410" x14ac:dyDescent="0.25">
      <c r="A548" s="7">
        <v>2.1647447682498568</v>
      </c>
      <c r="B548"/>
      <c r="C548"/>
      <c r="D548"/>
      <c r="E548"/>
      <c r="ME548" s="27" t="s">
        <v>8</v>
      </c>
      <c r="MF548" s="27" t="s">
        <v>7</v>
      </c>
      <c r="MG548" s="27" t="s">
        <v>8</v>
      </c>
      <c r="MH548" s="27" t="s">
        <v>7</v>
      </c>
      <c r="MK548" s="27" t="s">
        <v>8</v>
      </c>
      <c r="ML548" s="27" t="s">
        <v>7</v>
      </c>
      <c r="ND548" s="27" t="s">
        <v>7</v>
      </c>
      <c r="NE548" s="27" t="s">
        <v>8</v>
      </c>
      <c r="NF548" s="27" t="s">
        <v>7</v>
      </c>
      <c r="NG548" s="27" t="s">
        <v>8</v>
      </c>
      <c r="NH548" s="27" t="s">
        <v>7</v>
      </c>
      <c r="NI548" s="27" t="s">
        <v>8</v>
      </c>
      <c r="NL548" s="27" t="s">
        <v>7</v>
      </c>
      <c r="NM548" s="27" t="s">
        <v>8</v>
      </c>
      <c r="NN548" s="27" t="s">
        <v>7</v>
      </c>
      <c r="NO548" s="27" t="s">
        <v>8</v>
      </c>
      <c r="NP548" s="27" t="s">
        <v>7</v>
      </c>
      <c r="OA548" s="27" t="s">
        <v>8</v>
      </c>
      <c r="OB548" s="27" t="s">
        <v>7</v>
      </c>
      <c r="OC548" s="27" t="s">
        <v>8</v>
      </c>
      <c r="OD548" s="27" t="s">
        <v>7</v>
      </c>
      <c r="OE548" s="27" t="s">
        <v>8</v>
      </c>
      <c r="OF548" s="27" t="s">
        <v>7</v>
      </c>
      <c r="OG548" s="27" t="s">
        <v>8</v>
      </c>
      <c r="OJ548" s="27" t="s">
        <v>7</v>
      </c>
      <c r="OK548" s="27" t="s">
        <v>8</v>
      </c>
      <c r="OP548" s="27" t="s">
        <v>7</v>
      </c>
      <c r="OQ548" s="27" t="s">
        <v>8</v>
      </c>
      <c r="OR548" s="27" t="s">
        <v>7</v>
      </c>
      <c r="OS548" s="27" t="s">
        <v>8</v>
      </c>
      <c r="OT548" s="27" t="s">
        <v>7</v>
      </c>
    </row>
    <row r="549" spans="1:410" x14ac:dyDescent="0.25">
      <c r="A549" s="7">
        <v>2.1222987924018204</v>
      </c>
      <c r="B549"/>
      <c r="C549"/>
      <c r="D549"/>
      <c r="E549"/>
      <c r="ME549" s="27" t="s">
        <v>8</v>
      </c>
      <c r="MF549" s="27" t="s">
        <v>7</v>
      </c>
      <c r="MG549" s="27" t="s">
        <v>8</v>
      </c>
      <c r="MH549" s="27" t="s">
        <v>7</v>
      </c>
      <c r="MI549" s="27" t="s">
        <v>8</v>
      </c>
      <c r="MK549" s="27" t="s">
        <v>8</v>
      </c>
      <c r="ND549" s="27" t="s">
        <v>7</v>
      </c>
      <c r="NE549" s="27" t="s">
        <v>8</v>
      </c>
      <c r="NF549" s="27" t="s">
        <v>7</v>
      </c>
      <c r="NG549" s="27" t="s">
        <v>8</v>
      </c>
      <c r="NH549" s="27" t="s">
        <v>7</v>
      </c>
      <c r="NI549" s="27" t="s">
        <v>8</v>
      </c>
      <c r="NL549" s="27" t="s">
        <v>7</v>
      </c>
      <c r="NM549" s="27" t="s">
        <v>8</v>
      </c>
      <c r="NN549" s="27" t="s">
        <v>7</v>
      </c>
      <c r="NO549" s="27" t="s">
        <v>8</v>
      </c>
      <c r="NP549" s="27" t="s">
        <v>7</v>
      </c>
      <c r="OA549" s="27" t="s">
        <v>8</v>
      </c>
      <c r="OB549" s="27" t="s">
        <v>7</v>
      </c>
      <c r="OC549" s="27" t="s">
        <v>8</v>
      </c>
      <c r="OD549" s="27" t="s">
        <v>7</v>
      </c>
      <c r="OE549" s="27" t="s">
        <v>8</v>
      </c>
      <c r="OF549" s="27" t="s">
        <v>7</v>
      </c>
      <c r="OG549" s="27" t="s">
        <v>8</v>
      </c>
      <c r="OJ549" s="27" t="s">
        <v>7</v>
      </c>
      <c r="OP549" s="27" t="s">
        <v>7</v>
      </c>
      <c r="OQ549" s="27" t="s">
        <v>8</v>
      </c>
      <c r="OR549" s="27" t="s">
        <v>7</v>
      </c>
      <c r="OS549" s="27" t="s">
        <v>8</v>
      </c>
    </row>
    <row r="550" spans="1:410" x14ac:dyDescent="0.25">
      <c r="A550" s="7">
        <v>2.0806850905900198</v>
      </c>
      <c r="B550"/>
      <c r="C550"/>
      <c r="D550"/>
      <c r="E550"/>
      <c r="ME550" s="27" t="s">
        <v>8</v>
      </c>
      <c r="MF550" s="27" t="s">
        <v>7</v>
      </c>
      <c r="MG550" s="27" t="s">
        <v>8</v>
      </c>
      <c r="MH550" s="27" t="s">
        <v>7</v>
      </c>
      <c r="MI550" s="27" t="s">
        <v>8</v>
      </c>
      <c r="MJ550" s="27" t="s">
        <v>7</v>
      </c>
      <c r="MK550" s="27" t="s">
        <v>8</v>
      </c>
      <c r="ND550" s="27" t="s">
        <v>7</v>
      </c>
      <c r="NE550" s="27" t="s">
        <v>8</v>
      </c>
      <c r="NF550" s="27" t="s">
        <v>7</v>
      </c>
      <c r="NG550" s="27" t="s">
        <v>8</v>
      </c>
      <c r="NH550" s="27" t="s">
        <v>7</v>
      </c>
      <c r="NI550" s="27" t="s">
        <v>8</v>
      </c>
      <c r="NL550" s="27" t="s">
        <v>7</v>
      </c>
      <c r="NM550" s="27" t="s">
        <v>8</v>
      </c>
      <c r="NN550" s="27" t="s">
        <v>7</v>
      </c>
      <c r="NO550" s="27" t="s">
        <v>8</v>
      </c>
      <c r="NP550" s="27" t="s">
        <v>7</v>
      </c>
      <c r="OA550" s="27" t="s">
        <v>8</v>
      </c>
      <c r="OB550" s="27" t="s">
        <v>7</v>
      </c>
      <c r="OC550" s="27" t="s">
        <v>8</v>
      </c>
      <c r="OD550" s="27" t="s">
        <v>7</v>
      </c>
      <c r="OF550" s="27" t="s">
        <v>7</v>
      </c>
      <c r="OG550" s="27" t="s">
        <v>8</v>
      </c>
      <c r="OP550" s="27" t="s">
        <v>7</v>
      </c>
      <c r="OQ550" s="27" t="s">
        <v>8</v>
      </c>
      <c r="OR550" s="27" t="s">
        <v>7</v>
      </c>
      <c r="OS550" s="27" t="s">
        <v>8</v>
      </c>
    </row>
    <row r="551" spans="1:410" x14ac:dyDescent="0.25">
      <c r="A551" s="7">
        <v>2.0398873437157055</v>
      </c>
      <c r="B551"/>
      <c r="C551"/>
      <c r="D551"/>
      <c r="E551"/>
      <c r="ME551" s="27" t="s">
        <v>8</v>
      </c>
      <c r="MF551" s="27" t="s">
        <v>7</v>
      </c>
      <c r="MG551" s="27" t="s">
        <v>8</v>
      </c>
      <c r="MH551" s="27" t="s">
        <v>7</v>
      </c>
      <c r="MI551" s="27" t="s">
        <v>8</v>
      </c>
      <c r="MJ551" s="27" t="s">
        <v>7</v>
      </c>
      <c r="MK551" s="27" t="s">
        <v>8</v>
      </c>
      <c r="ND551" s="27" t="s">
        <v>7</v>
      </c>
      <c r="NF551" s="27" t="s">
        <v>7</v>
      </c>
      <c r="NG551" s="27" t="s">
        <v>8</v>
      </c>
      <c r="NH551" s="27" t="s">
        <v>7</v>
      </c>
      <c r="NI551" s="27" t="s">
        <v>8</v>
      </c>
      <c r="NL551" s="27" t="s">
        <v>7</v>
      </c>
      <c r="NN551" s="27" t="s">
        <v>7</v>
      </c>
      <c r="NO551" s="27" t="s">
        <v>8</v>
      </c>
      <c r="NP551" s="27" t="s">
        <v>7</v>
      </c>
      <c r="OA551" s="27" t="s">
        <v>8</v>
      </c>
      <c r="OB551" s="27" t="s">
        <v>7</v>
      </c>
      <c r="OC551" s="27" t="s">
        <v>8</v>
      </c>
      <c r="OF551" s="27" t="s">
        <v>7</v>
      </c>
      <c r="OP551" s="27" t="s">
        <v>7</v>
      </c>
      <c r="OQ551" s="27" t="s">
        <v>8</v>
      </c>
      <c r="OR551" s="27" t="s">
        <v>7</v>
      </c>
      <c r="OS551" s="27" t="s">
        <v>8</v>
      </c>
    </row>
    <row r="552" spans="1:410" x14ac:dyDescent="0.25">
      <c r="A552" s="7">
        <v>1.9998895526624565</v>
      </c>
      <c r="B552"/>
      <c r="C552"/>
      <c r="D552"/>
      <c r="E552"/>
      <c r="ME552" s="27" t="s">
        <v>8</v>
      </c>
      <c r="MF552" s="27" t="s">
        <v>7</v>
      </c>
      <c r="MH552" s="27" t="s">
        <v>7</v>
      </c>
      <c r="MJ552" s="27" t="s">
        <v>7</v>
      </c>
      <c r="MK552" s="27" t="s">
        <v>8</v>
      </c>
      <c r="NF552" s="27" t="s">
        <v>7</v>
      </c>
      <c r="NG552" s="27" t="s">
        <v>8</v>
      </c>
      <c r="NH552" s="27" t="s">
        <v>7</v>
      </c>
      <c r="NI552" s="27" t="s">
        <v>8</v>
      </c>
      <c r="NN552" s="27" t="s">
        <v>7</v>
      </c>
      <c r="NO552" s="27" t="s">
        <v>8</v>
      </c>
      <c r="NP552" s="27" t="s">
        <v>7</v>
      </c>
      <c r="OA552" s="27" t="s">
        <v>8</v>
      </c>
      <c r="OB552" s="27" t="s">
        <v>7</v>
      </c>
      <c r="OP552" s="27" t="s">
        <v>7</v>
      </c>
      <c r="OQ552" s="27" t="s">
        <v>8</v>
      </c>
      <c r="OR552" s="27" t="s">
        <v>7</v>
      </c>
      <c r="OS552" s="27" t="s">
        <v>8</v>
      </c>
    </row>
    <row r="553" spans="1:410" x14ac:dyDescent="0.25">
      <c r="A553" s="7">
        <v>1.9606760320220162</v>
      </c>
      <c r="B553"/>
      <c r="C553"/>
      <c r="D553"/>
      <c r="E553"/>
      <c r="ME553" s="27" t="s">
        <v>8</v>
      </c>
      <c r="MJ553" s="27" t="s">
        <v>7</v>
      </c>
      <c r="MK553" s="27" t="s">
        <v>8</v>
      </c>
      <c r="NF553" s="27" t="s">
        <v>7</v>
      </c>
      <c r="NG553" s="27" t="s">
        <v>8</v>
      </c>
      <c r="NH553" s="27" t="s">
        <v>7</v>
      </c>
      <c r="NI553" s="27" t="s">
        <v>8</v>
      </c>
      <c r="NN553" s="27" t="s">
        <v>7</v>
      </c>
      <c r="NO553" s="27" t="s">
        <v>8</v>
      </c>
      <c r="NP553" s="27" t="s">
        <v>7</v>
      </c>
      <c r="OA553" s="27" t="s">
        <v>8</v>
      </c>
      <c r="OP553" s="27" t="s">
        <v>7</v>
      </c>
      <c r="OQ553" s="27" t="s">
        <v>8</v>
      </c>
      <c r="OR553" s="27" t="s">
        <v>7</v>
      </c>
      <c r="OS553" s="27" t="s">
        <v>8</v>
      </c>
    </row>
    <row r="554" spans="1:410" x14ac:dyDescent="0.25">
      <c r="A554" s="7">
        <v>1.9222314039431532</v>
      </c>
      <c r="B554"/>
      <c r="C554"/>
      <c r="D554"/>
      <c r="E554"/>
      <c r="LO554" s="27" t="s">
        <v>8</v>
      </c>
      <c r="ME554" s="27" t="s">
        <v>8</v>
      </c>
      <c r="MJ554" s="27" t="s">
        <v>7</v>
      </c>
      <c r="NF554" s="27" t="s">
        <v>7</v>
      </c>
      <c r="NG554" s="27" t="s">
        <v>8</v>
      </c>
      <c r="NH554" s="27" t="s">
        <v>7</v>
      </c>
      <c r="NN554" s="27" t="s">
        <v>7</v>
      </c>
      <c r="NO554" s="27" t="s">
        <v>8</v>
      </c>
      <c r="NP554" s="27" t="s">
        <v>7</v>
      </c>
      <c r="OA554" s="27" t="s">
        <v>8</v>
      </c>
      <c r="OP554" s="27" t="s">
        <v>7</v>
      </c>
      <c r="OQ554" s="27" t="s">
        <v>8</v>
      </c>
      <c r="OR554" s="27" t="s">
        <v>7</v>
      </c>
    </row>
    <row r="555" spans="1:410" x14ac:dyDescent="0.25">
      <c r="A555" s="7">
        <v>1.8845405921011305</v>
      </c>
      <c r="B555"/>
      <c r="C555"/>
      <c r="D555"/>
      <c r="E555"/>
      <c r="LO555" s="27" t="s">
        <v>8</v>
      </c>
      <c r="LP555" s="27" t="s">
        <v>7</v>
      </c>
      <c r="ME555" s="27" t="s">
        <v>8</v>
      </c>
      <c r="NF555" s="27" t="s">
        <v>7</v>
      </c>
      <c r="NG555" s="27" t="s">
        <v>8</v>
      </c>
      <c r="NN555" s="27" t="s">
        <v>7</v>
      </c>
      <c r="NP555" s="27" t="s">
        <v>7</v>
      </c>
      <c r="OA555" s="27" t="s">
        <v>8</v>
      </c>
      <c r="OP555" s="27" t="s">
        <v>7</v>
      </c>
      <c r="OQ555" s="27" t="s">
        <v>8</v>
      </c>
    </row>
    <row r="556" spans="1:410" x14ac:dyDescent="0.25">
      <c r="A556" s="7">
        <v>1.8475888157854219</v>
      </c>
      <c r="B556"/>
      <c r="C556"/>
      <c r="D556"/>
      <c r="E556"/>
      <c r="LM556" s="27" t="s">
        <v>8</v>
      </c>
      <c r="LO556" s="27" t="s">
        <v>8</v>
      </c>
      <c r="LP556" s="27" t="s">
        <v>7</v>
      </c>
      <c r="ME556" s="27" t="s">
        <v>8</v>
      </c>
      <c r="NF556" s="27" t="s">
        <v>7</v>
      </c>
      <c r="NG556" s="27" t="s">
        <v>8</v>
      </c>
      <c r="NP556" s="27" t="s">
        <v>7</v>
      </c>
      <c r="OA556" s="27" t="s">
        <v>8</v>
      </c>
      <c r="OP556" s="27" t="s">
        <v>7</v>
      </c>
      <c r="OQ556" s="27" t="s">
        <v>8</v>
      </c>
    </row>
    <row r="557" spans="1:410" x14ac:dyDescent="0.25">
      <c r="A557" s="7">
        <v>1.8113615841033548</v>
      </c>
      <c r="B557"/>
      <c r="C557"/>
      <c r="D557"/>
      <c r="E557"/>
      <c r="LM557" s="27" t="s">
        <v>8</v>
      </c>
      <c r="LN557" s="27" t="s">
        <v>7</v>
      </c>
      <c r="LO557" s="27" t="s">
        <v>8</v>
      </c>
      <c r="LP557" s="27" t="s">
        <v>7</v>
      </c>
      <c r="ME557" s="27" t="s">
        <v>8</v>
      </c>
      <c r="NF557" s="27" t="s">
        <v>7</v>
      </c>
      <c r="NG557" s="27" t="s">
        <v>8</v>
      </c>
      <c r="NP557" s="27" t="s">
        <v>7</v>
      </c>
      <c r="OA557" s="27" t="s">
        <v>8</v>
      </c>
      <c r="OP557" s="27" t="s">
        <v>7</v>
      </c>
      <c r="OQ557" s="27" t="s">
        <v>8</v>
      </c>
    </row>
    <row r="558" spans="1:410" x14ac:dyDescent="0.25">
      <c r="A558" s="7">
        <v>1.7758446902974065</v>
      </c>
      <c r="B558"/>
      <c r="C558"/>
      <c r="D558"/>
      <c r="E558"/>
      <c r="LM558" s="27" t="s">
        <v>8</v>
      </c>
      <c r="LN558" s="27" t="s">
        <v>7</v>
      </c>
      <c r="LO558" s="27" t="s">
        <v>8</v>
      </c>
      <c r="LP558" s="27" t="s">
        <v>7</v>
      </c>
      <c r="ME558" s="27" t="s">
        <v>8</v>
      </c>
      <c r="NF558" s="27" t="s">
        <v>7</v>
      </c>
      <c r="NP558" s="27" t="s">
        <v>7</v>
      </c>
      <c r="OA558" s="27" t="s">
        <v>8</v>
      </c>
      <c r="OP558" s="27" t="s">
        <v>7</v>
      </c>
    </row>
    <row r="559" spans="1:410" x14ac:dyDescent="0.25">
      <c r="A559" s="7">
        <v>1.7410242061739281</v>
      </c>
      <c r="B559"/>
      <c r="C559"/>
      <c r="D559"/>
      <c r="E559"/>
      <c r="LM559" s="27" t="s">
        <v>8</v>
      </c>
      <c r="LN559" s="27" t="s">
        <v>7</v>
      </c>
      <c r="LO559" s="27" t="s">
        <v>8</v>
      </c>
      <c r="LP559" s="27" t="s">
        <v>7</v>
      </c>
      <c r="ME559" s="27" t="s">
        <v>8</v>
      </c>
      <c r="NP559" s="27" t="s">
        <v>7</v>
      </c>
      <c r="NQ559" s="27" t="s">
        <v>8</v>
      </c>
      <c r="OA559" s="27" t="s">
        <v>8</v>
      </c>
    </row>
    <row r="560" spans="1:410" x14ac:dyDescent="0.25">
      <c r="A560" s="7">
        <v>1.7068864766411058</v>
      </c>
      <c r="B560"/>
      <c r="C560"/>
      <c r="D560"/>
      <c r="E560"/>
      <c r="LM560" s="27" t="s">
        <v>8</v>
      </c>
      <c r="LN560" s="27" t="s">
        <v>7</v>
      </c>
      <c r="LO560" s="27" t="s">
        <v>8</v>
      </c>
      <c r="LP560" s="27" t="s">
        <v>7</v>
      </c>
      <c r="ME560" s="27" t="s">
        <v>8</v>
      </c>
      <c r="NP560" s="27" t="s">
        <v>7</v>
      </c>
      <c r="NQ560" s="27" t="s">
        <v>8</v>
      </c>
      <c r="NR560" s="27" t="s">
        <v>7</v>
      </c>
      <c r="NS560" s="27" t="s">
        <v>8</v>
      </c>
      <c r="OA560" s="27" t="s">
        <v>8</v>
      </c>
    </row>
    <row r="561" spans="1:391" x14ac:dyDescent="0.25">
      <c r="A561" s="7">
        <v>1.6734181143540252</v>
      </c>
      <c r="B561"/>
      <c r="C561"/>
      <c r="D561"/>
      <c r="E561"/>
      <c r="LM561" s="27" t="s">
        <v>8</v>
      </c>
      <c r="LN561" s="27" t="s">
        <v>7</v>
      </c>
      <c r="LO561" s="27" t="s">
        <v>8</v>
      </c>
      <c r="LP561" s="27" t="s">
        <v>7</v>
      </c>
      <c r="LQ561" s="27" t="s">
        <v>8</v>
      </c>
      <c r="ME561" s="27" t="s">
        <v>8</v>
      </c>
      <c r="NP561" s="27" t="s">
        <v>7</v>
      </c>
      <c r="NQ561" s="27" t="s">
        <v>8</v>
      </c>
      <c r="NR561" s="27" t="s">
        <v>7</v>
      </c>
      <c r="NS561" s="27" t="s">
        <v>8</v>
      </c>
      <c r="NT561" s="27" t="s">
        <v>7</v>
      </c>
      <c r="OA561" s="27" t="s">
        <v>8</v>
      </c>
    </row>
    <row r="562" spans="1:391" x14ac:dyDescent="0.25">
      <c r="A562" s="7">
        <v>1.6406059944647307</v>
      </c>
      <c r="B562"/>
      <c r="C562"/>
      <c r="D562"/>
      <c r="E562"/>
      <c r="LM562" s="27" t="s">
        <v>8</v>
      </c>
      <c r="LN562" s="27" t="s">
        <v>7</v>
      </c>
      <c r="LO562" s="27" t="s">
        <v>8</v>
      </c>
      <c r="LP562" s="27" t="s">
        <v>7</v>
      </c>
      <c r="LQ562" s="27" t="s">
        <v>8</v>
      </c>
      <c r="LR562" s="27" t="s">
        <v>7</v>
      </c>
      <c r="ME562" s="27" t="s">
        <v>8</v>
      </c>
      <c r="NP562" s="27" t="s">
        <v>7</v>
      </c>
      <c r="NQ562" s="27" t="s">
        <v>8</v>
      </c>
      <c r="NR562" s="27" t="s">
        <v>7</v>
      </c>
      <c r="NS562" s="27" t="s">
        <v>8</v>
      </c>
      <c r="NT562" s="27" t="s">
        <v>7</v>
      </c>
      <c r="OA562" s="27" t="s">
        <v>8</v>
      </c>
    </row>
    <row r="563" spans="1:391" x14ac:dyDescent="0.25">
      <c r="A563" s="7">
        <v>1.6084372494752261</v>
      </c>
      <c r="B563"/>
      <c r="C563"/>
      <c r="D563"/>
      <c r="E563"/>
      <c r="LM563" s="27" t="s">
        <v>8</v>
      </c>
      <c r="LN563" s="27" t="s">
        <v>7</v>
      </c>
      <c r="LO563" s="27" t="s">
        <v>8</v>
      </c>
      <c r="LP563" s="27" t="s">
        <v>7</v>
      </c>
      <c r="LQ563" s="27" t="s">
        <v>8</v>
      </c>
      <c r="LR563" s="27" t="s">
        <v>7</v>
      </c>
      <c r="ME563" s="27" t="s">
        <v>8</v>
      </c>
      <c r="NP563" s="27" t="s">
        <v>7</v>
      </c>
      <c r="NQ563" s="27" t="s">
        <v>8</v>
      </c>
      <c r="NR563" s="27" t="s">
        <v>7</v>
      </c>
      <c r="NS563" s="27" t="s">
        <v>8</v>
      </c>
      <c r="NT563" s="27" t="s">
        <v>7</v>
      </c>
      <c r="OA563" s="27" t="s">
        <v>8</v>
      </c>
    </row>
    <row r="564" spans="1:391" x14ac:dyDescent="0.25">
      <c r="A564" s="7">
        <v>1.5768992641913981</v>
      </c>
      <c r="B564"/>
      <c r="C564"/>
      <c r="D564"/>
      <c r="E564"/>
      <c r="LM564" s="27" t="s">
        <v>8</v>
      </c>
      <c r="LN564" s="27" t="s">
        <v>7</v>
      </c>
      <c r="LO564" s="27" t="s">
        <v>8</v>
      </c>
      <c r="LP564" s="27" t="s">
        <v>7</v>
      </c>
      <c r="LQ564" s="27" t="s">
        <v>8</v>
      </c>
      <c r="LR564" s="27" t="s">
        <v>7</v>
      </c>
      <c r="ME564" s="27" t="s">
        <v>8</v>
      </c>
      <c r="NP564" s="27" t="s">
        <v>7</v>
      </c>
      <c r="NQ564" s="27" t="s">
        <v>8</v>
      </c>
      <c r="NR564" s="27" t="s">
        <v>7</v>
      </c>
      <c r="NS564" s="27" t="s">
        <v>8</v>
      </c>
      <c r="NT564" s="27" t="s">
        <v>7</v>
      </c>
      <c r="NW564" s="27" t="s">
        <v>8</v>
      </c>
      <c r="OA564" s="27" t="s">
        <v>8</v>
      </c>
    </row>
    <row r="565" spans="1:391" x14ac:dyDescent="0.25">
      <c r="A565" s="7">
        <v>1.5459796707758806</v>
      </c>
      <c r="B565"/>
      <c r="C565"/>
      <c r="D565"/>
      <c r="E565"/>
      <c r="LM565" s="27" t="s">
        <v>8</v>
      </c>
      <c r="LN565" s="27" t="s">
        <v>7</v>
      </c>
      <c r="LO565" s="27" t="s">
        <v>8</v>
      </c>
      <c r="LP565" s="27" t="s">
        <v>7</v>
      </c>
      <c r="LQ565" s="27" t="s">
        <v>8</v>
      </c>
      <c r="LR565" s="27" t="s">
        <v>7</v>
      </c>
      <c r="MC565" s="27" t="s">
        <v>8</v>
      </c>
      <c r="ME565" s="27" t="s">
        <v>8</v>
      </c>
      <c r="NP565" s="27" t="s">
        <v>7</v>
      </c>
      <c r="NQ565" s="27" t="s">
        <v>8</v>
      </c>
      <c r="NR565" s="27" t="s">
        <v>7</v>
      </c>
      <c r="NS565" s="27" t="s">
        <v>8</v>
      </c>
      <c r="NT565" s="27" t="s">
        <v>7</v>
      </c>
      <c r="NU565" s="27" t="s">
        <v>8</v>
      </c>
      <c r="NW565" s="27" t="s">
        <v>8</v>
      </c>
      <c r="NX565" s="27" t="s">
        <v>7</v>
      </c>
      <c r="OA565" s="27" t="s">
        <v>8</v>
      </c>
    </row>
    <row r="566" spans="1:391" x14ac:dyDescent="0.25">
      <c r="A566" s="7">
        <v>1.5156663438979221</v>
      </c>
      <c r="B566"/>
      <c r="C566"/>
      <c r="D566"/>
      <c r="E566"/>
      <c r="LM566" s="27" t="s">
        <v>8</v>
      </c>
      <c r="LN566" s="27" t="s">
        <v>7</v>
      </c>
      <c r="LO566" s="27" t="s">
        <v>8</v>
      </c>
      <c r="LP566" s="27" t="s">
        <v>7</v>
      </c>
      <c r="LQ566" s="27" t="s">
        <v>8</v>
      </c>
      <c r="LR566" s="27" t="s">
        <v>7</v>
      </c>
      <c r="LS566" s="27" t="s">
        <v>8</v>
      </c>
      <c r="MC566" s="27" t="s">
        <v>8</v>
      </c>
      <c r="MD566" s="27" t="s">
        <v>7</v>
      </c>
      <c r="ME566" s="27" t="s">
        <v>8</v>
      </c>
      <c r="NP566" s="27" t="s">
        <v>7</v>
      </c>
      <c r="NQ566" s="27" t="s">
        <v>8</v>
      </c>
      <c r="NR566" s="27" t="s">
        <v>7</v>
      </c>
      <c r="NS566" s="27" t="s">
        <v>8</v>
      </c>
      <c r="NT566" s="27" t="s">
        <v>7</v>
      </c>
      <c r="NU566" s="27" t="s">
        <v>8</v>
      </c>
      <c r="NV566" s="27" t="s">
        <v>7</v>
      </c>
      <c r="NW566" s="27" t="s">
        <v>8</v>
      </c>
      <c r="NX566" s="27" t="s">
        <v>7</v>
      </c>
      <c r="NY566" s="27" t="s">
        <v>8</v>
      </c>
      <c r="OA566" s="27" t="s">
        <v>8</v>
      </c>
    </row>
    <row r="567" spans="1:391" x14ac:dyDescent="0.25">
      <c r="A567" s="7">
        <v>1.4859473959783549</v>
      </c>
      <c r="B567"/>
      <c r="C567"/>
      <c r="D567"/>
      <c r="E567"/>
      <c r="LM567" s="27" t="s">
        <v>8</v>
      </c>
      <c r="LN567" s="27" t="s">
        <v>7</v>
      </c>
      <c r="LO567" s="27" t="s">
        <v>8</v>
      </c>
      <c r="LP567" s="27" t="s">
        <v>7</v>
      </c>
      <c r="LQ567" s="27" t="s">
        <v>8</v>
      </c>
      <c r="LR567" s="27" t="s">
        <v>7</v>
      </c>
      <c r="LS567" s="27" t="s">
        <v>8</v>
      </c>
      <c r="LT567" s="27" t="s">
        <v>7</v>
      </c>
      <c r="LU567" s="27" t="s">
        <v>8</v>
      </c>
      <c r="MC567" s="27" t="s">
        <v>8</v>
      </c>
      <c r="MD567" s="27" t="s">
        <v>7</v>
      </c>
      <c r="ME567" s="27" t="s">
        <v>8</v>
      </c>
      <c r="NP567" s="27" t="s">
        <v>7</v>
      </c>
      <c r="NQ567" s="27" t="s">
        <v>8</v>
      </c>
      <c r="NR567" s="27" t="s">
        <v>7</v>
      </c>
      <c r="NS567" s="27" t="s">
        <v>8</v>
      </c>
      <c r="NT567" s="27" t="s">
        <v>7</v>
      </c>
      <c r="NU567" s="27" t="s">
        <v>8</v>
      </c>
      <c r="NV567" s="27" t="s">
        <v>7</v>
      </c>
      <c r="NW567" s="27" t="s">
        <v>8</v>
      </c>
      <c r="NX567" s="27" t="s">
        <v>7</v>
      </c>
      <c r="NY567" s="27" t="s">
        <v>8</v>
      </c>
      <c r="NZ567" s="27" t="s">
        <v>7</v>
      </c>
      <c r="OA567" s="27" t="s">
        <v>8</v>
      </c>
    </row>
    <row r="568" spans="1:391" x14ac:dyDescent="0.25">
      <c r="A568" s="7">
        <v>1.4568111725277988</v>
      </c>
      <c r="B568"/>
      <c r="C568"/>
      <c r="D568"/>
      <c r="E568"/>
      <c r="LM568" s="27" t="s">
        <v>8</v>
      </c>
      <c r="LN568" s="27" t="s">
        <v>7</v>
      </c>
      <c r="LO568" s="27" t="s">
        <v>8</v>
      </c>
      <c r="LP568" s="27" t="s">
        <v>7</v>
      </c>
      <c r="LQ568" s="27" t="s">
        <v>8</v>
      </c>
      <c r="LR568" s="27" t="s">
        <v>7</v>
      </c>
      <c r="LS568" s="27" t="s">
        <v>8</v>
      </c>
      <c r="LT568" s="27" t="s">
        <v>7</v>
      </c>
      <c r="LU568" s="27" t="s">
        <v>8</v>
      </c>
      <c r="LV568" s="27" t="s">
        <v>7</v>
      </c>
      <c r="MC568" s="27" t="s">
        <v>8</v>
      </c>
      <c r="MD568" s="27" t="s">
        <v>7</v>
      </c>
      <c r="ME568" s="27" t="s">
        <v>8</v>
      </c>
      <c r="NP568" s="27" t="s">
        <v>7</v>
      </c>
      <c r="NQ568" s="27" t="s">
        <v>8</v>
      </c>
      <c r="NR568" s="27" t="s">
        <v>7</v>
      </c>
      <c r="NS568" s="27" t="s">
        <v>8</v>
      </c>
      <c r="NT568" s="27" t="s">
        <v>7</v>
      </c>
      <c r="NU568" s="27" t="s">
        <v>8</v>
      </c>
      <c r="NV568" s="27" t="s">
        <v>7</v>
      </c>
      <c r="NW568" s="27" t="s">
        <v>8</v>
      </c>
      <c r="NX568" s="27" t="s">
        <v>7</v>
      </c>
      <c r="NY568" s="27" t="s">
        <v>8</v>
      </c>
      <c r="NZ568" s="27" t="s">
        <v>7</v>
      </c>
      <c r="OA568" s="27" t="s">
        <v>8</v>
      </c>
    </row>
    <row r="569" spans="1:391" x14ac:dyDescent="0.25">
      <c r="A569" s="7">
        <v>1.4282462475762734</v>
      </c>
      <c r="B569"/>
      <c r="C569"/>
      <c r="D569"/>
      <c r="E569"/>
      <c r="LM569" s="27" t="s">
        <v>8</v>
      </c>
      <c r="LN569" s="27" t="s">
        <v>7</v>
      </c>
      <c r="LO569" s="27" t="s">
        <v>8</v>
      </c>
      <c r="LP569" s="27" t="s">
        <v>7</v>
      </c>
      <c r="LR569" s="27" t="s">
        <v>7</v>
      </c>
      <c r="LS569" s="27" t="s">
        <v>8</v>
      </c>
      <c r="LT569" s="27" t="s">
        <v>7</v>
      </c>
      <c r="LU569" s="27" t="s">
        <v>8</v>
      </c>
      <c r="LV569" s="27" t="s">
        <v>7</v>
      </c>
      <c r="MC569" s="27" t="s">
        <v>8</v>
      </c>
      <c r="MD569" s="27" t="s">
        <v>7</v>
      </c>
      <c r="ME569" s="27" t="s">
        <v>8</v>
      </c>
      <c r="NP569" s="27" t="s">
        <v>7</v>
      </c>
      <c r="NQ569" s="27" t="s">
        <v>8</v>
      </c>
      <c r="NR569" s="27" t="s">
        <v>7</v>
      </c>
      <c r="NS569" s="27" t="s">
        <v>8</v>
      </c>
      <c r="NT569" s="27" t="s">
        <v>7</v>
      </c>
      <c r="NU569" s="27" t="s">
        <v>8</v>
      </c>
      <c r="NV569" s="27" t="s">
        <v>7</v>
      </c>
      <c r="NW569" s="27" t="s">
        <v>8</v>
      </c>
      <c r="NX569" s="27" t="s">
        <v>7</v>
      </c>
      <c r="NY569" s="27" t="s">
        <v>8</v>
      </c>
      <c r="NZ569" s="27" t="s">
        <v>7</v>
      </c>
      <c r="OA569" s="27" t="s">
        <v>8</v>
      </c>
    </row>
    <row r="570" spans="1:391" x14ac:dyDescent="0.25">
      <c r="A570" s="7">
        <v>1.4002414191924248</v>
      </c>
      <c r="B570"/>
      <c r="C570"/>
      <c r="D570"/>
      <c r="E570"/>
      <c r="LM570" s="27" t="s">
        <v>8</v>
      </c>
      <c r="LN570" s="27" t="s">
        <v>7</v>
      </c>
      <c r="LO570" s="27" t="s">
        <v>8</v>
      </c>
      <c r="LR570" s="27" t="s">
        <v>7</v>
      </c>
      <c r="LS570" s="27" t="s">
        <v>8</v>
      </c>
      <c r="LT570" s="27" t="s">
        <v>7</v>
      </c>
      <c r="LU570" s="27" t="s">
        <v>8</v>
      </c>
      <c r="LV570" s="27" t="s">
        <v>7</v>
      </c>
      <c r="MC570" s="27" t="s">
        <v>8</v>
      </c>
      <c r="MD570" s="27" t="s">
        <v>7</v>
      </c>
      <c r="ME570" s="27" t="s">
        <v>8</v>
      </c>
      <c r="NP570" s="27" t="s">
        <v>7</v>
      </c>
      <c r="NQ570" s="27" t="s">
        <v>8</v>
      </c>
      <c r="NR570" s="27" t="s">
        <v>7</v>
      </c>
      <c r="NS570" s="27" t="s">
        <v>8</v>
      </c>
      <c r="NT570" s="27" t="s">
        <v>7</v>
      </c>
      <c r="NV570" s="27" t="s">
        <v>7</v>
      </c>
      <c r="NW570" s="27" t="s">
        <v>8</v>
      </c>
      <c r="NX570" s="27" t="s">
        <v>7</v>
      </c>
      <c r="NY570" s="27" t="s">
        <v>8</v>
      </c>
      <c r="NZ570" s="27" t="s">
        <v>7</v>
      </c>
      <c r="OA570" s="27" t="s">
        <v>8</v>
      </c>
    </row>
    <row r="571" spans="1:391" x14ac:dyDescent="0.25">
      <c r="A571" s="7">
        <v>1.3727857050906125</v>
      </c>
      <c r="B571"/>
      <c r="C571"/>
      <c r="D571"/>
      <c r="E571"/>
      <c r="LM571" s="27" t="s">
        <v>8</v>
      </c>
      <c r="LN571" s="27" t="s">
        <v>7</v>
      </c>
      <c r="LO571" s="27" t="s">
        <v>8</v>
      </c>
      <c r="LR571" s="27" t="s">
        <v>7</v>
      </c>
      <c r="LS571" s="27" t="s">
        <v>8</v>
      </c>
      <c r="LT571" s="27" t="s">
        <v>7</v>
      </c>
      <c r="LU571" s="27" t="s">
        <v>8</v>
      </c>
      <c r="LV571" s="27" t="s">
        <v>7</v>
      </c>
      <c r="LY571" s="27" t="s">
        <v>8</v>
      </c>
      <c r="MA571" s="27" t="s">
        <v>8</v>
      </c>
      <c r="MC571" s="27" t="s">
        <v>8</v>
      </c>
      <c r="MD571" s="27" t="s">
        <v>7</v>
      </c>
      <c r="ME571" s="27" t="s">
        <v>8</v>
      </c>
      <c r="NP571" s="27" t="s">
        <v>7</v>
      </c>
      <c r="NQ571" s="27" t="s">
        <v>8</v>
      </c>
      <c r="NR571" s="27" t="s">
        <v>7</v>
      </c>
      <c r="NS571" s="27" t="s">
        <v>8</v>
      </c>
      <c r="NV571" s="27" t="s">
        <v>7</v>
      </c>
      <c r="NW571" s="27" t="s">
        <v>8</v>
      </c>
      <c r="NX571" s="27" t="s">
        <v>7</v>
      </c>
      <c r="NY571" s="27" t="s">
        <v>8</v>
      </c>
      <c r="NZ571" s="27" t="s">
        <v>7</v>
      </c>
      <c r="OA571" s="27" t="s">
        <v>8</v>
      </c>
    </row>
    <row r="572" spans="1:391" x14ac:dyDescent="0.25">
      <c r="A572" s="7">
        <v>1.3458683383241299</v>
      </c>
      <c r="B572"/>
      <c r="C572"/>
      <c r="D572"/>
      <c r="E572"/>
      <c r="LM572" s="27" t="s">
        <v>8</v>
      </c>
      <c r="LN572" s="27" t="s">
        <v>7</v>
      </c>
      <c r="LO572" s="27" t="s">
        <v>8</v>
      </c>
      <c r="LR572" s="27" t="s">
        <v>7</v>
      </c>
      <c r="LS572" s="27" t="s">
        <v>8</v>
      </c>
      <c r="LT572" s="27" t="s">
        <v>7</v>
      </c>
      <c r="LU572" s="27" t="s">
        <v>8</v>
      </c>
      <c r="LV572" s="27" t="s">
        <v>7</v>
      </c>
      <c r="LY572" s="27" t="s">
        <v>8</v>
      </c>
      <c r="LZ572" s="27" t="s">
        <v>7</v>
      </c>
      <c r="MA572" s="27" t="s">
        <v>8</v>
      </c>
      <c r="MB572" s="27" t="s">
        <v>7</v>
      </c>
      <c r="MC572" s="27" t="s">
        <v>8</v>
      </c>
      <c r="MD572" s="27" t="s">
        <v>7</v>
      </c>
      <c r="NP572" s="27" t="s">
        <v>7</v>
      </c>
      <c r="NQ572" s="27" t="s">
        <v>8</v>
      </c>
      <c r="NR572" s="27" t="s">
        <v>7</v>
      </c>
      <c r="NV572" s="27" t="s">
        <v>7</v>
      </c>
      <c r="NW572" s="27" t="s">
        <v>8</v>
      </c>
      <c r="NX572" s="27" t="s">
        <v>7</v>
      </c>
      <c r="NZ572" s="27" t="s">
        <v>7</v>
      </c>
      <c r="OA572" s="27" t="s">
        <v>8</v>
      </c>
    </row>
    <row r="573" spans="1:391" x14ac:dyDescent="0.25">
      <c r="A573" s="7">
        <v>1.3194787630628724</v>
      </c>
      <c r="B573"/>
      <c r="C573"/>
      <c r="D573"/>
      <c r="E573"/>
      <c r="LM573" s="27" t="s">
        <v>8</v>
      </c>
      <c r="LN573" s="27" t="s">
        <v>7</v>
      </c>
      <c r="LO573" s="27" t="s">
        <v>8</v>
      </c>
      <c r="LR573" s="27" t="s">
        <v>7</v>
      </c>
      <c r="LS573" s="27" t="s">
        <v>8</v>
      </c>
      <c r="LT573" s="27" t="s">
        <v>7</v>
      </c>
      <c r="LU573" s="27" t="s">
        <v>8</v>
      </c>
      <c r="LV573" s="27" t="s">
        <v>7</v>
      </c>
      <c r="LY573" s="27" t="s">
        <v>8</v>
      </c>
      <c r="LZ573" s="27" t="s">
        <v>7</v>
      </c>
      <c r="MA573" s="27" t="s">
        <v>8</v>
      </c>
      <c r="MB573" s="27" t="s">
        <v>7</v>
      </c>
      <c r="MC573" s="27" t="s">
        <v>8</v>
      </c>
      <c r="NP573" s="27" t="s">
        <v>7</v>
      </c>
      <c r="NQ573" s="27" t="s">
        <v>8</v>
      </c>
      <c r="NV573" s="27" t="s">
        <v>7</v>
      </c>
      <c r="NW573" s="27" t="s">
        <v>8</v>
      </c>
      <c r="NZ573" s="27" t="s">
        <v>7</v>
      </c>
    </row>
    <row r="574" spans="1:391" x14ac:dyDescent="0.25">
      <c r="A574" s="7">
        <v>1.2936066304537963</v>
      </c>
      <c r="B574"/>
      <c r="C574"/>
      <c r="D574"/>
      <c r="E574"/>
      <c r="LM574" s="27" t="s">
        <v>8</v>
      </c>
      <c r="LN574" s="27" t="s">
        <v>7</v>
      </c>
      <c r="LO574" s="27" t="s">
        <v>8</v>
      </c>
      <c r="LR574" s="27" t="s">
        <v>7</v>
      </c>
      <c r="LS574" s="27" t="s">
        <v>8</v>
      </c>
      <c r="LT574" s="27" t="s">
        <v>7</v>
      </c>
      <c r="LU574" s="27" t="s">
        <v>8</v>
      </c>
      <c r="LV574" s="27" t="s">
        <v>7</v>
      </c>
      <c r="LW574" s="27" t="s">
        <v>8</v>
      </c>
      <c r="LY574" s="27" t="s">
        <v>8</v>
      </c>
      <c r="LZ574" s="27" t="s">
        <v>7</v>
      </c>
      <c r="MA574" s="27" t="s">
        <v>8</v>
      </c>
      <c r="MB574" s="27" t="s">
        <v>7</v>
      </c>
      <c r="MC574" s="27" t="s">
        <v>8</v>
      </c>
      <c r="NP574" s="27" t="s">
        <v>7</v>
      </c>
      <c r="NQ574" s="27" t="s">
        <v>8</v>
      </c>
      <c r="NV574" s="27" t="s">
        <v>7</v>
      </c>
      <c r="NW574" s="27" t="s">
        <v>8</v>
      </c>
    </row>
    <row r="575" spans="1:391" x14ac:dyDescent="0.25">
      <c r="A575" s="7">
        <v>1.2682417945625455</v>
      </c>
      <c r="B575"/>
      <c r="C575"/>
      <c r="D575"/>
      <c r="E575"/>
      <c r="LM575" s="27" t="s">
        <v>8</v>
      </c>
      <c r="LN575" s="27" t="s">
        <v>7</v>
      </c>
      <c r="LR575" s="27" t="s">
        <v>7</v>
      </c>
      <c r="LS575" s="27" t="s">
        <v>8</v>
      </c>
      <c r="LT575" s="27" t="s">
        <v>7</v>
      </c>
      <c r="LU575" s="27" t="s">
        <v>8</v>
      </c>
      <c r="LV575" s="27" t="s">
        <v>7</v>
      </c>
      <c r="LW575" s="27" t="s">
        <v>8</v>
      </c>
      <c r="LX575" s="27" t="s">
        <v>7</v>
      </c>
      <c r="LY575" s="27" t="s">
        <v>8</v>
      </c>
      <c r="LZ575" s="27" t="s">
        <v>7</v>
      </c>
      <c r="MA575" s="27" t="s">
        <v>8</v>
      </c>
      <c r="MB575" s="27" t="s">
        <v>7</v>
      </c>
      <c r="MC575" s="27" t="s">
        <v>8</v>
      </c>
      <c r="NP575" s="27" t="s">
        <v>7</v>
      </c>
      <c r="NQ575" s="27" t="s">
        <v>8</v>
      </c>
      <c r="NV575" s="27" t="s">
        <v>7</v>
      </c>
      <c r="NW575" s="27" t="s">
        <v>8</v>
      </c>
    </row>
    <row r="576" spans="1:391" x14ac:dyDescent="0.25">
      <c r="A576" s="7">
        <v>1.2433743083946525</v>
      </c>
      <c r="B576"/>
      <c r="C576"/>
      <c r="D576"/>
      <c r="E576"/>
      <c r="LM576" s="27" t="s">
        <v>8</v>
      </c>
      <c r="LR576" s="27" t="s">
        <v>7</v>
      </c>
      <c r="LS576" s="27" t="s">
        <v>8</v>
      </c>
      <c r="LT576" s="27" t="s">
        <v>7</v>
      </c>
      <c r="LV576" s="27" t="s">
        <v>7</v>
      </c>
      <c r="LW576" s="27" t="s">
        <v>8</v>
      </c>
      <c r="LX576" s="27" t="s">
        <v>7</v>
      </c>
      <c r="LY576" s="27" t="s">
        <v>8</v>
      </c>
      <c r="LZ576" s="27" t="s">
        <v>7</v>
      </c>
      <c r="MA576" s="27" t="s">
        <v>8</v>
      </c>
      <c r="MB576" s="27" t="s">
        <v>7</v>
      </c>
      <c r="MC576" s="27" t="s">
        <v>8</v>
      </c>
      <c r="NP576" s="27" t="s">
        <v>7</v>
      </c>
      <c r="NQ576" s="27" t="s">
        <v>8</v>
      </c>
      <c r="NV576" s="27" t="s">
        <v>7</v>
      </c>
    </row>
    <row r="577" spans="1:381" x14ac:dyDescent="0.25">
      <c r="A577" s="7">
        <v>1.2189944199947573</v>
      </c>
      <c r="B577"/>
      <c r="C577"/>
      <c r="D577"/>
      <c r="E577"/>
      <c r="LM577" s="27" t="s">
        <v>8</v>
      </c>
      <c r="LR577" s="27" t="s">
        <v>7</v>
      </c>
      <c r="LS577" s="27" t="s">
        <v>8</v>
      </c>
      <c r="LV577" s="27" t="s">
        <v>7</v>
      </c>
      <c r="LW577" s="27" t="s">
        <v>8</v>
      </c>
      <c r="LX577" s="27" t="s">
        <v>7</v>
      </c>
      <c r="LY577" s="27" t="s">
        <v>8</v>
      </c>
      <c r="LZ577" s="27" t="s">
        <v>7</v>
      </c>
      <c r="MA577" s="27" t="s">
        <v>8</v>
      </c>
      <c r="MB577" s="27" t="s">
        <v>7</v>
      </c>
      <c r="MC577" s="27" t="s">
        <v>8</v>
      </c>
      <c r="NP577" s="27" t="s">
        <v>7</v>
      </c>
      <c r="NQ577" s="27" t="s">
        <v>8</v>
      </c>
    </row>
    <row r="578" spans="1:381" x14ac:dyDescent="0.25">
      <c r="A578" s="7">
        <v>1.1950925686223111</v>
      </c>
      <c r="B578"/>
      <c r="C578"/>
      <c r="D578"/>
      <c r="E578"/>
      <c r="LM578" s="27" t="s">
        <v>8</v>
      </c>
      <c r="LR578" s="27" t="s">
        <v>7</v>
      </c>
      <c r="LS578" s="27" t="s">
        <v>8</v>
      </c>
      <c r="LV578" s="27" t="s">
        <v>7</v>
      </c>
      <c r="LW578" s="27" t="s">
        <v>8</v>
      </c>
      <c r="LX578" s="27" t="s">
        <v>7</v>
      </c>
      <c r="LY578" s="27" t="s">
        <v>8</v>
      </c>
      <c r="LZ578" s="27" t="s">
        <v>7</v>
      </c>
      <c r="MA578" s="27" t="s">
        <v>8</v>
      </c>
      <c r="MB578" s="27" t="s">
        <v>7</v>
      </c>
      <c r="MC578" s="27" t="s">
        <v>8</v>
      </c>
      <c r="NP578" s="27" t="s">
        <v>7</v>
      </c>
      <c r="NQ578" s="27" t="s">
        <v>8</v>
      </c>
    </row>
    <row r="579" spans="1:381" x14ac:dyDescent="0.25">
      <c r="A579" s="7">
        <v>1.1716593810022657</v>
      </c>
      <c r="B579"/>
      <c r="C579"/>
      <c r="D579"/>
      <c r="E579"/>
      <c r="LM579" s="27" t="s">
        <v>8</v>
      </c>
      <c r="LR579" s="27" t="s">
        <v>7</v>
      </c>
      <c r="LS579" s="27" t="s">
        <v>8</v>
      </c>
      <c r="LV579" s="27" t="s">
        <v>7</v>
      </c>
      <c r="LW579" s="27" t="s">
        <v>8</v>
      </c>
      <c r="LX579" s="27" t="s">
        <v>7</v>
      </c>
      <c r="LY579" s="27" t="s">
        <v>8</v>
      </c>
      <c r="LZ579" s="27" t="s">
        <v>7</v>
      </c>
      <c r="MA579" s="27" t="s">
        <v>8</v>
      </c>
      <c r="MB579" s="27" t="s">
        <v>7</v>
      </c>
      <c r="NP579" s="27" t="s">
        <v>7</v>
      </c>
    </row>
    <row r="580" spans="1:381" x14ac:dyDescent="0.25">
      <c r="A580" s="7">
        <v>1.14868566764928</v>
      </c>
      <c r="B580"/>
      <c r="C580"/>
      <c r="D580"/>
      <c r="E580"/>
      <c r="LM580" s="27" t="s">
        <v>8</v>
      </c>
      <c r="LR580" s="27" t="s">
        <v>7</v>
      </c>
      <c r="LV580" s="27" t="s">
        <v>7</v>
      </c>
      <c r="LW580" s="27" t="s">
        <v>8</v>
      </c>
      <c r="LX580" s="27" t="s">
        <v>7</v>
      </c>
      <c r="LY580" s="27" t="s">
        <v>8</v>
      </c>
      <c r="LZ580" s="27" t="s">
        <v>7</v>
      </c>
      <c r="MA580" s="27" t="s">
        <v>8</v>
      </c>
    </row>
    <row r="581" spans="1:381" x14ac:dyDescent="0.25">
      <c r="A581" s="7">
        <v>1.1261624192640001</v>
      </c>
      <c r="B581"/>
      <c r="C581"/>
      <c r="D581"/>
      <c r="E581"/>
      <c r="LM581" s="27" t="s">
        <v>8</v>
      </c>
      <c r="LV581" s="27" t="s">
        <v>7</v>
      </c>
      <c r="LW581" s="27" t="s">
        <v>8</v>
      </c>
      <c r="LX581" s="27" t="s">
        <v>7</v>
      </c>
      <c r="LY581" s="27" t="s">
        <v>8</v>
      </c>
      <c r="LZ581" s="27" t="s">
        <v>7</v>
      </c>
      <c r="MA581" s="27" t="s">
        <v>8</v>
      </c>
    </row>
    <row r="582" spans="1:381" x14ac:dyDescent="0.25">
      <c r="A582" s="7">
        <v>1.1040808032</v>
      </c>
      <c r="B582"/>
      <c r="C582"/>
      <c r="D582"/>
      <c r="E582"/>
      <c r="LM582" s="27" t="s">
        <v>8</v>
      </c>
      <c r="LV582" s="27" t="s">
        <v>7</v>
      </c>
      <c r="LW582" s="27" t="s">
        <v>8</v>
      </c>
      <c r="LX582" s="27" t="s">
        <v>7</v>
      </c>
      <c r="LY582" s="27" t="s">
        <v>8</v>
      </c>
      <c r="LZ582" s="27" t="s">
        <v>7</v>
      </c>
    </row>
    <row r="583" spans="1:381" x14ac:dyDescent="0.25">
      <c r="A583" s="7">
        <v>1.08243216</v>
      </c>
      <c r="B583"/>
      <c r="C583"/>
      <c r="D583"/>
      <c r="E583"/>
      <c r="LM583" s="27" t="s">
        <v>8</v>
      </c>
      <c r="LV583" s="27" t="s">
        <v>7</v>
      </c>
      <c r="LW583" s="27" t="s">
        <v>8</v>
      </c>
      <c r="LX583" s="27" t="s">
        <v>7</v>
      </c>
      <c r="LY583" s="27" t="s">
        <v>8</v>
      </c>
    </row>
    <row r="584" spans="1:381" x14ac:dyDescent="0.25">
      <c r="A584" s="7">
        <v>1.0612079999999999</v>
      </c>
      <c r="B584"/>
      <c r="C584"/>
      <c r="D584"/>
      <c r="E584"/>
      <c r="LM584" s="27" t="s">
        <v>8</v>
      </c>
      <c r="LV584" s="27" t="s">
        <v>7</v>
      </c>
      <c r="LW584" s="27" t="s">
        <v>8</v>
      </c>
      <c r="LX584" s="27" t="s">
        <v>7</v>
      </c>
    </row>
    <row r="585" spans="1:381" x14ac:dyDescent="0.25">
      <c r="A585" s="7">
        <v>1.0404</v>
      </c>
      <c r="B585"/>
      <c r="C585"/>
      <c r="D585"/>
      <c r="E585"/>
      <c r="LM585" s="27" t="s">
        <v>8</v>
      </c>
      <c r="LV585" s="27" t="s">
        <v>7</v>
      </c>
      <c r="LW585" s="27" t="s">
        <v>8</v>
      </c>
    </row>
    <row r="586" spans="1:381" x14ac:dyDescent="0.25">
      <c r="A586" s="7">
        <v>1.02</v>
      </c>
      <c r="B586"/>
      <c r="C586"/>
      <c r="D586"/>
      <c r="E586"/>
      <c r="LM586" s="27" t="s">
        <v>8</v>
      </c>
      <c r="LV586" s="27" t="s">
        <v>7</v>
      </c>
      <c r="LW586" s="27" t="s">
        <v>8</v>
      </c>
    </row>
    <row r="587" spans="1:381" x14ac:dyDescent="0.25">
      <c r="A587" s="7">
        <v>1</v>
      </c>
      <c r="B587"/>
      <c r="C587"/>
      <c r="D587"/>
      <c r="E587" s="29" t="s">
        <v>8</v>
      </c>
      <c r="LM587" s="27" t="s">
        <v>8</v>
      </c>
      <c r="LV587" s="27" t="s">
        <v>7</v>
      </c>
      <c r="LW587" s="27" t="s">
        <v>8</v>
      </c>
    </row>
    <row r="588" spans="1:381" x14ac:dyDescent="0.25">
      <c r="A588" s="7">
        <v>0.98039215686274506</v>
      </c>
      <c r="B588"/>
      <c r="C588"/>
      <c r="D588"/>
      <c r="E588"/>
      <c r="F588" s="27" t="s">
        <v>7</v>
      </c>
      <c r="LM588" s="27" t="s">
        <v>8</v>
      </c>
      <c r="LV588" s="27" t="s">
        <v>7</v>
      </c>
      <c r="LW588" s="27" t="s">
        <v>8</v>
      </c>
    </row>
    <row r="589" spans="1:381" x14ac:dyDescent="0.25">
      <c r="A589" s="7">
        <v>0.96116878123798544</v>
      </c>
      <c r="B589"/>
      <c r="C589"/>
      <c r="D589"/>
      <c r="E589"/>
      <c r="F589" s="27" t="s">
        <v>7</v>
      </c>
      <c r="LK589" s="27" t="s">
        <v>8</v>
      </c>
      <c r="LM589" s="27" t="s">
        <v>8</v>
      </c>
      <c r="LV589" s="27" t="s">
        <v>7</v>
      </c>
      <c r="LW589" s="27" t="s">
        <v>8</v>
      </c>
    </row>
    <row r="590" spans="1:381" x14ac:dyDescent="0.25">
      <c r="A590" s="7">
        <v>0.94232233454704462</v>
      </c>
      <c r="B590"/>
      <c r="C590"/>
      <c r="D590"/>
      <c r="E590"/>
      <c r="F590" s="27" t="s">
        <v>7</v>
      </c>
      <c r="LK590" s="27" t="s">
        <v>8</v>
      </c>
      <c r="LL590" s="27" t="s">
        <v>7</v>
      </c>
      <c r="LM590" s="27" t="s">
        <v>8</v>
      </c>
      <c r="LV590" s="27" t="s">
        <v>7</v>
      </c>
    </row>
    <row r="591" spans="1:381" x14ac:dyDescent="0.25">
      <c r="A591" s="7">
        <v>0.92384542602651432</v>
      </c>
      <c r="B591"/>
      <c r="C591"/>
      <c r="D591"/>
      <c r="E591"/>
      <c r="F591" s="27" t="s">
        <v>7</v>
      </c>
      <c r="JE591" s="27" t="s">
        <v>8</v>
      </c>
      <c r="LK591" s="27" t="s">
        <v>8</v>
      </c>
      <c r="LL591" s="27" t="s">
        <v>7</v>
      </c>
      <c r="LM591" s="27" t="s">
        <v>8</v>
      </c>
    </row>
    <row r="592" spans="1:381" x14ac:dyDescent="0.25">
      <c r="A592" s="7">
        <v>0.90573080982991594</v>
      </c>
      <c r="B592"/>
      <c r="C592"/>
      <c r="D592"/>
      <c r="E592"/>
      <c r="F592" s="27" t="s">
        <v>7</v>
      </c>
      <c r="JE592" s="27" t="s">
        <v>8</v>
      </c>
      <c r="JF592" s="27" t="s">
        <v>7</v>
      </c>
      <c r="LI592" s="27" t="s">
        <v>8</v>
      </c>
      <c r="LK592" s="27" t="s">
        <v>8</v>
      </c>
      <c r="LL592" s="27" t="s">
        <v>7</v>
      </c>
      <c r="LM592" s="27" t="s">
        <v>8</v>
      </c>
    </row>
    <row r="593" spans="1:325" x14ac:dyDescent="0.25">
      <c r="A593" s="7">
        <v>0.8879713821861922</v>
      </c>
      <c r="B593"/>
      <c r="C593"/>
      <c r="D593"/>
      <c r="E593"/>
      <c r="F593" s="27" t="s">
        <v>7</v>
      </c>
      <c r="JE593" s="27" t="s">
        <v>8</v>
      </c>
      <c r="JF593" s="27" t="s">
        <v>7</v>
      </c>
      <c r="LI593" s="27" t="s">
        <v>8</v>
      </c>
      <c r="LJ593" s="27" t="s">
        <v>7</v>
      </c>
      <c r="LK593" s="27" t="s">
        <v>8</v>
      </c>
      <c r="LL593" s="27" t="s">
        <v>7</v>
      </c>
      <c r="LM593" s="27" t="s">
        <v>8</v>
      </c>
    </row>
    <row r="594" spans="1:325" x14ac:dyDescent="0.25">
      <c r="A594" s="7">
        <v>0.87056017861391399</v>
      </c>
      <c r="B594"/>
      <c r="C594"/>
      <c r="D594"/>
      <c r="E594"/>
      <c r="F594" s="27" t="s">
        <v>7</v>
      </c>
      <c r="HQ594" s="27" t="s">
        <v>8</v>
      </c>
      <c r="JE594" s="27" t="s">
        <v>8</v>
      </c>
      <c r="JF594" s="27" t="s">
        <v>7</v>
      </c>
      <c r="LI594" s="27" t="s">
        <v>8</v>
      </c>
      <c r="LJ594" s="27" t="s">
        <v>7</v>
      </c>
      <c r="LK594" s="27" t="s">
        <v>8</v>
      </c>
      <c r="LL594" s="27" t="s">
        <v>7</v>
      </c>
      <c r="LM594" s="27" t="s">
        <v>8</v>
      </c>
    </row>
    <row r="595" spans="1:325" x14ac:dyDescent="0.25">
      <c r="A595" s="7">
        <v>0.85349037119011173</v>
      </c>
      <c r="B595"/>
      <c r="C595"/>
      <c r="D595"/>
      <c r="E595"/>
      <c r="F595" s="27" t="s">
        <v>7</v>
      </c>
      <c r="HQ595" s="27" t="s">
        <v>8</v>
      </c>
      <c r="HR595" s="27" t="s">
        <v>7</v>
      </c>
      <c r="JE595" s="27" t="s">
        <v>8</v>
      </c>
      <c r="JF595" s="27" t="s">
        <v>7</v>
      </c>
      <c r="LI595" s="27" t="s">
        <v>8</v>
      </c>
      <c r="LJ595" s="27" t="s">
        <v>7</v>
      </c>
      <c r="LK595" s="27" t="s">
        <v>8</v>
      </c>
      <c r="LL595" s="27" t="s">
        <v>7</v>
      </c>
      <c r="LM595" s="27" t="s">
        <v>8</v>
      </c>
    </row>
    <row r="596" spans="1:325" x14ac:dyDescent="0.25">
      <c r="A596" s="7">
        <v>0.83675526587265858</v>
      </c>
      <c r="B596"/>
      <c r="C596"/>
      <c r="D596"/>
      <c r="E596"/>
      <c r="F596" s="27" t="s">
        <v>7</v>
      </c>
      <c r="HQ596" s="27" t="s">
        <v>8</v>
      </c>
      <c r="HR596" s="27" t="s">
        <v>7</v>
      </c>
      <c r="JA596" s="27" t="s">
        <v>8</v>
      </c>
      <c r="JC596" s="27" t="s">
        <v>8</v>
      </c>
      <c r="JE596" s="27" t="s">
        <v>8</v>
      </c>
      <c r="JF596" s="27" t="s">
        <v>7</v>
      </c>
      <c r="LI596" s="27" t="s">
        <v>8</v>
      </c>
      <c r="LJ596" s="27" t="s">
        <v>7</v>
      </c>
      <c r="LK596" s="27" t="s">
        <v>8</v>
      </c>
      <c r="LL596" s="27" t="s">
        <v>7</v>
      </c>
      <c r="LM596" s="27" t="s">
        <v>8</v>
      </c>
    </row>
    <row r="597" spans="1:325" x14ac:dyDescent="0.25">
      <c r="A597" s="7">
        <v>0.82034829987515545</v>
      </c>
      <c r="B597"/>
      <c r="C597"/>
      <c r="D597"/>
      <c r="E597"/>
      <c r="F597" s="27" t="s">
        <v>7</v>
      </c>
      <c r="HQ597" s="27" t="s">
        <v>8</v>
      </c>
      <c r="HR597" s="27" t="s">
        <v>7</v>
      </c>
      <c r="JA597" s="27" t="s">
        <v>8</v>
      </c>
      <c r="JB597" s="27" t="s">
        <v>7</v>
      </c>
      <c r="JC597" s="27" t="s">
        <v>8</v>
      </c>
      <c r="JD597" s="27" t="s">
        <v>7</v>
      </c>
      <c r="JE597" s="27" t="s">
        <v>8</v>
      </c>
      <c r="JF597" s="27" t="s">
        <v>7</v>
      </c>
      <c r="LI597" s="27" t="s">
        <v>8</v>
      </c>
      <c r="LJ597" s="27" t="s">
        <v>7</v>
      </c>
      <c r="LK597" s="27" t="s">
        <v>8</v>
      </c>
      <c r="LL597" s="27" t="s">
        <v>7</v>
      </c>
    </row>
    <row r="598" spans="1:325" x14ac:dyDescent="0.25">
      <c r="A598" s="7">
        <v>0.80426303909328967</v>
      </c>
      <c r="B598"/>
      <c r="C598"/>
      <c r="D598"/>
      <c r="E598"/>
      <c r="F598" s="27" t="s">
        <v>7</v>
      </c>
      <c r="HQ598" s="27" t="s">
        <v>8</v>
      </c>
      <c r="HR598" s="27" t="s">
        <v>7</v>
      </c>
      <c r="JA598" s="27" t="s">
        <v>8</v>
      </c>
      <c r="JB598" s="27" t="s">
        <v>7</v>
      </c>
      <c r="JC598" s="27" t="s">
        <v>8</v>
      </c>
      <c r="JD598" s="27" t="s">
        <v>7</v>
      </c>
      <c r="JE598" s="27" t="s">
        <v>8</v>
      </c>
      <c r="JF598" s="27" t="s">
        <v>7</v>
      </c>
      <c r="JG598" s="27" t="s">
        <v>8</v>
      </c>
      <c r="LI598" s="27" t="s">
        <v>8</v>
      </c>
      <c r="LJ598" s="27" t="s">
        <v>7</v>
      </c>
      <c r="LK598" s="27" t="s">
        <v>8</v>
      </c>
    </row>
    <row r="599" spans="1:325" x14ac:dyDescent="0.25">
      <c r="A599" s="7">
        <v>0.78849317558165644</v>
      </c>
      <c r="B599"/>
      <c r="C599"/>
      <c r="D599"/>
      <c r="E599"/>
      <c r="F599" s="27" t="s">
        <v>7</v>
      </c>
      <c r="HQ599" s="27" t="s">
        <v>8</v>
      </c>
      <c r="HR599" s="27" t="s">
        <v>7</v>
      </c>
      <c r="JA599" s="27" t="s">
        <v>8</v>
      </c>
      <c r="JB599" s="27" t="s">
        <v>7</v>
      </c>
      <c r="JC599" s="27" t="s">
        <v>8</v>
      </c>
      <c r="JD599" s="27" t="s">
        <v>7</v>
      </c>
      <c r="JE599" s="27" t="s">
        <v>8</v>
      </c>
      <c r="JF599" s="27" t="s">
        <v>7</v>
      </c>
      <c r="JG599" s="27" t="s">
        <v>8</v>
      </c>
      <c r="JH599" s="27" t="s">
        <v>7</v>
      </c>
      <c r="LI599" s="27" t="s">
        <v>8</v>
      </c>
      <c r="LJ599" s="27" t="s">
        <v>7</v>
      </c>
      <c r="LK599" s="27" t="s">
        <v>8</v>
      </c>
    </row>
    <row r="600" spans="1:325" x14ac:dyDescent="0.25">
      <c r="A600" s="7">
        <v>0.77303252508005538</v>
      </c>
      <c r="B600"/>
      <c r="C600"/>
      <c r="D600"/>
      <c r="E600"/>
      <c r="F600" s="27" t="s">
        <v>7</v>
      </c>
      <c r="HQ600" s="27" t="s">
        <v>8</v>
      </c>
      <c r="HR600" s="27" t="s">
        <v>7</v>
      </c>
      <c r="JA600" s="27" t="s">
        <v>8</v>
      </c>
      <c r="JB600" s="27" t="s">
        <v>7</v>
      </c>
      <c r="JC600" s="27" t="s">
        <v>8</v>
      </c>
      <c r="JD600" s="27" t="s">
        <v>7</v>
      </c>
      <c r="JE600" s="27" t="s">
        <v>8</v>
      </c>
      <c r="JF600" s="27" t="s">
        <v>7</v>
      </c>
      <c r="JG600" s="27" t="s">
        <v>8</v>
      </c>
      <c r="JH600" s="27" t="s">
        <v>7</v>
      </c>
      <c r="LI600" s="27" t="s">
        <v>8</v>
      </c>
      <c r="LJ600" s="27" t="s">
        <v>7</v>
      </c>
      <c r="LK600" s="27" t="s">
        <v>8</v>
      </c>
    </row>
    <row r="601" spans="1:325" x14ac:dyDescent="0.25">
      <c r="A601" s="7">
        <v>0.75787502458828959</v>
      </c>
      <c r="B601"/>
      <c r="C601"/>
      <c r="D601"/>
      <c r="E601"/>
      <c r="F601" s="27" t="s">
        <v>7</v>
      </c>
      <c r="HQ601" s="27" t="s">
        <v>8</v>
      </c>
      <c r="HR601" s="27" t="s">
        <v>7</v>
      </c>
      <c r="JA601" s="27" t="s">
        <v>8</v>
      </c>
      <c r="JB601" s="27" t="s">
        <v>7</v>
      </c>
      <c r="JC601" s="27" t="s">
        <v>8</v>
      </c>
      <c r="JD601" s="27" t="s">
        <v>7</v>
      </c>
      <c r="JE601" s="27" t="s">
        <v>8</v>
      </c>
      <c r="JF601" s="27" t="s">
        <v>7</v>
      </c>
      <c r="JG601" s="27" t="s">
        <v>8</v>
      </c>
      <c r="JH601" s="27" t="s">
        <v>7</v>
      </c>
      <c r="JK601" s="27" t="s">
        <v>8</v>
      </c>
      <c r="LI601" s="27" t="s">
        <v>8</v>
      </c>
      <c r="LJ601" s="27" t="s">
        <v>7</v>
      </c>
      <c r="LK601" s="27" t="s">
        <v>8</v>
      </c>
    </row>
    <row r="602" spans="1:325" x14ac:dyDescent="0.25">
      <c r="A602" s="7">
        <v>0.74301472998851925</v>
      </c>
      <c r="B602"/>
      <c r="C602"/>
      <c r="D602"/>
      <c r="E602"/>
      <c r="F602" s="27" t="s">
        <v>7</v>
      </c>
      <c r="HQ602" s="27" t="s">
        <v>8</v>
      </c>
      <c r="HR602" s="27" t="s">
        <v>7</v>
      </c>
      <c r="JA602" s="27" t="s">
        <v>8</v>
      </c>
      <c r="JB602" s="27" t="s">
        <v>7</v>
      </c>
      <c r="JC602" s="27" t="s">
        <v>8</v>
      </c>
      <c r="JD602" s="27" t="s">
        <v>7</v>
      </c>
      <c r="JE602" s="27" t="s">
        <v>8</v>
      </c>
      <c r="JF602" s="27" t="s">
        <v>7</v>
      </c>
      <c r="JG602" s="27" t="s">
        <v>8</v>
      </c>
      <c r="JH602" s="27" t="s">
        <v>7</v>
      </c>
      <c r="JK602" s="27" t="s">
        <v>8</v>
      </c>
      <c r="JL602" s="27" t="s">
        <v>7</v>
      </c>
      <c r="LI602" s="27" t="s">
        <v>8</v>
      </c>
      <c r="LJ602" s="27" t="s">
        <v>7</v>
      </c>
      <c r="LK602" s="27" t="s">
        <v>8</v>
      </c>
    </row>
    <row r="603" spans="1:325" x14ac:dyDescent="0.25">
      <c r="A603" s="7">
        <v>0.72844581371423456</v>
      </c>
      <c r="B603"/>
      <c r="C603"/>
      <c r="D603"/>
      <c r="E603"/>
      <c r="F603" s="27" t="s">
        <v>7</v>
      </c>
      <c r="HQ603" s="27" t="s">
        <v>8</v>
      </c>
      <c r="HR603" s="27" t="s">
        <v>7</v>
      </c>
      <c r="JA603" s="27" t="s">
        <v>8</v>
      </c>
      <c r="JB603" s="27" t="s">
        <v>7</v>
      </c>
      <c r="JC603" s="27" t="s">
        <v>8</v>
      </c>
      <c r="JD603" s="27" t="s">
        <v>7</v>
      </c>
      <c r="JE603" s="27" t="s">
        <v>8</v>
      </c>
      <c r="JF603" s="27" t="s">
        <v>7</v>
      </c>
      <c r="JG603" s="27" t="s">
        <v>8</v>
      </c>
      <c r="JH603" s="27" t="s">
        <v>7</v>
      </c>
      <c r="JI603" s="27" t="s">
        <v>8</v>
      </c>
      <c r="JK603" s="27" t="s">
        <v>8</v>
      </c>
      <c r="JL603" s="27" t="s">
        <v>7</v>
      </c>
      <c r="LI603" s="27" t="s">
        <v>8</v>
      </c>
      <c r="LJ603" s="27" t="s">
        <v>7</v>
      </c>
      <c r="LK603" s="27" t="s">
        <v>8</v>
      </c>
    </row>
    <row r="604" spans="1:325" x14ac:dyDescent="0.25">
      <c r="A604" s="7">
        <v>0.71416256246493581</v>
      </c>
      <c r="B604"/>
      <c r="C604"/>
      <c r="D604"/>
      <c r="E604"/>
      <c r="F604" s="27" t="s">
        <v>7</v>
      </c>
      <c r="HQ604" s="27" t="s">
        <v>8</v>
      </c>
      <c r="HR604" s="27" t="s">
        <v>7</v>
      </c>
      <c r="JA604" s="27" t="s">
        <v>8</v>
      </c>
      <c r="JB604" s="27" t="s">
        <v>7</v>
      </c>
      <c r="JC604" s="27" t="s">
        <v>8</v>
      </c>
      <c r="JD604" s="27" t="s">
        <v>7</v>
      </c>
      <c r="JE604" s="27" t="s">
        <v>8</v>
      </c>
      <c r="JF604" s="27" t="s">
        <v>7</v>
      </c>
      <c r="JG604" s="27" t="s">
        <v>8</v>
      </c>
      <c r="JH604" s="27" t="s">
        <v>7</v>
      </c>
      <c r="JI604" s="27" t="s">
        <v>8</v>
      </c>
      <c r="JJ604" s="27" t="s">
        <v>7</v>
      </c>
      <c r="JK604" s="27" t="s">
        <v>8</v>
      </c>
      <c r="JL604" s="27" t="s">
        <v>7</v>
      </c>
      <c r="LI604" s="27" t="s">
        <v>8</v>
      </c>
      <c r="LJ604" s="27" t="s">
        <v>7</v>
      </c>
      <c r="LK604" s="27" t="s">
        <v>8</v>
      </c>
    </row>
    <row r="605" spans="1:325" x14ac:dyDescent="0.25">
      <c r="A605" s="7">
        <v>0.7001593749656233</v>
      </c>
      <c r="B605"/>
      <c r="C605"/>
      <c r="D605"/>
      <c r="E605"/>
      <c r="F605" s="27" t="s">
        <v>7</v>
      </c>
      <c r="HQ605" s="27" t="s">
        <v>8</v>
      </c>
      <c r="HR605" s="27" t="s">
        <v>7</v>
      </c>
      <c r="JA605" s="27" t="s">
        <v>8</v>
      </c>
      <c r="JB605" s="27" t="s">
        <v>7</v>
      </c>
      <c r="JC605" s="27" t="s">
        <v>8</v>
      </c>
      <c r="JD605" s="27" t="s">
        <v>7</v>
      </c>
      <c r="JE605" s="27" t="s">
        <v>8</v>
      </c>
      <c r="JF605" s="27" t="s">
        <v>7</v>
      </c>
      <c r="JH605" s="27" t="s">
        <v>7</v>
      </c>
      <c r="JI605" s="27" t="s">
        <v>8</v>
      </c>
      <c r="JJ605" s="27" t="s">
        <v>7</v>
      </c>
      <c r="JK605" s="27" t="s">
        <v>8</v>
      </c>
      <c r="JL605" s="27" t="s">
        <v>7</v>
      </c>
      <c r="LI605" s="27" t="s">
        <v>8</v>
      </c>
      <c r="LJ605" s="27" t="s">
        <v>7</v>
      </c>
    </row>
    <row r="606" spans="1:325" x14ac:dyDescent="0.25">
      <c r="A606" s="7">
        <v>0.68643075977021883</v>
      </c>
      <c r="B606"/>
      <c r="C606"/>
      <c r="D606"/>
      <c r="E606"/>
      <c r="F606" s="27" t="s">
        <v>7</v>
      </c>
      <c r="HQ606" s="27" t="s">
        <v>8</v>
      </c>
      <c r="HR606" s="27" t="s">
        <v>7</v>
      </c>
      <c r="JA606" s="27" t="s">
        <v>8</v>
      </c>
      <c r="JB606" s="27" t="s">
        <v>7</v>
      </c>
      <c r="JC606" s="27" t="s">
        <v>8</v>
      </c>
      <c r="JD606" s="27" t="s">
        <v>7</v>
      </c>
      <c r="JH606" s="27" t="s">
        <v>7</v>
      </c>
      <c r="JI606" s="27" t="s">
        <v>8</v>
      </c>
      <c r="JJ606" s="27" t="s">
        <v>7</v>
      </c>
      <c r="JK606" s="27" t="s">
        <v>8</v>
      </c>
      <c r="JL606" s="27" t="s">
        <v>7</v>
      </c>
      <c r="LI606" s="27" t="s">
        <v>8</v>
      </c>
    </row>
    <row r="607" spans="1:325" x14ac:dyDescent="0.25">
      <c r="A607" s="7">
        <v>0.67297133310805768</v>
      </c>
      <c r="B607"/>
      <c r="C607"/>
      <c r="D607"/>
      <c r="E607"/>
      <c r="F607" s="27" t="s">
        <v>7</v>
      </c>
      <c r="HQ607" s="27" t="s">
        <v>8</v>
      </c>
      <c r="HR607" s="27" t="s">
        <v>7</v>
      </c>
      <c r="JA607" s="27" t="s">
        <v>8</v>
      </c>
      <c r="JB607" s="27" t="s">
        <v>7</v>
      </c>
      <c r="JC607" s="27" t="s">
        <v>8</v>
      </c>
      <c r="JH607" s="27" t="s">
        <v>7</v>
      </c>
      <c r="JI607" s="27" t="s">
        <v>8</v>
      </c>
      <c r="JJ607" s="27" t="s">
        <v>7</v>
      </c>
      <c r="JK607" s="27" t="s">
        <v>8</v>
      </c>
      <c r="JL607" s="27" t="s">
        <v>7</v>
      </c>
      <c r="LI607" s="27" t="s">
        <v>8</v>
      </c>
    </row>
    <row r="608" spans="1:325" x14ac:dyDescent="0.25">
      <c r="A608" s="7">
        <v>0.65977581677260566</v>
      </c>
      <c r="B608"/>
      <c r="C608"/>
      <c r="D608"/>
      <c r="E608"/>
      <c r="F608" s="27" t="s">
        <v>7</v>
      </c>
      <c r="HQ608" s="27" t="s">
        <v>8</v>
      </c>
      <c r="HR608" s="27" t="s">
        <v>7</v>
      </c>
      <c r="JA608" s="27" t="s">
        <v>8</v>
      </c>
      <c r="JB608" s="27" t="s">
        <v>7</v>
      </c>
      <c r="JC608" s="27" t="s">
        <v>8</v>
      </c>
      <c r="JH608" s="27" t="s">
        <v>7</v>
      </c>
      <c r="JI608" s="27" t="s">
        <v>8</v>
      </c>
      <c r="JJ608" s="27" t="s">
        <v>7</v>
      </c>
      <c r="JK608" s="27" t="s">
        <v>8</v>
      </c>
      <c r="JL608" s="27" t="s">
        <v>7</v>
      </c>
      <c r="LI608" s="27" t="s">
        <v>8</v>
      </c>
    </row>
    <row r="609" spans="1:321" x14ac:dyDescent="0.25">
      <c r="A609" s="7">
        <v>0.64683903605157422</v>
      </c>
      <c r="B609"/>
      <c r="C609"/>
      <c r="D609"/>
      <c r="E609"/>
      <c r="F609" s="27" t="s">
        <v>7</v>
      </c>
      <c r="HQ609" s="27" t="s">
        <v>8</v>
      </c>
      <c r="HR609" s="27" t="s">
        <v>7</v>
      </c>
      <c r="JA609" s="27" t="s">
        <v>8</v>
      </c>
      <c r="JB609" s="27" t="s">
        <v>7</v>
      </c>
      <c r="JC609" s="27" t="s">
        <v>8</v>
      </c>
      <c r="JH609" s="27" t="s">
        <v>7</v>
      </c>
      <c r="JI609" s="27" t="s">
        <v>8</v>
      </c>
      <c r="JJ609" s="27" t="s">
        <v>7</v>
      </c>
      <c r="JK609" s="27" t="s">
        <v>8</v>
      </c>
      <c r="JL609" s="27" t="s">
        <v>7</v>
      </c>
      <c r="LI609" s="27" t="s">
        <v>8</v>
      </c>
    </row>
    <row r="610" spans="1:321" x14ac:dyDescent="0.25">
      <c r="A610" s="7">
        <v>0.63415591769762181</v>
      </c>
      <c r="B610"/>
      <c r="C610"/>
      <c r="D610"/>
      <c r="E610"/>
      <c r="F610" s="27" t="s">
        <v>7</v>
      </c>
      <c r="HQ610" s="27" t="s">
        <v>8</v>
      </c>
      <c r="HR610" s="27" t="s">
        <v>7</v>
      </c>
      <c r="HS610" s="27" t="s">
        <v>8</v>
      </c>
      <c r="JA610" s="27" t="s">
        <v>8</v>
      </c>
      <c r="JB610" s="27" t="s">
        <v>7</v>
      </c>
      <c r="JH610" s="27" t="s">
        <v>7</v>
      </c>
      <c r="JI610" s="27" t="s">
        <v>8</v>
      </c>
      <c r="JJ610" s="27" t="s">
        <v>7</v>
      </c>
      <c r="JK610" s="27" t="s">
        <v>8</v>
      </c>
      <c r="JL610" s="27" t="s">
        <v>7</v>
      </c>
      <c r="LI610" s="27" t="s">
        <v>8</v>
      </c>
    </row>
    <row r="611" spans="1:321" x14ac:dyDescent="0.25">
      <c r="A611" s="7">
        <v>0.62172148793884496</v>
      </c>
      <c r="B611"/>
      <c r="C611"/>
      <c r="D611"/>
      <c r="E611"/>
      <c r="F611" s="27" t="s">
        <v>7</v>
      </c>
      <c r="HQ611" s="27" t="s">
        <v>8</v>
      </c>
      <c r="HR611" s="27" t="s">
        <v>7</v>
      </c>
      <c r="HS611" s="27" t="s">
        <v>8</v>
      </c>
      <c r="HT611" s="27" t="s">
        <v>7</v>
      </c>
      <c r="JA611" s="27" t="s">
        <v>8</v>
      </c>
      <c r="JH611" s="27" t="s">
        <v>7</v>
      </c>
      <c r="JI611" s="27" t="s">
        <v>8</v>
      </c>
      <c r="JJ611" s="27" t="s">
        <v>7</v>
      </c>
      <c r="JK611" s="27" t="s">
        <v>8</v>
      </c>
      <c r="JL611" s="27" t="s">
        <v>7</v>
      </c>
      <c r="LI611" s="27" t="s">
        <v>8</v>
      </c>
    </row>
    <row r="612" spans="1:321" x14ac:dyDescent="0.25">
      <c r="A612" s="7">
        <v>0.60953087052827937</v>
      </c>
      <c r="B612"/>
      <c r="C612"/>
      <c r="D612"/>
      <c r="E612"/>
      <c r="F612" s="27" t="s">
        <v>7</v>
      </c>
      <c r="HQ612" s="27" t="s">
        <v>8</v>
      </c>
      <c r="HR612" s="27" t="s">
        <v>7</v>
      </c>
      <c r="HS612" s="27" t="s">
        <v>8</v>
      </c>
      <c r="HT612" s="27" t="s">
        <v>7</v>
      </c>
      <c r="JA612" s="27" t="s">
        <v>8</v>
      </c>
      <c r="JH612" s="27" t="s">
        <v>7</v>
      </c>
      <c r="JI612" s="27" t="s">
        <v>8</v>
      </c>
      <c r="JJ612" s="27" t="s">
        <v>7</v>
      </c>
      <c r="JK612" s="27" t="s">
        <v>8</v>
      </c>
      <c r="JL612" s="27" t="s">
        <v>7</v>
      </c>
      <c r="LI612" s="27" t="s">
        <v>8</v>
      </c>
    </row>
    <row r="613" spans="1:321" x14ac:dyDescent="0.25">
      <c r="A613" s="7">
        <v>0.59757928483164646</v>
      </c>
      <c r="B613"/>
      <c r="C613"/>
      <c r="D613"/>
      <c r="E613"/>
      <c r="F613" s="27" t="s">
        <v>7</v>
      </c>
      <c r="HQ613" s="27" t="s">
        <v>8</v>
      </c>
      <c r="HR613" s="27" t="s">
        <v>7</v>
      </c>
      <c r="HS613" s="27" t="s">
        <v>8</v>
      </c>
      <c r="HT613" s="27" t="s">
        <v>7</v>
      </c>
      <c r="HU613" s="27" t="s">
        <v>8</v>
      </c>
      <c r="JA613" s="27" t="s">
        <v>8</v>
      </c>
      <c r="JH613" s="27" t="s">
        <v>7</v>
      </c>
      <c r="JI613" s="27" t="s">
        <v>8</v>
      </c>
      <c r="JJ613" s="27" t="s">
        <v>7</v>
      </c>
      <c r="JK613" s="27" t="s">
        <v>8</v>
      </c>
      <c r="JL613" s="27" t="s">
        <v>7</v>
      </c>
      <c r="LE613" s="27" t="s">
        <v>8</v>
      </c>
      <c r="LI613" s="27" t="s">
        <v>8</v>
      </c>
    </row>
    <row r="614" spans="1:321" x14ac:dyDescent="0.25">
      <c r="A614" s="7">
        <v>0.58586204395259456</v>
      </c>
      <c r="B614"/>
      <c r="C614"/>
      <c r="D614"/>
      <c r="E614"/>
      <c r="F614" s="27" t="s">
        <v>7</v>
      </c>
      <c r="HQ614" s="27" t="s">
        <v>8</v>
      </c>
      <c r="HR614" s="27" t="s">
        <v>7</v>
      </c>
      <c r="HS614" s="27" t="s">
        <v>8</v>
      </c>
      <c r="HT614" s="27" t="s">
        <v>7</v>
      </c>
      <c r="HU614" s="27" t="s">
        <v>8</v>
      </c>
      <c r="HV614" s="27" t="s">
        <v>7</v>
      </c>
      <c r="JA614" s="27" t="s">
        <v>8</v>
      </c>
      <c r="JH614" s="27" t="s">
        <v>7</v>
      </c>
      <c r="JI614" s="27" t="s">
        <v>8</v>
      </c>
      <c r="JJ614" s="27" t="s">
        <v>7</v>
      </c>
      <c r="JK614" s="27" t="s">
        <v>8</v>
      </c>
      <c r="JL614" s="27" t="s">
        <v>7</v>
      </c>
      <c r="LE614" s="27" t="s">
        <v>8</v>
      </c>
      <c r="LF614" s="27" t="s">
        <v>7</v>
      </c>
      <c r="LI614" s="27" t="s">
        <v>8</v>
      </c>
    </row>
    <row r="615" spans="1:321" x14ac:dyDescent="0.25">
      <c r="A615" s="7">
        <v>0.57437455289470052</v>
      </c>
      <c r="B615"/>
      <c r="C615"/>
      <c r="D615"/>
      <c r="E615"/>
      <c r="F615" s="27" t="s">
        <v>7</v>
      </c>
      <c r="HQ615" s="27" t="s">
        <v>8</v>
      </c>
      <c r="HR615" s="27" t="s">
        <v>7</v>
      </c>
      <c r="HS615" s="27" t="s">
        <v>8</v>
      </c>
      <c r="HT615" s="27" t="s">
        <v>7</v>
      </c>
      <c r="HU615" s="27" t="s">
        <v>8</v>
      </c>
      <c r="HV615" s="27" t="s">
        <v>7</v>
      </c>
      <c r="IU615" s="27" t="s">
        <v>8</v>
      </c>
      <c r="JA615" s="27" t="s">
        <v>8</v>
      </c>
      <c r="JH615" s="27" t="s">
        <v>7</v>
      </c>
      <c r="JJ615" s="27" t="s">
        <v>7</v>
      </c>
      <c r="JK615" s="27" t="s">
        <v>8</v>
      </c>
      <c r="JL615" s="27" t="s">
        <v>7</v>
      </c>
      <c r="LE615" s="27" t="s">
        <v>8</v>
      </c>
      <c r="LF615" s="27" t="s">
        <v>7</v>
      </c>
      <c r="LI615" s="27" t="s">
        <v>8</v>
      </c>
    </row>
    <row r="616" spans="1:321" x14ac:dyDescent="0.25">
      <c r="A616" s="7">
        <v>0.56311230675951029</v>
      </c>
      <c r="B616"/>
      <c r="C616"/>
      <c r="D616"/>
      <c r="E616"/>
      <c r="F616" s="27" t="s">
        <v>7</v>
      </c>
      <c r="HQ616" s="27" t="s">
        <v>8</v>
      </c>
      <c r="HR616" s="27" t="s">
        <v>7</v>
      </c>
      <c r="HS616" s="27" t="s">
        <v>8</v>
      </c>
      <c r="HT616" s="27" t="s">
        <v>7</v>
      </c>
      <c r="HU616" s="27" t="s">
        <v>8</v>
      </c>
      <c r="HV616" s="27" t="s">
        <v>7</v>
      </c>
      <c r="IU616" s="27" t="s">
        <v>8</v>
      </c>
      <c r="IV616" s="27" t="s">
        <v>7</v>
      </c>
      <c r="JA616" s="27" t="s">
        <v>8</v>
      </c>
      <c r="JJ616" s="27" t="s">
        <v>7</v>
      </c>
      <c r="JK616" s="27" t="s">
        <v>8</v>
      </c>
      <c r="JL616" s="27" t="s">
        <v>7</v>
      </c>
      <c r="LE616" s="27" t="s">
        <v>8</v>
      </c>
      <c r="LF616" s="27" t="s">
        <v>7</v>
      </c>
      <c r="LI616" s="27" t="s">
        <v>8</v>
      </c>
    </row>
    <row r="617" spans="1:321" x14ac:dyDescent="0.25">
      <c r="A617" s="7">
        <v>0.55207088897991208</v>
      </c>
      <c r="B617"/>
      <c r="C617"/>
      <c r="D617"/>
      <c r="E617"/>
      <c r="F617" s="27" t="s">
        <v>7</v>
      </c>
      <c r="HQ617" s="27" t="s">
        <v>8</v>
      </c>
      <c r="HR617" s="27" t="s">
        <v>7</v>
      </c>
      <c r="HS617" s="27" t="s">
        <v>8</v>
      </c>
      <c r="HT617" s="27" t="s">
        <v>7</v>
      </c>
      <c r="HU617" s="27" t="s">
        <v>8</v>
      </c>
      <c r="HV617" s="27" t="s">
        <v>7</v>
      </c>
      <c r="IM617" s="27" t="s">
        <v>8</v>
      </c>
      <c r="IU617" s="27" t="s">
        <v>8</v>
      </c>
      <c r="IV617" s="27" t="s">
        <v>7</v>
      </c>
      <c r="JA617" s="27" t="s">
        <v>8</v>
      </c>
      <c r="JJ617" s="27" t="s">
        <v>7</v>
      </c>
      <c r="JK617" s="27" t="s">
        <v>8</v>
      </c>
      <c r="JL617" s="27" t="s">
        <v>7</v>
      </c>
      <c r="LE617" s="27" t="s">
        <v>8</v>
      </c>
      <c r="LF617" s="27" t="s">
        <v>7</v>
      </c>
      <c r="LI617" s="27" t="s">
        <v>8</v>
      </c>
    </row>
    <row r="618" spans="1:321" x14ac:dyDescent="0.25">
      <c r="A618" s="7">
        <v>0.54124596958814908</v>
      </c>
      <c r="B618"/>
      <c r="C618"/>
      <c r="D618"/>
      <c r="E618"/>
      <c r="F618" s="27" t="s">
        <v>7</v>
      </c>
      <c r="HQ618" s="27" t="s">
        <v>8</v>
      </c>
      <c r="HR618" s="27" t="s">
        <v>7</v>
      </c>
      <c r="HS618" s="27" t="s">
        <v>8</v>
      </c>
      <c r="HT618" s="27" t="s">
        <v>7</v>
      </c>
      <c r="HU618" s="27" t="s">
        <v>8</v>
      </c>
      <c r="HV618" s="27" t="s">
        <v>7</v>
      </c>
      <c r="HY618" s="27" t="s">
        <v>8</v>
      </c>
      <c r="IM618" s="27" t="s">
        <v>8</v>
      </c>
      <c r="IN618" s="27" t="s">
        <v>7</v>
      </c>
      <c r="IU618" s="27" t="s">
        <v>8</v>
      </c>
      <c r="IV618" s="27" t="s">
        <v>7</v>
      </c>
      <c r="JA618" s="27" t="s">
        <v>8</v>
      </c>
      <c r="JJ618" s="27" t="s">
        <v>7</v>
      </c>
      <c r="JL618" s="27" t="s">
        <v>7</v>
      </c>
      <c r="LE618" s="27" t="s">
        <v>8</v>
      </c>
      <c r="LF618" s="27" t="s">
        <v>7</v>
      </c>
      <c r="LI618" s="27" t="s">
        <v>8</v>
      </c>
    </row>
    <row r="619" spans="1:321" x14ac:dyDescent="0.25">
      <c r="A619" s="7">
        <v>0.53063330351779314</v>
      </c>
      <c r="B619"/>
      <c r="C619"/>
      <c r="D619"/>
      <c r="E619"/>
      <c r="F619" s="27" t="s">
        <v>7</v>
      </c>
      <c r="HQ619" s="27" t="s">
        <v>8</v>
      </c>
      <c r="HR619" s="27" t="s">
        <v>7</v>
      </c>
      <c r="HS619" s="27" t="s">
        <v>8</v>
      </c>
      <c r="HT619" s="27" t="s">
        <v>7</v>
      </c>
      <c r="HU619" s="27" t="s">
        <v>8</v>
      </c>
      <c r="HV619" s="27" t="s">
        <v>7</v>
      </c>
      <c r="HY619" s="27" t="s">
        <v>8</v>
      </c>
      <c r="HZ619" s="27" t="s">
        <v>7</v>
      </c>
      <c r="IM619" s="27" t="s">
        <v>8</v>
      </c>
      <c r="IN619" s="27" t="s">
        <v>7</v>
      </c>
      <c r="IU619" s="27" t="s">
        <v>8</v>
      </c>
      <c r="IV619" s="27" t="s">
        <v>7</v>
      </c>
      <c r="JA619" s="27" t="s">
        <v>8</v>
      </c>
      <c r="JL619" s="27" t="s">
        <v>7</v>
      </c>
      <c r="LE619" s="27" t="s">
        <v>8</v>
      </c>
      <c r="LF619" s="27" t="s">
        <v>7</v>
      </c>
      <c r="LI619" s="27" t="s">
        <v>8</v>
      </c>
    </row>
    <row r="620" spans="1:321" x14ac:dyDescent="0.25">
      <c r="A620" s="7">
        <v>0.52022872893901284</v>
      </c>
      <c r="B620"/>
      <c r="C620"/>
      <c r="D620"/>
      <c r="E620"/>
      <c r="F620" s="27" t="s">
        <v>7</v>
      </c>
      <c r="HQ620" s="27" t="s">
        <v>8</v>
      </c>
      <c r="HR620" s="27" t="s">
        <v>7</v>
      </c>
      <c r="HS620" s="27" t="s">
        <v>8</v>
      </c>
      <c r="HT620" s="27" t="s">
        <v>7</v>
      </c>
      <c r="HU620" s="27" t="s">
        <v>8</v>
      </c>
      <c r="HV620" s="27" t="s">
        <v>7</v>
      </c>
      <c r="HY620" s="27" t="s">
        <v>8</v>
      </c>
      <c r="HZ620" s="27" t="s">
        <v>7</v>
      </c>
      <c r="IM620" s="27" t="s">
        <v>8</v>
      </c>
      <c r="IN620" s="27" t="s">
        <v>7</v>
      </c>
      <c r="IU620" s="27" t="s">
        <v>8</v>
      </c>
      <c r="IV620" s="27" t="s">
        <v>7</v>
      </c>
      <c r="JA620" s="27" t="s">
        <v>8</v>
      </c>
      <c r="JL620" s="27" t="s">
        <v>7</v>
      </c>
      <c r="LE620" s="27" t="s">
        <v>8</v>
      </c>
      <c r="LF620" s="27" t="s">
        <v>7</v>
      </c>
      <c r="LG620" s="27" t="s">
        <v>8</v>
      </c>
      <c r="LI620" s="27" t="s">
        <v>8</v>
      </c>
    </row>
    <row r="621" spans="1:321" x14ac:dyDescent="0.25">
      <c r="A621" s="7">
        <v>0.51002816562648323</v>
      </c>
      <c r="B621"/>
      <c r="C621"/>
      <c r="D621"/>
      <c r="E621"/>
      <c r="F621" s="27" t="s">
        <v>7</v>
      </c>
      <c r="HQ621" s="27" t="s">
        <v>8</v>
      </c>
      <c r="HR621" s="27" t="s">
        <v>7</v>
      </c>
      <c r="HS621" s="27" t="s">
        <v>8</v>
      </c>
      <c r="HT621" s="27" t="s">
        <v>7</v>
      </c>
      <c r="HU621" s="27" t="s">
        <v>8</v>
      </c>
      <c r="HV621" s="27" t="s">
        <v>7</v>
      </c>
      <c r="HY621" s="27" t="s">
        <v>8</v>
      </c>
      <c r="HZ621" s="27" t="s">
        <v>7</v>
      </c>
      <c r="IM621" s="27" t="s">
        <v>8</v>
      </c>
      <c r="IN621" s="27" t="s">
        <v>7</v>
      </c>
      <c r="IU621" s="27" t="s">
        <v>8</v>
      </c>
      <c r="IV621" s="27" t="s">
        <v>7</v>
      </c>
      <c r="JA621" s="27" t="s">
        <v>8</v>
      </c>
      <c r="JL621" s="27" t="s">
        <v>7</v>
      </c>
      <c r="LE621" s="27" t="s">
        <v>8</v>
      </c>
      <c r="LF621" s="27" t="s">
        <v>7</v>
      </c>
      <c r="LG621" s="27" t="s">
        <v>8</v>
      </c>
      <c r="LH621" s="27" t="s">
        <v>7</v>
      </c>
      <c r="LI621" s="27" t="s">
        <v>8</v>
      </c>
    </row>
    <row r="622" spans="1:321" x14ac:dyDescent="0.25">
      <c r="A622" s="7">
        <v>0.50002761335929735</v>
      </c>
      <c r="B622"/>
      <c r="C622"/>
      <c r="D622"/>
      <c r="E622"/>
      <c r="F622" s="27" t="s">
        <v>7</v>
      </c>
      <c r="HQ622" s="27" t="s">
        <v>8</v>
      </c>
      <c r="HR622" s="27" t="s">
        <v>7</v>
      </c>
      <c r="HS622" s="27" t="s">
        <v>8</v>
      </c>
      <c r="HT622" s="27" t="s">
        <v>7</v>
      </c>
      <c r="HU622" s="27" t="s">
        <v>8</v>
      </c>
      <c r="HV622" s="27" t="s">
        <v>7</v>
      </c>
      <c r="HY622" s="27" t="s">
        <v>8</v>
      </c>
      <c r="HZ622" s="27" t="s">
        <v>7</v>
      </c>
      <c r="IM622" s="27" t="s">
        <v>8</v>
      </c>
      <c r="IN622" s="27" t="s">
        <v>7</v>
      </c>
      <c r="IU622" s="27" t="s">
        <v>8</v>
      </c>
      <c r="IV622" s="27" t="s">
        <v>7</v>
      </c>
      <c r="JA622" s="27" t="s">
        <v>8</v>
      </c>
      <c r="JL622" s="27" t="s">
        <v>7</v>
      </c>
      <c r="LE622" s="27" t="s">
        <v>8</v>
      </c>
      <c r="LF622" s="27" t="s">
        <v>7</v>
      </c>
      <c r="LG622" s="27" t="s">
        <v>8</v>
      </c>
      <c r="LH622" s="27" t="s">
        <v>7</v>
      </c>
      <c r="LI622" s="27" t="s">
        <v>8</v>
      </c>
    </row>
    <row r="623" spans="1:321" x14ac:dyDescent="0.25">
      <c r="A623" s="7">
        <v>0.49022315035225228</v>
      </c>
      <c r="B623"/>
      <c r="C623"/>
      <c r="D623"/>
      <c r="E623"/>
      <c r="F623" s="27" t="s">
        <v>7</v>
      </c>
      <c r="HQ623" s="27" t="s">
        <v>8</v>
      </c>
      <c r="HR623" s="27" t="s">
        <v>7</v>
      </c>
      <c r="HS623" s="27" t="s">
        <v>8</v>
      </c>
      <c r="HT623" s="27" t="s">
        <v>7</v>
      </c>
      <c r="HV623" s="27" t="s">
        <v>7</v>
      </c>
      <c r="HY623" s="27" t="s">
        <v>8</v>
      </c>
      <c r="HZ623" s="27" t="s">
        <v>7</v>
      </c>
      <c r="IM623" s="27" t="s">
        <v>8</v>
      </c>
      <c r="IN623" s="27" t="s">
        <v>7</v>
      </c>
      <c r="IU623" s="27" t="s">
        <v>8</v>
      </c>
      <c r="IV623" s="27" t="s">
        <v>7</v>
      </c>
      <c r="JA623" s="27" t="s">
        <v>8</v>
      </c>
      <c r="JL623" s="27" t="s">
        <v>7</v>
      </c>
      <c r="LE623" s="27" t="s">
        <v>8</v>
      </c>
      <c r="LF623" s="27" t="s">
        <v>7</v>
      </c>
      <c r="LG623" s="27" t="s">
        <v>8</v>
      </c>
      <c r="LH623" s="27" t="s">
        <v>7</v>
      </c>
      <c r="LI623" s="27" t="s">
        <v>8</v>
      </c>
    </row>
    <row r="624" spans="1:321" x14ac:dyDescent="0.25">
      <c r="A624" s="7">
        <v>0.48061093171789437</v>
      </c>
      <c r="B624"/>
      <c r="C624"/>
      <c r="D624"/>
      <c r="E624"/>
      <c r="F624" s="27" t="s">
        <v>7</v>
      </c>
      <c r="HQ624" s="27" t="s">
        <v>8</v>
      </c>
      <c r="HR624" s="27" t="s">
        <v>7</v>
      </c>
      <c r="HS624" s="27" t="s">
        <v>8</v>
      </c>
      <c r="HV624" s="27" t="s">
        <v>7</v>
      </c>
      <c r="HY624" s="27" t="s">
        <v>8</v>
      </c>
      <c r="HZ624" s="27" t="s">
        <v>7</v>
      </c>
      <c r="IE624" s="27" t="s">
        <v>8</v>
      </c>
      <c r="IM624" s="27" t="s">
        <v>8</v>
      </c>
      <c r="IN624" s="27" t="s">
        <v>7</v>
      </c>
      <c r="IU624" s="27" t="s">
        <v>8</v>
      </c>
      <c r="IV624" s="27" t="s">
        <v>7</v>
      </c>
      <c r="JA624" s="27" t="s">
        <v>8</v>
      </c>
      <c r="JL624" s="27" t="s">
        <v>7</v>
      </c>
      <c r="LE624" s="27" t="s">
        <v>8</v>
      </c>
      <c r="LF624" s="27" t="s">
        <v>7</v>
      </c>
      <c r="LG624" s="27" t="s">
        <v>8</v>
      </c>
      <c r="LH624" s="27" t="s">
        <v>7</v>
      </c>
      <c r="LI624" s="27" t="s">
        <v>8</v>
      </c>
    </row>
    <row r="625" spans="1:321" x14ac:dyDescent="0.25">
      <c r="A625" s="7">
        <v>0.47118718795871994</v>
      </c>
      <c r="B625"/>
      <c r="C625"/>
      <c r="D625"/>
      <c r="E625"/>
      <c r="F625" s="27" t="s">
        <v>7</v>
      </c>
      <c r="HQ625" s="27" t="s">
        <v>8</v>
      </c>
      <c r="HR625" s="27" t="s">
        <v>7</v>
      </c>
      <c r="HS625" s="27" t="s">
        <v>8</v>
      </c>
      <c r="HV625" s="27" t="s">
        <v>7</v>
      </c>
      <c r="HW625" s="27" t="s">
        <v>8</v>
      </c>
      <c r="HY625" s="27" t="s">
        <v>8</v>
      </c>
      <c r="HZ625" s="27" t="s">
        <v>7</v>
      </c>
      <c r="IE625" s="27" t="s">
        <v>8</v>
      </c>
      <c r="IF625" s="27" t="s">
        <v>7</v>
      </c>
      <c r="II625" s="27" t="s">
        <v>8</v>
      </c>
      <c r="IM625" s="27" t="s">
        <v>8</v>
      </c>
      <c r="IN625" s="27" t="s">
        <v>7</v>
      </c>
      <c r="IO625" s="27" t="s">
        <v>8</v>
      </c>
      <c r="IU625" s="27" t="s">
        <v>8</v>
      </c>
      <c r="IV625" s="27" t="s">
        <v>7</v>
      </c>
      <c r="JA625" s="27" t="s">
        <v>8</v>
      </c>
      <c r="JL625" s="27" t="s">
        <v>7</v>
      </c>
      <c r="LE625" s="27" t="s">
        <v>8</v>
      </c>
      <c r="LF625" s="27" t="s">
        <v>7</v>
      </c>
      <c r="LH625" s="27" t="s">
        <v>7</v>
      </c>
      <c r="LI625" s="27" t="s">
        <v>8</v>
      </c>
    </row>
    <row r="626" spans="1:321" x14ac:dyDescent="0.25">
      <c r="A626" s="7">
        <v>0.46194822348894116</v>
      </c>
      <c r="B626"/>
      <c r="C626"/>
      <c r="D626"/>
      <c r="E626"/>
      <c r="F626" s="27" t="s">
        <v>7</v>
      </c>
      <c r="HQ626" s="27" t="s">
        <v>8</v>
      </c>
      <c r="HR626" s="27" t="s">
        <v>7</v>
      </c>
      <c r="HS626" s="27" t="s">
        <v>8</v>
      </c>
      <c r="HV626" s="27" t="s">
        <v>7</v>
      </c>
      <c r="HW626" s="27" t="s">
        <v>8</v>
      </c>
      <c r="HX626" s="27" t="s">
        <v>7</v>
      </c>
      <c r="HY626" s="27" t="s">
        <v>8</v>
      </c>
      <c r="HZ626" s="27" t="s">
        <v>7</v>
      </c>
      <c r="IE626" s="27" t="s">
        <v>8</v>
      </c>
      <c r="IF626" s="27" t="s">
        <v>7</v>
      </c>
      <c r="II626" s="27" t="s">
        <v>8</v>
      </c>
      <c r="IJ626" s="27" t="s">
        <v>7</v>
      </c>
      <c r="IK626" s="27" t="s">
        <v>8</v>
      </c>
      <c r="IM626" s="27" t="s">
        <v>8</v>
      </c>
      <c r="IN626" s="27" t="s">
        <v>7</v>
      </c>
      <c r="IO626" s="27" t="s">
        <v>8</v>
      </c>
      <c r="IP626" s="27" t="s">
        <v>7</v>
      </c>
      <c r="IQ626" s="27" t="s">
        <v>8</v>
      </c>
      <c r="IU626" s="27" t="s">
        <v>8</v>
      </c>
      <c r="IV626" s="27" t="s">
        <v>7</v>
      </c>
      <c r="JA626" s="27" t="s">
        <v>8</v>
      </c>
      <c r="JL626" s="27" t="s">
        <v>7</v>
      </c>
      <c r="LC626" s="27" t="s">
        <v>8</v>
      </c>
      <c r="LE626" s="27" t="s">
        <v>8</v>
      </c>
      <c r="LH626" s="27" t="s">
        <v>7</v>
      </c>
      <c r="LI626" s="27" t="s">
        <v>8</v>
      </c>
    </row>
    <row r="627" spans="1:321" x14ac:dyDescent="0.25">
      <c r="A627" s="7">
        <v>0.45289041518523643</v>
      </c>
      <c r="B627"/>
      <c r="C627"/>
      <c r="D627"/>
      <c r="E627"/>
      <c r="F627" s="27" t="s">
        <v>7</v>
      </c>
      <c r="HQ627" s="27" t="s">
        <v>8</v>
      </c>
      <c r="HR627" s="27" t="s">
        <v>7</v>
      </c>
      <c r="HS627" s="27" t="s">
        <v>8</v>
      </c>
      <c r="HV627" s="27" t="s">
        <v>7</v>
      </c>
      <c r="HW627" s="27" t="s">
        <v>8</v>
      </c>
      <c r="HX627" s="27" t="s">
        <v>7</v>
      </c>
      <c r="HY627" s="27" t="s">
        <v>8</v>
      </c>
      <c r="HZ627" s="27" t="s">
        <v>7</v>
      </c>
      <c r="IE627" s="27" t="s">
        <v>8</v>
      </c>
      <c r="IF627" s="27" t="s">
        <v>7</v>
      </c>
      <c r="II627" s="27" t="s">
        <v>8</v>
      </c>
      <c r="IJ627" s="27" t="s">
        <v>7</v>
      </c>
      <c r="IK627" s="27" t="s">
        <v>8</v>
      </c>
      <c r="IL627" s="27" t="s">
        <v>7</v>
      </c>
      <c r="IM627" s="27" t="s">
        <v>8</v>
      </c>
      <c r="IN627" s="27" t="s">
        <v>7</v>
      </c>
      <c r="IO627" s="27" t="s">
        <v>8</v>
      </c>
      <c r="IP627" s="27" t="s">
        <v>7</v>
      </c>
      <c r="IQ627" s="27" t="s">
        <v>8</v>
      </c>
      <c r="IR627" s="27" t="s">
        <v>7</v>
      </c>
      <c r="IS627" s="27" t="s">
        <v>8</v>
      </c>
      <c r="IU627" s="27" t="s">
        <v>8</v>
      </c>
      <c r="IV627" s="27" t="s">
        <v>7</v>
      </c>
      <c r="JA627" s="27" t="s">
        <v>8</v>
      </c>
      <c r="JL627" s="27" t="s">
        <v>7</v>
      </c>
      <c r="LC627" s="27" t="s">
        <v>8</v>
      </c>
      <c r="LD627" s="27" t="s">
        <v>7</v>
      </c>
      <c r="LE627" s="27" t="s">
        <v>8</v>
      </c>
      <c r="LH627" s="27" t="s">
        <v>7</v>
      </c>
      <c r="LI627" s="27" t="s">
        <v>8</v>
      </c>
    </row>
    <row r="628" spans="1:321" x14ac:dyDescent="0.25">
      <c r="A628" s="7">
        <v>0.44401021096591808</v>
      </c>
      <c r="B628"/>
      <c r="C628"/>
      <c r="D628"/>
      <c r="E628"/>
      <c r="F628" s="27" t="s">
        <v>7</v>
      </c>
      <c r="HQ628" s="27" t="s">
        <v>8</v>
      </c>
      <c r="HR628" s="27" t="s">
        <v>7</v>
      </c>
      <c r="HS628" s="27" t="s">
        <v>8</v>
      </c>
      <c r="HV628" s="27" t="s">
        <v>7</v>
      </c>
      <c r="HW628" s="27" t="s">
        <v>8</v>
      </c>
      <c r="HX628" s="27" t="s">
        <v>7</v>
      </c>
      <c r="HY628" s="27" t="s">
        <v>8</v>
      </c>
      <c r="HZ628" s="27" t="s">
        <v>7</v>
      </c>
      <c r="IA628" s="27" t="s">
        <v>8</v>
      </c>
      <c r="IE628" s="27" t="s">
        <v>8</v>
      </c>
      <c r="IF628" s="27" t="s">
        <v>7</v>
      </c>
      <c r="II628" s="27" t="s">
        <v>8</v>
      </c>
      <c r="IJ628" s="27" t="s">
        <v>7</v>
      </c>
      <c r="IK628" s="27" t="s">
        <v>8</v>
      </c>
      <c r="IL628" s="27" t="s">
        <v>7</v>
      </c>
      <c r="IM628" s="27" t="s">
        <v>8</v>
      </c>
      <c r="IN628" s="27" t="s">
        <v>7</v>
      </c>
      <c r="IO628" s="27" t="s">
        <v>8</v>
      </c>
      <c r="IP628" s="27" t="s">
        <v>7</v>
      </c>
      <c r="IQ628" s="27" t="s">
        <v>8</v>
      </c>
      <c r="IR628" s="27" t="s">
        <v>7</v>
      </c>
      <c r="IS628" s="27" t="s">
        <v>8</v>
      </c>
      <c r="IT628" s="27" t="s">
        <v>7</v>
      </c>
      <c r="IU628" s="27" t="s">
        <v>8</v>
      </c>
      <c r="IV628" s="27" t="s">
        <v>7</v>
      </c>
      <c r="JA628" s="27" t="s">
        <v>8</v>
      </c>
      <c r="JL628" s="27" t="s">
        <v>7</v>
      </c>
      <c r="LC628" s="27" t="s">
        <v>8</v>
      </c>
      <c r="LD628" s="27" t="s">
        <v>7</v>
      </c>
      <c r="LE628" s="27" t="s">
        <v>8</v>
      </c>
      <c r="LH628" s="27" t="s">
        <v>7</v>
      </c>
      <c r="LI628" s="27" t="s">
        <v>8</v>
      </c>
    </row>
    <row r="629" spans="1:321" x14ac:dyDescent="0.25">
      <c r="A629" s="7">
        <v>0.4353041283979589</v>
      </c>
      <c r="B629"/>
      <c r="C629"/>
      <c r="D629"/>
      <c r="E629"/>
      <c r="F629" s="27" t="s">
        <v>7</v>
      </c>
      <c r="HQ629" s="27" t="s">
        <v>8</v>
      </c>
      <c r="HR629" s="27" t="s">
        <v>7</v>
      </c>
      <c r="HS629" s="27" t="s">
        <v>8</v>
      </c>
      <c r="HV629" s="27" t="s">
        <v>7</v>
      </c>
      <c r="HW629" s="27" t="s">
        <v>8</v>
      </c>
      <c r="HX629" s="27" t="s">
        <v>7</v>
      </c>
      <c r="HY629" s="27" t="s">
        <v>8</v>
      </c>
      <c r="HZ629" s="27" t="s">
        <v>7</v>
      </c>
      <c r="IA629" s="27" t="s">
        <v>8</v>
      </c>
      <c r="IB629" s="27" t="s">
        <v>7</v>
      </c>
      <c r="IC629" s="27" t="s">
        <v>8</v>
      </c>
      <c r="IE629" s="27" t="s">
        <v>8</v>
      </c>
      <c r="IF629" s="27" t="s">
        <v>7</v>
      </c>
      <c r="II629" s="27" t="s">
        <v>8</v>
      </c>
      <c r="IJ629" s="27" t="s">
        <v>7</v>
      </c>
      <c r="IK629" s="27" t="s">
        <v>8</v>
      </c>
      <c r="IL629" s="27" t="s">
        <v>7</v>
      </c>
      <c r="IM629" s="27" t="s">
        <v>8</v>
      </c>
      <c r="IN629" s="27" t="s">
        <v>7</v>
      </c>
      <c r="IO629" s="27" t="s">
        <v>8</v>
      </c>
      <c r="IP629" s="27" t="s">
        <v>7</v>
      </c>
      <c r="IQ629" s="27" t="s">
        <v>8</v>
      </c>
      <c r="IR629" s="27" t="s">
        <v>7</v>
      </c>
      <c r="IS629" s="27" t="s">
        <v>8</v>
      </c>
      <c r="IT629" s="27" t="s">
        <v>7</v>
      </c>
      <c r="IU629" s="27" t="s">
        <v>8</v>
      </c>
      <c r="IV629" s="27" t="s">
        <v>7</v>
      </c>
      <c r="JA629" s="27" t="s">
        <v>8</v>
      </c>
      <c r="JL629" s="27" t="s">
        <v>7</v>
      </c>
      <c r="LC629" s="27" t="s">
        <v>8</v>
      </c>
      <c r="LD629" s="27" t="s">
        <v>7</v>
      </c>
      <c r="LE629" s="27" t="s">
        <v>8</v>
      </c>
      <c r="LH629" s="27" t="s">
        <v>7</v>
      </c>
      <c r="LI629" s="27" t="s">
        <v>8</v>
      </c>
    </row>
    <row r="630" spans="1:321" x14ac:dyDescent="0.25">
      <c r="A630" s="7">
        <v>0.4267687533313323</v>
      </c>
      <c r="B630"/>
      <c r="C630"/>
      <c r="D630"/>
      <c r="E630"/>
      <c r="F630" s="27" t="s">
        <v>7</v>
      </c>
      <c r="HQ630" s="27" t="s">
        <v>8</v>
      </c>
      <c r="HR630" s="27" t="s">
        <v>7</v>
      </c>
      <c r="HS630" s="27" t="s">
        <v>8</v>
      </c>
      <c r="HV630" s="27" t="s">
        <v>7</v>
      </c>
      <c r="HX630" s="27" t="s">
        <v>7</v>
      </c>
      <c r="HZ630" s="27" t="s">
        <v>7</v>
      </c>
      <c r="IA630" s="27" t="s">
        <v>8</v>
      </c>
      <c r="IB630" s="27" t="s">
        <v>7</v>
      </c>
      <c r="IC630" s="27" t="s">
        <v>8</v>
      </c>
      <c r="ID630" s="27" t="s">
        <v>7</v>
      </c>
      <c r="IE630" s="27" t="s">
        <v>8</v>
      </c>
      <c r="IF630" s="27" t="s">
        <v>7</v>
      </c>
      <c r="II630" s="27" t="s">
        <v>8</v>
      </c>
      <c r="IJ630" s="27" t="s">
        <v>7</v>
      </c>
      <c r="IK630" s="27" t="s">
        <v>8</v>
      </c>
      <c r="IL630" s="27" t="s">
        <v>7</v>
      </c>
      <c r="IM630" s="27" t="s">
        <v>8</v>
      </c>
      <c r="IN630" s="27" t="s">
        <v>7</v>
      </c>
      <c r="IO630" s="27" t="s">
        <v>8</v>
      </c>
      <c r="IP630" s="27" t="s">
        <v>7</v>
      </c>
      <c r="IR630" s="27" t="s">
        <v>7</v>
      </c>
      <c r="IS630" s="27" t="s">
        <v>8</v>
      </c>
      <c r="IT630" s="27" t="s">
        <v>7</v>
      </c>
      <c r="IU630" s="27" t="s">
        <v>8</v>
      </c>
      <c r="IV630" s="27" t="s">
        <v>7</v>
      </c>
      <c r="IW630" s="27" t="s">
        <v>8</v>
      </c>
      <c r="JA630" s="27" t="s">
        <v>8</v>
      </c>
      <c r="JL630" s="27" t="s">
        <v>7</v>
      </c>
      <c r="LC630" s="27" t="s">
        <v>8</v>
      </c>
      <c r="LD630" s="27" t="s">
        <v>7</v>
      </c>
      <c r="LE630" s="27" t="s">
        <v>8</v>
      </c>
      <c r="LH630" s="27" t="s">
        <v>7</v>
      </c>
      <c r="LI630" s="27" t="s">
        <v>8</v>
      </c>
    </row>
    <row r="631" spans="1:321" x14ac:dyDescent="0.25">
      <c r="A631" s="7">
        <v>0.41840073856012971</v>
      </c>
      <c r="B631"/>
      <c r="C631"/>
      <c r="D631"/>
      <c r="E631"/>
      <c r="F631" s="27" t="s">
        <v>7</v>
      </c>
      <c r="HQ631" s="27" t="s">
        <v>8</v>
      </c>
      <c r="HR631" s="27" t="s">
        <v>7</v>
      </c>
      <c r="HS631" s="27" t="s">
        <v>8</v>
      </c>
      <c r="HZ631" s="27" t="s">
        <v>7</v>
      </c>
      <c r="IA631" s="27" t="s">
        <v>8</v>
      </c>
      <c r="IB631" s="27" t="s">
        <v>7</v>
      </c>
      <c r="IC631" s="27" t="s">
        <v>8</v>
      </c>
      <c r="ID631" s="27" t="s">
        <v>7</v>
      </c>
      <c r="IE631" s="27" t="s">
        <v>8</v>
      </c>
      <c r="IF631" s="27" t="s">
        <v>7</v>
      </c>
      <c r="II631" s="27" t="s">
        <v>8</v>
      </c>
      <c r="IJ631" s="27" t="s">
        <v>7</v>
      </c>
      <c r="IK631" s="27" t="s">
        <v>8</v>
      </c>
      <c r="IL631" s="27" t="s">
        <v>7</v>
      </c>
      <c r="IM631" s="27" t="s">
        <v>8</v>
      </c>
      <c r="IN631" s="27" t="s">
        <v>7</v>
      </c>
      <c r="IO631" s="27" t="s">
        <v>8</v>
      </c>
      <c r="IR631" s="27" t="s">
        <v>7</v>
      </c>
      <c r="IS631" s="27" t="s">
        <v>8</v>
      </c>
      <c r="IT631" s="27" t="s">
        <v>7</v>
      </c>
      <c r="IU631" s="27" t="s">
        <v>8</v>
      </c>
      <c r="IV631" s="27" t="s">
        <v>7</v>
      </c>
      <c r="IW631" s="27" t="s">
        <v>8</v>
      </c>
      <c r="IX631" s="27" t="s">
        <v>7</v>
      </c>
      <c r="JA631" s="27" t="s">
        <v>8</v>
      </c>
      <c r="JL631" s="27" t="s">
        <v>7</v>
      </c>
      <c r="LC631" s="27" t="s">
        <v>8</v>
      </c>
      <c r="LD631" s="27" t="s">
        <v>7</v>
      </c>
      <c r="LE631" s="27" t="s">
        <v>8</v>
      </c>
      <c r="LH631" s="27" t="s">
        <v>7</v>
      </c>
    </row>
    <row r="632" spans="1:321" x14ac:dyDescent="0.25">
      <c r="A632" s="7">
        <v>0.41019680250993112</v>
      </c>
      <c r="B632"/>
      <c r="C632"/>
      <c r="D632"/>
      <c r="E632"/>
      <c r="F632" s="27" t="s">
        <v>7</v>
      </c>
      <c r="HQ632" s="27" t="s">
        <v>8</v>
      </c>
      <c r="HR632" s="27" t="s">
        <v>7</v>
      </c>
      <c r="HS632" s="27" t="s">
        <v>8</v>
      </c>
      <c r="HZ632" s="27" t="s">
        <v>7</v>
      </c>
      <c r="IA632" s="27" t="s">
        <v>8</v>
      </c>
      <c r="IB632" s="27" t="s">
        <v>7</v>
      </c>
      <c r="IC632" s="27" t="s">
        <v>8</v>
      </c>
      <c r="ID632" s="27" t="s">
        <v>7</v>
      </c>
      <c r="IE632" s="27" t="s">
        <v>8</v>
      </c>
      <c r="IF632" s="27" t="s">
        <v>7</v>
      </c>
      <c r="II632" s="27" t="s">
        <v>8</v>
      </c>
      <c r="IJ632" s="27" t="s">
        <v>7</v>
      </c>
      <c r="IK632" s="27" t="s">
        <v>8</v>
      </c>
      <c r="IL632" s="27" t="s">
        <v>7</v>
      </c>
      <c r="IM632" s="27" t="s">
        <v>8</v>
      </c>
      <c r="IN632" s="27" t="s">
        <v>7</v>
      </c>
      <c r="IO632" s="27" t="s">
        <v>8</v>
      </c>
      <c r="IR632" s="27" t="s">
        <v>7</v>
      </c>
      <c r="IS632" s="27" t="s">
        <v>8</v>
      </c>
      <c r="IT632" s="27" t="s">
        <v>7</v>
      </c>
      <c r="IV632" s="27" t="s">
        <v>7</v>
      </c>
      <c r="IW632" s="27" t="s">
        <v>8</v>
      </c>
      <c r="IX632" s="27" t="s">
        <v>7</v>
      </c>
      <c r="JA632" s="27" t="s">
        <v>8</v>
      </c>
      <c r="JL632" s="27" t="s">
        <v>7</v>
      </c>
      <c r="LC632" s="27" t="s">
        <v>8</v>
      </c>
      <c r="LD632" s="27" t="s">
        <v>7</v>
      </c>
      <c r="LE632" s="27" t="s">
        <v>8</v>
      </c>
    </row>
    <row r="633" spans="1:321" x14ac:dyDescent="0.25">
      <c r="A633" s="7">
        <v>0.40215372795091286</v>
      </c>
      <c r="B633"/>
      <c r="C633"/>
      <c r="D633"/>
      <c r="E633"/>
      <c r="F633" s="27" t="s">
        <v>7</v>
      </c>
      <c r="HQ633" s="27" t="s">
        <v>8</v>
      </c>
      <c r="HR633" s="27" t="s">
        <v>7</v>
      </c>
      <c r="HS633" s="27" t="s">
        <v>8</v>
      </c>
      <c r="HZ633" s="27" t="s">
        <v>7</v>
      </c>
      <c r="IA633" s="27" t="s">
        <v>8</v>
      </c>
      <c r="IB633" s="27" t="s">
        <v>7</v>
      </c>
      <c r="IC633" s="27" t="s">
        <v>8</v>
      </c>
      <c r="ID633" s="27" t="s">
        <v>7</v>
      </c>
      <c r="IE633" s="27" t="s">
        <v>8</v>
      </c>
      <c r="IF633" s="27" t="s">
        <v>7</v>
      </c>
      <c r="II633" s="27" t="s">
        <v>8</v>
      </c>
      <c r="IJ633" s="27" t="s">
        <v>7</v>
      </c>
      <c r="IK633" s="27" t="s">
        <v>8</v>
      </c>
      <c r="IL633" s="27" t="s">
        <v>7</v>
      </c>
      <c r="IM633" s="27" t="s">
        <v>8</v>
      </c>
      <c r="IN633" s="27" t="s">
        <v>7</v>
      </c>
      <c r="IR633" s="27" t="s">
        <v>7</v>
      </c>
      <c r="IS633" s="27" t="s">
        <v>8</v>
      </c>
      <c r="IV633" s="27" t="s">
        <v>7</v>
      </c>
      <c r="IW633" s="27" t="s">
        <v>8</v>
      </c>
      <c r="IX633" s="27" t="s">
        <v>7</v>
      </c>
      <c r="IY633" s="27" t="s">
        <v>8</v>
      </c>
      <c r="JA633" s="27" t="s">
        <v>8</v>
      </c>
      <c r="JL633" s="27" t="s">
        <v>7</v>
      </c>
      <c r="JM633" s="27" t="s">
        <v>8</v>
      </c>
      <c r="JO633" s="27" t="s">
        <v>8</v>
      </c>
      <c r="LC633" s="27" t="s">
        <v>8</v>
      </c>
      <c r="LD633" s="27" t="s">
        <v>7</v>
      </c>
      <c r="LE633" s="27" t="s">
        <v>8</v>
      </c>
    </row>
    <row r="634" spans="1:321" x14ac:dyDescent="0.25">
      <c r="A634" s="7">
        <v>0.39426836073618904</v>
      </c>
      <c r="B634"/>
      <c r="C634"/>
      <c r="D634"/>
      <c r="E634"/>
      <c r="F634" s="27" t="s">
        <v>7</v>
      </c>
      <c r="HQ634" s="27" t="s">
        <v>8</v>
      </c>
      <c r="HR634" s="27" t="s">
        <v>7</v>
      </c>
      <c r="HS634" s="27" t="s">
        <v>8</v>
      </c>
      <c r="HZ634" s="27" t="s">
        <v>7</v>
      </c>
      <c r="IA634" s="27" t="s">
        <v>8</v>
      </c>
      <c r="IB634" s="27" t="s">
        <v>7</v>
      </c>
      <c r="IC634" s="27" t="s">
        <v>8</v>
      </c>
      <c r="ID634" s="27" t="s">
        <v>7</v>
      </c>
      <c r="IE634" s="27" t="s">
        <v>8</v>
      </c>
      <c r="IF634" s="27" t="s">
        <v>7</v>
      </c>
      <c r="II634" s="27" t="s">
        <v>8</v>
      </c>
      <c r="IJ634" s="27" t="s">
        <v>7</v>
      </c>
      <c r="IK634" s="27" t="s">
        <v>8</v>
      </c>
      <c r="IL634" s="27" t="s">
        <v>7</v>
      </c>
      <c r="IM634" s="27" t="s">
        <v>8</v>
      </c>
      <c r="IR634" s="27" t="s">
        <v>7</v>
      </c>
      <c r="IS634" s="27" t="s">
        <v>8</v>
      </c>
      <c r="IV634" s="27" t="s">
        <v>7</v>
      </c>
      <c r="IW634" s="27" t="s">
        <v>8</v>
      </c>
      <c r="IX634" s="27" t="s">
        <v>7</v>
      </c>
      <c r="IY634" s="27" t="s">
        <v>8</v>
      </c>
      <c r="IZ634" s="27" t="s">
        <v>7</v>
      </c>
      <c r="JA634" s="27" t="s">
        <v>8</v>
      </c>
      <c r="JL634" s="27" t="s">
        <v>7</v>
      </c>
      <c r="JM634" s="27" t="s">
        <v>8</v>
      </c>
      <c r="JN634" s="27" t="s">
        <v>7</v>
      </c>
      <c r="JO634" s="27" t="s">
        <v>8</v>
      </c>
      <c r="JP634" s="27" t="s">
        <v>7</v>
      </c>
      <c r="LC634" s="27" t="s">
        <v>8</v>
      </c>
      <c r="LD634" s="27" t="s">
        <v>7</v>
      </c>
      <c r="LE634" s="27" t="s">
        <v>8</v>
      </c>
    </row>
    <row r="635" spans="1:321" x14ac:dyDescent="0.25">
      <c r="A635" s="7">
        <v>0.38653760856489122</v>
      </c>
      <c r="B635"/>
      <c r="C635"/>
      <c r="D635"/>
      <c r="E635"/>
      <c r="F635" s="27" t="s">
        <v>7</v>
      </c>
      <c r="HQ635" s="27" t="s">
        <v>8</v>
      </c>
      <c r="HR635" s="27" t="s">
        <v>7</v>
      </c>
      <c r="HZ635" s="27" t="s">
        <v>7</v>
      </c>
      <c r="IA635" s="27" t="s">
        <v>8</v>
      </c>
      <c r="IB635" s="27" t="s">
        <v>7</v>
      </c>
      <c r="IC635" s="27" t="s">
        <v>8</v>
      </c>
      <c r="ID635" s="27" t="s">
        <v>7</v>
      </c>
      <c r="IF635" s="27" t="s">
        <v>7</v>
      </c>
      <c r="II635" s="27" t="s">
        <v>8</v>
      </c>
      <c r="IJ635" s="27" t="s">
        <v>7</v>
      </c>
      <c r="IL635" s="27" t="s">
        <v>7</v>
      </c>
      <c r="IR635" s="27" t="s">
        <v>7</v>
      </c>
      <c r="IV635" s="27" t="s">
        <v>7</v>
      </c>
      <c r="IW635" s="27" t="s">
        <v>8</v>
      </c>
      <c r="IX635" s="27" t="s">
        <v>7</v>
      </c>
      <c r="IY635" s="27" t="s">
        <v>8</v>
      </c>
      <c r="IZ635" s="27" t="s">
        <v>7</v>
      </c>
      <c r="JA635" s="27" t="s">
        <v>8</v>
      </c>
      <c r="JL635" s="27" t="s">
        <v>7</v>
      </c>
      <c r="JM635" s="27" t="s">
        <v>8</v>
      </c>
      <c r="JN635" s="27" t="s">
        <v>7</v>
      </c>
      <c r="JO635" s="27" t="s">
        <v>8</v>
      </c>
      <c r="JP635" s="27" t="s">
        <v>7</v>
      </c>
      <c r="LC635" s="27" t="s">
        <v>8</v>
      </c>
      <c r="LD635" s="27" t="s">
        <v>7</v>
      </c>
      <c r="LE635" s="27" t="s">
        <v>8</v>
      </c>
    </row>
    <row r="636" spans="1:321" x14ac:dyDescent="0.25">
      <c r="A636" s="7">
        <v>0.37895843976950117</v>
      </c>
      <c r="B636"/>
      <c r="C636"/>
      <c r="D636"/>
      <c r="E636"/>
      <c r="F636" s="27" t="s">
        <v>7</v>
      </c>
      <c r="HQ636" s="27" t="s">
        <v>8</v>
      </c>
      <c r="HZ636" s="27" t="s">
        <v>7</v>
      </c>
      <c r="IA636" s="27" t="s">
        <v>8</v>
      </c>
      <c r="IB636" s="27" t="s">
        <v>7</v>
      </c>
      <c r="IC636" s="27" t="s">
        <v>8</v>
      </c>
      <c r="IF636" s="27" t="s">
        <v>7</v>
      </c>
      <c r="II636" s="27" t="s">
        <v>8</v>
      </c>
      <c r="IV636" s="27" t="s">
        <v>7</v>
      </c>
      <c r="IW636" s="27" t="s">
        <v>8</v>
      </c>
      <c r="IX636" s="27" t="s">
        <v>7</v>
      </c>
      <c r="IY636" s="27" t="s">
        <v>8</v>
      </c>
      <c r="IZ636" s="27" t="s">
        <v>7</v>
      </c>
      <c r="JA636" s="27" t="s">
        <v>8</v>
      </c>
      <c r="JL636" s="27" t="s">
        <v>7</v>
      </c>
      <c r="JM636" s="27" t="s">
        <v>8</v>
      </c>
      <c r="JN636" s="27" t="s">
        <v>7</v>
      </c>
      <c r="JO636" s="27" t="s">
        <v>8</v>
      </c>
      <c r="JP636" s="27" t="s">
        <v>7</v>
      </c>
      <c r="LC636" s="27" t="s">
        <v>8</v>
      </c>
      <c r="LD636" s="27" t="s">
        <v>7</v>
      </c>
      <c r="LE636" s="27" t="s">
        <v>8</v>
      </c>
    </row>
    <row r="637" spans="1:321" x14ac:dyDescent="0.25">
      <c r="A637" s="7">
        <v>0.37152788212696197</v>
      </c>
      <c r="B637"/>
      <c r="C637"/>
      <c r="D637"/>
      <c r="E637"/>
      <c r="F637" s="27" t="s">
        <v>7</v>
      </c>
      <c r="HQ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IF637" s="27" t="s">
        <v>7</v>
      </c>
      <c r="IG637" s="27" t="s">
        <v>8</v>
      </c>
      <c r="II637" s="27" t="s">
        <v>8</v>
      </c>
      <c r="IV637" s="27" t="s">
        <v>7</v>
      </c>
      <c r="IW637" s="27" t="s">
        <v>8</v>
      </c>
      <c r="IX637" s="27" t="s">
        <v>7</v>
      </c>
      <c r="IY637" s="27" t="s">
        <v>8</v>
      </c>
      <c r="IZ637" s="27" t="s">
        <v>7</v>
      </c>
      <c r="JA637" s="27" t="s">
        <v>8</v>
      </c>
      <c r="JL637" s="27" t="s">
        <v>7</v>
      </c>
      <c r="JM637" s="27" t="s">
        <v>8</v>
      </c>
      <c r="JN637" s="27" t="s">
        <v>7</v>
      </c>
      <c r="JO637" s="27" t="s">
        <v>8</v>
      </c>
      <c r="JP637" s="27" t="s">
        <v>7</v>
      </c>
      <c r="LC637" s="27" t="s">
        <v>8</v>
      </c>
      <c r="LD637" s="27" t="s">
        <v>7</v>
      </c>
    </row>
    <row r="638" spans="1:321" x14ac:dyDescent="0.25">
      <c r="A638" s="7">
        <v>0.36424302169310002</v>
      </c>
      <c r="B638"/>
      <c r="C638"/>
      <c r="D638"/>
      <c r="E638"/>
      <c r="F638" s="27" t="s">
        <v>7</v>
      </c>
      <c r="HQ638" s="27" t="s">
        <v>8</v>
      </c>
      <c r="HZ638" s="27" t="s">
        <v>7</v>
      </c>
      <c r="IA638" s="27" t="s">
        <v>8</v>
      </c>
      <c r="IB638" s="27" t="s">
        <v>7</v>
      </c>
      <c r="IC638" s="27" t="s">
        <v>8</v>
      </c>
      <c r="IF638" s="27" t="s">
        <v>7</v>
      </c>
      <c r="IG638" s="27" t="s">
        <v>8</v>
      </c>
      <c r="IH638" s="27" t="s">
        <v>7</v>
      </c>
      <c r="II638" s="27" t="s">
        <v>8</v>
      </c>
      <c r="IV638" s="27" t="s">
        <v>7</v>
      </c>
      <c r="IW638" s="27" t="s">
        <v>8</v>
      </c>
      <c r="IX638" s="27" t="s">
        <v>7</v>
      </c>
      <c r="IY638" s="27" t="s">
        <v>8</v>
      </c>
      <c r="IZ638" s="27" t="s">
        <v>7</v>
      </c>
      <c r="JA638" s="27" t="s">
        <v>8</v>
      </c>
      <c r="JL638" s="27" t="s">
        <v>7</v>
      </c>
      <c r="JM638" s="27" t="s">
        <v>8</v>
      </c>
      <c r="JN638" s="27" t="s">
        <v>7</v>
      </c>
      <c r="JO638" s="27" t="s">
        <v>8</v>
      </c>
      <c r="JP638" s="27" t="s">
        <v>7</v>
      </c>
      <c r="LC638" s="27" t="s">
        <v>8</v>
      </c>
    </row>
    <row r="639" spans="1:321" x14ac:dyDescent="0.25">
      <c r="A639" s="7">
        <v>0.35710100165990194</v>
      </c>
      <c r="B639"/>
      <c r="C639"/>
      <c r="D639"/>
      <c r="E639"/>
      <c r="F639" s="27" t="s">
        <v>7</v>
      </c>
      <c r="HQ639" s="27" t="s">
        <v>8</v>
      </c>
      <c r="HZ639" s="27" t="s">
        <v>7</v>
      </c>
      <c r="IB639" s="27" t="s">
        <v>7</v>
      </c>
      <c r="IC639" s="27" t="s">
        <v>8</v>
      </c>
      <c r="IF639" s="27" t="s">
        <v>7</v>
      </c>
      <c r="IG639" s="27" t="s">
        <v>8</v>
      </c>
      <c r="IH639" s="27" t="s">
        <v>7</v>
      </c>
      <c r="II639" s="27" t="s">
        <v>8</v>
      </c>
      <c r="IV639" s="27" t="s">
        <v>7</v>
      </c>
      <c r="IW639" s="27" t="s">
        <v>8</v>
      </c>
      <c r="IX639" s="27" t="s">
        <v>7</v>
      </c>
      <c r="IZ639" s="27" t="s">
        <v>7</v>
      </c>
      <c r="JA639" s="27" t="s">
        <v>8</v>
      </c>
      <c r="JL639" s="27" t="s">
        <v>7</v>
      </c>
      <c r="JM639" s="27" t="s">
        <v>8</v>
      </c>
      <c r="JN639" s="27" t="s">
        <v>7</v>
      </c>
      <c r="JO639" s="27" t="s">
        <v>8</v>
      </c>
      <c r="JP639" s="27" t="s">
        <v>7</v>
      </c>
      <c r="JQ639" s="27" t="s">
        <v>8</v>
      </c>
      <c r="LC639" s="27" t="s">
        <v>8</v>
      </c>
    </row>
    <row r="640" spans="1:321" x14ac:dyDescent="0.25">
      <c r="A640" s="7">
        <v>0.35009902123519804</v>
      </c>
      <c r="B640"/>
      <c r="C640"/>
      <c r="D640"/>
      <c r="E640"/>
      <c r="F640" s="27" t="s">
        <v>7</v>
      </c>
      <c r="HQ640" s="27" t="s">
        <v>8</v>
      </c>
      <c r="IB640" s="27" t="s">
        <v>7</v>
      </c>
      <c r="IF640" s="27" t="s">
        <v>7</v>
      </c>
      <c r="IG640" s="27" t="s">
        <v>8</v>
      </c>
      <c r="IH640" s="27" t="s">
        <v>7</v>
      </c>
      <c r="II640" s="27" t="s">
        <v>8</v>
      </c>
      <c r="IV640" s="27" t="s">
        <v>7</v>
      </c>
      <c r="IW640" s="27" t="s">
        <v>8</v>
      </c>
      <c r="IZ640" s="27" t="s">
        <v>7</v>
      </c>
      <c r="JA640" s="27" t="s">
        <v>8</v>
      </c>
      <c r="JL640" s="27" t="s">
        <v>7</v>
      </c>
      <c r="JM640" s="27" t="s">
        <v>8</v>
      </c>
      <c r="JN640" s="27" t="s">
        <v>7</v>
      </c>
      <c r="JO640" s="27" t="s">
        <v>8</v>
      </c>
      <c r="JP640" s="27" t="s">
        <v>7</v>
      </c>
      <c r="JQ640" s="27" t="s">
        <v>8</v>
      </c>
      <c r="JR640" s="27" t="s">
        <v>7</v>
      </c>
      <c r="LA640" s="27" t="s">
        <v>8</v>
      </c>
      <c r="LC640" s="27" t="s">
        <v>8</v>
      </c>
    </row>
    <row r="641" spans="1:315" x14ac:dyDescent="0.25">
      <c r="A641" s="7">
        <v>0.34323433454431179</v>
      </c>
      <c r="B641"/>
      <c r="C641"/>
      <c r="D641"/>
      <c r="E641"/>
      <c r="F641" s="27" t="s">
        <v>7</v>
      </c>
      <c r="HQ641" s="27" t="s">
        <v>8</v>
      </c>
      <c r="IF641" s="27" t="s">
        <v>7</v>
      </c>
      <c r="IG641" s="27" t="s">
        <v>8</v>
      </c>
      <c r="IH641" s="27" t="s">
        <v>7</v>
      </c>
      <c r="IV641" s="27" t="s">
        <v>7</v>
      </c>
      <c r="IW641" s="27" t="s">
        <v>8</v>
      </c>
      <c r="IZ641" s="27" t="s">
        <v>7</v>
      </c>
      <c r="JA641" s="27" t="s">
        <v>8</v>
      </c>
      <c r="JL641" s="27" t="s">
        <v>7</v>
      </c>
      <c r="JM641" s="27" t="s">
        <v>8</v>
      </c>
      <c r="JN641" s="27" t="s">
        <v>7</v>
      </c>
      <c r="JO641" s="27" t="s">
        <v>8</v>
      </c>
      <c r="JP641" s="27" t="s">
        <v>7</v>
      </c>
      <c r="JQ641" s="27" t="s">
        <v>8</v>
      </c>
      <c r="JR641" s="27" t="s">
        <v>7</v>
      </c>
      <c r="JW641" s="27" t="s">
        <v>8</v>
      </c>
      <c r="LA641" s="27" t="s">
        <v>8</v>
      </c>
      <c r="LB641" s="27" t="s">
        <v>7</v>
      </c>
      <c r="LC641" s="27" t="s">
        <v>8</v>
      </c>
    </row>
    <row r="642" spans="1:315" x14ac:dyDescent="0.25">
      <c r="A642" s="7">
        <v>0.33650424955324681</v>
      </c>
      <c r="B642"/>
      <c r="C642"/>
      <c r="D642"/>
      <c r="E642"/>
      <c r="F642" s="27" t="s">
        <v>7</v>
      </c>
      <c r="HQ642" s="27" t="s">
        <v>8</v>
      </c>
      <c r="IF642" s="27" t="s">
        <v>7</v>
      </c>
      <c r="IG642" s="27" t="s">
        <v>8</v>
      </c>
      <c r="IV642" s="27" t="s">
        <v>7</v>
      </c>
      <c r="IW642" s="27" t="s">
        <v>8</v>
      </c>
      <c r="IZ642" s="27" t="s">
        <v>7</v>
      </c>
      <c r="JA642" s="27" t="s">
        <v>8</v>
      </c>
      <c r="JL642" s="27" t="s">
        <v>7</v>
      </c>
      <c r="JM642" s="27" t="s">
        <v>8</v>
      </c>
      <c r="JN642" s="27" t="s">
        <v>7</v>
      </c>
      <c r="JO642" s="27" t="s">
        <v>8</v>
      </c>
      <c r="JP642" s="27" t="s">
        <v>7</v>
      </c>
      <c r="JQ642" s="27" t="s">
        <v>8</v>
      </c>
      <c r="JR642" s="27" t="s">
        <v>7</v>
      </c>
      <c r="JW642" s="27" t="s">
        <v>8</v>
      </c>
      <c r="JX642" s="27" t="s">
        <v>7</v>
      </c>
      <c r="KY642" s="27" t="s">
        <v>8</v>
      </c>
      <c r="LA642" s="27" t="s">
        <v>8</v>
      </c>
      <c r="LB642" s="27" t="s">
        <v>7</v>
      </c>
      <c r="LC642" s="27" t="s">
        <v>8</v>
      </c>
    </row>
    <row r="643" spans="1:315" x14ac:dyDescent="0.25">
      <c r="A643" s="7">
        <v>0.3299061270129871</v>
      </c>
      <c r="B643"/>
      <c r="C643"/>
      <c r="D643"/>
      <c r="E643"/>
      <c r="F643" s="27" t="s">
        <v>7</v>
      </c>
      <c r="HQ643" s="27" t="s">
        <v>8</v>
      </c>
      <c r="IF643" s="27" t="s">
        <v>7</v>
      </c>
      <c r="IG643" s="27" t="s">
        <v>8</v>
      </c>
      <c r="IV643" s="27" t="s">
        <v>7</v>
      </c>
      <c r="IW643" s="27" t="s">
        <v>8</v>
      </c>
      <c r="IZ643" s="27" t="s">
        <v>7</v>
      </c>
      <c r="JA643" s="27" t="s">
        <v>8</v>
      </c>
      <c r="JL643" s="27" t="s">
        <v>7</v>
      </c>
      <c r="JM643" s="27" t="s">
        <v>8</v>
      </c>
      <c r="JN643" s="27" t="s">
        <v>7</v>
      </c>
      <c r="JO643" s="27" t="s">
        <v>8</v>
      </c>
      <c r="JP643" s="27" t="s">
        <v>7</v>
      </c>
      <c r="JQ643" s="27" t="s">
        <v>8</v>
      </c>
      <c r="JR643" s="27" t="s">
        <v>7</v>
      </c>
      <c r="JW643" s="27" t="s">
        <v>8</v>
      </c>
      <c r="JX643" s="27" t="s">
        <v>7</v>
      </c>
      <c r="KY643" s="27" t="s">
        <v>8</v>
      </c>
      <c r="KZ643" s="27" t="s">
        <v>7</v>
      </c>
      <c r="LA643" s="27" t="s">
        <v>8</v>
      </c>
      <c r="LB643" s="27" t="s">
        <v>7</v>
      </c>
      <c r="LC643" s="27" t="s">
        <v>8</v>
      </c>
    </row>
    <row r="644" spans="1:315" x14ac:dyDescent="0.25">
      <c r="A644" s="7">
        <v>0.32343737942449713</v>
      </c>
      <c r="B644"/>
      <c r="C644"/>
      <c r="D644"/>
      <c r="E644"/>
      <c r="F644" s="27" t="s">
        <v>7</v>
      </c>
      <c r="HQ644" s="27" t="s">
        <v>8</v>
      </c>
      <c r="IF644" s="27" t="s">
        <v>7</v>
      </c>
      <c r="IG644" s="27" t="s">
        <v>8</v>
      </c>
      <c r="IV644" s="27" t="s">
        <v>7</v>
      </c>
      <c r="IZ644" s="27" t="s">
        <v>7</v>
      </c>
      <c r="JA644" s="27" t="s">
        <v>8</v>
      </c>
      <c r="JL644" s="27" t="s">
        <v>7</v>
      </c>
      <c r="JM644" s="27" t="s">
        <v>8</v>
      </c>
      <c r="JN644" s="27" t="s">
        <v>7</v>
      </c>
      <c r="JO644" s="27" t="s">
        <v>8</v>
      </c>
      <c r="JP644" s="27" t="s">
        <v>7</v>
      </c>
      <c r="JQ644" s="27" t="s">
        <v>8</v>
      </c>
      <c r="JR644" s="27" t="s">
        <v>7</v>
      </c>
      <c r="JW644" s="27" t="s">
        <v>8</v>
      </c>
      <c r="JX644" s="27" t="s">
        <v>7</v>
      </c>
      <c r="KY644" s="27" t="s">
        <v>8</v>
      </c>
      <c r="KZ644" s="27" t="s">
        <v>7</v>
      </c>
      <c r="LA644" s="27" t="s">
        <v>8</v>
      </c>
      <c r="LB644" s="27" t="s">
        <v>7</v>
      </c>
    </row>
    <row r="645" spans="1:315" x14ac:dyDescent="0.25">
      <c r="A645" s="7">
        <v>0.31709547002401678</v>
      </c>
      <c r="B645"/>
      <c r="C645"/>
      <c r="D645"/>
      <c r="E645"/>
      <c r="F645" s="27" t="s">
        <v>7</v>
      </c>
      <c r="HQ645" s="27" t="s">
        <v>8</v>
      </c>
      <c r="IF645" s="27" t="s">
        <v>7</v>
      </c>
      <c r="IG645" s="27" t="s">
        <v>8</v>
      </c>
      <c r="IZ645" s="27" t="s">
        <v>7</v>
      </c>
      <c r="JA645" s="27" t="s">
        <v>8</v>
      </c>
      <c r="JL645" s="27" t="s">
        <v>7</v>
      </c>
      <c r="JM645" s="27" t="s">
        <v>8</v>
      </c>
      <c r="JN645" s="27" t="s">
        <v>7</v>
      </c>
      <c r="JO645" s="27" t="s">
        <v>8</v>
      </c>
      <c r="JP645" s="27" t="s">
        <v>7</v>
      </c>
      <c r="JQ645" s="27" t="s">
        <v>8</v>
      </c>
      <c r="JR645" s="27" t="s">
        <v>7</v>
      </c>
      <c r="JS645" s="27" t="s">
        <v>8</v>
      </c>
      <c r="JW645" s="27" t="s">
        <v>8</v>
      </c>
      <c r="JX645" s="27" t="s">
        <v>7</v>
      </c>
      <c r="JY645" s="27" t="s">
        <v>8</v>
      </c>
      <c r="KY645" s="27" t="s">
        <v>8</v>
      </c>
      <c r="KZ645" s="27" t="s">
        <v>7</v>
      </c>
      <c r="LA645" s="27" t="s">
        <v>8</v>
      </c>
    </row>
    <row r="646" spans="1:315" x14ac:dyDescent="0.25">
      <c r="A646" s="7">
        <v>0.31087791178825175</v>
      </c>
      <c r="B646"/>
      <c r="C646"/>
      <c r="D646"/>
      <c r="E646"/>
      <c r="F646" s="27" t="s">
        <v>7</v>
      </c>
      <c r="HQ646" s="27" t="s">
        <v>8</v>
      </c>
      <c r="IF646" s="27" t="s">
        <v>7</v>
      </c>
      <c r="IG646" s="27" t="s">
        <v>8</v>
      </c>
      <c r="IZ646" s="27" t="s">
        <v>7</v>
      </c>
      <c r="JA646" s="27" t="s">
        <v>8</v>
      </c>
      <c r="JL646" s="27" t="s">
        <v>7</v>
      </c>
      <c r="JM646" s="27" t="s">
        <v>8</v>
      </c>
      <c r="JN646" s="27" t="s">
        <v>7</v>
      </c>
      <c r="JO646" s="27" t="s">
        <v>8</v>
      </c>
      <c r="JP646" s="27" t="s">
        <v>7</v>
      </c>
      <c r="JQ646" s="27" t="s">
        <v>8</v>
      </c>
      <c r="JR646" s="27" t="s">
        <v>7</v>
      </c>
      <c r="JS646" s="27" t="s">
        <v>8</v>
      </c>
      <c r="JT646" s="27" t="s">
        <v>7</v>
      </c>
      <c r="JW646" s="27" t="s">
        <v>8</v>
      </c>
      <c r="JX646" s="27" t="s">
        <v>7</v>
      </c>
      <c r="JY646" s="27" t="s">
        <v>8</v>
      </c>
      <c r="JZ646" s="27" t="s">
        <v>7</v>
      </c>
      <c r="KY646" s="27" t="s">
        <v>8</v>
      </c>
      <c r="KZ646" s="27" t="s">
        <v>7</v>
      </c>
      <c r="LA646" s="27" t="s">
        <v>8</v>
      </c>
    </row>
    <row r="647" spans="1:315" x14ac:dyDescent="0.25">
      <c r="A647" s="7">
        <v>0.30478226645907036</v>
      </c>
      <c r="B647"/>
      <c r="C647"/>
      <c r="D647"/>
      <c r="E647"/>
      <c r="F647" s="27" t="s">
        <v>7</v>
      </c>
      <c r="HQ647" s="27" t="s">
        <v>8</v>
      </c>
      <c r="IF647" s="27" t="s">
        <v>7</v>
      </c>
      <c r="IG647" s="27" t="s">
        <v>8</v>
      </c>
      <c r="IZ647" s="27" t="s">
        <v>7</v>
      </c>
      <c r="JA647" s="27" t="s">
        <v>8</v>
      </c>
      <c r="JL647" s="27" t="s">
        <v>7</v>
      </c>
      <c r="JM647" s="27" t="s">
        <v>8</v>
      </c>
      <c r="JN647" s="27" t="s">
        <v>7</v>
      </c>
      <c r="JO647" s="27" t="s">
        <v>8</v>
      </c>
      <c r="JP647" s="27" t="s">
        <v>7</v>
      </c>
      <c r="JQ647" s="27" t="s">
        <v>8</v>
      </c>
      <c r="JR647" s="27" t="s">
        <v>7</v>
      </c>
      <c r="JS647" s="27" t="s">
        <v>8</v>
      </c>
      <c r="JT647" s="27" t="s">
        <v>7</v>
      </c>
      <c r="JU647" s="27" t="s">
        <v>8</v>
      </c>
      <c r="JW647" s="27" t="s">
        <v>8</v>
      </c>
      <c r="JX647" s="27" t="s">
        <v>7</v>
      </c>
      <c r="JY647" s="27" t="s">
        <v>8</v>
      </c>
      <c r="JZ647" s="27" t="s">
        <v>7</v>
      </c>
      <c r="KY647" s="27" t="s">
        <v>8</v>
      </c>
      <c r="KZ647" s="27" t="s">
        <v>7</v>
      </c>
      <c r="LA647" s="27" t="s">
        <v>8</v>
      </c>
    </row>
    <row r="648" spans="1:315" x14ac:dyDescent="0.25">
      <c r="A648" s="7">
        <v>0.29880614358732388</v>
      </c>
      <c r="B648"/>
      <c r="C648"/>
      <c r="D648"/>
      <c r="E648"/>
      <c r="F648" s="27" t="s">
        <v>7</v>
      </c>
      <c r="HQ648" s="27" t="s">
        <v>8</v>
      </c>
      <c r="IF648" s="27" t="s">
        <v>7</v>
      </c>
      <c r="IG648" s="27" t="s">
        <v>8</v>
      </c>
      <c r="IZ648" s="27" t="s">
        <v>7</v>
      </c>
      <c r="JA648" s="27" t="s">
        <v>8</v>
      </c>
      <c r="JL648" s="27" t="s">
        <v>7</v>
      </c>
      <c r="JM648" s="27" t="s">
        <v>8</v>
      </c>
      <c r="JN648" s="27" t="s">
        <v>7</v>
      </c>
      <c r="JO648" s="27" t="s">
        <v>8</v>
      </c>
      <c r="JP648" s="27" t="s">
        <v>7</v>
      </c>
      <c r="JR648" s="27" t="s">
        <v>7</v>
      </c>
      <c r="JS648" s="27" t="s">
        <v>8</v>
      </c>
      <c r="JT648" s="27" t="s">
        <v>7</v>
      </c>
      <c r="JU648" s="27" t="s">
        <v>8</v>
      </c>
      <c r="JV648" s="27" t="s">
        <v>7</v>
      </c>
      <c r="JW648" s="27" t="s">
        <v>8</v>
      </c>
      <c r="JX648" s="27" t="s">
        <v>7</v>
      </c>
      <c r="JY648" s="27" t="s">
        <v>8</v>
      </c>
      <c r="JZ648" s="27" t="s">
        <v>7</v>
      </c>
      <c r="KW648" s="27" t="s">
        <v>8</v>
      </c>
      <c r="KY648" s="27" t="s">
        <v>8</v>
      </c>
      <c r="KZ648" s="27" t="s">
        <v>7</v>
      </c>
      <c r="LA648" s="27" t="s">
        <v>8</v>
      </c>
    </row>
    <row r="649" spans="1:315" x14ac:dyDescent="0.25">
      <c r="A649" s="7">
        <v>0.2929471995954156</v>
      </c>
      <c r="B649"/>
      <c r="C649"/>
      <c r="D649"/>
      <c r="E649"/>
      <c r="F649" s="27" t="s">
        <v>7</v>
      </c>
      <c r="HQ649" s="27" t="s">
        <v>8</v>
      </c>
      <c r="IF649" s="27" t="s">
        <v>7</v>
      </c>
      <c r="IZ649" s="27" t="s">
        <v>7</v>
      </c>
      <c r="JA649" s="27" t="s">
        <v>8</v>
      </c>
      <c r="JL649" s="27" t="s">
        <v>7</v>
      </c>
      <c r="JM649" s="27" t="s">
        <v>8</v>
      </c>
      <c r="JN649" s="27" t="s">
        <v>7</v>
      </c>
      <c r="JO649" s="27" t="s">
        <v>8</v>
      </c>
      <c r="JR649" s="27" t="s">
        <v>7</v>
      </c>
      <c r="JS649" s="27" t="s">
        <v>8</v>
      </c>
      <c r="JT649" s="27" t="s">
        <v>7</v>
      </c>
      <c r="JU649" s="27" t="s">
        <v>8</v>
      </c>
      <c r="JV649" s="27" t="s">
        <v>7</v>
      </c>
      <c r="JW649" s="27" t="s">
        <v>8</v>
      </c>
      <c r="JX649" s="27" t="s">
        <v>7</v>
      </c>
      <c r="JY649" s="27" t="s">
        <v>8</v>
      </c>
      <c r="JZ649" s="27" t="s">
        <v>7</v>
      </c>
      <c r="KW649" s="27" t="s">
        <v>8</v>
      </c>
      <c r="KX649" s="27" t="s">
        <v>7</v>
      </c>
      <c r="KY649" s="27" t="s">
        <v>8</v>
      </c>
      <c r="KZ649" s="27" t="s">
        <v>7</v>
      </c>
    </row>
    <row r="650" spans="1:315" x14ac:dyDescent="0.25">
      <c r="A650" s="7">
        <v>0.28720313685825055</v>
      </c>
      <c r="B650"/>
      <c r="C650"/>
      <c r="D650"/>
      <c r="E650"/>
      <c r="F650" s="27" t="s">
        <v>7</v>
      </c>
      <c r="HQ650" s="27" t="s">
        <v>8</v>
      </c>
      <c r="IZ650" s="27" t="s">
        <v>7</v>
      </c>
      <c r="JA650" s="27" t="s">
        <v>8</v>
      </c>
      <c r="JL650" s="27" t="s">
        <v>7</v>
      </c>
      <c r="JM650" s="27" t="s">
        <v>8</v>
      </c>
      <c r="JN650" s="27" t="s">
        <v>7</v>
      </c>
      <c r="JO650" s="27" t="s">
        <v>8</v>
      </c>
      <c r="JR650" s="27" t="s">
        <v>7</v>
      </c>
      <c r="JS650" s="27" t="s">
        <v>8</v>
      </c>
      <c r="JT650" s="27" t="s">
        <v>7</v>
      </c>
      <c r="JU650" s="27" t="s">
        <v>8</v>
      </c>
      <c r="JV650" s="27" t="s">
        <v>7</v>
      </c>
      <c r="JW650" s="27" t="s">
        <v>8</v>
      </c>
      <c r="JX650" s="27" t="s">
        <v>7</v>
      </c>
      <c r="JZ650" s="27" t="s">
        <v>7</v>
      </c>
      <c r="KW650" s="27" t="s">
        <v>8</v>
      </c>
      <c r="KX650" s="27" t="s">
        <v>7</v>
      </c>
      <c r="KY650" s="27" t="s">
        <v>8</v>
      </c>
    </row>
    <row r="651" spans="1:315" x14ac:dyDescent="0.25">
      <c r="A651" s="7">
        <v>0.28157170280220645</v>
      </c>
      <c r="B651"/>
      <c r="C651"/>
      <c r="D651"/>
      <c r="E651"/>
      <c r="F651" s="27" t="s">
        <v>7</v>
      </c>
      <c r="HQ651" s="27" t="s">
        <v>8</v>
      </c>
      <c r="IZ651" s="27" t="s">
        <v>7</v>
      </c>
      <c r="JA651" s="27" t="s">
        <v>8</v>
      </c>
      <c r="JL651" s="27" t="s">
        <v>7</v>
      </c>
      <c r="JM651" s="27" t="s">
        <v>8</v>
      </c>
      <c r="JN651" s="27" t="s">
        <v>7</v>
      </c>
      <c r="JO651" s="27" t="s">
        <v>8</v>
      </c>
      <c r="JR651" s="27" t="s">
        <v>7</v>
      </c>
      <c r="JS651" s="27" t="s">
        <v>8</v>
      </c>
      <c r="JT651" s="27" t="s">
        <v>7</v>
      </c>
      <c r="JU651" s="27" t="s">
        <v>8</v>
      </c>
      <c r="JV651" s="27" t="s">
        <v>7</v>
      </c>
      <c r="JW651" s="27" t="s">
        <v>8</v>
      </c>
      <c r="JZ651" s="27" t="s">
        <v>7</v>
      </c>
      <c r="KW651" s="27" t="s">
        <v>8</v>
      </c>
      <c r="KX651" s="27" t="s">
        <v>7</v>
      </c>
      <c r="KY651" s="27" t="s">
        <v>8</v>
      </c>
    </row>
    <row r="652" spans="1:315" x14ac:dyDescent="0.25">
      <c r="A652" s="7">
        <v>0.27605068902177105</v>
      </c>
      <c r="B652"/>
      <c r="C652"/>
      <c r="D652"/>
      <c r="E652"/>
      <c r="F652" s="27" t="s">
        <v>7</v>
      </c>
      <c r="HQ652" s="27" t="s">
        <v>8</v>
      </c>
      <c r="IZ652" s="27" t="s">
        <v>7</v>
      </c>
      <c r="JA652" s="27" t="s">
        <v>8</v>
      </c>
      <c r="JL652" s="27" t="s">
        <v>7</v>
      </c>
      <c r="JM652" s="27" t="s">
        <v>8</v>
      </c>
      <c r="JN652" s="27" t="s">
        <v>7</v>
      </c>
      <c r="JO652" s="27" t="s">
        <v>8</v>
      </c>
      <c r="JR652" s="27" t="s">
        <v>7</v>
      </c>
      <c r="JS652" s="27" t="s">
        <v>8</v>
      </c>
      <c r="JT652" s="27" t="s">
        <v>7</v>
      </c>
      <c r="JU652" s="27" t="s">
        <v>8</v>
      </c>
      <c r="JV652" s="27" t="s">
        <v>7</v>
      </c>
      <c r="JW652" s="27" t="s">
        <v>8</v>
      </c>
      <c r="JZ652" s="27" t="s">
        <v>7</v>
      </c>
      <c r="KI652" s="27" t="s">
        <v>8</v>
      </c>
      <c r="KW652" s="27" t="s">
        <v>8</v>
      </c>
      <c r="KX652" s="27" t="s">
        <v>7</v>
      </c>
      <c r="KY652" s="27" t="s">
        <v>8</v>
      </c>
    </row>
    <row r="653" spans="1:315" x14ac:dyDescent="0.25">
      <c r="A653" s="7">
        <v>0.27063793041350104</v>
      </c>
      <c r="B653"/>
      <c r="C653"/>
      <c r="D653"/>
      <c r="E653"/>
      <c r="F653" s="27" t="s">
        <v>7</v>
      </c>
      <c r="HQ653" s="27" t="s">
        <v>8</v>
      </c>
      <c r="IZ653" s="27" t="s">
        <v>7</v>
      </c>
      <c r="JA653" s="27" t="s">
        <v>8</v>
      </c>
      <c r="JL653" s="27" t="s">
        <v>7</v>
      </c>
      <c r="JM653" s="27" t="s">
        <v>8</v>
      </c>
      <c r="JN653" s="27" t="s">
        <v>7</v>
      </c>
      <c r="JO653" s="27" t="s">
        <v>8</v>
      </c>
      <c r="JR653" s="27" t="s">
        <v>7</v>
      </c>
      <c r="JS653" s="27" t="s">
        <v>8</v>
      </c>
      <c r="JT653" s="27" t="s">
        <v>7</v>
      </c>
      <c r="JU653" s="27" t="s">
        <v>8</v>
      </c>
      <c r="JV653" s="27" t="s">
        <v>7</v>
      </c>
      <c r="JZ653" s="27" t="s">
        <v>7</v>
      </c>
      <c r="KI653" s="27" t="s">
        <v>8</v>
      </c>
      <c r="KJ653" s="27" t="s">
        <v>7</v>
      </c>
      <c r="KW653" s="27" t="s">
        <v>8</v>
      </c>
      <c r="KX653" s="27" t="s">
        <v>7</v>
      </c>
      <c r="KY653" s="27" t="s">
        <v>8</v>
      </c>
    </row>
    <row r="654" spans="1:315" x14ac:dyDescent="0.25">
      <c r="A654" s="7">
        <v>0.26533130432696184</v>
      </c>
      <c r="B654"/>
      <c r="C654"/>
      <c r="D654"/>
      <c r="E654"/>
      <c r="F654" s="27" t="s">
        <v>7</v>
      </c>
      <c r="HQ654" s="27" t="s">
        <v>8</v>
      </c>
      <c r="IZ654" s="27" t="s">
        <v>7</v>
      </c>
      <c r="JA654" s="27" t="s">
        <v>8</v>
      </c>
      <c r="JL654" s="27" t="s">
        <v>7</v>
      </c>
      <c r="JM654" s="27" t="s">
        <v>8</v>
      </c>
      <c r="JN654" s="27" t="s">
        <v>7</v>
      </c>
      <c r="JR654" s="27" t="s">
        <v>7</v>
      </c>
      <c r="JS654" s="27" t="s">
        <v>8</v>
      </c>
      <c r="JT654" s="27" t="s">
        <v>7</v>
      </c>
      <c r="JU654" s="27" t="s">
        <v>8</v>
      </c>
      <c r="JZ654" s="27" t="s">
        <v>7</v>
      </c>
      <c r="KA654" s="27" t="s">
        <v>8</v>
      </c>
      <c r="KI654" s="27" t="s">
        <v>8</v>
      </c>
      <c r="KJ654" s="27" t="s">
        <v>7</v>
      </c>
      <c r="KU654" s="27" t="s">
        <v>8</v>
      </c>
      <c r="KW654" s="27" t="s">
        <v>8</v>
      </c>
      <c r="KX654" s="27" t="s">
        <v>7</v>
      </c>
      <c r="KY654" s="27" t="s">
        <v>8</v>
      </c>
    </row>
    <row r="655" spans="1:315" x14ac:dyDescent="0.25">
      <c r="A655" s="7">
        <v>0.26012872973231554</v>
      </c>
      <c r="B655"/>
      <c r="C655"/>
      <c r="D655"/>
      <c r="E655"/>
      <c r="F655" s="27" t="s">
        <v>7</v>
      </c>
      <c r="HQ655" s="27" t="s">
        <v>8</v>
      </c>
      <c r="IZ655" s="27" t="s">
        <v>7</v>
      </c>
      <c r="JA655" s="27" t="s">
        <v>8</v>
      </c>
      <c r="JL655" s="27" t="s">
        <v>7</v>
      </c>
      <c r="JM655" s="27" t="s">
        <v>8</v>
      </c>
      <c r="JR655" s="27" t="s">
        <v>7</v>
      </c>
      <c r="JT655" s="27" t="s">
        <v>7</v>
      </c>
      <c r="JU655" s="27" t="s">
        <v>8</v>
      </c>
      <c r="JZ655" s="27" t="s">
        <v>7</v>
      </c>
      <c r="KA655" s="27" t="s">
        <v>8</v>
      </c>
      <c r="KB655" s="27" t="s">
        <v>7</v>
      </c>
      <c r="KI655" s="27" t="s">
        <v>8</v>
      </c>
      <c r="KJ655" s="27" t="s">
        <v>7</v>
      </c>
      <c r="KU655" s="27" t="s">
        <v>8</v>
      </c>
      <c r="KV655" s="27" t="s">
        <v>7</v>
      </c>
      <c r="KW655" s="27" t="s">
        <v>8</v>
      </c>
      <c r="KX655" s="27" t="s">
        <v>7</v>
      </c>
    </row>
    <row r="656" spans="1:315" x14ac:dyDescent="0.25">
      <c r="A656" s="7">
        <v>0.25502816640423093</v>
      </c>
      <c r="B656"/>
      <c r="C656"/>
      <c r="D656"/>
      <c r="E656"/>
      <c r="F656" s="27" t="s">
        <v>7</v>
      </c>
      <c r="HG656" s="27" t="s">
        <v>8</v>
      </c>
      <c r="HQ656" s="27" t="s">
        <v>8</v>
      </c>
      <c r="IZ656" s="27" t="s">
        <v>7</v>
      </c>
      <c r="JA656" s="27" t="s">
        <v>8</v>
      </c>
      <c r="JL656" s="27" t="s">
        <v>7</v>
      </c>
      <c r="JM656" s="27" t="s">
        <v>8</v>
      </c>
      <c r="JT656" s="27" t="s">
        <v>7</v>
      </c>
      <c r="JU656" s="27" t="s">
        <v>8</v>
      </c>
      <c r="JZ656" s="27" t="s">
        <v>7</v>
      </c>
      <c r="KA656" s="27" t="s">
        <v>8</v>
      </c>
      <c r="KB656" s="27" t="s">
        <v>7</v>
      </c>
      <c r="KG656" s="27" t="s">
        <v>8</v>
      </c>
      <c r="KI656" s="27" t="s">
        <v>8</v>
      </c>
      <c r="KJ656" s="27" t="s">
        <v>7</v>
      </c>
      <c r="KS656" s="27" t="s">
        <v>8</v>
      </c>
      <c r="KU656" s="27" t="s">
        <v>8</v>
      </c>
      <c r="KV656" s="27" t="s">
        <v>7</v>
      </c>
      <c r="KW656" s="27" t="s">
        <v>8</v>
      </c>
    </row>
    <row r="657" spans="1:309" x14ac:dyDescent="0.25">
      <c r="A657" s="7">
        <v>0.25002761412179503</v>
      </c>
      <c r="B657"/>
      <c r="C657"/>
      <c r="D657"/>
      <c r="E657"/>
      <c r="F657" s="27" t="s">
        <v>7</v>
      </c>
      <c r="HG657" s="27" t="s">
        <v>8</v>
      </c>
      <c r="HH657" s="27" t="s">
        <v>7</v>
      </c>
      <c r="HQ657" s="27" t="s">
        <v>8</v>
      </c>
      <c r="IZ657" s="27" t="s">
        <v>7</v>
      </c>
      <c r="JL657" s="27" t="s">
        <v>7</v>
      </c>
      <c r="JM657" s="27" t="s">
        <v>8</v>
      </c>
      <c r="JT657" s="27" t="s">
        <v>7</v>
      </c>
      <c r="JU657" s="27" t="s">
        <v>8</v>
      </c>
      <c r="JZ657" s="27" t="s">
        <v>7</v>
      </c>
      <c r="KA657" s="27" t="s">
        <v>8</v>
      </c>
      <c r="KB657" s="27" t="s">
        <v>7</v>
      </c>
      <c r="KC657" s="27" t="s">
        <v>8</v>
      </c>
      <c r="KG657" s="27" t="s">
        <v>8</v>
      </c>
      <c r="KH657" s="27" t="s">
        <v>7</v>
      </c>
      <c r="KI657" s="27" t="s">
        <v>8</v>
      </c>
      <c r="KJ657" s="27" t="s">
        <v>7</v>
      </c>
      <c r="KS657" s="27" t="s">
        <v>8</v>
      </c>
      <c r="KT657" s="27" t="s">
        <v>7</v>
      </c>
      <c r="KU657" s="27" t="s">
        <v>8</v>
      </c>
      <c r="KV657" s="27" t="s">
        <v>7</v>
      </c>
      <c r="KW657" s="27" t="s">
        <v>8</v>
      </c>
    </row>
    <row r="658" spans="1:309" x14ac:dyDescent="0.25">
      <c r="A658" s="7">
        <v>0.24512511188411276</v>
      </c>
      <c r="B658"/>
      <c r="C658"/>
      <c r="D658"/>
      <c r="E658"/>
      <c r="F658" s="27" t="s">
        <v>7</v>
      </c>
      <c r="HG658" s="27" t="s">
        <v>8</v>
      </c>
      <c r="HH658" s="27" t="s">
        <v>7</v>
      </c>
      <c r="HQ658" s="27" t="s">
        <v>8</v>
      </c>
      <c r="JL658" s="27" t="s">
        <v>7</v>
      </c>
      <c r="JM658" s="27" t="s">
        <v>8</v>
      </c>
      <c r="JT658" s="27" t="s">
        <v>7</v>
      </c>
      <c r="JU658" s="27" t="s">
        <v>8</v>
      </c>
      <c r="JZ658" s="27" t="s">
        <v>7</v>
      </c>
      <c r="KA658" s="27" t="s">
        <v>8</v>
      </c>
      <c r="KB658" s="27" t="s">
        <v>7</v>
      </c>
      <c r="KC658" s="27" t="s">
        <v>8</v>
      </c>
      <c r="KD658" s="27" t="s">
        <v>7</v>
      </c>
      <c r="KG658" s="27" t="s">
        <v>8</v>
      </c>
      <c r="KH658" s="27" t="s">
        <v>7</v>
      </c>
      <c r="KI658" s="27" t="s">
        <v>8</v>
      </c>
      <c r="KJ658" s="27" t="s">
        <v>7</v>
      </c>
      <c r="KS658" s="27" t="s">
        <v>8</v>
      </c>
      <c r="KT658" s="27" t="s">
        <v>7</v>
      </c>
      <c r="KU658" s="27" t="s">
        <v>8</v>
      </c>
      <c r="KV658" s="27" t="s">
        <v>7</v>
      </c>
      <c r="KW658" s="27" t="s">
        <v>8</v>
      </c>
    </row>
    <row r="659" spans="1:309" x14ac:dyDescent="0.25">
      <c r="A659" s="7">
        <v>0.24031873714128701</v>
      </c>
      <c r="B659"/>
      <c r="C659"/>
      <c r="D659"/>
      <c r="E659"/>
      <c r="F659" s="27" t="s">
        <v>7</v>
      </c>
      <c r="HG659" s="27" t="s">
        <v>8</v>
      </c>
      <c r="HH659" s="27" t="s">
        <v>7</v>
      </c>
      <c r="HQ659" s="27" t="s">
        <v>8</v>
      </c>
      <c r="JL659" s="27" t="s">
        <v>7</v>
      </c>
      <c r="JM659" s="27" t="s">
        <v>8</v>
      </c>
      <c r="JT659" s="27" t="s">
        <v>7</v>
      </c>
      <c r="JU659" s="27" t="s">
        <v>8</v>
      </c>
      <c r="JZ659" s="27" t="s">
        <v>7</v>
      </c>
      <c r="KA659" s="27" t="s">
        <v>8</v>
      </c>
      <c r="KB659" s="27" t="s">
        <v>7</v>
      </c>
      <c r="KC659" s="27" t="s">
        <v>8</v>
      </c>
      <c r="KD659" s="27" t="s">
        <v>7</v>
      </c>
      <c r="KE659" s="27" t="s">
        <v>8</v>
      </c>
      <c r="KG659" s="27" t="s">
        <v>8</v>
      </c>
      <c r="KH659" s="27" t="s">
        <v>7</v>
      </c>
      <c r="KI659" s="27" t="s">
        <v>8</v>
      </c>
      <c r="KJ659" s="27" t="s">
        <v>7</v>
      </c>
      <c r="KQ659" s="27" t="s">
        <v>8</v>
      </c>
      <c r="KS659" s="27" t="s">
        <v>8</v>
      </c>
      <c r="KT659" s="27" t="s">
        <v>7</v>
      </c>
      <c r="KU659" s="27" t="s">
        <v>8</v>
      </c>
      <c r="KV659" s="27" t="s">
        <v>7</v>
      </c>
      <c r="KW659" s="27" t="s">
        <v>8</v>
      </c>
    </row>
    <row r="660" spans="1:309" x14ac:dyDescent="0.25">
      <c r="A660" s="7">
        <v>0.23560660504047748</v>
      </c>
      <c r="B660"/>
      <c r="C660"/>
      <c r="D660"/>
      <c r="E660"/>
      <c r="F660" s="27" t="s">
        <v>7</v>
      </c>
      <c r="HG660" s="27" t="s">
        <v>8</v>
      </c>
      <c r="HH660" s="27" t="s">
        <v>7</v>
      </c>
      <c r="HQ660" s="27" t="s">
        <v>8</v>
      </c>
      <c r="JL660" s="27" t="s">
        <v>7</v>
      </c>
      <c r="JM660" s="27" t="s">
        <v>8</v>
      </c>
      <c r="JT660" s="27" t="s">
        <v>7</v>
      </c>
      <c r="JZ660" s="27" t="s">
        <v>7</v>
      </c>
      <c r="KA660" s="27" t="s">
        <v>8</v>
      </c>
      <c r="KB660" s="27" t="s">
        <v>7</v>
      </c>
      <c r="KC660" s="27" t="s">
        <v>8</v>
      </c>
      <c r="KD660" s="27" t="s">
        <v>7</v>
      </c>
      <c r="KE660" s="27" t="s">
        <v>8</v>
      </c>
      <c r="KF660" s="27" t="s">
        <v>7</v>
      </c>
      <c r="KG660" s="27" t="s">
        <v>8</v>
      </c>
      <c r="KH660" s="27" t="s">
        <v>7</v>
      </c>
      <c r="KI660" s="27" t="s">
        <v>8</v>
      </c>
      <c r="KJ660" s="27" t="s">
        <v>7</v>
      </c>
      <c r="KK660" s="27" t="s">
        <v>8</v>
      </c>
      <c r="KQ660" s="27" t="s">
        <v>8</v>
      </c>
      <c r="KR660" s="27" t="s">
        <v>7</v>
      </c>
      <c r="KS660" s="27" t="s">
        <v>8</v>
      </c>
      <c r="KT660" s="27" t="s">
        <v>7</v>
      </c>
      <c r="KU660" s="27" t="s">
        <v>8</v>
      </c>
      <c r="KV660" s="27" t="s">
        <v>7</v>
      </c>
      <c r="KW660" s="27" t="s">
        <v>8</v>
      </c>
    </row>
    <row r="661" spans="1:309" x14ac:dyDescent="0.25">
      <c r="A661" s="7">
        <v>0.23098686768674265</v>
      </c>
      <c r="B661"/>
      <c r="C661"/>
      <c r="D661"/>
      <c r="E661"/>
      <c r="F661" s="27" t="s">
        <v>7</v>
      </c>
      <c r="HG661" s="27" t="s">
        <v>8</v>
      </c>
      <c r="HH661" s="27" t="s">
        <v>7</v>
      </c>
      <c r="HQ661" s="27" t="s">
        <v>8</v>
      </c>
      <c r="JL661" s="27" t="s">
        <v>7</v>
      </c>
      <c r="JM661" s="27" t="s">
        <v>8</v>
      </c>
      <c r="JZ661" s="27" t="s">
        <v>7</v>
      </c>
      <c r="KA661" s="27" t="s">
        <v>8</v>
      </c>
      <c r="KB661" s="27" t="s">
        <v>7</v>
      </c>
      <c r="KC661" s="27" t="s">
        <v>8</v>
      </c>
      <c r="KD661" s="27" t="s">
        <v>7</v>
      </c>
      <c r="KE661" s="27" t="s">
        <v>8</v>
      </c>
      <c r="KF661" s="27" t="s">
        <v>7</v>
      </c>
      <c r="KG661" s="27" t="s">
        <v>8</v>
      </c>
      <c r="KH661" s="27" t="s">
        <v>7</v>
      </c>
      <c r="KI661" s="27" t="s">
        <v>8</v>
      </c>
      <c r="KJ661" s="27" t="s">
        <v>7</v>
      </c>
      <c r="KK661" s="27" t="s">
        <v>8</v>
      </c>
      <c r="KL661" s="27" t="s">
        <v>7</v>
      </c>
      <c r="KQ661" s="27" t="s">
        <v>8</v>
      </c>
      <c r="KR661" s="27" t="s">
        <v>7</v>
      </c>
      <c r="KS661" s="27" t="s">
        <v>8</v>
      </c>
      <c r="KT661" s="27" t="s">
        <v>7</v>
      </c>
      <c r="KV661" s="27" t="s">
        <v>7</v>
      </c>
    </row>
    <row r="662" spans="1:309" x14ac:dyDescent="0.25">
      <c r="A662" s="7">
        <v>0.22645771341837515</v>
      </c>
      <c r="B662"/>
      <c r="C662"/>
      <c r="D662"/>
      <c r="E662"/>
      <c r="F662" s="27" t="s">
        <v>7</v>
      </c>
      <c r="HG662" s="27" t="s">
        <v>8</v>
      </c>
      <c r="HH662" s="27" t="s">
        <v>7</v>
      </c>
      <c r="HQ662" s="27" t="s">
        <v>8</v>
      </c>
      <c r="JL662" s="27" t="s">
        <v>7</v>
      </c>
      <c r="JM662" s="27" t="s">
        <v>8</v>
      </c>
      <c r="JZ662" s="27" t="s">
        <v>7</v>
      </c>
      <c r="KA662" s="27" t="s">
        <v>8</v>
      </c>
      <c r="KB662" s="27" t="s">
        <v>7</v>
      </c>
      <c r="KC662" s="27" t="s">
        <v>8</v>
      </c>
      <c r="KD662" s="27" t="s">
        <v>7</v>
      </c>
      <c r="KE662" s="27" t="s">
        <v>8</v>
      </c>
      <c r="KF662" s="27" t="s">
        <v>7</v>
      </c>
      <c r="KG662" s="27" t="s">
        <v>8</v>
      </c>
      <c r="KH662" s="27" t="s">
        <v>7</v>
      </c>
      <c r="KJ662" s="27" t="s">
        <v>7</v>
      </c>
      <c r="KK662" s="27" t="s">
        <v>8</v>
      </c>
      <c r="KL662" s="27" t="s">
        <v>7</v>
      </c>
      <c r="KQ662" s="27" t="s">
        <v>8</v>
      </c>
      <c r="KR662" s="27" t="s">
        <v>7</v>
      </c>
      <c r="KS662" s="27" t="s">
        <v>8</v>
      </c>
    </row>
    <row r="663" spans="1:309" x14ac:dyDescent="0.25">
      <c r="A663" s="7">
        <v>0.22201736609644623</v>
      </c>
      <c r="B663"/>
      <c r="C663"/>
      <c r="D663"/>
      <c r="E663"/>
      <c r="F663" s="27" t="s">
        <v>7</v>
      </c>
      <c r="HG663" s="27" t="s">
        <v>8</v>
      </c>
      <c r="HH663" s="27" t="s">
        <v>7</v>
      </c>
      <c r="HQ663" s="27" t="s">
        <v>8</v>
      </c>
      <c r="JL663" s="27" t="s">
        <v>7</v>
      </c>
      <c r="JM663" s="27" t="s">
        <v>8</v>
      </c>
      <c r="JZ663" s="27" t="s">
        <v>7</v>
      </c>
      <c r="KA663" s="27" t="s">
        <v>8</v>
      </c>
      <c r="KB663" s="27" t="s">
        <v>7</v>
      </c>
      <c r="KC663" s="27" t="s">
        <v>8</v>
      </c>
      <c r="KD663" s="27" t="s">
        <v>7</v>
      </c>
      <c r="KE663" s="27" t="s">
        <v>8</v>
      </c>
      <c r="KF663" s="27" t="s">
        <v>7</v>
      </c>
      <c r="KG663" s="27" t="s">
        <v>8</v>
      </c>
      <c r="KJ663" s="27" t="s">
        <v>7</v>
      </c>
      <c r="KL663" s="27" t="s">
        <v>7</v>
      </c>
      <c r="KQ663" s="27" t="s">
        <v>8</v>
      </c>
      <c r="KR663" s="27" t="s">
        <v>7</v>
      </c>
      <c r="KS663" s="27" t="s">
        <v>8</v>
      </c>
    </row>
    <row r="664" spans="1:309" x14ac:dyDescent="0.25">
      <c r="A664" s="7">
        <v>0.21766408440828061</v>
      </c>
      <c r="B664"/>
      <c r="C664"/>
      <c r="D664"/>
      <c r="E664"/>
      <c r="F664" s="27" t="s">
        <v>7</v>
      </c>
      <c r="HG664" s="27" t="s">
        <v>8</v>
      </c>
      <c r="HH664" s="27" t="s">
        <v>7</v>
      </c>
      <c r="HQ664" s="27" t="s">
        <v>8</v>
      </c>
      <c r="JL664" s="27" t="s">
        <v>7</v>
      </c>
      <c r="JM664" s="27" t="s">
        <v>8</v>
      </c>
      <c r="JZ664" s="27" t="s">
        <v>7</v>
      </c>
      <c r="KA664" s="27" t="s">
        <v>8</v>
      </c>
      <c r="KB664" s="27" t="s">
        <v>7</v>
      </c>
      <c r="KC664" s="27" t="s">
        <v>8</v>
      </c>
      <c r="KD664" s="27" t="s">
        <v>7</v>
      </c>
      <c r="KE664" s="27" t="s">
        <v>8</v>
      </c>
      <c r="KF664" s="27" t="s">
        <v>7</v>
      </c>
      <c r="KL664" s="27" t="s">
        <v>7</v>
      </c>
      <c r="KQ664" s="27" t="s">
        <v>8</v>
      </c>
      <c r="KR664" s="27" t="s">
        <v>7</v>
      </c>
      <c r="KS664" s="27" t="s">
        <v>8</v>
      </c>
    </row>
    <row r="665" spans="1:309" x14ac:dyDescent="0.25">
      <c r="A665" s="7">
        <v>0.21339616118458882</v>
      </c>
      <c r="B665"/>
      <c r="C665"/>
      <c r="D665"/>
      <c r="E665"/>
      <c r="F665" s="27" t="s">
        <v>7</v>
      </c>
      <c r="HG665" s="27" t="s">
        <v>8</v>
      </c>
      <c r="HH665" s="27" t="s">
        <v>7</v>
      </c>
      <c r="HQ665" s="27" t="s">
        <v>8</v>
      </c>
      <c r="JL665" s="27" t="s">
        <v>7</v>
      </c>
      <c r="JM665" s="27" t="s">
        <v>8</v>
      </c>
      <c r="JZ665" s="27" t="s">
        <v>7</v>
      </c>
      <c r="KA665" s="27" t="s">
        <v>8</v>
      </c>
      <c r="KB665" s="27" t="s">
        <v>7</v>
      </c>
      <c r="KC665" s="27" t="s">
        <v>8</v>
      </c>
      <c r="KD665" s="27" t="s">
        <v>7</v>
      </c>
      <c r="KL665" s="27" t="s">
        <v>7</v>
      </c>
      <c r="KQ665" s="27" t="s">
        <v>8</v>
      </c>
      <c r="KR665" s="27" t="s">
        <v>7</v>
      </c>
      <c r="KS665" s="27" t="s">
        <v>8</v>
      </c>
    </row>
    <row r="666" spans="1:309" x14ac:dyDescent="0.25">
      <c r="A666" s="7">
        <v>0.20921192272998904</v>
      </c>
      <c r="B666"/>
      <c r="C666"/>
      <c r="D666"/>
      <c r="E666"/>
      <c r="F666" s="27" t="s">
        <v>7</v>
      </c>
      <c r="HG666" s="27" t="s">
        <v>8</v>
      </c>
      <c r="HH666" s="27" t="s">
        <v>7</v>
      </c>
      <c r="HQ666" s="27" t="s">
        <v>8</v>
      </c>
      <c r="JL666" s="27" t="s">
        <v>7</v>
      </c>
      <c r="JM666" s="27" t="s">
        <v>8</v>
      </c>
      <c r="JZ666" s="27" t="s">
        <v>7</v>
      </c>
      <c r="KA666" s="27" t="s">
        <v>8</v>
      </c>
      <c r="KB666" s="27" t="s">
        <v>7</v>
      </c>
      <c r="KC666" s="27" t="s">
        <v>8</v>
      </c>
      <c r="KL666" s="27" t="s">
        <v>7</v>
      </c>
      <c r="KQ666" s="27" t="s">
        <v>8</v>
      </c>
      <c r="KR666" s="27" t="s">
        <v>7</v>
      </c>
      <c r="KS666" s="27" t="s">
        <v>8</v>
      </c>
    </row>
    <row r="667" spans="1:309" x14ac:dyDescent="0.25">
      <c r="A667" s="7">
        <v>0.20510972816665593</v>
      </c>
      <c r="B667"/>
      <c r="C667"/>
      <c r="D667"/>
      <c r="E667"/>
      <c r="F667" s="27" t="s">
        <v>7</v>
      </c>
      <c r="HG667" s="27" t="s">
        <v>8</v>
      </c>
      <c r="HH667" s="27" t="s">
        <v>7</v>
      </c>
      <c r="HQ667" s="27" t="s">
        <v>8</v>
      </c>
      <c r="JL667" s="27" t="s">
        <v>7</v>
      </c>
      <c r="JM667" s="27" t="s">
        <v>8</v>
      </c>
      <c r="JZ667" s="27" t="s">
        <v>7</v>
      </c>
      <c r="KA667" s="27" t="s">
        <v>8</v>
      </c>
      <c r="KB667" s="27" t="s">
        <v>7</v>
      </c>
      <c r="KC667" s="27" t="s">
        <v>8</v>
      </c>
      <c r="KL667" s="27" t="s">
        <v>7</v>
      </c>
      <c r="KQ667" s="27" t="s">
        <v>8</v>
      </c>
      <c r="KR667" s="27" t="s">
        <v>7</v>
      </c>
      <c r="KS667" s="27" t="s">
        <v>8</v>
      </c>
    </row>
    <row r="668" spans="1:309" x14ac:dyDescent="0.25">
      <c r="A668" s="7">
        <v>0.20108796879083912</v>
      </c>
      <c r="B668"/>
      <c r="C668"/>
      <c r="D668"/>
      <c r="E668"/>
      <c r="F668" s="27" t="s">
        <v>7</v>
      </c>
      <c r="HG668" s="27" t="s">
        <v>8</v>
      </c>
      <c r="HH668" s="27" t="s">
        <v>7</v>
      </c>
      <c r="HQ668" s="27" t="s">
        <v>8</v>
      </c>
      <c r="JL668" s="27" t="s">
        <v>7</v>
      </c>
      <c r="JM668" s="27" t="s">
        <v>8</v>
      </c>
      <c r="JZ668" s="27" t="s">
        <v>7</v>
      </c>
      <c r="KA668" s="27" t="s">
        <v>8</v>
      </c>
      <c r="KB668" s="27" t="s">
        <v>7</v>
      </c>
      <c r="KC668" s="27" t="s">
        <v>8</v>
      </c>
      <c r="KL668" s="27" t="s">
        <v>7</v>
      </c>
      <c r="KM668" s="27" t="s">
        <v>8</v>
      </c>
      <c r="KO668" s="27" t="s">
        <v>8</v>
      </c>
      <c r="KQ668" s="27" t="s">
        <v>8</v>
      </c>
      <c r="KR668" s="27" t="s">
        <v>7</v>
      </c>
    </row>
    <row r="669" spans="1:309" x14ac:dyDescent="0.25">
      <c r="A669" s="7">
        <v>0.19714506744199917</v>
      </c>
      <c r="B669"/>
      <c r="C669"/>
      <c r="D669"/>
      <c r="E669"/>
      <c r="F669" s="27" t="s">
        <v>7</v>
      </c>
      <c r="HG669" s="27" t="s">
        <v>8</v>
      </c>
      <c r="HH669" s="27" t="s">
        <v>7</v>
      </c>
      <c r="HM669" s="27" t="s">
        <v>8</v>
      </c>
      <c r="HQ669" s="27" t="s">
        <v>8</v>
      </c>
      <c r="JL669" s="27" t="s">
        <v>7</v>
      </c>
      <c r="JM669" s="27" t="s">
        <v>8</v>
      </c>
      <c r="JZ669" s="27" t="s">
        <v>7</v>
      </c>
      <c r="KA669" s="27" t="s">
        <v>8</v>
      </c>
      <c r="KB669" s="27" t="s">
        <v>7</v>
      </c>
      <c r="KL669" s="27" t="s">
        <v>7</v>
      </c>
      <c r="KM669" s="27" t="s">
        <v>8</v>
      </c>
      <c r="KN669" s="27" t="s">
        <v>7</v>
      </c>
      <c r="KO669" s="27" t="s">
        <v>8</v>
      </c>
      <c r="KP669" s="27" t="s">
        <v>7</v>
      </c>
      <c r="KQ669" s="27" t="s">
        <v>8</v>
      </c>
    </row>
    <row r="670" spans="1:309" x14ac:dyDescent="0.25">
      <c r="A670" s="7">
        <v>0.19327947788431293</v>
      </c>
      <c r="B670"/>
      <c r="C670"/>
      <c r="D670"/>
      <c r="E670"/>
      <c r="F670" s="27" t="s">
        <v>7</v>
      </c>
      <c r="HG670" s="27" t="s">
        <v>8</v>
      </c>
      <c r="HH670" s="27" t="s">
        <v>7</v>
      </c>
      <c r="HM670" s="27" t="s">
        <v>8</v>
      </c>
      <c r="HN670" s="27" t="s">
        <v>7</v>
      </c>
      <c r="HQ670" s="27" t="s">
        <v>8</v>
      </c>
      <c r="JL670" s="27" t="s">
        <v>7</v>
      </c>
      <c r="JM670" s="27" t="s">
        <v>8</v>
      </c>
      <c r="JZ670" s="27" t="s">
        <v>7</v>
      </c>
      <c r="KA670" s="27" t="s">
        <v>8</v>
      </c>
      <c r="KL670" s="27" t="s">
        <v>7</v>
      </c>
      <c r="KM670" s="27" t="s">
        <v>8</v>
      </c>
      <c r="KN670" s="27" t="s">
        <v>7</v>
      </c>
      <c r="KO670" s="27" t="s">
        <v>8</v>
      </c>
      <c r="KP670" s="27" t="s">
        <v>7</v>
      </c>
      <c r="KQ670" s="27" t="s">
        <v>8</v>
      </c>
    </row>
    <row r="671" spans="1:309" x14ac:dyDescent="0.25">
      <c r="A671" s="7">
        <v>0.18948968420030682</v>
      </c>
      <c r="B671"/>
      <c r="C671"/>
      <c r="D671"/>
      <c r="E671"/>
      <c r="F671" s="27" t="s">
        <v>7</v>
      </c>
      <c r="HG671" s="27" t="s">
        <v>8</v>
      </c>
      <c r="HH671" s="27" t="s">
        <v>7</v>
      </c>
      <c r="HM671" s="27" t="s">
        <v>8</v>
      </c>
      <c r="HN671" s="27" t="s">
        <v>7</v>
      </c>
      <c r="HO671" s="27" t="s">
        <v>8</v>
      </c>
      <c r="HQ671" s="27" t="s">
        <v>8</v>
      </c>
      <c r="JL671" s="27" t="s">
        <v>7</v>
      </c>
      <c r="JM671" s="27" t="s">
        <v>8</v>
      </c>
      <c r="JZ671" s="27" t="s">
        <v>7</v>
      </c>
      <c r="KL671" s="27" t="s">
        <v>7</v>
      </c>
      <c r="KN671" s="27" t="s">
        <v>7</v>
      </c>
      <c r="KO671" s="27" t="s">
        <v>8</v>
      </c>
      <c r="KP671" s="27" t="s">
        <v>7</v>
      </c>
    </row>
    <row r="672" spans="1:309" x14ac:dyDescent="0.25">
      <c r="A672" s="7">
        <v>0.18577420019637925</v>
      </c>
      <c r="B672"/>
      <c r="C672"/>
      <c r="D672"/>
      <c r="E672"/>
      <c r="F672" s="27" t="s">
        <v>7</v>
      </c>
      <c r="HG672" s="27" t="s">
        <v>8</v>
      </c>
      <c r="HH672" s="27" t="s">
        <v>7</v>
      </c>
      <c r="HM672" s="27" t="s">
        <v>8</v>
      </c>
      <c r="HN672" s="27" t="s">
        <v>7</v>
      </c>
      <c r="HO672" s="27" t="s">
        <v>8</v>
      </c>
      <c r="HP672" s="27" t="s">
        <v>7</v>
      </c>
      <c r="HQ672" s="27" t="s">
        <v>8</v>
      </c>
      <c r="JL672" s="27" t="s">
        <v>7</v>
      </c>
      <c r="KN672" s="27" t="s">
        <v>7</v>
      </c>
      <c r="KO672" s="27" t="s">
        <v>8</v>
      </c>
    </row>
    <row r="673" spans="1:301" x14ac:dyDescent="0.25">
      <c r="A673" s="7">
        <v>0.18213156881997963</v>
      </c>
      <c r="B673"/>
      <c r="C673"/>
      <c r="D673"/>
      <c r="E673"/>
      <c r="F673" s="27" t="s">
        <v>7</v>
      </c>
      <c r="HG673" s="27" t="s">
        <v>8</v>
      </c>
      <c r="HH673" s="27" t="s">
        <v>7</v>
      </c>
      <c r="HM673" s="27" t="s">
        <v>8</v>
      </c>
      <c r="HN673" s="27" t="s">
        <v>7</v>
      </c>
      <c r="HO673" s="27" t="s">
        <v>8</v>
      </c>
      <c r="HP673" s="27" t="s">
        <v>7</v>
      </c>
      <c r="HQ673" s="27" t="s">
        <v>8</v>
      </c>
      <c r="KN673" s="27" t="s">
        <v>7</v>
      </c>
      <c r="KO673" s="27" t="s">
        <v>8</v>
      </c>
    </row>
    <row r="674" spans="1:301" x14ac:dyDescent="0.25">
      <c r="A674" s="7">
        <v>0.17856036158821534</v>
      </c>
      <c r="B674"/>
      <c r="C674"/>
      <c r="D674"/>
      <c r="E674"/>
      <c r="F674" s="27" t="s">
        <v>7</v>
      </c>
      <c r="HG674" s="27" t="s">
        <v>8</v>
      </c>
      <c r="HH674" s="27" t="s">
        <v>7</v>
      </c>
      <c r="HM674" s="27" t="s">
        <v>8</v>
      </c>
      <c r="HN674" s="27" t="s">
        <v>7</v>
      </c>
      <c r="HO674" s="27" t="s">
        <v>8</v>
      </c>
      <c r="HP674" s="27" t="s">
        <v>7</v>
      </c>
      <c r="HQ674" s="27" t="s">
        <v>8</v>
      </c>
      <c r="KN674" s="27" t="s">
        <v>7</v>
      </c>
      <c r="KO674" s="27" t="s">
        <v>8</v>
      </c>
    </row>
    <row r="675" spans="1:301" x14ac:dyDescent="0.25">
      <c r="A675" s="7">
        <v>0.17505917802766208</v>
      </c>
      <c r="B675"/>
      <c r="C675"/>
      <c r="D675"/>
      <c r="E675"/>
      <c r="F675" s="27" t="s">
        <v>7</v>
      </c>
      <c r="HG675" s="27" t="s">
        <v>8</v>
      </c>
      <c r="HH675" s="27" t="s">
        <v>7</v>
      </c>
      <c r="HM675" s="27" t="s">
        <v>8</v>
      </c>
      <c r="HN675" s="27" t="s">
        <v>7</v>
      </c>
      <c r="HO675" s="27" t="s">
        <v>8</v>
      </c>
      <c r="HP675" s="27" t="s">
        <v>7</v>
      </c>
      <c r="HQ675" s="27" t="s">
        <v>8</v>
      </c>
      <c r="KN675" s="27" t="s">
        <v>7</v>
      </c>
      <c r="KO675" s="27" t="s">
        <v>8</v>
      </c>
    </row>
    <row r="676" spans="1:301" x14ac:dyDescent="0.25">
      <c r="A676" s="7">
        <v>0.17162664512515888</v>
      </c>
      <c r="B676"/>
      <c r="C676"/>
      <c r="D676"/>
      <c r="E676"/>
      <c r="F676" s="27" t="s">
        <v>7</v>
      </c>
      <c r="HG676" s="27" t="s">
        <v>8</v>
      </c>
      <c r="HH676" s="27" t="s">
        <v>7</v>
      </c>
      <c r="HK676" s="27" t="s">
        <v>8</v>
      </c>
      <c r="HM676" s="27" t="s">
        <v>8</v>
      </c>
      <c r="HN676" s="27" t="s">
        <v>7</v>
      </c>
      <c r="HO676" s="27" t="s">
        <v>8</v>
      </c>
      <c r="HP676" s="27" t="s">
        <v>7</v>
      </c>
      <c r="HQ676" s="27" t="s">
        <v>8</v>
      </c>
      <c r="KN676" s="27" t="s">
        <v>7</v>
      </c>
      <c r="KO676" s="27" t="s">
        <v>8</v>
      </c>
    </row>
    <row r="677" spans="1:301" x14ac:dyDescent="0.25">
      <c r="A677" s="7">
        <v>0.16826141678937145</v>
      </c>
      <c r="B677"/>
      <c r="C677"/>
      <c r="D677"/>
      <c r="E677"/>
      <c r="F677" s="27" t="s">
        <v>7</v>
      </c>
      <c r="HG677" s="27" t="s">
        <v>8</v>
      </c>
      <c r="HH677" s="27" t="s">
        <v>7</v>
      </c>
      <c r="HK677" s="27" t="s">
        <v>8</v>
      </c>
      <c r="HL677" s="27" t="s">
        <v>7</v>
      </c>
      <c r="HM677" s="27" t="s">
        <v>8</v>
      </c>
      <c r="HN677" s="27" t="s">
        <v>7</v>
      </c>
      <c r="HO677" s="27" t="s">
        <v>8</v>
      </c>
      <c r="HP677" s="27" t="s">
        <v>7</v>
      </c>
      <c r="HQ677" s="27" t="s">
        <v>8</v>
      </c>
      <c r="KN677" s="18" t="s">
        <v>7</v>
      </c>
      <c r="KO677" s="27" t="s">
        <v>8</v>
      </c>
    </row>
    <row r="678" spans="1:301" x14ac:dyDescent="0.25">
      <c r="A678" s="7">
        <v>0.16496217332291319</v>
      </c>
      <c r="B678"/>
      <c r="C678"/>
      <c r="D678"/>
      <c r="E678"/>
      <c r="F678" s="27" t="s">
        <v>7</v>
      </c>
      <c r="HG678" s="27" t="s">
        <v>8</v>
      </c>
      <c r="HH678" s="27" t="s">
        <v>7</v>
      </c>
      <c r="HK678" s="27" t="s">
        <v>8</v>
      </c>
      <c r="HL678" s="27" t="s">
        <v>7</v>
      </c>
      <c r="HM678" s="27" t="s">
        <v>8</v>
      </c>
      <c r="HN678" s="27" t="s">
        <v>7</v>
      </c>
      <c r="HO678" s="27" t="s">
        <v>8</v>
      </c>
      <c r="HP678" s="27" t="s">
        <v>7</v>
      </c>
      <c r="HQ678" s="27" t="s">
        <v>8</v>
      </c>
      <c r="KN678" s="27" t="s">
        <v>7</v>
      </c>
      <c r="KO678" s="27" t="s">
        <v>8</v>
      </c>
    </row>
    <row r="679" spans="1:301" x14ac:dyDescent="0.25">
      <c r="A679" s="7">
        <v>0.16172762090481685</v>
      </c>
      <c r="B679"/>
      <c r="C679"/>
      <c r="D679"/>
      <c r="E679"/>
      <c r="F679" s="27" t="s">
        <v>7</v>
      </c>
      <c r="HG679" s="27" t="s">
        <v>8</v>
      </c>
      <c r="HH679" s="27" t="s">
        <v>7</v>
      </c>
      <c r="HK679" s="27" t="s">
        <v>8</v>
      </c>
      <c r="HL679" s="27" t="s">
        <v>7</v>
      </c>
      <c r="HM679" s="27" t="s">
        <v>8</v>
      </c>
      <c r="HN679" s="27" t="s">
        <v>7</v>
      </c>
      <c r="HO679" s="27" t="s">
        <v>8</v>
      </c>
      <c r="HP679" s="27" t="s">
        <v>7</v>
      </c>
      <c r="HQ679" s="27" t="s">
        <v>8</v>
      </c>
      <c r="KN679" s="27" t="s">
        <v>7</v>
      </c>
      <c r="KO679" s="27" t="s">
        <v>8</v>
      </c>
    </row>
    <row r="680" spans="1:301" x14ac:dyDescent="0.25">
      <c r="A680" s="7">
        <v>0.15855649108315376</v>
      </c>
      <c r="B680"/>
      <c r="C680"/>
      <c r="D680"/>
      <c r="E680"/>
      <c r="F680" s="27" t="s">
        <v>7</v>
      </c>
      <c r="HG680" s="27" t="s">
        <v>8</v>
      </c>
      <c r="HH680" s="27" t="s">
        <v>7</v>
      </c>
      <c r="HI680" s="27" t="s">
        <v>8</v>
      </c>
      <c r="HK680" s="27" t="s">
        <v>8</v>
      </c>
      <c r="HL680" s="27" t="s">
        <v>7</v>
      </c>
      <c r="HM680" s="27" t="s">
        <v>8</v>
      </c>
      <c r="HN680" s="27" t="s">
        <v>7</v>
      </c>
      <c r="HO680" s="27" t="s">
        <v>8</v>
      </c>
      <c r="HP680" s="27" t="s">
        <v>7</v>
      </c>
      <c r="HQ680" s="27" t="s">
        <v>8</v>
      </c>
      <c r="KN680" s="27" t="s">
        <v>7</v>
      </c>
      <c r="KO680" s="27" t="s">
        <v>8</v>
      </c>
    </row>
    <row r="681" spans="1:301" x14ac:dyDescent="0.25">
      <c r="A681" s="7">
        <v>0.15544754027760171</v>
      </c>
      <c r="B681"/>
      <c r="C681"/>
      <c r="D681"/>
      <c r="E681"/>
      <c r="F681" s="27" t="s">
        <v>7</v>
      </c>
      <c r="HG681" s="27" t="s">
        <v>8</v>
      </c>
      <c r="HH681" s="27" t="s">
        <v>7</v>
      </c>
      <c r="HI681" s="27" t="s">
        <v>8</v>
      </c>
      <c r="HJ681" s="27" t="s">
        <v>7</v>
      </c>
      <c r="HK681" s="27" t="s">
        <v>8</v>
      </c>
      <c r="HL681" s="27" t="s">
        <v>7</v>
      </c>
      <c r="HM681" s="27" t="s">
        <v>8</v>
      </c>
      <c r="HN681" s="27" t="s">
        <v>7</v>
      </c>
      <c r="HO681" s="27" t="s">
        <v>8</v>
      </c>
      <c r="HP681" s="27" t="s">
        <v>7</v>
      </c>
      <c r="KN681" s="27" t="s">
        <v>7</v>
      </c>
    </row>
    <row r="682" spans="1:301" x14ac:dyDescent="0.25">
      <c r="A682" s="7">
        <v>0.15239954929176638</v>
      </c>
      <c r="B682"/>
      <c r="C682"/>
      <c r="D682"/>
      <c r="E682"/>
      <c r="F682" s="27" t="s">
        <v>7</v>
      </c>
      <c r="HG682" s="27" t="s">
        <v>8</v>
      </c>
      <c r="HH682" s="27" t="s">
        <v>7</v>
      </c>
      <c r="HI682" s="27" t="s">
        <v>8</v>
      </c>
      <c r="HJ682" s="27" t="s">
        <v>7</v>
      </c>
      <c r="HK682" s="27" t="s">
        <v>8</v>
      </c>
      <c r="HL682" s="27" t="s">
        <v>7</v>
      </c>
      <c r="HM682" s="27" t="s">
        <v>8</v>
      </c>
      <c r="HN682" s="27" t="s">
        <v>7</v>
      </c>
      <c r="HO682" s="27" t="s">
        <v>8</v>
      </c>
    </row>
    <row r="683" spans="1:301" x14ac:dyDescent="0.25">
      <c r="A683" s="7">
        <v>0.14941132283506509</v>
      </c>
      <c r="B683"/>
      <c r="C683"/>
      <c r="D683"/>
      <c r="E683"/>
      <c r="F683" s="27" t="s">
        <v>7</v>
      </c>
      <c r="HG683" s="27" t="s">
        <v>8</v>
      </c>
      <c r="HH683" s="27" t="s">
        <v>7</v>
      </c>
      <c r="HI683" s="27" t="s">
        <v>8</v>
      </c>
      <c r="HJ683" s="27" t="s">
        <v>7</v>
      </c>
      <c r="HK683" s="27" t="s">
        <v>8</v>
      </c>
      <c r="HL683" s="27" t="s">
        <v>7</v>
      </c>
      <c r="HM683" s="27" t="s">
        <v>8</v>
      </c>
      <c r="HN683" s="27" t="s">
        <v>7</v>
      </c>
      <c r="HO683" s="27" t="s">
        <v>8</v>
      </c>
    </row>
    <row r="684" spans="1:301" x14ac:dyDescent="0.25">
      <c r="A684" s="7">
        <v>0.14648168905398537</v>
      </c>
      <c r="B684"/>
      <c r="C684"/>
      <c r="D684"/>
      <c r="E684"/>
      <c r="F684" s="27" t="s">
        <v>7</v>
      </c>
      <c r="HG684" s="27" t="s">
        <v>8</v>
      </c>
      <c r="HH684" s="27" t="s">
        <v>7</v>
      </c>
      <c r="HI684" s="27" t="s">
        <v>8</v>
      </c>
      <c r="HJ684" s="27" t="s">
        <v>7</v>
      </c>
      <c r="HK684" s="27" t="s">
        <v>8</v>
      </c>
      <c r="HL684" s="27" t="s">
        <v>7</v>
      </c>
      <c r="HM684" s="27" t="s">
        <v>8</v>
      </c>
      <c r="HN684" s="27" t="s">
        <v>7</v>
      </c>
      <c r="HO684" s="27" t="s">
        <v>8</v>
      </c>
    </row>
    <row r="685" spans="1:301" x14ac:dyDescent="0.25">
      <c r="A685" s="7">
        <v>0.14360949907253467</v>
      </c>
      <c r="B685"/>
      <c r="C685"/>
      <c r="D685"/>
      <c r="E685"/>
      <c r="F685" s="27" t="s">
        <v>7</v>
      </c>
      <c r="HG685" s="27" t="s">
        <v>8</v>
      </c>
      <c r="HH685" s="27" t="s">
        <v>7</v>
      </c>
      <c r="HI685" s="27" t="s">
        <v>8</v>
      </c>
      <c r="HJ685" s="27" t="s">
        <v>7</v>
      </c>
      <c r="HK685" s="27" t="s">
        <v>8</v>
      </c>
      <c r="HL685" s="27" t="s">
        <v>7</v>
      </c>
      <c r="HM685" s="27" t="s">
        <v>8</v>
      </c>
      <c r="HN685" s="27" t="s">
        <v>7</v>
      </c>
      <c r="HO685" s="27" t="s">
        <v>8</v>
      </c>
    </row>
    <row r="686" spans="1:301" x14ac:dyDescent="0.25">
      <c r="A686" s="7">
        <v>0.14079362654170066</v>
      </c>
      <c r="B686"/>
      <c r="C686"/>
      <c r="D686"/>
      <c r="E686"/>
      <c r="F686" s="27" t="s">
        <v>7</v>
      </c>
      <c r="HG686" s="27" t="s">
        <v>8</v>
      </c>
      <c r="HH686" s="27" t="s">
        <v>7</v>
      </c>
      <c r="HI686" s="27" t="s">
        <v>8</v>
      </c>
      <c r="HJ686" s="27" t="s">
        <v>7</v>
      </c>
      <c r="HK686" s="27" t="s">
        <v>8</v>
      </c>
      <c r="HL686" s="27" t="s">
        <v>7</v>
      </c>
      <c r="HM686" s="27" t="s">
        <v>8</v>
      </c>
      <c r="HN686" s="27" t="s">
        <v>7</v>
      </c>
    </row>
    <row r="687" spans="1:301" x14ac:dyDescent="0.25">
      <c r="A687" s="7">
        <v>0.13803296719774574</v>
      </c>
      <c r="B687"/>
      <c r="C687"/>
      <c r="D687"/>
      <c r="E687"/>
      <c r="F687" s="27" t="s">
        <v>7</v>
      </c>
      <c r="HG687" s="27" t="s">
        <v>8</v>
      </c>
      <c r="HH687" s="27" t="s">
        <v>7</v>
      </c>
      <c r="HI687" s="27" t="s">
        <v>8</v>
      </c>
      <c r="HJ687" s="27" t="s">
        <v>7</v>
      </c>
      <c r="HK687" s="27" t="s">
        <v>8</v>
      </c>
      <c r="HL687" s="27" t="s">
        <v>7</v>
      </c>
      <c r="HM687" s="27" t="s">
        <v>8</v>
      </c>
    </row>
    <row r="688" spans="1:301" x14ac:dyDescent="0.25">
      <c r="A688" s="7">
        <v>0.1353264384291625</v>
      </c>
      <c r="B688"/>
      <c r="C688"/>
      <c r="D688"/>
      <c r="E688"/>
      <c r="F688" s="27" t="s">
        <v>7</v>
      </c>
      <c r="HG688" s="27" t="s">
        <v>8</v>
      </c>
      <c r="HH688" s="27" t="s">
        <v>7</v>
      </c>
      <c r="HI688" s="27" t="s">
        <v>8</v>
      </c>
      <c r="HJ688" s="27" t="s">
        <v>7</v>
      </c>
      <c r="HK688" s="27" t="s">
        <v>8</v>
      </c>
      <c r="HL688" s="27" t="s">
        <v>7</v>
      </c>
      <c r="HM688" s="27" t="s">
        <v>8</v>
      </c>
    </row>
    <row r="689" spans="1:221" x14ac:dyDescent="0.25">
      <c r="A689" s="7">
        <v>0.13267297885212009</v>
      </c>
      <c r="B689"/>
      <c r="C689"/>
      <c r="D689"/>
      <c r="E689"/>
      <c r="F689" s="27" t="s">
        <v>7</v>
      </c>
      <c r="HG689" s="27" t="s">
        <v>8</v>
      </c>
      <c r="HH689" s="27" t="s">
        <v>7</v>
      </c>
      <c r="HI689" s="27" t="s">
        <v>8</v>
      </c>
      <c r="HJ689" s="27" t="s">
        <v>7</v>
      </c>
      <c r="HK689" s="27" t="s">
        <v>8</v>
      </c>
      <c r="HL689" s="27" t="s">
        <v>7</v>
      </c>
      <c r="HM689" s="27" t="s">
        <v>8</v>
      </c>
    </row>
    <row r="690" spans="1:221" x14ac:dyDescent="0.25">
      <c r="A690" s="7">
        <v>0.13007154789423539</v>
      </c>
      <c r="B690"/>
      <c r="C690"/>
      <c r="D690"/>
      <c r="E690"/>
      <c r="F690" s="27" t="s">
        <v>7</v>
      </c>
      <c r="HG690" s="27" t="s">
        <v>8</v>
      </c>
      <c r="HH690" s="27" t="s">
        <v>7</v>
      </c>
      <c r="HI690" s="27" t="s">
        <v>8</v>
      </c>
      <c r="HJ690" s="27" t="s">
        <v>7</v>
      </c>
      <c r="HK690" s="27" t="s">
        <v>8</v>
      </c>
      <c r="HL690" s="27" t="s">
        <v>7</v>
      </c>
      <c r="HM690" s="27" t="s">
        <v>8</v>
      </c>
    </row>
    <row r="691" spans="1:221" x14ac:dyDescent="0.25">
      <c r="A691" s="7">
        <v>0.12752112538650529</v>
      </c>
      <c r="B691"/>
      <c r="C691"/>
      <c r="D691"/>
      <c r="E691"/>
      <c r="F691" s="27" t="s">
        <v>7</v>
      </c>
      <c r="HG691" s="27" t="s">
        <v>8</v>
      </c>
      <c r="HH691" s="27" t="s">
        <v>7</v>
      </c>
      <c r="HI691" s="27" t="s">
        <v>8</v>
      </c>
      <c r="HJ691" s="27" t="s">
        <v>7</v>
      </c>
      <c r="HK691" s="27" t="s">
        <v>8</v>
      </c>
      <c r="HL691" s="27" t="s">
        <v>7</v>
      </c>
      <c r="HM691" s="27" t="s">
        <v>8</v>
      </c>
    </row>
    <row r="692" spans="1:221" x14ac:dyDescent="0.25">
      <c r="A692" s="7">
        <v>0.12502071116324048</v>
      </c>
      <c r="B692"/>
      <c r="C692"/>
      <c r="D692"/>
      <c r="E692"/>
      <c r="F692" s="27" t="s">
        <v>7</v>
      </c>
      <c r="HG692" s="27" t="s">
        <v>8</v>
      </c>
      <c r="HH692" s="27" t="s">
        <v>7</v>
      </c>
      <c r="HI692" s="27" t="s">
        <v>8</v>
      </c>
      <c r="HJ692" s="27" t="s">
        <v>7</v>
      </c>
      <c r="HK692" s="27" t="s">
        <v>8</v>
      </c>
      <c r="HL692" s="27" t="s">
        <v>7</v>
      </c>
      <c r="HM692" s="27" t="s">
        <v>8</v>
      </c>
    </row>
    <row r="693" spans="1:221" x14ac:dyDescent="0.25">
      <c r="A693" s="7">
        <v>0.1225693246698436</v>
      </c>
      <c r="B693"/>
      <c r="C693"/>
      <c r="D693"/>
      <c r="E693"/>
      <c r="F693" s="27" t="s">
        <v>7</v>
      </c>
      <c r="HG693" s="27" t="s">
        <v>8</v>
      </c>
      <c r="HH693" s="27" t="s">
        <v>7</v>
      </c>
      <c r="HI693" s="27" t="s">
        <v>8</v>
      </c>
      <c r="HJ693" s="27" t="s">
        <v>7</v>
      </c>
      <c r="HL693" s="27" t="s">
        <v>7</v>
      </c>
      <c r="HM693" s="27" t="s">
        <v>8</v>
      </c>
    </row>
    <row r="694" spans="1:221" x14ac:dyDescent="0.25">
      <c r="A694" s="7">
        <v>0.12016600457827803</v>
      </c>
      <c r="B694"/>
      <c r="C694"/>
      <c r="D694"/>
      <c r="E694"/>
      <c r="F694" s="27" t="s">
        <v>7</v>
      </c>
      <c r="HG694" s="27" t="s">
        <v>8</v>
      </c>
      <c r="HH694" s="27" t="s">
        <v>7</v>
      </c>
      <c r="HI694" s="27" t="s">
        <v>8</v>
      </c>
      <c r="HL694" s="27" t="s">
        <v>7</v>
      </c>
    </row>
    <row r="695" spans="1:221" x14ac:dyDescent="0.25">
      <c r="A695" s="7">
        <v>0.1178098084100765</v>
      </c>
      <c r="B695"/>
      <c r="C695"/>
      <c r="D695"/>
      <c r="E695"/>
      <c r="F695" s="27" t="s">
        <v>7</v>
      </c>
      <c r="HG695" s="27" t="s">
        <v>8</v>
      </c>
      <c r="HH695" s="27" t="s">
        <v>7</v>
      </c>
      <c r="HI695" s="27" t="s">
        <v>8</v>
      </c>
    </row>
    <row r="696" spans="1:221" x14ac:dyDescent="0.25">
      <c r="A696" s="7">
        <v>0.11549981216674166</v>
      </c>
      <c r="B696"/>
      <c r="C696"/>
      <c r="D696"/>
      <c r="E696"/>
      <c r="F696" s="27" t="s">
        <v>7</v>
      </c>
      <c r="HG696" s="27" t="s">
        <v>8</v>
      </c>
      <c r="HH696" s="27" t="s">
        <v>7</v>
      </c>
      <c r="HI696" s="27" t="s">
        <v>8</v>
      </c>
    </row>
    <row r="697" spans="1:221" x14ac:dyDescent="0.25">
      <c r="A697" s="7">
        <v>0.11323510996739378</v>
      </c>
      <c r="B697"/>
      <c r="C697"/>
      <c r="D697"/>
      <c r="E697"/>
      <c r="F697" s="27" t="s">
        <v>7</v>
      </c>
      <c r="HG697" s="27" t="s">
        <v>8</v>
      </c>
      <c r="HH697" s="27" t="s">
        <v>7</v>
      </c>
      <c r="HI697" s="27" t="s">
        <v>8</v>
      </c>
    </row>
    <row r="698" spans="1:221" x14ac:dyDescent="0.25">
      <c r="A698" s="7">
        <v>0.11101481369352331</v>
      </c>
      <c r="B698"/>
      <c r="C698"/>
      <c r="D698"/>
      <c r="E698"/>
      <c r="F698" s="27" t="s">
        <v>7</v>
      </c>
      <c r="HG698" s="27" t="s">
        <v>8</v>
      </c>
      <c r="HH698" s="27" t="s">
        <v>7</v>
      </c>
      <c r="HI698" s="27" t="s">
        <v>8</v>
      </c>
    </row>
    <row r="699" spans="1:221" x14ac:dyDescent="0.25">
      <c r="A699" s="7">
        <v>0.10883805264070913</v>
      </c>
      <c r="B699"/>
      <c r="C699"/>
      <c r="D699"/>
      <c r="E699"/>
      <c r="F699" s="27" t="s">
        <v>7</v>
      </c>
      <c r="HG699" s="27" t="s">
        <v>8</v>
      </c>
      <c r="HH699" s="27" t="s">
        <v>7</v>
      </c>
      <c r="HI699" s="27" t="s">
        <v>8</v>
      </c>
    </row>
    <row r="700" spans="1:221" x14ac:dyDescent="0.25">
      <c r="A700" s="7">
        <v>0.10670397317716582</v>
      </c>
      <c r="B700"/>
      <c r="C700"/>
      <c r="D700"/>
      <c r="E700"/>
      <c r="F700" s="27" t="s">
        <v>7</v>
      </c>
      <c r="HG700" s="27" t="s">
        <v>8</v>
      </c>
      <c r="HH700" s="27" t="s">
        <v>7</v>
      </c>
      <c r="HI700" s="27" t="s">
        <v>8</v>
      </c>
    </row>
    <row r="701" spans="1:221" x14ac:dyDescent="0.25">
      <c r="A701" s="7">
        <v>0.1046117384089861</v>
      </c>
      <c r="B701"/>
      <c r="C701"/>
      <c r="D701"/>
      <c r="E701"/>
      <c r="F701" s="27" t="s">
        <v>7</v>
      </c>
      <c r="HG701" s="27" t="s">
        <v>8</v>
      </c>
      <c r="HH701" s="27" t="s">
        <v>7</v>
      </c>
      <c r="HI701" s="27" t="s">
        <v>8</v>
      </c>
    </row>
    <row r="702" spans="1:221" x14ac:dyDescent="0.25">
      <c r="A702" s="7">
        <v>0.10256052785194716</v>
      </c>
      <c r="B702"/>
      <c r="C702"/>
      <c r="D702"/>
      <c r="E702"/>
      <c r="F702" s="27" t="s">
        <v>7</v>
      </c>
      <c r="HG702" s="27" t="s">
        <v>8</v>
      </c>
      <c r="HH702" s="27" t="s">
        <v>7</v>
      </c>
    </row>
    <row r="703" spans="1:221" x14ac:dyDescent="0.25">
      <c r="A703" s="7">
        <v>0.10054953710975212</v>
      </c>
      <c r="B703"/>
      <c r="C703"/>
      <c r="D703"/>
      <c r="E703"/>
      <c r="F703" s="27" t="s">
        <v>7</v>
      </c>
      <c r="HG703" s="27" t="s">
        <v>8</v>
      </c>
    </row>
    <row r="704" spans="1:221" x14ac:dyDescent="0.25">
      <c r="A704" s="7">
        <v>9.8577977558580512E-2</v>
      </c>
      <c r="B704"/>
      <c r="C704"/>
      <c r="D704"/>
      <c r="E704"/>
      <c r="F704" s="27" t="s">
        <v>7</v>
      </c>
      <c r="HG704" s="27" t="s">
        <v>8</v>
      </c>
    </row>
    <row r="705" spans="1:215" x14ac:dyDescent="0.25">
      <c r="A705" s="7">
        <v>9.6645076037824032E-2</v>
      </c>
      <c r="B705"/>
      <c r="C705"/>
      <c r="D705"/>
      <c r="E705"/>
      <c r="F705" s="27" t="s">
        <v>7</v>
      </c>
      <c r="HG705" s="27" t="s">
        <v>8</v>
      </c>
    </row>
    <row r="706" spans="1:215" x14ac:dyDescent="0.25">
      <c r="A706" s="7">
        <v>9.4750074546886304E-2</v>
      </c>
      <c r="B706"/>
      <c r="C706"/>
      <c r="D706"/>
      <c r="E706"/>
      <c r="F706" s="27" t="s">
        <v>7</v>
      </c>
      <c r="HG706" s="27" t="s">
        <v>8</v>
      </c>
    </row>
    <row r="707" spans="1:215" x14ac:dyDescent="0.25">
      <c r="A707" s="7">
        <v>9.2892229947927743E-2</v>
      </c>
      <c r="B707"/>
      <c r="C707"/>
      <c r="D707"/>
      <c r="E707"/>
      <c r="F707" s="27" t="s">
        <v>7</v>
      </c>
      <c r="HG707" s="27" t="s">
        <v>8</v>
      </c>
    </row>
    <row r="708" spans="1:215" x14ac:dyDescent="0.25">
      <c r="A708" s="7">
        <v>9.1070813674438963E-2</v>
      </c>
      <c r="B708"/>
      <c r="C708"/>
      <c r="D708"/>
      <c r="E708"/>
      <c r="F708" s="27" t="s">
        <v>7</v>
      </c>
      <c r="HG708" s="27" t="s">
        <v>8</v>
      </c>
    </row>
    <row r="709" spans="1:215" x14ac:dyDescent="0.25">
      <c r="A709" s="7">
        <v>8.9285111445528392E-2</v>
      </c>
      <c r="B709"/>
      <c r="C709"/>
      <c r="D709"/>
      <c r="E709"/>
      <c r="F709" s="27" t="s">
        <v>7</v>
      </c>
      <c r="HG709" s="27" t="s">
        <v>8</v>
      </c>
    </row>
    <row r="710" spans="1:215" x14ac:dyDescent="0.25">
      <c r="A710" s="7">
        <v>8.7534422985812155E-2</v>
      </c>
      <c r="B710"/>
      <c r="C710"/>
      <c r="D710"/>
      <c r="E710"/>
      <c r="F710" s="27" t="s">
        <v>7</v>
      </c>
      <c r="HG710" s="27" t="s">
        <v>8</v>
      </c>
    </row>
    <row r="711" spans="1:215" x14ac:dyDescent="0.25">
      <c r="A711" s="7">
        <v>8.5818061750796232E-2</v>
      </c>
      <c r="B711"/>
      <c r="C711"/>
      <c r="D711"/>
      <c r="E711"/>
      <c r="F711" s="27" t="s">
        <v>7</v>
      </c>
      <c r="HG711" s="27" t="s">
        <v>8</v>
      </c>
    </row>
    <row r="712" spans="1:215" x14ac:dyDescent="0.25">
      <c r="A712" s="7">
        <v>8.4135354657643366E-2</v>
      </c>
      <c r="B712"/>
      <c r="C712"/>
      <c r="D712"/>
      <c r="E712"/>
      <c r="F712" s="27" t="s">
        <v>7</v>
      </c>
      <c r="HG712" s="27" t="s">
        <v>8</v>
      </c>
    </row>
    <row r="713" spans="1:215" x14ac:dyDescent="0.25">
      <c r="A713" s="7">
        <v>8.248564182121898E-2</v>
      </c>
      <c r="B713"/>
      <c r="C713"/>
      <c r="D713"/>
      <c r="E713"/>
      <c r="F713" s="27" t="s">
        <v>7</v>
      </c>
      <c r="HG713" s="27" t="s">
        <v>8</v>
      </c>
    </row>
    <row r="714" spans="1:215" x14ac:dyDescent="0.25">
      <c r="A714" s="7">
        <v>8.0868276295312735E-2</v>
      </c>
      <c r="B714"/>
      <c r="C714"/>
      <c r="D714"/>
      <c r="E714"/>
      <c r="F714" s="27" t="s">
        <v>7</v>
      </c>
      <c r="HG714" s="27" t="s">
        <v>8</v>
      </c>
    </row>
    <row r="715" spans="1:215" x14ac:dyDescent="0.25">
      <c r="A715" s="7">
        <v>7.9282623818934056E-2</v>
      </c>
      <c r="B715"/>
      <c r="C715"/>
      <c r="D715"/>
      <c r="E715"/>
      <c r="F715" s="27" t="s">
        <v>7</v>
      </c>
      <c r="HG715" s="27" t="s">
        <v>8</v>
      </c>
    </row>
    <row r="716" spans="1:215" x14ac:dyDescent="0.25">
      <c r="A716" s="7">
        <v>7.7728062567582412E-2</v>
      </c>
      <c r="B716"/>
      <c r="C716"/>
      <c r="D716"/>
      <c r="E716"/>
      <c r="F716" s="27" t="s">
        <v>7</v>
      </c>
      <c r="HG716" s="27" t="s">
        <v>8</v>
      </c>
    </row>
    <row r="717" spans="1:215" x14ac:dyDescent="0.25">
      <c r="A717" s="7">
        <v>7.6203982909394521E-2</v>
      </c>
      <c r="B717"/>
      <c r="C717"/>
      <c r="D717"/>
      <c r="E717"/>
      <c r="F717" s="27" t="s">
        <v>7</v>
      </c>
      <c r="HG717" s="27" t="s">
        <v>8</v>
      </c>
    </row>
    <row r="718" spans="1:215" x14ac:dyDescent="0.25">
      <c r="A718" s="7">
        <v>7.4709787166073058E-2</v>
      </c>
      <c r="B718"/>
      <c r="C718"/>
      <c r="D718"/>
      <c r="E718"/>
      <c r="F718" s="27" t="s">
        <v>7</v>
      </c>
      <c r="HG718" s="27" t="s">
        <v>8</v>
      </c>
    </row>
    <row r="719" spans="1:215" x14ac:dyDescent="0.25">
      <c r="A719" s="7">
        <v>7.3244889378503E-2</v>
      </c>
      <c r="B719"/>
      <c r="C719"/>
      <c r="D719"/>
      <c r="E719"/>
      <c r="F719" s="27" t="s">
        <v>7</v>
      </c>
      <c r="HG719" s="27" t="s">
        <v>8</v>
      </c>
    </row>
    <row r="720" spans="1:215" x14ac:dyDescent="0.25">
      <c r="A720" s="7">
        <v>7.1808715076963722E-2</v>
      </c>
      <c r="B720"/>
      <c r="C720"/>
      <c r="D720"/>
      <c r="E720"/>
      <c r="F720" s="27" t="s">
        <v>7</v>
      </c>
      <c r="HG720" s="27" t="s">
        <v>8</v>
      </c>
    </row>
    <row r="721" spans="1:215" x14ac:dyDescent="0.25">
      <c r="A721" s="7">
        <v>7.0400701055846782E-2</v>
      </c>
      <c r="B721"/>
      <c r="C721"/>
      <c r="D721"/>
      <c r="E721"/>
      <c r="F721" s="27" t="s">
        <v>7</v>
      </c>
      <c r="HG721" s="27" t="s">
        <v>8</v>
      </c>
    </row>
    <row r="722" spans="1:215" x14ac:dyDescent="0.25">
      <c r="A722" s="7">
        <v>6.9020295152790956E-2</v>
      </c>
      <c r="B722"/>
      <c r="C722"/>
      <c r="D722"/>
      <c r="E722"/>
      <c r="F722" s="27" t="s">
        <v>7</v>
      </c>
      <c r="HG722" s="27" t="s">
        <v>8</v>
      </c>
    </row>
    <row r="723" spans="1:215" x14ac:dyDescent="0.25">
      <c r="A723" s="7">
        <v>6.7666956032147993E-2</v>
      </c>
      <c r="B723"/>
      <c r="C723"/>
      <c r="D723"/>
      <c r="E723"/>
      <c r="F723" s="27" t="s">
        <v>7</v>
      </c>
      <c r="HG723" s="27" t="s">
        <v>8</v>
      </c>
    </row>
    <row r="724" spans="1:215" x14ac:dyDescent="0.25">
      <c r="A724" s="7">
        <v>6.6340152972694105E-2</v>
      </c>
      <c r="B724"/>
      <c r="C724"/>
      <c r="D724"/>
      <c r="E724"/>
      <c r="F724" s="27" t="s">
        <v>7</v>
      </c>
      <c r="HG724" s="27" t="s">
        <v>8</v>
      </c>
    </row>
    <row r="725" spans="1:215" x14ac:dyDescent="0.25">
      <c r="A725" s="7">
        <v>6.5039365659504023E-2</v>
      </c>
      <c r="B725"/>
      <c r="C725"/>
      <c r="D725"/>
      <c r="E725"/>
      <c r="F725" s="27" t="s">
        <v>7</v>
      </c>
      <c r="HG725" s="27" t="s">
        <v>8</v>
      </c>
    </row>
    <row r="726" spans="1:215" x14ac:dyDescent="0.25">
      <c r="A726" s="7">
        <v>6.3764083979905906E-2</v>
      </c>
      <c r="B726"/>
      <c r="C726"/>
      <c r="D726"/>
      <c r="E726"/>
      <c r="F726" s="27" t="s">
        <v>7</v>
      </c>
      <c r="HG726" s="27" t="s">
        <v>8</v>
      </c>
    </row>
    <row r="727" spans="1:215" x14ac:dyDescent="0.25">
      <c r="A727" s="7">
        <v>6.251380782343717E-2</v>
      </c>
      <c r="B727"/>
      <c r="C727"/>
      <c r="D727"/>
      <c r="E727"/>
      <c r="F727" s="27" t="s">
        <v>7</v>
      </c>
      <c r="HG727" s="27" t="s">
        <v>8</v>
      </c>
    </row>
    <row r="728" spans="1:215" x14ac:dyDescent="0.25">
      <c r="A728" s="7">
        <v>6.1288046885722716E-2</v>
      </c>
      <c r="B728"/>
      <c r="C728"/>
      <c r="D728"/>
      <c r="E728"/>
      <c r="F728" s="27" t="s">
        <v>7</v>
      </c>
      <c r="HG728" s="27" t="s">
        <v>8</v>
      </c>
    </row>
    <row r="729" spans="1:215" x14ac:dyDescent="0.25">
      <c r="A729" s="7">
        <v>6.0086320476198739E-2</v>
      </c>
      <c r="B729"/>
      <c r="C729"/>
      <c r="D729"/>
      <c r="E729"/>
      <c r="F729" s="27" t="s">
        <v>7</v>
      </c>
      <c r="HG729" s="27" t="s">
        <v>8</v>
      </c>
    </row>
    <row r="730" spans="1:215" x14ac:dyDescent="0.25">
      <c r="A730" s="7">
        <v>5.8908157329606609E-2</v>
      </c>
      <c r="B730"/>
      <c r="C730"/>
      <c r="D730"/>
      <c r="E730"/>
      <c r="F730" s="27" t="s">
        <v>7</v>
      </c>
      <c r="HG730" s="27" t="s">
        <v>8</v>
      </c>
    </row>
    <row r="731" spans="1:215" x14ac:dyDescent="0.25">
      <c r="A731" s="7">
        <v>5.7753095421182947E-2</v>
      </c>
      <c r="B731"/>
      <c r="C731"/>
      <c r="D731"/>
      <c r="E731"/>
      <c r="F731" s="27" t="s">
        <v>7</v>
      </c>
      <c r="HG731" s="27" t="s">
        <v>8</v>
      </c>
    </row>
    <row r="732" spans="1:215" x14ac:dyDescent="0.25">
      <c r="A732" s="7">
        <v>5.6620681785473484E-2</v>
      </c>
      <c r="B732"/>
      <c r="C732"/>
      <c r="D732"/>
      <c r="E732"/>
      <c r="F732" s="27" t="s">
        <v>7</v>
      </c>
      <c r="EE732" s="27" t="s">
        <v>8</v>
      </c>
      <c r="HG732" s="27" t="s">
        <v>8</v>
      </c>
    </row>
    <row r="733" spans="1:215" x14ac:dyDescent="0.25">
      <c r="A733" s="7">
        <v>5.5510472338699497E-2</v>
      </c>
      <c r="B733"/>
      <c r="C733"/>
      <c r="D733"/>
      <c r="E733"/>
      <c r="F733" s="27" t="s">
        <v>7</v>
      </c>
      <c r="EE733" s="27" t="s">
        <v>8</v>
      </c>
      <c r="EF733" s="27" t="s">
        <v>7</v>
      </c>
      <c r="HG733" s="27" t="s">
        <v>8</v>
      </c>
    </row>
    <row r="734" spans="1:215" x14ac:dyDescent="0.25">
      <c r="A734" s="7">
        <v>5.4422031704607354E-2</v>
      </c>
      <c r="B734"/>
      <c r="C734"/>
      <c r="D734"/>
      <c r="E734"/>
      <c r="F734" s="27" t="s">
        <v>7</v>
      </c>
      <c r="EE734" s="27" t="s">
        <v>8</v>
      </c>
      <c r="EF734" s="27" t="s">
        <v>7</v>
      </c>
      <c r="HG734" s="27" t="s">
        <v>8</v>
      </c>
    </row>
    <row r="735" spans="1:215" x14ac:dyDescent="0.25">
      <c r="A735" s="7">
        <v>5.3354933043732705E-2</v>
      </c>
      <c r="B735"/>
      <c r="C735"/>
      <c r="D735"/>
      <c r="E735"/>
      <c r="F735" s="27" t="s">
        <v>7</v>
      </c>
      <c r="EE735" s="27" t="s">
        <v>8</v>
      </c>
      <c r="EF735" s="27" t="s">
        <v>7</v>
      </c>
      <c r="HG735" s="27" t="s">
        <v>8</v>
      </c>
    </row>
    <row r="736" spans="1:215" x14ac:dyDescent="0.25">
      <c r="A736" s="7">
        <v>5.2308757886012455E-2</v>
      </c>
      <c r="B736"/>
      <c r="C736"/>
      <c r="D736"/>
      <c r="E736"/>
      <c r="F736" s="27" t="s">
        <v>7</v>
      </c>
      <c r="EE736" s="27" t="s">
        <v>8</v>
      </c>
      <c r="EF736" s="27" t="s">
        <v>7</v>
      </c>
      <c r="HG736" s="27" t="s">
        <v>8</v>
      </c>
    </row>
    <row r="737" spans="1:215" x14ac:dyDescent="0.25">
      <c r="A737" s="7">
        <v>5.1283095966678877E-2</v>
      </c>
      <c r="B737"/>
      <c r="C737"/>
      <c r="D737"/>
      <c r="E737"/>
      <c r="F737" s="27" t="s">
        <v>7</v>
      </c>
      <c r="EE737" s="27" t="s">
        <v>8</v>
      </c>
      <c r="EF737" s="27" t="s">
        <v>7</v>
      </c>
      <c r="HG737" s="27" t="s">
        <v>8</v>
      </c>
    </row>
    <row r="738" spans="1:215" x14ac:dyDescent="0.25">
      <c r="A738" s="7">
        <v>5.0277545065371444E-2</v>
      </c>
      <c r="B738"/>
      <c r="C738"/>
      <c r="D738"/>
      <c r="E738"/>
      <c r="F738" s="27" t="s">
        <v>7</v>
      </c>
      <c r="EE738" s="27" t="s">
        <v>8</v>
      </c>
      <c r="EF738" s="27" t="s">
        <v>7</v>
      </c>
      <c r="HG738" s="27" t="s">
        <v>8</v>
      </c>
    </row>
    <row r="739" spans="1:215" x14ac:dyDescent="0.25">
      <c r="A739" s="7">
        <v>4.9291710848403378E-2</v>
      </c>
      <c r="B739"/>
      <c r="C739"/>
      <c r="D739"/>
      <c r="E739"/>
      <c r="F739" s="27" t="s">
        <v>7</v>
      </c>
      <c r="EE739" s="27" t="s">
        <v>8</v>
      </c>
      <c r="EF739" s="27" t="s">
        <v>7</v>
      </c>
      <c r="HG739" s="27" t="s">
        <v>8</v>
      </c>
    </row>
    <row r="740" spans="1:215" x14ac:dyDescent="0.25">
      <c r="A740" s="7">
        <v>4.8325206714120959E-2</v>
      </c>
      <c r="B740"/>
      <c r="C740"/>
      <c r="D740"/>
      <c r="E740"/>
      <c r="F740" s="27" t="s">
        <v>7</v>
      </c>
      <c r="EE740" s="27" t="s">
        <v>8</v>
      </c>
      <c r="EF740" s="27" t="s">
        <v>7</v>
      </c>
      <c r="HG740" s="27" t="s">
        <v>8</v>
      </c>
    </row>
    <row r="741" spans="1:215" x14ac:dyDescent="0.25">
      <c r="A741" s="7">
        <v>4.7377653641295057E-2</v>
      </c>
      <c r="B741"/>
      <c r="C741"/>
      <c r="D741"/>
      <c r="E741"/>
      <c r="F741" s="27" t="s">
        <v>7</v>
      </c>
      <c r="EE741" s="27" t="s">
        <v>8</v>
      </c>
      <c r="EF741" s="27" t="s">
        <v>7</v>
      </c>
      <c r="EQ741" s="27" t="s">
        <v>8</v>
      </c>
      <c r="HG741" s="27" t="s">
        <v>8</v>
      </c>
    </row>
    <row r="742" spans="1:215" x14ac:dyDescent="0.25">
      <c r="A742" s="7">
        <v>4.644868004048535E-2</v>
      </c>
      <c r="B742"/>
      <c r="C742"/>
      <c r="D742"/>
      <c r="E742"/>
      <c r="F742" s="27" t="s">
        <v>7</v>
      </c>
      <c r="EC742" s="27" t="s">
        <v>8</v>
      </c>
      <c r="EE742" s="27" t="s">
        <v>8</v>
      </c>
      <c r="EF742" s="27" t="s">
        <v>7</v>
      </c>
      <c r="EQ742" s="27" t="s">
        <v>8</v>
      </c>
      <c r="ER742" s="27" t="s">
        <v>7</v>
      </c>
      <c r="HG742" s="27" t="s">
        <v>8</v>
      </c>
    </row>
    <row r="743" spans="1:215" x14ac:dyDescent="0.25">
      <c r="A743" s="7">
        <v>4.5537921608318974E-2</v>
      </c>
      <c r="B743"/>
      <c r="C743"/>
      <c r="D743"/>
      <c r="E743"/>
      <c r="F743" s="27" t="s">
        <v>7</v>
      </c>
      <c r="EC743" s="27" t="s">
        <v>8</v>
      </c>
      <c r="ED743" s="27" t="s">
        <v>7</v>
      </c>
      <c r="EE743" s="27" t="s">
        <v>8</v>
      </c>
      <c r="EF743" s="27" t="s">
        <v>7</v>
      </c>
      <c r="EQ743" s="27" t="s">
        <v>8</v>
      </c>
      <c r="ER743" s="27" t="s">
        <v>7</v>
      </c>
      <c r="ES743" s="27" t="s">
        <v>8</v>
      </c>
      <c r="HG743" s="27" t="s">
        <v>8</v>
      </c>
    </row>
    <row r="744" spans="1:215" x14ac:dyDescent="0.25">
      <c r="A744" s="7">
        <v>4.4645021184626446E-2</v>
      </c>
      <c r="B744"/>
      <c r="C744"/>
      <c r="D744"/>
      <c r="E744"/>
      <c r="F744" s="27" t="s">
        <v>7</v>
      </c>
      <c r="EC744" s="27" t="s">
        <v>8</v>
      </c>
      <c r="ED744" s="27" t="s">
        <v>7</v>
      </c>
      <c r="EE744" s="27" t="s">
        <v>8</v>
      </c>
      <c r="EF744" s="27" t="s">
        <v>7</v>
      </c>
      <c r="EQ744" s="27" t="s">
        <v>8</v>
      </c>
      <c r="ER744" s="27" t="s">
        <v>7</v>
      </c>
      <c r="ES744" s="27" t="s">
        <v>8</v>
      </c>
      <c r="ET744" s="27" t="s">
        <v>7</v>
      </c>
      <c r="EW744" s="27" t="s">
        <v>8</v>
      </c>
      <c r="HG744" s="27" t="s">
        <v>8</v>
      </c>
    </row>
    <row r="745" spans="1:215" x14ac:dyDescent="0.25">
      <c r="A745" s="7">
        <v>4.3769628612378868E-2</v>
      </c>
      <c r="B745"/>
      <c r="C745"/>
      <c r="D745"/>
      <c r="E745"/>
      <c r="F745" s="27" t="s">
        <v>7</v>
      </c>
      <c r="EC745" s="27" t="s">
        <v>8</v>
      </c>
      <c r="ED745" s="27" t="s">
        <v>7</v>
      </c>
      <c r="EE745" s="27" t="s">
        <v>8</v>
      </c>
      <c r="EF745" s="27" t="s">
        <v>7</v>
      </c>
      <c r="EQ745" s="27" t="s">
        <v>8</v>
      </c>
      <c r="ER745" s="27" t="s">
        <v>7</v>
      </c>
      <c r="ES745" s="27" t="s">
        <v>8</v>
      </c>
      <c r="ET745" s="27" t="s">
        <v>7</v>
      </c>
      <c r="EW745" s="27" t="s">
        <v>8</v>
      </c>
      <c r="EX745" s="27" t="s">
        <v>7</v>
      </c>
      <c r="HG745" s="27" t="s">
        <v>8</v>
      </c>
    </row>
    <row r="746" spans="1:215" x14ac:dyDescent="0.25">
      <c r="A746" s="7">
        <v>4.2911400600371442E-2</v>
      </c>
      <c r="B746"/>
      <c r="C746"/>
      <c r="D746"/>
      <c r="E746"/>
      <c r="F746" s="27" t="s">
        <v>7</v>
      </c>
      <c r="EC746" s="27" t="s">
        <v>8</v>
      </c>
      <c r="ED746" s="27" t="s">
        <v>7</v>
      </c>
      <c r="EE746" s="27" t="s">
        <v>8</v>
      </c>
      <c r="EF746" s="27" t="s">
        <v>7</v>
      </c>
      <c r="EQ746" s="27" t="s">
        <v>8</v>
      </c>
      <c r="ER746" s="27" t="s">
        <v>7</v>
      </c>
      <c r="ES746" s="27" t="s">
        <v>8</v>
      </c>
      <c r="ET746" s="27" t="s">
        <v>7</v>
      </c>
      <c r="EU746" s="27" t="s">
        <v>8</v>
      </c>
      <c r="EW746" s="27" t="s">
        <v>8</v>
      </c>
      <c r="EX746" s="27" t="s">
        <v>7</v>
      </c>
      <c r="HG746" s="27" t="s">
        <v>8</v>
      </c>
    </row>
    <row r="747" spans="1:215" x14ac:dyDescent="0.25">
      <c r="A747" s="7">
        <v>4.2070000588599457E-2</v>
      </c>
      <c r="B747"/>
      <c r="C747"/>
      <c r="D747"/>
      <c r="E747"/>
      <c r="F747" s="27" t="s">
        <v>7</v>
      </c>
      <c r="EC747" s="27" t="s">
        <v>8</v>
      </c>
      <c r="ED747" s="27" t="s">
        <v>7</v>
      </c>
      <c r="EE747" s="27" t="s">
        <v>8</v>
      </c>
      <c r="EF747" s="27" t="s">
        <v>7</v>
      </c>
      <c r="EQ747" s="27" t="s">
        <v>8</v>
      </c>
      <c r="ER747" s="27" t="s">
        <v>7</v>
      </c>
      <c r="ES747" s="27" t="s">
        <v>8</v>
      </c>
      <c r="ET747" s="27" t="s">
        <v>7</v>
      </c>
      <c r="EU747" s="27" t="s">
        <v>8</v>
      </c>
      <c r="EV747" s="27" t="s">
        <v>7</v>
      </c>
      <c r="EW747" s="27" t="s">
        <v>8</v>
      </c>
      <c r="EX747" s="27" t="s">
        <v>7</v>
      </c>
      <c r="HG747" s="27" t="s">
        <v>8</v>
      </c>
    </row>
    <row r="748" spans="1:215" x14ac:dyDescent="0.25">
      <c r="A748" s="7">
        <v>4.1245098616273977E-2</v>
      </c>
      <c r="B748"/>
      <c r="C748"/>
      <c r="D748"/>
      <c r="E748"/>
      <c r="F748" s="27" t="s">
        <v>7</v>
      </c>
      <c r="EC748" s="27" t="s">
        <v>8</v>
      </c>
      <c r="ED748" s="27" t="s">
        <v>7</v>
      </c>
      <c r="EE748" s="27" t="s">
        <v>8</v>
      </c>
      <c r="EF748" s="27" t="s">
        <v>7</v>
      </c>
      <c r="EQ748" s="27" t="s">
        <v>8</v>
      </c>
      <c r="ER748" s="27" t="s">
        <v>7</v>
      </c>
      <c r="ES748" s="27" t="s">
        <v>8</v>
      </c>
      <c r="ET748" s="27" t="s">
        <v>7</v>
      </c>
      <c r="EU748" s="27" t="s">
        <v>8</v>
      </c>
      <c r="EV748" s="27" t="s">
        <v>7</v>
      </c>
      <c r="EW748" s="27" t="s">
        <v>8</v>
      </c>
      <c r="EX748" s="27" t="s">
        <v>7</v>
      </c>
      <c r="HG748" s="27" t="s">
        <v>8</v>
      </c>
    </row>
    <row r="749" spans="1:215" x14ac:dyDescent="0.25">
      <c r="A749" s="7">
        <v>4.043637119242547E-2</v>
      </c>
      <c r="B749"/>
      <c r="C749"/>
      <c r="D749"/>
      <c r="E749"/>
      <c r="F749" s="27" t="s">
        <v>7</v>
      </c>
      <c r="EC749" s="27" t="s">
        <v>8</v>
      </c>
      <c r="ED749" s="27" t="s">
        <v>7</v>
      </c>
      <c r="EE749" s="27" t="s">
        <v>8</v>
      </c>
      <c r="EF749" s="27" t="s">
        <v>7</v>
      </c>
      <c r="EQ749" s="27" t="s">
        <v>8</v>
      </c>
      <c r="ER749" s="27" t="s">
        <v>7</v>
      </c>
      <c r="ES749" s="27" t="s">
        <v>8</v>
      </c>
      <c r="ET749" s="27" t="s">
        <v>7</v>
      </c>
      <c r="EU749" s="27" t="s">
        <v>8</v>
      </c>
      <c r="EV749" s="27" t="s">
        <v>7</v>
      </c>
      <c r="EW749" s="27" t="s">
        <v>8</v>
      </c>
      <c r="EX749" s="27" t="s">
        <v>7</v>
      </c>
      <c r="HG749" s="27" t="s">
        <v>8</v>
      </c>
    </row>
    <row r="750" spans="1:215" x14ac:dyDescent="0.25">
      <c r="A750" s="7">
        <v>3.9643501169044582E-2</v>
      </c>
      <c r="B750"/>
      <c r="C750"/>
      <c r="D750"/>
      <c r="E750"/>
      <c r="F750" s="27" t="s">
        <v>7</v>
      </c>
      <c r="EC750" s="27" t="s">
        <v>8</v>
      </c>
      <c r="ED750" s="27" t="s">
        <v>7</v>
      </c>
      <c r="EE750" s="27" t="s">
        <v>8</v>
      </c>
      <c r="EF750" s="27" t="s">
        <v>7</v>
      </c>
      <c r="EQ750" s="27" t="s">
        <v>8</v>
      </c>
      <c r="ER750" s="27" t="s">
        <v>7</v>
      </c>
      <c r="ES750" s="27" t="s">
        <v>8</v>
      </c>
      <c r="ET750" s="27" t="s">
        <v>7</v>
      </c>
      <c r="EU750" s="27" t="s">
        <v>8</v>
      </c>
      <c r="EV750" s="27" t="s">
        <v>7</v>
      </c>
      <c r="EW750" s="27" t="s">
        <v>8</v>
      </c>
      <c r="EX750" s="27" t="s">
        <v>7</v>
      </c>
      <c r="HG750" s="27" t="s">
        <v>8</v>
      </c>
    </row>
    <row r="751" spans="1:215" x14ac:dyDescent="0.25">
      <c r="A751" s="7">
        <v>3.8866177616710372E-2</v>
      </c>
      <c r="B751"/>
      <c r="C751"/>
      <c r="D751"/>
      <c r="E751"/>
      <c r="F751" s="27" t="s">
        <v>7</v>
      </c>
      <c r="EC751" s="27" t="s">
        <v>8</v>
      </c>
      <c r="ED751" s="27" t="s">
        <v>7</v>
      </c>
      <c r="EE751" s="27" t="s">
        <v>8</v>
      </c>
      <c r="EF751" s="27" t="s">
        <v>7</v>
      </c>
      <c r="EQ751" s="27" t="s">
        <v>8</v>
      </c>
      <c r="ER751" s="27" t="s">
        <v>7</v>
      </c>
      <c r="ES751" s="27" t="s">
        <v>8</v>
      </c>
      <c r="ET751" s="27" t="s">
        <v>7</v>
      </c>
      <c r="EU751" s="27" t="s">
        <v>8</v>
      </c>
      <c r="EV751" s="27" t="s">
        <v>7</v>
      </c>
      <c r="EW751" s="27" t="s">
        <v>8</v>
      </c>
      <c r="EX751" s="27" t="s">
        <v>7</v>
      </c>
      <c r="HG751" s="27" t="s">
        <v>8</v>
      </c>
    </row>
    <row r="752" spans="1:215" x14ac:dyDescent="0.25">
      <c r="A752" s="7">
        <v>3.8104095702657229E-2</v>
      </c>
      <c r="B752"/>
      <c r="C752"/>
      <c r="D752"/>
      <c r="E752"/>
      <c r="F752" s="27" t="s">
        <v>7</v>
      </c>
      <c r="EC752" s="27" t="s">
        <v>8</v>
      </c>
      <c r="ED752" s="27" t="s">
        <v>7</v>
      </c>
      <c r="EE752" s="27" t="s">
        <v>8</v>
      </c>
      <c r="EF752" s="27" t="s">
        <v>7</v>
      </c>
      <c r="EQ752" s="27" t="s">
        <v>8</v>
      </c>
      <c r="ER752" s="27" t="s">
        <v>7</v>
      </c>
      <c r="ES752" s="27" t="s">
        <v>8</v>
      </c>
      <c r="ET752" s="27" t="s">
        <v>7</v>
      </c>
      <c r="EU752" s="27" t="s">
        <v>8</v>
      </c>
      <c r="EV752" s="27" t="s">
        <v>7</v>
      </c>
      <c r="EW752" s="27" t="s">
        <v>8</v>
      </c>
      <c r="EX752" s="27" t="s">
        <v>7</v>
      </c>
      <c r="HG752" s="27" t="s">
        <v>8</v>
      </c>
    </row>
    <row r="753" spans="1:215" x14ac:dyDescent="0.25">
      <c r="A753" s="7">
        <v>3.7356956571232579E-2</v>
      </c>
      <c r="B753"/>
      <c r="C753"/>
      <c r="D753"/>
      <c r="E753"/>
      <c r="F753" s="27" t="s">
        <v>7</v>
      </c>
      <c r="DW753" s="27" t="s">
        <v>8</v>
      </c>
      <c r="EC753" s="27" t="s">
        <v>8</v>
      </c>
      <c r="ED753" s="27" t="s">
        <v>7</v>
      </c>
      <c r="EE753" s="27" t="s">
        <v>8</v>
      </c>
      <c r="EF753" s="27" t="s">
        <v>7</v>
      </c>
      <c r="EQ753" s="27" t="s">
        <v>8</v>
      </c>
      <c r="ER753" s="27" t="s">
        <v>7</v>
      </c>
      <c r="ES753" s="27" t="s">
        <v>8</v>
      </c>
      <c r="ET753" s="27" t="s">
        <v>7</v>
      </c>
      <c r="EU753" s="27" t="s">
        <v>8</v>
      </c>
      <c r="EV753" s="27" t="s">
        <v>7</v>
      </c>
      <c r="EX753" s="27" t="s">
        <v>7</v>
      </c>
      <c r="HG753" s="27" t="s">
        <v>8</v>
      </c>
    </row>
    <row r="754" spans="1:215" x14ac:dyDescent="0.25">
      <c r="A754" s="7">
        <v>3.6624467226698605E-2</v>
      </c>
      <c r="B754"/>
      <c r="C754"/>
      <c r="D754"/>
      <c r="E754"/>
      <c r="F754" s="27" t="s">
        <v>7</v>
      </c>
      <c r="DW754" s="27" t="s">
        <v>8</v>
      </c>
      <c r="DX754" s="27" t="s">
        <v>7</v>
      </c>
      <c r="EC754" s="27" t="s">
        <v>8</v>
      </c>
      <c r="ED754" s="27" t="s">
        <v>7</v>
      </c>
      <c r="EE754" s="27" t="s">
        <v>8</v>
      </c>
      <c r="EF754" s="27" t="s">
        <v>7</v>
      </c>
      <c r="EQ754" s="27" t="s">
        <v>8</v>
      </c>
      <c r="ER754" s="27" t="s">
        <v>7</v>
      </c>
      <c r="ES754" s="27" t="s">
        <v>8</v>
      </c>
      <c r="ET754" s="27" t="s">
        <v>7</v>
      </c>
      <c r="EU754" s="27" t="s">
        <v>8</v>
      </c>
      <c r="EX754" s="27" t="s">
        <v>7</v>
      </c>
      <c r="HG754" s="27" t="s">
        <v>8</v>
      </c>
    </row>
    <row r="755" spans="1:215" x14ac:dyDescent="0.25">
      <c r="A755" s="7">
        <v>3.5906340418331961E-2</v>
      </c>
      <c r="B755"/>
      <c r="C755"/>
      <c r="D755"/>
      <c r="E755"/>
      <c r="F755" s="27" t="s">
        <v>7</v>
      </c>
      <c r="DW755" s="27" t="s">
        <v>8</v>
      </c>
      <c r="DX755" s="27" t="s">
        <v>7</v>
      </c>
      <c r="EC755" s="27" t="s">
        <v>8</v>
      </c>
      <c r="ED755" s="27" t="s">
        <v>7</v>
      </c>
      <c r="EE755" s="27" t="s">
        <v>8</v>
      </c>
      <c r="EF755" s="27" t="s">
        <v>7</v>
      </c>
      <c r="EG755" s="27" t="s">
        <v>8</v>
      </c>
      <c r="EQ755" s="27" t="s">
        <v>8</v>
      </c>
      <c r="ER755" s="27" t="s">
        <v>7</v>
      </c>
      <c r="ES755" s="27" t="s">
        <v>8</v>
      </c>
      <c r="ET755" s="27" t="s">
        <v>7</v>
      </c>
      <c r="EU755" s="27" t="s">
        <v>8</v>
      </c>
      <c r="EX755" s="27" t="s">
        <v>7</v>
      </c>
      <c r="HG755" s="27" t="s">
        <v>8</v>
      </c>
    </row>
    <row r="756" spans="1:215" x14ac:dyDescent="0.25">
      <c r="A756" s="7">
        <v>3.5202294527776436E-2</v>
      </c>
      <c r="B756"/>
      <c r="C756"/>
      <c r="D756"/>
      <c r="E756"/>
      <c r="F756" s="27" t="s">
        <v>7</v>
      </c>
      <c r="DW756" s="27" t="s">
        <v>8</v>
      </c>
      <c r="DX756" s="27" t="s">
        <v>7</v>
      </c>
      <c r="EC756" s="27" t="s">
        <v>8</v>
      </c>
      <c r="ED756" s="27" t="s">
        <v>7</v>
      </c>
      <c r="EE756" s="27" t="s">
        <v>8</v>
      </c>
      <c r="EF756" s="27" t="s">
        <v>7</v>
      </c>
      <c r="EG756" s="27" t="s">
        <v>8</v>
      </c>
      <c r="EH756" s="27" t="s">
        <v>7</v>
      </c>
      <c r="EQ756" s="27" t="s">
        <v>8</v>
      </c>
      <c r="ER756" s="27" t="s">
        <v>7</v>
      </c>
      <c r="ES756" s="27" t="s">
        <v>8</v>
      </c>
      <c r="ET756" s="27" t="s">
        <v>7</v>
      </c>
      <c r="EU756" s="27" t="s">
        <v>8</v>
      </c>
      <c r="EX756" s="27" t="s">
        <v>7</v>
      </c>
      <c r="HG756" s="27" t="s">
        <v>8</v>
      </c>
    </row>
    <row r="757" spans="1:215" x14ac:dyDescent="0.25">
      <c r="A757" s="7">
        <v>3.451205345860435E-2</v>
      </c>
      <c r="B757"/>
      <c r="C757"/>
      <c r="D757"/>
      <c r="E757"/>
      <c r="F757" s="27" t="s">
        <v>7</v>
      </c>
      <c r="DW757" s="27" t="s">
        <v>8</v>
      </c>
      <c r="DX757" s="27" t="s">
        <v>7</v>
      </c>
      <c r="DY757" s="27" t="s">
        <v>8</v>
      </c>
      <c r="EC757" s="27" t="s">
        <v>8</v>
      </c>
      <c r="ED757" s="27" t="s">
        <v>7</v>
      </c>
      <c r="EF757" s="27" t="s">
        <v>7</v>
      </c>
      <c r="EG757" s="27" t="s">
        <v>8</v>
      </c>
      <c r="EH757" s="27" t="s">
        <v>7</v>
      </c>
      <c r="EQ757" s="27" t="s">
        <v>8</v>
      </c>
      <c r="ER757" s="27" t="s">
        <v>7</v>
      </c>
      <c r="ES757" s="27" t="s">
        <v>8</v>
      </c>
      <c r="ET757" s="27" t="s">
        <v>7</v>
      </c>
      <c r="EX757" s="27" t="s">
        <v>7</v>
      </c>
      <c r="EY757" s="27" t="s">
        <v>8</v>
      </c>
      <c r="HG757" s="27" t="s">
        <v>8</v>
      </c>
    </row>
    <row r="758" spans="1:215" x14ac:dyDescent="0.25">
      <c r="A758" s="7">
        <v>3.3835346528043479E-2</v>
      </c>
      <c r="B758"/>
      <c r="C758"/>
      <c r="D758"/>
      <c r="E758"/>
      <c r="F758" s="27" t="s">
        <v>7</v>
      </c>
      <c r="DW758" s="27" t="s">
        <v>8</v>
      </c>
      <c r="DX758" s="27" t="s">
        <v>7</v>
      </c>
      <c r="DY758" s="27" t="s">
        <v>8</v>
      </c>
      <c r="DZ758" s="27" t="s">
        <v>7</v>
      </c>
      <c r="EC758" s="27" t="s">
        <v>8</v>
      </c>
      <c r="EF758" s="27" t="s">
        <v>7</v>
      </c>
      <c r="EG758" s="27" t="s">
        <v>8</v>
      </c>
      <c r="EH758" s="27" t="s">
        <v>7</v>
      </c>
      <c r="EI758" s="27" t="s">
        <v>8</v>
      </c>
      <c r="EQ758" s="27" t="s">
        <v>8</v>
      </c>
      <c r="ER758" s="27" t="s">
        <v>7</v>
      </c>
      <c r="ES758" s="27" t="s">
        <v>8</v>
      </c>
      <c r="EX758" s="27" t="s">
        <v>7</v>
      </c>
      <c r="EY758" s="27" t="s">
        <v>8</v>
      </c>
      <c r="EZ758" s="27" t="s">
        <v>7</v>
      </c>
      <c r="FC758" s="27" t="s">
        <v>8</v>
      </c>
      <c r="HG758" s="27" t="s">
        <v>8</v>
      </c>
    </row>
    <row r="759" spans="1:215" x14ac:dyDescent="0.25">
      <c r="A759" s="7">
        <v>3.3171908360826938E-2</v>
      </c>
      <c r="B759"/>
      <c r="C759"/>
      <c r="D759"/>
      <c r="E759"/>
      <c r="F759" s="27" t="s">
        <v>7</v>
      </c>
      <c r="DW759" s="27" t="s">
        <v>8</v>
      </c>
      <c r="DX759" s="27" t="s">
        <v>7</v>
      </c>
      <c r="DY759" s="27" t="s">
        <v>8</v>
      </c>
      <c r="DZ759" s="27" t="s">
        <v>7</v>
      </c>
      <c r="EC759" s="27" t="s">
        <v>8</v>
      </c>
      <c r="EF759" s="27" t="s">
        <v>7</v>
      </c>
      <c r="EG759" s="27" t="s">
        <v>8</v>
      </c>
      <c r="EH759" s="27" t="s">
        <v>7</v>
      </c>
      <c r="EI759" s="27" t="s">
        <v>8</v>
      </c>
      <c r="EJ759" s="27" t="s">
        <v>7</v>
      </c>
      <c r="EK759" s="27" t="s">
        <v>8</v>
      </c>
      <c r="EO759" s="27" t="s">
        <v>8</v>
      </c>
      <c r="EQ759" s="27" t="s">
        <v>8</v>
      </c>
      <c r="ER759" s="27" t="s">
        <v>7</v>
      </c>
      <c r="ES759" s="27" t="s">
        <v>8</v>
      </c>
      <c r="EX759" s="27" t="s">
        <v>7</v>
      </c>
      <c r="EY759" s="27" t="s">
        <v>8</v>
      </c>
      <c r="EZ759" s="27" t="s">
        <v>7</v>
      </c>
      <c r="FA759" s="27" t="s">
        <v>8</v>
      </c>
      <c r="FC759" s="27" t="s">
        <v>8</v>
      </c>
      <c r="FD759" s="27" t="s">
        <v>7</v>
      </c>
      <c r="HG759" s="27" t="s">
        <v>8</v>
      </c>
    </row>
    <row r="760" spans="1:215" x14ac:dyDescent="0.25">
      <c r="A760" s="7">
        <v>3.2521478785124451E-2</v>
      </c>
      <c r="B760"/>
      <c r="C760"/>
      <c r="D760"/>
      <c r="E760"/>
      <c r="F760" s="27" t="s">
        <v>7</v>
      </c>
      <c r="DU760" s="27" t="s">
        <v>8</v>
      </c>
      <c r="DW760" s="27" t="s">
        <v>8</v>
      </c>
      <c r="DX760" s="27" t="s">
        <v>7</v>
      </c>
      <c r="DY760" s="27" t="s">
        <v>8</v>
      </c>
      <c r="DZ760" s="27" t="s">
        <v>7</v>
      </c>
      <c r="EC760" s="27" t="s">
        <v>8</v>
      </c>
      <c r="EF760" s="27" t="s">
        <v>7</v>
      </c>
      <c r="EG760" s="27" t="s">
        <v>8</v>
      </c>
      <c r="EH760" s="27" t="s">
        <v>7</v>
      </c>
      <c r="EI760" s="27" t="s">
        <v>8</v>
      </c>
      <c r="EJ760" s="27" t="s">
        <v>7</v>
      </c>
      <c r="EK760" s="27" t="s">
        <v>8</v>
      </c>
      <c r="EL760" s="27" t="s">
        <v>7</v>
      </c>
      <c r="EO760" s="27" t="s">
        <v>8</v>
      </c>
      <c r="EP760" s="27" t="s">
        <v>7</v>
      </c>
      <c r="EQ760" s="27" t="s">
        <v>8</v>
      </c>
      <c r="ER760" s="27" t="s">
        <v>7</v>
      </c>
      <c r="EX760" s="27" t="s">
        <v>7</v>
      </c>
      <c r="EY760" s="27" t="s">
        <v>8</v>
      </c>
      <c r="EZ760" s="27" t="s">
        <v>7</v>
      </c>
      <c r="FA760" s="27" t="s">
        <v>8</v>
      </c>
      <c r="FB760" s="27" t="s">
        <v>7</v>
      </c>
      <c r="FC760" s="27" t="s">
        <v>8</v>
      </c>
      <c r="FD760" s="27" t="s">
        <v>7</v>
      </c>
      <c r="HG760" s="27" t="s">
        <v>8</v>
      </c>
    </row>
    <row r="761" spans="1:215" x14ac:dyDescent="0.25">
      <c r="A761" s="7">
        <v>3.1883802730514173E-2</v>
      </c>
      <c r="B761"/>
      <c r="C761"/>
      <c r="D761"/>
      <c r="E761"/>
      <c r="F761" s="27" t="s">
        <v>7</v>
      </c>
      <c r="DU761" s="27" t="s">
        <v>8</v>
      </c>
      <c r="DV761" s="27" t="s">
        <v>7</v>
      </c>
      <c r="DW761" s="27" t="s">
        <v>8</v>
      </c>
      <c r="DX761" s="27" t="s">
        <v>7</v>
      </c>
      <c r="DY761" s="27" t="s">
        <v>8</v>
      </c>
      <c r="DZ761" s="27" t="s">
        <v>7</v>
      </c>
      <c r="EC761" s="27" t="s">
        <v>8</v>
      </c>
      <c r="EF761" s="27" t="s">
        <v>7</v>
      </c>
      <c r="EG761" s="27" t="s">
        <v>8</v>
      </c>
      <c r="EH761" s="27" t="s">
        <v>7</v>
      </c>
      <c r="EI761" s="27" t="s">
        <v>8</v>
      </c>
      <c r="EJ761" s="27" t="s">
        <v>7</v>
      </c>
      <c r="EK761" s="27" t="s">
        <v>8</v>
      </c>
      <c r="EL761" s="27" t="s">
        <v>7</v>
      </c>
      <c r="EO761" s="27" t="s">
        <v>8</v>
      </c>
      <c r="EP761" s="27" t="s">
        <v>7</v>
      </c>
      <c r="EQ761" s="27" t="s">
        <v>8</v>
      </c>
      <c r="EX761" s="27" t="s">
        <v>7</v>
      </c>
      <c r="EY761" s="27" t="s">
        <v>8</v>
      </c>
      <c r="EZ761" s="27" t="s">
        <v>7</v>
      </c>
      <c r="FA761" s="27" t="s">
        <v>8</v>
      </c>
      <c r="FB761" s="27" t="s">
        <v>7</v>
      </c>
      <c r="FC761" s="27" t="s">
        <v>8</v>
      </c>
      <c r="FD761" s="27" t="s">
        <v>7</v>
      </c>
      <c r="HG761" s="27" t="s">
        <v>8</v>
      </c>
    </row>
    <row r="762" spans="1:215" x14ac:dyDescent="0.25">
      <c r="A762" s="7">
        <v>3.1258630127955073E-2</v>
      </c>
      <c r="B762"/>
      <c r="C762"/>
      <c r="D762"/>
      <c r="E762"/>
      <c r="F762" s="27" t="s">
        <v>7</v>
      </c>
      <c r="DU762" s="27" t="s">
        <v>8</v>
      </c>
      <c r="DV762" s="27" t="s">
        <v>7</v>
      </c>
      <c r="DW762" s="27" t="s">
        <v>8</v>
      </c>
      <c r="DX762" s="27" t="s">
        <v>7</v>
      </c>
      <c r="DY762" s="27" t="s">
        <v>8</v>
      </c>
      <c r="DZ762" s="27" t="s">
        <v>7</v>
      </c>
      <c r="EA762" s="27" t="s">
        <v>8</v>
      </c>
      <c r="EC762" s="27" t="s">
        <v>8</v>
      </c>
      <c r="EF762" s="27" t="s">
        <v>7</v>
      </c>
      <c r="EG762" s="27" t="s">
        <v>8</v>
      </c>
      <c r="EH762" s="27" t="s">
        <v>7</v>
      </c>
      <c r="EI762" s="27" t="s">
        <v>8</v>
      </c>
      <c r="EJ762" s="27" t="s">
        <v>7</v>
      </c>
      <c r="EK762" s="27" t="s">
        <v>8</v>
      </c>
      <c r="EL762" s="27" t="s">
        <v>7</v>
      </c>
      <c r="EM762" s="27" t="s">
        <v>8</v>
      </c>
      <c r="EO762" s="27" t="s">
        <v>8</v>
      </c>
      <c r="EP762" s="27" t="s">
        <v>7</v>
      </c>
      <c r="EQ762" s="27" t="s">
        <v>8</v>
      </c>
      <c r="EX762" s="27" t="s">
        <v>7</v>
      </c>
      <c r="EY762" s="27" t="s">
        <v>8</v>
      </c>
      <c r="EZ762" s="27" t="s">
        <v>7</v>
      </c>
      <c r="FA762" s="27" t="s">
        <v>8</v>
      </c>
      <c r="FB762" s="27" t="s">
        <v>7</v>
      </c>
      <c r="FC762" s="27" t="s">
        <v>8</v>
      </c>
      <c r="FD762" s="27" t="s">
        <v>7</v>
      </c>
      <c r="HC762" s="27" t="s">
        <v>8</v>
      </c>
      <c r="HG762" s="27" t="s">
        <v>8</v>
      </c>
    </row>
    <row r="763" spans="1:215" x14ac:dyDescent="0.25">
      <c r="A763" s="7">
        <v>3.064571581172066E-2</v>
      </c>
      <c r="B763"/>
      <c r="C763"/>
      <c r="D763"/>
      <c r="E763"/>
      <c r="F763" s="27" t="s">
        <v>7</v>
      </c>
      <c r="DS763" s="27" t="s">
        <v>8</v>
      </c>
      <c r="DU763" s="27" t="s">
        <v>8</v>
      </c>
      <c r="DV763" s="27" t="s">
        <v>7</v>
      </c>
      <c r="DW763" s="27" t="s">
        <v>8</v>
      </c>
      <c r="DX763" s="27" t="s">
        <v>7</v>
      </c>
      <c r="DY763" s="27" t="s">
        <v>8</v>
      </c>
      <c r="DZ763" s="27" t="s">
        <v>7</v>
      </c>
      <c r="EA763" s="27" t="s">
        <v>8</v>
      </c>
      <c r="EB763" s="27" t="s">
        <v>7</v>
      </c>
      <c r="EC763" s="27" t="s">
        <v>8</v>
      </c>
      <c r="EF763" s="27" t="s">
        <v>7</v>
      </c>
      <c r="EG763" s="27" t="s">
        <v>8</v>
      </c>
      <c r="EH763" s="27" t="s">
        <v>7</v>
      </c>
      <c r="EI763" s="27" t="s">
        <v>8</v>
      </c>
      <c r="EJ763" s="27" t="s">
        <v>7</v>
      </c>
      <c r="EK763" s="27" t="s">
        <v>8</v>
      </c>
      <c r="EL763" s="27" t="s">
        <v>7</v>
      </c>
      <c r="EM763" s="27" t="s">
        <v>8</v>
      </c>
      <c r="EN763" s="27" t="s">
        <v>7</v>
      </c>
      <c r="EO763" s="27" t="s">
        <v>8</v>
      </c>
      <c r="EP763" s="27" t="s">
        <v>7</v>
      </c>
      <c r="EQ763" s="27" t="s">
        <v>8</v>
      </c>
      <c r="EX763" s="27" t="s">
        <v>7</v>
      </c>
      <c r="EZ763" s="27" t="s">
        <v>7</v>
      </c>
      <c r="FA763" s="27" t="s">
        <v>8</v>
      </c>
      <c r="FB763" s="27" t="s">
        <v>7</v>
      </c>
      <c r="FC763" s="27" t="s">
        <v>8</v>
      </c>
      <c r="FD763" s="27" t="s">
        <v>7</v>
      </c>
      <c r="HA763" s="27" t="s">
        <v>8</v>
      </c>
      <c r="HC763" s="27" t="s">
        <v>8</v>
      </c>
      <c r="HD763" s="27" t="s">
        <v>7</v>
      </c>
      <c r="HG763" s="27" t="s">
        <v>8</v>
      </c>
    </row>
    <row r="764" spans="1:215" x14ac:dyDescent="0.25">
      <c r="A764" s="7">
        <v>3.0044819423255549E-2</v>
      </c>
      <c r="B764"/>
      <c r="C764"/>
      <c r="D764"/>
      <c r="E764"/>
      <c r="F764" s="27" t="s">
        <v>7</v>
      </c>
      <c r="DS764" s="27" t="s">
        <v>8</v>
      </c>
      <c r="DT764" s="27" t="s">
        <v>7</v>
      </c>
      <c r="DU764" s="27" t="s">
        <v>8</v>
      </c>
      <c r="DV764" s="27" t="s">
        <v>7</v>
      </c>
      <c r="DW764" s="27" t="s">
        <v>8</v>
      </c>
      <c r="DX764" s="27" t="s">
        <v>7</v>
      </c>
      <c r="DY764" s="27" t="s">
        <v>8</v>
      </c>
      <c r="DZ764" s="27" t="s">
        <v>7</v>
      </c>
      <c r="EA764" s="27" t="s">
        <v>8</v>
      </c>
      <c r="EB764" s="27" t="s">
        <v>7</v>
      </c>
      <c r="EC764" s="27" t="s">
        <v>8</v>
      </c>
      <c r="EF764" s="27" t="s">
        <v>7</v>
      </c>
      <c r="EG764" s="27" t="s">
        <v>8</v>
      </c>
      <c r="EH764" s="27" t="s">
        <v>7</v>
      </c>
      <c r="EI764" s="27" t="s">
        <v>8</v>
      </c>
      <c r="EJ764" s="27" t="s">
        <v>7</v>
      </c>
      <c r="EK764" s="27" t="s">
        <v>8</v>
      </c>
      <c r="EL764" s="27" t="s">
        <v>7</v>
      </c>
      <c r="EM764" s="27" t="s">
        <v>8</v>
      </c>
      <c r="EN764" s="27" t="s">
        <v>7</v>
      </c>
      <c r="EO764" s="27" t="s">
        <v>8</v>
      </c>
      <c r="EP764" s="27" t="s">
        <v>7</v>
      </c>
      <c r="EQ764" s="27" t="s">
        <v>8</v>
      </c>
      <c r="EZ764" s="27" t="s">
        <v>7</v>
      </c>
      <c r="FA764" s="27" t="s">
        <v>8</v>
      </c>
      <c r="FB764" s="27" t="s">
        <v>7</v>
      </c>
      <c r="FD764" s="27" t="s">
        <v>7</v>
      </c>
      <c r="HA764" s="27" t="s">
        <v>8</v>
      </c>
      <c r="HB764" s="27" t="s">
        <v>7</v>
      </c>
      <c r="HC764" s="27" t="s">
        <v>8</v>
      </c>
      <c r="HD764" s="27" t="s">
        <v>7</v>
      </c>
      <c r="HG764" s="27" t="s">
        <v>8</v>
      </c>
    </row>
    <row r="765" spans="1:215" x14ac:dyDescent="0.25">
      <c r="A765" s="7">
        <v>2.9455705316917203E-2</v>
      </c>
      <c r="B765"/>
      <c r="C765"/>
      <c r="D765"/>
      <c r="E765"/>
      <c r="F765" s="27" t="s">
        <v>7</v>
      </c>
      <c r="DS765" s="27" t="s">
        <v>8</v>
      </c>
      <c r="DT765" s="27" t="s">
        <v>7</v>
      </c>
      <c r="DU765" s="27" t="s">
        <v>8</v>
      </c>
      <c r="DV765" s="27" t="s">
        <v>7</v>
      </c>
      <c r="DW765" s="27" t="s">
        <v>8</v>
      </c>
      <c r="DX765" s="27" t="s">
        <v>7</v>
      </c>
      <c r="DY765" s="27" t="s">
        <v>8</v>
      </c>
      <c r="DZ765" s="27" t="s">
        <v>7</v>
      </c>
      <c r="EA765" s="27" t="s">
        <v>8</v>
      </c>
      <c r="EB765" s="27" t="s">
        <v>7</v>
      </c>
      <c r="EC765" s="27" t="s">
        <v>8</v>
      </c>
      <c r="EF765" s="27" t="s">
        <v>7</v>
      </c>
      <c r="EG765" s="27" t="s">
        <v>8</v>
      </c>
      <c r="EH765" s="27" t="s">
        <v>7</v>
      </c>
      <c r="EI765" s="27" t="s">
        <v>8</v>
      </c>
      <c r="EJ765" s="27" t="s">
        <v>7</v>
      </c>
      <c r="EK765" s="27" t="s">
        <v>8</v>
      </c>
      <c r="EL765" s="27" t="s">
        <v>7</v>
      </c>
      <c r="EN765" s="27" t="s">
        <v>7</v>
      </c>
      <c r="EO765" s="27" t="s">
        <v>8</v>
      </c>
      <c r="EP765" s="27" t="s">
        <v>7</v>
      </c>
      <c r="EQ765" s="27" t="s">
        <v>8</v>
      </c>
      <c r="EZ765" s="27" t="s">
        <v>7</v>
      </c>
      <c r="FA765" s="27" t="s">
        <v>8</v>
      </c>
      <c r="FD765" s="27" t="s">
        <v>7</v>
      </c>
      <c r="HA765" s="27" t="s">
        <v>8</v>
      </c>
      <c r="HB765" s="27" t="s">
        <v>7</v>
      </c>
      <c r="HC765" s="27" t="s">
        <v>8</v>
      </c>
      <c r="HD765" s="27" t="s">
        <v>7</v>
      </c>
      <c r="HG765" s="27" t="s">
        <v>8</v>
      </c>
    </row>
    <row r="766" spans="1:215" x14ac:dyDescent="0.25">
      <c r="A766" s="7">
        <v>2.8878142467565884E-2</v>
      </c>
      <c r="B766"/>
      <c r="C766"/>
      <c r="D766"/>
      <c r="E766"/>
      <c r="F766" s="27" t="s">
        <v>7</v>
      </c>
      <c r="DS766" s="27" t="s">
        <v>8</v>
      </c>
      <c r="DT766" s="27" t="s">
        <v>7</v>
      </c>
      <c r="DU766" s="27" t="s">
        <v>8</v>
      </c>
      <c r="DV766" s="27" t="s">
        <v>7</v>
      </c>
      <c r="DW766" s="27" t="s">
        <v>8</v>
      </c>
      <c r="DX766" s="27" t="s">
        <v>7</v>
      </c>
      <c r="DY766" s="27" t="s">
        <v>8</v>
      </c>
      <c r="DZ766" s="27" t="s">
        <v>7</v>
      </c>
      <c r="EA766" s="27" t="s">
        <v>8</v>
      </c>
      <c r="EB766" s="27" t="s">
        <v>7</v>
      </c>
      <c r="EC766" s="27" t="s">
        <v>8</v>
      </c>
      <c r="EF766" s="27" t="s">
        <v>7</v>
      </c>
      <c r="EG766" s="27" t="s">
        <v>8</v>
      </c>
      <c r="EH766" s="27" t="s">
        <v>7</v>
      </c>
      <c r="EI766" s="27" t="s">
        <v>8</v>
      </c>
      <c r="EJ766" s="27" t="s">
        <v>7</v>
      </c>
      <c r="EK766" s="27" t="s">
        <v>8</v>
      </c>
      <c r="EN766" s="27" t="s">
        <v>7</v>
      </c>
      <c r="EO766" s="27" t="s">
        <v>8</v>
      </c>
      <c r="EP766" s="27" t="s">
        <v>7</v>
      </c>
      <c r="EQ766" s="27" t="s">
        <v>8</v>
      </c>
      <c r="EZ766" s="27" t="s">
        <v>7</v>
      </c>
      <c r="FA766" s="27" t="s">
        <v>8</v>
      </c>
      <c r="FD766" s="27" t="s">
        <v>7</v>
      </c>
      <c r="GW766" s="27" t="s">
        <v>8</v>
      </c>
      <c r="HA766" s="27" t="s">
        <v>8</v>
      </c>
      <c r="HB766" s="27" t="s">
        <v>7</v>
      </c>
      <c r="HC766" s="27" t="s">
        <v>8</v>
      </c>
      <c r="HD766" s="27" t="s">
        <v>7</v>
      </c>
      <c r="HE766" s="27" t="s">
        <v>8</v>
      </c>
      <c r="HG766" s="27" t="s">
        <v>8</v>
      </c>
    </row>
    <row r="767" spans="1:215" x14ac:dyDescent="0.25">
      <c r="A767" s="7">
        <v>2.8311904379966554E-2</v>
      </c>
      <c r="B767"/>
      <c r="C767"/>
      <c r="D767"/>
      <c r="E767"/>
      <c r="F767" s="27" t="s">
        <v>7</v>
      </c>
      <c r="DS767" s="27" t="s">
        <v>8</v>
      </c>
      <c r="DT767" s="27" t="s">
        <v>7</v>
      </c>
      <c r="DU767" s="27" t="s">
        <v>8</v>
      </c>
      <c r="DV767" s="27" t="s">
        <v>7</v>
      </c>
      <c r="DW767" s="27" t="s">
        <v>8</v>
      </c>
      <c r="DX767" s="27" t="s">
        <v>7</v>
      </c>
      <c r="DY767" s="27" t="s">
        <v>8</v>
      </c>
      <c r="DZ767" s="27" t="s">
        <v>7</v>
      </c>
      <c r="EA767" s="27" t="s">
        <v>8</v>
      </c>
      <c r="EB767" s="27" t="s">
        <v>7</v>
      </c>
      <c r="EC767" s="27" t="s">
        <v>8</v>
      </c>
      <c r="EF767" s="27" t="s">
        <v>7</v>
      </c>
      <c r="EG767" s="27" t="s">
        <v>8</v>
      </c>
      <c r="EH767" s="27" t="s">
        <v>7</v>
      </c>
      <c r="EI767" s="27" t="s">
        <v>8</v>
      </c>
      <c r="EJ767" s="27" t="s">
        <v>7</v>
      </c>
      <c r="EN767" s="27" t="s">
        <v>7</v>
      </c>
      <c r="EO767" s="27" t="s">
        <v>8</v>
      </c>
      <c r="EP767" s="27" t="s">
        <v>7</v>
      </c>
      <c r="EQ767" s="27" t="s">
        <v>8</v>
      </c>
      <c r="EZ767" s="27" t="s">
        <v>7</v>
      </c>
      <c r="FA767" s="27" t="s">
        <v>8</v>
      </c>
      <c r="FD767" s="27" t="s">
        <v>7</v>
      </c>
      <c r="GW767" s="27" t="s">
        <v>8</v>
      </c>
      <c r="GX767" s="27" t="s">
        <v>7</v>
      </c>
      <c r="HA767" s="27" t="s">
        <v>8</v>
      </c>
      <c r="HB767" s="27" t="s">
        <v>7</v>
      </c>
      <c r="HC767" s="27" t="s">
        <v>8</v>
      </c>
      <c r="HD767" s="27" t="s">
        <v>7</v>
      </c>
      <c r="HE767" s="27" t="s">
        <v>8</v>
      </c>
      <c r="HF767" s="27" t="s">
        <v>7</v>
      </c>
      <c r="HG767" s="27" t="s">
        <v>8</v>
      </c>
    </row>
    <row r="768" spans="1:215" x14ac:dyDescent="0.25">
      <c r="A768" s="7">
        <v>2.7756768999967207E-2</v>
      </c>
      <c r="B768"/>
      <c r="C768"/>
      <c r="D768"/>
      <c r="E768"/>
      <c r="F768" s="27" t="s">
        <v>7</v>
      </c>
      <c r="DS768" s="27" t="s">
        <v>8</v>
      </c>
      <c r="DT768" s="27" t="s">
        <v>7</v>
      </c>
      <c r="DU768" s="27" t="s">
        <v>8</v>
      </c>
      <c r="DV768" s="27" t="s">
        <v>7</v>
      </c>
      <c r="DW768" s="27" t="s">
        <v>8</v>
      </c>
      <c r="DX768" s="27" t="s">
        <v>7</v>
      </c>
      <c r="DY768" s="27" t="s">
        <v>8</v>
      </c>
      <c r="DZ768" s="27" t="s">
        <v>7</v>
      </c>
      <c r="EA768" s="27" t="s">
        <v>8</v>
      </c>
      <c r="EB768" s="27" t="s">
        <v>7</v>
      </c>
      <c r="EC768" s="27" t="s">
        <v>8</v>
      </c>
      <c r="EF768" s="27" t="s">
        <v>7</v>
      </c>
      <c r="EG768" s="27" t="s">
        <v>8</v>
      </c>
      <c r="EH768" s="27" t="s">
        <v>7</v>
      </c>
      <c r="EI768" s="27" t="s">
        <v>8</v>
      </c>
      <c r="EN768" s="27" t="s">
        <v>7</v>
      </c>
      <c r="EO768" s="27" t="s">
        <v>8</v>
      </c>
      <c r="EP768" s="27" t="s">
        <v>7</v>
      </c>
      <c r="EQ768" s="27" t="s">
        <v>8</v>
      </c>
      <c r="EZ768" s="27" t="s">
        <v>7</v>
      </c>
      <c r="FA768" s="27" t="s">
        <v>8</v>
      </c>
      <c r="FD768" s="27" t="s">
        <v>7</v>
      </c>
      <c r="GW768" s="27" t="s">
        <v>8</v>
      </c>
      <c r="GX768" s="27" t="s">
        <v>7</v>
      </c>
      <c r="HA768" s="27" t="s">
        <v>8</v>
      </c>
      <c r="HB768" s="27" t="s">
        <v>7</v>
      </c>
      <c r="HC768" s="27" t="s">
        <v>8</v>
      </c>
      <c r="HD768" s="27" t="s">
        <v>7</v>
      </c>
      <c r="HE768" s="27" t="s">
        <v>8</v>
      </c>
      <c r="HF768" s="27" t="s">
        <v>7</v>
      </c>
      <c r="HG768" s="27" t="s">
        <v>8</v>
      </c>
    </row>
    <row r="769" spans="1:215" x14ac:dyDescent="0.25">
      <c r="A769" s="7">
        <v>2.7212518627418834E-2</v>
      </c>
      <c r="B769"/>
      <c r="C769"/>
      <c r="D769"/>
      <c r="E769"/>
      <c r="F769" s="27" t="s">
        <v>7</v>
      </c>
      <c r="DS769" s="27" t="s">
        <v>8</v>
      </c>
      <c r="DT769" s="27" t="s">
        <v>7</v>
      </c>
      <c r="DU769" s="27" t="s">
        <v>8</v>
      </c>
      <c r="DV769" s="27" t="s">
        <v>7</v>
      </c>
      <c r="DW769" s="27" t="s">
        <v>8</v>
      </c>
      <c r="DX769" s="27" t="s">
        <v>7</v>
      </c>
      <c r="DY769" s="27" t="s">
        <v>8</v>
      </c>
      <c r="DZ769" s="27" t="s">
        <v>7</v>
      </c>
      <c r="EB769" s="27" t="s">
        <v>7</v>
      </c>
      <c r="EC769" s="27" t="s">
        <v>8</v>
      </c>
      <c r="EF769" s="27" t="s">
        <v>7</v>
      </c>
      <c r="EG769" s="27" t="s">
        <v>8</v>
      </c>
      <c r="EH769" s="27" t="s">
        <v>7</v>
      </c>
      <c r="EN769" s="27" t="s">
        <v>7</v>
      </c>
      <c r="EO769" s="27" t="s">
        <v>8</v>
      </c>
      <c r="EP769" s="27" t="s">
        <v>7</v>
      </c>
      <c r="EQ769" s="27" t="s">
        <v>8</v>
      </c>
      <c r="EZ769" s="27" t="s">
        <v>7</v>
      </c>
      <c r="FA769" s="27" t="s">
        <v>8</v>
      </c>
      <c r="FD769" s="27" t="s">
        <v>7</v>
      </c>
      <c r="FE769" s="27" t="s">
        <v>8</v>
      </c>
      <c r="FG769" s="27" t="s">
        <v>8</v>
      </c>
      <c r="GU769" s="27" t="s">
        <v>8</v>
      </c>
      <c r="GW769" s="27" t="s">
        <v>8</v>
      </c>
      <c r="GX769" s="27" t="s">
        <v>7</v>
      </c>
      <c r="HA769" s="27" t="s">
        <v>8</v>
      </c>
      <c r="HB769" s="27" t="s">
        <v>7</v>
      </c>
      <c r="HC769" s="27" t="s">
        <v>8</v>
      </c>
      <c r="HD769" s="27" t="s">
        <v>7</v>
      </c>
      <c r="HE769" s="27" t="s">
        <v>8</v>
      </c>
      <c r="HF769" s="27" t="s">
        <v>7</v>
      </c>
      <c r="HG769" s="27" t="s">
        <v>8</v>
      </c>
    </row>
    <row r="770" spans="1:215" x14ac:dyDescent="0.25">
      <c r="A770" s="7">
        <v>2.6678939830802779E-2</v>
      </c>
      <c r="B770"/>
      <c r="C770"/>
      <c r="D770"/>
      <c r="E770"/>
      <c r="F770" s="27" t="s">
        <v>7</v>
      </c>
      <c r="DS770" s="27" t="s">
        <v>8</v>
      </c>
      <c r="DT770" s="27" t="s">
        <v>7</v>
      </c>
      <c r="DU770" s="27" t="s">
        <v>8</v>
      </c>
      <c r="DV770" s="27" t="s">
        <v>7</v>
      </c>
      <c r="DX770" s="27" t="s">
        <v>7</v>
      </c>
      <c r="DY770" s="27" t="s">
        <v>8</v>
      </c>
      <c r="EB770" s="27" t="s">
        <v>7</v>
      </c>
      <c r="EC770" s="27" t="s">
        <v>8</v>
      </c>
      <c r="EF770" s="27" t="s">
        <v>7</v>
      </c>
      <c r="EG770" s="27" t="s">
        <v>8</v>
      </c>
      <c r="EN770" s="27" t="s">
        <v>7</v>
      </c>
      <c r="EO770" s="27" t="s">
        <v>8</v>
      </c>
      <c r="EP770" s="27" t="s">
        <v>7</v>
      </c>
      <c r="EQ770" s="27" t="s">
        <v>8</v>
      </c>
      <c r="EZ770" s="27" t="s">
        <v>7</v>
      </c>
      <c r="FA770" s="27" t="s">
        <v>8</v>
      </c>
      <c r="FD770" s="27" t="s">
        <v>7</v>
      </c>
      <c r="FE770" s="27" t="s">
        <v>8</v>
      </c>
      <c r="FF770" s="27" t="s">
        <v>7</v>
      </c>
      <c r="FG770" s="27" t="s">
        <v>8</v>
      </c>
      <c r="FH770" s="27" t="s">
        <v>7</v>
      </c>
      <c r="GU770" s="27" t="s">
        <v>8</v>
      </c>
      <c r="GV770" s="27" t="s">
        <v>7</v>
      </c>
      <c r="GW770" s="27" t="s">
        <v>8</v>
      </c>
      <c r="GX770" s="27" t="s">
        <v>7</v>
      </c>
      <c r="HA770" s="27" t="s">
        <v>8</v>
      </c>
      <c r="HB770" s="27" t="s">
        <v>7</v>
      </c>
      <c r="HC770" s="27" t="s">
        <v>8</v>
      </c>
      <c r="HD770" s="27" t="s">
        <v>7</v>
      </c>
      <c r="HE770" s="27" t="s">
        <v>8</v>
      </c>
      <c r="HF770" s="27" t="s">
        <v>7</v>
      </c>
      <c r="HG770" s="27" t="s">
        <v>8</v>
      </c>
    </row>
    <row r="771" spans="1:215" x14ac:dyDescent="0.25">
      <c r="A771" s="7">
        <v>2.615582336353214E-2</v>
      </c>
      <c r="B771"/>
      <c r="C771"/>
      <c r="D771"/>
      <c r="E771"/>
      <c r="F771" s="27" t="s">
        <v>7</v>
      </c>
      <c r="DS771" s="27" t="s">
        <v>8</v>
      </c>
      <c r="DT771" s="27" t="s">
        <v>7</v>
      </c>
      <c r="DU771" s="27" t="s">
        <v>8</v>
      </c>
      <c r="DX771" s="27" t="s">
        <v>7</v>
      </c>
      <c r="DY771" s="27" t="s">
        <v>8</v>
      </c>
      <c r="EB771" s="27" t="s">
        <v>7</v>
      </c>
      <c r="EC771" s="27" t="s">
        <v>8</v>
      </c>
      <c r="EF771" s="27" t="s">
        <v>7</v>
      </c>
      <c r="EG771" s="27" t="s">
        <v>8</v>
      </c>
      <c r="EN771" s="27" t="s">
        <v>7</v>
      </c>
      <c r="EO771" s="27" t="s">
        <v>8</v>
      </c>
      <c r="EP771" s="27" t="s">
        <v>7</v>
      </c>
      <c r="EQ771" s="27" t="s">
        <v>8</v>
      </c>
      <c r="EZ771" s="27" t="s">
        <v>7</v>
      </c>
      <c r="FA771" s="27" t="s">
        <v>8</v>
      </c>
      <c r="FD771" s="27" t="s">
        <v>7</v>
      </c>
      <c r="FE771" s="27" t="s">
        <v>8</v>
      </c>
      <c r="FF771" s="27" t="s">
        <v>7</v>
      </c>
      <c r="FG771" s="27" t="s">
        <v>8</v>
      </c>
      <c r="FH771" s="27" t="s">
        <v>7</v>
      </c>
      <c r="FI771" s="27" t="s">
        <v>8</v>
      </c>
      <c r="GU771" s="27" t="s">
        <v>8</v>
      </c>
      <c r="GV771" s="27" t="s">
        <v>7</v>
      </c>
      <c r="GW771" s="27" t="s">
        <v>8</v>
      </c>
      <c r="GX771" s="27" t="s">
        <v>7</v>
      </c>
      <c r="HA771" s="27" t="s">
        <v>8</v>
      </c>
      <c r="HB771" s="27" t="s">
        <v>7</v>
      </c>
      <c r="HD771" s="27" t="s">
        <v>7</v>
      </c>
      <c r="HF771" s="27" t="s">
        <v>7</v>
      </c>
      <c r="HG771" s="27" t="s">
        <v>8</v>
      </c>
    </row>
    <row r="772" spans="1:215" x14ac:dyDescent="0.25">
      <c r="A772" s="7">
        <v>2.5642964081894253E-2</v>
      </c>
      <c r="B772"/>
      <c r="C772"/>
      <c r="D772"/>
      <c r="E772"/>
      <c r="F772" s="27" t="s">
        <v>7</v>
      </c>
      <c r="DS772" s="27" t="s">
        <v>8</v>
      </c>
      <c r="DT772" s="27" t="s">
        <v>7</v>
      </c>
      <c r="DU772" s="27" t="s">
        <v>8</v>
      </c>
      <c r="DX772" s="27" t="s">
        <v>7</v>
      </c>
      <c r="DY772" s="27" t="s">
        <v>8</v>
      </c>
      <c r="EB772" s="27" t="s">
        <v>7</v>
      </c>
      <c r="EC772" s="27" t="s">
        <v>8</v>
      </c>
      <c r="EF772" s="27" t="s">
        <v>7</v>
      </c>
      <c r="EG772" s="27" t="s">
        <v>8</v>
      </c>
      <c r="EN772" s="27" t="s">
        <v>7</v>
      </c>
      <c r="EO772" s="27" t="s">
        <v>8</v>
      </c>
      <c r="EP772" s="27" t="s">
        <v>7</v>
      </c>
      <c r="EQ772" s="27" t="s">
        <v>8</v>
      </c>
      <c r="EZ772" s="27" t="s">
        <v>7</v>
      </c>
      <c r="FA772" s="27" t="s">
        <v>8</v>
      </c>
      <c r="FD772" s="27" t="s">
        <v>7</v>
      </c>
      <c r="FE772" s="27" t="s">
        <v>8</v>
      </c>
      <c r="FF772" s="27" t="s">
        <v>7</v>
      </c>
      <c r="FG772" s="27" t="s">
        <v>8</v>
      </c>
      <c r="FH772" s="27" t="s">
        <v>7</v>
      </c>
      <c r="FI772" s="27" t="s">
        <v>8</v>
      </c>
      <c r="FJ772" s="27" t="s">
        <v>7</v>
      </c>
      <c r="GU772" s="27" t="s">
        <v>8</v>
      </c>
      <c r="GV772" s="27" t="s">
        <v>7</v>
      </c>
      <c r="GW772" s="27" t="s">
        <v>8</v>
      </c>
      <c r="GX772" s="27" t="s">
        <v>7</v>
      </c>
      <c r="HA772" s="27" t="s">
        <v>8</v>
      </c>
      <c r="HF772" s="27" t="s">
        <v>7</v>
      </c>
      <c r="HG772" s="27" t="s">
        <v>8</v>
      </c>
    </row>
    <row r="773" spans="1:215" x14ac:dyDescent="0.25">
      <c r="A773" s="7">
        <v>2.5140160864602207E-2</v>
      </c>
      <c r="B773"/>
      <c r="C773"/>
      <c r="D773"/>
      <c r="E773"/>
      <c r="F773" s="27" t="s">
        <v>7</v>
      </c>
      <c r="DS773" s="27" t="s">
        <v>8</v>
      </c>
      <c r="DT773" s="27" t="s">
        <v>7</v>
      </c>
      <c r="DX773" s="27" t="s">
        <v>7</v>
      </c>
      <c r="DY773" s="27" t="s">
        <v>8</v>
      </c>
      <c r="EB773" s="27" t="s">
        <v>7</v>
      </c>
      <c r="EF773" s="27" t="s">
        <v>7</v>
      </c>
      <c r="EG773" s="27" t="s">
        <v>8</v>
      </c>
      <c r="EN773" s="27" t="s">
        <v>7</v>
      </c>
      <c r="EP773" s="27" t="s">
        <v>7</v>
      </c>
      <c r="EZ773" s="27" t="s">
        <v>7</v>
      </c>
      <c r="FA773" s="27" t="s">
        <v>8</v>
      </c>
      <c r="FD773" s="27" t="s">
        <v>7</v>
      </c>
      <c r="FE773" s="27" t="s">
        <v>8</v>
      </c>
      <c r="FF773" s="27" t="s">
        <v>7</v>
      </c>
      <c r="FG773" s="27" t="s">
        <v>8</v>
      </c>
      <c r="FH773" s="27" t="s">
        <v>7</v>
      </c>
      <c r="FI773" s="27" t="s">
        <v>8</v>
      </c>
      <c r="FJ773" s="27" t="s">
        <v>7</v>
      </c>
      <c r="FY773" s="27" t="s">
        <v>8</v>
      </c>
      <c r="GU773" s="27" t="s">
        <v>8</v>
      </c>
      <c r="GV773" s="27" t="s">
        <v>7</v>
      </c>
      <c r="GW773" s="27" t="s">
        <v>8</v>
      </c>
      <c r="GX773" s="27" t="s">
        <v>7</v>
      </c>
      <c r="HA773" s="27" t="s">
        <v>8</v>
      </c>
      <c r="HF773" s="27" t="s">
        <v>7</v>
      </c>
      <c r="HG773" s="27" t="s">
        <v>8</v>
      </c>
    </row>
    <row r="774" spans="1:215" x14ac:dyDescent="0.25">
      <c r="A774" s="7">
        <v>2.4647216533923735E-2</v>
      </c>
      <c r="B774"/>
      <c r="C774"/>
      <c r="D774"/>
      <c r="E774"/>
      <c r="F774" s="27" t="s">
        <v>7</v>
      </c>
      <c r="DS774" s="27" t="s">
        <v>8</v>
      </c>
      <c r="DX774" s="27" t="s">
        <v>7</v>
      </c>
      <c r="DY774" s="27" t="s">
        <v>8</v>
      </c>
      <c r="EF774" s="27" t="s">
        <v>7</v>
      </c>
      <c r="EG774" s="27" t="s">
        <v>8</v>
      </c>
      <c r="EZ774" s="27" t="s">
        <v>7</v>
      </c>
      <c r="FA774" s="27" t="s">
        <v>8</v>
      </c>
      <c r="FD774" s="27" t="s">
        <v>7</v>
      </c>
      <c r="FF774" s="27" t="s">
        <v>7</v>
      </c>
      <c r="FG774" s="27" t="s">
        <v>8</v>
      </c>
      <c r="FH774" s="27" t="s">
        <v>7</v>
      </c>
      <c r="FI774" s="27" t="s">
        <v>8</v>
      </c>
      <c r="FJ774" s="27" t="s">
        <v>7</v>
      </c>
      <c r="FY774" s="27" t="s">
        <v>8</v>
      </c>
      <c r="FZ774" s="27" t="s">
        <v>7</v>
      </c>
      <c r="GC774" s="27" t="s">
        <v>8</v>
      </c>
      <c r="GU774" s="27" t="s">
        <v>8</v>
      </c>
      <c r="GV774" s="27" t="s">
        <v>7</v>
      </c>
      <c r="GW774" s="27" t="s">
        <v>8</v>
      </c>
      <c r="GX774" s="27" t="s">
        <v>7</v>
      </c>
      <c r="GY774" s="27" t="s">
        <v>8</v>
      </c>
      <c r="HA774" s="27" t="s">
        <v>8</v>
      </c>
      <c r="HF774" s="27" t="s">
        <v>7</v>
      </c>
      <c r="HG774" s="27" t="s">
        <v>8</v>
      </c>
    </row>
    <row r="775" spans="1:215" x14ac:dyDescent="0.25">
      <c r="A775" s="7">
        <v>2.4163937778356601E-2</v>
      </c>
      <c r="B775"/>
      <c r="C775"/>
      <c r="D775"/>
      <c r="E775"/>
      <c r="F775" s="27" t="s">
        <v>7</v>
      </c>
      <c r="DS775" s="27" t="s">
        <v>8</v>
      </c>
      <c r="DX775" s="27" t="s">
        <v>7</v>
      </c>
      <c r="EF775" s="27" t="s">
        <v>7</v>
      </c>
      <c r="EG775" s="27" t="s">
        <v>8</v>
      </c>
      <c r="EZ775" s="27" t="s">
        <v>7</v>
      </c>
      <c r="FA775" s="27" t="s">
        <v>8</v>
      </c>
      <c r="FF775" s="27" t="s">
        <v>7</v>
      </c>
      <c r="FG775" s="27" t="s">
        <v>8</v>
      </c>
      <c r="FH775" s="27" t="s">
        <v>7</v>
      </c>
      <c r="FI775" s="27" t="s">
        <v>8</v>
      </c>
      <c r="FJ775" s="27" t="s">
        <v>7</v>
      </c>
      <c r="FY775" s="27" t="s">
        <v>8</v>
      </c>
      <c r="FZ775" s="27" t="s">
        <v>7</v>
      </c>
      <c r="GC775" s="27" t="s">
        <v>8</v>
      </c>
      <c r="GD775" s="27" t="s">
        <v>7</v>
      </c>
      <c r="GU775" s="27" t="s">
        <v>8</v>
      </c>
      <c r="GV775" s="27" t="s">
        <v>7</v>
      </c>
      <c r="GW775" s="27" t="s">
        <v>8</v>
      </c>
      <c r="GX775" s="27" t="s">
        <v>7</v>
      </c>
      <c r="GY775" s="27" t="s">
        <v>8</v>
      </c>
      <c r="GZ775" s="27" t="s">
        <v>7</v>
      </c>
      <c r="HA775" s="27" t="s">
        <v>8</v>
      </c>
      <c r="HF775" s="27" t="s">
        <v>7</v>
      </c>
    </row>
    <row r="776" spans="1:215" x14ac:dyDescent="0.25">
      <c r="A776" s="7">
        <v>2.3690135076820197E-2</v>
      </c>
      <c r="B776"/>
      <c r="C776"/>
      <c r="D776"/>
      <c r="E776"/>
      <c r="F776" s="27" t="s">
        <v>7</v>
      </c>
      <c r="DS776" s="27" t="s">
        <v>8</v>
      </c>
      <c r="EF776" s="27" t="s">
        <v>7</v>
      </c>
      <c r="EG776" s="27" t="s">
        <v>8</v>
      </c>
      <c r="EZ776" s="27" t="s">
        <v>7</v>
      </c>
      <c r="FF776" s="27" t="s">
        <v>7</v>
      </c>
      <c r="FG776" s="27" t="s">
        <v>8</v>
      </c>
      <c r="FH776" s="27" t="s">
        <v>7</v>
      </c>
      <c r="FJ776" s="27" t="s">
        <v>7</v>
      </c>
      <c r="FY776" s="27" t="s">
        <v>8</v>
      </c>
      <c r="FZ776" s="27" t="s">
        <v>7</v>
      </c>
      <c r="GC776" s="27" t="s">
        <v>8</v>
      </c>
      <c r="GD776" s="27" t="s">
        <v>7</v>
      </c>
      <c r="GU776" s="27" t="s">
        <v>8</v>
      </c>
      <c r="GV776" s="27" t="s">
        <v>7</v>
      </c>
      <c r="GW776" s="27" t="s">
        <v>8</v>
      </c>
      <c r="GX776" s="27" t="s">
        <v>7</v>
      </c>
      <c r="GY776" s="27" t="s">
        <v>8</v>
      </c>
      <c r="GZ776" s="27" t="s">
        <v>7</v>
      </c>
      <c r="HA776" s="27" t="s">
        <v>8</v>
      </c>
    </row>
    <row r="777" spans="1:215" x14ac:dyDescent="0.25">
      <c r="A777" s="7">
        <v>2.3225622624333527E-2</v>
      </c>
      <c r="B777"/>
      <c r="C777"/>
      <c r="D777"/>
      <c r="E777"/>
      <c r="F777" s="27" t="s">
        <v>7</v>
      </c>
      <c r="DS777" s="27" t="s">
        <v>8</v>
      </c>
      <c r="EF777" s="27" t="s">
        <v>7</v>
      </c>
      <c r="EG777" s="27" t="s">
        <v>8</v>
      </c>
      <c r="FF777" s="27" t="s">
        <v>7</v>
      </c>
      <c r="FG777" s="27" t="s">
        <v>8</v>
      </c>
      <c r="FJ777" s="27" t="s">
        <v>7</v>
      </c>
      <c r="FY777" s="27" t="s">
        <v>8</v>
      </c>
      <c r="FZ777" s="27" t="s">
        <v>7</v>
      </c>
      <c r="GC777" s="27" t="s">
        <v>8</v>
      </c>
      <c r="GD777" s="27" t="s">
        <v>7</v>
      </c>
      <c r="GU777" s="27" t="s">
        <v>8</v>
      </c>
      <c r="GV777" s="27" t="s">
        <v>7</v>
      </c>
      <c r="GW777" s="27" t="s">
        <v>8</v>
      </c>
      <c r="GX777" s="27" t="s">
        <v>7</v>
      </c>
      <c r="GY777" s="27" t="s">
        <v>8</v>
      </c>
      <c r="GZ777" s="27" t="s">
        <v>7</v>
      </c>
      <c r="HA777" s="27" t="s">
        <v>8</v>
      </c>
    </row>
    <row r="778" spans="1:215" x14ac:dyDescent="0.25">
      <c r="A778" s="7">
        <v>2.2770218259150519E-2</v>
      </c>
      <c r="B778"/>
      <c r="C778"/>
      <c r="D778"/>
      <c r="E778"/>
      <c r="F778" s="27" t="s">
        <v>7</v>
      </c>
      <c r="DS778" s="27" t="s">
        <v>8</v>
      </c>
      <c r="EF778" s="27" t="s">
        <v>7</v>
      </c>
      <c r="EG778" s="27" t="s">
        <v>8</v>
      </c>
      <c r="FF778" s="27" t="s">
        <v>7</v>
      </c>
      <c r="FG778" s="27" t="s">
        <v>8</v>
      </c>
      <c r="FJ778" s="27" t="s">
        <v>7</v>
      </c>
      <c r="FY778" s="27" t="s">
        <v>8</v>
      </c>
      <c r="FZ778" s="27" t="s">
        <v>7</v>
      </c>
      <c r="GA778" s="27" t="s">
        <v>8</v>
      </c>
      <c r="GC778" s="27" t="s">
        <v>8</v>
      </c>
      <c r="GD778" s="27" t="s">
        <v>7</v>
      </c>
      <c r="GE778" s="27" t="s">
        <v>8</v>
      </c>
      <c r="GU778" s="27" t="s">
        <v>8</v>
      </c>
      <c r="GV778" s="27" t="s">
        <v>7</v>
      </c>
      <c r="GW778" s="27" t="s">
        <v>8</v>
      </c>
      <c r="GX778" s="27" t="s">
        <v>7</v>
      </c>
      <c r="GY778" s="27" t="s">
        <v>8</v>
      </c>
      <c r="GZ778" s="27" t="s">
        <v>7</v>
      </c>
      <c r="HA778" s="27" t="s">
        <v>8</v>
      </c>
    </row>
    <row r="779" spans="1:215" x14ac:dyDescent="0.25">
      <c r="A779" s="7">
        <v>2.2323743391324039E-2</v>
      </c>
      <c r="B779"/>
      <c r="C779"/>
      <c r="D779"/>
      <c r="E779"/>
      <c r="F779" s="27" t="s">
        <v>7</v>
      </c>
      <c r="DS779" s="27" t="s">
        <v>8</v>
      </c>
      <c r="EF779" s="27" t="s">
        <v>7</v>
      </c>
      <c r="EG779" s="27" t="s">
        <v>8</v>
      </c>
      <c r="FF779" s="27" t="s">
        <v>7</v>
      </c>
      <c r="FG779" s="27" t="s">
        <v>8</v>
      </c>
      <c r="FJ779" s="27" t="s">
        <v>7</v>
      </c>
      <c r="FY779" s="27" t="s">
        <v>8</v>
      </c>
      <c r="FZ779" s="27" t="s">
        <v>7</v>
      </c>
      <c r="GA779" s="27" t="s">
        <v>8</v>
      </c>
      <c r="GB779" s="27" t="s">
        <v>7</v>
      </c>
      <c r="GC779" s="27" t="s">
        <v>8</v>
      </c>
      <c r="GD779" s="27" t="s">
        <v>7</v>
      </c>
      <c r="GE779" s="27" t="s">
        <v>8</v>
      </c>
      <c r="GF779" s="27" t="s">
        <v>7</v>
      </c>
      <c r="GU779" s="27" t="s">
        <v>8</v>
      </c>
      <c r="GV779" s="27" t="s">
        <v>7</v>
      </c>
      <c r="GW779" s="27" t="s">
        <v>8</v>
      </c>
      <c r="GX779" s="27" t="s">
        <v>7</v>
      </c>
      <c r="GY779" s="27" t="s">
        <v>8</v>
      </c>
      <c r="GZ779" s="27" t="s">
        <v>7</v>
      </c>
      <c r="HA779" s="27" t="s">
        <v>8</v>
      </c>
    </row>
    <row r="780" spans="1:215" x14ac:dyDescent="0.25">
      <c r="A780" s="7">
        <v>2.188602293267063E-2</v>
      </c>
      <c r="B780"/>
      <c r="C780"/>
      <c r="D780"/>
      <c r="E780"/>
      <c r="F780" s="27" t="s">
        <v>7</v>
      </c>
      <c r="DS780" s="27" t="s">
        <v>8</v>
      </c>
      <c r="EF780" s="27" t="s">
        <v>7</v>
      </c>
      <c r="EG780" s="27" t="s">
        <v>8</v>
      </c>
      <c r="FF780" s="27" t="s">
        <v>7</v>
      </c>
      <c r="FG780" s="27" t="s">
        <v>8</v>
      </c>
      <c r="FJ780" s="27" t="s">
        <v>7</v>
      </c>
      <c r="FO780" s="27" t="s">
        <v>8</v>
      </c>
      <c r="FQ780" s="27" t="s">
        <v>8</v>
      </c>
      <c r="FY780" s="27" t="s">
        <v>8</v>
      </c>
      <c r="FZ780" s="27" t="s">
        <v>7</v>
      </c>
      <c r="GA780" s="27" t="s">
        <v>8</v>
      </c>
      <c r="GB780" s="27" t="s">
        <v>7</v>
      </c>
      <c r="GC780" s="27" t="s">
        <v>8</v>
      </c>
      <c r="GD780" s="27" t="s">
        <v>7</v>
      </c>
      <c r="GE780" s="27" t="s">
        <v>8</v>
      </c>
      <c r="GF780" s="27" t="s">
        <v>7</v>
      </c>
      <c r="GK780" s="27" t="s">
        <v>8</v>
      </c>
      <c r="GU780" s="27" t="s">
        <v>8</v>
      </c>
      <c r="GV780" s="27" t="s">
        <v>7</v>
      </c>
      <c r="GW780" s="27" t="s">
        <v>8</v>
      </c>
      <c r="GX780" s="27" t="s">
        <v>7</v>
      </c>
      <c r="GY780" s="27" t="s">
        <v>8</v>
      </c>
      <c r="GZ780" s="27" t="s">
        <v>7</v>
      </c>
      <c r="HA780" s="27" t="s">
        <v>8</v>
      </c>
    </row>
    <row r="781" spans="1:215" x14ac:dyDescent="0.25">
      <c r="A781" s="7">
        <v>2.1456885228108461E-2</v>
      </c>
      <c r="B781"/>
      <c r="C781"/>
      <c r="D781"/>
      <c r="E781"/>
      <c r="F781" s="27" t="s">
        <v>7</v>
      </c>
      <c r="DQ781" s="27" t="s">
        <v>8</v>
      </c>
      <c r="DS781" s="27" t="s">
        <v>8</v>
      </c>
      <c r="EF781" s="27" t="s">
        <v>7</v>
      </c>
      <c r="EG781" s="27" t="s">
        <v>8</v>
      </c>
      <c r="FF781" s="27" t="s">
        <v>7</v>
      </c>
      <c r="FJ781" s="27" t="s">
        <v>7</v>
      </c>
      <c r="FO781" s="27" t="s">
        <v>8</v>
      </c>
      <c r="FP781" s="27" t="s">
        <v>7</v>
      </c>
      <c r="FQ781" s="27" t="s">
        <v>8</v>
      </c>
      <c r="FR781" s="27" t="s">
        <v>7</v>
      </c>
      <c r="FY781" s="27" t="s">
        <v>8</v>
      </c>
      <c r="FZ781" s="27" t="s">
        <v>7</v>
      </c>
      <c r="GA781" s="27" t="s">
        <v>8</v>
      </c>
      <c r="GB781" s="27" t="s">
        <v>7</v>
      </c>
      <c r="GC781" s="27" t="s">
        <v>8</v>
      </c>
      <c r="GD781" s="27" t="s">
        <v>7</v>
      </c>
      <c r="GE781" s="27" t="s">
        <v>8</v>
      </c>
      <c r="GF781" s="27" t="s">
        <v>7</v>
      </c>
      <c r="GI781" s="27" t="s">
        <v>8</v>
      </c>
      <c r="GK781" s="27" t="s">
        <v>8</v>
      </c>
      <c r="GL781" s="27" t="s">
        <v>7</v>
      </c>
      <c r="GU781" s="27" t="s">
        <v>8</v>
      </c>
      <c r="GV781" s="27" t="s">
        <v>7</v>
      </c>
      <c r="GX781" s="27" t="s">
        <v>7</v>
      </c>
      <c r="GY781" s="27" t="s">
        <v>8</v>
      </c>
      <c r="GZ781" s="27" t="s">
        <v>7</v>
      </c>
    </row>
    <row r="782" spans="1:215" x14ac:dyDescent="0.25">
      <c r="A782" s="7">
        <v>2.1036161988341632E-2</v>
      </c>
      <c r="B782"/>
      <c r="C782"/>
      <c r="D782"/>
      <c r="E782"/>
      <c r="F782" s="27" t="s">
        <v>7</v>
      </c>
      <c r="DQ782" s="27" t="s">
        <v>8</v>
      </c>
      <c r="DR782" s="27" t="s">
        <v>7</v>
      </c>
      <c r="DS782" s="27" t="s">
        <v>8</v>
      </c>
      <c r="EF782" s="27" t="s">
        <v>7</v>
      </c>
      <c r="EG782" s="27" t="s">
        <v>8</v>
      </c>
      <c r="FJ782" s="27" t="s">
        <v>7</v>
      </c>
      <c r="FO782" s="27" t="s">
        <v>8</v>
      </c>
      <c r="FP782" s="27" t="s">
        <v>7</v>
      </c>
      <c r="FQ782" s="27" t="s">
        <v>8</v>
      </c>
      <c r="FR782" s="27" t="s">
        <v>7</v>
      </c>
      <c r="FY782" s="27" t="s">
        <v>8</v>
      </c>
      <c r="FZ782" s="27" t="s">
        <v>7</v>
      </c>
      <c r="GA782" s="27" t="s">
        <v>8</v>
      </c>
      <c r="GB782" s="27" t="s">
        <v>7</v>
      </c>
      <c r="GC782" s="27" t="s">
        <v>8</v>
      </c>
      <c r="GD782" s="27" t="s">
        <v>7</v>
      </c>
      <c r="GE782" s="27" t="s">
        <v>8</v>
      </c>
      <c r="GF782" s="27" t="s">
        <v>7</v>
      </c>
      <c r="GI782" s="27" t="s">
        <v>8</v>
      </c>
      <c r="GJ782" s="27" t="s">
        <v>7</v>
      </c>
      <c r="GK782" s="27" t="s">
        <v>8</v>
      </c>
      <c r="GL782" s="27" t="s">
        <v>7</v>
      </c>
      <c r="GU782" s="27" t="s">
        <v>8</v>
      </c>
      <c r="GX782" s="27" t="s">
        <v>7</v>
      </c>
      <c r="GY782" s="27" t="s">
        <v>8</v>
      </c>
    </row>
    <row r="783" spans="1:215" x14ac:dyDescent="0.25">
      <c r="A783" s="7">
        <v>2.0623688223864345E-2</v>
      </c>
      <c r="B783"/>
      <c r="C783"/>
      <c r="D783"/>
      <c r="E783"/>
      <c r="F783" s="27" t="s">
        <v>7</v>
      </c>
      <c r="DQ783" s="27" t="s">
        <v>8</v>
      </c>
      <c r="DR783" s="27" t="s">
        <v>7</v>
      </c>
      <c r="DS783" s="27" t="s">
        <v>8</v>
      </c>
      <c r="EF783" s="27" t="s">
        <v>7</v>
      </c>
      <c r="FJ783" s="27" t="s">
        <v>7</v>
      </c>
      <c r="FO783" s="27" t="s">
        <v>8</v>
      </c>
      <c r="FP783" s="27" t="s">
        <v>7</v>
      </c>
      <c r="FQ783" s="27" t="s">
        <v>8</v>
      </c>
      <c r="FR783" s="27" t="s">
        <v>7</v>
      </c>
      <c r="FY783" s="27" t="s">
        <v>8</v>
      </c>
      <c r="FZ783" s="27" t="s">
        <v>7</v>
      </c>
      <c r="GA783" s="27" t="s">
        <v>8</v>
      </c>
      <c r="GB783" s="27" t="s">
        <v>7</v>
      </c>
      <c r="GC783" s="27" t="s">
        <v>8</v>
      </c>
      <c r="GD783" s="27" t="s">
        <v>7</v>
      </c>
      <c r="GF783" s="27" t="s">
        <v>7</v>
      </c>
      <c r="GG783" s="27" t="s">
        <v>8</v>
      </c>
      <c r="GI783" s="27" t="s">
        <v>8</v>
      </c>
      <c r="GJ783" s="27" t="s">
        <v>7</v>
      </c>
      <c r="GK783" s="27" t="s">
        <v>8</v>
      </c>
      <c r="GL783" s="27" t="s">
        <v>7</v>
      </c>
      <c r="GU783" s="27" t="s">
        <v>8</v>
      </c>
      <c r="GX783" s="27" t="s">
        <v>7</v>
      </c>
      <c r="GY783" s="27" t="s">
        <v>8</v>
      </c>
    </row>
    <row r="784" spans="1:215" x14ac:dyDescent="0.25">
      <c r="A784" s="7">
        <v>2.021930218025916E-2</v>
      </c>
      <c r="B784"/>
      <c r="C784"/>
      <c r="D784"/>
      <c r="E784"/>
      <c r="F784" s="27" t="s">
        <v>7</v>
      </c>
      <c r="DQ784" s="27" t="s">
        <v>8</v>
      </c>
      <c r="DR784" s="27" t="s">
        <v>7</v>
      </c>
      <c r="DS784" s="27" t="s">
        <v>8</v>
      </c>
      <c r="FJ784" s="27" t="s">
        <v>7</v>
      </c>
      <c r="FO784" s="27" t="s">
        <v>8</v>
      </c>
      <c r="FP784" s="27" t="s">
        <v>7</v>
      </c>
      <c r="FQ784" s="27" t="s">
        <v>8</v>
      </c>
      <c r="FR784" s="27" t="s">
        <v>7</v>
      </c>
      <c r="FU784" s="27" t="s">
        <v>8</v>
      </c>
      <c r="FW784" s="27" t="s">
        <v>8</v>
      </c>
      <c r="FY784" s="27" t="s">
        <v>8</v>
      </c>
      <c r="FZ784" s="27" t="s">
        <v>7</v>
      </c>
      <c r="GA784" s="27" t="s">
        <v>8</v>
      </c>
      <c r="GB784" s="27" t="s">
        <v>7</v>
      </c>
      <c r="GF784" s="27" t="s">
        <v>7</v>
      </c>
      <c r="GG784" s="27" t="s">
        <v>8</v>
      </c>
      <c r="GH784" s="27" t="s">
        <v>7</v>
      </c>
      <c r="GI784" s="27" t="s">
        <v>8</v>
      </c>
      <c r="GJ784" s="27" t="s">
        <v>7</v>
      </c>
      <c r="GK784" s="27" t="s">
        <v>8</v>
      </c>
      <c r="GL784" s="27" t="s">
        <v>7</v>
      </c>
      <c r="GU784" s="27" t="s">
        <v>8</v>
      </c>
      <c r="GX784" s="27" t="s">
        <v>7</v>
      </c>
      <c r="GY784" s="27" t="s">
        <v>8</v>
      </c>
    </row>
    <row r="785" spans="1:207" x14ac:dyDescent="0.25">
      <c r="A785" s="7">
        <v>1.9822845274763884E-2</v>
      </c>
      <c r="B785"/>
      <c r="C785"/>
      <c r="D785"/>
      <c r="E785"/>
      <c r="F785" s="27" t="s">
        <v>7</v>
      </c>
      <c r="DQ785" s="27" t="s">
        <v>8</v>
      </c>
      <c r="DR785" s="27" t="s">
        <v>7</v>
      </c>
      <c r="DS785" s="27" t="s">
        <v>8</v>
      </c>
      <c r="FJ785" s="27" t="s">
        <v>7</v>
      </c>
      <c r="FO785" s="27" t="s">
        <v>8</v>
      </c>
      <c r="FP785" s="27" t="s">
        <v>7</v>
      </c>
      <c r="FQ785" s="27" t="s">
        <v>8</v>
      </c>
      <c r="FR785" s="27" t="s">
        <v>7</v>
      </c>
      <c r="FU785" s="27" t="s">
        <v>8</v>
      </c>
      <c r="FV785" s="27" t="s">
        <v>7</v>
      </c>
      <c r="FW785" s="27" t="s">
        <v>8</v>
      </c>
      <c r="FX785" s="27" t="s">
        <v>7</v>
      </c>
      <c r="FY785" s="27" t="s">
        <v>8</v>
      </c>
      <c r="FZ785" s="27" t="s">
        <v>7</v>
      </c>
      <c r="GA785" s="27" t="s">
        <v>8</v>
      </c>
      <c r="GF785" s="27" t="s">
        <v>7</v>
      </c>
      <c r="GG785" s="27" t="s">
        <v>8</v>
      </c>
      <c r="GH785" s="27" t="s">
        <v>7</v>
      </c>
      <c r="GI785" s="27" t="s">
        <v>8</v>
      </c>
      <c r="GJ785" s="27" t="s">
        <v>7</v>
      </c>
      <c r="GK785" s="27" t="s">
        <v>8</v>
      </c>
      <c r="GL785" s="27" t="s">
        <v>7</v>
      </c>
      <c r="GU785" s="27" t="s">
        <v>8</v>
      </c>
      <c r="GX785" s="27" t="s">
        <v>7</v>
      </c>
      <c r="GY785" s="27" t="s">
        <v>8</v>
      </c>
    </row>
    <row r="786" spans="1:207" x14ac:dyDescent="0.25">
      <c r="A786" s="7">
        <v>1.9434162034082238E-2</v>
      </c>
      <c r="B786"/>
      <c r="C786"/>
      <c r="D786"/>
      <c r="E786"/>
      <c r="F786" s="27" t="s">
        <v>7</v>
      </c>
      <c r="DE786" s="27" t="s">
        <v>8</v>
      </c>
      <c r="DQ786" s="27" t="s">
        <v>8</v>
      </c>
      <c r="DR786" s="27" t="s">
        <v>7</v>
      </c>
      <c r="DS786" s="27" t="s">
        <v>8</v>
      </c>
      <c r="FJ786" s="27" t="s">
        <v>7</v>
      </c>
      <c r="FO786" s="27" t="s">
        <v>8</v>
      </c>
      <c r="FP786" s="27" t="s">
        <v>7</v>
      </c>
      <c r="FQ786" s="27" t="s">
        <v>8</v>
      </c>
      <c r="FR786" s="27" t="s">
        <v>7</v>
      </c>
      <c r="FU786" s="27" t="s">
        <v>8</v>
      </c>
      <c r="FV786" s="27" t="s">
        <v>7</v>
      </c>
      <c r="FW786" s="27" t="s">
        <v>8</v>
      </c>
      <c r="FX786" s="27" t="s">
        <v>7</v>
      </c>
      <c r="FY786" s="27" t="s">
        <v>8</v>
      </c>
      <c r="FZ786" s="27" t="s">
        <v>7</v>
      </c>
      <c r="GA786" s="27" t="s">
        <v>8</v>
      </c>
      <c r="GF786" s="27" t="s">
        <v>7</v>
      </c>
      <c r="GG786" s="27" t="s">
        <v>8</v>
      </c>
      <c r="GH786" s="27" t="s">
        <v>7</v>
      </c>
      <c r="GI786" s="27" t="s">
        <v>8</v>
      </c>
      <c r="GJ786" s="27" t="s">
        <v>7</v>
      </c>
      <c r="GK786" s="27" t="s">
        <v>8</v>
      </c>
      <c r="GL786" s="27" t="s">
        <v>7</v>
      </c>
      <c r="GU786" s="27" t="s">
        <v>8</v>
      </c>
      <c r="GX786" s="27" t="s">
        <v>7</v>
      </c>
      <c r="GY786" s="27" t="s">
        <v>8</v>
      </c>
    </row>
    <row r="787" spans="1:207" x14ac:dyDescent="0.25">
      <c r="A787" s="7">
        <v>1.9053100033413959E-2</v>
      </c>
      <c r="B787"/>
      <c r="C787"/>
      <c r="D787"/>
      <c r="E787"/>
      <c r="F787" s="27" t="s">
        <v>7</v>
      </c>
      <c r="DE787" s="27" t="s">
        <v>8</v>
      </c>
      <c r="DF787" s="27" t="s">
        <v>7</v>
      </c>
      <c r="DO787" s="27" t="s">
        <v>8</v>
      </c>
      <c r="DQ787" s="27" t="s">
        <v>8</v>
      </c>
      <c r="DR787" s="27" t="s">
        <v>7</v>
      </c>
      <c r="FJ787" s="27" t="s">
        <v>7</v>
      </c>
      <c r="FO787" s="27" t="s">
        <v>8</v>
      </c>
      <c r="FP787" s="27" t="s">
        <v>7</v>
      </c>
      <c r="FQ787" s="27" t="s">
        <v>8</v>
      </c>
      <c r="FR787" s="27" t="s">
        <v>7</v>
      </c>
      <c r="FS787" s="27" t="s">
        <v>8</v>
      </c>
      <c r="FU787" s="27" t="s">
        <v>8</v>
      </c>
      <c r="FV787" s="27" t="s">
        <v>7</v>
      </c>
      <c r="FW787" s="27" t="s">
        <v>8</v>
      </c>
      <c r="FX787" s="27" t="s">
        <v>7</v>
      </c>
      <c r="FY787" s="27" t="s">
        <v>8</v>
      </c>
      <c r="FZ787" s="27" t="s">
        <v>7</v>
      </c>
      <c r="GA787" s="27" t="s">
        <v>8</v>
      </c>
      <c r="GF787" s="27" t="s">
        <v>7</v>
      </c>
      <c r="GG787" s="27" t="s">
        <v>8</v>
      </c>
      <c r="GH787" s="27" t="s">
        <v>7</v>
      </c>
      <c r="GI787" s="27" t="s">
        <v>8</v>
      </c>
      <c r="GJ787" s="27" t="s">
        <v>7</v>
      </c>
      <c r="GL787" s="27" t="s">
        <v>7</v>
      </c>
      <c r="GU787" s="27" t="s">
        <v>8</v>
      </c>
      <c r="GX787" s="27" t="s">
        <v>7</v>
      </c>
      <c r="GY787" s="27" t="s">
        <v>8</v>
      </c>
    </row>
    <row r="788" spans="1:207" x14ac:dyDescent="0.25">
      <c r="A788" s="7">
        <v>1.867950983668035E-2</v>
      </c>
      <c r="B788"/>
      <c r="C788"/>
      <c r="D788"/>
      <c r="E788"/>
      <c r="F788" s="27" t="s">
        <v>7</v>
      </c>
      <c r="DE788" s="27" t="s">
        <v>8</v>
      </c>
      <c r="DF788" s="27" t="s">
        <v>7</v>
      </c>
      <c r="DO788" s="27" t="s">
        <v>8</v>
      </c>
      <c r="DP788" s="27" t="s">
        <v>7</v>
      </c>
      <c r="DQ788" s="27" t="s">
        <v>8</v>
      </c>
      <c r="FJ788" s="27" t="s">
        <v>7</v>
      </c>
      <c r="FO788" s="27" t="s">
        <v>8</v>
      </c>
      <c r="FP788" s="27" t="s">
        <v>7</v>
      </c>
      <c r="FQ788" s="27" t="s">
        <v>8</v>
      </c>
      <c r="FR788" s="27" t="s">
        <v>7</v>
      </c>
      <c r="FS788" s="27" t="s">
        <v>8</v>
      </c>
      <c r="FT788" s="27" t="s">
        <v>7</v>
      </c>
      <c r="FU788" s="27" t="s">
        <v>8</v>
      </c>
      <c r="FV788" s="27" t="s">
        <v>7</v>
      </c>
      <c r="FW788" s="27" t="s">
        <v>8</v>
      </c>
      <c r="FX788" s="27" t="s">
        <v>7</v>
      </c>
      <c r="FY788" s="27" t="s">
        <v>8</v>
      </c>
      <c r="FZ788" s="27" t="s">
        <v>7</v>
      </c>
      <c r="GA788" s="27" t="s">
        <v>8</v>
      </c>
      <c r="GF788" s="27" t="s">
        <v>7</v>
      </c>
      <c r="GG788" s="27" t="s">
        <v>8</v>
      </c>
      <c r="GH788" s="27" t="s">
        <v>7</v>
      </c>
      <c r="GI788" s="27" t="s">
        <v>8</v>
      </c>
      <c r="GL788" s="27" t="s">
        <v>7</v>
      </c>
      <c r="GU788" s="27" t="s">
        <v>8</v>
      </c>
      <c r="GX788" s="27" t="s">
        <v>7</v>
      </c>
    </row>
    <row r="789" spans="1:207" x14ac:dyDescent="0.25">
      <c r="A789" s="7">
        <v>1.8313244937921913E-2</v>
      </c>
      <c r="B789"/>
      <c r="C789"/>
      <c r="D789"/>
      <c r="E789"/>
      <c r="F789" s="27" t="s">
        <v>7</v>
      </c>
      <c r="DE789" s="27" t="s">
        <v>8</v>
      </c>
      <c r="DF789" s="27" t="s">
        <v>7</v>
      </c>
      <c r="DO789" s="27" t="s">
        <v>8</v>
      </c>
      <c r="DP789" s="27" t="s">
        <v>7</v>
      </c>
      <c r="DQ789" s="27" t="s">
        <v>8</v>
      </c>
      <c r="FJ789" s="27" t="s">
        <v>7</v>
      </c>
      <c r="FK789" s="27" t="s">
        <v>8</v>
      </c>
      <c r="FO789" s="27" t="s">
        <v>8</v>
      </c>
      <c r="FP789" s="27" t="s">
        <v>7</v>
      </c>
      <c r="FQ789" s="27" t="s">
        <v>8</v>
      </c>
      <c r="FR789" s="27" t="s">
        <v>7</v>
      </c>
      <c r="FS789" s="27" t="s">
        <v>8</v>
      </c>
      <c r="FT789" s="27" t="s">
        <v>7</v>
      </c>
      <c r="FU789" s="27" t="s">
        <v>8</v>
      </c>
      <c r="FV789" s="27" t="s">
        <v>7</v>
      </c>
      <c r="FW789" s="27" t="s">
        <v>8</v>
      </c>
      <c r="FX789" s="27" t="s">
        <v>7</v>
      </c>
      <c r="FY789" s="27" t="s">
        <v>8</v>
      </c>
      <c r="FZ789" s="27" t="s">
        <v>7</v>
      </c>
      <c r="GA789" s="27" t="s">
        <v>8</v>
      </c>
      <c r="GF789" s="27" t="s">
        <v>7</v>
      </c>
      <c r="GG789" s="27" t="s">
        <v>8</v>
      </c>
      <c r="GH789" s="27" t="s">
        <v>7</v>
      </c>
      <c r="GI789" s="27" t="s">
        <v>8</v>
      </c>
      <c r="GL789" s="27" t="s">
        <v>7</v>
      </c>
      <c r="GM789" s="27" t="s">
        <v>8</v>
      </c>
      <c r="GU789" s="27" t="s">
        <v>8</v>
      </c>
    </row>
    <row r="790" spans="1:207" x14ac:dyDescent="0.25">
      <c r="A790" s="7">
        <v>1.7954161703845013E-2</v>
      </c>
      <c r="B790"/>
      <c r="C790"/>
      <c r="D790"/>
      <c r="E790"/>
      <c r="F790" s="27" t="s">
        <v>7</v>
      </c>
      <c r="DE790" s="27" t="s">
        <v>8</v>
      </c>
      <c r="DF790" s="27" t="s">
        <v>7</v>
      </c>
      <c r="DO790" s="27" t="s">
        <v>8</v>
      </c>
      <c r="DP790" s="27" t="s">
        <v>7</v>
      </c>
      <c r="DQ790" s="27" t="s">
        <v>8</v>
      </c>
      <c r="FJ790" s="27" t="s">
        <v>7</v>
      </c>
      <c r="FK790" s="27" t="s">
        <v>8</v>
      </c>
      <c r="FL790" s="27" t="s">
        <v>7</v>
      </c>
      <c r="FO790" s="27" t="s">
        <v>8</v>
      </c>
      <c r="FP790" s="27" t="s">
        <v>7</v>
      </c>
      <c r="FQ790" s="27" t="s">
        <v>8</v>
      </c>
      <c r="FR790" s="27" t="s">
        <v>7</v>
      </c>
      <c r="FS790" s="27" t="s">
        <v>8</v>
      </c>
      <c r="FT790" s="27" t="s">
        <v>7</v>
      </c>
      <c r="FU790" s="27" t="s">
        <v>8</v>
      </c>
      <c r="FV790" s="27" t="s">
        <v>7</v>
      </c>
      <c r="FW790" s="27" t="s">
        <v>8</v>
      </c>
      <c r="FX790" s="27" t="s">
        <v>7</v>
      </c>
      <c r="FZ790" s="27" t="s">
        <v>7</v>
      </c>
      <c r="GA790" s="27" t="s">
        <v>8</v>
      </c>
      <c r="GF790" s="27" t="s">
        <v>7</v>
      </c>
      <c r="GG790" s="27" t="s">
        <v>8</v>
      </c>
      <c r="GH790" s="27" t="s">
        <v>7</v>
      </c>
      <c r="GL790" s="27" t="s">
        <v>7</v>
      </c>
      <c r="GM790" s="27" t="s">
        <v>8</v>
      </c>
      <c r="GN790" s="27" t="s">
        <v>7</v>
      </c>
      <c r="GO790" s="27" t="s">
        <v>8</v>
      </c>
      <c r="GU790" s="27" t="s">
        <v>8</v>
      </c>
    </row>
    <row r="791" spans="1:207" x14ac:dyDescent="0.25">
      <c r="A791" s="7">
        <v>1.7602119317495109E-2</v>
      </c>
      <c r="B791"/>
      <c r="C791"/>
      <c r="D791"/>
      <c r="E791"/>
      <c r="F791" s="27" t="s">
        <v>7</v>
      </c>
      <c r="DE791" s="27" t="s">
        <v>8</v>
      </c>
      <c r="DF791" s="27" t="s">
        <v>7</v>
      </c>
      <c r="DO791" s="27" t="s">
        <v>8</v>
      </c>
      <c r="DP791" s="27" t="s">
        <v>7</v>
      </c>
      <c r="DQ791" s="27" t="s">
        <v>8</v>
      </c>
      <c r="FJ791" s="27" t="s">
        <v>7</v>
      </c>
      <c r="FK791" s="27" t="s">
        <v>8</v>
      </c>
      <c r="FL791" s="27" t="s">
        <v>7</v>
      </c>
      <c r="FO791" s="27" t="s">
        <v>8</v>
      </c>
      <c r="FP791" s="27" t="s">
        <v>7</v>
      </c>
      <c r="FR791" s="27" t="s">
        <v>7</v>
      </c>
      <c r="FS791" s="27" t="s">
        <v>8</v>
      </c>
      <c r="FT791" s="27" t="s">
        <v>7</v>
      </c>
      <c r="FU791" s="27" t="s">
        <v>8</v>
      </c>
      <c r="FV791" s="27" t="s">
        <v>7</v>
      </c>
      <c r="FW791" s="27" t="s">
        <v>8</v>
      </c>
      <c r="FZ791" s="27" t="s">
        <v>7</v>
      </c>
      <c r="GA791" s="27" t="s">
        <v>8</v>
      </c>
      <c r="GF791" s="27" t="s">
        <v>7</v>
      </c>
      <c r="GL791" s="27" t="s">
        <v>7</v>
      </c>
      <c r="GM791" s="27" t="s">
        <v>8</v>
      </c>
      <c r="GN791" s="27" t="s">
        <v>7</v>
      </c>
      <c r="GO791" s="27" t="s">
        <v>8</v>
      </c>
      <c r="GP791" s="27" t="s">
        <v>7</v>
      </c>
      <c r="GS791" s="27" t="s">
        <v>8</v>
      </c>
      <c r="GU791" s="27" t="s">
        <v>8</v>
      </c>
    </row>
    <row r="792" spans="1:207" x14ac:dyDescent="0.25">
      <c r="A792" s="7">
        <v>1.7256979723034419E-2</v>
      </c>
      <c r="B792"/>
      <c r="C792"/>
      <c r="D792"/>
      <c r="E792"/>
      <c r="F792" s="27" t="s">
        <v>7</v>
      </c>
      <c r="DE792" s="27" t="s">
        <v>8</v>
      </c>
      <c r="DF792" s="27" t="s">
        <v>7</v>
      </c>
      <c r="DO792" s="27" t="s">
        <v>8</v>
      </c>
      <c r="DP792" s="27" t="s">
        <v>7</v>
      </c>
      <c r="DQ792" s="27" t="s">
        <v>8</v>
      </c>
      <c r="FJ792" s="27" t="s">
        <v>7</v>
      </c>
      <c r="FK792" s="27" t="s">
        <v>8</v>
      </c>
      <c r="FL792" s="27" t="s">
        <v>7</v>
      </c>
      <c r="FM792" s="27" t="s">
        <v>8</v>
      </c>
      <c r="FO792" s="27" t="s">
        <v>8</v>
      </c>
      <c r="FR792" s="27" t="s">
        <v>7</v>
      </c>
      <c r="FT792" s="27" t="s">
        <v>7</v>
      </c>
      <c r="FV792" s="27" t="s">
        <v>7</v>
      </c>
      <c r="FW792" s="27" t="s">
        <v>8</v>
      </c>
      <c r="FZ792" s="27" t="s">
        <v>7</v>
      </c>
      <c r="GA792" s="27" t="s">
        <v>8</v>
      </c>
      <c r="GL792" s="27" t="s">
        <v>7</v>
      </c>
      <c r="GM792" s="27" t="s">
        <v>8</v>
      </c>
      <c r="GN792" s="27" t="s">
        <v>7</v>
      </c>
      <c r="GO792" s="27" t="s">
        <v>8</v>
      </c>
      <c r="GP792" s="27" t="s">
        <v>7</v>
      </c>
      <c r="GQ792" s="27" t="s">
        <v>8</v>
      </c>
      <c r="GS792" s="27" t="s">
        <v>8</v>
      </c>
      <c r="GT792" s="27" t="s">
        <v>7</v>
      </c>
      <c r="GU792" s="27" t="s">
        <v>8</v>
      </c>
    </row>
    <row r="793" spans="1:207" x14ac:dyDescent="0.25">
      <c r="A793" s="7">
        <v>1.6918607571602372E-2</v>
      </c>
      <c r="B793"/>
      <c r="C793"/>
      <c r="D793"/>
      <c r="E793"/>
      <c r="F793" s="27" t="s">
        <v>7</v>
      </c>
      <c r="DE793" s="27" t="s">
        <v>8</v>
      </c>
      <c r="DF793" s="27" t="s">
        <v>7</v>
      </c>
      <c r="DO793" s="27" t="s">
        <v>8</v>
      </c>
      <c r="DP793" s="27" t="s">
        <v>7</v>
      </c>
      <c r="DQ793" s="27" t="s">
        <v>8</v>
      </c>
      <c r="FJ793" s="27" t="s">
        <v>7</v>
      </c>
      <c r="FK793" s="27" t="s">
        <v>8</v>
      </c>
      <c r="FL793" s="27" t="s">
        <v>7</v>
      </c>
      <c r="FM793" s="27" t="s">
        <v>8</v>
      </c>
      <c r="FN793" s="27" t="s">
        <v>7</v>
      </c>
      <c r="FO793" s="27" t="s">
        <v>8</v>
      </c>
      <c r="FV793" s="27" t="s">
        <v>7</v>
      </c>
      <c r="FW793" s="27" t="s">
        <v>8</v>
      </c>
      <c r="FZ793" s="27" t="s">
        <v>7</v>
      </c>
      <c r="GA793" s="27" t="s">
        <v>8</v>
      </c>
      <c r="GL793" s="27" t="s">
        <v>7</v>
      </c>
      <c r="GM793" s="27" t="s">
        <v>8</v>
      </c>
      <c r="GN793" s="27" t="s">
        <v>7</v>
      </c>
      <c r="GO793" s="27" t="s">
        <v>8</v>
      </c>
      <c r="GP793" s="27" t="s">
        <v>7</v>
      </c>
      <c r="GQ793" s="27" t="s">
        <v>8</v>
      </c>
      <c r="GR793" s="27" t="s">
        <v>7</v>
      </c>
      <c r="GS793" s="27" t="s">
        <v>8</v>
      </c>
      <c r="GT793" s="27" t="s">
        <v>7</v>
      </c>
      <c r="GU793" s="27" t="s">
        <v>8</v>
      </c>
    </row>
    <row r="794" spans="1:207" x14ac:dyDescent="0.25">
      <c r="A794" s="7">
        <v>1.6586870168237622E-2</v>
      </c>
      <c r="B794"/>
      <c r="C794"/>
      <c r="D794"/>
      <c r="E794"/>
      <c r="F794" s="27" t="s">
        <v>7</v>
      </c>
      <c r="DE794" s="27" t="s">
        <v>8</v>
      </c>
      <c r="DF794" s="27" t="s">
        <v>7</v>
      </c>
      <c r="DO794" s="27" t="s">
        <v>8</v>
      </c>
      <c r="DP794" s="27" t="s">
        <v>7</v>
      </c>
      <c r="DQ794" s="27" t="s">
        <v>8</v>
      </c>
      <c r="FJ794" s="27" t="s">
        <v>7</v>
      </c>
      <c r="FK794" s="27" t="s">
        <v>8</v>
      </c>
      <c r="FL794" s="27" t="s">
        <v>7</v>
      </c>
      <c r="FM794" s="27" t="s">
        <v>8</v>
      </c>
      <c r="FN794" s="27" t="s">
        <v>7</v>
      </c>
      <c r="FO794" s="27" t="s">
        <v>8</v>
      </c>
      <c r="FV794" s="27" t="s">
        <v>7</v>
      </c>
      <c r="FW794" s="27" t="s">
        <v>8</v>
      </c>
      <c r="FZ794" s="27" t="s">
        <v>7</v>
      </c>
      <c r="GL794" s="27" t="s">
        <v>7</v>
      </c>
      <c r="GM794" s="27" t="s">
        <v>8</v>
      </c>
      <c r="GN794" s="27" t="s">
        <v>7</v>
      </c>
      <c r="GO794" s="27" t="s">
        <v>8</v>
      </c>
      <c r="GP794" s="27" t="s">
        <v>7</v>
      </c>
      <c r="GQ794" s="27" t="s">
        <v>8</v>
      </c>
      <c r="GR794" s="27" t="s">
        <v>7</v>
      </c>
      <c r="GS794" s="27" t="s">
        <v>8</v>
      </c>
      <c r="GT794" s="27" t="s">
        <v>7</v>
      </c>
      <c r="GU794" s="27" t="s">
        <v>8</v>
      </c>
    </row>
    <row r="795" spans="1:207" x14ac:dyDescent="0.25">
      <c r="A795" s="7">
        <v>1.6261637419840807E-2</v>
      </c>
      <c r="B795"/>
      <c r="C795"/>
      <c r="D795"/>
      <c r="E795"/>
      <c r="F795" s="27" t="s">
        <v>7</v>
      </c>
      <c r="DE795" s="27" t="s">
        <v>8</v>
      </c>
      <c r="DF795" s="27" t="s">
        <v>7</v>
      </c>
      <c r="DO795" s="27" t="s">
        <v>8</v>
      </c>
      <c r="DP795" s="27" t="s">
        <v>7</v>
      </c>
      <c r="DQ795" s="27" t="s">
        <v>8</v>
      </c>
      <c r="FJ795" s="27" t="s">
        <v>7</v>
      </c>
      <c r="FK795" s="27" t="s">
        <v>8</v>
      </c>
      <c r="FL795" s="27" t="s">
        <v>7</v>
      </c>
      <c r="FM795" s="27" t="s">
        <v>8</v>
      </c>
      <c r="FN795" s="27" t="s">
        <v>7</v>
      </c>
      <c r="FO795" s="27" t="s">
        <v>8</v>
      </c>
      <c r="FV795" s="27" t="s">
        <v>7</v>
      </c>
      <c r="GL795" s="27" t="s">
        <v>7</v>
      </c>
      <c r="GM795" s="27" t="s">
        <v>8</v>
      </c>
      <c r="GN795" s="27" t="s">
        <v>7</v>
      </c>
      <c r="GP795" s="27" t="s">
        <v>7</v>
      </c>
      <c r="GQ795" s="27" t="s">
        <v>8</v>
      </c>
      <c r="GR795" s="27" t="s">
        <v>7</v>
      </c>
      <c r="GS795" s="27" t="s">
        <v>8</v>
      </c>
      <c r="GT795" s="27" t="s">
        <v>7</v>
      </c>
    </row>
    <row r="796" spans="1:207" x14ac:dyDescent="0.25">
      <c r="A796" s="7">
        <v>1.5942781784157655E-2</v>
      </c>
      <c r="B796"/>
      <c r="C796"/>
      <c r="D796"/>
      <c r="E796"/>
      <c r="F796" s="27" t="s">
        <v>7</v>
      </c>
      <c r="DE796" s="27" t="s">
        <v>8</v>
      </c>
      <c r="DF796" s="27" t="s">
        <v>7</v>
      </c>
      <c r="DO796" s="27" t="s">
        <v>8</v>
      </c>
      <c r="DP796" s="27" t="s">
        <v>7</v>
      </c>
      <c r="DQ796" s="27" t="s">
        <v>8</v>
      </c>
      <c r="FJ796" s="27" t="s">
        <v>7</v>
      </c>
      <c r="FK796" s="27" t="s">
        <v>8</v>
      </c>
      <c r="FL796" s="27" t="s">
        <v>7</v>
      </c>
      <c r="FN796" s="27" t="s">
        <v>7</v>
      </c>
      <c r="FO796" s="27" t="s">
        <v>8</v>
      </c>
      <c r="GL796" s="27" t="s">
        <v>7</v>
      </c>
      <c r="GM796" s="27" t="s">
        <v>8</v>
      </c>
      <c r="GP796" s="27" t="s">
        <v>7</v>
      </c>
      <c r="GQ796" s="27" t="s">
        <v>8</v>
      </c>
      <c r="GR796" s="27" t="s">
        <v>7</v>
      </c>
    </row>
    <row r="797" spans="1:207" x14ac:dyDescent="0.25">
      <c r="A797" s="7">
        <v>1.5630178219762408E-2</v>
      </c>
      <c r="B797"/>
      <c r="C797"/>
      <c r="D797"/>
      <c r="E797"/>
      <c r="F797" s="27" t="s">
        <v>7</v>
      </c>
      <c r="DE797" s="27" t="s">
        <v>8</v>
      </c>
      <c r="DF797" s="27" t="s">
        <v>7</v>
      </c>
      <c r="DG797" s="27" t="s">
        <v>8</v>
      </c>
      <c r="DO797" s="27" t="s">
        <v>8</v>
      </c>
      <c r="DP797" s="27" t="s">
        <v>7</v>
      </c>
      <c r="DQ797" s="27" t="s">
        <v>8</v>
      </c>
      <c r="FJ797" s="27" t="s">
        <v>7</v>
      </c>
      <c r="FK797" s="27" t="s">
        <v>8</v>
      </c>
      <c r="FN797" s="27" t="s">
        <v>7</v>
      </c>
      <c r="FO797" s="27" t="s">
        <v>8</v>
      </c>
      <c r="GL797" s="27" t="s">
        <v>7</v>
      </c>
      <c r="GM797" s="27" t="s">
        <v>8</v>
      </c>
      <c r="GP797" s="27" t="s">
        <v>7</v>
      </c>
    </row>
    <row r="798" spans="1:207" x14ac:dyDescent="0.25">
      <c r="A798" s="7">
        <v>1.5323704137021967E-2</v>
      </c>
      <c r="B798"/>
      <c r="C798"/>
      <c r="D798"/>
      <c r="E798"/>
      <c r="F798" s="27" t="s">
        <v>7</v>
      </c>
      <c r="DE798" s="27" t="s">
        <v>8</v>
      </c>
      <c r="DF798" s="27" t="s">
        <v>7</v>
      </c>
      <c r="DG798" s="27" t="s">
        <v>8</v>
      </c>
      <c r="DH798" s="27" t="s">
        <v>7</v>
      </c>
      <c r="DO798" s="27" t="s">
        <v>8</v>
      </c>
      <c r="DP798" s="27" t="s">
        <v>7</v>
      </c>
      <c r="DQ798" s="27" t="s">
        <v>8</v>
      </c>
      <c r="FJ798" s="27" t="s">
        <v>7</v>
      </c>
      <c r="FK798" s="27" t="s">
        <v>8</v>
      </c>
      <c r="FN798" s="27" t="s">
        <v>7</v>
      </c>
      <c r="FO798" s="27" t="s">
        <v>8</v>
      </c>
      <c r="GL798" s="27" t="s">
        <v>7</v>
      </c>
      <c r="GM798" s="27" t="s">
        <v>8</v>
      </c>
    </row>
    <row r="799" spans="1:207" x14ac:dyDescent="0.25">
      <c r="A799" s="7">
        <v>1.5023239350021535E-2</v>
      </c>
      <c r="B799"/>
      <c r="C799"/>
      <c r="D799"/>
      <c r="E799"/>
      <c r="F799" s="27" t="s">
        <v>7</v>
      </c>
      <c r="DE799" s="27" t="s">
        <v>8</v>
      </c>
      <c r="DF799" s="27" t="s">
        <v>7</v>
      </c>
      <c r="DG799" s="27" t="s">
        <v>8</v>
      </c>
      <c r="DH799" s="27" t="s">
        <v>7</v>
      </c>
      <c r="DO799" s="27" t="s">
        <v>8</v>
      </c>
      <c r="DP799" s="27" t="s">
        <v>7</v>
      </c>
      <c r="FJ799" s="27" t="s">
        <v>7</v>
      </c>
      <c r="FN799" s="27" t="s">
        <v>7</v>
      </c>
      <c r="FO799" s="27" t="s">
        <v>8</v>
      </c>
      <c r="GL799" s="27" t="s">
        <v>7</v>
      </c>
      <c r="GM799" s="27" t="s">
        <v>8</v>
      </c>
    </row>
    <row r="800" spans="1:207" x14ac:dyDescent="0.25">
      <c r="A800" s="7">
        <v>1.4728666029432878E-2</v>
      </c>
      <c r="B800"/>
      <c r="C800"/>
      <c r="D800"/>
      <c r="E800"/>
      <c r="F800" s="27" t="s">
        <v>7</v>
      </c>
      <c r="DE800" s="27" t="s">
        <v>8</v>
      </c>
      <c r="DF800" s="27" t="s">
        <v>7</v>
      </c>
      <c r="DG800" s="27" t="s">
        <v>8</v>
      </c>
      <c r="DH800" s="27" t="s">
        <v>7</v>
      </c>
      <c r="DK800" s="27" t="s">
        <v>8</v>
      </c>
      <c r="DO800" s="27" t="s">
        <v>8</v>
      </c>
      <c r="FN800" s="27" t="s">
        <v>7</v>
      </c>
      <c r="FO800" s="27" t="s">
        <v>8</v>
      </c>
      <c r="GL800" s="27" t="s">
        <v>7</v>
      </c>
    </row>
    <row r="801" spans="1:171" x14ac:dyDescent="0.25">
      <c r="A801" s="7">
        <v>1.4439868656306743E-2</v>
      </c>
      <c r="B801"/>
      <c r="C801"/>
      <c r="D801"/>
      <c r="E801"/>
      <c r="F801" s="27" t="s">
        <v>7</v>
      </c>
      <c r="DE801" s="27" t="s">
        <v>8</v>
      </c>
      <c r="DF801" s="27" t="s">
        <v>7</v>
      </c>
      <c r="DG801" s="27" t="s">
        <v>8</v>
      </c>
      <c r="DH801" s="27" t="s">
        <v>7</v>
      </c>
      <c r="DK801" s="27" t="s">
        <v>8</v>
      </c>
      <c r="DL801" s="27" t="s">
        <v>7</v>
      </c>
      <c r="DO801" s="27" t="s">
        <v>8</v>
      </c>
      <c r="FN801" s="27" t="s">
        <v>7</v>
      </c>
      <c r="FO801" s="27" t="s">
        <v>8</v>
      </c>
    </row>
    <row r="802" spans="1:171" x14ac:dyDescent="0.25">
      <c r="A802" s="7">
        <v>1.4156733976771318E-2</v>
      </c>
      <c r="B802"/>
      <c r="C802"/>
      <c r="D802"/>
      <c r="E802"/>
      <c r="F802" s="27" t="s">
        <v>7</v>
      </c>
      <c r="DE802" s="27" t="s">
        <v>8</v>
      </c>
      <c r="DF802" s="27" t="s">
        <v>7</v>
      </c>
      <c r="DG802" s="27" t="s">
        <v>8</v>
      </c>
      <c r="DH802" s="27" t="s">
        <v>7</v>
      </c>
      <c r="DI802" s="27" t="s">
        <v>8</v>
      </c>
      <c r="DK802" s="27" t="s">
        <v>8</v>
      </c>
      <c r="DL802" s="27" t="s">
        <v>7</v>
      </c>
      <c r="DO802" s="27" t="s">
        <v>8</v>
      </c>
      <c r="FN802" s="27" t="s">
        <v>7</v>
      </c>
      <c r="FO802" s="27" t="s">
        <v>8</v>
      </c>
    </row>
    <row r="803" spans="1:171" x14ac:dyDescent="0.25">
      <c r="A803" s="7">
        <v>1.3879150957618939E-2</v>
      </c>
      <c r="B803"/>
      <c r="C803"/>
      <c r="D803"/>
      <c r="E803"/>
      <c r="F803" s="27" t="s">
        <v>7</v>
      </c>
      <c r="CU803" s="27" t="s">
        <v>8</v>
      </c>
      <c r="CW803" s="27" t="s">
        <v>8</v>
      </c>
      <c r="DE803" s="27" t="s">
        <v>8</v>
      </c>
      <c r="DF803" s="27" t="s">
        <v>7</v>
      </c>
      <c r="DG803" s="27" t="s">
        <v>8</v>
      </c>
      <c r="DH803" s="27" t="s">
        <v>7</v>
      </c>
      <c r="DI803" s="27" t="s">
        <v>8</v>
      </c>
      <c r="DJ803" s="27" t="s">
        <v>7</v>
      </c>
      <c r="DK803" s="27" t="s">
        <v>8</v>
      </c>
      <c r="DL803" s="27" t="s">
        <v>7</v>
      </c>
      <c r="DM803" s="27" t="s">
        <v>8</v>
      </c>
      <c r="DO803" s="27" t="s">
        <v>8</v>
      </c>
      <c r="FN803" s="27" t="s">
        <v>7</v>
      </c>
      <c r="FO803" s="27" t="s">
        <v>8</v>
      </c>
    </row>
    <row r="804" spans="1:171" x14ac:dyDescent="0.25">
      <c r="A804" s="7">
        <v>1.3607010742763666E-2</v>
      </c>
      <c r="B804"/>
      <c r="C804"/>
      <c r="D804"/>
      <c r="E804"/>
      <c r="F804" s="27" t="s">
        <v>7</v>
      </c>
      <c r="CU804" s="27" t="s">
        <v>8</v>
      </c>
      <c r="CV804" s="27" t="s">
        <v>7</v>
      </c>
      <c r="CW804" s="27" t="s">
        <v>8</v>
      </c>
      <c r="CX804" s="27" t="s">
        <v>7</v>
      </c>
      <c r="DE804" s="27" t="s">
        <v>8</v>
      </c>
      <c r="DF804" s="27" t="s">
        <v>7</v>
      </c>
      <c r="DH804" s="27" t="s">
        <v>7</v>
      </c>
      <c r="DI804" s="27" t="s">
        <v>8</v>
      </c>
      <c r="DJ804" s="27" t="s">
        <v>7</v>
      </c>
      <c r="DK804" s="27" t="s">
        <v>8</v>
      </c>
      <c r="DL804" s="27" t="s">
        <v>7</v>
      </c>
      <c r="DM804" s="27" t="s">
        <v>8</v>
      </c>
      <c r="DN804" s="27" t="s">
        <v>7</v>
      </c>
      <c r="DO804" s="27" t="s">
        <v>8</v>
      </c>
      <c r="FN804" s="27" t="s">
        <v>7</v>
      </c>
      <c r="FO804" s="27" t="s">
        <v>8</v>
      </c>
    </row>
    <row r="805" spans="1:171" x14ac:dyDescent="0.25">
      <c r="A805" s="7">
        <v>1.3340206610552614E-2</v>
      </c>
      <c r="B805"/>
      <c r="C805"/>
      <c r="D805"/>
      <c r="E805"/>
      <c r="F805" s="27" t="s">
        <v>7</v>
      </c>
      <c r="CU805" s="27" t="s">
        <v>8</v>
      </c>
      <c r="CV805" s="27" t="s">
        <v>7</v>
      </c>
      <c r="CW805" s="27" t="s">
        <v>8</v>
      </c>
      <c r="CX805" s="27" t="s">
        <v>7</v>
      </c>
      <c r="DE805" s="27" t="s">
        <v>8</v>
      </c>
      <c r="DH805" s="27" t="s">
        <v>7</v>
      </c>
      <c r="DI805" s="27" t="s">
        <v>8</v>
      </c>
      <c r="DJ805" s="27" t="s">
        <v>7</v>
      </c>
      <c r="DK805" s="27" t="s">
        <v>8</v>
      </c>
      <c r="DL805" s="27" t="s">
        <v>7</v>
      </c>
      <c r="DM805" s="27" t="s">
        <v>8</v>
      </c>
      <c r="DN805" s="27" t="s">
        <v>7</v>
      </c>
      <c r="DO805" s="27" t="s">
        <v>8</v>
      </c>
      <c r="FN805" s="27" t="s">
        <v>7</v>
      </c>
      <c r="FO805" s="27" t="s">
        <v>8</v>
      </c>
    </row>
    <row r="806" spans="1:171" x14ac:dyDescent="0.25">
      <c r="A806" s="7">
        <v>1.3078633931914328E-2</v>
      </c>
      <c r="B806"/>
      <c r="C806"/>
      <c r="D806"/>
      <c r="E806"/>
      <c r="F806" s="27" t="s">
        <v>7</v>
      </c>
      <c r="CU806" s="27" t="s">
        <v>8</v>
      </c>
      <c r="CV806" s="27" t="s">
        <v>7</v>
      </c>
      <c r="CW806" s="27" t="s">
        <v>8</v>
      </c>
      <c r="CX806" s="27" t="s">
        <v>7</v>
      </c>
      <c r="DC806" s="27" t="s">
        <v>8</v>
      </c>
      <c r="DE806" s="27" t="s">
        <v>8</v>
      </c>
      <c r="DH806" s="27" t="s">
        <v>7</v>
      </c>
      <c r="DI806" s="27" t="s">
        <v>8</v>
      </c>
      <c r="DJ806" s="27" t="s">
        <v>7</v>
      </c>
      <c r="DK806" s="27" t="s">
        <v>8</v>
      </c>
      <c r="DL806" s="27" t="s">
        <v>7</v>
      </c>
      <c r="DM806" s="27" t="s">
        <v>8</v>
      </c>
      <c r="DN806" s="27" t="s">
        <v>7</v>
      </c>
      <c r="FN806" s="27" t="s">
        <v>7</v>
      </c>
      <c r="FO806" s="27" t="s">
        <v>8</v>
      </c>
    </row>
    <row r="807" spans="1:171" x14ac:dyDescent="0.25">
      <c r="A807" s="7">
        <v>1.2822190129327771E-2</v>
      </c>
      <c r="B807"/>
      <c r="C807"/>
      <c r="D807"/>
      <c r="E807"/>
      <c r="F807" s="27" t="s">
        <v>7</v>
      </c>
      <c r="W807" s="27" t="s">
        <v>8</v>
      </c>
      <c r="Y807" s="27" t="s">
        <v>8</v>
      </c>
      <c r="CU807" s="27" t="s">
        <v>8</v>
      </c>
      <c r="CV807" s="27" t="s">
        <v>7</v>
      </c>
      <c r="CW807" s="27" t="s">
        <v>8</v>
      </c>
      <c r="CX807" s="27" t="s">
        <v>7</v>
      </c>
      <c r="CY807" s="27" t="s">
        <v>8</v>
      </c>
      <c r="DC807" s="27" t="s">
        <v>8</v>
      </c>
      <c r="DD807" s="27" t="s">
        <v>7</v>
      </c>
      <c r="DE807" s="27" t="s">
        <v>8</v>
      </c>
      <c r="DH807" s="27" t="s">
        <v>7</v>
      </c>
      <c r="DI807" s="27" t="s">
        <v>8</v>
      </c>
      <c r="DJ807" s="27" t="s">
        <v>7</v>
      </c>
      <c r="DK807" s="27" t="s">
        <v>8</v>
      </c>
      <c r="DL807" s="27" t="s">
        <v>7</v>
      </c>
      <c r="DM807" s="27" t="s">
        <v>8</v>
      </c>
      <c r="FN807" s="27" t="s">
        <v>7</v>
      </c>
    </row>
    <row r="808" spans="1:171" x14ac:dyDescent="0.25">
      <c r="A808" s="7">
        <v>1.2570774636595854E-2</v>
      </c>
      <c r="B808"/>
      <c r="C808"/>
      <c r="D808"/>
      <c r="E808"/>
      <c r="F808" s="27" t="s">
        <v>7</v>
      </c>
      <c r="W808" s="27" t="s">
        <v>8</v>
      </c>
      <c r="X808" s="27" t="s">
        <v>7</v>
      </c>
      <c r="Y808" s="27" t="s">
        <v>8</v>
      </c>
      <c r="Z808" s="27" t="s">
        <v>7</v>
      </c>
      <c r="CU808" s="27" t="s">
        <v>8</v>
      </c>
      <c r="CV808" s="27" t="s">
        <v>7</v>
      </c>
      <c r="CW808" s="27" t="s">
        <v>8</v>
      </c>
      <c r="CX808" s="27" t="s">
        <v>7</v>
      </c>
      <c r="CY808" s="27" t="s">
        <v>8</v>
      </c>
      <c r="CZ808" s="27" t="s">
        <v>7</v>
      </c>
      <c r="DC808" s="27" t="s">
        <v>8</v>
      </c>
      <c r="DD808" s="27" t="s">
        <v>7</v>
      </c>
      <c r="DE808" s="27" t="s">
        <v>8</v>
      </c>
      <c r="DH808" s="27" t="s">
        <v>7</v>
      </c>
      <c r="DI808" s="27" t="s">
        <v>8</v>
      </c>
      <c r="DJ808" s="27" t="s">
        <v>7</v>
      </c>
      <c r="DL808" s="27" t="s">
        <v>7</v>
      </c>
      <c r="DM808" s="27" t="s">
        <v>8</v>
      </c>
    </row>
    <row r="809" spans="1:171" x14ac:dyDescent="0.25">
      <c r="A809" s="7">
        <v>1.23242888594077E-2</v>
      </c>
      <c r="B809"/>
      <c r="C809"/>
      <c r="D809"/>
      <c r="E809"/>
      <c r="F809" s="27" t="s">
        <v>7</v>
      </c>
      <c r="W809" s="27" t="s">
        <v>8</v>
      </c>
      <c r="X809" s="27" t="s">
        <v>7</v>
      </c>
      <c r="Y809" s="27" t="s">
        <v>8</v>
      </c>
      <c r="Z809" s="27" t="s">
        <v>7</v>
      </c>
      <c r="CU809" s="27" t="s">
        <v>8</v>
      </c>
      <c r="CV809" s="27" t="s">
        <v>7</v>
      </c>
      <c r="CW809" s="27" t="s">
        <v>8</v>
      </c>
      <c r="CX809" s="27" t="s">
        <v>7</v>
      </c>
      <c r="CY809" s="27" t="s">
        <v>8</v>
      </c>
      <c r="CZ809" s="27" t="s">
        <v>7</v>
      </c>
      <c r="DC809" s="27" t="s">
        <v>8</v>
      </c>
      <c r="DD809" s="27" t="s">
        <v>7</v>
      </c>
      <c r="DE809" s="27" t="s">
        <v>8</v>
      </c>
      <c r="DH809" s="27" t="s">
        <v>7</v>
      </c>
      <c r="DI809" s="27" t="s">
        <v>8</v>
      </c>
      <c r="DL809" s="27" t="s">
        <v>7</v>
      </c>
      <c r="DM809" s="27" t="s">
        <v>8</v>
      </c>
    </row>
    <row r="810" spans="1:171" x14ac:dyDescent="0.25">
      <c r="A810" s="7">
        <v>1.2082636136674216E-2</v>
      </c>
      <c r="B810"/>
      <c r="C810"/>
      <c r="D810"/>
      <c r="E810"/>
      <c r="F810" s="27" t="s">
        <v>7</v>
      </c>
      <c r="W810" s="27" t="s">
        <v>8</v>
      </c>
      <c r="X810" s="27" t="s">
        <v>7</v>
      </c>
      <c r="Y810" s="27" t="s">
        <v>8</v>
      </c>
      <c r="Z810" s="27" t="s">
        <v>7</v>
      </c>
      <c r="CU810" s="27" t="s">
        <v>8</v>
      </c>
      <c r="CV810" s="27" t="s">
        <v>7</v>
      </c>
      <c r="CW810" s="27" t="s">
        <v>8</v>
      </c>
      <c r="CX810" s="27" t="s">
        <v>7</v>
      </c>
      <c r="CY810" s="27" t="s">
        <v>8</v>
      </c>
      <c r="CZ810" s="27" t="s">
        <v>7</v>
      </c>
      <c r="DC810" s="27" t="s">
        <v>8</v>
      </c>
      <c r="DD810" s="27" t="s">
        <v>7</v>
      </c>
      <c r="DE810" s="27" t="s">
        <v>8</v>
      </c>
      <c r="DH810" s="27" t="s">
        <v>7</v>
      </c>
      <c r="DI810" s="27" t="s">
        <v>8</v>
      </c>
      <c r="DL810" s="27" t="s">
        <v>7</v>
      </c>
      <c r="DM810" s="27" t="s">
        <v>8</v>
      </c>
    </row>
    <row r="811" spans="1:171" x14ac:dyDescent="0.25">
      <c r="A811" s="7">
        <v>1.184572170262178E-2</v>
      </c>
      <c r="B811"/>
      <c r="C811"/>
      <c r="D811"/>
      <c r="E811"/>
      <c r="F811" s="27" t="s">
        <v>7</v>
      </c>
      <c r="W811" s="27" t="s">
        <v>8</v>
      </c>
      <c r="X811" s="27" t="s">
        <v>7</v>
      </c>
      <c r="Y811" s="27" t="s">
        <v>8</v>
      </c>
      <c r="Z811" s="27" t="s">
        <v>7</v>
      </c>
      <c r="CU811" s="27" t="s">
        <v>8</v>
      </c>
      <c r="CV811" s="27" t="s">
        <v>7</v>
      </c>
      <c r="CW811" s="27" t="s">
        <v>8</v>
      </c>
      <c r="CX811" s="27" t="s">
        <v>7</v>
      </c>
      <c r="CY811" s="27" t="s">
        <v>8</v>
      </c>
      <c r="CZ811" s="27" t="s">
        <v>7</v>
      </c>
      <c r="DC811" s="27" t="s">
        <v>8</v>
      </c>
      <c r="DD811" s="27" t="s">
        <v>7</v>
      </c>
      <c r="DE811" s="27" t="s">
        <v>8</v>
      </c>
      <c r="DH811" s="27" t="s">
        <v>7</v>
      </c>
      <c r="DI811" s="27" t="s">
        <v>8</v>
      </c>
      <c r="DL811" s="27" t="s">
        <v>7</v>
      </c>
    </row>
    <row r="812" spans="1:171" x14ac:dyDescent="0.25">
      <c r="A812" s="7">
        <v>1.1613452649629196E-2</v>
      </c>
      <c r="B812"/>
      <c r="C812"/>
      <c r="D812"/>
      <c r="E812"/>
      <c r="F812" s="27" t="s">
        <v>7</v>
      </c>
      <c r="W812" s="27" t="s">
        <v>8</v>
      </c>
      <c r="X812" s="27" t="s">
        <v>7</v>
      </c>
      <c r="Y812" s="27" t="s">
        <v>8</v>
      </c>
      <c r="Z812" s="27" t="s">
        <v>7</v>
      </c>
      <c r="CU812" s="27" t="s">
        <v>8</v>
      </c>
      <c r="CV812" s="27" t="s">
        <v>7</v>
      </c>
      <c r="CW812" s="27" t="s">
        <v>8</v>
      </c>
      <c r="CX812" s="27" t="s">
        <v>7</v>
      </c>
      <c r="CY812" s="27" t="s">
        <v>8</v>
      </c>
      <c r="CZ812" s="27" t="s">
        <v>7</v>
      </c>
      <c r="DC812" s="27" t="s">
        <v>8</v>
      </c>
      <c r="DD812" s="27" t="s">
        <v>7</v>
      </c>
      <c r="DH812" s="27" t="s">
        <v>7</v>
      </c>
      <c r="DI812" s="27" t="s">
        <v>8</v>
      </c>
    </row>
    <row r="813" spans="1:171" x14ac:dyDescent="0.25">
      <c r="A813" s="7">
        <v>1.138573789179333E-2</v>
      </c>
      <c r="B813"/>
      <c r="C813"/>
      <c r="D813"/>
      <c r="E813"/>
      <c r="F813" s="27" t="s">
        <v>7</v>
      </c>
      <c r="S813" s="27" t="s">
        <v>8</v>
      </c>
      <c r="W813" s="27" t="s">
        <v>8</v>
      </c>
      <c r="X813" s="27" t="s">
        <v>7</v>
      </c>
      <c r="Y813" s="27" t="s">
        <v>8</v>
      </c>
      <c r="Z813" s="27" t="s">
        <v>7</v>
      </c>
      <c r="CU813" s="27" t="s">
        <v>8</v>
      </c>
      <c r="CV813" s="27" t="s">
        <v>7</v>
      </c>
      <c r="CW813" s="27" t="s">
        <v>8</v>
      </c>
      <c r="CX813" s="27" t="s">
        <v>7</v>
      </c>
      <c r="CY813" s="27" t="s">
        <v>8</v>
      </c>
      <c r="CZ813" s="27" t="s">
        <v>7</v>
      </c>
      <c r="DC813" s="27" t="s">
        <v>8</v>
      </c>
      <c r="DH813" s="27" t="s">
        <v>7</v>
      </c>
      <c r="DI813" s="27" t="s">
        <v>8</v>
      </c>
    </row>
    <row r="814" spans="1:171" x14ac:dyDescent="0.25">
      <c r="A814" s="7">
        <v>1.1162488129209149E-2</v>
      </c>
      <c r="B814"/>
      <c r="C814"/>
      <c r="D814"/>
      <c r="E814"/>
      <c r="F814" s="27" t="s">
        <v>7</v>
      </c>
      <c r="S814" s="27" t="s">
        <v>8</v>
      </c>
      <c r="T814" s="27" t="s">
        <v>7</v>
      </c>
      <c r="U814" s="27" t="s">
        <v>8</v>
      </c>
      <c r="W814" s="27" t="s">
        <v>8</v>
      </c>
      <c r="X814" s="27" t="s">
        <v>7</v>
      </c>
      <c r="Z814" s="27" t="s">
        <v>7</v>
      </c>
      <c r="CU814" s="27" t="s">
        <v>8</v>
      </c>
      <c r="CV814" s="27" t="s">
        <v>7</v>
      </c>
      <c r="CW814" s="27" t="s">
        <v>8</v>
      </c>
      <c r="CX814" s="27" t="s">
        <v>7</v>
      </c>
      <c r="CY814" s="27" t="s">
        <v>8</v>
      </c>
      <c r="CZ814" s="27" t="s">
        <v>7</v>
      </c>
      <c r="DA814" s="27" t="s">
        <v>8</v>
      </c>
      <c r="DC814" s="27" t="s">
        <v>8</v>
      </c>
      <c r="DH814" s="27" t="s">
        <v>7</v>
      </c>
    </row>
    <row r="815" spans="1:171" x14ac:dyDescent="0.25">
      <c r="A815" s="7">
        <v>1.0943615812950145E-2</v>
      </c>
      <c r="B815"/>
      <c r="C815"/>
      <c r="D815"/>
      <c r="E815"/>
      <c r="F815" s="27" t="s">
        <v>7</v>
      </c>
      <c r="G815" s="27" t="s">
        <v>8</v>
      </c>
      <c r="S815" s="27" t="s">
        <v>8</v>
      </c>
      <c r="T815" s="27" t="s">
        <v>7</v>
      </c>
      <c r="U815" s="27" t="s">
        <v>8</v>
      </c>
      <c r="V815" s="27" t="s">
        <v>7</v>
      </c>
      <c r="W815" s="27" t="s">
        <v>8</v>
      </c>
      <c r="Z815" s="27" t="s">
        <v>7</v>
      </c>
      <c r="CU815" s="27" t="s">
        <v>8</v>
      </c>
      <c r="CV815" s="27" t="s">
        <v>7</v>
      </c>
      <c r="CW815" s="27" t="s">
        <v>8</v>
      </c>
      <c r="CX815" s="27" t="s">
        <v>7</v>
      </c>
      <c r="CY815" s="27" t="s">
        <v>8</v>
      </c>
      <c r="CZ815" s="27" t="s">
        <v>7</v>
      </c>
      <c r="DA815" s="27" t="s">
        <v>8</v>
      </c>
      <c r="DB815" s="27" t="s">
        <v>7</v>
      </c>
      <c r="DC815" s="27" t="s">
        <v>8</v>
      </c>
    </row>
    <row r="816" spans="1:171" x14ac:dyDescent="0.25">
      <c r="A816" s="7">
        <v>1.0729035110735436E-2</v>
      </c>
      <c r="B816"/>
      <c r="C816"/>
      <c r="D816"/>
      <c r="E816"/>
      <c r="F816" s="27" t="s">
        <v>7</v>
      </c>
      <c r="G816" s="27" t="s">
        <v>8</v>
      </c>
      <c r="H816" s="27" t="s">
        <v>7</v>
      </c>
      <c r="S816" s="27" t="s">
        <v>8</v>
      </c>
      <c r="T816" s="27" t="s">
        <v>7</v>
      </c>
      <c r="U816" s="27" t="s">
        <v>8</v>
      </c>
      <c r="V816" s="27" t="s">
        <v>7</v>
      </c>
      <c r="W816" s="27" t="s">
        <v>8</v>
      </c>
      <c r="Z816" s="27" t="s">
        <v>7</v>
      </c>
      <c r="AA816" s="27" t="s">
        <v>8</v>
      </c>
      <c r="CU816" s="27" t="s">
        <v>8</v>
      </c>
      <c r="CV816" s="27" t="s">
        <v>7</v>
      </c>
      <c r="CW816" s="27" t="s">
        <v>8</v>
      </c>
      <c r="CX816" s="27" t="s">
        <v>7</v>
      </c>
      <c r="CY816" s="27" t="s">
        <v>8</v>
      </c>
      <c r="CZ816" s="27" t="s">
        <v>7</v>
      </c>
      <c r="DA816" s="27" t="s">
        <v>8</v>
      </c>
      <c r="DB816" s="27" t="s">
        <v>7</v>
      </c>
      <c r="DC816" s="27" t="s">
        <v>8</v>
      </c>
    </row>
    <row r="817" spans="1:107" x14ac:dyDescent="0.25">
      <c r="A817" s="7">
        <v>1.0518661873270036E-2</v>
      </c>
      <c r="B817"/>
      <c r="C817"/>
      <c r="D817"/>
      <c r="E817"/>
      <c r="F817" s="27" t="s">
        <v>7</v>
      </c>
      <c r="G817" s="27" t="s">
        <v>8</v>
      </c>
      <c r="H817" s="27" t="s">
        <v>7</v>
      </c>
      <c r="S817" s="27" t="s">
        <v>8</v>
      </c>
      <c r="T817" s="27" t="s">
        <v>7</v>
      </c>
      <c r="U817" s="27" t="s">
        <v>8</v>
      </c>
      <c r="V817" s="27" t="s">
        <v>7</v>
      </c>
      <c r="W817" s="27" t="s">
        <v>8</v>
      </c>
      <c r="Z817" s="27" t="s">
        <v>7</v>
      </c>
      <c r="AA817" s="27" t="s">
        <v>8</v>
      </c>
      <c r="AB817" s="27" t="s">
        <v>7</v>
      </c>
      <c r="CU817" s="27" t="s">
        <v>8</v>
      </c>
      <c r="CV817" s="27" t="s">
        <v>7</v>
      </c>
      <c r="CW817" s="27" t="s">
        <v>8</v>
      </c>
      <c r="CX817" s="27" t="s">
        <v>7</v>
      </c>
      <c r="CY817" s="27" t="s">
        <v>8</v>
      </c>
      <c r="CZ817" s="27" t="s">
        <v>7</v>
      </c>
      <c r="DB817" s="27" t="s">
        <v>7</v>
      </c>
      <c r="DC817" s="27" t="s">
        <v>8</v>
      </c>
    </row>
    <row r="818" spans="1:107" x14ac:dyDescent="0.25">
      <c r="A818" s="7">
        <v>1.0312413601245135E-2</v>
      </c>
      <c r="B818"/>
      <c r="C818"/>
      <c r="D818"/>
      <c r="E818"/>
      <c r="F818" s="27" t="s">
        <v>7</v>
      </c>
      <c r="G818" s="27" t="s">
        <v>8</v>
      </c>
      <c r="H818" s="27" t="s">
        <v>7</v>
      </c>
      <c r="S818" s="27" t="s">
        <v>8</v>
      </c>
      <c r="T818" s="27" t="s">
        <v>7</v>
      </c>
      <c r="V818" s="27" t="s">
        <v>7</v>
      </c>
      <c r="W818" s="27" t="s">
        <v>8</v>
      </c>
      <c r="Z818" s="27" t="s">
        <v>7</v>
      </c>
      <c r="AA818" s="27" t="s">
        <v>8</v>
      </c>
      <c r="AB818" s="27" t="s">
        <v>7</v>
      </c>
      <c r="CU818" s="27" t="s">
        <v>8</v>
      </c>
      <c r="CV818" s="27" t="s">
        <v>7</v>
      </c>
      <c r="CX818" s="27" t="s">
        <v>7</v>
      </c>
      <c r="CY818" s="27" t="s">
        <v>8</v>
      </c>
      <c r="DB818" s="27" t="s">
        <v>7</v>
      </c>
      <c r="DC818" s="27" t="s">
        <v>8</v>
      </c>
    </row>
    <row r="819" spans="1:107" x14ac:dyDescent="0.25">
      <c r="A819" s="7">
        <v>1.0110209412985426E-2</v>
      </c>
      <c r="B819"/>
      <c r="C819"/>
      <c r="D819"/>
      <c r="E819"/>
      <c r="F819" s="27" t="s">
        <v>7</v>
      </c>
      <c r="H819" s="27" t="s">
        <v>7</v>
      </c>
      <c r="I819" s="27" t="s">
        <v>8</v>
      </c>
      <c r="K819" s="27" t="s">
        <v>8</v>
      </c>
      <c r="Q819" s="27" t="s">
        <v>8</v>
      </c>
      <c r="S819" s="27" t="s">
        <v>8</v>
      </c>
      <c r="V819" s="27" t="s">
        <v>7</v>
      </c>
      <c r="Z819" s="27" t="s">
        <v>7</v>
      </c>
      <c r="AA819" s="27" t="s">
        <v>8</v>
      </c>
      <c r="AB819" s="27" t="s">
        <v>7</v>
      </c>
      <c r="CU819" s="27" t="s">
        <v>8</v>
      </c>
      <c r="CX819" s="27" t="s">
        <v>7</v>
      </c>
      <c r="CY819" s="27" t="s">
        <v>8</v>
      </c>
      <c r="DB819" s="27" t="s">
        <v>7</v>
      </c>
      <c r="DC819" s="27" t="s">
        <v>8</v>
      </c>
    </row>
    <row r="820" spans="1:107" x14ac:dyDescent="0.25">
      <c r="A820" s="7">
        <v>9.9119700127308103E-3</v>
      </c>
      <c r="B820"/>
      <c r="C820"/>
      <c r="D820"/>
      <c r="E820"/>
      <c r="H820" s="27" t="s">
        <v>7</v>
      </c>
      <c r="I820" s="27" t="s">
        <v>8</v>
      </c>
      <c r="J820" s="27" t="s">
        <v>7</v>
      </c>
      <c r="K820" s="27" t="s">
        <v>8</v>
      </c>
      <c r="L820" s="27" t="s">
        <v>7</v>
      </c>
      <c r="Q820" s="27" t="s">
        <v>8</v>
      </c>
      <c r="R820" s="27" t="s">
        <v>7</v>
      </c>
      <c r="S820" s="27" t="s">
        <v>8</v>
      </c>
      <c r="Z820" s="27" t="s">
        <v>7</v>
      </c>
      <c r="AB820" s="27" t="s">
        <v>7</v>
      </c>
      <c r="CU820" s="27" t="s">
        <v>8</v>
      </c>
      <c r="CX820" s="27" t="s">
        <v>7</v>
      </c>
      <c r="DB820" s="27" t="s">
        <v>7</v>
      </c>
      <c r="DC820" s="27" t="s">
        <v>8</v>
      </c>
    </row>
    <row r="821" spans="1:107" x14ac:dyDescent="0.25">
      <c r="A821" s="7">
        <v>9.717617659540009E-3</v>
      </c>
      <c r="B821"/>
      <c r="C821"/>
      <c r="D821"/>
      <c r="E821"/>
      <c r="H821" s="27" t="s">
        <v>7</v>
      </c>
      <c r="I821" s="27" t="s">
        <v>8</v>
      </c>
      <c r="J821" s="27" t="s">
        <v>7</v>
      </c>
      <c r="K821" s="27" t="s">
        <v>8</v>
      </c>
      <c r="L821" s="27" t="s">
        <v>7</v>
      </c>
      <c r="M821" s="27" t="s">
        <v>8</v>
      </c>
      <c r="O821" s="27" t="s">
        <v>8</v>
      </c>
      <c r="Q821" s="27" t="s">
        <v>8</v>
      </c>
      <c r="R821" s="27" t="s">
        <v>7</v>
      </c>
      <c r="S821" s="27" t="s">
        <v>8</v>
      </c>
      <c r="AB821" s="27" t="s">
        <v>7</v>
      </c>
      <c r="AC821" s="27" t="s">
        <v>8</v>
      </c>
      <c r="CU821" s="27" t="s">
        <v>8</v>
      </c>
      <c r="DB821" s="27" t="s">
        <v>7</v>
      </c>
      <c r="DC821" s="27" t="s">
        <v>8</v>
      </c>
    </row>
    <row r="822" spans="1:107" x14ac:dyDescent="0.25">
      <c r="A822" s="7">
        <v>9.5270761368039299E-3</v>
      </c>
      <c r="B822"/>
      <c r="C822"/>
      <c r="D822"/>
      <c r="E822"/>
      <c r="H822" s="27" t="s">
        <v>7</v>
      </c>
      <c r="I822" s="27" t="s">
        <v>8</v>
      </c>
      <c r="J822" s="27" t="s">
        <v>7</v>
      </c>
      <c r="K822" s="27" t="s">
        <v>8</v>
      </c>
      <c r="L822" s="27" t="s">
        <v>7</v>
      </c>
      <c r="M822" s="27" t="s">
        <v>8</v>
      </c>
      <c r="N822" s="27" t="s">
        <v>7</v>
      </c>
      <c r="O822" s="27" t="s">
        <v>8</v>
      </c>
      <c r="P822" s="27" t="s">
        <v>7</v>
      </c>
      <c r="Q822" s="27" t="s">
        <v>8</v>
      </c>
      <c r="R822" s="27" t="s">
        <v>7</v>
      </c>
      <c r="AB822" s="27" t="s">
        <v>7</v>
      </c>
      <c r="AC822" s="27" t="s">
        <v>8</v>
      </c>
      <c r="AD822" s="27" t="s">
        <v>7</v>
      </c>
      <c r="CU822" s="27" t="s">
        <v>8</v>
      </c>
      <c r="DB822" s="27" t="s">
        <v>7</v>
      </c>
    </row>
    <row r="823" spans="1:107" x14ac:dyDescent="0.25">
      <c r="A823" s="7">
        <v>9.3402707223567936E-3</v>
      </c>
      <c r="B823"/>
      <c r="C823"/>
      <c r="D823"/>
      <c r="E823"/>
      <c r="H823" s="27" t="s">
        <v>7</v>
      </c>
      <c r="I823" s="27" t="s">
        <v>8</v>
      </c>
      <c r="J823" s="27" t="s">
        <v>7</v>
      </c>
      <c r="L823" s="27" t="s">
        <v>7</v>
      </c>
      <c r="M823" s="27" t="s">
        <v>8</v>
      </c>
      <c r="N823" s="27" t="s">
        <v>7</v>
      </c>
      <c r="O823" s="27" t="s">
        <v>8</v>
      </c>
      <c r="P823" s="27" t="s">
        <v>7</v>
      </c>
      <c r="Q823" s="27" t="s">
        <v>8</v>
      </c>
      <c r="AB823" s="27" t="s">
        <v>7</v>
      </c>
      <c r="AC823" s="27" t="s">
        <v>8</v>
      </c>
      <c r="AD823" s="27" t="s">
        <v>7</v>
      </c>
      <c r="CU823" s="27" t="s">
        <v>8</v>
      </c>
    </row>
    <row r="824" spans="1:107" x14ac:dyDescent="0.25">
      <c r="A824" s="7">
        <v>9.1571281591733261E-3</v>
      </c>
      <c r="B824"/>
      <c r="C824"/>
      <c r="D824"/>
      <c r="E824"/>
      <c r="H824" s="27" t="s">
        <v>7</v>
      </c>
      <c r="L824" s="27" t="s">
        <v>7</v>
      </c>
      <c r="N824" s="27" t="s">
        <v>7</v>
      </c>
      <c r="O824" s="27" t="s">
        <v>8</v>
      </c>
      <c r="P824" s="27" t="s">
        <v>7</v>
      </c>
      <c r="Q824" s="27" t="s">
        <v>8</v>
      </c>
      <c r="AB824" s="27" t="s">
        <v>7</v>
      </c>
      <c r="AC824" s="27" t="s">
        <v>8</v>
      </c>
      <c r="AD824" s="27" t="s">
        <v>7</v>
      </c>
      <c r="CU824" s="27" t="s">
        <v>8</v>
      </c>
    </row>
    <row r="825" spans="1:107" x14ac:dyDescent="0.25">
      <c r="A825" s="7">
        <v>8.9775766266405148E-3</v>
      </c>
      <c r="B825"/>
      <c r="C825"/>
      <c r="D825"/>
      <c r="E825"/>
      <c r="N825" s="27" t="s">
        <v>7</v>
      </c>
      <c r="O825" s="27" t="s">
        <v>8</v>
      </c>
      <c r="P825" s="27" t="s">
        <v>7</v>
      </c>
      <c r="AB825" s="27" t="s">
        <v>7</v>
      </c>
      <c r="AD825" s="27" t="s">
        <v>7</v>
      </c>
      <c r="CU825" s="27" t="s">
        <v>8</v>
      </c>
    </row>
    <row r="826" spans="1:107" x14ac:dyDescent="0.25">
      <c r="A826" s="7">
        <v>8.8015457123926614E-3</v>
      </c>
      <c r="B826"/>
      <c r="C826"/>
      <c r="D826"/>
      <c r="E826"/>
      <c r="N826" s="27" t="s">
        <v>7</v>
      </c>
      <c r="O826" s="27" t="s">
        <v>8</v>
      </c>
      <c r="AD826" s="27" t="s">
        <v>7</v>
      </c>
      <c r="CU826" s="27" t="s">
        <v>8</v>
      </c>
    </row>
    <row r="827" spans="1:107" x14ac:dyDescent="0.25">
      <c r="A827" s="7">
        <v>8.6289663846986879E-3</v>
      </c>
      <c r="B827"/>
      <c r="C827"/>
      <c r="D827"/>
      <c r="E827"/>
      <c r="N827" s="27" t="s">
        <v>7</v>
      </c>
      <c r="AD827" s="27" t="s">
        <v>7</v>
      </c>
      <c r="CU827" s="27" t="s">
        <v>8</v>
      </c>
    </row>
    <row r="828" spans="1:107" x14ac:dyDescent="0.25">
      <c r="A828" s="7">
        <v>8.4597709653908715E-3</v>
      </c>
      <c r="B828"/>
      <c r="C828"/>
      <c r="D828"/>
      <c r="E828"/>
      <c r="AD828" s="27" t="s">
        <v>7</v>
      </c>
      <c r="AK828" s="27" t="s">
        <v>8</v>
      </c>
      <c r="CU828" s="27" t="s">
        <v>8</v>
      </c>
    </row>
    <row r="829" spans="1:107" x14ac:dyDescent="0.25">
      <c r="A829" s="7">
        <v>8.2938931033243839E-3</v>
      </c>
      <c r="B829"/>
      <c r="C829"/>
      <c r="D829"/>
      <c r="E829"/>
      <c r="AD829" s="27" t="s">
        <v>7</v>
      </c>
      <c r="AI829" s="27" t="s">
        <v>8</v>
      </c>
      <c r="AK829" s="27" t="s">
        <v>8</v>
      </c>
      <c r="AL829" s="27" t="s">
        <v>7</v>
      </c>
      <c r="CU829" s="27" t="s">
        <v>8</v>
      </c>
    </row>
    <row r="830" spans="1:107" x14ac:dyDescent="0.25">
      <c r="A830" s="7">
        <v>8.1312677483572383E-3</v>
      </c>
      <c r="B830"/>
      <c r="C830"/>
      <c r="D830"/>
      <c r="E830"/>
      <c r="AD830" s="27" t="s">
        <v>7</v>
      </c>
      <c r="AI830" s="27" t="s">
        <v>8</v>
      </c>
      <c r="AJ830" s="27" t="s">
        <v>7</v>
      </c>
      <c r="AK830" s="27" t="s">
        <v>8</v>
      </c>
      <c r="AL830" s="27" t="s">
        <v>7</v>
      </c>
      <c r="CU830" s="27" t="s">
        <v>8</v>
      </c>
    </row>
    <row r="831" spans="1:107" x14ac:dyDescent="0.25">
      <c r="A831" s="7">
        <v>7.9718311258404305E-3</v>
      </c>
      <c r="B831"/>
      <c r="C831"/>
      <c r="D831"/>
      <c r="E831"/>
      <c r="AD831" s="27" t="s">
        <v>7</v>
      </c>
      <c r="AI831" s="27" t="s">
        <v>8</v>
      </c>
      <c r="AJ831" s="27" t="s">
        <v>7</v>
      </c>
      <c r="AK831" s="27" t="s">
        <v>8</v>
      </c>
      <c r="AL831" s="27" t="s">
        <v>7</v>
      </c>
      <c r="CU831" s="27" t="s">
        <v>8</v>
      </c>
    </row>
    <row r="832" spans="1:107" x14ac:dyDescent="0.25">
      <c r="A832" s="7">
        <v>7.8155207116082648E-3</v>
      </c>
      <c r="B832"/>
      <c r="C832"/>
      <c r="D832"/>
      <c r="E832"/>
      <c r="AD832" s="27" t="s">
        <v>7</v>
      </c>
      <c r="AI832" s="27" t="s">
        <v>8</v>
      </c>
      <c r="AJ832" s="27" t="s">
        <v>7</v>
      </c>
      <c r="AK832" s="27" t="s">
        <v>8</v>
      </c>
      <c r="AL832" s="27" t="s">
        <v>7</v>
      </c>
      <c r="CM832" s="27" t="s">
        <v>8</v>
      </c>
      <c r="CU832" s="27" t="s">
        <v>8</v>
      </c>
    </row>
    <row r="833" spans="1:99" x14ac:dyDescent="0.25">
      <c r="A833" s="7">
        <v>7.6622752074590825E-3</v>
      </c>
      <c r="B833"/>
      <c r="C833"/>
      <c r="D833"/>
      <c r="E833"/>
      <c r="AD833" s="27" t="s">
        <v>7</v>
      </c>
      <c r="AI833" s="27" t="s">
        <v>8</v>
      </c>
      <c r="AJ833" s="27" t="s">
        <v>7</v>
      </c>
      <c r="AK833" s="27" t="s">
        <v>8</v>
      </c>
      <c r="AL833" s="27" t="s">
        <v>7</v>
      </c>
      <c r="CM833" s="27" t="s">
        <v>8</v>
      </c>
      <c r="CN833" s="27" t="s">
        <v>7</v>
      </c>
      <c r="CO833" s="27" t="s">
        <v>8</v>
      </c>
      <c r="CU833" s="27" t="s">
        <v>8</v>
      </c>
    </row>
    <row r="834" spans="1:99" x14ac:dyDescent="0.25">
      <c r="A834" s="7">
        <v>7.5120345171167469E-3</v>
      </c>
      <c r="B834"/>
      <c r="C834"/>
      <c r="D834"/>
      <c r="E834"/>
      <c r="AD834" s="27" t="s">
        <v>7</v>
      </c>
      <c r="AE834" s="27" t="s">
        <v>8</v>
      </c>
      <c r="AI834" s="27" t="s">
        <v>8</v>
      </c>
      <c r="AJ834" s="27" t="s">
        <v>7</v>
      </c>
      <c r="AK834" s="27" t="s">
        <v>8</v>
      </c>
      <c r="AL834" s="27" t="s">
        <v>7</v>
      </c>
      <c r="CM834" s="27" t="s">
        <v>8</v>
      </c>
      <c r="CN834" s="27" t="s">
        <v>7</v>
      </c>
      <c r="CO834" s="27" t="s">
        <v>8</v>
      </c>
      <c r="CP834" s="27" t="s">
        <v>7</v>
      </c>
      <c r="CU834" s="27" t="s">
        <v>8</v>
      </c>
    </row>
    <row r="835" spans="1:99" x14ac:dyDescent="0.25">
      <c r="A835" s="7">
        <v>7.3647397226634772E-3</v>
      </c>
      <c r="B835"/>
      <c r="C835"/>
      <c r="D835"/>
      <c r="E835"/>
      <c r="AD835" s="27" t="s">
        <v>7</v>
      </c>
      <c r="AE835" s="27" t="s">
        <v>8</v>
      </c>
      <c r="AF835" s="27" t="s">
        <v>7</v>
      </c>
      <c r="AG835" s="27" t="s">
        <v>8</v>
      </c>
      <c r="AI835" s="27" t="s">
        <v>8</v>
      </c>
      <c r="AJ835" s="27" t="s">
        <v>7</v>
      </c>
      <c r="AK835" s="27" t="s">
        <v>8</v>
      </c>
      <c r="AL835" s="27" t="s">
        <v>7</v>
      </c>
      <c r="CM835" s="27" t="s">
        <v>8</v>
      </c>
      <c r="CN835" s="27" t="s">
        <v>7</v>
      </c>
      <c r="CO835" s="27" t="s">
        <v>8</v>
      </c>
      <c r="CP835" s="27" t="s">
        <v>7</v>
      </c>
      <c r="CU835" s="27" t="s">
        <v>8</v>
      </c>
    </row>
    <row r="836" spans="1:99" x14ac:dyDescent="0.25">
      <c r="A836" s="7">
        <v>7.2203330614347815E-3</v>
      </c>
      <c r="B836"/>
      <c r="C836"/>
      <c r="D836"/>
      <c r="E836"/>
      <c r="AD836" s="27" t="s">
        <v>7</v>
      </c>
      <c r="AE836" s="27" t="s">
        <v>8</v>
      </c>
      <c r="AF836" s="27" t="s">
        <v>7</v>
      </c>
      <c r="AG836" s="27" t="s">
        <v>8</v>
      </c>
      <c r="AH836" s="27" t="s">
        <v>7</v>
      </c>
      <c r="AI836" s="27" t="s">
        <v>8</v>
      </c>
      <c r="AJ836" s="27" t="s">
        <v>7</v>
      </c>
      <c r="AL836" s="27" t="s">
        <v>7</v>
      </c>
      <c r="CK836" s="27" t="s">
        <v>8</v>
      </c>
      <c r="CM836" s="27" t="s">
        <v>8</v>
      </c>
      <c r="CN836" s="27" t="s">
        <v>7</v>
      </c>
      <c r="CP836" s="27" t="s">
        <v>7</v>
      </c>
      <c r="CU836" s="27" t="s">
        <v>8</v>
      </c>
    </row>
    <row r="837" spans="1:99" x14ac:dyDescent="0.25">
      <c r="A837" s="7">
        <v>7.0787579033674327E-3</v>
      </c>
      <c r="B837"/>
      <c r="C837"/>
      <c r="D837"/>
      <c r="E837"/>
      <c r="AD837" s="27" t="s">
        <v>7</v>
      </c>
      <c r="AE837" s="27" t="s">
        <v>8</v>
      </c>
      <c r="AF837" s="27" t="s">
        <v>7</v>
      </c>
      <c r="AG837" s="27" t="s">
        <v>8</v>
      </c>
      <c r="AH837" s="27" t="s">
        <v>7</v>
      </c>
      <c r="AI837" s="27" t="s">
        <v>8</v>
      </c>
      <c r="AL837" s="27" t="s">
        <v>7</v>
      </c>
      <c r="CK837" s="27" t="s">
        <v>8</v>
      </c>
      <c r="CL837" s="27" t="s">
        <v>7</v>
      </c>
      <c r="CM837" s="27" t="s">
        <v>8</v>
      </c>
      <c r="CP837" s="27" t="s">
        <v>7</v>
      </c>
      <c r="CU837" s="27" t="s">
        <v>8</v>
      </c>
    </row>
    <row r="838" spans="1:99" x14ac:dyDescent="0.25">
      <c r="A838" s="7">
        <v>6.9399587287916013E-3</v>
      </c>
      <c r="B838"/>
      <c r="C838"/>
      <c r="D838"/>
      <c r="E838"/>
      <c r="AD838" s="27" t="s">
        <v>7</v>
      </c>
      <c r="AE838" s="27" t="s">
        <v>8</v>
      </c>
      <c r="AF838" s="27" t="s">
        <v>7</v>
      </c>
      <c r="AG838" s="27" t="s">
        <v>8</v>
      </c>
      <c r="AH838" s="27" t="s">
        <v>7</v>
      </c>
      <c r="AI838" s="27" t="s">
        <v>8</v>
      </c>
      <c r="AL838" s="27" t="s">
        <v>7</v>
      </c>
      <c r="CK838" s="27" t="s">
        <v>8</v>
      </c>
      <c r="CL838" s="27" t="s">
        <v>7</v>
      </c>
      <c r="CM838" s="27" t="s">
        <v>8</v>
      </c>
      <c r="CP838" s="27" t="s">
        <v>7</v>
      </c>
      <c r="CU838" s="27" t="s">
        <v>8</v>
      </c>
    </row>
    <row r="839" spans="1:99" x14ac:dyDescent="0.25">
      <c r="A839" s="7">
        <v>6.8038811066584333E-3</v>
      </c>
      <c r="B839"/>
      <c r="C839"/>
      <c r="D839"/>
      <c r="E839"/>
      <c r="AD839" s="27" t="s">
        <v>7</v>
      </c>
      <c r="AE839" s="27" t="s">
        <v>8</v>
      </c>
      <c r="AF839" s="27" t="s">
        <v>7</v>
      </c>
      <c r="AG839" s="27" t="s">
        <v>8</v>
      </c>
      <c r="AH839" s="27" t="s">
        <v>7</v>
      </c>
      <c r="AI839" s="27" t="s">
        <v>8</v>
      </c>
      <c r="AL839" s="27" t="s">
        <v>7</v>
      </c>
      <c r="AM839" s="27" t="s">
        <v>8</v>
      </c>
      <c r="CI839" s="27" t="s">
        <v>8</v>
      </c>
      <c r="CK839" s="27" t="s">
        <v>8</v>
      </c>
      <c r="CL839" s="27" t="s">
        <v>7</v>
      </c>
      <c r="CM839" s="27" t="s">
        <v>8</v>
      </c>
      <c r="CP839" s="27" t="s">
        <v>7</v>
      </c>
      <c r="CQ839" s="27" t="s">
        <v>8</v>
      </c>
      <c r="CU839" s="27" t="s">
        <v>8</v>
      </c>
    </row>
    <row r="840" spans="1:99" x14ac:dyDescent="0.25">
      <c r="A840" s="7">
        <v>6.6704716731945425E-3</v>
      </c>
      <c r="B840"/>
      <c r="C840"/>
      <c r="D840"/>
      <c r="E840"/>
      <c r="AD840" s="27" t="s">
        <v>7</v>
      </c>
      <c r="AF840" s="27" t="s">
        <v>7</v>
      </c>
      <c r="AG840" s="27" t="s">
        <v>8</v>
      </c>
      <c r="AH840" s="27" t="s">
        <v>7</v>
      </c>
      <c r="AL840" s="27" t="s">
        <v>7</v>
      </c>
      <c r="AM840" s="27" t="s">
        <v>8</v>
      </c>
      <c r="AN840" s="27" t="s">
        <v>7</v>
      </c>
      <c r="CG840" s="27" t="s">
        <v>8</v>
      </c>
      <c r="CI840" s="27" t="s">
        <v>8</v>
      </c>
      <c r="CJ840" s="27" t="s">
        <v>7</v>
      </c>
      <c r="CK840" s="27" t="s">
        <v>8</v>
      </c>
      <c r="CL840" s="27" t="s">
        <v>7</v>
      </c>
      <c r="CM840" s="27" t="s">
        <v>8</v>
      </c>
      <c r="CP840" s="27" t="s">
        <v>7</v>
      </c>
      <c r="CQ840" s="27" t="s">
        <v>8</v>
      </c>
      <c r="CR840" s="27" t="s">
        <v>7</v>
      </c>
      <c r="CU840" s="27" t="s">
        <v>8</v>
      </c>
    </row>
    <row r="841" spans="1:99" x14ac:dyDescent="0.25">
      <c r="A841" s="7">
        <v>6.5396781109750427E-3</v>
      </c>
      <c r="B841"/>
      <c r="C841"/>
      <c r="D841"/>
      <c r="E841"/>
      <c r="AF841" s="27" t="s">
        <v>7</v>
      </c>
      <c r="AG841" s="27" t="s">
        <v>8</v>
      </c>
      <c r="AL841" s="27" t="s">
        <v>7</v>
      </c>
      <c r="AM841" s="27" t="s">
        <v>8</v>
      </c>
      <c r="AN841" s="27" t="s">
        <v>7</v>
      </c>
      <c r="CE841" s="27" t="s">
        <v>8</v>
      </c>
      <c r="CG841" s="27" t="s">
        <v>8</v>
      </c>
      <c r="CH841" s="27" t="s">
        <v>7</v>
      </c>
      <c r="CI841" s="27" t="s">
        <v>8</v>
      </c>
      <c r="CJ841" s="27" t="s">
        <v>7</v>
      </c>
      <c r="CK841" s="27" t="s">
        <v>8</v>
      </c>
      <c r="CL841" s="27" t="s">
        <v>7</v>
      </c>
      <c r="CM841" s="27" t="s">
        <v>8</v>
      </c>
      <c r="CP841" s="27" t="s">
        <v>7</v>
      </c>
      <c r="CQ841" s="27" t="s">
        <v>8</v>
      </c>
      <c r="CR841" s="27" t="s">
        <v>7</v>
      </c>
      <c r="CU841" s="27" t="s">
        <v>8</v>
      </c>
    </row>
    <row r="842" spans="1:99" x14ac:dyDescent="0.25">
      <c r="A842" s="7">
        <v>6.4114491284069045E-3</v>
      </c>
      <c r="B842"/>
      <c r="C842"/>
      <c r="D842"/>
      <c r="E842"/>
      <c r="AF842" s="27" t="s">
        <v>7</v>
      </c>
      <c r="AG842" s="27" t="s">
        <v>8</v>
      </c>
      <c r="AL842" s="27" t="s">
        <v>7</v>
      </c>
      <c r="AM842" s="27" t="s">
        <v>8</v>
      </c>
      <c r="AN842" s="27" t="s">
        <v>7</v>
      </c>
      <c r="CE842" s="27" t="s">
        <v>8</v>
      </c>
      <c r="CF842" s="27" t="s">
        <v>7</v>
      </c>
      <c r="CG842" s="27" t="s">
        <v>8</v>
      </c>
      <c r="CH842" s="27" t="s">
        <v>7</v>
      </c>
      <c r="CI842" s="27" t="s">
        <v>8</v>
      </c>
      <c r="CJ842" s="27" t="s">
        <v>7</v>
      </c>
      <c r="CK842" s="27" t="s">
        <v>8</v>
      </c>
      <c r="CL842" s="27" t="s">
        <v>7</v>
      </c>
      <c r="CM842" s="27" t="s">
        <v>8</v>
      </c>
      <c r="CP842" s="27" t="s">
        <v>7</v>
      </c>
      <c r="CQ842" s="27" t="s">
        <v>8</v>
      </c>
      <c r="CR842" s="27" t="s">
        <v>7</v>
      </c>
      <c r="CU842" s="27" t="s">
        <v>8</v>
      </c>
    </row>
    <row r="843" spans="1:99" x14ac:dyDescent="0.25">
      <c r="A843" s="7">
        <v>6.2857344396146115E-3</v>
      </c>
      <c r="B843"/>
      <c r="C843"/>
      <c r="D843"/>
      <c r="E843"/>
      <c r="AF843" s="27" t="s">
        <v>7</v>
      </c>
      <c r="AL843" s="27" t="s">
        <v>7</v>
      </c>
      <c r="AM843" s="27" t="s">
        <v>8</v>
      </c>
      <c r="AN843" s="27" t="s">
        <v>7</v>
      </c>
      <c r="BY843" s="27" t="s">
        <v>8</v>
      </c>
      <c r="CE843" s="27" t="s">
        <v>8</v>
      </c>
      <c r="CF843" s="27" t="s">
        <v>7</v>
      </c>
      <c r="CG843" s="27" t="s">
        <v>8</v>
      </c>
      <c r="CH843" s="27" t="s">
        <v>7</v>
      </c>
      <c r="CI843" s="27" t="s">
        <v>8</v>
      </c>
      <c r="CJ843" s="27" t="s">
        <v>7</v>
      </c>
      <c r="CK843" s="27" t="s">
        <v>8</v>
      </c>
      <c r="CL843" s="27" t="s">
        <v>7</v>
      </c>
      <c r="CM843" s="27" t="s">
        <v>8</v>
      </c>
      <c r="CP843" s="27" t="s">
        <v>7</v>
      </c>
      <c r="CQ843" s="27" t="s">
        <v>8</v>
      </c>
      <c r="CR843" s="27" t="s">
        <v>7</v>
      </c>
      <c r="CU843" s="27" t="s">
        <v>8</v>
      </c>
    </row>
    <row r="844" spans="1:99" x14ac:dyDescent="0.25">
      <c r="A844" s="7">
        <v>6.1624847447202076E-3</v>
      </c>
      <c r="B844"/>
      <c r="C844"/>
      <c r="D844"/>
      <c r="E844"/>
      <c r="AL844" s="27" t="s">
        <v>7</v>
      </c>
      <c r="AM844" s="27" t="s">
        <v>8</v>
      </c>
      <c r="AN844" s="27" t="s">
        <v>7</v>
      </c>
      <c r="BY844" s="27" t="s">
        <v>8</v>
      </c>
      <c r="BZ844" s="27" t="s">
        <v>7</v>
      </c>
      <c r="CA844" s="27" t="s">
        <v>8</v>
      </c>
      <c r="CE844" s="27" t="s">
        <v>8</v>
      </c>
      <c r="CF844" s="27" t="s">
        <v>7</v>
      </c>
      <c r="CG844" s="27" t="s">
        <v>8</v>
      </c>
      <c r="CH844" s="27" t="s">
        <v>7</v>
      </c>
      <c r="CJ844" s="27" t="s">
        <v>7</v>
      </c>
      <c r="CK844" s="27" t="s">
        <v>8</v>
      </c>
      <c r="CL844" s="27" t="s">
        <v>7</v>
      </c>
      <c r="CM844" s="27" t="s">
        <v>8</v>
      </c>
      <c r="CP844" s="27" t="s">
        <v>7</v>
      </c>
      <c r="CR844" s="27" t="s">
        <v>7</v>
      </c>
      <c r="CU844" s="27" t="s">
        <v>8</v>
      </c>
    </row>
    <row r="845" spans="1:99" x14ac:dyDescent="0.25">
      <c r="A845" s="7">
        <v>6.0416517105100079E-3</v>
      </c>
      <c r="B845"/>
      <c r="C845"/>
      <c r="D845"/>
      <c r="E845"/>
      <c r="AL845" s="27" t="s">
        <v>7</v>
      </c>
      <c r="AM845" s="27" t="s">
        <v>8</v>
      </c>
      <c r="AN845" s="27" t="s">
        <v>7</v>
      </c>
      <c r="BY845" s="27" t="s">
        <v>8</v>
      </c>
      <c r="BZ845" s="27" t="s">
        <v>7</v>
      </c>
      <c r="CA845" s="27" t="s">
        <v>8</v>
      </c>
      <c r="CB845" s="27" t="s">
        <v>7</v>
      </c>
      <c r="CC845" s="27" t="s">
        <v>8</v>
      </c>
      <c r="CE845" s="27" t="s">
        <v>8</v>
      </c>
      <c r="CF845" s="27" t="s">
        <v>7</v>
      </c>
      <c r="CJ845" s="27" t="s">
        <v>7</v>
      </c>
      <c r="CK845" s="27" t="s">
        <v>8</v>
      </c>
      <c r="CL845" s="27" t="s">
        <v>7</v>
      </c>
      <c r="CR845" s="27" t="s">
        <v>7</v>
      </c>
      <c r="CS845" s="27" t="s">
        <v>8</v>
      </c>
      <c r="CU845" s="27" t="s">
        <v>8</v>
      </c>
    </row>
    <row r="846" spans="1:99" x14ac:dyDescent="0.25">
      <c r="A846" s="7">
        <v>5.9231879514803996E-3</v>
      </c>
      <c r="B846"/>
      <c r="C846"/>
      <c r="D846"/>
      <c r="E846"/>
      <c r="AL846" s="27" t="s">
        <v>7</v>
      </c>
      <c r="AM846" s="27" t="s">
        <v>8</v>
      </c>
      <c r="AN846" s="27" t="s">
        <v>7</v>
      </c>
      <c r="BY846" s="27" t="s">
        <v>8</v>
      </c>
      <c r="BZ846" s="27" t="s">
        <v>7</v>
      </c>
      <c r="CA846" s="27" t="s">
        <v>8</v>
      </c>
      <c r="CB846" s="27" t="s">
        <v>7</v>
      </c>
      <c r="CC846" s="27" t="s">
        <v>8</v>
      </c>
      <c r="CD846" s="27" t="s">
        <v>7</v>
      </c>
      <c r="CE846" s="27" t="s">
        <v>8</v>
      </c>
      <c r="CJ846" s="27" t="s">
        <v>7</v>
      </c>
      <c r="CK846" s="27" t="s">
        <v>8</v>
      </c>
      <c r="CR846" s="27" t="s">
        <v>7</v>
      </c>
      <c r="CS846" s="27" t="s">
        <v>8</v>
      </c>
      <c r="CT846" s="27" t="s">
        <v>7</v>
      </c>
      <c r="CU846" s="27" t="s">
        <v>8</v>
      </c>
    </row>
    <row r="847" spans="1:99" x14ac:dyDescent="0.25">
      <c r="A847" s="7">
        <v>5.8070470112552936E-3</v>
      </c>
      <c r="B847"/>
      <c r="C847"/>
      <c r="D847"/>
      <c r="E847"/>
      <c r="AL847" s="27" t="s">
        <v>7</v>
      </c>
      <c r="AM847" s="27" t="s">
        <v>8</v>
      </c>
      <c r="AN847" s="27" t="s">
        <v>7</v>
      </c>
      <c r="BY847" s="27" t="s">
        <v>8</v>
      </c>
      <c r="BZ847" s="27" t="s">
        <v>7</v>
      </c>
      <c r="CA847" s="27" t="s">
        <v>8</v>
      </c>
      <c r="CB847" s="27" t="s">
        <v>7</v>
      </c>
      <c r="CC847" s="27" t="s">
        <v>8</v>
      </c>
      <c r="CD847" s="27" t="s">
        <v>7</v>
      </c>
      <c r="CE847" s="27" t="s">
        <v>8</v>
      </c>
      <c r="CJ847" s="27" t="s">
        <v>7</v>
      </c>
      <c r="CR847" s="27" t="s">
        <v>7</v>
      </c>
      <c r="CS847" s="27" t="s">
        <v>8</v>
      </c>
      <c r="CT847" s="27" t="s">
        <v>7</v>
      </c>
      <c r="CU847" s="27" t="s">
        <v>8</v>
      </c>
    </row>
    <row r="848" spans="1:99" x14ac:dyDescent="0.25">
      <c r="A848" s="7">
        <v>5.6931833443679353E-3</v>
      </c>
      <c r="B848"/>
      <c r="C848"/>
      <c r="D848"/>
      <c r="E848"/>
      <c r="AL848" s="27" t="s">
        <v>7</v>
      </c>
      <c r="AN848" s="27" t="s">
        <v>7</v>
      </c>
      <c r="BU848" s="27" t="s">
        <v>8</v>
      </c>
      <c r="BY848" s="27" t="s">
        <v>8</v>
      </c>
      <c r="BZ848" s="27" t="s">
        <v>7</v>
      </c>
      <c r="CA848" s="27" t="s">
        <v>8</v>
      </c>
      <c r="CB848" s="27" t="s">
        <v>7</v>
      </c>
      <c r="CC848" s="27" t="s">
        <v>8</v>
      </c>
      <c r="CD848" s="27" t="s">
        <v>7</v>
      </c>
      <c r="CE848" s="27" t="s">
        <v>8</v>
      </c>
      <c r="CR848" s="27" t="s">
        <v>7</v>
      </c>
      <c r="CS848" s="27" t="s">
        <v>8</v>
      </c>
      <c r="CT848" s="27" t="s">
        <v>7</v>
      </c>
    </row>
    <row r="849" spans="1:97" x14ac:dyDescent="0.25">
      <c r="A849" s="7">
        <v>5.5815522983999367E-3</v>
      </c>
      <c r="B849"/>
      <c r="C849"/>
      <c r="D849"/>
      <c r="E849"/>
      <c r="AN849" s="27" t="s">
        <v>7</v>
      </c>
      <c r="BU849" s="27" t="s">
        <v>8</v>
      </c>
      <c r="BV849" s="27" t="s">
        <v>7</v>
      </c>
      <c r="BY849" s="27" t="s">
        <v>8</v>
      </c>
      <c r="BZ849" s="27" t="s">
        <v>7</v>
      </c>
      <c r="CA849" s="27" t="s">
        <v>8</v>
      </c>
      <c r="CB849" s="27" t="s">
        <v>7</v>
      </c>
      <c r="CC849" s="27" t="s">
        <v>8</v>
      </c>
      <c r="CD849" s="27" t="s">
        <v>7</v>
      </c>
      <c r="CE849" s="27" t="s">
        <v>8</v>
      </c>
      <c r="CR849" s="27" t="s">
        <v>7</v>
      </c>
      <c r="CS849" s="27" t="s">
        <v>8</v>
      </c>
    </row>
    <row r="850" spans="1:97" x14ac:dyDescent="0.25">
      <c r="A850" s="7">
        <v>5.4721100964705257E-3</v>
      </c>
      <c r="B850"/>
      <c r="C850"/>
      <c r="D850"/>
      <c r="E850"/>
      <c r="AN850" s="27" t="s">
        <v>7</v>
      </c>
      <c r="BU850" s="27" t="s">
        <v>8</v>
      </c>
      <c r="BV850" s="27" t="s">
        <v>7</v>
      </c>
      <c r="BW850" s="27" t="s">
        <v>8</v>
      </c>
      <c r="BY850" s="27" t="s">
        <v>8</v>
      </c>
      <c r="BZ850" s="27" t="s">
        <v>7</v>
      </c>
      <c r="CA850" s="27" t="s">
        <v>8</v>
      </c>
      <c r="CB850" s="27" t="s">
        <v>7</v>
      </c>
      <c r="CC850" s="27" t="s">
        <v>8</v>
      </c>
      <c r="CD850" s="27" t="s">
        <v>7</v>
      </c>
      <c r="CR850" s="27" t="s">
        <v>7</v>
      </c>
    </row>
    <row r="851" spans="1:97" x14ac:dyDescent="0.25">
      <c r="A851" s="7">
        <v>5.3648138200691423E-3</v>
      </c>
      <c r="B851"/>
      <c r="C851"/>
      <c r="D851"/>
      <c r="E851"/>
      <c r="AN851" s="27" t="s">
        <v>7</v>
      </c>
      <c r="BU851" s="27" t="s">
        <v>8</v>
      </c>
      <c r="BV851" s="27" t="s">
        <v>7</v>
      </c>
      <c r="BW851" s="27" t="s">
        <v>8</v>
      </c>
      <c r="BX851" s="27" t="s">
        <v>7</v>
      </c>
      <c r="BY851" s="27" t="s">
        <v>8</v>
      </c>
      <c r="BZ851" s="27" t="s">
        <v>7</v>
      </c>
      <c r="CB851" s="27" t="s">
        <v>7</v>
      </c>
      <c r="CC851" s="27" t="s">
        <v>8</v>
      </c>
    </row>
    <row r="852" spans="1:97" x14ac:dyDescent="0.25">
      <c r="A852" s="7">
        <v>5.2596213922246494E-3</v>
      </c>
      <c r="B852"/>
      <c r="C852"/>
      <c r="D852"/>
      <c r="E852"/>
      <c r="AN852" s="27" t="s">
        <v>7</v>
      </c>
      <c r="BU852" s="27" t="s">
        <v>8</v>
      </c>
      <c r="BV852" s="27" t="s">
        <v>7</v>
      </c>
      <c r="BW852" s="27" t="s">
        <v>8</v>
      </c>
      <c r="BX852" s="27" t="s">
        <v>7</v>
      </c>
      <c r="BY852" s="27" t="s">
        <v>8</v>
      </c>
      <c r="CB852" s="27" t="s">
        <v>7</v>
      </c>
    </row>
    <row r="853" spans="1:97" x14ac:dyDescent="0.25">
      <c r="A853" s="7">
        <v>5.1564915610045588E-3</v>
      </c>
      <c r="B853"/>
      <c r="C853"/>
      <c r="D853"/>
      <c r="E853"/>
      <c r="AN853" s="27" t="s">
        <v>7</v>
      </c>
      <c r="BM853" s="27" t="s">
        <v>8</v>
      </c>
      <c r="BU853" s="27" t="s">
        <v>8</v>
      </c>
      <c r="BV853" s="27" t="s">
        <v>7</v>
      </c>
      <c r="BW853" s="27" t="s">
        <v>8</v>
      </c>
      <c r="BX853" s="27" t="s">
        <v>7</v>
      </c>
      <c r="BY853" s="27" t="s">
        <v>8</v>
      </c>
    </row>
    <row r="854" spans="1:97" x14ac:dyDescent="0.25">
      <c r="A854" s="7">
        <v>5.0553838833378023E-3</v>
      </c>
      <c r="B854"/>
      <c r="C854"/>
      <c r="D854"/>
      <c r="E854"/>
      <c r="AN854" s="27" t="s">
        <v>7</v>
      </c>
      <c r="BM854" s="27" t="s">
        <v>8</v>
      </c>
      <c r="BN854" s="27" t="s">
        <v>7</v>
      </c>
      <c r="BU854" s="27" t="s">
        <v>8</v>
      </c>
      <c r="BV854" s="27" t="s">
        <v>7</v>
      </c>
      <c r="BW854" s="27" t="s">
        <v>8</v>
      </c>
      <c r="BX854" s="27" t="s">
        <v>7</v>
      </c>
      <c r="BY854" s="27" t="s">
        <v>8</v>
      </c>
    </row>
    <row r="855" spans="1:97" x14ac:dyDescent="0.25">
      <c r="A855" s="7">
        <v>4.9562587091547079E-3</v>
      </c>
      <c r="B855"/>
      <c r="C855"/>
      <c r="D855"/>
      <c r="E855"/>
      <c r="AN855" s="27" t="s">
        <v>7</v>
      </c>
      <c r="BM855" s="27" t="s">
        <v>8</v>
      </c>
      <c r="BN855" s="27" t="s">
        <v>7</v>
      </c>
      <c r="BO855" s="27" t="s">
        <v>8</v>
      </c>
      <c r="BU855" s="27" t="s">
        <v>8</v>
      </c>
      <c r="BV855" s="27" t="s">
        <v>7</v>
      </c>
      <c r="BW855" s="27" t="s">
        <v>8</v>
      </c>
      <c r="BX855" s="27" t="s">
        <v>7</v>
      </c>
      <c r="BY855" s="27" t="s">
        <v>8</v>
      </c>
    </row>
    <row r="856" spans="1:97" x14ac:dyDescent="0.25">
      <c r="A856" s="7">
        <v>4.8590771658379491E-3</v>
      </c>
      <c r="B856"/>
      <c r="C856"/>
      <c r="D856"/>
      <c r="E856"/>
      <c r="AN856" s="27" t="s">
        <v>7</v>
      </c>
      <c r="BK856" s="27" t="s">
        <v>8</v>
      </c>
      <c r="BM856" s="27" t="s">
        <v>8</v>
      </c>
      <c r="BN856" s="27" t="s">
        <v>7</v>
      </c>
      <c r="BO856" s="27" t="s">
        <v>8</v>
      </c>
      <c r="BP856" s="27" t="s">
        <v>7</v>
      </c>
      <c r="BU856" s="27" t="s">
        <v>8</v>
      </c>
      <c r="BV856" s="27" t="s">
        <v>7</v>
      </c>
      <c r="BW856" s="27" t="s">
        <v>8</v>
      </c>
      <c r="BX856" s="27" t="s">
        <v>7</v>
      </c>
      <c r="BY856" s="27" t="s">
        <v>8</v>
      </c>
    </row>
    <row r="857" spans="1:97" x14ac:dyDescent="0.25">
      <c r="A857" s="7">
        <v>4.7638011429783815E-3</v>
      </c>
      <c r="B857"/>
      <c r="C857"/>
      <c r="D857"/>
      <c r="E857"/>
      <c r="AN857" s="27" t="s">
        <v>7</v>
      </c>
      <c r="BK857" s="27" t="s">
        <v>8</v>
      </c>
      <c r="BL857" s="27" t="s">
        <v>7</v>
      </c>
      <c r="BM857" s="27" t="s">
        <v>8</v>
      </c>
      <c r="BN857" s="27" t="s">
        <v>7</v>
      </c>
      <c r="BO857" s="27" t="s">
        <v>8</v>
      </c>
      <c r="BP857" s="27" t="s">
        <v>7</v>
      </c>
      <c r="BU857" s="27" t="s">
        <v>8</v>
      </c>
      <c r="BV857" s="27" t="s">
        <v>7</v>
      </c>
      <c r="BW857" s="27" t="s">
        <v>8</v>
      </c>
      <c r="BX857" s="27" t="s">
        <v>7</v>
      </c>
      <c r="BY857" s="27" t="s">
        <v>8</v>
      </c>
    </row>
    <row r="858" spans="1:97" x14ac:dyDescent="0.25">
      <c r="A858" s="7">
        <v>4.6703932774297859E-3</v>
      </c>
      <c r="B858"/>
      <c r="C858"/>
      <c r="D858"/>
      <c r="E858"/>
      <c r="AN858" s="27" t="s">
        <v>7</v>
      </c>
      <c r="BK858" s="27" t="s">
        <v>8</v>
      </c>
      <c r="BL858" s="27" t="s">
        <v>7</v>
      </c>
      <c r="BM858" s="27" t="s">
        <v>8</v>
      </c>
      <c r="BN858" s="27" t="s">
        <v>7</v>
      </c>
      <c r="BO858" s="27" t="s">
        <v>8</v>
      </c>
      <c r="BP858" s="27" t="s">
        <v>7</v>
      </c>
      <c r="BU858" s="27" t="s">
        <v>8</v>
      </c>
      <c r="BV858" s="27" t="s">
        <v>7</v>
      </c>
      <c r="BW858" s="27" t="s">
        <v>8</v>
      </c>
      <c r="BX858" s="27" t="s">
        <v>7</v>
      </c>
      <c r="BY858" s="27" t="s">
        <v>8</v>
      </c>
    </row>
    <row r="859" spans="1:97" x14ac:dyDescent="0.25">
      <c r="A859" s="7">
        <v>4.5788169386566527E-3</v>
      </c>
      <c r="B859"/>
      <c r="C859"/>
      <c r="D859"/>
      <c r="E859"/>
      <c r="AN859" s="27" t="s">
        <v>7</v>
      </c>
      <c r="BK859" s="27" t="s">
        <v>8</v>
      </c>
      <c r="BL859" s="27" t="s">
        <v>7</v>
      </c>
      <c r="BM859" s="27" t="s">
        <v>8</v>
      </c>
      <c r="BN859" s="27" t="s">
        <v>7</v>
      </c>
      <c r="BP859" s="27" t="s">
        <v>7</v>
      </c>
      <c r="BU859" s="27" t="s">
        <v>8</v>
      </c>
      <c r="BV859" s="27" t="s">
        <v>7</v>
      </c>
      <c r="BW859" s="27" t="s">
        <v>8</v>
      </c>
      <c r="BX859" s="27" t="s">
        <v>7</v>
      </c>
    </row>
    <row r="860" spans="1:97" x14ac:dyDescent="0.25">
      <c r="A860" s="7">
        <v>4.4890362143692672E-3</v>
      </c>
      <c r="B860"/>
      <c r="C860"/>
      <c r="D860"/>
      <c r="E860"/>
      <c r="AN860" s="27" t="s">
        <v>7</v>
      </c>
      <c r="BK860" s="27" t="s">
        <v>8</v>
      </c>
      <c r="BL860" s="27" t="s">
        <v>7</v>
      </c>
      <c r="BM860" s="27" t="s">
        <v>8</v>
      </c>
      <c r="BP860" s="27" t="s">
        <v>7</v>
      </c>
      <c r="BU860" s="27" t="s">
        <v>8</v>
      </c>
      <c r="BV860" s="27" t="s">
        <v>7</v>
      </c>
      <c r="BW860" s="27" t="s">
        <v>8</v>
      </c>
    </row>
    <row r="861" spans="1:97" x14ac:dyDescent="0.25">
      <c r="A861" s="7">
        <v>4.4010158964404578E-3</v>
      </c>
      <c r="B861"/>
      <c r="C861"/>
      <c r="D861"/>
      <c r="E861"/>
      <c r="AN861" s="27" t="s">
        <v>7</v>
      </c>
      <c r="BK861" s="27" t="s">
        <v>8</v>
      </c>
      <c r="BL861" s="27" t="s">
        <v>7</v>
      </c>
      <c r="BM861" s="27" t="s">
        <v>8</v>
      </c>
      <c r="BP861" s="27" t="s">
        <v>7</v>
      </c>
      <c r="BQ861" s="27" t="s">
        <v>8</v>
      </c>
      <c r="BU861" s="27" t="s">
        <v>8</v>
      </c>
      <c r="BV861" s="27" t="s">
        <v>7</v>
      </c>
      <c r="BW861" s="27" t="s">
        <v>8</v>
      </c>
    </row>
    <row r="862" spans="1:97" x14ac:dyDescent="0.25">
      <c r="A862" s="7">
        <v>4.314721467098488E-3</v>
      </c>
      <c r="B862"/>
      <c r="C862"/>
      <c r="D862"/>
      <c r="E862"/>
      <c r="AN862" s="27" t="s">
        <v>7</v>
      </c>
      <c r="BK862" s="27" t="s">
        <v>8</v>
      </c>
      <c r="BL862" s="27" t="s">
        <v>7</v>
      </c>
      <c r="BM862" s="27" t="s">
        <v>8</v>
      </c>
      <c r="BP862" s="27" t="s">
        <v>7</v>
      </c>
      <c r="BQ862" s="27" t="s">
        <v>8</v>
      </c>
      <c r="BR862" s="27" t="s">
        <v>7</v>
      </c>
      <c r="BU862" s="27" t="s">
        <v>8</v>
      </c>
      <c r="BV862" s="27" t="s">
        <v>7</v>
      </c>
    </row>
    <row r="863" spans="1:97" x14ac:dyDescent="0.25">
      <c r="A863" s="7">
        <v>4.2301190853906746E-3</v>
      </c>
      <c r="B863"/>
      <c r="C863"/>
      <c r="D863"/>
      <c r="E863"/>
      <c r="AN863" s="27" t="s">
        <v>7</v>
      </c>
      <c r="BK863" s="27" t="s">
        <v>8</v>
      </c>
      <c r="BL863" s="27" t="s">
        <v>7</v>
      </c>
      <c r="BP863" s="27" t="s">
        <v>7</v>
      </c>
      <c r="BQ863" s="27" t="s">
        <v>8</v>
      </c>
      <c r="BR863" s="27" t="s">
        <v>7</v>
      </c>
      <c r="BU863" s="27" t="s">
        <v>8</v>
      </c>
    </row>
    <row r="864" spans="1:97" x14ac:dyDescent="0.25">
      <c r="A864" s="7">
        <v>4.1471755739124266E-3</v>
      </c>
      <c r="B864"/>
      <c r="C864"/>
      <c r="D864"/>
      <c r="E864"/>
      <c r="AN864" s="27" t="s">
        <v>7</v>
      </c>
      <c r="BK864" s="27" t="s">
        <v>8</v>
      </c>
      <c r="BP864" s="27" t="s">
        <v>7</v>
      </c>
      <c r="BR864" s="27" t="s">
        <v>7</v>
      </c>
      <c r="BU864" s="27" t="s">
        <v>8</v>
      </c>
    </row>
    <row r="865" spans="1:73" x14ac:dyDescent="0.25">
      <c r="A865" s="7">
        <v>4.0658584057964966E-3</v>
      </c>
      <c r="B865"/>
      <c r="C865"/>
      <c r="D865"/>
      <c r="E865"/>
      <c r="AN865" s="27" t="s">
        <v>7</v>
      </c>
      <c r="BK865" s="27" t="s">
        <v>8</v>
      </c>
      <c r="BR865" s="27" t="s">
        <v>7</v>
      </c>
      <c r="BS865" s="27" t="s">
        <v>8</v>
      </c>
      <c r="BU865" s="27" t="s">
        <v>8</v>
      </c>
    </row>
    <row r="866" spans="1:73" x14ac:dyDescent="0.25">
      <c r="A866" s="7">
        <v>3.9861356919573491E-3</v>
      </c>
      <c r="B866"/>
      <c r="C866"/>
      <c r="D866"/>
      <c r="E866"/>
      <c r="AN866" s="27" t="s">
        <v>7</v>
      </c>
      <c r="BK866" s="27" t="s">
        <v>8</v>
      </c>
      <c r="BR866" s="27" t="s">
        <v>7</v>
      </c>
      <c r="BS866" s="27" t="s">
        <v>8</v>
      </c>
      <c r="BT866" s="27" t="s">
        <v>7</v>
      </c>
      <c r="BU866" s="27" t="s">
        <v>8</v>
      </c>
    </row>
    <row r="867" spans="1:73" x14ac:dyDescent="0.25">
      <c r="A867" s="7">
        <v>3.9079761685856364E-3</v>
      </c>
      <c r="B867"/>
      <c r="C867"/>
      <c r="D867"/>
      <c r="E867"/>
      <c r="AN867" s="27" t="s">
        <v>7</v>
      </c>
      <c r="BK867" s="27" t="s">
        <v>8</v>
      </c>
      <c r="BR867" s="27" t="s">
        <v>7</v>
      </c>
      <c r="BS867" s="27" t="s">
        <v>8</v>
      </c>
      <c r="BT867" s="27" t="s">
        <v>7</v>
      </c>
      <c r="BU867" s="27" t="s">
        <v>8</v>
      </c>
    </row>
    <row r="868" spans="1:73" x14ac:dyDescent="0.25">
      <c r="A868" s="7">
        <v>3.8313491848878793E-3</v>
      </c>
      <c r="B868"/>
      <c r="C868"/>
      <c r="D868"/>
      <c r="E868"/>
      <c r="AN868" s="27" t="s">
        <v>7</v>
      </c>
      <c r="BE868" s="27" t="s">
        <v>8</v>
      </c>
      <c r="BK868" s="27" t="s">
        <v>8</v>
      </c>
      <c r="BR868" s="27" t="s">
        <v>7</v>
      </c>
      <c r="BS868" s="27" t="s">
        <v>8</v>
      </c>
      <c r="BT868" s="27" t="s">
        <v>7</v>
      </c>
      <c r="BU868" s="27" t="s">
        <v>8</v>
      </c>
    </row>
    <row r="869" spans="1:73" x14ac:dyDescent="0.25">
      <c r="A869" s="7">
        <v>3.7562246910665485E-3</v>
      </c>
      <c r="B869"/>
      <c r="C869"/>
      <c r="D869"/>
      <c r="E869"/>
      <c r="AN869" s="27" t="s">
        <v>7</v>
      </c>
      <c r="AS869" s="27" t="s">
        <v>8</v>
      </c>
      <c r="BE869" s="27" t="s">
        <v>8</v>
      </c>
      <c r="BF869" s="27" t="s">
        <v>7</v>
      </c>
      <c r="BK869" s="27" t="s">
        <v>8</v>
      </c>
      <c r="BR869" s="27" t="s">
        <v>7</v>
      </c>
      <c r="BT869" s="27" t="s">
        <v>7</v>
      </c>
      <c r="BU869" s="27" t="s">
        <v>8</v>
      </c>
    </row>
    <row r="870" spans="1:73" x14ac:dyDescent="0.25">
      <c r="A870" s="7">
        <v>3.6825732265358315E-3</v>
      </c>
      <c r="B870"/>
      <c r="C870"/>
      <c r="D870"/>
      <c r="E870"/>
      <c r="AN870" s="27" t="s">
        <v>7</v>
      </c>
      <c r="AS870" s="27" t="s">
        <v>8</v>
      </c>
      <c r="AT870" s="27" t="s">
        <v>7</v>
      </c>
      <c r="BE870" s="27" t="s">
        <v>8</v>
      </c>
      <c r="BF870" s="27" t="s">
        <v>7</v>
      </c>
      <c r="BK870" s="27" t="s">
        <v>8</v>
      </c>
      <c r="BT870" s="27" t="s">
        <v>7</v>
      </c>
      <c r="BU870" s="27" t="s">
        <v>8</v>
      </c>
    </row>
    <row r="871" spans="1:73" x14ac:dyDescent="0.25">
      <c r="A871" s="7">
        <v>3.6103659083684624E-3</v>
      </c>
      <c r="B871"/>
      <c r="C871"/>
      <c r="D871"/>
      <c r="E871"/>
      <c r="AN871" s="27" t="s">
        <v>7</v>
      </c>
      <c r="AS871" s="27" t="s">
        <v>8</v>
      </c>
      <c r="AT871" s="27" t="s">
        <v>7</v>
      </c>
      <c r="BC871" s="27" t="s">
        <v>8</v>
      </c>
      <c r="BE871" s="27" t="s">
        <v>8</v>
      </c>
      <c r="BF871" s="27" t="s">
        <v>7</v>
      </c>
      <c r="BK871" s="27" t="s">
        <v>8</v>
      </c>
      <c r="BT871" s="27" t="s">
        <v>7</v>
      </c>
      <c r="BU871" s="27" t="s">
        <v>8</v>
      </c>
    </row>
    <row r="872" spans="1:73" x14ac:dyDescent="0.25">
      <c r="A872" s="7">
        <v>3.539574419969081E-3</v>
      </c>
      <c r="B872"/>
      <c r="C872"/>
      <c r="D872"/>
      <c r="E872"/>
      <c r="AN872" s="27" t="s">
        <v>7</v>
      </c>
      <c r="AS872" s="27" t="s">
        <v>8</v>
      </c>
      <c r="AT872" s="27" t="s">
        <v>7</v>
      </c>
      <c r="BC872" s="27" t="s">
        <v>8</v>
      </c>
      <c r="BD872" s="27" t="s">
        <v>7</v>
      </c>
      <c r="BE872" s="27" t="s">
        <v>8</v>
      </c>
      <c r="BF872" s="27" t="s">
        <v>7</v>
      </c>
      <c r="BG872" s="27" t="s">
        <v>8</v>
      </c>
      <c r="BK872" s="27" t="s">
        <v>8</v>
      </c>
      <c r="BT872" s="27" t="s">
        <v>7</v>
      </c>
      <c r="BU872" s="27" t="s">
        <v>8</v>
      </c>
    </row>
    <row r="873" spans="1:73" x14ac:dyDescent="0.25">
      <c r="A873" s="7">
        <v>3.4701709999696872E-3</v>
      </c>
      <c r="B873"/>
      <c r="C873"/>
      <c r="D873"/>
      <c r="E873"/>
      <c r="AN873" s="27" t="s">
        <v>7</v>
      </c>
      <c r="AS873" s="27" t="s">
        <v>8</v>
      </c>
      <c r="AT873" s="27" t="s">
        <v>7</v>
      </c>
      <c r="BC873" s="27" t="s">
        <v>8</v>
      </c>
      <c r="BD873" s="27" t="s">
        <v>7</v>
      </c>
      <c r="BE873" s="27" t="s">
        <v>8</v>
      </c>
      <c r="BF873" s="27" t="s">
        <v>7</v>
      </c>
      <c r="BG873" s="27" t="s">
        <v>8</v>
      </c>
      <c r="BH873" s="27" t="s">
        <v>7</v>
      </c>
      <c r="BK873" s="27" t="s">
        <v>8</v>
      </c>
      <c r="BT873" s="27" t="s">
        <v>7</v>
      </c>
      <c r="BU873" s="27" t="s">
        <v>8</v>
      </c>
    </row>
    <row r="874" spans="1:73" x14ac:dyDescent="0.25">
      <c r="A874" s="7">
        <v>3.4021284313428307E-3</v>
      </c>
      <c r="B874"/>
      <c r="C874"/>
      <c r="D874"/>
      <c r="E874"/>
      <c r="AN874" s="27" t="s">
        <v>7</v>
      </c>
      <c r="AS874" s="27" t="s">
        <v>8</v>
      </c>
      <c r="AT874" s="27" t="s">
        <v>7</v>
      </c>
      <c r="BC874" s="27" t="s">
        <v>8</v>
      </c>
      <c r="BD874" s="27" t="s">
        <v>7</v>
      </c>
      <c r="BF874" s="27" t="s">
        <v>7</v>
      </c>
      <c r="BG874" s="27" t="s">
        <v>8</v>
      </c>
      <c r="BH874" s="27" t="s">
        <v>7</v>
      </c>
      <c r="BK874" s="27" t="s">
        <v>8</v>
      </c>
      <c r="BT874" s="27" t="s">
        <v>7</v>
      </c>
      <c r="BU874" s="27" t="s">
        <v>8</v>
      </c>
    </row>
    <row r="875" spans="1:73" x14ac:dyDescent="0.25">
      <c r="A875" s="7">
        <v>3.3354200307282654E-3</v>
      </c>
      <c r="B875"/>
      <c r="C875"/>
      <c r="D875"/>
      <c r="E875"/>
      <c r="AN875" s="27" t="s">
        <v>7</v>
      </c>
      <c r="AS875" s="27" t="s">
        <v>8</v>
      </c>
      <c r="AT875" s="27" t="s">
        <v>7</v>
      </c>
      <c r="AW875" s="27" t="s">
        <v>8</v>
      </c>
      <c r="AY875" s="27" t="s">
        <v>8</v>
      </c>
      <c r="BC875" s="27" t="s">
        <v>8</v>
      </c>
      <c r="BF875" s="27" t="s">
        <v>7</v>
      </c>
      <c r="BG875" s="27" t="s">
        <v>8</v>
      </c>
      <c r="BH875" s="27" t="s">
        <v>7</v>
      </c>
      <c r="BK875" s="27" t="s">
        <v>8</v>
      </c>
      <c r="BT875" s="27" t="s">
        <v>7</v>
      </c>
      <c r="BU875" s="27" t="s">
        <v>8</v>
      </c>
    </row>
    <row r="876" spans="1:73" x14ac:dyDescent="0.25">
      <c r="A876" s="7">
        <v>3.2700196379688881E-3</v>
      </c>
      <c r="B876"/>
      <c r="C876"/>
      <c r="D876"/>
      <c r="E876"/>
      <c r="AN876" s="27" t="s">
        <v>7</v>
      </c>
      <c r="AS876" s="27" t="s">
        <v>8</v>
      </c>
      <c r="AT876" s="27" t="s">
        <v>7</v>
      </c>
      <c r="AW876" s="27" t="s">
        <v>8</v>
      </c>
      <c r="AX876" s="27" t="s">
        <v>7</v>
      </c>
      <c r="AY876" s="27" t="s">
        <v>8</v>
      </c>
      <c r="AZ876" s="27" t="s">
        <v>7</v>
      </c>
      <c r="BA876" s="27" t="s">
        <v>8</v>
      </c>
      <c r="BC876" s="27" t="s">
        <v>8</v>
      </c>
      <c r="BF876" s="27" t="s">
        <v>7</v>
      </c>
      <c r="BG876" s="27" t="s">
        <v>8</v>
      </c>
      <c r="BH876" s="27" t="s">
        <v>7</v>
      </c>
      <c r="BI876" s="27" t="s">
        <v>8</v>
      </c>
      <c r="BK876" s="27" t="s">
        <v>8</v>
      </c>
      <c r="BT876" s="27" t="s">
        <v>7</v>
      </c>
      <c r="BU876" s="27" t="s">
        <v>8</v>
      </c>
    </row>
    <row r="877" spans="1:73" x14ac:dyDescent="0.25">
      <c r="A877" s="7">
        <v>3.205901605851851E-3</v>
      </c>
      <c r="B877"/>
      <c r="C877"/>
      <c r="D877"/>
      <c r="E877"/>
      <c r="AN877" s="27" t="s">
        <v>7</v>
      </c>
      <c r="AS877" s="27" t="s">
        <v>8</v>
      </c>
      <c r="AT877" s="27" t="s">
        <v>7</v>
      </c>
      <c r="AW877" s="27" t="s">
        <v>8</v>
      </c>
      <c r="AX877" s="27" t="s">
        <v>7</v>
      </c>
      <c r="AY877" s="27" t="s">
        <v>8</v>
      </c>
      <c r="AZ877" s="27" t="s">
        <v>7</v>
      </c>
      <c r="BA877" s="27" t="s">
        <v>8</v>
      </c>
      <c r="BB877" s="27" t="s">
        <v>7</v>
      </c>
      <c r="BC877" s="27" t="s">
        <v>8</v>
      </c>
      <c r="BF877" s="27" t="s">
        <v>7</v>
      </c>
      <c r="BG877" s="27" t="s">
        <v>8</v>
      </c>
      <c r="BH877" s="27" t="s">
        <v>7</v>
      </c>
      <c r="BI877" s="27" t="s">
        <v>8</v>
      </c>
      <c r="BJ877" s="27" t="s">
        <v>7</v>
      </c>
      <c r="BK877" s="27" t="s">
        <v>8</v>
      </c>
      <c r="BT877" s="27" t="s">
        <v>7</v>
      </c>
    </row>
    <row r="878" spans="1:73" x14ac:dyDescent="0.25">
      <c r="A878" s="7">
        <v>3.1430407900508344E-3</v>
      </c>
      <c r="B878"/>
      <c r="C878"/>
      <c r="D878"/>
      <c r="E878"/>
      <c r="AN878" s="27" t="s">
        <v>7</v>
      </c>
      <c r="AS878" s="27" t="s">
        <v>8</v>
      </c>
      <c r="AT878" s="27" t="s">
        <v>7</v>
      </c>
      <c r="AW878" s="27" t="s">
        <v>8</v>
      </c>
      <c r="AX878" s="27" t="s">
        <v>7</v>
      </c>
      <c r="AY878" s="27" t="s">
        <v>8</v>
      </c>
      <c r="AZ878" s="27" t="s">
        <v>7</v>
      </c>
      <c r="BA878" s="27" t="s">
        <v>8</v>
      </c>
      <c r="BB878" s="27" t="s">
        <v>7</v>
      </c>
      <c r="BC878" s="27" t="s">
        <v>8</v>
      </c>
      <c r="BF878" s="27" t="s">
        <v>7</v>
      </c>
      <c r="BH878" s="27" t="s">
        <v>7</v>
      </c>
      <c r="BI878" s="27" t="s">
        <v>8</v>
      </c>
      <c r="BJ878" s="27" t="s">
        <v>7</v>
      </c>
      <c r="BK878" s="27" t="s">
        <v>8</v>
      </c>
    </row>
    <row r="879" spans="1:73" x14ac:dyDescent="0.25">
      <c r="A879" s="7">
        <v>3.0814125392655241E-3</v>
      </c>
      <c r="B879"/>
      <c r="C879"/>
      <c r="D879"/>
      <c r="E879"/>
      <c r="AN879" s="27" t="s">
        <v>7</v>
      </c>
      <c r="AO879" s="27" t="s">
        <v>8</v>
      </c>
      <c r="AS879" s="27" t="s">
        <v>8</v>
      </c>
      <c r="AT879" s="27" t="s">
        <v>7</v>
      </c>
      <c r="AW879" s="27" t="s">
        <v>8</v>
      </c>
      <c r="AX879" s="27" t="s">
        <v>7</v>
      </c>
      <c r="AY879" s="27" t="s">
        <v>8</v>
      </c>
      <c r="AZ879" s="27" t="s">
        <v>7</v>
      </c>
      <c r="BA879" s="27" t="s">
        <v>8</v>
      </c>
      <c r="BB879" s="27" t="s">
        <v>7</v>
      </c>
      <c r="BH879" s="27" t="s">
        <v>7</v>
      </c>
      <c r="BI879" s="27" t="s">
        <v>8</v>
      </c>
      <c r="BJ879" s="27" t="s">
        <v>7</v>
      </c>
      <c r="BK879" s="27" t="s">
        <v>8</v>
      </c>
    </row>
    <row r="880" spans="1:73" x14ac:dyDescent="0.25">
      <c r="A880" s="7">
        <v>3.0209926855544354E-3</v>
      </c>
      <c r="B880"/>
      <c r="C880"/>
      <c r="D880"/>
      <c r="E880"/>
      <c r="AN880" s="27" t="s">
        <v>7</v>
      </c>
      <c r="AO880" s="27" t="s">
        <v>8</v>
      </c>
      <c r="AP880" s="27" t="s">
        <v>7</v>
      </c>
      <c r="AS880" s="27" t="s">
        <v>8</v>
      </c>
      <c r="AT880" s="27" t="s">
        <v>7</v>
      </c>
      <c r="AW880" s="27" t="s">
        <v>8</v>
      </c>
      <c r="AX880" s="27" t="s">
        <v>7</v>
      </c>
      <c r="AY880" s="27" t="s">
        <v>8</v>
      </c>
      <c r="AZ880" s="27" t="s">
        <v>7</v>
      </c>
      <c r="BA880" s="27" t="s">
        <v>8</v>
      </c>
      <c r="BH880" s="27" t="s">
        <v>7</v>
      </c>
      <c r="BI880" s="27" t="s">
        <v>8</v>
      </c>
      <c r="BJ880" s="27" t="s">
        <v>7</v>
      </c>
      <c r="BK880" s="27" t="s">
        <v>8</v>
      </c>
    </row>
    <row r="881" spans="1:63" x14ac:dyDescent="0.25">
      <c r="A881" s="7">
        <v>2.9617575348572897E-3</v>
      </c>
      <c r="B881"/>
      <c r="C881"/>
      <c r="D881"/>
      <c r="E881"/>
      <c r="AN881" s="27" t="s">
        <v>7</v>
      </c>
      <c r="AO881" s="27" t="s">
        <v>8</v>
      </c>
      <c r="AP881" s="27" t="s">
        <v>7</v>
      </c>
      <c r="AS881" s="27" t="s">
        <v>8</v>
      </c>
      <c r="AT881" s="27" t="s">
        <v>7</v>
      </c>
      <c r="AU881" s="27" t="s">
        <v>8</v>
      </c>
      <c r="AW881" s="27" t="s">
        <v>8</v>
      </c>
      <c r="AX881" s="27" t="s">
        <v>7</v>
      </c>
      <c r="AY881" s="27" t="s">
        <v>8</v>
      </c>
      <c r="AZ881" s="27" t="s">
        <v>7</v>
      </c>
      <c r="BH881" s="27" t="s">
        <v>7</v>
      </c>
      <c r="BI881" s="27" t="s">
        <v>8</v>
      </c>
      <c r="BJ881" s="27" t="s">
        <v>7</v>
      </c>
      <c r="BK881" s="27" t="s">
        <v>8</v>
      </c>
    </row>
    <row r="882" spans="1:63" x14ac:dyDescent="0.25">
      <c r="A882" s="7">
        <v>2.9036838577032251E-3</v>
      </c>
      <c r="B882"/>
      <c r="C882"/>
      <c r="D882"/>
      <c r="E882"/>
      <c r="AN882" s="27" t="s">
        <v>7</v>
      </c>
      <c r="AO882" s="27" t="s">
        <v>8</v>
      </c>
      <c r="AP882" s="27" t="s">
        <v>7</v>
      </c>
      <c r="AS882" s="27" t="s">
        <v>8</v>
      </c>
      <c r="AT882" s="27" t="s">
        <v>7</v>
      </c>
      <c r="AU882" s="27" t="s">
        <v>8</v>
      </c>
      <c r="AV882" s="27" t="s">
        <v>7</v>
      </c>
      <c r="AW882" s="27" t="s">
        <v>8</v>
      </c>
      <c r="AX882" s="27" t="s">
        <v>7</v>
      </c>
      <c r="AY882" s="27" t="s">
        <v>8</v>
      </c>
      <c r="BH882" s="27" t="s">
        <v>7</v>
      </c>
      <c r="BJ882" s="27" t="s">
        <v>7</v>
      </c>
    </row>
    <row r="883" spans="1:63" x14ac:dyDescent="0.25">
      <c r="A883" s="7">
        <v>2.8467488801012012E-3</v>
      </c>
      <c r="B883"/>
      <c r="C883"/>
      <c r="D883"/>
      <c r="E883"/>
      <c r="AN883" s="27" t="s">
        <v>7</v>
      </c>
      <c r="AO883" s="27" t="s">
        <v>8</v>
      </c>
      <c r="AP883" s="27" t="s">
        <v>7</v>
      </c>
      <c r="AS883" s="27" t="s">
        <v>8</v>
      </c>
      <c r="AT883" s="27" t="s">
        <v>7</v>
      </c>
      <c r="AU883" s="27" t="s">
        <v>8</v>
      </c>
      <c r="AV883" s="27" t="s">
        <v>7</v>
      </c>
      <c r="AW883" s="27" t="s">
        <v>8</v>
      </c>
      <c r="AX883" s="27" t="s">
        <v>7</v>
      </c>
      <c r="AY883" s="27" t="s">
        <v>8</v>
      </c>
    </row>
    <row r="884" spans="1:63" x14ac:dyDescent="0.25">
      <c r="A884" s="7">
        <v>2.7909302746090209E-3</v>
      </c>
      <c r="B884"/>
      <c r="C884"/>
      <c r="D884"/>
      <c r="E884"/>
      <c r="AN884" s="27" t="s">
        <v>7</v>
      </c>
      <c r="AO884" s="27" t="s">
        <v>8</v>
      </c>
      <c r="AP884" s="27" t="s">
        <v>7</v>
      </c>
      <c r="AS884" s="27" t="s">
        <v>8</v>
      </c>
      <c r="AT884" s="27" t="s">
        <v>7</v>
      </c>
      <c r="AU884" s="27" t="s">
        <v>8</v>
      </c>
      <c r="AV884" s="27" t="s">
        <v>7</v>
      </c>
      <c r="AW884" s="27" t="s">
        <v>8</v>
      </c>
      <c r="AX884" s="27" t="s">
        <v>7</v>
      </c>
      <c r="AY884" s="27" t="s">
        <v>8</v>
      </c>
    </row>
    <row r="885" spans="1:63" x14ac:dyDescent="0.25">
      <c r="A885" s="7">
        <v>2.7362061515774716E-3</v>
      </c>
      <c r="B885"/>
      <c r="C885"/>
      <c r="D885"/>
      <c r="E885"/>
      <c r="AN885" s="27" t="s">
        <v>7</v>
      </c>
      <c r="AO885" s="27" t="s">
        <v>8</v>
      </c>
      <c r="AP885" s="27" t="s">
        <v>7</v>
      </c>
      <c r="AS885" s="27" t="s">
        <v>8</v>
      </c>
      <c r="AT885" s="27" t="s">
        <v>7</v>
      </c>
      <c r="AU885" s="27" t="s">
        <v>8</v>
      </c>
      <c r="AV885" s="27" t="s">
        <v>7</v>
      </c>
      <c r="AW885" s="27" t="s">
        <v>8</v>
      </c>
      <c r="AX885" s="27" t="s">
        <v>7</v>
      </c>
      <c r="AY885" s="27" t="s">
        <v>8</v>
      </c>
    </row>
    <row r="886" spans="1:63" x14ac:dyDescent="0.25">
      <c r="A886" s="7">
        <v>2.6825550505661486E-3</v>
      </c>
      <c r="B886"/>
      <c r="C886"/>
      <c r="D886"/>
      <c r="E886"/>
      <c r="AN886" s="27" t="s">
        <v>7</v>
      </c>
      <c r="AO886" s="27" t="s">
        <v>8</v>
      </c>
      <c r="AP886" s="27" t="s">
        <v>7</v>
      </c>
      <c r="AS886" s="27" t="s">
        <v>8</v>
      </c>
      <c r="AT886" s="27" t="s">
        <v>7</v>
      </c>
      <c r="AU886" s="27" t="s">
        <v>8</v>
      </c>
      <c r="AV886" s="27" t="s">
        <v>7</v>
      </c>
      <c r="AW886" s="27" t="s">
        <v>8</v>
      </c>
      <c r="AX886" s="27" t="s">
        <v>7</v>
      </c>
    </row>
    <row r="887" spans="1:63" x14ac:dyDescent="0.25">
      <c r="A887" s="7">
        <v>2.6299559319275965E-3</v>
      </c>
      <c r="B887"/>
      <c r="C887"/>
      <c r="D887"/>
      <c r="E887"/>
      <c r="AN887" s="27" t="s">
        <v>7</v>
      </c>
      <c r="AO887" s="27" t="s">
        <v>8</v>
      </c>
      <c r="AP887" s="27" t="s">
        <v>7</v>
      </c>
      <c r="AS887" s="27" t="s">
        <v>8</v>
      </c>
      <c r="AT887" s="27" t="s">
        <v>7</v>
      </c>
      <c r="AU887" s="27" t="s">
        <v>8</v>
      </c>
      <c r="AV887" s="27" t="s">
        <v>7</v>
      </c>
      <c r="AW887" s="27" t="s">
        <v>8</v>
      </c>
    </row>
    <row r="888" spans="1:63" x14ac:dyDescent="0.25">
      <c r="A888" s="7">
        <v>2.578388168556467E-3</v>
      </c>
      <c r="B888"/>
      <c r="C888"/>
      <c r="D888"/>
      <c r="E888"/>
      <c r="AN888" s="27" t="s">
        <v>7</v>
      </c>
      <c r="AO888" s="27" t="s">
        <v>8</v>
      </c>
      <c r="AP888" s="27" t="s">
        <v>7</v>
      </c>
      <c r="AS888" s="27" t="s">
        <v>8</v>
      </c>
      <c r="AT888" s="27" t="s">
        <v>7</v>
      </c>
      <c r="AU888" s="27" t="s">
        <v>8</v>
      </c>
      <c r="AV888" s="27" t="s">
        <v>7</v>
      </c>
      <c r="AW888" s="27" t="s">
        <v>8</v>
      </c>
    </row>
    <row r="889" spans="1:63" x14ac:dyDescent="0.25">
      <c r="A889" s="7">
        <v>2.5278315378004577E-3</v>
      </c>
      <c r="B889"/>
      <c r="C889"/>
      <c r="D889"/>
      <c r="E889"/>
      <c r="AN889" s="27" t="s">
        <v>7</v>
      </c>
      <c r="AO889" s="27" t="s">
        <v>8</v>
      </c>
      <c r="AP889" s="27" t="s">
        <v>7</v>
      </c>
      <c r="AQ889" s="27" t="s">
        <v>8</v>
      </c>
      <c r="AS889" s="27" t="s">
        <v>8</v>
      </c>
      <c r="AT889" s="27" t="s">
        <v>7</v>
      </c>
      <c r="AU889" s="27" t="s">
        <v>8</v>
      </c>
      <c r="AV889" s="27" t="s">
        <v>7</v>
      </c>
      <c r="AW889" s="27" t="s">
        <v>8</v>
      </c>
    </row>
    <row r="890" spans="1:63" x14ac:dyDescent="0.25">
      <c r="A890" s="7">
        <v>2.4782662135298603E-3</v>
      </c>
      <c r="B890"/>
      <c r="C890"/>
      <c r="D890"/>
      <c r="E890"/>
      <c r="AN890" s="27" t="s">
        <v>7</v>
      </c>
      <c r="AO890" s="27" t="s">
        <v>8</v>
      </c>
      <c r="AP890" s="27" t="s">
        <v>7</v>
      </c>
      <c r="AQ890" s="27" t="s">
        <v>8</v>
      </c>
      <c r="AR890" s="27" t="s">
        <v>7</v>
      </c>
      <c r="AS890" s="27" t="s">
        <v>8</v>
      </c>
      <c r="AT890" s="27" t="s">
        <v>7</v>
      </c>
      <c r="AV890" s="27" t="s">
        <v>7</v>
      </c>
      <c r="AW890" s="27" t="s">
        <v>8</v>
      </c>
    </row>
    <row r="891" spans="1:63" x14ac:dyDescent="0.25">
      <c r="A891" s="7">
        <v>2.4296727583626083E-3</v>
      </c>
      <c r="B891"/>
      <c r="C891"/>
      <c r="D891"/>
      <c r="E891"/>
      <c r="AN891" s="27" t="s">
        <v>7</v>
      </c>
      <c r="AO891" s="27" t="s">
        <v>8</v>
      </c>
      <c r="AP891" s="27" t="s">
        <v>7</v>
      </c>
      <c r="AQ891" s="27" t="s">
        <v>8</v>
      </c>
      <c r="AR891" s="27" t="s">
        <v>7</v>
      </c>
      <c r="AS891" s="27" t="s">
        <v>8</v>
      </c>
      <c r="AV891" s="27" t="s">
        <v>7</v>
      </c>
      <c r="AW891" s="27" t="s">
        <v>8</v>
      </c>
    </row>
    <row r="892" spans="1:63" x14ac:dyDescent="0.25">
      <c r="A892" s="7">
        <v>2.3820321160417726E-3</v>
      </c>
      <c r="B892"/>
      <c r="C892"/>
      <c r="D892"/>
      <c r="E892"/>
      <c r="AN892" s="27" t="s">
        <v>7</v>
      </c>
      <c r="AO892" s="27" t="s">
        <v>8</v>
      </c>
      <c r="AP892" s="27" t="s">
        <v>7</v>
      </c>
      <c r="AQ892" s="27" t="s">
        <v>8</v>
      </c>
      <c r="AR892" s="27" t="s">
        <v>7</v>
      </c>
      <c r="AS892" s="27" t="s">
        <v>8</v>
      </c>
      <c r="AV892" s="27" t="s">
        <v>7</v>
      </c>
    </row>
    <row r="893" spans="1:63" x14ac:dyDescent="0.25">
      <c r="A893" s="7">
        <v>2.3353256039625224E-3</v>
      </c>
      <c r="B893"/>
      <c r="C893"/>
      <c r="D893"/>
      <c r="E893"/>
      <c r="AN893" s="27" t="s">
        <v>7</v>
      </c>
      <c r="AO893" s="27" t="s">
        <v>8</v>
      </c>
      <c r="AP893" s="27" t="s">
        <v>7</v>
      </c>
      <c r="AQ893" s="27" t="s">
        <v>8</v>
      </c>
      <c r="AR893" s="27" t="s">
        <v>7</v>
      </c>
      <c r="AS893" s="27" t="s">
        <v>8</v>
      </c>
    </row>
    <row r="894" spans="1:63" x14ac:dyDescent="0.25">
      <c r="A894" s="7">
        <v>2.2895349058456101E-3</v>
      </c>
      <c r="B894"/>
      <c r="C894"/>
      <c r="D894"/>
      <c r="E894"/>
      <c r="AN894" s="27" t="s">
        <v>7</v>
      </c>
      <c r="AO894" s="27" t="s">
        <v>8</v>
      </c>
      <c r="AP894" s="27" t="s">
        <v>7</v>
      </c>
      <c r="AQ894" s="27" t="s">
        <v>8</v>
      </c>
      <c r="AR894" s="27" t="s">
        <v>7</v>
      </c>
      <c r="AS894" s="27" t="s">
        <v>8</v>
      </c>
    </row>
    <row r="895" spans="1:63" x14ac:dyDescent="0.25">
      <c r="A895" s="7">
        <v>2.24464206455452E-3</v>
      </c>
      <c r="B895"/>
      <c r="C895"/>
      <c r="D895"/>
      <c r="E895"/>
      <c r="AN895" s="27" t="s">
        <v>7</v>
      </c>
      <c r="AO895" s="27" t="s">
        <v>8</v>
      </c>
      <c r="AP895" s="27" t="s">
        <v>7</v>
      </c>
      <c r="AQ895" s="27" t="s">
        <v>8</v>
      </c>
      <c r="AR895" s="27" t="s">
        <v>7</v>
      </c>
      <c r="AS895" s="27" t="s">
        <v>8</v>
      </c>
    </row>
    <row r="896" spans="1:63" x14ac:dyDescent="0.25">
      <c r="A896" s="7">
        <v>2.200629475053451E-3</v>
      </c>
      <c r="B896"/>
      <c r="C896"/>
      <c r="D896"/>
      <c r="E896"/>
      <c r="AN896" s="27" t="s">
        <v>7</v>
      </c>
      <c r="AO896" s="27" t="s">
        <v>8</v>
      </c>
      <c r="AP896" s="27" t="s">
        <v>7</v>
      </c>
      <c r="AQ896" s="27" t="s">
        <v>8</v>
      </c>
      <c r="AR896" s="27" t="s">
        <v>7</v>
      </c>
      <c r="AS896" s="27" t="s">
        <v>8</v>
      </c>
    </row>
    <row r="897" spans="1:44" x14ac:dyDescent="0.25">
      <c r="A897" s="7">
        <v>2.1574798775033832E-3</v>
      </c>
      <c r="B897"/>
      <c r="C897"/>
      <c r="D897"/>
      <c r="E897"/>
      <c r="AN897" s="27" t="s">
        <v>7</v>
      </c>
      <c r="AO897" s="27" t="s">
        <v>8</v>
      </c>
      <c r="AP897" s="27" t="s">
        <v>7</v>
      </c>
      <c r="AQ897" s="27" t="s">
        <v>8</v>
      </c>
      <c r="AR897" s="27" t="s">
        <v>7</v>
      </c>
    </row>
    <row r="898" spans="1:44" x14ac:dyDescent="0.25">
      <c r="A898" s="7">
        <v>2.115176350493513E-3</v>
      </c>
      <c r="B898"/>
      <c r="C898"/>
      <c r="D898"/>
      <c r="E898"/>
      <c r="AN898" s="27" t="s">
        <v>7</v>
      </c>
      <c r="AO898" s="27" t="s">
        <v>8</v>
      </c>
      <c r="AP898" s="27" t="s">
        <v>7</v>
      </c>
      <c r="AQ898" s="27" t="s">
        <v>8</v>
      </c>
    </row>
    <row r="899" spans="1:44" x14ac:dyDescent="0.25">
      <c r="A899" s="7">
        <v>2.0737023044054047E-3</v>
      </c>
      <c r="B899"/>
      <c r="C899"/>
      <c r="D899"/>
      <c r="E899"/>
      <c r="AN899" s="27" t="s">
        <v>7</v>
      </c>
      <c r="AO899" s="27" t="s">
        <v>8</v>
      </c>
      <c r="AP899" s="27" t="s">
        <v>7</v>
      </c>
      <c r="AQ899" s="27" t="s">
        <v>8</v>
      </c>
    </row>
    <row r="900" spans="1:44" x14ac:dyDescent="0.25">
      <c r="A900" s="7">
        <v>2.0330414749072595E-3</v>
      </c>
      <c r="B900"/>
      <c r="C900"/>
      <c r="D900"/>
      <c r="E900"/>
      <c r="AN900" s="27" t="s">
        <v>7</v>
      </c>
      <c r="AO900" s="27" t="s">
        <v>8</v>
      </c>
      <c r="AP900" s="27" t="s">
        <v>7</v>
      </c>
      <c r="AQ900" s="27" t="s">
        <v>8</v>
      </c>
    </row>
    <row r="901" spans="1:44" x14ac:dyDescent="0.25">
      <c r="A901" s="7">
        <v>1.9931779165757446E-3</v>
      </c>
      <c r="B901"/>
      <c r="C901"/>
      <c r="D901"/>
      <c r="E901"/>
      <c r="AN901" s="27" t="s">
        <v>7</v>
      </c>
      <c r="AO901" s="27" t="s">
        <v>8</v>
      </c>
      <c r="AP901" s="27" t="s">
        <v>7</v>
      </c>
      <c r="AQ901" s="27" t="s">
        <v>8</v>
      </c>
    </row>
    <row r="902" spans="1:44" x14ac:dyDescent="0.25">
      <c r="A902" s="7">
        <v>1.954095996642887E-3</v>
      </c>
      <c r="B902"/>
      <c r="C902"/>
      <c r="D902"/>
      <c r="E902"/>
      <c r="AN902" s="27" t="s">
        <v>7</v>
      </c>
      <c r="AO902" s="27" t="s">
        <v>8</v>
      </c>
      <c r="AP902" s="27" t="s">
        <v>7</v>
      </c>
    </row>
    <row r="903" spans="1:44" x14ac:dyDescent="0.25">
      <c r="A903" s="7">
        <v>1.9157803888655755E-3</v>
      </c>
      <c r="B903"/>
      <c r="C903"/>
      <c r="D903"/>
      <c r="E903"/>
      <c r="AN903" s="27" t="s">
        <v>7</v>
      </c>
      <c r="AO903" s="27" t="s">
        <v>8</v>
      </c>
    </row>
    <row r="904" spans="1:44" x14ac:dyDescent="0.25">
      <c r="A904" s="7">
        <v>1.8782160675152703E-3</v>
      </c>
      <c r="B904"/>
      <c r="C904"/>
      <c r="D904"/>
      <c r="E904"/>
      <c r="AN904" s="27" t="s">
        <v>7</v>
      </c>
      <c r="AO904" s="27" t="s">
        <v>8</v>
      </c>
    </row>
    <row r="905" spans="1:44" x14ac:dyDescent="0.25">
      <c r="A905" s="7">
        <v>1.8413883014855592E-3</v>
      </c>
      <c r="B905"/>
      <c r="C905"/>
      <c r="D905"/>
      <c r="E905"/>
      <c r="AN905" s="27" t="s">
        <v>7</v>
      </c>
      <c r="AO905" s="27" t="s">
        <v>8</v>
      </c>
    </row>
    <row r="906" spans="1:44" x14ac:dyDescent="0.25">
      <c r="A906" s="7">
        <v>1.8052826485152542E-3</v>
      </c>
      <c r="B906"/>
      <c r="C906"/>
      <c r="D906"/>
      <c r="E906"/>
      <c r="AN906" s="27" t="s">
        <v>7</v>
      </c>
      <c r="AO906" s="27" t="s">
        <v>8</v>
      </c>
    </row>
    <row r="907" spans="1:44" x14ac:dyDescent="0.25">
      <c r="A907" s="7">
        <v>1.7698849495247592E-3</v>
      </c>
      <c r="B907"/>
      <c r="C907"/>
      <c r="D907"/>
      <c r="E907"/>
      <c r="AN907" s="27" t="s">
        <v>7</v>
      </c>
      <c r="AO907" s="27" t="s">
        <v>8</v>
      </c>
    </row>
    <row r="908" spans="1:44" x14ac:dyDescent="0.25">
      <c r="A908" s="7">
        <v>1.7351813230634893E-3</v>
      </c>
      <c r="B908"/>
      <c r="C908"/>
      <c r="D908"/>
      <c r="E908"/>
      <c r="AN908" s="27" t="s">
        <v>7</v>
      </c>
      <c r="AO908" s="27" t="s">
        <v>8</v>
      </c>
    </row>
    <row r="909" spans="1:44" x14ac:dyDescent="0.25">
      <c r="A909" s="7">
        <v>1.701158159866166E-3</v>
      </c>
      <c r="B909"/>
      <c r="C909"/>
      <c r="D909"/>
      <c r="E909"/>
      <c r="AN909" s="27" t="s">
        <v>7</v>
      </c>
    </row>
    <row r="910" spans="1:44" x14ac:dyDescent="0.25">
      <c r="A910" s="7">
        <v>1.6678021175158492E-3</v>
      </c>
      <c r="B910"/>
      <c r="C910"/>
      <c r="D910"/>
      <c r="E910"/>
    </row>
    <row r="911" spans="1:44" x14ac:dyDescent="0.25">
      <c r="A911" s="7">
        <v>1.6351001152116167E-3</v>
      </c>
      <c r="B911"/>
      <c r="C911"/>
      <c r="D911"/>
      <c r="E911"/>
    </row>
    <row r="912" spans="1:44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4" zoomScale="85" zoomScaleNormal="85" workbookViewId="0">
      <pane xSplit="4" topLeftCell="FR1" activePane="topRight" state="frozen"/>
      <selection activeCell="A109" sqref="A109"/>
      <selection pane="topRight" activeCell="HL224" sqref="HL22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$A$223</v>
      </c>
      <c r="D111" s="1" t="str">
        <f>ADDRESS(C121-1,D121,1,1)</f>
        <v>$HL$223</v>
      </c>
      <c r="E111"/>
    </row>
    <row r="112" spans="1:5" x14ac:dyDescent="0.25">
      <c r="A112" s="30">
        <v>515.50191262726139</v>
      </c>
      <c r="C112" s="1" t="str">
        <f>ADDRESS(C121,1,1,1)</f>
        <v>$A$224</v>
      </c>
      <c r="D112" s="1" t="str">
        <f>ADDRESS(C121,D121-1,1,1)</f>
        <v>$HK$224</v>
      </c>
      <c r="E112"/>
    </row>
    <row r="113" spans="1:5" x14ac:dyDescent="0.25">
      <c r="A113" s="30">
        <v>490.95420250215363</v>
      </c>
      <c r="C113" s="1" t="str">
        <f>ADDRESS(C121+1,1,1,1)</f>
        <v>$A$225</v>
      </c>
      <c r="D113" s="1" t="str">
        <f>ADDRESS(C121-1,D121+1,1,1)</f>
        <v>$HM$223</v>
      </c>
    </row>
    <row r="114" spans="1:5" x14ac:dyDescent="0.25">
      <c r="A114" s="30">
        <v>467.57543095443202</v>
      </c>
      <c r="C114" s="1" t="str">
        <f>ADDRESS(C121,D121,1,1)</f>
        <v>$HL$224</v>
      </c>
      <c r="D114" s="1" t="str">
        <f>ADDRESS(C121+1,D121+1,1,1)</f>
        <v>$HM$225</v>
      </c>
    </row>
    <row r="115" spans="1:5" x14ac:dyDescent="0.25">
      <c r="A115" s="30">
        <v>445.30993424231622</v>
      </c>
      <c r="C115" s="1" t="str">
        <f>ADDRESS(C121+1,D121,1,1)</f>
        <v>$HL$225</v>
      </c>
    </row>
    <row r="116" spans="1:5" x14ac:dyDescent="0.25">
      <c r="A116" s="30">
        <v>424.10469927839637</v>
      </c>
      <c r="C116" s="1">
        <f>C117-1</f>
        <v>223</v>
      </c>
    </row>
    <row r="117" spans="1:5" x14ac:dyDescent="0.25">
      <c r="A117" s="30">
        <v>403.9092374079965</v>
      </c>
      <c r="C117" s="1">
        <f>C121</f>
        <v>224</v>
      </c>
      <c r="D117" s="1">
        <f>D121</f>
        <v>220</v>
      </c>
    </row>
    <row r="118" spans="1:5" x14ac:dyDescent="0.25">
      <c r="A118" s="30">
        <v>384.6754641980919</v>
      </c>
      <c r="C118" s="1">
        <f>C117+1</f>
        <v>225</v>
      </c>
      <c r="D118" s="1">
        <f>D117+1</f>
        <v>221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224</v>
      </c>
      <c r="D121" s="19">
        <v>220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R224</v>
      </c>
      <c r="D123" s="1" t="str">
        <f>"C"&amp;D121</f>
        <v>C220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2.1828745883819374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220" x14ac:dyDescent="0.25">
      <c r="A209" s="30">
        <v>4.5380394939082018</v>
      </c>
      <c r="E209"/>
    </row>
    <row r="210" spans="1:220" x14ac:dyDescent="0.25">
      <c r="A210" s="30">
        <v>4.3219423751506678</v>
      </c>
      <c r="C210"/>
      <c r="E210"/>
    </row>
    <row r="211" spans="1:220" x14ac:dyDescent="0.25">
      <c r="A211" s="30">
        <v>4.1161355953815884</v>
      </c>
      <c r="E211"/>
    </row>
    <row r="212" spans="1:220" x14ac:dyDescent="0.25">
      <c r="A212" s="30">
        <v>3.9201291384586554</v>
      </c>
      <c r="E212"/>
    </row>
    <row r="213" spans="1:220" x14ac:dyDescent="0.25">
      <c r="A213" s="30">
        <v>3.7334563223415764</v>
      </c>
      <c r="E213"/>
    </row>
    <row r="214" spans="1:220" x14ac:dyDescent="0.25">
      <c r="A214" s="30">
        <v>3.5556726879443583</v>
      </c>
      <c r="E214"/>
    </row>
    <row r="215" spans="1:220" x14ac:dyDescent="0.25">
      <c r="A215" s="30">
        <v>3.3863549408993889</v>
      </c>
      <c r="E215"/>
      <c r="GK215" s="27" t="s">
        <v>8</v>
      </c>
      <c r="GM215" s="31" t="s">
        <v>8</v>
      </c>
    </row>
    <row r="216" spans="1:220" x14ac:dyDescent="0.25">
      <c r="A216" s="30">
        <v>3.2250999437137038</v>
      </c>
      <c r="E216"/>
      <c r="GK216" s="27" t="s">
        <v>8</v>
      </c>
      <c r="GL216" s="27" t="s">
        <v>7</v>
      </c>
      <c r="GM216" s="27" t="s">
        <v>8</v>
      </c>
      <c r="GN216" s="31" t="s">
        <v>7</v>
      </c>
      <c r="HG216" s="27" t="s">
        <v>8</v>
      </c>
    </row>
    <row r="217" spans="1:220" x14ac:dyDescent="0.25">
      <c r="A217" s="30">
        <v>3.0715237559178128</v>
      </c>
      <c r="E217"/>
      <c r="GK217" s="27" t="s">
        <v>8</v>
      </c>
      <c r="GL217" s="27" t="s">
        <v>7</v>
      </c>
      <c r="GM217" s="27" t="s">
        <v>8</v>
      </c>
      <c r="GN217" s="27" t="s">
        <v>7</v>
      </c>
      <c r="GO217" s="31" t="s">
        <v>8</v>
      </c>
      <c r="HE217" s="27" t="s">
        <v>8</v>
      </c>
      <c r="HG217" s="27" t="s">
        <v>8</v>
      </c>
      <c r="HH217" s="27" t="s">
        <v>7</v>
      </c>
    </row>
    <row r="218" spans="1:220" x14ac:dyDescent="0.25">
      <c r="A218" s="30">
        <v>2.9252607199217264</v>
      </c>
      <c r="E218"/>
      <c r="GK218" s="27" t="s">
        <v>8</v>
      </c>
      <c r="GL218" s="27" t="s">
        <v>7</v>
      </c>
      <c r="GM218" s="27" t="s">
        <v>8</v>
      </c>
      <c r="GN218" s="27" t="s">
        <v>7</v>
      </c>
      <c r="GO218" s="27" t="s">
        <v>8</v>
      </c>
      <c r="GP218" s="31" t="s">
        <v>7</v>
      </c>
      <c r="HE218" s="27" t="s">
        <v>8</v>
      </c>
      <c r="HF218" s="27" t="s">
        <v>7</v>
      </c>
      <c r="HG218" s="27" t="s">
        <v>8</v>
      </c>
      <c r="HH218" s="27" t="s">
        <v>7</v>
      </c>
    </row>
    <row r="219" spans="1:220" x14ac:dyDescent="0.25">
      <c r="A219" s="30">
        <v>2.7859625904016441</v>
      </c>
      <c r="E219"/>
      <c r="GK219" s="27" t="s">
        <v>8</v>
      </c>
      <c r="GL219" s="27" t="s">
        <v>7</v>
      </c>
      <c r="GM219" s="27" t="s">
        <v>8</v>
      </c>
      <c r="GN219" s="27" t="s">
        <v>7</v>
      </c>
      <c r="GO219" s="27" t="s">
        <v>8</v>
      </c>
      <c r="GP219" s="27" t="s">
        <v>7</v>
      </c>
      <c r="GQ219" s="31"/>
      <c r="HE219" s="27" t="s">
        <v>8</v>
      </c>
      <c r="HF219" s="27" t="s">
        <v>7</v>
      </c>
      <c r="HG219" s="27" t="s">
        <v>8</v>
      </c>
      <c r="HH219" s="27" t="s">
        <v>7</v>
      </c>
    </row>
    <row r="220" spans="1:220" x14ac:dyDescent="0.25">
      <c r="A220" s="30">
        <v>2.6532977051444226</v>
      </c>
      <c r="E220"/>
      <c r="GK220" s="27" t="s">
        <v>8</v>
      </c>
      <c r="GL220" s="27" t="s">
        <v>7</v>
      </c>
      <c r="GM220" s="27" t="s">
        <v>8</v>
      </c>
      <c r="GN220" s="27" t="s">
        <v>7</v>
      </c>
      <c r="GO220" s="27" t="s">
        <v>8</v>
      </c>
      <c r="GP220" s="27" t="s">
        <v>7</v>
      </c>
      <c r="GQ220" s="27" t="s">
        <v>8</v>
      </c>
      <c r="GR220" s="31"/>
      <c r="GS220" s="27" t="s">
        <v>8</v>
      </c>
      <c r="HE220" s="27" t="s">
        <v>8</v>
      </c>
      <c r="HF220" s="27" t="s">
        <v>7</v>
      </c>
      <c r="HG220" s="27" t="s">
        <v>8</v>
      </c>
      <c r="HH220" s="27" t="s">
        <v>7</v>
      </c>
    </row>
    <row r="221" spans="1:220" x14ac:dyDescent="0.25">
      <c r="A221" s="30">
        <v>2.5269501953756404</v>
      </c>
      <c r="E221"/>
      <c r="GK221" s="27" t="s">
        <v>8</v>
      </c>
      <c r="GL221" s="27" t="s">
        <v>7</v>
      </c>
      <c r="GN221" s="27" t="s">
        <v>7</v>
      </c>
      <c r="GO221" s="27" t="s">
        <v>8</v>
      </c>
      <c r="GP221" s="27" t="s">
        <v>7</v>
      </c>
      <c r="GQ221" s="27" t="s">
        <v>8</v>
      </c>
      <c r="GR221" s="27" t="s">
        <v>7</v>
      </c>
      <c r="GS221" s="31" t="s">
        <v>8</v>
      </c>
      <c r="GT221" s="31" t="s">
        <v>7</v>
      </c>
      <c r="HE221" s="27" t="s">
        <v>8</v>
      </c>
      <c r="HF221" s="27" t="s">
        <v>7</v>
      </c>
      <c r="HG221" s="27" t="s">
        <v>8</v>
      </c>
      <c r="HH221" s="27" t="s">
        <v>7</v>
      </c>
      <c r="HK221" s="27" t="s">
        <v>8</v>
      </c>
    </row>
    <row r="222" spans="1:220" x14ac:dyDescent="0.25">
      <c r="A222" s="30">
        <v>2.4066192336910861</v>
      </c>
      <c r="E222"/>
      <c r="GG222" s="27" t="s">
        <v>8</v>
      </c>
      <c r="GK222" s="27" t="s">
        <v>8</v>
      </c>
      <c r="GN222" s="27" t="s">
        <v>7</v>
      </c>
      <c r="GP222" s="27" t="s">
        <v>7</v>
      </c>
      <c r="GQ222" s="27" t="s">
        <v>8</v>
      </c>
      <c r="GR222" s="27" t="s">
        <v>7</v>
      </c>
      <c r="GS222" s="27" t="s">
        <v>8</v>
      </c>
      <c r="GT222" s="27" t="s">
        <v>7</v>
      </c>
      <c r="GU222" s="31"/>
      <c r="HC222" s="27" t="s">
        <v>8</v>
      </c>
      <c r="HE222" s="27" t="s">
        <v>8</v>
      </c>
      <c r="HF222" s="27" t="s">
        <v>7</v>
      </c>
      <c r="HG222" s="27" t="s">
        <v>8</v>
      </c>
      <c r="HH222" s="27" t="s">
        <v>7</v>
      </c>
      <c r="HI222" s="27" t="s">
        <v>8</v>
      </c>
      <c r="HK222" s="27" t="s">
        <v>8</v>
      </c>
      <c r="HL222" s="27" t="s">
        <v>7</v>
      </c>
    </row>
    <row r="223" spans="1:220" x14ac:dyDescent="0.25">
      <c r="A223" s="30">
        <v>2.2920183178010345</v>
      </c>
      <c r="E223"/>
      <c r="GG223" s="27" t="s">
        <v>8</v>
      </c>
      <c r="GH223" s="27" t="s">
        <v>7</v>
      </c>
      <c r="GI223" s="27" t="s">
        <v>8</v>
      </c>
      <c r="GK223" s="27" t="s">
        <v>8</v>
      </c>
      <c r="GP223" s="27" t="s">
        <v>7</v>
      </c>
      <c r="GR223" s="27" t="s">
        <v>7</v>
      </c>
      <c r="GS223" s="27" t="s">
        <v>8</v>
      </c>
      <c r="GT223" s="27" t="s">
        <v>7</v>
      </c>
      <c r="GV223" s="31"/>
      <c r="HC223" s="27" t="s">
        <v>8</v>
      </c>
      <c r="HD223" s="27" t="s">
        <v>7</v>
      </c>
      <c r="HE223" s="27" t="s">
        <v>8</v>
      </c>
      <c r="HF223" s="27" t="s">
        <v>7</v>
      </c>
      <c r="HG223" s="27" t="s">
        <v>8</v>
      </c>
      <c r="HH223" s="27" t="s">
        <v>7</v>
      </c>
      <c r="HI223" s="27" t="s">
        <v>8</v>
      </c>
      <c r="HJ223" s="27" t="s">
        <v>7</v>
      </c>
      <c r="HK223" s="27" t="s">
        <v>8</v>
      </c>
      <c r="HL223" s="27" t="s">
        <v>7</v>
      </c>
    </row>
    <row r="224" spans="1:220" x14ac:dyDescent="0.25">
      <c r="A224" s="30">
        <v>2.1828745883819374</v>
      </c>
      <c r="E224"/>
      <c r="GG224" s="27" t="s">
        <v>8</v>
      </c>
      <c r="GH224" s="27" t="s">
        <v>7</v>
      </c>
      <c r="GI224" s="27" t="s">
        <v>8</v>
      </c>
      <c r="GJ224" s="27" t="s">
        <v>7</v>
      </c>
      <c r="GK224" s="27" t="s">
        <v>8</v>
      </c>
      <c r="GR224" s="27" t="s">
        <v>7</v>
      </c>
      <c r="GS224" s="27" t="s">
        <v>8</v>
      </c>
      <c r="GT224" s="27" t="s">
        <v>7</v>
      </c>
      <c r="GU224" s="27" t="s">
        <v>8</v>
      </c>
      <c r="GW224" s="31"/>
      <c r="HC224" s="27" t="s">
        <v>8</v>
      </c>
      <c r="HD224" s="27" t="s">
        <v>7</v>
      </c>
      <c r="HE224" s="27" t="s">
        <v>8</v>
      </c>
      <c r="HF224" s="27" t="s">
        <v>7</v>
      </c>
      <c r="HH224" s="27" t="s">
        <v>7</v>
      </c>
      <c r="HI224" s="27" t="s">
        <v>8</v>
      </c>
      <c r="HJ224" s="27" t="s">
        <v>7</v>
      </c>
      <c r="HK224" s="27" t="s">
        <v>8</v>
      </c>
      <c r="HL224" s="27" t="s">
        <v>7</v>
      </c>
    </row>
    <row r="225" spans="1:219" x14ac:dyDescent="0.25">
      <c r="A225" s="30">
        <v>2.0789281794113688</v>
      </c>
      <c r="E225"/>
      <c r="GG225" s="27" t="s">
        <v>8</v>
      </c>
      <c r="GH225" s="27" t="s">
        <v>7</v>
      </c>
      <c r="GI225" s="27" t="s">
        <v>8</v>
      </c>
      <c r="GJ225" s="27" t="s">
        <v>7</v>
      </c>
      <c r="GK225" s="27" t="s">
        <v>8</v>
      </c>
      <c r="GR225" s="27" t="s">
        <v>7</v>
      </c>
      <c r="GS225" s="27" t="s">
        <v>8</v>
      </c>
      <c r="GT225" s="27" t="s">
        <v>7</v>
      </c>
      <c r="GU225" s="27" t="s">
        <v>8</v>
      </c>
      <c r="GV225" s="27" t="s">
        <v>7</v>
      </c>
      <c r="GX225" s="31"/>
      <c r="HC225" s="27" t="s">
        <v>8</v>
      </c>
      <c r="HD225" s="27" t="s">
        <v>7</v>
      </c>
      <c r="HH225" s="27" t="s">
        <v>7</v>
      </c>
      <c r="HI225" s="27" t="s">
        <v>8</v>
      </c>
      <c r="HJ225" s="27" t="s">
        <v>7</v>
      </c>
      <c r="HK225" s="27" t="s">
        <v>8</v>
      </c>
    </row>
    <row r="226" spans="1:219" x14ac:dyDescent="0.25">
      <c r="A226" s="30">
        <v>1.9799315994393987</v>
      </c>
      <c r="E226"/>
      <c r="GG226" s="27" t="s">
        <v>8</v>
      </c>
      <c r="GH226" s="27" t="s">
        <v>7</v>
      </c>
      <c r="GJ226" s="27" t="s">
        <v>7</v>
      </c>
      <c r="GR226" s="27" t="s">
        <v>7</v>
      </c>
      <c r="GS226" s="27" t="s">
        <v>8</v>
      </c>
      <c r="GT226" s="27" t="s">
        <v>7</v>
      </c>
      <c r="GU226" s="27" t="s">
        <v>8</v>
      </c>
      <c r="GV226" s="27" t="s">
        <v>7</v>
      </c>
      <c r="GY226" s="31"/>
      <c r="HC226" s="27" t="s">
        <v>8</v>
      </c>
      <c r="HH226" s="27" t="s">
        <v>7</v>
      </c>
      <c r="HI226" s="27" t="s">
        <v>8</v>
      </c>
      <c r="HJ226" s="27" t="s">
        <v>7</v>
      </c>
    </row>
    <row r="227" spans="1:219" x14ac:dyDescent="0.25">
      <c r="A227" s="30">
        <v>1.8856491423232367</v>
      </c>
      <c r="E227"/>
      <c r="FU227" s="27" t="s">
        <v>8</v>
      </c>
      <c r="GG227" s="27" t="s">
        <v>8</v>
      </c>
      <c r="GR227" s="27" t="s">
        <v>7</v>
      </c>
      <c r="GS227" s="27" t="s">
        <v>8</v>
      </c>
      <c r="GT227" s="27" t="s">
        <v>7</v>
      </c>
      <c r="GV227" s="27" t="s">
        <v>7</v>
      </c>
      <c r="GZ227" s="31"/>
      <c r="HC227" s="27" t="s">
        <v>8</v>
      </c>
      <c r="HH227" s="27" t="s">
        <v>7</v>
      </c>
      <c r="HI227" s="27" t="s">
        <v>8</v>
      </c>
    </row>
    <row r="228" spans="1:219" x14ac:dyDescent="0.25">
      <c r="A228" s="30">
        <v>1.7958563260221301</v>
      </c>
      <c r="C228" s="7"/>
      <c r="D228"/>
      <c r="E228"/>
      <c r="FS228" s="27" t="s">
        <v>8</v>
      </c>
      <c r="FU228" s="27" t="s">
        <v>8</v>
      </c>
      <c r="FV228" s="27" t="s">
        <v>7</v>
      </c>
      <c r="GG228" s="27" t="s">
        <v>8</v>
      </c>
      <c r="GR228" s="27" t="s">
        <v>7</v>
      </c>
      <c r="GV228" s="27" t="s">
        <v>7</v>
      </c>
      <c r="HA228" s="31"/>
      <c r="HC228" s="27" t="s">
        <v>8</v>
      </c>
      <c r="HH228" s="27" t="s">
        <v>7</v>
      </c>
    </row>
    <row r="229" spans="1:219" x14ac:dyDescent="0.25">
      <c r="A229" s="30">
        <v>1.7103393581163142</v>
      </c>
      <c r="E229"/>
      <c r="FS229" s="27" t="s">
        <v>8</v>
      </c>
      <c r="FT229" s="27" t="s">
        <v>7</v>
      </c>
      <c r="FU229" s="27" t="s">
        <v>8</v>
      </c>
      <c r="FV229" s="27" t="s">
        <v>7</v>
      </c>
      <c r="GG229" s="27" t="s">
        <v>8</v>
      </c>
      <c r="GV229" s="27" t="s">
        <v>7</v>
      </c>
      <c r="GW229" s="27" t="s">
        <v>8</v>
      </c>
      <c r="GY229" s="27" t="s">
        <v>8</v>
      </c>
      <c r="HB229" s="31"/>
      <c r="HC229" s="27" t="s">
        <v>8</v>
      </c>
    </row>
    <row r="230" spans="1:219" x14ac:dyDescent="0.25">
      <c r="A230" s="30">
        <v>1.628894626777442</v>
      </c>
      <c r="E230"/>
      <c r="FS230" s="27" t="s">
        <v>8</v>
      </c>
      <c r="FT230" s="27" t="s">
        <v>7</v>
      </c>
      <c r="FU230" s="27" t="s">
        <v>8</v>
      </c>
      <c r="FV230" s="27" t="s">
        <v>7</v>
      </c>
      <c r="GG230" s="27" t="s">
        <v>8</v>
      </c>
      <c r="GV230" s="27" t="s">
        <v>7</v>
      </c>
      <c r="GW230" s="27" t="s">
        <v>8</v>
      </c>
      <c r="GX230" s="27" t="s">
        <v>7</v>
      </c>
      <c r="GY230" s="27" t="s">
        <v>8</v>
      </c>
      <c r="GZ230" s="27" t="s">
        <v>7</v>
      </c>
      <c r="HC230" s="31" t="s">
        <v>8</v>
      </c>
    </row>
    <row r="231" spans="1:219" x14ac:dyDescent="0.25">
      <c r="A231" s="30">
        <v>1.5513282159785162</v>
      </c>
      <c r="C231"/>
      <c r="D231"/>
      <c r="E231"/>
      <c r="FS231" s="27" t="s">
        <v>8</v>
      </c>
      <c r="FT231" s="27" t="s">
        <v>7</v>
      </c>
      <c r="FU231" s="27" t="s">
        <v>8</v>
      </c>
      <c r="FV231" s="27" t="s">
        <v>7</v>
      </c>
      <c r="GG231" s="27" t="s">
        <v>8</v>
      </c>
      <c r="GV231" s="27" t="s">
        <v>7</v>
      </c>
      <c r="GW231" s="27" t="s">
        <v>8</v>
      </c>
      <c r="GX231" s="27" t="s">
        <v>7</v>
      </c>
      <c r="GY231" s="27" t="s">
        <v>8</v>
      </c>
      <c r="GZ231" s="27" t="s">
        <v>7</v>
      </c>
      <c r="HA231" s="27" t="s">
        <v>8</v>
      </c>
      <c r="HC231" s="27" t="s">
        <v>8</v>
      </c>
    </row>
    <row r="232" spans="1:219" x14ac:dyDescent="0.25">
      <c r="A232" s="30">
        <v>1.477455443789063</v>
      </c>
      <c r="E232"/>
      <c r="FS232" s="27" t="s">
        <v>8</v>
      </c>
      <c r="FT232" s="27" t="s">
        <v>7</v>
      </c>
      <c r="FU232" s="27" t="s">
        <v>8</v>
      </c>
      <c r="FV232" s="27" t="s">
        <v>7</v>
      </c>
      <c r="FW232" s="27" t="s">
        <v>8</v>
      </c>
      <c r="FY232" s="27" t="s">
        <v>8</v>
      </c>
      <c r="GG232" s="27" t="s">
        <v>8</v>
      </c>
      <c r="GV232" s="27" t="s">
        <v>7</v>
      </c>
      <c r="GW232" s="27" t="s">
        <v>8</v>
      </c>
      <c r="GX232" s="27" t="s">
        <v>7</v>
      </c>
      <c r="GY232" s="27" t="s">
        <v>8</v>
      </c>
      <c r="GZ232" s="27" t="s">
        <v>7</v>
      </c>
      <c r="HA232" s="27" t="s">
        <v>8</v>
      </c>
      <c r="HB232" s="27" t="s">
        <v>7</v>
      </c>
      <c r="HC232" s="27" t="s">
        <v>8</v>
      </c>
    </row>
    <row r="233" spans="1:219" x14ac:dyDescent="0.25">
      <c r="A233" s="30">
        <v>1.4071004226562505</v>
      </c>
      <c r="E233"/>
      <c r="FS233" s="27" t="s">
        <v>8</v>
      </c>
      <c r="FT233" s="27" t="s">
        <v>7</v>
      </c>
      <c r="FU233" s="27" t="s">
        <v>8</v>
      </c>
      <c r="FV233" s="27" t="s">
        <v>7</v>
      </c>
      <c r="FW233" s="27" t="s">
        <v>8</v>
      </c>
      <c r="FX233" s="27" t="s">
        <v>7</v>
      </c>
      <c r="FY233" s="27" t="s">
        <v>8</v>
      </c>
      <c r="FZ233" s="27" t="s">
        <v>7</v>
      </c>
      <c r="GG233" s="27" t="s">
        <v>8</v>
      </c>
      <c r="GV233" s="27" t="s">
        <v>7</v>
      </c>
      <c r="GW233" s="27" t="s">
        <v>8</v>
      </c>
      <c r="GX233" s="27" t="s">
        <v>7</v>
      </c>
      <c r="GY233" s="27" t="s">
        <v>8</v>
      </c>
      <c r="GZ233" s="27" t="s">
        <v>7</v>
      </c>
      <c r="HA233" s="27" t="s">
        <v>8</v>
      </c>
      <c r="HB233" s="27" t="s">
        <v>7</v>
      </c>
      <c r="HC233" s="27" t="s">
        <v>8</v>
      </c>
    </row>
    <row r="234" spans="1:219" x14ac:dyDescent="0.25">
      <c r="A234" s="30">
        <v>1.3400956406250004</v>
      </c>
      <c r="E234"/>
      <c r="FS234" s="27" t="s">
        <v>8</v>
      </c>
      <c r="FT234" s="27" t="s">
        <v>7</v>
      </c>
      <c r="FU234" s="27" t="s">
        <v>8</v>
      </c>
      <c r="FV234" s="27" t="s">
        <v>7</v>
      </c>
      <c r="FW234" s="27" t="s">
        <v>8</v>
      </c>
      <c r="FX234" s="27" t="s">
        <v>7</v>
      </c>
      <c r="FY234" s="27" t="s">
        <v>8</v>
      </c>
      <c r="FZ234" s="27" t="s">
        <v>7</v>
      </c>
      <c r="GC234" s="27" t="s">
        <v>8</v>
      </c>
      <c r="GE234" s="27" t="s">
        <v>8</v>
      </c>
      <c r="GG234" s="27" t="s">
        <v>8</v>
      </c>
      <c r="GV234" s="27" t="s">
        <v>7</v>
      </c>
      <c r="GW234" s="27" t="s">
        <v>8</v>
      </c>
      <c r="GX234" s="27" t="s">
        <v>7</v>
      </c>
      <c r="GZ234" s="27" t="s">
        <v>7</v>
      </c>
      <c r="HA234" s="27" t="s">
        <v>8</v>
      </c>
      <c r="HB234" s="27" t="s">
        <v>7</v>
      </c>
    </row>
    <row r="235" spans="1:219" x14ac:dyDescent="0.25">
      <c r="A235" s="30">
        <v>1.2762815625000004</v>
      </c>
      <c r="C235"/>
      <c r="E235"/>
      <c r="FS235" s="27" t="s">
        <v>8</v>
      </c>
      <c r="FT235" s="27" t="s">
        <v>7</v>
      </c>
      <c r="FV235" s="27" t="s">
        <v>7</v>
      </c>
      <c r="FW235" s="27" t="s">
        <v>8</v>
      </c>
      <c r="FX235" s="27" t="s">
        <v>7</v>
      </c>
      <c r="FZ235" s="27" t="s">
        <v>7</v>
      </c>
      <c r="GA235" s="27" t="s">
        <v>8</v>
      </c>
      <c r="GC235" s="27" t="s">
        <v>8</v>
      </c>
      <c r="GD235" s="27" t="s">
        <v>7</v>
      </c>
      <c r="GE235" s="27" t="s">
        <v>8</v>
      </c>
      <c r="GF235" s="27" t="s">
        <v>7</v>
      </c>
      <c r="GG235" s="27" t="s">
        <v>8</v>
      </c>
      <c r="GV235" s="27" t="s">
        <v>7</v>
      </c>
      <c r="GW235" s="27" t="s">
        <v>8</v>
      </c>
      <c r="GZ235" s="27" t="s">
        <v>7</v>
      </c>
      <c r="HA235" s="31"/>
    </row>
    <row r="236" spans="1:219" x14ac:dyDescent="0.25">
      <c r="A236" s="30">
        <v>1.2155062500000002</v>
      </c>
      <c r="E236"/>
      <c r="FS236" s="27" t="s">
        <v>8</v>
      </c>
      <c r="FV236" s="27" t="s">
        <v>7</v>
      </c>
      <c r="FW236" s="27" t="s">
        <v>8</v>
      </c>
      <c r="FZ236" s="27" t="s">
        <v>7</v>
      </c>
      <c r="GA236" s="27" t="s">
        <v>8</v>
      </c>
      <c r="GB236" s="27" t="s">
        <v>7</v>
      </c>
      <c r="GC236" s="27" t="s">
        <v>8</v>
      </c>
      <c r="GD236" s="27" t="s">
        <v>7</v>
      </c>
      <c r="GE236" s="27" t="s">
        <v>8</v>
      </c>
      <c r="GF236" s="27" t="s">
        <v>7</v>
      </c>
      <c r="GG236" s="27" t="s">
        <v>8</v>
      </c>
      <c r="GV236" s="27" t="s">
        <v>7</v>
      </c>
      <c r="GW236" s="27" t="s">
        <v>8</v>
      </c>
      <c r="GZ236" s="31"/>
    </row>
    <row r="237" spans="1:21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FS237" s="27" t="s">
        <v>8</v>
      </c>
      <c r="FV237" s="27" t="s">
        <v>7</v>
      </c>
      <c r="FZ237" s="27" t="s">
        <v>7</v>
      </c>
      <c r="GA237" s="27" t="s">
        <v>8</v>
      </c>
      <c r="GB237" s="27" t="s">
        <v>7</v>
      </c>
      <c r="GC237" s="27" t="s">
        <v>8</v>
      </c>
      <c r="GD237" s="27" t="s">
        <v>7</v>
      </c>
      <c r="GE237" s="27" t="s">
        <v>8</v>
      </c>
      <c r="GF237" s="27" t="s">
        <v>7</v>
      </c>
      <c r="GV237" s="27" t="s">
        <v>7</v>
      </c>
      <c r="GY237" s="31"/>
    </row>
    <row r="238" spans="1:219" x14ac:dyDescent="0.25">
      <c r="A238" s="30">
        <v>1.1025</v>
      </c>
      <c r="E238"/>
      <c r="FS238" s="27" t="s">
        <v>8</v>
      </c>
      <c r="FZ238" s="27" t="s">
        <v>7</v>
      </c>
      <c r="GA238" s="27" t="s">
        <v>8</v>
      </c>
      <c r="GB238" s="27" t="s">
        <v>7</v>
      </c>
      <c r="GC238" s="27" t="s">
        <v>8</v>
      </c>
      <c r="GD238" s="27" t="s">
        <v>7</v>
      </c>
      <c r="GX238" s="31"/>
    </row>
    <row r="239" spans="1:219" x14ac:dyDescent="0.25">
      <c r="A239" s="30">
        <v>1.05</v>
      </c>
      <c r="E239"/>
      <c r="FS239" s="27" t="s">
        <v>8</v>
      </c>
      <c r="FZ239" s="27" t="s">
        <v>7</v>
      </c>
      <c r="GA239" s="27" t="s">
        <v>8</v>
      </c>
      <c r="GB239" s="27" t="s">
        <v>7</v>
      </c>
      <c r="GW239" s="31"/>
    </row>
    <row r="240" spans="1:219" x14ac:dyDescent="0.25">
      <c r="A240" s="30">
        <v>1</v>
      </c>
      <c r="E240" s="29" t="s">
        <v>8</v>
      </c>
      <c r="FS240" s="27" t="s">
        <v>8</v>
      </c>
      <c r="FZ240" s="27" t="s">
        <v>7</v>
      </c>
      <c r="GA240" s="27" t="s">
        <v>8</v>
      </c>
      <c r="GV240" s="31"/>
    </row>
    <row r="241" spans="1:203" x14ac:dyDescent="0.25">
      <c r="A241" s="30">
        <v>0.952380952380952</v>
      </c>
      <c r="B241"/>
      <c r="C241"/>
      <c r="D241"/>
      <c r="E241"/>
      <c r="F241" s="27" t="s">
        <v>7</v>
      </c>
      <c r="FQ241" s="27" t="s">
        <v>8</v>
      </c>
      <c r="FS241" s="27" t="s">
        <v>8</v>
      </c>
      <c r="FZ241" s="27" t="s">
        <v>7</v>
      </c>
      <c r="GU241" s="31"/>
    </row>
    <row r="242" spans="1:203" x14ac:dyDescent="0.25">
      <c r="A242" s="30">
        <v>0.90702947845804915</v>
      </c>
      <c r="B242"/>
      <c r="C242"/>
      <c r="D242"/>
      <c r="E242"/>
      <c r="F242" s="27" t="s">
        <v>7</v>
      </c>
      <c r="EQ242" s="27" t="s">
        <v>8</v>
      </c>
      <c r="FQ242" s="27" t="s">
        <v>8</v>
      </c>
      <c r="FR242" s="27" t="s">
        <v>7</v>
      </c>
      <c r="FS242" s="27" t="s">
        <v>8</v>
      </c>
      <c r="GT242" s="31"/>
    </row>
    <row r="243" spans="1:203" x14ac:dyDescent="0.25">
      <c r="A243" s="30">
        <v>0.86383759853147501</v>
      </c>
      <c r="B243"/>
      <c r="C243"/>
      <c r="D243"/>
      <c r="E243"/>
      <c r="F243" s="27" t="s">
        <v>7</v>
      </c>
      <c r="DQ243" s="27" t="s">
        <v>8</v>
      </c>
      <c r="EQ243" s="27" t="s">
        <v>8</v>
      </c>
      <c r="ER243" s="27" t="s">
        <v>7</v>
      </c>
      <c r="FO243" s="27" t="s">
        <v>8</v>
      </c>
      <c r="FQ243" s="27" t="s">
        <v>8</v>
      </c>
      <c r="FR243" s="27" t="s">
        <v>7</v>
      </c>
      <c r="FS243" s="27" t="s">
        <v>8</v>
      </c>
      <c r="GS243" s="31"/>
    </row>
    <row r="244" spans="1:203" x14ac:dyDescent="0.25">
      <c r="A244" s="30">
        <v>0.82270247479188063</v>
      </c>
      <c r="B244"/>
      <c r="C244"/>
      <c r="D244"/>
      <c r="E244"/>
      <c r="F244" s="27" t="s">
        <v>7</v>
      </c>
      <c r="DQ244" s="27" t="s">
        <v>8</v>
      </c>
      <c r="DR244" s="27" t="s">
        <v>7</v>
      </c>
      <c r="EM244" s="27" t="s">
        <v>8</v>
      </c>
      <c r="EO244" s="27" t="s">
        <v>8</v>
      </c>
      <c r="EQ244" s="27" t="s">
        <v>8</v>
      </c>
      <c r="ER244" s="27" t="s">
        <v>7</v>
      </c>
      <c r="FO244" s="27" t="s">
        <v>8</v>
      </c>
      <c r="FP244" s="27" t="s">
        <v>7</v>
      </c>
      <c r="FQ244" s="27" t="s">
        <v>8</v>
      </c>
      <c r="FR244" s="27" t="s">
        <v>7</v>
      </c>
      <c r="GR244" s="31"/>
    </row>
    <row r="245" spans="1:203" x14ac:dyDescent="0.25">
      <c r="A245" s="30">
        <v>0.78352616646845741</v>
      </c>
      <c r="B245"/>
      <c r="C245"/>
      <c r="D245"/>
      <c r="E245"/>
      <c r="F245" s="27" t="s">
        <v>7</v>
      </c>
      <c r="DQ245" s="27" t="s">
        <v>8</v>
      </c>
      <c r="DR245" s="27" t="s">
        <v>7</v>
      </c>
      <c r="EM245" s="27" t="s">
        <v>8</v>
      </c>
      <c r="EN245" s="27" t="s">
        <v>7</v>
      </c>
      <c r="EO245" s="27" t="s">
        <v>8</v>
      </c>
      <c r="EP245" s="27" t="s">
        <v>7</v>
      </c>
      <c r="EQ245" s="27" t="s">
        <v>8</v>
      </c>
      <c r="ER245" s="27" t="s">
        <v>7</v>
      </c>
      <c r="FO245" s="27" t="s">
        <v>8</v>
      </c>
      <c r="FP245" s="27" t="s">
        <v>7</v>
      </c>
      <c r="FQ245" s="27" t="s">
        <v>8</v>
      </c>
      <c r="GQ245" s="31"/>
    </row>
    <row r="246" spans="1:203" x14ac:dyDescent="0.25">
      <c r="A246" s="30">
        <v>0.74621539663662584</v>
      </c>
      <c r="B246"/>
      <c r="C246"/>
      <c r="D246"/>
      <c r="E246"/>
      <c r="F246" s="27" t="s">
        <v>7</v>
      </c>
      <c r="DQ246" s="27" t="s">
        <v>8</v>
      </c>
      <c r="DR246" s="27" t="s">
        <v>7</v>
      </c>
      <c r="EM246" s="27" t="s">
        <v>8</v>
      </c>
      <c r="EN246" s="27" t="s">
        <v>7</v>
      </c>
      <c r="EO246" s="27" t="s">
        <v>8</v>
      </c>
      <c r="EP246" s="27" t="s">
        <v>7</v>
      </c>
      <c r="EQ246" s="27" t="s">
        <v>8</v>
      </c>
      <c r="ER246" s="27" t="s">
        <v>7</v>
      </c>
      <c r="EW246" s="31" t="s">
        <v>8</v>
      </c>
      <c r="FO246" s="27" t="s">
        <v>8</v>
      </c>
      <c r="FP246" s="27" t="s">
        <v>7</v>
      </c>
      <c r="FQ246" s="27" t="s">
        <v>8</v>
      </c>
      <c r="GP246" s="31"/>
    </row>
    <row r="247" spans="1:203" x14ac:dyDescent="0.25">
      <c r="A247" s="30">
        <v>0.71068133013011958</v>
      </c>
      <c r="B247"/>
      <c r="C247"/>
      <c r="D247"/>
      <c r="E247"/>
      <c r="F247" s="27" t="s">
        <v>7</v>
      </c>
      <c r="DQ247" s="27" t="s">
        <v>8</v>
      </c>
      <c r="DR247" s="27" t="s">
        <v>7</v>
      </c>
      <c r="EM247" s="27" t="s">
        <v>8</v>
      </c>
      <c r="EN247" s="27" t="s">
        <v>7</v>
      </c>
      <c r="EO247" s="27" t="s">
        <v>8</v>
      </c>
      <c r="EP247" s="27" t="s">
        <v>7</v>
      </c>
      <c r="ER247" s="27" t="s">
        <v>7</v>
      </c>
      <c r="ES247" s="27" t="s">
        <v>8</v>
      </c>
      <c r="EU247" s="27" t="s">
        <v>8</v>
      </c>
      <c r="EW247" s="27" t="s">
        <v>8</v>
      </c>
      <c r="EX247" s="31" t="s">
        <v>7</v>
      </c>
      <c r="FO247" s="27" t="s">
        <v>8</v>
      </c>
      <c r="FP247" s="27" t="s">
        <v>7</v>
      </c>
      <c r="GO247" s="31"/>
    </row>
    <row r="248" spans="1:203" x14ac:dyDescent="0.25">
      <c r="A248" s="30">
        <v>0.676839362028685</v>
      </c>
      <c r="B248"/>
      <c r="C248"/>
      <c r="D248"/>
      <c r="E248"/>
      <c r="F248" s="27" t="s">
        <v>7</v>
      </c>
      <c r="DQ248" s="27" t="s">
        <v>8</v>
      </c>
      <c r="DR248" s="27" t="s">
        <v>7</v>
      </c>
      <c r="EM248" s="27" t="s">
        <v>8</v>
      </c>
      <c r="EN248" s="27" t="s">
        <v>7</v>
      </c>
      <c r="EO248" s="27" t="s">
        <v>8</v>
      </c>
      <c r="ER248" s="27" t="s">
        <v>7</v>
      </c>
      <c r="ES248" s="27" t="s">
        <v>8</v>
      </c>
      <c r="ET248" s="27" t="s">
        <v>7</v>
      </c>
      <c r="EU248" s="27" t="s">
        <v>8</v>
      </c>
      <c r="EV248" s="27" t="s">
        <v>7</v>
      </c>
      <c r="EW248" s="27" t="s">
        <v>8</v>
      </c>
      <c r="EX248" s="27" t="s">
        <v>7</v>
      </c>
      <c r="EY248" s="31"/>
      <c r="FO248" s="27" t="s">
        <v>8</v>
      </c>
      <c r="GN248" s="31"/>
    </row>
    <row r="249" spans="1:203" x14ac:dyDescent="0.25">
      <c r="A249" s="30">
        <v>0.64460891621779492</v>
      </c>
      <c r="B249"/>
      <c r="C249"/>
      <c r="D249"/>
      <c r="E249"/>
      <c r="F249" s="27" t="s">
        <v>7</v>
      </c>
      <c r="DQ249" s="27" t="s">
        <v>8</v>
      </c>
      <c r="DR249" s="27" t="s">
        <v>7</v>
      </c>
      <c r="DS249" s="27" t="s">
        <v>8</v>
      </c>
      <c r="EM249" s="27" t="s">
        <v>8</v>
      </c>
      <c r="EN249" s="27" t="s">
        <v>7</v>
      </c>
      <c r="ER249" s="27" t="s">
        <v>7</v>
      </c>
      <c r="ES249" s="27" t="s">
        <v>8</v>
      </c>
      <c r="ET249" s="27" t="s">
        <v>7</v>
      </c>
      <c r="EU249" s="27" t="s">
        <v>8</v>
      </c>
      <c r="EV249" s="27" t="s">
        <v>7</v>
      </c>
      <c r="EW249" s="27" t="s">
        <v>8</v>
      </c>
      <c r="EX249" s="27" t="s">
        <v>7</v>
      </c>
      <c r="EZ249" s="31"/>
      <c r="FO249" s="27" t="s">
        <v>8</v>
      </c>
      <c r="GM249" s="31"/>
    </row>
    <row r="250" spans="1:203" x14ac:dyDescent="0.25">
      <c r="A250" s="30">
        <v>0.61391325354075688</v>
      </c>
      <c r="B250"/>
      <c r="C250"/>
      <c r="D250"/>
      <c r="E250"/>
      <c r="F250" s="27" t="s">
        <v>7</v>
      </c>
      <c r="DQ250" s="27" t="s">
        <v>8</v>
      </c>
      <c r="DR250" s="27" t="s">
        <v>7</v>
      </c>
      <c r="DS250" s="27" t="s">
        <v>8</v>
      </c>
      <c r="DT250" s="27" t="s">
        <v>7</v>
      </c>
      <c r="EM250" s="27" t="s">
        <v>8</v>
      </c>
      <c r="ER250" s="27" t="s">
        <v>7</v>
      </c>
      <c r="ES250" s="27" t="s">
        <v>8</v>
      </c>
      <c r="ET250" s="27" t="s">
        <v>7</v>
      </c>
      <c r="EV250" s="27" t="s">
        <v>7</v>
      </c>
      <c r="EW250" s="27" t="s">
        <v>8</v>
      </c>
      <c r="EX250" s="27" t="s">
        <v>7</v>
      </c>
      <c r="FA250" s="31"/>
      <c r="FO250" s="27" t="s">
        <v>8</v>
      </c>
      <c r="GL250" s="31"/>
    </row>
    <row r="251" spans="1:203" x14ac:dyDescent="0.25">
      <c r="A251" s="30">
        <v>0.58467928908643485</v>
      </c>
      <c r="B251"/>
      <c r="C251"/>
      <c r="D251"/>
      <c r="E251"/>
      <c r="F251" s="27" t="s">
        <v>7</v>
      </c>
      <c r="DQ251" s="27" t="s">
        <v>8</v>
      </c>
      <c r="DR251" s="27" t="s">
        <v>7</v>
      </c>
      <c r="DS251" s="27" t="s">
        <v>8</v>
      </c>
      <c r="DT251" s="27" t="s">
        <v>7</v>
      </c>
      <c r="DU251" s="27" t="s">
        <v>8</v>
      </c>
      <c r="EM251" s="27" t="s">
        <v>8</v>
      </c>
      <c r="ER251" s="27" t="s">
        <v>7</v>
      </c>
      <c r="EV251" s="27" t="s">
        <v>7</v>
      </c>
      <c r="EW251" s="27" t="s">
        <v>8</v>
      </c>
      <c r="EX251" s="27" t="s">
        <v>7</v>
      </c>
      <c r="FB251" s="31"/>
      <c r="FM251" s="27" t="s">
        <v>8</v>
      </c>
      <c r="FO251" s="27" t="s">
        <v>8</v>
      </c>
      <c r="GK251" s="31"/>
    </row>
    <row r="252" spans="1:203" x14ac:dyDescent="0.25">
      <c r="A252" s="30">
        <v>0.55683741817755672</v>
      </c>
      <c r="B252"/>
      <c r="C252"/>
      <c r="D252"/>
      <c r="E252"/>
      <c r="F252" s="27" t="s">
        <v>7</v>
      </c>
      <c r="DQ252" s="27" t="s">
        <v>8</v>
      </c>
      <c r="DR252" s="27" t="s">
        <v>7</v>
      </c>
      <c r="DS252" s="27" t="s">
        <v>8</v>
      </c>
      <c r="DT252" s="27" t="s">
        <v>7</v>
      </c>
      <c r="DU252" s="27" t="s">
        <v>8</v>
      </c>
      <c r="DV252" s="27" t="s">
        <v>7</v>
      </c>
      <c r="EG252" s="27" t="s">
        <v>8</v>
      </c>
      <c r="EI252" s="27" t="s">
        <v>8</v>
      </c>
      <c r="EM252" s="27" t="s">
        <v>8</v>
      </c>
      <c r="EV252" s="27" t="s">
        <v>7</v>
      </c>
      <c r="EX252" s="27" t="s">
        <v>7</v>
      </c>
      <c r="FC252" s="31"/>
      <c r="FM252" s="27" t="s">
        <v>8</v>
      </c>
      <c r="FN252" s="27" t="s">
        <v>7</v>
      </c>
      <c r="FO252" s="27" t="s">
        <v>8</v>
      </c>
      <c r="GJ252" s="31"/>
    </row>
    <row r="253" spans="1:203" x14ac:dyDescent="0.25">
      <c r="A253" s="30">
        <v>0.53032135064529184</v>
      </c>
      <c r="B253"/>
      <c r="C253"/>
      <c r="D253"/>
      <c r="E253"/>
      <c r="F253" s="27" t="s">
        <v>7</v>
      </c>
      <c r="DQ253" s="27" t="s">
        <v>8</v>
      </c>
      <c r="DR253" s="27" t="s">
        <v>7</v>
      </c>
      <c r="DS253" s="27" t="s">
        <v>8</v>
      </c>
      <c r="DT253" s="27" t="s">
        <v>7</v>
      </c>
      <c r="DU253" s="27" t="s">
        <v>8</v>
      </c>
      <c r="DV253" s="27" t="s">
        <v>7</v>
      </c>
      <c r="DW253" s="27" t="s">
        <v>8</v>
      </c>
      <c r="EG253" s="27" t="s">
        <v>8</v>
      </c>
      <c r="EH253" s="27" t="s">
        <v>7</v>
      </c>
      <c r="EI253" s="27" t="s">
        <v>8</v>
      </c>
      <c r="EJ253" s="27" t="s">
        <v>7</v>
      </c>
      <c r="EM253" s="27" t="s">
        <v>8</v>
      </c>
      <c r="EX253" s="32" t="s">
        <v>7</v>
      </c>
      <c r="FD253" s="31"/>
      <c r="FM253" s="27" t="s">
        <v>8</v>
      </c>
      <c r="FN253" s="27" t="s">
        <v>7</v>
      </c>
      <c r="FO253" s="27" t="s">
        <v>8</v>
      </c>
      <c r="GI253" s="31"/>
    </row>
    <row r="254" spans="1:203" x14ac:dyDescent="0.25">
      <c r="A254" s="30">
        <v>0.50506795299551588</v>
      </c>
      <c r="B254"/>
      <c r="C254"/>
      <c r="D254"/>
      <c r="E254"/>
      <c r="F254" s="27" t="s">
        <v>7</v>
      </c>
      <c r="DQ254" s="27" t="s">
        <v>8</v>
      </c>
      <c r="DR254" s="27" t="s">
        <v>7</v>
      </c>
      <c r="DS254" s="27" t="s">
        <v>8</v>
      </c>
      <c r="DT254" s="27" t="s">
        <v>7</v>
      </c>
      <c r="DV254" s="27" t="s">
        <v>7</v>
      </c>
      <c r="DW254" s="27" t="s">
        <v>8</v>
      </c>
      <c r="DX254" s="27" t="s">
        <v>7</v>
      </c>
      <c r="EG254" s="27" t="s">
        <v>8</v>
      </c>
      <c r="EH254" s="27" t="s">
        <v>7</v>
      </c>
      <c r="EI254" s="27" t="s">
        <v>8</v>
      </c>
      <c r="EJ254" s="27" t="s">
        <v>7</v>
      </c>
      <c r="EM254" s="27" t="s">
        <v>8</v>
      </c>
      <c r="EX254" s="27" t="s">
        <v>7</v>
      </c>
      <c r="FE254" s="31"/>
      <c r="FM254" s="27" t="s">
        <v>8</v>
      </c>
      <c r="FN254" s="27" t="s">
        <v>7</v>
      </c>
      <c r="FO254" s="27" t="s">
        <v>8</v>
      </c>
      <c r="GH254" s="31"/>
    </row>
    <row r="255" spans="1:203" x14ac:dyDescent="0.25">
      <c r="A255" s="30">
        <v>0.48101709809096732</v>
      </c>
      <c r="E255"/>
      <c r="F255" s="27" t="s">
        <v>7</v>
      </c>
      <c r="DQ255" s="27" t="s">
        <v>8</v>
      </c>
      <c r="DR255" s="27" t="s">
        <v>7</v>
      </c>
      <c r="DS255" s="27" t="s">
        <v>8</v>
      </c>
      <c r="DV255" s="27" t="s">
        <v>7</v>
      </c>
      <c r="DW255" s="27" t="s">
        <v>8</v>
      </c>
      <c r="DX255" s="27" t="s">
        <v>7</v>
      </c>
      <c r="EA255" s="27" t="s">
        <v>8</v>
      </c>
      <c r="EG255" s="27" t="s">
        <v>8</v>
      </c>
      <c r="EH255" s="27" t="s">
        <v>7</v>
      </c>
      <c r="EI255" s="27" t="s">
        <v>8</v>
      </c>
      <c r="EJ255" s="27" t="s">
        <v>7</v>
      </c>
      <c r="EM255" s="27" t="s">
        <v>8</v>
      </c>
      <c r="EX255" s="27" t="s">
        <v>7</v>
      </c>
      <c r="FF255" s="31"/>
      <c r="FM255" s="27" t="s">
        <v>8</v>
      </c>
      <c r="FN255" s="27" t="s">
        <v>7</v>
      </c>
      <c r="FO255" s="27" t="s">
        <v>8</v>
      </c>
      <c r="GG255" s="31"/>
    </row>
    <row r="256" spans="1:203" x14ac:dyDescent="0.25">
      <c r="A256" s="30">
        <v>0.45811152199139726</v>
      </c>
      <c r="E256"/>
      <c r="F256" s="27" t="s">
        <v>7</v>
      </c>
      <c r="DQ256" s="27" t="s">
        <v>8</v>
      </c>
      <c r="DR256" s="27" t="s">
        <v>7</v>
      </c>
      <c r="DS256" s="27" t="s">
        <v>8</v>
      </c>
      <c r="DV256" s="27" t="s">
        <v>7</v>
      </c>
      <c r="DW256" s="27" t="s">
        <v>8</v>
      </c>
      <c r="DX256" s="27" t="s">
        <v>7</v>
      </c>
      <c r="EA256" s="27" t="s">
        <v>8</v>
      </c>
      <c r="EB256" s="27" t="s">
        <v>7</v>
      </c>
      <c r="EC256" s="27" t="s">
        <v>8</v>
      </c>
      <c r="EE256" s="27" t="s">
        <v>8</v>
      </c>
      <c r="EG256" s="27" t="s">
        <v>8</v>
      </c>
      <c r="EH256" s="27" t="s">
        <v>7</v>
      </c>
      <c r="EI256" s="27" t="s">
        <v>8</v>
      </c>
      <c r="EJ256" s="27" t="s">
        <v>7</v>
      </c>
      <c r="EM256" s="27" t="s">
        <v>8</v>
      </c>
      <c r="EX256" s="27" t="s">
        <v>7</v>
      </c>
      <c r="FG256" s="31"/>
      <c r="FK256" s="27" t="s">
        <v>8</v>
      </c>
      <c r="FM256" s="27" t="s">
        <v>8</v>
      </c>
      <c r="FN256" s="27" t="s">
        <v>7</v>
      </c>
      <c r="FO256" s="27" t="s">
        <v>8</v>
      </c>
      <c r="GF256" s="31"/>
    </row>
    <row r="257" spans="1:187" x14ac:dyDescent="0.25">
      <c r="A257" s="30">
        <v>0.43629668761085438</v>
      </c>
      <c r="B257"/>
      <c r="C257"/>
      <c r="D257"/>
      <c r="E257"/>
      <c r="F257" s="27" t="s">
        <v>7</v>
      </c>
      <c r="DQ257" s="27" t="s">
        <v>8</v>
      </c>
      <c r="DR257" s="27" t="s">
        <v>7</v>
      </c>
      <c r="DS257" s="27" t="s">
        <v>8</v>
      </c>
      <c r="DV257" s="27" t="s">
        <v>7</v>
      </c>
      <c r="DX257" s="27" t="s">
        <v>7</v>
      </c>
      <c r="DY257" s="27" t="s">
        <v>8</v>
      </c>
      <c r="EA257" s="27" t="s">
        <v>8</v>
      </c>
      <c r="EB257" s="27" t="s">
        <v>7</v>
      </c>
      <c r="EC257" s="27" t="s">
        <v>8</v>
      </c>
      <c r="ED257" s="27" t="s">
        <v>7</v>
      </c>
      <c r="EE257" s="27" t="s">
        <v>8</v>
      </c>
      <c r="EF257" s="27" t="s">
        <v>7</v>
      </c>
      <c r="EG257" s="27" t="s">
        <v>8</v>
      </c>
      <c r="EH257" s="27" t="s">
        <v>7</v>
      </c>
      <c r="EI257" s="27" t="s">
        <v>8</v>
      </c>
      <c r="EJ257" s="27" t="s">
        <v>7</v>
      </c>
      <c r="EM257" s="27" t="s">
        <v>8</v>
      </c>
      <c r="EX257" s="27" t="s">
        <v>7</v>
      </c>
      <c r="FH257" s="31"/>
      <c r="FK257" s="27" t="s">
        <v>8</v>
      </c>
      <c r="FL257" s="27" t="s">
        <v>7</v>
      </c>
      <c r="FM257" s="27" t="s">
        <v>8</v>
      </c>
      <c r="FN257" s="27" t="s">
        <v>7</v>
      </c>
      <c r="GE257" s="31"/>
    </row>
    <row r="258" spans="1:187" x14ac:dyDescent="0.25">
      <c r="A258" s="30">
        <v>0.41552065486748019</v>
      </c>
      <c r="B258"/>
      <c r="C258"/>
      <c r="D258"/>
      <c r="E258"/>
      <c r="F258" s="27" t="s">
        <v>7</v>
      </c>
      <c r="DQ258" s="27" t="s">
        <v>8</v>
      </c>
      <c r="DR258" s="27" t="s">
        <v>7</v>
      </c>
      <c r="DS258" s="27" t="s">
        <v>8</v>
      </c>
      <c r="DX258" s="27" t="s">
        <v>7</v>
      </c>
      <c r="DY258" s="27" t="s">
        <v>8</v>
      </c>
      <c r="DZ258" s="27" t="s">
        <v>7</v>
      </c>
      <c r="EA258" s="27" t="s">
        <v>8</v>
      </c>
      <c r="EB258" s="27" t="s">
        <v>7</v>
      </c>
      <c r="EC258" s="27" t="s">
        <v>8</v>
      </c>
      <c r="ED258" s="27" t="s">
        <v>7</v>
      </c>
      <c r="EE258" s="27" t="s">
        <v>8</v>
      </c>
      <c r="EF258" s="27" t="s">
        <v>7</v>
      </c>
      <c r="EG258" s="27" t="s">
        <v>8</v>
      </c>
      <c r="EH258" s="27" t="s">
        <v>7</v>
      </c>
      <c r="EI258" s="27" t="s">
        <v>8</v>
      </c>
      <c r="EJ258" s="27" t="s">
        <v>7</v>
      </c>
      <c r="EK258" s="27" t="s">
        <v>8</v>
      </c>
      <c r="EM258" s="27" t="s">
        <v>8</v>
      </c>
      <c r="EX258" s="27" t="s">
        <v>7</v>
      </c>
      <c r="FI258" s="31"/>
      <c r="FK258" s="27" t="s">
        <v>8</v>
      </c>
      <c r="FL258" s="27" t="s">
        <v>7</v>
      </c>
      <c r="FM258" s="27" t="s">
        <v>8</v>
      </c>
      <c r="GD258" s="31"/>
    </row>
    <row r="259" spans="1:187" x14ac:dyDescent="0.25">
      <c r="A259" s="30">
        <v>0.39573395701664765</v>
      </c>
      <c r="B259"/>
      <c r="C259"/>
      <c r="D259"/>
      <c r="E259"/>
      <c r="F259" s="27" t="s">
        <v>7</v>
      </c>
      <c r="DQ259" s="27" t="s">
        <v>8</v>
      </c>
      <c r="DR259" s="27" t="s">
        <v>7</v>
      </c>
      <c r="DX259" s="27" t="s">
        <v>7</v>
      </c>
      <c r="DY259" s="27" t="s">
        <v>8</v>
      </c>
      <c r="DZ259" s="27" t="s">
        <v>7</v>
      </c>
      <c r="EA259" s="27" t="s">
        <v>8</v>
      </c>
      <c r="EB259" s="27" t="s">
        <v>7</v>
      </c>
      <c r="EC259" s="27" t="s">
        <v>8</v>
      </c>
      <c r="ED259" s="27" t="s">
        <v>7</v>
      </c>
      <c r="EF259" s="27" t="s">
        <v>7</v>
      </c>
      <c r="EH259" s="27" t="s">
        <v>7</v>
      </c>
      <c r="EJ259" s="27" t="s">
        <v>7</v>
      </c>
      <c r="EK259" s="27" t="s">
        <v>8</v>
      </c>
      <c r="EL259" s="27" t="s">
        <v>7</v>
      </c>
      <c r="EM259" s="27" t="s">
        <v>8</v>
      </c>
      <c r="EX259" s="27" t="s">
        <v>7</v>
      </c>
      <c r="EY259" s="27" t="s">
        <v>8</v>
      </c>
      <c r="FA259" s="27" t="s">
        <v>8</v>
      </c>
      <c r="FJ259" s="31"/>
      <c r="FK259" s="27" t="s">
        <v>8</v>
      </c>
      <c r="FL259" s="27" t="s">
        <v>7</v>
      </c>
      <c r="FM259" s="27" t="s">
        <v>8</v>
      </c>
      <c r="GC259" s="31"/>
    </row>
    <row r="260" spans="1:187" x14ac:dyDescent="0.25">
      <c r="A260" s="30">
        <v>0.37688948287299762</v>
      </c>
      <c r="B260"/>
      <c r="C260"/>
      <c r="D260"/>
      <c r="E260"/>
      <c r="F260" s="27" t="s">
        <v>7</v>
      </c>
      <c r="DQ260" s="27" t="s">
        <v>8</v>
      </c>
      <c r="DX260" s="27" t="s">
        <v>7</v>
      </c>
      <c r="DY260" s="27" t="s">
        <v>8</v>
      </c>
      <c r="DZ260" s="27" t="s">
        <v>7</v>
      </c>
      <c r="EA260" s="27" t="s">
        <v>8</v>
      </c>
      <c r="EB260" s="27" t="s">
        <v>7</v>
      </c>
      <c r="EC260" s="27" t="s">
        <v>8</v>
      </c>
      <c r="EJ260" s="27" t="s">
        <v>7</v>
      </c>
      <c r="EK260" s="27" t="s">
        <v>8</v>
      </c>
      <c r="EL260" s="27" t="s">
        <v>7</v>
      </c>
      <c r="EM260" s="27" t="s">
        <v>8</v>
      </c>
      <c r="EX260" s="27" t="s">
        <v>7</v>
      </c>
      <c r="EY260" s="27" t="s">
        <v>8</v>
      </c>
      <c r="EZ260" s="27" t="s">
        <v>7</v>
      </c>
      <c r="FA260" s="27" t="s">
        <v>8</v>
      </c>
      <c r="FB260" s="27" t="s">
        <v>7</v>
      </c>
      <c r="FK260" s="31" t="s">
        <v>8</v>
      </c>
      <c r="FL260" s="27" t="s">
        <v>7</v>
      </c>
      <c r="GB260" s="31"/>
    </row>
    <row r="261" spans="1:187" x14ac:dyDescent="0.25">
      <c r="A261" s="30">
        <v>0.35894236464094997</v>
      </c>
      <c r="B261"/>
      <c r="C261"/>
      <c r="D261"/>
      <c r="E261"/>
      <c r="F261" s="27" t="s">
        <v>7</v>
      </c>
      <c r="DQ261" s="27" t="s">
        <v>8</v>
      </c>
      <c r="DX261" s="27" t="s">
        <v>7</v>
      </c>
      <c r="DZ261" s="27" t="s">
        <v>7</v>
      </c>
      <c r="EB261" s="27" t="s">
        <v>7</v>
      </c>
      <c r="EC261" s="27" t="s">
        <v>8</v>
      </c>
      <c r="EJ261" s="27" t="s">
        <v>7</v>
      </c>
      <c r="EK261" s="27" t="s">
        <v>8</v>
      </c>
      <c r="EL261" s="27" t="s">
        <v>7</v>
      </c>
      <c r="EM261" s="27" t="s">
        <v>8</v>
      </c>
      <c r="EX261" s="27" t="s">
        <v>7</v>
      </c>
      <c r="EY261" s="27" t="s">
        <v>8</v>
      </c>
      <c r="EZ261" s="27" t="s">
        <v>7</v>
      </c>
      <c r="FA261" s="27" t="s">
        <v>8</v>
      </c>
      <c r="FB261" s="27" t="s">
        <v>7</v>
      </c>
      <c r="FK261" s="27" t="s">
        <v>8</v>
      </c>
      <c r="FL261" s="31"/>
      <c r="GA261" s="31"/>
    </row>
    <row r="262" spans="1:187" x14ac:dyDescent="0.25">
      <c r="A262" s="30">
        <v>0.34184987108661891</v>
      </c>
      <c r="B262"/>
      <c r="C262"/>
      <c r="D262"/>
      <c r="E262"/>
      <c r="F262" s="27" t="s">
        <v>7</v>
      </c>
      <c r="DQ262" s="27" t="s">
        <v>8</v>
      </c>
      <c r="EB262" s="27" t="s">
        <v>7</v>
      </c>
      <c r="EC262" s="27" t="s">
        <v>8</v>
      </c>
      <c r="EJ262" s="27" t="s">
        <v>7</v>
      </c>
      <c r="EK262" s="27" t="s">
        <v>8</v>
      </c>
      <c r="EL262" s="27" t="s">
        <v>7</v>
      </c>
      <c r="EM262" s="27" t="s">
        <v>8</v>
      </c>
      <c r="EX262" s="27" t="s">
        <v>7</v>
      </c>
      <c r="EY262" s="27" t="s">
        <v>8</v>
      </c>
      <c r="EZ262" s="27" t="s">
        <v>7</v>
      </c>
      <c r="FA262" s="27" t="s">
        <v>8</v>
      </c>
      <c r="FB262" s="27" t="s">
        <v>7</v>
      </c>
      <c r="FE262" s="27" t="s">
        <v>8</v>
      </c>
      <c r="FK262" s="27" t="s">
        <v>8</v>
      </c>
      <c r="FM262" s="31"/>
      <c r="FZ262" s="31"/>
    </row>
    <row r="263" spans="1:187" x14ac:dyDescent="0.25">
      <c r="A263" s="30">
        <v>0.32557130579677979</v>
      </c>
      <c r="B263"/>
      <c r="C263"/>
      <c r="D263"/>
      <c r="E263"/>
      <c r="F263" s="27" t="s">
        <v>7</v>
      </c>
      <c r="DQ263" s="27" t="s">
        <v>8</v>
      </c>
      <c r="EB263" s="27" t="s">
        <v>7</v>
      </c>
      <c r="EC263" s="27" t="s">
        <v>8</v>
      </c>
      <c r="EJ263" s="27" t="s">
        <v>7</v>
      </c>
      <c r="EL263" s="27" t="s">
        <v>7</v>
      </c>
      <c r="EM263" s="27" t="s">
        <v>8</v>
      </c>
      <c r="EX263" s="27" t="s">
        <v>7</v>
      </c>
      <c r="EY263" s="27" t="s">
        <v>8</v>
      </c>
      <c r="EZ263" s="27" t="s">
        <v>7</v>
      </c>
      <c r="FA263" s="27" t="s">
        <v>8</v>
      </c>
      <c r="FB263" s="27" t="s">
        <v>7</v>
      </c>
      <c r="FE263" s="33" t="s">
        <v>8</v>
      </c>
      <c r="FF263" s="27" t="s">
        <v>7</v>
      </c>
      <c r="FK263" s="27" t="s">
        <v>8</v>
      </c>
      <c r="FN263" s="31"/>
      <c r="FY263" s="31"/>
    </row>
    <row r="264" spans="1:187" x14ac:dyDescent="0.25">
      <c r="A264" s="30">
        <v>0.3100679102826473</v>
      </c>
      <c r="B264"/>
      <c r="C264"/>
      <c r="D264"/>
      <c r="E264"/>
      <c r="F264" s="27" t="s">
        <v>7</v>
      </c>
      <c r="DQ264" s="27" t="s">
        <v>8</v>
      </c>
      <c r="EB264" s="27" t="s">
        <v>7</v>
      </c>
      <c r="EC264" s="27" t="s">
        <v>8</v>
      </c>
      <c r="EL264" s="27" t="s">
        <v>7</v>
      </c>
      <c r="EM264" s="27" t="s">
        <v>8</v>
      </c>
      <c r="EX264" s="27" t="s">
        <v>7</v>
      </c>
      <c r="EY264" s="27" t="s">
        <v>8</v>
      </c>
      <c r="EZ264" s="27" t="s">
        <v>7</v>
      </c>
      <c r="FA264" s="27" t="s">
        <v>8</v>
      </c>
      <c r="FB264" s="27" t="s">
        <v>7</v>
      </c>
      <c r="FC264" s="27" t="s">
        <v>8</v>
      </c>
      <c r="FE264" s="27" t="s">
        <v>8</v>
      </c>
      <c r="FF264" s="27" t="s">
        <v>7</v>
      </c>
      <c r="FK264" s="27" t="s">
        <v>8</v>
      </c>
      <c r="FX264" s="31"/>
    </row>
    <row r="265" spans="1:187" x14ac:dyDescent="0.25">
      <c r="A265" s="30">
        <v>0.2953027716977592</v>
      </c>
      <c r="B265"/>
      <c r="C265"/>
      <c r="D265"/>
      <c r="E265"/>
      <c r="F265" s="27" t="s">
        <v>7</v>
      </c>
      <c r="DQ265" s="27" t="s">
        <v>8</v>
      </c>
      <c r="EB265" s="27" t="s">
        <v>7</v>
      </c>
      <c r="EL265" s="27" t="s">
        <v>7</v>
      </c>
      <c r="EM265" s="27" t="s">
        <v>8</v>
      </c>
      <c r="EX265" s="27" t="s">
        <v>7</v>
      </c>
      <c r="EY265" s="27" t="s">
        <v>8</v>
      </c>
      <c r="EZ265" s="27" t="s">
        <v>7</v>
      </c>
      <c r="FA265" s="27" t="s">
        <v>8</v>
      </c>
      <c r="FB265" s="27" t="s">
        <v>7</v>
      </c>
      <c r="FC265" s="27" t="s">
        <v>8</v>
      </c>
      <c r="FD265" s="27" t="s">
        <v>7</v>
      </c>
      <c r="FE265" s="27" t="s">
        <v>8</v>
      </c>
      <c r="FF265" s="27" t="s">
        <v>7</v>
      </c>
      <c r="FK265" s="27" t="s">
        <v>8</v>
      </c>
      <c r="FW265" s="31"/>
    </row>
    <row r="266" spans="1:187" x14ac:dyDescent="0.25">
      <c r="A266" s="30">
        <v>0.28124073495024676</v>
      </c>
      <c r="B266"/>
      <c r="C266"/>
      <c r="D266"/>
      <c r="E266"/>
      <c r="F266" s="27" t="s">
        <v>7</v>
      </c>
      <c r="DQ266" s="27" t="s">
        <v>8</v>
      </c>
      <c r="EL266" s="27" t="s">
        <v>7</v>
      </c>
      <c r="EM266" s="27" t="s">
        <v>8</v>
      </c>
      <c r="EX266" s="27" t="s">
        <v>7</v>
      </c>
      <c r="EY266" s="27" t="s">
        <v>8</v>
      </c>
      <c r="EZ266" s="27" t="s">
        <v>7</v>
      </c>
      <c r="FA266" s="27" t="s">
        <v>8</v>
      </c>
      <c r="FB266" s="27" t="s">
        <v>7</v>
      </c>
      <c r="FC266" s="27" t="s">
        <v>8</v>
      </c>
      <c r="FD266" s="27" t="s">
        <v>7</v>
      </c>
      <c r="FE266" s="27" t="s">
        <v>8</v>
      </c>
      <c r="FF266" s="27" t="s">
        <v>7</v>
      </c>
      <c r="FK266" s="33" t="s">
        <v>8</v>
      </c>
      <c r="FV266" s="31"/>
    </row>
    <row r="267" spans="1:187" x14ac:dyDescent="0.25">
      <c r="A267" s="30">
        <v>0.26784831900023492</v>
      </c>
      <c r="B267"/>
      <c r="C267"/>
      <c r="D267"/>
      <c r="E267"/>
      <c r="F267" s="27" t="s">
        <v>7</v>
      </c>
      <c r="DQ267" s="27" t="s">
        <v>8</v>
      </c>
      <c r="EL267" s="27" t="s">
        <v>7</v>
      </c>
      <c r="EM267" s="27" t="s">
        <v>8</v>
      </c>
      <c r="EX267" s="27" t="s">
        <v>7</v>
      </c>
      <c r="EY267" s="27" t="s">
        <v>8</v>
      </c>
      <c r="EZ267" s="27" t="s">
        <v>7</v>
      </c>
      <c r="FB267" s="27" t="s">
        <v>7</v>
      </c>
      <c r="FD267" s="27" t="s">
        <v>7</v>
      </c>
      <c r="FE267" s="27" t="s">
        <v>8</v>
      </c>
      <c r="FF267" s="27" t="s">
        <v>7</v>
      </c>
      <c r="FG267" s="27" t="s">
        <v>8</v>
      </c>
      <c r="FI267" s="27" t="s">
        <v>8</v>
      </c>
      <c r="FK267" s="27" t="s">
        <v>8</v>
      </c>
      <c r="FU267" s="31"/>
    </row>
    <row r="268" spans="1:187" x14ac:dyDescent="0.25">
      <c r="A268" s="30">
        <v>0.25509363714308075</v>
      </c>
      <c r="B268"/>
      <c r="C268"/>
      <c r="D268"/>
      <c r="E268"/>
      <c r="F268" s="27" t="s">
        <v>7</v>
      </c>
      <c r="DG268" s="27" t="s">
        <v>8</v>
      </c>
      <c r="DQ268" s="27" t="s">
        <v>8</v>
      </c>
      <c r="EL268" s="27" t="s">
        <v>7</v>
      </c>
      <c r="EX268" s="27" t="s">
        <v>7</v>
      </c>
      <c r="EY268" s="27" t="s">
        <v>8</v>
      </c>
      <c r="FD268" s="27" t="s">
        <v>7</v>
      </c>
      <c r="FE268" s="27" t="s">
        <v>8</v>
      </c>
      <c r="FF268" s="27" t="s">
        <v>7</v>
      </c>
      <c r="FG268" s="27" t="s">
        <v>8</v>
      </c>
      <c r="FH268" s="27" t="s">
        <v>7</v>
      </c>
      <c r="FI268" s="27" t="s">
        <v>8</v>
      </c>
      <c r="FJ268" s="27" t="s">
        <v>7</v>
      </c>
      <c r="FK268" s="27" t="s">
        <v>8</v>
      </c>
      <c r="FT268" s="31"/>
    </row>
    <row r="269" spans="1:187" x14ac:dyDescent="0.25">
      <c r="A269" s="30">
        <v>0.24294632108864825</v>
      </c>
      <c r="B269"/>
      <c r="C269"/>
      <c r="D269"/>
      <c r="E269"/>
      <c r="F269" s="27" t="s">
        <v>7</v>
      </c>
      <c r="DG269" s="27" t="s">
        <v>8</v>
      </c>
      <c r="DH269" s="27" t="s">
        <v>7</v>
      </c>
      <c r="DQ269" s="27" t="s">
        <v>8</v>
      </c>
      <c r="EX269" s="27" t="s">
        <v>7</v>
      </c>
      <c r="EY269" s="27" t="s">
        <v>8</v>
      </c>
      <c r="FD269" s="27" t="s">
        <v>7</v>
      </c>
      <c r="FF269" s="27" t="s">
        <v>7</v>
      </c>
      <c r="FG269" s="27" t="s">
        <v>8</v>
      </c>
      <c r="FH269" s="27" t="s">
        <v>7</v>
      </c>
      <c r="FI269" s="27" t="s">
        <v>8</v>
      </c>
      <c r="FJ269" s="27" t="s">
        <v>7</v>
      </c>
      <c r="FK269" s="27" t="s">
        <v>8</v>
      </c>
      <c r="FS269" s="31"/>
    </row>
    <row r="270" spans="1:187" x14ac:dyDescent="0.25">
      <c r="A270" s="30">
        <v>0.23137744865585538</v>
      </c>
      <c r="B270"/>
      <c r="C270"/>
      <c r="D270"/>
      <c r="E270"/>
      <c r="F270" s="27" t="s">
        <v>7</v>
      </c>
      <c r="DG270" s="27" t="s">
        <v>8</v>
      </c>
      <c r="DH270" s="27" t="s">
        <v>7</v>
      </c>
      <c r="DQ270" s="27" t="s">
        <v>8</v>
      </c>
      <c r="EX270" s="27" t="s">
        <v>7</v>
      </c>
      <c r="EY270" s="27" t="s">
        <v>8</v>
      </c>
      <c r="FF270" s="32" t="s">
        <v>7</v>
      </c>
      <c r="FG270" s="27" t="s">
        <v>8</v>
      </c>
      <c r="FH270" s="27" t="s">
        <v>7</v>
      </c>
      <c r="FI270" s="27" t="s">
        <v>8</v>
      </c>
      <c r="FJ270" s="27" t="s">
        <v>7</v>
      </c>
      <c r="FK270" s="27" t="s">
        <v>8</v>
      </c>
      <c r="FR270" s="31"/>
    </row>
    <row r="271" spans="1:187" x14ac:dyDescent="0.25">
      <c r="A271" s="30">
        <v>0.22035947491033836</v>
      </c>
      <c r="B271"/>
      <c r="C271"/>
      <c r="D271"/>
      <c r="E271"/>
      <c r="F271" s="27" t="s">
        <v>7</v>
      </c>
      <c r="DG271" s="27" t="s">
        <v>8</v>
      </c>
      <c r="DH271" s="27" t="s">
        <v>7</v>
      </c>
      <c r="DQ271" s="27" t="s">
        <v>8</v>
      </c>
      <c r="EX271" s="27" t="s">
        <v>7</v>
      </c>
      <c r="EY271" s="27" t="s">
        <v>8</v>
      </c>
      <c r="FF271" s="27" t="s">
        <v>7</v>
      </c>
      <c r="FG271" s="27" t="s">
        <v>8</v>
      </c>
      <c r="FH271" s="27" t="s">
        <v>7</v>
      </c>
      <c r="FI271" s="27" t="s">
        <v>8</v>
      </c>
      <c r="FJ271" s="27" t="s">
        <v>7</v>
      </c>
      <c r="FK271" s="27" t="s">
        <v>8</v>
      </c>
      <c r="FQ271" s="31"/>
    </row>
    <row r="272" spans="1:187" x14ac:dyDescent="0.25">
      <c r="A272" s="30">
        <v>0.20986616658127455</v>
      </c>
      <c r="B272"/>
      <c r="C272"/>
      <c r="D272"/>
      <c r="E272"/>
      <c r="F272" s="27" t="s">
        <v>7</v>
      </c>
      <c r="DG272" s="27" t="s">
        <v>8</v>
      </c>
      <c r="DH272" s="27" t="s">
        <v>7</v>
      </c>
      <c r="DQ272" s="27" t="s">
        <v>8</v>
      </c>
      <c r="EX272" s="27" t="s">
        <v>7</v>
      </c>
      <c r="EY272" s="27" t="s">
        <v>8</v>
      </c>
      <c r="FF272" s="27" t="s">
        <v>7</v>
      </c>
      <c r="FG272" s="27" t="s">
        <v>8</v>
      </c>
      <c r="FH272" s="27" t="s">
        <v>7</v>
      </c>
      <c r="FI272" s="27" t="s">
        <v>8</v>
      </c>
      <c r="FJ272" s="27" t="s">
        <v>7</v>
      </c>
      <c r="FK272" s="27" t="s">
        <v>8</v>
      </c>
      <c r="FP272" s="31"/>
    </row>
    <row r="273" spans="1:171" x14ac:dyDescent="0.25">
      <c r="A273" s="30">
        <v>0.19987253960121379</v>
      </c>
      <c r="B273"/>
      <c r="C273"/>
      <c r="D273"/>
      <c r="E273"/>
      <c r="F273" s="27" t="s">
        <v>7</v>
      </c>
      <c r="DG273" s="27" t="s">
        <v>8</v>
      </c>
      <c r="DH273" s="27" t="s">
        <v>7</v>
      </c>
      <c r="DQ273" s="27" t="s">
        <v>8</v>
      </c>
      <c r="EX273" s="27" t="s">
        <v>7</v>
      </c>
      <c r="EY273" s="27" t="s">
        <v>8</v>
      </c>
      <c r="FF273" s="27" t="s">
        <v>7</v>
      </c>
      <c r="FG273" s="27" t="s">
        <v>8</v>
      </c>
      <c r="FH273" s="27" t="s">
        <v>7</v>
      </c>
      <c r="FJ273" s="27" t="s">
        <v>7</v>
      </c>
      <c r="FK273" s="27" t="s">
        <v>8</v>
      </c>
      <c r="FO273" s="31"/>
    </row>
    <row r="274" spans="1:171" x14ac:dyDescent="0.25">
      <c r="A274" s="30">
        <v>0.19035479962020352</v>
      </c>
      <c r="B274"/>
      <c r="C274"/>
      <c r="D274"/>
      <c r="E274"/>
      <c r="F274" s="27" t="s">
        <v>7</v>
      </c>
      <c r="DG274" s="27" t="s">
        <v>8</v>
      </c>
      <c r="DH274" s="27" t="s">
        <v>7</v>
      </c>
      <c r="DM274" s="27" t="s">
        <v>8</v>
      </c>
      <c r="DQ274" s="27" t="s">
        <v>8</v>
      </c>
      <c r="EX274" s="27" t="s">
        <v>7</v>
      </c>
      <c r="FF274" s="27" t="s">
        <v>7</v>
      </c>
      <c r="FJ274" s="27" t="s">
        <v>7</v>
      </c>
      <c r="FK274" s="27" t="s">
        <v>8</v>
      </c>
      <c r="FN274" s="31"/>
    </row>
    <row r="275" spans="1:171" x14ac:dyDescent="0.25">
      <c r="A275" s="30">
        <v>0.18129028535257471</v>
      </c>
      <c r="B275"/>
      <c r="C275"/>
      <c r="D275"/>
      <c r="E275"/>
      <c r="F275" s="27" t="s">
        <v>7</v>
      </c>
      <c r="DG275" s="27" t="s">
        <v>8</v>
      </c>
      <c r="DH275" s="27" t="s">
        <v>7</v>
      </c>
      <c r="DM275" s="27" t="s">
        <v>8</v>
      </c>
      <c r="DN275" s="27" t="s">
        <v>7</v>
      </c>
      <c r="DO275" s="27" t="s">
        <v>8</v>
      </c>
      <c r="DQ275" s="27" t="s">
        <v>8</v>
      </c>
      <c r="FJ275" s="27" t="s">
        <v>7</v>
      </c>
      <c r="FK275" s="27" t="s">
        <v>8</v>
      </c>
      <c r="FM275" s="31"/>
    </row>
    <row r="276" spans="1:171" x14ac:dyDescent="0.25">
      <c r="A276" s="30">
        <v>0.17265741462149967</v>
      </c>
      <c r="B276"/>
      <c r="C276"/>
      <c r="D276"/>
      <c r="E276"/>
      <c r="F276" s="27" t="s">
        <v>7</v>
      </c>
      <c r="DG276" s="27" t="s">
        <v>8</v>
      </c>
      <c r="DH276" s="27" t="s">
        <v>7</v>
      </c>
      <c r="DK276" s="27" t="s">
        <v>8</v>
      </c>
      <c r="DM276" s="27" t="s">
        <v>8</v>
      </c>
      <c r="DN276" s="27" t="s">
        <v>7</v>
      </c>
      <c r="DO276" s="27" t="s">
        <v>8</v>
      </c>
      <c r="DP276" s="27" t="s">
        <v>7</v>
      </c>
      <c r="DQ276" s="27" t="s">
        <v>8</v>
      </c>
      <c r="FJ276" s="18" t="s">
        <v>7</v>
      </c>
      <c r="FK276" s="27" t="s">
        <v>8</v>
      </c>
      <c r="FL276" s="31"/>
    </row>
    <row r="277" spans="1:171" x14ac:dyDescent="0.25">
      <c r="A277" s="30">
        <v>0.16443563297285677</v>
      </c>
      <c r="B277"/>
      <c r="C277"/>
      <c r="D277"/>
      <c r="E277"/>
      <c r="F277" s="27" t="s">
        <v>7</v>
      </c>
      <c r="DG277" s="27" t="s">
        <v>8</v>
      </c>
      <c r="DH277" s="27" t="s">
        <v>7</v>
      </c>
      <c r="DK277" s="27" t="s">
        <v>8</v>
      </c>
      <c r="DL277" s="27" t="s">
        <v>7</v>
      </c>
      <c r="DM277" s="27" t="s">
        <v>8</v>
      </c>
      <c r="DN277" s="27" t="s">
        <v>7</v>
      </c>
      <c r="DO277" s="27" t="s">
        <v>8</v>
      </c>
      <c r="DP277" s="27" t="s">
        <v>7</v>
      </c>
      <c r="DQ277" s="27" t="s">
        <v>8</v>
      </c>
      <c r="FJ277" s="27" t="s">
        <v>7</v>
      </c>
      <c r="FK277" s="31" t="s">
        <v>8</v>
      </c>
    </row>
    <row r="278" spans="1:171" x14ac:dyDescent="0.25">
      <c r="A278" s="30">
        <v>0.15660536473605399</v>
      </c>
      <c r="B278"/>
      <c r="C278"/>
      <c r="D278"/>
      <c r="E278"/>
      <c r="F278" s="27" t="s">
        <v>7</v>
      </c>
      <c r="DG278" s="27" t="s">
        <v>8</v>
      </c>
      <c r="DH278" s="27" t="s">
        <v>7</v>
      </c>
      <c r="DI278" s="27" t="s">
        <v>8</v>
      </c>
      <c r="DK278" s="27" t="s">
        <v>8</v>
      </c>
      <c r="DL278" s="27" t="s">
        <v>7</v>
      </c>
      <c r="DM278" s="27" t="s">
        <v>8</v>
      </c>
      <c r="DN278" s="27" t="s">
        <v>7</v>
      </c>
      <c r="DO278" s="27" t="s">
        <v>8</v>
      </c>
      <c r="DP278" s="27" t="s">
        <v>7</v>
      </c>
      <c r="FJ278" s="31" t="s">
        <v>7</v>
      </c>
    </row>
    <row r="279" spans="1:171" x14ac:dyDescent="0.25">
      <c r="A279" s="30">
        <v>0.14914796641528946</v>
      </c>
      <c r="B279"/>
      <c r="C279"/>
      <c r="D279"/>
      <c r="E279"/>
      <c r="F279" s="27" t="s">
        <v>7</v>
      </c>
      <c r="DG279" s="27" t="s">
        <v>8</v>
      </c>
      <c r="DH279" s="27" t="s">
        <v>7</v>
      </c>
      <c r="DI279" s="27" t="s">
        <v>8</v>
      </c>
      <c r="DJ279" s="27" t="s">
        <v>7</v>
      </c>
      <c r="DK279" s="27" t="s">
        <v>8</v>
      </c>
      <c r="DL279" s="27" t="s">
        <v>7</v>
      </c>
      <c r="DM279" s="27" t="s">
        <v>8</v>
      </c>
      <c r="DN279" s="27" t="s">
        <v>7</v>
      </c>
      <c r="DO279" s="27" t="s">
        <v>8</v>
      </c>
    </row>
    <row r="280" spans="1:171" x14ac:dyDescent="0.25">
      <c r="A280" s="30">
        <v>0.14204568230027562</v>
      </c>
      <c r="B280"/>
      <c r="C280"/>
      <c r="D280"/>
      <c r="E280"/>
      <c r="F280" s="27" t="s">
        <v>7</v>
      </c>
      <c r="DG280" s="27" t="s">
        <v>8</v>
      </c>
      <c r="DH280" s="27" t="s">
        <v>7</v>
      </c>
      <c r="DI280" s="27" t="s">
        <v>8</v>
      </c>
      <c r="DJ280" s="27" t="s">
        <v>7</v>
      </c>
      <c r="DK280" s="27" t="s">
        <v>8</v>
      </c>
      <c r="DL280" s="27" t="s">
        <v>7</v>
      </c>
      <c r="DM280" s="27" t="s">
        <v>8</v>
      </c>
      <c r="DN280" s="27" t="s">
        <v>7</v>
      </c>
    </row>
    <row r="281" spans="1:171" x14ac:dyDescent="0.25">
      <c r="A281" s="30">
        <v>0.13528160219073862</v>
      </c>
      <c r="B281"/>
      <c r="C281"/>
      <c r="D281"/>
      <c r="E281"/>
      <c r="F281" s="27" t="s">
        <v>7</v>
      </c>
      <c r="DG281" s="27" t="s">
        <v>8</v>
      </c>
      <c r="DH281" s="27" t="s">
        <v>7</v>
      </c>
      <c r="DI281" s="27" t="s">
        <v>8</v>
      </c>
      <c r="DJ281" s="27" t="s">
        <v>7</v>
      </c>
      <c r="DK281" s="27" t="s">
        <v>8</v>
      </c>
      <c r="DL281" s="27" t="s">
        <v>7</v>
      </c>
      <c r="DM281" s="27" t="s">
        <v>8</v>
      </c>
    </row>
    <row r="282" spans="1:171" x14ac:dyDescent="0.25">
      <c r="A282" s="30">
        <v>0.12883962113403674</v>
      </c>
      <c r="B282"/>
      <c r="C282"/>
      <c r="D282"/>
      <c r="E282"/>
      <c r="F282" s="27" t="s">
        <v>7</v>
      </c>
      <c r="DG282" s="27" t="s">
        <v>8</v>
      </c>
      <c r="DH282" s="27" t="s">
        <v>7</v>
      </c>
      <c r="DI282" s="27" t="s">
        <v>8</v>
      </c>
      <c r="DJ282" s="27" t="s">
        <v>7</v>
      </c>
      <c r="DK282" s="27" t="s">
        <v>8</v>
      </c>
      <c r="DL282" s="27" t="s">
        <v>7</v>
      </c>
      <c r="DM282" s="27" t="s">
        <v>8</v>
      </c>
    </row>
    <row r="283" spans="1:171" x14ac:dyDescent="0.25">
      <c r="A283" s="30">
        <v>0.12270440108003494</v>
      </c>
      <c r="B283"/>
      <c r="C283"/>
      <c r="D283"/>
      <c r="E283"/>
      <c r="F283" s="27" t="s">
        <v>7</v>
      </c>
      <c r="DG283" s="27" t="s">
        <v>8</v>
      </c>
      <c r="DH283" s="27" t="s">
        <v>7</v>
      </c>
      <c r="DI283" s="27" t="s">
        <v>8</v>
      </c>
      <c r="DJ283" s="27" t="s">
        <v>7</v>
      </c>
      <c r="DL283" s="27" t="s">
        <v>7</v>
      </c>
    </row>
    <row r="284" spans="1:171" x14ac:dyDescent="0.25">
      <c r="A284" s="30">
        <v>0.11686133436193799</v>
      </c>
      <c r="B284"/>
      <c r="C284"/>
      <c r="D284"/>
      <c r="E284"/>
      <c r="F284" s="27" t="s">
        <v>7</v>
      </c>
      <c r="DG284" s="27" t="s">
        <v>8</v>
      </c>
      <c r="DH284" s="27" t="s">
        <v>7</v>
      </c>
      <c r="DI284" s="27" t="s">
        <v>8</v>
      </c>
    </row>
    <row r="285" spans="1:171" x14ac:dyDescent="0.25">
      <c r="A285" s="30">
        <v>0.11129650891613138</v>
      </c>
      <c r="B285"/>
      <c r="C285"/>
      <c r="D285"/>
      <c r="E285"/>
      <c r="F285" s="27" t="s">
        <v>7</v>
      </c>
      <c r="DG285" s="27" t="s">
        <v>8</v>
      </c>
      <c r="DH285" s="27" t="s">
        <v>7</v>
      </c>
      <c r="DI285" s="27" t="s">
        <v>8</v>
      </c>
    </row>
    <row r="286" spans="1:171" x14ac:dyDescent="0.25">
      <c r="A286" s="30">
        <v>0.10599667515822032</v>
      </c>
      <c r="B286"/>
      <c r="C286"/>
      <c r="D286"/>
      <c r="E286"/>
      <c r="F286" s="27" t="s">
        <v>7</v>
      </c>
      <c r="DG286" s="27" t="s">
        <v>8</v>
      </c>
      <c r="DH286" s="27" t="s">
        <v>7</v>
      </c>
    </row>
    <row r="287" spans="1:171" x14ac:dyDescent="0.25">
      <c r="A287" s="30">
        <v>0.10094921443640027</v>
      </c>
      <c r="B287"/>
      <c r="C287"/>
      <c r="D287"/>
      <c r="E287"/>
      <c r="F287" s="27" t="s">
        <v>7</v>
      </c>
      <c r="DG287" s="27" t="s">
        <v>8</v>
      </c>
    </row>
    <row r="288" spans="1:171" x14ac:dyDescent="0.25">
      <c r="A288" s="30">
        <v>9.6142108987047836E-2</v>
      </c>
      <c r="B288"/>
      <c r="C288"/>
      <c r="D288"/>
      <c r="E288"/>
      <c r="F288" s="27" t="s">
        <v>7</v>
      </c>
      <c r="DG288" s="27" t="s">
        <v>8</v>
      </c>
    </row>
    <row r="289" spans="1:111" x14ac:dyDescent="0.25">
      <c r="A289" s="30">
        <v>9.1563913320997906E-2</v>
      </c>
      <c r="B289"/>
      <c r="C289"/>
      <c r="D289"/>
      <c r="E289"/>
      <c r="F289" s="27" t="s">
        <v>7</v>
      </c>
      <c r="DG289" s="27" t="s">
        <v>8</v>
      </c>
    </row>
    <row r="290" spans="1:111" x14ac:dyDescent="0.25">
      <c r="A290" s="30">
        <v>8.7203726972378923E-2</v>
      </c>
      <c r="B290"/>
      <c r="C290"/>
      <c r="D290"/>
      <c r="E290"/>
      <c r="F290" s="27" t="s">
        <v>7</v>
      </c>
      <c r="DG290" s="27" t="s">
        <v>8</v>
      </c>
    </row>
    <row r="291" spans="1:111" x14ac:dyDescent="0.25">
      <c r="A291" s="30">
        <v>8.3051168545122747E-2</v>
      </c>
      <c r="B291"/>
      <c r="C291"/>
      <c r="D291"/>
      <c r="E291"/>
      <c r="F291" s="27" t="s">
        <v>7</v>
      </c>
      <c r="DG291" s="27" t="s">
        <v>8</v>
      </c>
    </row>
    <row r="292" spans="1:111" x14ac:dyDescent="0.25">
      <c r="A292" s="30">
        <v>7.9096350995354961E-2</v>
      </c>
      <c r="B292"/>
      <c r="C292"/>
      <c r="D292"/>
      <c r="E292"/>
      <c r="F292" s="27" t="s">
        <v>7</v>
      </c>
      <c r="DG292" s="27" t="s">
        <v>8</v>
      </c>
    </row>
    <row r="293" spans="1:111" x14ac:dyDescent="0.25">
      <c r="A293" s="30">
        <v>7.5329858090814217E-2</v>
      </c>
      <c r="B293"/>
      <c r="C293"/>
      <c r="D293"/>
      <c r="E293"/>
      <c r="F293" s="27" t="s">
        <v>7</v>
      </c>
      <c r="DG293" s="27" t="s">
        <v>8</v>
      </c>
    </row>
    <row r="294" spans="1:111" x14ac:dyDescent="0.25">
      <c r="A294" s="30">
        <v>7.1742721991251604E-2</v>
      </c>
      <c r="B294"/>
      <c r="C294"/>
      <c r="D294"/>
      <c r="E294"/>
      <c r="F294" s="27" t="s">
        <v>7</v>
      </c>
      <c r="DG294" s="27" t="s">
        <v>8</v>
      </c>
    </row>
    <row r="295" spans="1:111" x14ac:dyDescent="0.25">
      <c r="A295" s="30">
        <v>6.8326401896430078E-2</v>
      </c>
      <c r="B295"/>
      <c r="C295"/>
      <c r="D295"/>
      <c r="E295"/>
      <c r="F295" s="27" t="s">
        <v>7</v>
      </c>
      <c r="DG295" s="27" t="s">
        <v>8</v>
      </c>
    </row>
    <row r="296" spans="1:111" x14ac:dyDescent="0.25">
      <c r="A296" s="30">
        <v>6.5072763710885759E-2</v>
      </c>
      <c r="B296"/>
      <c r="C296"/>
      <c r="D296"/>
      <c r="E296"/>
      <c r="F296" s="27" t="s">
        <v>7</v>
      </c>
      <c r="DG296" s="27" t="s">
        <v>8</v>
      </c>
    </row>
    <row r="297" spans="1:111" x14ac:dyDescent="0.25">
      <c r="A297" s="30">
        <v>6.197406067703403E-2</v>
      </c>
      <c r="B297"/>
      <c r="C297"/>
      <c r="D297"/>
      <c r="E297"/>
      <c r="F297" s="27" t="s">
        <v>7</v>
      </c>
      <c r="DG297" s="27" t="s">
        <v>8</v>
      </c>
    </row>
    <row r="298" spans="1:111" x14ac:dyDescent="0.25">
      <c r="A298" s="30">
        <v>5.9022914930508576E-2</v>
      </c>
      <c r="B298"/>
      <c r="C298"/>
      <c r="D298"/>
      <c r="E298"/>
      <c r="F298" s="27" t="s">
        <v>7</v>
      </c>
      <c r="DG298" s="27" t="s">
        <v>8</v>
      </c>
    </row>
    <row r="299" spans="1:111" x14ac:dyDescent="0.25">
      <c r="A299" s="30">
        <v>5.6212299933817669E-2</v>
      </c>
      <c r="B299"/>
      <c r="C299"/>
      <c r="D299"/>
      <c r="E299"/>
      <c r="F299" s="27" t="s">
        <v>7</v>
      </c>
      <c r="BO299" s="27" t="s">
        <v>8</v>
      </c>
      <c r="DG299" s="27" t="s">
        <v>8</v>
      </c>
    </row>
    <row r="300" spans="1:111" x14ac:dyDescent="0.25">
      <c r="A300" s="30">
        <v>5.3535523746492994E-2</v>
      </c>
      <c r="B300"/>
      <c r="C300"/>
      <c r="D300"/>
      <c r="E300"/>
      <c r="F300" s="27" t="s">
        <v>7</v>
      </c>
      <c r="BO300" s="27" t="s">
        <v>8</v>
      </c>
      <c r="BP300" s="27" t="s">
        <v>7</v>
      </c>
      <c r="DG300" s="27" t="s">
        <v>8</v>
      </c>
    </row>
    <row r="301" spans="1:111" x14ac:dyDescent="0.25">
      <c r="A301" s="30">
        <v>5.0986213091898068E-2</v>
      </c>
      <c r="B301"/>
      <c r="C301"/>
      <c r="D301"/>
      <c r="E301"/>
      <c r="F301" s="27" t="s">
        <v>7</v>
      </c>
      <c r="BO301" s="27" t="s">
        <v>8</v>
      </c>
      <c r="BP301" s="27" t="s">
        <v>7</v>
      </c>
      <c r="DG301" s="27" t="s">
        <v>8</v>
      </c>
    </row>
    <row r="302" spans="1:111" x14ac:dyDescent="0.25">
      <c r="A302" s="30">
        <v>4.8558298182760043E-2</v>
      </c>
      <c r="B302"/>
      <c r="C302"/>
      <c r="D302"/>
      <c r="E302"/>
      <c r="F302" s="27" t="s">
        <v>7</v>
      </c>
      <c r="BO302" s="27" t="s">
        <v>8</v>
      </c>
      <c r="BP302" s="27" t="s">
        <v>7</v>
      </c>
      <c r="DG302" s="27" t="s">
        <v>8</v>
      </c>
    </row>
    <row r="303" spans="1:111" x14ac:dyDescent="0.25">
      <c r="A303" s="30">
        <v>4.6245998269295263E-2</v>
      </c>
      <c r="B303"/>
      <c r="C303"/>
      <c r="D303"/>
      <c r="E303"/>
      <c r="F303" s="27" t="s">
        <v>7</v>
      </c>
      <c r="BM303" s="27" t="s">
        <v>8</v>
      </c>
      <c r="BO303" s="27" t="s">
        <v>8</v>
      </c>
      <c r="BP303" s="27" t="s">
        <v>7</v>
      </c>
      <c r="BY303" s="27" t="s">
        <v>8</v>
      </c>
      <c r="DG303" s="27" t="s">
        <v>8</v>
      </c>
    </row>
    <row r="304" spans="1:111" x14ac:dyDescent="0.25">
      <c r="A304" s="30">
        <v>4.4043807875519279E-2</v>
      </c>
      <c r="B304"/>
      <c r="C304"/>
      <c r="D304"/>
      <c r="E304"/>
      <c r="F304" s="27" t="s">
        <v>7</v>
      </c>
      <c r="BM304" s="27" t="s">
        <v>8</v>
      </c>
      <c r="BN304" s="27" t="s">
        <v>7</v>
      </c>
      <c r="BO304" s="27" t="s">
        <v>8</v>
      </c>
      <c r="BP304" s="27" t="s">
        <v>7</v>
      </c>
      <c r="BY304" s="27" t="s">
        <v>8</v>
      </c>
      <c r="BZ304" s="27" t="s">
        <v>7</v>
      </c>
      <c r="CA304" s="27" t="s">
        <v>8</v>
      </c>
      <c r="CC304" s="27" t="s">
        <v>8</v>
      </c>
      <c r="DG304" s="27" t="s">
        <v>8</v>
      </c>
    </row>
    <row r="305" spans="1:111" x14ac:dyDescent="0.25">
      <c r="A305" s="30">
        <v>4.1946483690970725E-2</v>
      </c>
      <c r="B305"/>
      <c r="C305"/>
      <c r="D305"/>
      <c r="E305"/>
      <c r="F305" s="27" t="s">
        <v>7</v>
      </c>
      <c r="BM305" s="27" t="s">
        <v>8</v>
      </c>
      <c r="BN305" s="27" t="s">
        <v>7</v>
      </c>
      <c r="BO305" s="27" t="s">
        <v>8</v>
      </c>
      <c r="BP305" s="27" t="s">
        <v>7</v>
      </c>
      <c r="BY305" s="27" t="s">
        <v>8</v>
      </c>
      <c r="BZ305" s="27" t="s">
        <v>7</v>
      </c>
      <c r="CA305" s="27" t="s">
        <v>8</v>
      </c>
      <c r="CB305" s="27" t="s">
        <v>7</v>
      </c>
      <c r="CC305" s="27" t="s">
        <v>8</v>
      </c>
      <c r="CD305" s="27" t="s">
        <v>7</v>
      </c>
      <c r="DG305" s="27" t="s">
        <v>8</v>
      </c>
    </row>
    <row r="306" spans="1:111" x14ac:dyDescent="0.25">
      <c r="A306" s="30">
        <v>3.9949032086638768E-2</v>
      </c>
      <c r="B306"/>
      <c r="C306"/>
      <c r="D306"/>
      <c r="E306"/>
      <c r="F306" s="27" t="s">
        <v>7</v>
      </c>
      <c r="BM306" s="27" t="s">
        <v>8</v>
      </c>
      <c r="BN306" s="27" t="s">
        <v>7</v>
      </c>
      <c r="BO306" s="27" t="s">
        <v>8</v>
      </c>
      <c r="BP306" s="27" t="s">
        <v>7</v>
      </c>
      <c r="BY306" s="27" t="s">
        <v>8</v>
      </c>
      <c r="BZ306" s="27" t="s">
        <v>7</v>
      </c>
      <c r="CA306" s="27" t="s">
        <v>8</v>
      </c>
      <c r="CB306" s="27" t="s">
        <v>7</v>
      </c>
      <c r="CC306" s="27" t="s">
        <v>8</v>
      </c>
      <c r="CD306" s="27" t="s">
        <v>7</v>
      </c>
      <c r="DG306" s="27" t="s">
        <v>8</v>
      </c>
    </row>
    <row r="307" spans="1:111" x14ac:dyDescent="0.25">
      <c r="A307" s="30">
        <v>3.8046697225370241E-2</v>
      </c>
      <c r="B307"/>
      <c r="C307"/>
      <c r="D307"/>
      <c r="E307"/>
      <c r="F307" s="27" t="s">
        <v>7</v>
      </c>
      <c r="BI307" s="27" t="s">
        <v>8</v>
      </c>
      <c r="BM307" s="27" t="s">
        <v>8</v>
      </c>
      <c r="BN307" s="27" t="s">
        <v>7</v>
      </c>
      <c r="BO307" s="27" t="s">
        <v>8</v>
      </c>
      <c r="BP307" s="27" t="s">
        <v>7</v>
      </c>
      <c r="BY307" s="27" t="s">
        <v>8</v>
      </c>
      <c r="BZ307" s="27" t="s">
        <v>7</v>
      </c>
      <c r="CA307" s="27" t="s">
        <v>8</v>
      </c>
      <c r="CB307" s="27" t="s">
        <v>7</v>
      </c>
      <c r="CC307" s="27" t="s">
        <v>8</v>
      </c>
      <c r="CD307" s="27" t="s">
        <v>7</v>
      </c>
      <c r="DG307" s="27" t="s">
        <v>8</v>
      </c>
    </row>
    <row r="308" spans="1:111" x14ac:dyDescent="0.25">
      <c r="A308" s="30">
        <v>3.6234949738447833E-2</v>
      </c>
      <c r="B308"/>
      <c r="C308"/>
      <c r="D308"/>
      <c r="E308"/>
      <c r="F308" s="27" t="s">
        <v>7</v>
      </c>
      <c r="BI308" s="27" t="s">
        <v>8</v>
      </c>
      <c r="BJ308" s="27" t="s">
        <v>7</v>
      </c>
      <c r="BM308" s="27" t="s">
        <v>8</v>
      </c>
      <c r="BN308" s="27" t="s">
        <v>7</v>
      </c>
      <c r="BO308" s="27" t="s">
        <v>8</v>
      </c>
      <c r="BP308" s="27" t="s">
        <v>7</v>
      </c>
      <c r="BY308" s="27" t="s">
        <v>8</v>
      </c>
      <c r="BZ308" s="27" t="s">
        <v>7</v>
      </c>
      <c r="CA308" s="27" t="s">
        <v>8</v>
      </c>
      <c r="CB308" s="27" t="s">
        <v>7</v>
      </c>
      <c r="CC308" s="27" t="s">
        <v>8</v>
      </c>
      <c r="CD308" s="27" t="s">
        <v>7</v>
      </c>
      <c r="DG308" s="27" t="s">
        <v>8</v>
      </c>
    </row>
    <row r="309" spans="1:111" x14ac:dyDescent="0.25">
      <c r="A309" s="30">
        <v>3.4509475941378875E-2</v>
      </c>
      <c r="B309"/>
      <c r="C309"/>
      <c r="D309"/>
      <c r="E309"/>
      <c r="F309" s="27" t="s">
        <v>7</v>
      </c>
      <c r="BI309" s="27" t="s">
        <v>8</v>
      </c>
      <c r="BJ309" s="27" t="s">
        <v>7</v>
      </c>
      <c r="BK309" s="27" t="s">
        <v>8</v>
      </c>
      <c r="BM309" s="27" t="s">
        <v>8</v>
      </c>
      <c r="BN309" s="27" t="s">
        <v>7</v>
      </c>
      <c r="BP309" s="27" t="s">
        <v>7</v>
      </c>
      <c r="BQ309" s="27" t="s">
        <v>8</v>
      </c>
      <c r="BY309" s="27" t="s">
        <v>8</v>
      </c>
      <c r="BZ309" s="27" t="s">
        <v>7</v>
      </c>
      <c r="CA309" s="27" t="s">
        <v>8</v>
      </c>
      <c r="CB309" s="27" t="s">
        <v>7</v>
      </c>
      <c r="CD309" s="27" t="s">
        <v>7</v>
      </c>
      <c r="DG309" s="27" t="s">
        <v>8</v>
      </c>
    </row>
    <row r="310" spans="1:111" x14ac:dyDescent="0.25">
      <c r="A310" s="30">
        <v>3.286616756321796E-2</v>
      </c>
      <c r="B310"/>
      <c r="C310"/>
      <c r="D310"/>
      <c r="E310"/>
      <c r="F310" s="27" t="s">
        <v>7</v>
      </c>
      <c r="BI310" s="27" t="s">
        <v>8</v>
      </c>
      <c r="BJ310" s="27" t="s">
        <v>7</v>
      </c>
      <c r="BK310" s="27" t="s">
        <v>8</v>
      </c>
      <c r="BL310" s="27" t="s">
        <v>7</v>
      </c>
      <c r="BM310" s="27" t="s">
        <v>8</v>
      </c>
      <c r="BP310" s="27" t="s">
        <v>7</v>
      </c>
      <c r="BQ310" s="27" t="s">
        <v>8</v>
      </c>
      <c r="BR310" s="27" t="s">
        <v>7</v>
      </c>
      <c r="BS310" s="27" t="s">
        <v>8</v>
      </c>
      <c r="BU310" s="27" t="s">
        <v>8</v>
      </c>
      <c r="BW310" s="27" t="s">
        <v>8</v>
      </c>
      <c r="BY310" s="27" t="s">
        <v>8</v>
      </c>
      <c r="BZ310" s="27" t="s">
        <v>7</v>
      </c>
      <c r="CD310" s="27" t="s">
        <v>7</v>
      </c>
      <c r="CE310" s="27" t="s">
        <v>8</v>
      </c>
      <c r="DG310" s="27" t="s">
        <v>8</v>
      </c>
    </row>
    <row r="311" spans="1:111" x14ac:dyDescent="0.25">
      <c r="A311" s="30">
        <v>3.1301111964969472E-2</v>
      </c>
      <c r="B311"/>
      <c r="C311"/>
      <c r="D311"/>
      <c r="E311"/>
      <c r="F311" s="27" t="s">
        <v>7</v>
      </c>
      <c r="BG311" s="27" t="s">
        <v>8</v>
      </c>
      <c r="BI311" s="27" t="s">
        <v>8</v>
      </c>
      <c r="BJ311" s="27" t="s">
        <v>7</v>
      </c>
      <c r="BK311" s="27" t="s">
        <v>8</v>
      </c>
      <c r="BL311" s="27" t="s">
        <v>7</v>
      </c>
      <c r="BM311" s="27" t="s">
        <v>8</v>
      </c>
      <c r="BP311" s="27" t="s">
        <v>7</v>
      </c>
      <c r="BQ311" s="27" t="s">
        <v>8</v>
      </c>
      <c r="BR311" s="27" t="s">
        <v>7</v>
      </c>
      <c r="BS311" s="27" t="s">
        <v>8</v>
      </c>
      <c r="BT311" s="27" t="s">
        <v>7</v>
      </c>
      <c r="BU311" s="27" t="s">
        <v>8</v>
      </c>
      <c r="BV311" s="27" t="s">
        <v>7</v>
      </c>
      <c r="BW311" s="27" t="s">
        <v>8</v>
      </c>
      <c r="BX311" s="27" t="s">
        <v>7</v>
      </c>
      <c r="BY311" s="27" t="s">
        <v>8</v>
      </c>
      <c r="CD311" s="27" t="s">
        <v>7</v>
      </c>
      <c r="CE311" s="27" t="s">
        <v>8</v>
      </c>
      <c r="CF311" s="27" t="s">
        <v>7</v>
      </c>
      <c r="DE311" s="27" t="s">
        <v>8</v>
      </c>
      <c r="DG311" s="27" t="s">
        <v>8</v>
      </c>
    </row>
    <row r="312" spans="1:111" x14ac:dyDescent="0.25">
      <c r="A312" s="30">
        <v>2.9810582823780438E-2</v>
      </c>
      <c r="B312"/>
      <c r="C312"/>
      <c r="D312"/>
      <c r="E312"/>
      <c r="F312" s="27" t="s">
        <v>7</v>
      </c>
      <c r="BE312" s="27" t="s">
        <v>8</v>
      </c>
      <c r="BG312" s="27" t="s">
        <v>8</v>
      </c>
      <c r="BH312" s="27" t="s">
        <v>7</v>
      </c>
      <c r="BI312" s="27" t="s">
        <v>8</v>
      </c>
      <c r="BJ312" s="27" t="s">
        <v>7</v>
      </c>
      <c r="BK312" s="27" t="s">
        <v>8</v>
      </c>
      <c r="BL312" s="27" t="s">
        <v>7</v>
      </c>
      <c r="BM312" s="27" t="s">
        <v>8</v>
      </c>
      <c r="BP312" s="27" t="s">
        <v>7</v>
      </c>
      <c r="BQ312" s="27" t="s">
        <v>8</v>
      </c>
      <c r="BR312" s="27" t="s">
        <v>7</v>
      </c>
      <c r="BS312" s="27" t="s">
        <v>8</v>
      </c>
      <c r="BT312" s="27" t="s">
        <v>7</v>
      </c>
      <c r="BU312" s="27" t="s">
        <v>8</v>
      </c>
      <c r="BV312" s="27" t="s">
        <v>7</v>
      </c>
      <c r="BW312" s="27" t="s">
        <v>8</v>
      </c>
      <c r="BX312" s="27" t="s">
        <v>7</v>
      </c>
      <c r="BY312" s="27" t="s">
        <v>8</v>
      </c>
      <c r="CD312" s="27" t="s">
        <v>7</v>
      </c>
      <c r="CE312" s="27" t="s">
        <v>8</v>
      </c>
      <c r="CF312" s="27" t="s">
        <v>7</v>
      </c>
      <c r="DE312" s="27" t="s">
        <v>8</v>
      </c>
      <c r="DF312" s="27" t="s">
        <v>7</v>
      </c>
      <c r="DG312" s="27" t="s">
        <v>8</v>
      </c>
    </row>
    <row r="313" spans="1:111" x14ac:dyDescent="0.25">
      <c r="A313" s="30">
        <v>2.8391031260743264E-2</v>
      </c>
      <c r="B313"/>
      <c r="C313"/>
      <c r="D313"/>
      <c r="E313"/>
      <c r="F313" s="27" t="s">
        <v>7</v>
      </c>
      <c r="BE313" s="27" t="s">
        <v>8</v>
      </c>
      <c r="BF313" s="27" t="s">
        <v>7</v>
      </c>
      <c r="BG313" s="27" t="s">
        <v>8</v>
      </c>
      <c r="BH313" s="27" t="s">
        <v>7</v>
      </c>
      <c r="BI313" s="27" t="s">
        <v>8</v>
      </c>
      <c r="BJ313" s="27" t="s">
        <v>7</v>
      </c>
      <c r="BK313" s="27" t="s">
        <v>8</v>
      </c>
      <c r="BL313" s="27" t="s">
        <v>7</v>
      </c>
      <c r="BM313" s="27" t="s">
        <v>8</v>
      </c>
      <c r="BP313" s="27" t="s">
        <v>7</v>
      </c>
      <c r="BQ313" s="27" t="s">
        <v>8</v>
      </c>
      <c r="BR313" s="27" t="s">
        <v>7</v>
      </c>
      <c r="BS313" s="27" t="s">
        <v>8</v>
      </c>
      <c r="BT313" s="27" t="s">
        <v>7</v>
      </c>
      <c r="BV313" s="27" t="s">
        <v>7</v>
      </c>
      <c r="BW313" s="27" t="s">
        <v>8</v>
      </c>
      <c r="BX313" s="27" t="s">
        <v>7</v>
      </c>
      <c r="BY313" s="27" t="s">
        <v>8</v>
      </c>
      <c r="CD313" s="27" t="s">
        <v>7</v>
      </c>
      <c r="CE313" s="27" t="s">
        <v>8</v>
      </c>
      <c r="CF313" s="27" t="s">
        <v>7</v>
      </c>
      <c r="DA313" s="27" t="s">
        <v>8</v>
      </c>
      <c r="DE313" s="27" t="s">
        <v>8</v>
      </c>
      <c r="DF313" s="27" t="s">
        <v>7</v>
      </c>
      <c r="DG313" s="27" t="s">
        <v>8</v>
      </c>
    </row>
    <row r="314" spans="1:111" x14ac:dyDescent="0.25">
      <c r="A314" s="30">
        <v>2.7039077391184052E-2</v>
      </c>
      <c r="B314"/>
      <c r="C314"/>
      <c r="D314"/>
      <c r="E314"/>
      <c r="F314" s="27" t="s">
        <v>7</v>
      </c>
      <c r="BE314" s="27" t="s">
        <v>8</v>
      </c>
      <c r="BF314" s="27" t="s">
        <v>7</v>
      </c>
      <c r="BG314" s="27" t="s">
        <v>8</v>
      </c>
      <c r="BH314" s="27" t="s">
        <v>7</v>
      </c>
      <c r="BJ314" s="27" t="s">
        <v>7</v>
      </c>
      <c r="BK314" s="27" t="s">
        <v>8</v>
      </c>
      <c r="BL314" s="27" t="s">
        <v>7</v>
      </c>
      <c r="BM314" s="27" t="s">
        <v>8</v>
      </c>
      <c r="BP314" s="27" t="s">
        <v>7</v>
      </c>
      <c r="BQ314" s="27" t="s">
        <v>8</v>
      </c>
      <c r="BR314" s="27" t="s">
        <v>7</v>
      </c>
      <c r="BV314" s="27" t="s">
        <v>7</v>
      </c>
      <c r="BW314" s="27" t="s">
        <v>8</v>
      </c>
      <c r="BX314" s="27" t="s">
        <v>7</v>
      </c>
      <c r="BY314" s="27" t="s">
        <v>8</v>
      </c>
      <c r="CD314" s="27" t="s">
        <v>7</v>
      </c>
      <c r="CE314" s="27" t="s">
        <v>8</v>
      </c>
      <c r="CF314" s="27" t="s">
        <v>7</v>
      </c>
      <c r="CG314" s="27" t="s">
        <v>8</v>
      </c>
      <c r="CY314" s="27" t="s">
        <v>8</v>
      </c>
      <c r="DA314" s="27" t="s">
        <v>8</v>
      </c>
      <c r="DB314" s="27" t="s">
        <v>7</v>
      </c>
      <c r="DE314" s="27" t="s">
        <v>8</v>
      </c>
      <c r="DF314" s="27" t="s">
        <v>7</v>
      </c>
      <c r="DG314" s="27" t="s">
        <v>8</v>
      </c>
    </row>
    <row r="315" spans="1:111" x14ac:dyDescent="0.25">
      <c r="A315" s="30">
        <v>2.5751502277318133E-2</v>
      </c>
      <c r="B315"/>
      <c r="C315"/>
      <c r="D315"/>
      <c r="E315"/>
      <c r="F315" s="27" t="s">
        <v>7</v>
      </c>
      <c r="BE315" s="27" t="s">
        <v>8</v>
      </c>
      <c r="BF315" s="27" t="s">
        <v>7</v>
      </c>
      <c r="BJ315" s="27" t="s">
        <v>7</v>
      </c>
      <c r="BK315" s="27" t="s">
        <v>8</v>
      </c>
      <c r="BL315" s="27" t="s">
        <v>7</v>
      </c>
      <c r="BP315" s="27" t="s">
        <v>7</v>
      </c>
      <c r="BQ315" s="27" t="s">
        <v>8</v>
      </c>
      <c r="BV315" s="27" t="s">
        <v>7</v>
      </c>
      <c r="BX315" s="27" t="s">
        <v>7</v>
      </c>
      <c r="CD315" s="27" t="s">
        <v>7</v>
      </c>
      <c r="CE315" s="27" t="s">
        <v>8</v>
      </c>
      <c r="CF315" s="27" t="s">
        <v>7</v>
      </c>
      <c r="CG315" s="27" t="s">
        <v>8</v>
      </c>
      <c r="CH315" s="27" t="s">
        <v>7</v>
      </c>
      <c r="CY315" s="27" t="s">
        <v>8</v>
      </c>
      <c r="CZ315" s="27" t="s">
        <v>7</v>
      </c>
      <c r="DA315" s="27" t="s">
        <v>8</v>
      </c>
      <c r="DB315" s="27" t="s">
        <v>7</v>
      </c>
      <c r="DE315" s="27" t="s">
        <v>8</v>
      </c>
      <c r="DF315" s="27" t="s">
        <v>7</v>
      </c>
      <c r="DG315" s="27" t="s">
        <v>8</v>
      </c>
    </row>
    <row r="316" spans="1:111" x14ac:dyDescent="0.25">
      <c r="A316" s="30">
        <v>2.4525240264112496E-2</v>
      </c>
      <c r="B316"/>
      <c r="C316"/>
      <c r="D316"/>
      <c r="E316"/>
      <c r="F316" s="27" t="s">
        <v>7</v>
      </c>
      <c r="BE316" s="27" t="s">
        <v>8</v>
      </c>
      <c r="BJ316" s="27" t="s">
        <v>7</v>
      </c>
      <c r="BP316" s="27" t="s">
        <v>7</v>
      </c>
      <c r="BQ316" s="27" t="s">
        <v>8</v>
      </c>
      <c r="CD316" s="27" t="s">
        <v>7</v>
      </c>
      <c r="CF316" s="27" t="s">
        <v>7</v>
      </c>
      <c r="CG316" s="27" t="s">
        <v>8</v>
      </c>
      <c r="CH316" s="27" t="s">
        <v>7</v>
      </c>
      <c r="CQ316" s="27" t="s">
        <v>8</v>
      </c>
      <c r="CS316" s="27" t="s">
        <v>8</v>
      </c>
      <c r="CY316" s="27" t="s">
        <v>8</v>
      </c>
      <c r="CZ316" s="27" t="s">
        <v>7</v>
      </c>
      <c r="DA316" s="27" t="s">
        <v>8</v>
      </c>
      <c r="DB316" s="27" t="s">
        <v>7</v>
      </c>
      <c r="DC316" s="27" t="s">
        <v>8</v>
      </c>
      <c r="DE316" s="27" t="s">
        <v>8</v>
      </c>
      <c r="DF316" s="27" t="s">
        <v>7</v>
      </c>
    </row>
    <row r="317" spans="1:111" x14ac:dyDescent="0.25">
      <c r="A317" s="30">
        <v>2.3357371680107129E-2</v>
      </c>
      <c r="B317"/>
      <c r="C317"/>
      <c r="D317"/>
      <c r="E317"/>
      <c r="F317" s="27" t="s">
        <v>7</v>
      </c>
      <c r="BE317" s="27" t="s">
        <v>8</v>
      </c>
      <c r="BP317" s="27" t="s">
        <v>7</v>
      </c>
      <c r="BQ317" s="27" t="s">
        <v>8</v>
      </c>
      <c r="CF317" s="27" t="s">
        <v>7</v>
      </c>
      <c r="CG317" s="27" t="s">
        <v>8</v>
      </c>
      <c r="CH317" s="27" t="s">
        <v>7</v>
      </c>
      <c r="CQ317" s="27" t="s">
        <v>8</v>
      </c>
      <c r="CR317" s="27" t="s">
        <v>7</v>
      </c>
      <c r="CS317" s="27" t="s">
        <v>8</v>
      </c>
      <c r="CT317" s="27" t="s">
        <v>7</v>
      </c>
      <c r="CY317" s="27" t="s">
        <v>8</v>
      </c>
      <c r="CZ317" s="27" t="s">
        <v>7</v>
      </c>
      <c r="DA317" s="27" t="s">
        <v>8</v>
      </c>
      <c r="DB317" s="27" t="s">
        <v>7</v>
      </c>
      <c r="DC317" s="27" t="s">
        <v>8</v>
      </c>
      <c r="DD317" s="27" t="s">
        <v>7</v>
      </c>
      <c r="DE317" s="27" t="s">
        <v>8</v>
      </c>
    </row>
    <row r="318" spans="1:111" x14ac:dyDescent="0.25">
      <c r="A318" s="30">
        <v>2.2245115885816305E-2</v>
      </c>
      <c r="B318"/>
      <c r="C318"/>
      <c r="D318"/>
      <c r="E318"/>
      <c r="F318" s="27" t="s">
        <v>7</v>
      </c>
      <c r="BE318" s="27" t="s">
        <v>8</v>
      </c>
      <c r="BP318" s="27" t="s">
        <v>7</v>
      </c>
      <c r="BQ318" s="27" t="s">
        <v>8</v>
      </c>
      <c r="CF318" s="27" t="s">
        <v>7</v>
      </c>
      <c r="CH318" s="27" t="s">
        <v>7</v>
      </c>
      <c r="CQ318" s="27" t="s">
        <v>8</v>
      </c>
      <c r="CR318" s="27" t="s">
        <v>7</v>
      </c>
      <c r="CS318" s="27" t="s">
        <v>8</v>
      </c>
      <c r="CT318" s="27" t="s">
        <v>7</v>
      </c>
      <c r="CY318" s="27" t="s">
        <v>8</v>
      </c>
      <c r="CZ318" s="27" t="s">
        <v>7</v>
      </c>
      <c r="DB318" s="27" t="s">
        <v>7</v>
      </c>
      <c r="DC318" s="27" t="s">
        <v>8</v>
      </c>
      <c r="DD318" s="27" t="s">
        <v>7</v>
      </c>
      <c r="DE318" s="27" t="s">
        <v>8</v>
      </c>
    </row>
    <row r="319" spans="1:111" x14ac:dyDescent="0.25">
      <c r="A319" s="30">
        <v>2.1185824653158377E-2</v>
      </c>
      <c r="B319"/>
      <c r="C319"/>
      <c r="D319"/>
      <c r="E319"/>
      <c r="F319" s="27" t="s">
        <v>7</v>
      </c>
      <c r="BE319" s="27" t="s">
        <v>8</v>
      </c>
      <c r="BP319" s="27" t="s">
        <v>7</v>
      </c>
      <c r="CH319" s="27" t="s">
        <v>7</v>
      </c>
      <c r="CK319" s="27" t="s">
        <v>8</v>
      </c>
      <c r="CM319" s="27" t="s">
        <v>8</v>
      </c>
      <c r="CQ319" s="27" t="s">
        <v>8</v>
      </c>
      <c r="CR319" s="27" t="s">
        <v>7</v>
      </c>
      <c r="CS319" s="27" t="s">
        <v>8</v>
      </c>
      <c r="CT319" s="27" t="s">
        <v>7</v>
      </c>
      <c r="CU319" s="27" t="s">
        <v>8</v>
      </c>
      <c r="CY319" s="27" t="s">
        <v>8</v>
      </c>
      <c r="DB319" s="27" t="s">
        <v>7</v>
      </c>
      <c r="DC319" s="27" t="s">
        <v>8</v>
      </c>
      <c r="DD319" s="27" t="s">
        <v>7</v>
      </c>
    </row>
    <row r="320" spans="1:111" x14ac:dyDescent="0.25">
      <c r="A320" s="30">
        <v>2.0176975860150829E-2</v>
      </c>
      <c r="B320"/>
      <c r="C320"/>
      <c r="D320"/>
      <c r="E320"/>
      <c r="F320" s="27" t="s">
        <v>7</v>
      </c>
      <c r="BE320" s="27" t="s">
        <v>8</v>
      </c>
      <c r="CH320" s="27" t="s">
        <v>7</v>
      </c>
      <c r="CK320" s="27" t="s">
        <v>8</v>
      </c>
      <c r="CL320" s="27" t="s">
        <v>7</v>
      </c>
      <c r="CM320" s="27" t="s">
        <v>8</v>
      </c>
      <c r="CN320" s="27" t="s">
        <v>7</v>
      </c>
      <c r="CO320" s="27" t="s">
        <v>8</v>
      </c>
      <c r="CQ320" s="27" t="s">
        <v>8</v>
      </c>
      <c r="CR320" s="27" t="s">
        <v>7</v>
      </c>
      <c r="CS320" s="27" t="s">
        <v>8</v>
      </c>
      <c r="CT320" s="27" t="s">
        <v>7</v>
      </c>
      <c r="CU320" s="27" t="s">
        <v>8</v>
      </c>
      <c r="CV320" s="27" t="s">
        <v>7</v>
      </c>
      <c r="CY320" s="27" t="s">
        <v>8</v>
      </c>
      <c r="DB320" s="27" t="s">
        <v>7</v>
      </c>
      <c r="DC320" s="27" t="s">
        <v>8</v>
      </c>
    </row>
    <row r="321" spans="1:106" x14ac:dyDescent="0.25">
      <c r="A321" s="30">
        <v>1.9216167485857926E-2</v>
      </c>
      <c r="B321"/>
      <c r="C321"/>
      <c r="D321"/>
      <c r="E321"/>
      <c r="F321" s="27" t="s">
        <v>7</v>
      </c>
      <c r="AY321" s="27" t="s">
        <v>8</v>
      </c>
      <c r="BE321" s="27" t="s">
        <v>8</v>
      </c>
      <c r="CH321" s="27" t="s">
        <v>7</v>
      </c>
      <c r="CK321" s="27" t="s">
        <v>8</v>
      </c>
      <c r="CL321" s="27" t="s">
        <v>7</v>
      </c>
      <c r="CM321" s="27" t="s">
        <v>8</v>
      </c>
      <c r="CN321" s="27" t="s">
        <v>7</v>
      </c>
      <c r="CO321" s="27" t="s">
        <v>8</v>
      </c>
      <c r="CP321" s="27" t="s">
        <v>7</v>
      </c>
      <c r="CQ321" s="27" t="s">
        <v>8</v>
      </c>
      <c r="CR321" s="27" t="s">
        <v>7</v>
      </c>
      <c r="CS321" s="27" t="s">
        <v>8</v>
      </c>
      <c r="CT321" s="27" t="s">
        <v>7</v>
      </c>
      <c r="CU321" s="27" t="s">
        <v>8</v>
      </c>
      <c r="CV321" s="27" t="s">
        <v>7</v>
      </c>
      <c r="CY321" s="27" t="s">
        <v>8</v>
      </c>
      <c r="DB321" s="27" t="s">
        <v>7</v>
      </c>
    </row>
    <row r="322" spans="1:106" x14ac:dyDescent="0.25">
      <c r="A322" s="30">
        <v>1.8301111891293256E-2</v>
      </c>
      <c r="B322"/>
      <c r="C322"/>
      <c r="D322"/>
      <c r="E322"/>
      <c r="F322" s="27" t="s">
        <v>7</v>
      </c>
      <c r="AY322" s="27" t="s">
        <v>8</v>
      </c>
      <c r="AZ322" s="27" t="s">
        <v>7</v>
      </c>
      <c r="BC322" s="27" t="s">
        <v>8</v>
      </c>
      <c r="BE322" s="27" t="s">
        <v>8</v>
      </c>
      <c r="CH322" s="27" t="s">
        <v>7</v>
      </c>
      <c r="CI322" s="27" t="s">
        <v>8</v>
      </c>
      <c r="CK322" s="27" t="s">
        <v>8</v>
      </c>
      <c r="CL322" s="27" t="s">
        <v>7</v>
      </c>
      <c r="CM322" s="27" t="s">
        <v>8</v>
      </c>
      <c r="CN322" s="27" t="s">
        <v>7</v>
      </c>
      <c r="CO322" s="27" t="s">
        <v>8</v>
      </c>
      <c r="CP322" s="27" t="s">
        <v>7</v>
      </c>
      <c r="CQ322" s="27" t="s">
        <v>8</v>
      </c>
      <c r="CR322" s="27" t="s">
        <v>7</v>
      </c>
      <c r="CS322" s="27" t="s">
        <v>8</v>
      </c>
      <c r="CT322" s="27" t="s">
        <v>7</v>
      </c>
      <c r="CV322" s="27" t="s">
        <v>7</v>
      </c>
      <c r="CW322" s="27" t="s">
        <v>8</v>
      </c>
      <c r="CY322" s="27" t="s">
        <v>8</v>
      </c>
    </row>
    <row r="323" spans="1:106" x14ac:dyDescent="0.25">
      <c r="A323" s="30">
        <v>1.7429630372660238E-2</v>
      </c>
      <c r="B323"/>
      <c r="C323"/>
      <c r="D323"/>
      <c r="E323"/>
      <c r="F323" s="27" t="s">
        <v>7</v>
      </c>
      <c r="AY323" s="27" t="s">
        <v>8</v>
      </c>
      <c r="AZ323" s="27" t="s">
        <v>7</v>
      </c>
      <c r="BC323" s="27" t="s">
        <v>8</v>
      </c>
      <c r="BD323" s="27" t="s">
        <v>7</v>
      </c>
      <c r="BE323" s="27" t="s">
        <v>8</v>
      </c>
      <c r="CH323" s="27" t="s">
        <v>7</v>
      </c>
      <c r="CI323" s="27" t="s">
        <v>8</v>
      </c>
      <c r="CJ323" s="27" t="s">
        <v>7</v>
      </c>
      <c r="CK323" s="27" t="s">
        <v>8</v>
      </c>
      <c r="CL323" s="27" t="s">
        <v>7</v>
      </c>
      <c r="CN323" s="27" t="s">
        <v>7</v>
      </c>
      <c r="CP323" s="27" t="s">
        <v>7</v>
      </c>
      <c r="CQ323" s="27" t="s">
        <v>8</v>
      </c>
      <c r="CR323" s="27" t="s">
        <v>7</v>
      </c>
      <c r="CS323" s="27" t="s">
        <v>8</v>
      </c>
      <c r="CV323" s="27" t="s">
        <v>7</v>
      </c>
      <c r="CW323" s="27" t="s">
        <v>8</v>
      </c>
      <c r="CX323" s="27" t="s">
        <v>7</v>
      </c>
      <c r="CY323" s="27" t="s">
        <v>8</v>
      </c>
    </row>
    <row r="324" spans="1:106" x14ac:dyDescent="0.25">
      <c r="A324" s="30">
        <v>1.6599647973962125E-2</v>
      </c>
      <c r="B324"/>
      <c r="C324"/>
      <c r="D324"/>
      <c r="E324"/>
      <c r="F324" s="27" t="s">
        <v>7</v>
      </c>
      <c r="AY324" s="27" t="s">
        <v>8</v>
      </c>
      <c r="AZ324" s="27" t="s">
        <v>7</v>
      </c>
      <c r="BC324" s="27" t="s">
        <v>8</v>
      </c>
      <c r="BD324" s="27" t="s">
        <v>7</v>
      </c>
      <c r="BE324" s="27" t="s">
        <v>8</v>
      </c>
      <c r="CH324" s="27" t="s">
        <v>7</v>
      </c>
      <c r="CI324" s="27" t="s">
        <v>8</v>
      </c>
      <c r="CJ324" s="27" t="s">
        <v>7</v>
      </c>
      <c r="CK324" s="27" t="s">
        <v>8</v>
      </c>
      <c r="CP324" s="27" t="s">
        <v>7</v>
      </c>
      <c r="CR324" s="27" t="s">
        <v>7</v>
      </c>
      <c r="CV324" s="27" t="s">
        <v>7</v>
      </c>
      <c r="CW324" s="27" t="s">
        <v>8</v>
      </c>
      <c r="CX324" s="27" t="s">
        <v>7</v>
      </c>
      <c r="CY324" s="27" t="s">
        <v>8</v>
      </c>
    </row>
    <row r="325" spans="1:106" x14ac:dyDescent="0.25">
      <c r="A325" s="30">
        <v>1.580918854663059E-2</v>
      </c>
      <c r="B325"/>
      <c r="C325"/>
      <c r="D325"/>
      <c r="E325"/>
      <c r="F325" s="27" t="s">
        <v>7</v>
      </c>
      <c r="AY325" s="27" t="s">
        <v>8</v>
      </c>
      <c r="AZ325" s="27" t="s">
        <v>7</v>
      </c>
      <c r="BC325" s="27" t="s">
        <v>8</v>
      </c>
      <c r="BD325" s="27" t="s">
        <v>7</v>
      </c>
      <c r="BE325" s="27" t="s">
        <v>8</v>
      </c>
      <c r="CH325" s="27" t="s">
        <v>7</v>
      </c>
      <c r="CI325" s="27" t="s">
        <v>8</v>
      </c>
      <c r="CJ325" s="27" t="s">
        <v>7</v>
      </c>
      <c r="CK325" s="27" t="s">
        <v>8</v>
      </c>
      <c r="CV325" s="27" t="s">
        <v>7</v>
      </c>
      <c r="CW325" s="27" t="s">
        <v>8</v>
      </c>
      <c r="CX325" s="27" t="s">
        <v>7</v>
      </c>
    </row>
    <row r="326" spans="1:106" x14ac:dyDescent="0.25">
      <c r="A326" s="30">
        <v>1.5056370044410079E-2</v>
      </c>
      <c r="B326"/>
      <c r="C326"/>
      <c r="D326"/>
      <c r="E326"/>
      <c r="F326" s="27" t="s">
        <v>7</v>
      </c>
      <c r="AY326" s="27" t="s">
        <v>8</v>
      </c>
      <c r="AZ326" s="27" t="s">
        <v>7</v>
      </c>
      <c r="BC326" s="27" t="s">
        <v>8</v>
      </c>
      <c r="BD326" s="27" t="s">
        <v>7</v>
      </c>
      <c r="CH326" s="27" t="s">
        <v>7</v>
      </c>
      <c r="CJ326" s="27" t="s">
        <v>7</v>
      </c>
      <c r="CK326" s="27" t="s">
        <v>8</v>
      </c>
      <c r="CV326" s="27" t="s">
        <v>7</v>
      </c>
    </row>
    <row r="327" spans="1:106" x14ac:dyDescent="0.25">
      <c r="A327" s="30">
        <v>1.4339400042295308E-2</v>
      </c>
      <c r="B327"/>
      <c r="C327"/>
      <c r="D327"/>
      <c r="E327"/>
      <c r="F327" s="27" t="s">
        <v>7</v>
      </c>
      <c r="AY327" s="27" t="s">
        <v>8</v>
      </c>
      <c r="AZ327" s="27" t="s">
        <v>7</v>
      </c>
      <c r="BA327" s="27" t="s">
        <v>8</v>
      </c>
      <c r="BC327" s="27" t="s">
        <v>8</v>
      </c>
      <c r="CJ327" s="27" t="s">
        <v>7</v>
      </c>
      <c r="CK327" s="27" t="s">
        <v>8</v>
      </c>
    </row>
    <row r="328" spans="1:106" x14ac:dyDescent="0.25">
      <c r="A328" s="30">
        <v>1.365657146885267E-2</v>
      </c>
      <c r="B328"/>
      <c r="C328"/>
      <c r="D328"/>
      <c r="E328"/>
      <c r="F328" s="27" t="s">
        <v>7</v>
      </c>
      <c r="AS328" s="27" t="s">
        <v>8</v>
      </c>
      <c r="AU328" s="27" t="s">
        <v>8</v>
      </c>
      <c r="AY328" s="27" t="s">
        <v>8</v>
      </c>
      <c r="AZ328" s="27" t="s">
        <v>7</v>
      </c>
      <c r="BA328" s="27" t="s">
        <v>8</v>
      </c>
      <c r="BB328" s="27" t="s">
        <v>7</v>
      </c>
      <c r="BC328" s="27" t="s">
        <v>8</v>
      </c>
      <c r="CJ328" s="27" t="s">
        <v>7</v>
      </c>
      <c r="CK328" s="27" t="s">
        <v>8</v>
      </c>
    </row>
    <row r="329" spans="1:106" x14ac:dyDescent="0.25">
      <c r="A329" s="30">
        <v>1.3006258541764442E-2</v>
      </c>
      <c r="B329"/>
      <c r="C329"/>
      <c r="D329"/>
      <c r="E329"/>
      <c r="F329" s="27" t="s">
        <v>7</v>
      </c>
      <c r="AS329" s="27" t="s">
        <v>8</v>
      </c>
      <c r="AT329" s="27" t="s">
        <v>7</v>
      </c>
      <c r="AU329" s="27" t="s">
        <v>8</v>
      </c>
      <c r="AV329" s="27" t="s">
        <v>7</v>
      </c>
      <c r="AY329" s="27" t="s">
        <v>8</v>
      </c>
      <c r="AZ329" s="27" t="s">
        <v>7</v>
      </c>
      <c r="BA329" s="27" t="s">
        <v>8</v>
      </c>
      <c r="BB329" s="27" t="s">
        <v>7</v>
      </c>
      <c r="BC329" s="27" t="s">
        <v>8</v>
      </c>
      <c r="CJ329" s="27" t="s">
        <v>7</v>
      </c>
    </row>
    <row r="330" spans="1:106" x14ac:dyDescent="0.25">
      <c r="A330" s="30">
        <v>1.2386912896918512E-2</v>
      </c>
      <c r="B330"/>
      <c r="C330"/>
      <c r="D330"/>
      <c r="E330"/>
      <c r="F330" s="27" t="s">
        <v>7</v>
      </c>
      <c r="G330" s="27" t="s">
        <v>8</v>
      </c>
      <c r="AS330" s="27" t="s">
        <v>8</v>
      </c>
      <c r="AT330" s="27" t="s">
        <v>7</v>
      </c>
      <c r="AU330" s="27" t="s">
        <v>8</v>
      </c>
      <c r="AV330" s="27" t="s">
        <v>7</v>
      </c>
      <c r="AW330" s="27" t="s">
        <v>8</v>
      </c>
      <c r="AY330" s="27" t="s">
        <v>8</v>
      </c>
      <c r="AZ330" s="27" t="s">
        <v>7</v>
      </c>
      <c r="BA330" s="27" t="s">
        <v>8</v>
      </c>
      <c r="BB330" s="27" t="s">
        <v>7</v>
      </c>
    </row>
    <row r="331" spans="1:106" x14ac:dyDescent="0.25">
      <c r="A331" s="30">
        <v>1.179705990182715E-2</v>
      </c>
      <c r="B331"/>
      <c r="C331"/>
      <c r="D331"/>
      <c r="E331"/>
      <c r="F331" s="27" t="s">
        <v>7</v>
      </c>
      <c r="G331" s="27" t="s">
        <v>8</v>
      </c>
      <c r="H331" s="27" t="s">
        <v>7</v>
      </c>
      <c r="AS331" s="27" t="s">
        <v>8</v>
      </c>
      <c r="AT331" s="27" t="s">
        <v>7</v>
      </c>
      <c r="AU331" s="27" t="s">
        <v>8</v>
      </c>
      <c r="AV331" s="27" t="s">
        <v>7</v>
      </c>
      <c r="AW331" s="27" t="s">
        <v>8</v>
      </c>
      <c r="AX331" s="27" t="s">
        <v>7</v>
      </c>
      <c r="AY331" s="27" t="s">
        <v>8</v>
      </c>
      <c r="AZ331" s="27" t="s">
        <v>7</v>
      </c>
      <c r="BA331" s="27" t="s">
        <v>8</v>
      </c>
    </row>
    <row r="332" spans="1:106" x14ac:dyDescent="0.25">
      <c r="A332" s="30">
        <v>1.1235295144597281E-2</v>
      </c>
      <c r="B332"/>
      <c r="C332"/>
      <c r="D332"/>
      <c r="E332"/>
      <c r="F332" s="27" t="s">
        <v>7</v>
      </c>
      <c r="G332" s="27" t="s">
        <v>8</v>
      </c>
      <c r="H332" s="27" t="s">
        <v>7</v>
      </c>
      <c r="AS332" s="27" t="s">
        <v>8</v>
      </c>
      <c r="AT332" s="27" t="s">
        <v>7</v>
      </c>
      <c r="AU332" s="27" t="s">
        <v>8</v>
      </c>
      <c r="AV332" s="27" t="s">
        <v>7</v>
      </c>
      <c r="AW332" s="27" t="s">
        <v>8</v>
      </c>
      <c r="AX332" s="27" t="s">
        <v>7</v>
      </c>
      <c r="AY332" s="27" t="s">
        <v>8</v>
      </c>
      <c r="AZ332" s="27" t="s">
        <v>7</v>
      </c>
    </row>
    <row r="333" spans="1:106" x14ac:dyDescent="0.25">
      <c r="A333" s="30">
        <v>1.0700281090092644E-2</v>
      </c>
      <c r="B333"/>
      <c r="C333"/>
      <c r="D333"/>
      <c r="E333"/>
      <c r="F333" s="27" t="s">
        <v>7</v>
      </c>
      <c r="G333" s="27" t="s">
        <v>8</v>
      </c>
      <c r="H333" s="27" t="s">
        <v>7</v>
      </c>
      <c r="AS333" s="27" t="s">
        <v>8</v>
      </c>
      <c r="AT333" s="27" t="s">
        <v>7</v>
      </c>
      <c r="AV333" s="27" t="s">
        <v>7</v>
      </c>
      <c r="AW333" s="27" t="s">
        <v>8</v>
      </c>
      <c r="AX333" s="27" t="s">
        <v>7</v>
      </c>
      <c r="AY333" s="27" t="s">
        <v>8</v>
      </c>
    </row>
    <row r="334" spans="1:106" x14ac:dyDescent="0.25">
      <c r="A334" s="30">
        <v>1.0190743895326324E-2</v>
      </c>
      <c r="B334"/>
      <c r="C334"/>
      <c r="D334"/>
      <c r="E334"/>
      <c r="F334" s="27" t="s">
        <v>7</v>
      </c>
      <c r="G334" s="27" t="s">
        <v>8</v>
      </c>
      <c r="H334" s="27" t="s">
        <v>7</v>
      </c>
      <c r="AS334" s="27" t="s">
        <v>8</v>
      </c>
      <c r="AV334" s="27" t="s">
        <v>7</v>
      </c>
      <c r="AX334" s="27" t="s">
        <v>7</v>
      </c>
      <c r="AY334" s="27" t="s">
        <v>8</v>
      </c>
    </row>
    <row r="335" spans="1:106" x14ac:dyDescent="0.25">
      <c r="A335" s="30">
        <v>9.7054703765012563E-3</v>
      </c>
      <c r="B335"/>
      <c r="C335"/>
      <c r="D335"/>
      <c r="E335"/>
      <c r="F335" s="27" t="s">
        <v>7</v>
      </c>
      <c r="G335" s="27" t="s">
        <v>8</v>
      </c>
      <c r="H335" s="27" t="s">
        <v>7</v>
      </c>
      <c r="AS335" s="27" t="s">
        <v>8</v>
      </c>
      <c r="AX335" s="27" t="s">
        <v>7</v>
      </c>
    </row>
    <row r="336" spans="1:106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H336" s="27" t="s">
        <v>7</v>
      </c>
      <c r="AS336" s="27" t="s">
        <v>8</v>
      </c>
    </row>
    <row r="337" spans="1:45" x14ac:dyDescent="0.25">
      <c r="A337" s="30">
        <v>8.8031477337879808E-3</v>
      </c>
      <c r="B337"/>
      <c r="C337"/>
      <c r="D337"/>
      <c r="E337"/>
      <c r="F337" s="27" t="s">
        <v>7</v>
      </c>
      <c r="H337" s="27" t="s">
        <v>7</v>
      </c>
      <c r="AS337" s="27" t="s">
        <v>8</v>
      </c>
    </row>
    <row r="338" spans="1:45" x14ac:dyDescent="0.25">
      <c r="A338" s="30">
        <v>8.3839502226552166E-3</v>
      </c>
      <c r="B338"/>
      <c r="C338"/>
      <c r="D338"/>
      <c r="E338"/>
      <c r="H338" s="27" t="s">
        <v>7</v>
      </c>
      <c r="K338" s="27" t="s">
        <v>8</v>
      </c>
      <c r="AS338" s="27" t="s">
        <v>8</v>
      </c>
    </row>
    <row r="339" spans="1:45" x14ac:dyDescent="0.25">
      <c r="A339" s="30">
        <v>7.9847144977668698E-3</v>
      </c>
      <c r="B339"/>
      <c r="C339"/>
      <c r="D339"/>
      <c r="E339"/>
      <c r="H339" s="27" t="s">
        <v>7</v>
      </c>
      <c r="K339" s="27" t="s">
        <v>8</v>
      </c>
      <c r="L339" s="27" t="s">
        <v>7</v>
      </c>
      <c r="AS339" s="27" t="s">
        <v>8</v>
      </c>
    </row>
    <row r="340" spans="1:45" x14ac:dyDescent="0.25">
      <c r="A340" s="30">
        <v>7.6044899978732058E-3</v>
      </c>
      <c r="B340"/>
      <c r="C340"/>
      <c r="D340"/>
      <c r="E340"/>
      <c r="H340" s="27" t="s">
        <v>7</v>
      </c>
      <c r="I340" s="27" t="s">
        <v>8</v>
      </c>
      <c r="K340" s="27" t="s">
        <v>8</v>
      </c>
      <c r="L340" s="27" t="s">
        <v>7</v>
      </c>
      <c r="AQ340" s="27" t="s">
        <v>8</v>
      </c>
      <c r="AS340" s="27" t="s">
        <v>8</v>
      </c>
    </row>
    <row r="341" spans="1:45" x14ac:dyDescent="0.25">
      <c r="A341" s="30">
        <v>7.2423714265459072E-3</v>
      </c>
      <c r="B341"/>
      <c r="C341"/>
      <c r="D341"/>
      <c r="E341"/>
      <c r="H341" s="27" t="s">
        <v>7</v>
      </c>
      <c r="I341" s="27" t="s">
        <v>8</v>
      </c>
      <c r="J341" s="27" t="s">
        <v>7</v>
      </c>
      <c r="K341" s="27" t="s">
        <v>8</v>
      </c>
      <c r="L341" s="27" t="s">
        <v>7</v>
      </c>
      <c r="AO341" s="27" t="s">
        <v>8</v>
      </c>
      <c r="AQ341" s="27" t="s">
        <v>8</v>
      </c>
      <c r="AR341" s="27" t="s">
        <v>7</v>
      </c>
      <c r="AS341" s="27" t="s">
        <v>8</v>
      </c>
    </row>
    <row r="342" spans="1:45" x14ac:dyDescent="0.25">
      <c r="A342" s="30">
        <v>6.8974965967103846E-3</v>
      </c>
      <c r="B342"/>
      <c r="C342"/>
      <c r="D342"/>
      <c r="E342"/>
      <c r="H342" s="27" t="s">
        <v>7</v>
      </c>
      <c r="I342" s="27" t="s">
        <v>8</v>
      </c>
      <c r="J342" s="27" t="s">
        <v>7</v>
      </c>
      <c r="K342" s="27" t="s">
        <v>8</v>
      </c>
      <c r="L342" s="27" t="s">
        <v>7</v>
      </c>
      <c r="M342" s="27" t="s">
        <v>8</v>
      </c>
      <c r="AO342" s="27" t="s">
        <v>8</v>
      </c>
      <c r="AP342" s="27" t="s">
        <v>7</v>
      </c>
      <c r="AQ342" s="27" t="s">
        <v>8</v>
      </c>
      <c r="AR342" s="27" t="s">
        <v>7</v>
      </c>
      <c r="AS342" s="27" t="s">
        <v>8</v>
      </c>
    </row>
    <row r="343" spans="1:45" x14ac:dyDescent="0.25">
      <c r="A343" s="30">
        <v>6.5690443778194116E-3</v>
      </c>
      <c r="B343"/>
      <c r="C343"/>
      <c r="D343"/>
      <c r="E343"/>
      <c r="H343" s="27" t="s">
        <v>7</v>
      </c>
      <c r="J343" s="27" t="s">
        <v>7</v>
      </c>
      <c r="K343" s="27" t="s">
        <v>8</v>
      </c>
      <c r="L343" s="27" t="s">
        <v>7</v>
      </c>
      <c r="M343" s="27" t="s">
        <v>8</v>
      </c>
      <c r="N343" s="27" t="s">
        <v>7</v>
      </c>
      <c r="AM343" s="27" t="s">
        <v>8</v>
      </c>
      <c r="AO343" s="27" t="s">
        <v>8</v>
      </c>
      <c r="AP343" s="27" t="s">
        <v>7</v>
      </c>
      <c r="AQ343" s="27" t="s">
        <v>8</v>
      </c>
      <c r="AR343" s="27" t="s">
        <v>7</v>
      </c>
      <c r="AS343" s="27" t="s">
        <v>8</v>
      </c>
    </row>
    <row r="344" spans="1:45" x14ac:dyDescent="0.25">
      <c r="A344" s="30">
        <v>6.2562327407803897E-3</v>
      </c>
      <c r="B344"/>
      <c r="C344"/>
      <c r="D344"/>
      <c r="E344"/>
      <c r="J344" s="27" t="s">
        <v>7</v>
      </c>
      <c r="L344" s="27" t="s">
        <v>7</v>
      </c>
      <c r="M344" s="27" t="s">
        <v>8</v>
      </c>
      <c r="N344" s="27" t="s">
        <v>7</v>
      </c>
      <c r="AI344" s="27" t="s">
        <v>8</v>
      </c>
      <c r="AK344" s="27" t="s">
        <v>8</v>
      </c>
      <c r="AM344" s="27" t="s">
        <v>8</v>
      </c>
      <c r="AN344" s="27" t="s">
        <v>7</v>
      </c>
      <c r="AO344" s="27" t="s">
        <v>8</v>
      </c>
      <c r="AP344" s="27" t="s">
        <v>7</v>
      </c>
      <c r="AQ344" s="27" t="s">
        <v>8</v>
      </c>
      <c r="AR344" s="27" t="s">
        <v>7</v>
      </c>
      <c r="AS344" s="27" t="s">
        <v>8</v>
      </c>
    </row>
    <row r="345" spans="1:45" x14ac:dyDescent="0.25">
      <c r="A345" s="30">
        <v>5.9583168959813212E-3</v>
      </c>
      <c r="B345"/>
      <c r="C345"/>
      <c r="D345"/>
      <c r="E345"/>
      <c r="L345" s="27" t="s">
        <v>7</v>
      </c>
      <c r="M345" s="27" t="s">
        <v>8</v>
      </c>
      <c r="N345" s="27" t="s">
        <v>7</v>
      </c>
      <c r="AI345" s="27" t="s">
        <v>8</v>
      </c>
      <c r="AJ345" s="27" t="s">
        <v>7</v>
      </c>
      <c r="AK345" s="27" t="s">
        <v>8</v>
      </c>
      <c r="AL345" s="27" t="s">
        <v>7</v>
      </c>
      <c r="AM345" s="27" t="s">
        <v>8</v>
      </c>
      <c r="AN345" s="27" t="s">
        <v>7</v>
      </c>
      <c r="AO345" s="27" t="s">
        <v>8</v>
      </c>
      <c r="AP345" s="27" t="s">
        <v>7</v>
      </c>
      <c r="AR345" s="27" t="s">
        <v>7</v>
      </c>
      <c r="AS345" s="27" t="s">
        <v>8</v>
      </c>
    </row>
    <row r="346" spans="1:45" x14ac:dyDescent="0.25">
      <c r="A346" s="30">
        <v>5.6745875199822084E-3</v>
      </c>
      <c r="B346"/>
      <c r="C346"/>
      <c r="D346"/>
      <c r="E346"/>
      <c r="L346" s="27" t="s">
        <v>7</v>
      </c>
      <c r="N346" s="27" t="s">
        <v>7</v>
      </c>
      <c r="AE346" s="27" t="s">
        <v>8</v>
      </c>
      <c r="AI346" s="27" t="s">
        <v>8</v>
      </c>
      <c r="AJ346" s="27" t="s">
        <v>7</v>
      </c>
      <c r="AK346" s="27" t="s">
        <v>8</v>
      </c>
      <c r="AL346" s="27" t="s">
        <v>7</v>
      </c>
      <c r="AM346" s="27" t="s">
        <v>8</v>
      </c>
      <c r="AN346" s="27" t="s">
        <v>7</v>
      </c>
      <c r="AR346" s="27" t="s">
        <v>7</v>
      </c>
    </row>
    <row r="347" spans="1:45" x14ac:dyDescent="0.25">
      <c r="A347" s="30">
        <v>5.4043690666497205E-3</v>
      </c>
      <c r="B347"/>
      <c r="C347"/>
      <c r="D347"/>
      <c r="E347"/>
      <c r="N347" s="27" t="s">
        <v>7</v>
      </c>
      <c r="AE347" s="27" t="s">
        <v>8</v>
      </c>
      <c r="AF347" s="27" t="s">
        <v>7</v>
      </c>
      <c r="AG347" s="27" t="s">
        <v>8</v>
      </c>
      <c r="AI347" s="27" t="s">
        <v>8</v>
      </c>
      <c r="AJ347" s="27" t="s">
        <v>7</v>
      </c>
      <c r="AL347" s="27" t="s">
        <v>7</v>
      </c>
    </row>
    <row r="348" spans="1:45" x14ac:dyDescent="0.25">
      <c r="A348" s="30">
        <v>5.1470181587140174E-3</v>
      </c>
      <c r="B348"/>
      <c r="C348"/>
      <c r="D348"/>
      <c r="E348"/>
      <c r="N348" s="27" t="s">
        <v>7</v>
      </c>
      <c r="AC348" s="27" t="s">
        <v>8</v>
      </c>
      <c r="AE348" s="27" t="s">
        <v>8</v>
      </c>
      <c r="AF348" s="27" t="s">
        <v>7</v>
      </c>
      <c r="AG348" s="27" t="s">
        <v>8</v>
      </c>
      <c r="AH348" s="27" t="s">
        <v>7</v>
      </c>
      <c r="AI348" s="27" t="s">
        <v>8</v>
      </c>
    </row>
    <row r="349" spans="1:45" x14ac:dyDescent="0.25">
      <c r="A349" s="30">
        <v>4.9019220559181099E-3</v>
      </c>
      <c r="B349"/>
      <c r="C349"/>
      <c r="D349"/>
      <c r="E349"/>
      <c r="N349" s="27" t="s">
        <v>7</v>
      </c>
      <c r="AA349" s="27" t="s">
        <v>8</v>
      </c>
      <c r="AC349" s="27" t="s">
        <v>8</v>
      </c>
      <c r="AD349" s="27" t="s">
        <v>7</v>
      </c>
      <c r="AE349" s="27" t="s">
        <v>8</v>
      </c>
      <c r="AF349" s="27" t="s">
        <v>7</v>
      </c>
      <c r="AG349" s="27" t="s">
        <v>8</v>
      </c>
      <c r="AH349" s="27" t="s">
        <v>7</v>
      </c>
      <c r="AI349" s="27" t="s">
        <v>8</v>
      </c>
    </row>
    <row r="350" spans="1:45" x14ac:dyDescent="0.25">
      <c r="A350" s="30">
        <v>4.6684971961124836E-3</v>
      </c>
      <c r="B350"/>
      <c r="C350"/>
      <c r="D350"/>
      <c r="E350"/>
      <c r="N350" s="27" t="s">
        <v>7</v>
      </c>
      <c r="AA350" s="27" t="s">
        <v>8</v>
      </c>
      <c r="AB350" s="27" t="s">
        <v>7</v>
      </c>
      <c r="AC350" s="27" t="s">
        <v>8</v>
      </c>
      <c r="AD350" s="27" t="s">
        <v>7</v>
      </c>
      <c r="AE350" s="27" t="s">
        <v>8</v>
      </c>
      <c r="AF350" s="27" t="s">
        <v>7</v>
      </c>
      <c r="AG350" s="27" t="s">
        <v>8</v>
      </c>
      <c r="AH350" s="27" t="s">
        <v>7</v>
      </c>
    </row>
    <row r="351" spans="1:45" x14ac:dyDescent="0.25">
      <c r="A351" s="30">
        <v>4.4461878058214112E-3</v>
      </c>
      <c r="B351"/>
      <c r="C351"/>
      <c r="D351"/>
      <c r="E351"/>
      <c r="N351" s="27" t="s">
        <v>7</v>
      </c>
      <c r="AA351" s="27" t="s">
        <v>8</v>
      </c>
      <c r="AB351" s="27" t="s">
        <v>7</v>
      </c>
      <c r="AC351" s="27" t="s">
        <v>8</v>
      </c>
      <c r="AD351" s="27" t="s">
        <v>7</v>
      </c>
      <c r="AE351" s="27" t="s">
        <v>8</v>
      </c>
      <c r="AF351" s="27" t="s">
        <v>7</v>
      </c>
    </row>
    <row r="352" spans="1:45" x14ac:dyDescent="0.25">
      <c r="A352" s="30">
        <v>4.2344645769727711E-3</v>
      </c>
      <c r="B352"/>
      <c r="C352"/>
      <c r="D352"/>
      <c r="E352"/>
      <c r="N352" s="27" t="s">
        <v>7</v>
      </c>
      <c r="AA352" s="27" t="s">
        <v>8</v>
      </c>
      <c r="AB352" s="27" t="s">
        <v>7</v>
      </c>
      <c r="AD352" s="27" t="s">
        <v>7</v>
      </c>
      <c r="AE352" s="27" t="s">
        <v>8</v>
      </c>
    </row>
    <row r="353" spans="1:31" x14ac:dyDescent="0.25">
      <c r="A353" s="30">
        <v>4.0328234066407329E-3</v>
      </c>
      <c r="B353"/>
      <c r="C353"/>
      <c r="D353"/>
      <c r="E353"/>
      <c r="N353" s="27" t="s">
        <v>7</v>
      </c>
      <c r="AA353" s="27" t="s">
        <v>8</v>
      </c>
      <c r="AD353" s="27" t="s">
        <v>7</v>
      </c>
      <c r="AE353" s="27" t="s">
        <v>8</v>
      </c>
    </row>
    <row r="354" spans="1:31" x14ac:dyDescent="0.25">
      <c r="A354" s="30">
        <v>3.8407841968006963E-3</v>
      </c>
      <c r="B354"/>
      <c r="C354"/>
      <c r="D354"/>
      <c r="E354"/>
      <c r="N354" s="27" t="s">
        <v>7</v>
      </c>
      <c r="Y354" s="27" t="s">
        <v>8</v>
      </c>
      <c r="AA354" s="27" t="s">
        <v>8</v>
      </c>
      <c r="AD354" s="27" t="s">
        <v>7</v>
      </c>
      <c r="AE354" s="27" t="s">
        <v>8</v>
      </c>
    </row>
    <row r="355" spans="1:31" x14ac:dyDescent="0.25">
      <c r="A355" s="30">
        <v>3.6578897112387568E-3</v>
      </c>
      <c r="B355"/>
      <c r="C355"/>
      <c r="D355"/>
      <c r="E355"/>
      <c r="N355" s="27" t="s">
        <v>7</v>
      </c>
      <c r="S355" s="27" t="s">
        <v>8</v>
      </c>
      <c r="Y355" s="27" t="s">
        <v>8</v>
      </c>
      <c r="Z355" s="27" t="s">
        <v>7</v>
      </c>
      <c r="AA355" s="27" t="s">
        <v>8</v>
      </c>
      <c r="AD355" s="27" t="s">
        <v>7</v>
      </c>
      <c r="AE355" s="27" t="s">
        <v>8</v>
      </c>
    </row>
    <row r="356" spans="1:31" x14ac:dyDescent="0.25">
      <c r="A356" s="30">
        <v>3.4837044868940526E-3</v>
      </c>
      <c r="B356"/>
      <c r="C356"/>
      <c r="D356"/>
      <c r="E356"/>
      <c r="N356" s="27" t="s">
        <v>7</v>
      </c>
      <c r="S356" s="27" t="s">
        <v>8</v>
      </c>
      <c r="T356" s="27" t="s">
        <v>7</v>
      </c>
      <c r="Y356" s="27" t="s">
        <v>8</v>
      </c>
      <c r="Z356" s="27" t="s">
        <v>7</v>
      </c>
      <c r="AA356" s="27" t="s">
        <v>8</v>
      </c>
      <c r="AD356" s="27" t="s">
        <v>7</v>
      </c>
      <c r="AE356" s="27" t="s">
        <v>8</v>
      </c>
    </row>
    <row r="357" spans="1:31" x14ac:dyDescent="0.25">
      <c r="A357" s="30">
        <v>3.3178137970419535E-3</v>
      </c>
      <c r="B357"/>
      <c r="C357"/>
      <c r="D357"/>
      <c r="E357"/>
      <c r="N357" s="27" t="s">
        <v>7</v>
      </c>
      <c r="S357" s="27" t="s">
        <v>8</v>
      </c>
      <c r="T357" s="27" t="s">
        <v>7</v>
      </c>
      <c r="W357" s="27" t="s">
        <v>8</v>
      </c>
      <c r="Y357" s="27" t="s">
        <v>8</v>
      </c>
      <c r="Z357" s="27" t="s">
        <v>7</v>
      </c>
      <c r="AA357" s="27" t="s">
        <v>8</v>
      </c>
      <c r="AD357" s="27" t="s">
        <v>7</v>
      </c>
    </row>
    <row r="358" spans="1:31" x14ac:dyDescent="0.25">
      <c r="A358" s="30">
        <v>3.1598226638494781E-3</v>
      </c>
      <c r="B358"/>
      <c r="C358"/>
      <c r="D358"/>
      <c r="E358"/>
      <c r="N358" s="27" t="s">
        <v>7</v>
      </c>
      <c r="S358" s="27" t="s">
        <v>8</v>
      </c>
      <c r="T358" s="27" t="s">
        <v>7</v>
      </c>
      <c r="W358" s="27" t="s">
        <v>8</v>
      </c>
      <c r="X358" s="27" t="s">
        <v>7</v>
      </c>
      <c r="Y358" s="27" t="s">
        <v>8</v>
      </c>
      <c r="Z358" s="27" t="s">
        <v>7</v>
      </c>
      <c r="AA358" s="27" t="s">
        <v>8</v>
      </c>
    </row>
    <row r="359" spans="1:31" x14ac:dyDescent="0.25">
      <c r="A359" s="30">
        <v>3.0093549179518826E-3</v>
      </c>
      <c r="B359"/>
      <c r="C359"/>
      <c r="D359"/>
      <c r="E359"/>
      <c r="N359" s="27" t="s">
        <v>7</v>
      </c>
      <c r="O359" s="27" t="s">
        <v>8</v>
      </c>
      <c r="S359" s="27" t="s">
        <v>8</v>
      </c>
      <c r="T359" s="27" t="s">
        <v>7</v>
      </c>
      <c r="W359" s="27" t="s">
        <v>8</v>
      </c>
      <c r="X359" s="27" t="s">
        <v>7</v>
      </c>
      <c r="Y359" s="27" t="s">
        <v>8</v>
      </c>
      <c r="Z359" s="27" t="s">
        <v>7</v>
      </c>
      <c r="AA359" s="27" t="s">
        <v>8</v>
      </c>
    </row>
    <row r="360" spans="1:31" x14ac:dyDescent="0.25">
      <c r="A360" s="30">
        <v>2.8660523028113155E-3</v>
      </c>
      <c r="B360"/>
      <c r="C360"/>
      <c r="D360"/>
      <c r="E360"/>
      <c r="N360" s="27" t="s">
        <v>7</v>
      </c>
      <c r="O360" s="27" t="s">
        <v>8</v>
      </c>
      <c r="P360" s="27" t="s">
        <v>7</v>
      </c>
      <c r="S360" s="27" t="s">
        <v>8</v>
      </c>
      <c r="T360" s="27" t="s">
        <v>7</v>
      </c>
      <c r="U360" s="27" t="s">
        <v>8</v>
      </c>
      <c r="W360" s="27" t="s">
        <v>8</v>
      </c>
      <c r="X360" s="27" t="s">
        <v>7</v>
      </c>
      <c r="Y360" s="27" t="s">
        <v>8</v>
      </c>
      <c r="Z360" s="27" t="s">
        <v>7</v>
      </c>
    </row>
    <row r="361" spans="1:31" x14ac:dyDescent="0.25">
      <c r="A361" s="30">
        <v>2.7295736217250611E-3</v>
      </c>
      <c r="B361"/>
      <c r="C361"/>
      <c r="D361"/>
      <c r="E361"/>
      <c r="N361" s="27" t="s">
        <v>7</v>
      </c>
      <c r="O361" s="27" t="s">
        <v>8</v>
      </c>
      <c r="P361" s="27" t="s">
        <v>7</v>
      </c>
      <c r="S361" s="27" t="s">
        <v>8</v>
      </c>
      <c r="T361" s="27" t="s">
        <v>7</v>
      </c>
      <c r="U361" s="27" t="s">
        <v>8</v>
      </c>
      <c r="V361" s="27" t="s">
        <v>7</v>
      </c>
      <c r="W361" s="27" t="s">
        <v>8</v>
      </c>
      <c r="X361" s="27" t="s">
        <v>7</v>
      </c>
    </row>
    <row r="362" spans="1:31" x14ac:dyDescent="0.25">
      <c r="A362" s="30">
        <v>2.5995939254524381E-3</v>
      </c>
      <c r="B362"/>
      <c r="C362"/>
      <c r="D362"/>
      <c r="E362"/>
      <c r="N362" s="27" t="s">
        <v>7</v>
      </c>
      <c r="O362" s="27" t="s">
        <v>8</v>
      </c>
      <c r="P362" s="27" t="s">
        <v>7</v>
      </c>
      <c r="S362" s="27" t="s">
        <v>8</v>
      </c>
      <c r="T362" s="27" t="s">
        <v>7</v>
      </c>
      <c r="U362" s="27" t="s">
        <v>8</v>
      </c>
      <c r="V362" s="27" t="s">
        <v>7</v>
      </c>
      <c r="W362" s="27" t="s">
        <v>8</v>
      </c>
    </row>
    <row r="363" spans="1:31" x14ac:dyDescent="0.25">
      <c r="A363" s="30">
        <v>2.4758037385261304E-3</v>
      </c>
      <c r="B363"/>
      <c r="C363"/>
      <c r="D363"/>
      <c r="E363"/>
      <c r="N363" s="27" t="s">
        <v>7</v>
      </c>
      <c r="O363" s="27" t="s">
        <v>8</v>
      </c>
      <c r="P363" s="27" t="s">
        <v>7</v>
      </c>
      <c r="Q363" s="27" t="s">
        <v>8</v>
      </c>
      <c r="S363" s="27" t="s">
        <v>8</v>
      </c>
      <c r="T363" s="27" t="s">
        <v>7</v>
      </c>
      <c r="V363" s="27" t="s">
        <v>7</v>
      </c>
    </row>
    <row r="364" spans="1:31" x14ac:dyDescent="0.25">
      <c r="A364" s="30">
        <v>2.3579083224058374E-3</v>
      </c>
      <c r="B364"/>
      <c r="C364"/>
      <c r="D364"/>
      <c r="E364"/>
      <c r="N364" s="27" t="s">
        <v>7</v>
      </c>
      <c r="O364" s="27" t="s">
        <v>8</v>
      </c>
      <c r="P364" s="27" t="s">
        <v>7</v>
      </c>
      <c r="Q364" s="27" t="s">
        <v>8</v>
      </c>
      <c r="R364" s="27" t="s">
        <v>7</v>
      </c>
      <c r="S364" s="27" t="s">
        <v>8</v>
      </c>
    </row>
    <row r="365" spans="1:31" x14ac:dyDescent="0.25">
      <c r="A365" s="30">
        <v>2.245626973719844E-3</v>
      </c>
      <c r="B365"/>
      <c r="C365"/>
      <c r="D365"/>
      <c r="E365"/>
      <c r="N365" s="27" t="s">
        <v>7</v>
      </c>
      <c r="O365" s="27" t="s">
        <v>8</v>
      </c>
      <c r="P365" s="27" t="s">
        <v>7</v>
      </c>
      <c r="Q365" s="27" t="s">
        <v>8</v>
      </c>
      <c r="R365" s="27" t="s">
        <v>7</v>
      </c>
      <c r="S365" s="27" t="s">
        <v>8</v>
      </c>
    </row>
    <row r="366" spans="1:31" x14ac:dyDescent="0.25">
      <c r="A366" s="30">
        <v>2.1386923559236601E-3</v>
      </c>
      <c r="B366"/>
      <c r="C366"/>
      <c r="D366"/>
      <c r="E366"/>
      <c r="N366" s="27" t="s">
        <v>7</v>
      </c>
      <c r="O366" s="27" t="s">
        <v>8</v>
      </c>
      <c r="P366" s="27" t="s">
        <v>7</v>
      </c>
      <c r="Q366" s="27" t="s">
        <v>8</v>
      </c>
      <c r="R366" s="27" t="s">
        <v>7</v>
      </c>
    </row>
    <row r="367" spans="1:31" x14ac:dyDescent="0.25">
      <c r="A367" s="30">
        <v>2.0368498627844375E-3</v>
      </c>
      <c r="B367"/>
      <c r="C367"/>
      <c r="D367"/>
      <c r="E367"/>
      <c r="N367" s="27" t="s">
        <v>7</v>
      </c>
      <c r="O367" s="27" t="s">
        <v>8</v>
      </c>
      <c r="P367" s="27" t="s">
        <v>7</v>
      </c>
    </row>
    <row r="368" spans="1:31" x14ac:dyDescent="0.25">
      <c r="A368" s="30">
        <v>1.9398570121756541E-3</v>
      </c>
      <c r="B368"/>
      <c r="C368"/>
      <c r="D368"/>
      <c r="E368"/>
      <c r="N368" s="27" t="s">
        <v>7</v>
      </c>
      <c r="O368" s="27" t="s">
        <v>8</v>
      </c>
    </row>
    <row r="369" spans="1:15" x14ac:dyDescent="0.25">
      <c r="A369" s="30">
        <v>1.8474828687387174E-3</v>
      </c>
      <c r="B369"/>
      <c r="C369"/>
      <c r="D369"/>
      <c r="E369"/>
      <c r="N369" s="27" t="s">
        <v>7</v>
      </c>
      <c r="O369" s="27" t="s">
        <v>8</v>
      </c>
    </row>
    <row r="370" spans="1:15" x14ac:dyDescent="0.25">
      <c r="A370" s="30">
        <v>1.759507494036873E-3</v>
      </c>
      <c r="B370"/>
      <c r="C370"/>
      <c r="D370"/>
      <c r="E370"/>
      <c r="N370" s="27" t="s">
        <v>7</v>
      </c>
    </row>
    <row r="371" spans="1:15" x14ac:dyDescent="0.25">
      <c r="A371" s="30">
        <v>1.6757214228922594E-3</v>
      </c>
      <c r="B371"/>
      <c r="C371"/>
      <c r="D371"/>
      <c r="E371"/>
    </row>
    <row r="372" spans="1:15" x14ac:dyDescent="0.25">
      <c r="A372" s="30">
        <v>1.595925164659294E-3</v>
      </c>
      <c r="B372"/>
      <c r="C372"/>
      <c r="D372"/>
      <c r="E372"/>
    </row>
    <row r="373" spans="1:15" x14ac:dyDescent="0.25">
      <c r="A373" s="30">
        <v>1.5199287282469461E-3</v>
      </c>
      <c r="B373"/>
      <c r="C373"/>
      <c r="D373"/>
      <c r="E373"/>
    </row>
    <row r="374" spans="1:15" x14ac:dyDescent="0.25">
      <c r="A374" s="30">
        <v>1.4475511697589958E-3</v>
      </c>
      <c r="B374"/>
      <c r="C374"/>
      <c r="D374"/>
      <c r="E374"/>
    </row>
    <row r="375" spans="1:15" x14ac:dyDescent="0.25">
      <c r="A375" s="30">
        <v>1.3786201616752334E-3</v>
      </c>
      <c r="B375"/>
      <c r="C375"/>
      <c r="D375"/>
      <c r="E375"/>
    </row>
    <row r="376" spans="1:15" x14ac:dyDescent="0.25">
      <c r="A376" s="30">
        <v>1.3129715825478407E-3</v>
      </c>
      <c r="B376"/>
      <c r="C376"/>
      <c r="D376"/>
      <c r="E376"/>
    </row>
    <row r="377" spans="1:15" x14ac:dyDescent="0.25">
      <c r="A377" s="30">
        <v>1.2504491262360382E-3</v>
      </c>
      <c r="B377"/>
      <c r="C377"/>
      <c r="D377"/>
      <c r="E377"/>
    </row>
    <row r="378" spans="1:15" x14ac:dyDescent="0.25">
      <c r="A378" s="30">
        <v>1.1909039297486072E-3</v>
      </c>
      <c r="B378"/>
      <c r="C378"/>
      <c r="D378"/>
      <c r="E378"/>
    </row>
    <row r="379" spans="1:15" x14ac:dyDescent="0.25">
      <c r="A379" s="30">
        <v>1.1341942188081969E-3</v>
      </c>
      <c r="B379"/>
      <c r="C379"/>
      <c r="D379"/>
      <c r="E379"/>
    </row>
    <row r="380" spans="1:15" x14ac:dyDescent="0.25">
      <c r="A380" s="30">
        <v>1.0801849702935203E-3</v>
      </c>
      <c r="B380"/>
      <c r="C380"/>
      <c r="D380"/>
      <c r="E380"/>
    </row>
    <row r="381" spans="1:15" x14ac:dyDescent="0.25">
      <c r="A381" s="30">
        <v>1.0287475907557332E-3</v>
      </c>
      <c r="B381"/>
      <c r="C381"/>
      <c r="D381"/>
      <c r="E381"/>
    </row>
    <row r="382" spans="1:15" x14ac:dyDescent="0.25">
      <c r="A382" s="30">
        <v>9.7731021121794646E-4</v>
      </c>
    </row>
    <row r="383" spans="1:15" x14ac:dyDescent="0.25">
      <c r="A383" s="30">
        <v>9.2844470065704904E-4</v>
      </c>
    </row>
    <row r="384" spans="1:1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9" zoomScale="90" zoomScaleNormal="90" workbookViewId="0">
      <pane xSplit="4" topLeftCell="Y1" activePane="topRight" state="frozen"/>
      <selection activeCell="A109" sqref="A109"/>
      <selection pane="topRight" activeCell="CK112" sqref="CK11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89" x14ac:dyDescent="0.25">
      <c r="A97" s="30">
        <v>9.849732675807628</v>
      </c>
      <c r="E97"/>
    </row>
    <row r="98" spans="1:89" x14ac:dyDescent="0.25">
      <c r="A98" s="30">
        <v>8.9543024325523888</v>
      </c>
      <c r="C98" s="1" t="s">
        <v>13</v>
      </c>
      <c r="E98"/>
    </row>
    <row r="99" spans="1:89" x14ac:dyDescent="0.25">
      <c r="A99" s="30">
        <v>8.140274938683989</v>
      </c>
      <c r="C99" s="1">
        <f>C88</f>
        <v>0</v>
      </c>
      <c r="E99"/>
    </row>
    <row r="100" spans="1:89" x14ac:dyDescent="0.25">
      <c r="A100" s="30">
        <v>7.4002499442581717</v>
      </c>
      <c r="C100"/>
      <c r="D100"/>
      <c r="E100"/>
    </row>
    <row r="101" spans="1:89" x14ac:dyDescent="0.25">
      <c r="A101" s="30">
        <v>6.72749994932561</v>
      </c>
      <c r="C101" s="1" t="s">
        <v>14</v>
      </c>
      <c r="E101"/>
    </row>
    <row r="102" spans="1:89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89" x14ac:dyDescent="0.25">
      <c r="A103" s="30">
        <v>5.5599173134922388</v>
      </c>
      <c r="E103"/>
    </row>
    <row r="104" spans="1:89" x14ac:dyDescent="0.25">
      <c r="A104" s="30">
        <v>5.0544702849929442</v>
      </c>
      <c r="E104"/>
    </row>
    <row r="105" spans="1:89" x14ac:dyDescent="0.25">
      <c r="A105" s="30">
        <v>4.594972986357222</v>
      </c>
      <c r="E105"/>
    </row>
    <row r="106" spans="1:89" x14ac:dyDescent="0.25">
      <c r="A106" s="30">
        <v>4.1772481694156562</v>
      </c>
      <c r="E106"/>
    </row>
    <row r="107" spans="1:89" x14ac:dyDescent="0.25">
      <c r="A107" s="30">
        <v>3.7974983358324148</v>
      </c>
      <c r="E107"/>
    </row>
    <row r="108" spans="1:89" x14ac:dyDescent="0.25">
      <c r="A108" s="30">
        <v>3.4522712143931042</v>
      </c>
      <c r="E108"/>
      <c r="CA108" s="27" t="s">
        <v>8</v>
      </c>
      <c r="CC108" s="31" t="s">
        <v>8</v>
      </c>
    </row>
    <row r="109" spans="1:89" x14ac:dyDescent="0.25">
      <c r="A109" s="30">
        <v>3.1384283767210035</v>
      </c>
      <c r="E109"/>
      <c r="CA109" s="27" t="s">
        <v>8</v>
      </c>
      <c r="CB109" s="27" t="s">
        <v>7</v>
      </c>
      <c r="CC109" s="27" t="s">
        <v>8</v>
      </c>
      <c r="CD109" s="31" t="s">
        <v>7</v>
      </c>
      <c r="CG109" s="27" t="s">
        <v>8</v>
      </c>
      <c r="CI109" s="27" t="s">
        <v>8</v>
      </c>
    </row>
    <row r="110" spans="1:89" x14ac:dyDescent="0.25">
      <c r="A110" s="30">
        <v>2.8531167061100029</v>
      </c>
      <c r="E110"/>
      <c r="CA110" s="27" t="s">
        <v>8</v>
      </c>
      <c r="CB110" s="27" t="s">
        <v>7</v>
      </c>
      <c r="CC110" s="27" t="s">
        <v>8</v>
      </c>
      <c r="CD110" s="27" t="s">
        <v>7</v>
      </c>
      <c r="CE110" s="31"/>
      <c r="CG110" s="27" t="s">
        <v>8</v>
      </c>
      <c r="CH110" s="27" t="s">
        <v>7</v>
      </c>
      <c r="CI110" s="27" t="s">
        <v>8</v>
      </c>
      <c r="CJ110" s="27" t="s">
        <v>7</v>
      </c>
    </row>
    <row r="111" spans="1:89" x14ac:dyDescent="0.25">
      <c r="A111" s="30">
        <v>2.5937424601000023</v>
      </c>
      <c r="C111" s="1" t="str">
        <f>ADDRESS(C121-1,1,1,1)</f>
        <v>$A$111</v>
      </c>
      <c r="D111" s="1" t="str">
        <f>ADDRESS(C121-1,D121,1,1)</f>
        <v>$CK$111</v>
      </c>
      <c r="E111"/>
      <c r="CA111" s="27" t="s">
        <v>8</v>
      </c>
      <c r="CB111" s="27" t="s">
        <v>7</v>
      </c>
      <c r="CD111" s="27" t="s">
        <v>7</v>
      </c>
      <c r="CE111" s="27" t="s">
        <v>8</v>
      </c>
      <c r="CF111" s="31"/>
      <c r="CG111" s="27" t="s">
        <v>8</v>
      </c>
      <c r="CH111" s="27" t="s">
        <v>7</v>
      </c>
      <c r="CI111" s="27" t="s">
        <v>8</v>
      </c>
      <c r="CJ111" s="27" t="s">
        <v>7</v>
      </c>
    </row>
    <row r="112" spans="1:89" x14ac:dyDescent="0.25">
      <c r="A112" s="30">
        <v>2.3579476910000019</v>
      </c>
      <c r="C112" s="1" t="str">
        <f>ADDRESS(C121,1,1,1)</f>
        <v>$A$112</v>
      </c>
      <c r="D112" s="1" t="str">
        <f>ADDRESS(C121,D121-1,1,1)</f>
        <v>$CJ$112</v>
      </c>
      <c r="E112"/>
      <c r="CA112" s="27" t="s">
        <v>8</v>
      </c>
      <c r="CD112" s="27" t="s">
        <v>7</v>
      </c>
      <c r="CE112" s="27" t="s">
        <v>8</v>
      </c>
      <c r="CF112" s="27" t="s">
        <v>7</v>
      </c>
      <c r="CG112" s="31" t="s">
        <v>8</v>
      </c>
      <c r="CH112" s="27" t="s">
        <v>7</v>
      </c>
      <c r="CI112" s="27" t="s">
        <v>8</v>
      </c>
      <c r="CJ112" s="27" t="s">
        <v>7</v>
      </c>
      <c r="CK112" s="27" t="s">
        <v>8</v>
      </c>
    </row>
    <row r="113" spans="1:90" x14ac:dyDescent="0.25">
      <c r="A113" s="30">
        <v>2.1435888100000016</v>
      </c>
      <c r="C113" s="1" t="str">
        <f>ADDRESS(C121+1,1,1,1)</f>
        <v>$A$113</v>
      </c>
      <c r="D113" s="1" t="str">
        <f>ADDRESS(C121-1,D121+1,1,1)</f>
        <v>$CL$111</v>
      </c>
      <c r="CA113" s="27" t="s">
        <v>8</v>
      </c>
      <c r="CD113" s="27" t="s">
        <v>7</v>
      </c>
      <c r="CE113" s="27" t="s">
        <v>8</v>
      </c>
      <c r="CF113" s="27" t="s">
        <v>7</v>
      </c>
      <c r="CG113" s="27" t="s">
        <v>8</v>
      </c>
      <c r="CH113" s="31" t="s">
        <v>7</v>
      </c>
      <c r="CJ113" s="27" t="s">
        <v>7</v>
      </c>
      <c r="CK113" s="27" t="s">
        <v>8</v>
      </c>
    </row>
    <row r="114" spans="1:90" x14ac:dyDescent="0.25">
      <c r="A114" s="30">
        <v>1.9487171000000014</v>
      </c>
      <c r="C114" s="1" t="str">
        <f>ADDRESS(C121,D121,1,1)</f>
        <v>$CK$112</v>
      </c>
      <c r="D114" s="1" t="str">
        <f>ADDRESS(C121+1,D121+1,1,1)</f>
        <v>$CL$113</v>
      </c>
      <c r="CA114" s="27" t="s">
        <v>8</v>
      </c>
      <c r="CD114" s="27" t="s">
        <v>7</v>
      </c>
      <c r="CE114" s="27" t="s">
        <v>8</v>
      </c>
      <c r="CF114" s="27" t="s">
        <v>7</v>
      </c>
      <c r="CG114" s="27" t="s">
        <v>8</v>
      </c>
      <c r="CI114" s="31"/>
      <c r="CJ114" s="27" t="s">
        <v>7</v>
      </c>
      <c r="CK114" s="27" t="s">
        <v>8</v>
      </c>
    </row>
    <row r="115" spans="1:90" x14ac:dyDescent="0.25">
      <c r="A115" s="30">
        <v>1.7715610000000011</v>
      </c>
      <c r="C115" s="1" t="str">
        <f>ADDRESS(C121+1,D121,1,1)</f>
        <v>$CK$113</v>
      </c>
      <c r="BW115" s="27" t="s">
        <v>8</v>
      </c>
      <c r="BY115" s="27" t="s">
        <v>8</v>
      </c>
      <c r="CA115" s="27" t="s">
        <v>8</v>
      </c>
      <c r="CD115" s="27" t="s">
        <v>7</v>
      </c>
      <c r="CF115" s="27" t="s">
        <v>7</v>
      </c>
      <c r="CG115" s="27" t="s">
        <v>8</v>
      </c>
      <c r="CJ115" s="27" t="s">
        <v>7</v>
      </c>
    </row>
    <row r="116" spans="1:90" x14ac:dyDescent="0.25">
      <c r="A116" s="30">
        <v>1.6105100000000008</v>
      </c>
      <c r="C116" s="1">
        <f>C117-1</f>
        <v>111</v>
      </c>
      <c r="BW116" s="27" t="s">
        <v>8</v>
      </c>
      <c r="BX116" s="27" t="s">
        <v>7</v>
      </c>
      <c r="BY116" s="27" t="s">
        <v>8</v>
      </c>
      <c r="BZ116" s="27" t="s">
        <v>7</v>
      </c>
      <c r="CA116" s="27" t="s">
        <v>8</v>
      </c>
      <c r="CF116" s="27" t="s">
        <v>7</v>
      </c>
      <c r="CG116" s="27" t="s">
        <v>8</v>
      </c>
    </row>
    <row r="117" spans="1:90" x14ac:dyDescent="0.25">
      <c r="A117" s="30">
        <v>1.4641000000000006</v>
      </c>
      <c r="C117" s="1">
        <f>C121</f>
        <v>112</v>
      </c>
      <c r="D117" s="1">
        <f>D121</f>
        <v>89</v>
      </c>
      <c r="BW117" s="27" t="s">
        <v>8</v>
      </c>
      <c r="BX117" s="27" t="s">
        <v>7</v>
      </c>
      <c r="BY117" s="27" t="s">
        <v>8</v>
      </c>
      <c r="BZ117" s="27" t="s">
        <v>7</v>
      </c>
      <c r="CA117" s="27" t="s">
        <v>8</v>
      </c>
      <c r="CF117" s="27" t="s">
        <v>7</v>
      </c>
      <c r="CG117" s="27" t="s">
        <v>8</v>
      </c>
    </row>
    <row r="118" spans="1:90" x14ac:dyDescent="0.25">
      <c r="A118" s="30">
        <v>1.3310000000000004</v>
      </c>
      <c r="C118" s="1">
        <f>C117+1</f>
        <v>113</v>
      </c>
      <c r="D118" s="1">
        <f>D117+1</f>
        <v>90</v>
      </c>
      <c r="BW118" s="27" t="s">
        <v>8</v>
      </c>
      <c r="BX118" s="27" t="s">
        <v>7</v>
      </c>
      <c r="BZ118" s="27" t="s">
        <v>7</v>
      </c>
      <c r="CA118" s="27" t="s">
        <v>8</v>
      </c>
      <c r="CF118" s="27" t="s">
        <v>7</v>
      </c>
      <c r="CG118" s="27" t="s">
        <v>8</v>
      </c>
    </row>
    <row r="119" spans="1:90" x14ac:dyDescent="0.25">
      <c r="A119" s="30">
        <v>1.2100000000000002</v>
      </c>
      <c r="BW119" s="27" t="s">
        <v>8</v>
      </c>
      <c r="BZ119" s="27" t="s">
        <v>7</v>
      </c>
      <c r="CA119" s="27" t="s">
        <v>8</v>
      </c>
      <c r="CF119" s="27" t="s">
        <v>7</v>
      </c>
    </row>
    <row r="120" spans="1:90" x14ac:dyDescent="0.25">
      <c r="A120" s="30">
        <v>1.1000000000000001</v>
      </c>
      <c r="C120" s="1" t="s">
        <v>9</v>
      </c>
      <c r="BW120" s="27" t="s">
        <v>8</v>
      </c>
      <c r="BZ120" s="27" t="s">
        <v>7</v>
      </c>
      <c r="CA120" s="27" t="s">
        <v>8</v>
      </c>
    </row>
    <row r="121" spans="1:90" x14ac:dyDescent="0.25">
      <c r="A121" s="30">
        <v>1</v>
      </c>
      <c r="C121" s="18">
        <v>112</v>
      </c>
      <c r="D121" s="19">
        <v>89</v>
      </c>
      <c r="E121" s="18" t="s">
        <v>8</v>
      </c>
      <c r="BW121" s="27" t="s">
        <v>8</v>
      </c>
      <c r="BZ121" s="27" t="s">
        <v>7</v>
      </c>
    </row>
    <row r="122" spans="1:90" x14ac:dyDescent="0.25">
      <c r="A122" s="30">
        <v>0.90909090909090895</v>
      </c>
      <c r="C122" s="1" t="str">
        <f>INDEX(1:1048576,C117,D117)</f>
        <v>X</v>
      </c>
      <c r="F122" s="27" t="s">
        <v>7</v>
      </c>
      <c r="BG122" s="31" t="s">
        <v>8</v>
      </c>
      <c r="BW122" s="27" t="s">
        <v>8</v>
      </c>
      <c r="CL122" s="31"/>
    </row>
    <row r="123" spans="1:90" x14ac:dyDescent="0.25">
      <c r="A123" s="30">
        <v>0.82644628099173523</v>
      </c>
      <c r="C123" s="1" t="str">
        <f>"R"&amp;C121</f>
        <v>R112</v>
      </c>
      <c r="D123" s="1" t="str">
        <f>"C"&amp;D121</f>
        <v>C89</v>
      </c>
      <c r="F123" s="27" t="s">
        <v>7</v>
      </c>
      <c r="AW123" s="27" t="s">
        <v>8</v>
      </c>
      <c r="BG123" s="27" t="s">
        <v>8</v>
      </c>
      <c r="BH123" s="31" t="s">
        <v>7</v>
      </c>
      <c r="BW123" s="27" t="s">
        <v>8</v>
      </c>
      <c r="CK123" s="31"/>
    </row>
    <row r="124" spans="1:9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W124" s="27" t="s">
        <v>8</v>
      </c>
      <c r="AX124" s="27" t="s">
        <v>7</v>
      </c>
      <c r="BG124" s="27" t="s">
        <v>8</v>
      </c>
      <c r="BH124" s="27" t="s">
        <v>7</v>
      </c>
      <c r="BI124" s="31"/>
      <c r="BW124" s="27" t="s">
        <v>8</v>
      </c>
      <c r="CJ124" s="31"/>
    </row>
    <row r="125" spans="1:90" x14ac:dyDescent="0.25">
      <c r="A125" s="30">
        <v>0.68301345536507019</v>
      </c>
      <c r="F125" s="27" t="s">
        <v>7</v>
      </c>
      <c r="AW125" s="27" t="s">
        <v>8</v>
      </c>
      <c r="AX125" s="27" t="s">
        <v>7</v>
      </c>
      <c r="BG125" s="27" t="s">
        <v>8</v>
      </c>
      <c r="BH125" s="27" t="s">
        <v>7</v>
      </c>
      <c r="BJ125" s="31"/>
      <c r="BW125" s="27" t="s">
        <v>8</v>
      </c>
      <c r="CI125" s="31"/>
    </row>
    <row r="126" spans="1:90" x14ac:dyDescent="0.25">
      <c r="A126" s="30">
        <v>0.6209213230591546</v>
      </c>
      <c r="C126" s="1" t="s">
        <v>10</v>
      </c>
      <c r="F126" s="27" t="s">
        <v>7</v>
      </c>
      <c r="AW126" s="27" t="s">
        <v>8</v>
      </c>
      <c r="AX126" s="27" t="s">
        <v>7</v>
      </c>
      <c r="AY126" s="27" t="s">
        <v>8</v>
      </c>
      <c r="BG126" s="27" t="s">
        <v>8</v>
      </c>
      <c r="BH126" s="27" t="s">
        <v>7</v>
      </c>
      <c r="BK126" s="31"/>
      <c r="BW126" s="27" t="s">
        <v>8</v>
      </c>
      <c r="CH126" s="31"/>
    </row>
    <row r="127" spans="1:90" x14ac:dyDescent="0.25">
      <c r="A127" s="30">
        <v>0.56447393005377677</v>
      </c>
      <c r="C127" s="30">
        <v>2.3579476910000019</v>
      </c>
      <c r="D127"/>
      <c r="F127" s="27" t="s">
        <v>7</v>
      </c>
      <c r="AW127" s="27" t="s">
        <v>8</v>
      </c>
      <c r="AX127" s="27" t="s">
        <v>7</v>
      </c>
      <c r="AY127" s="27" t="s">
        <v>8</v>
      </c>
      <c r="AZ127" s="27" t="s">
        <v>7</v>
      </c>
      <c r="BE127" s="27" t="s">
        <v>8</v>
      </c>
      <c r="BG127" s="27" t="s">
        <v>8</v>
      </c>
      <c r="BH127" s="27" t="s">
        <v>7</v>
      </c>
      <c r="BL127" s="31"/>
      <c r="BU127" s="27" t="s">
        <v>8</v>
      </c>
      <c r="BW127" s="27" t="s">
        <v>8</v>
      </c>
      <c r="CG127" s="31"/>
    </row>
    <row r="128" spans="1:90" x14ac:dyDescent="0.25">
      <c r="A128" s="30">
        <v>0.51315811823070612</v>
      </c>
      <c r="F128" s="27" t="s">
        <v>7</v>
      </c>
      <c r="AW128" s="27" t="s">
        <v>8</v>
      </c>
      <c r="AX128" s="27" t="s">
        <v>7</v>
      </c>
      <c r="AY128" s="27" t="s">
        <v>8</v>
      </c>
      <c r="AZ128" s="27" t="s">
        <v>7</v>
      </c>
      <c r="BC128" s="27" t="s">
        <v>8</v>
      </c>
      <c r="BE128" s="27" t="s">
        <v>8</v>
      </c>
      <c r="BF128" s="27" t="s">
        <v>7</v>
      </c>
      <c r="BG128" s="27" t="s">
        <v>8</v>
      </c>
      <c r="BH128" s="27" t="s">
        <v>7</v>
      </c>
      <c r="BI128" s="27" t="s">
        <v>8</v>
      </c>
      <c r="BM128" s="31"/>
      <c r="BU128" s="27" t="s">
        <v>8</v>
      </c>
      <c r="BV128" s="27" t="s">
        <v>7</v>
      </c>
      <c r="BW128" s="27" t="s">
        <v>8</v>
      </c>
      <c r="CF128" s="31"/>
    </row>
    <row r="129" spans="1:83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W129" s="27" t="s">
        <v>8</v>
      </c>
      <c r="AX129" s="27" t="s">
        <v>7</v>
      </c>
      <c r="AY129" s="27" t="s">
        <v>8</v>
      </c>
      <c r="AZ129" s="27" t="s">
        <v>7</v>
      </c>
      <c r="BA129" s="27" t="s">
        <v>8</v>
      </c>
      <c r="BC129" s="27" t="s">
        <v>8</v>
      </c>
      <c r="BD129" s="27" t="s">
        <v>7</v>
      </c>
      <c r="BE129" s="27" t="s">
        <v>8</v>
      </c>
      <c r="BF129" s="27" t="s">
        <v>7</v>
      </c>
      <c r="BG129" s="27" t="s">
        <v>8</v>
      </c>
      <c r="BH129" s="27" t="s">
        <v>7</v>
      </c>
      <c r="BI129" s="27" t="s">
        <v>8</v>
      </c>
      <c r="BJ129" s="27" t="s">
        <v>7</v>
      </c>
      <c r="BN129" s="31"/>
      <c r="BU129" s="27" t="s">
        <v>8</v>
      </c>
      <c r="BV129" s="27" t="s">
        <v>7</v>
      </c>
      <c r="BW129" s="27" t="s">
        <v>8</v>
      </c>
      <c r="CE129" s="31"/>
    </row>
    <row r="130" spans="1:83" x14ac:dyDescent="0.25">
      <c r="A130" s="30">
        <v>0.42409761837248428</v>
      </c>
      <c r="C130" s="6"/>
      <c r="D130" s="6"/>
      <c r="E130"/>
      <c r="F130" s="27" t="s">
        <v>7</v>
      </c>
      <c r="AW130" s="27" t="s">
        <v>8</v>
      </c>
      <c r="AX130" s="27" t="s">
        <v>7</v>
      </c>
      <c r="AY130" s="27" t="s">
        <v>8</v>
      </c>
      <c r="AZ130" s="27" t="s">
        <v>7</v>
      </c>
      <c r="BA130" s="27" t="s">
        <v>8</v>
      </c>
      <c r="BB130" s="27" t="s">
        <v>7</v>
      </c>
      <c r="BC130" s="27" t="s">
        <v>8</v>
      </c>
      <c r="BD130" s="27" t="s">
        <v>7</v>
      </c>
      <c r="BE130" s="27" t="s">
        <v>8</v>
      </c>
      <c r="BF130" s="27" t="s">
        <v>7</v>
      </c>
      <c r="BG130" s="27" t="s">
        <v>8</v>
      </c>
      <c r="BH130" s="27" t="s">
        <v>7</v>
      </c>
      <c r="BI130" s="27" t="s">
        <v>8</v>
      </c>
      <c r="BJ130" s="27" t="s">
        <v>7</v>
      </c>
      <c r="BO130" s="31"/>
      <c r="BU130" s="27" t="s">
        <v>8</v>
      </c>
      <c r="BV130" s="27" t="s">
        <v>7</v>
      </c>
      <c r="CD130" s="31"/>
    </row>
    <row r="131" spans="1:83" x14ac:dyDescent="0.25">
      <c r="A131" s="30">
        <v>0.38554328942953109</v>
      </c>
      <c r="E131"/>
      <c r="F131" s="27" t="s">
        <v>7</v>
      </c>
      <c r="AW131" s="27" t="s">
        <v>8</v>
      </c>
      <c r="AX131" s="27" t="s">
        <v>7</v>
      </c>
      <c r="AZ131" s="27" t="s">
        <v>7</v>
      </c>
      <c r="BA131" s="27" t="s">
        <v>8</v>
      </c>
      <c r="BB131" s="27" t="s">
        <v>7</v>
      </c>
      <c r="BC131" s="27" t="s">
        <v>8</v>
      </c>
      <c r="BD131" s="27" t="s">
        <v>7</v>
      </c>
      <c r="BF131" s="27" t="s">
        <v>7</v>
      </c>
      <c r="BG131" s="27" t="s">
        <v>8</v>
      </c>
      <c r="BH131" s="27" t="s">
        <v>7</v>
      </c>
      <c r="BI131" s="27" t="s">
        <v>8</v>
      </c>
      <c r="BJ131" s="27" t="s">
        <v>7</v>
      </c>
      <c r="BK131" s="27" t="s">
        <v>8</v>
      </c>
      <c r="BM131" s="27" t="s">
        <v>8</v>
      </c>
      <c r="BP131" s="31"/>
      <c r="BU131" s="27" t="s">
        <v>8</v>
      </c>
      <c r="CC131" s="31"/>
    </row>
    <row r="132" spans="1:83" x14ac:dyDescent="0.25">
      <c r="A132" s="30">
        <v>0.35049389948139187</v>
      </c>
      <c r="C132" s="1" t="s">
        <v>13</v>
      </c>
      <c r="E132"/>
      <c r="F132" s="27" t="s">
        <v>7</v>
      </c>
      <c r="AW132" s="27" t="s">
        <v>8</v>
      </c>
      <c r="AZ132" s="27" t="s">
        <v>7</v>
      </c>
      <c r="BB132" s="27" t="s">
        <v>7</v>
      </c>
      <c r="BC132" s="27" t="s">
        <v>8</v>
      </c>
      <c r="BF132" s="27" t="s">
        <v>7</v>
      </c>
      <c r="BG132" s="27" t="s">
        <v>8</v>
      </c>
      <c r="BH132" s="27" t="s">
        <v>7</v>
      </c>
      <c r="BI132" s="27" t="s">
        <v>8</v>
      </c>
      <c r="BJ132" s="27" t="s">
        <v>7</v>
      </c>
      <c r="BK132" s="27" t="s">
        <v>8</v>
      </c>
      <c r="BL132" s="27" t="s">
        <v>7</v>
      </c>
      <c r="BM132" s="27" t="s">
        <v>8</v>
      </c>
      <c r="BN132" s="27" t="s">
        <v>7</v>
      </c>
      <c r="BQ132" s="31"/>
      <c r="BU132" s="27" t="s">
        <v>8</v>
      </c>
      <c r="CB132" s="31"/>
    </row>
    <row r="133" spans="1:83" x14ac:dyDescent="0.25">
      <c r="A133" s="30">
        <v>0.31863081771035617</v>
      </c>
      <c r="C133" s="1" t="str">
        <f>C122</f>
        <v>X</v>
      </c>
      <c r="E133"/>
      <c r="F133" s="27" t="s">
        <v>7</v>
      </c>
      <c r="AW133" s="27" t="s">
        <v>8</v>
      </c>
      <c r="BB133" s="27" t="s">
        <v>7</v>
      </c>
      <c r="BF133" s="27" t="s">
        <v>7</v>
      </c>
      <c r="BG133" s="27" t="s">
        <v>8</v>
      </c>
      <c r="BH133" s="27" t="s">
        <v>7</v>
      </c>
      <c r="BJ133" s="27" t="s">
        <v>7</v>
      </c>
      <c r="BK133" s="27" t="s">
        <v>8</v>
      </c>
      <c r="BL133" s="27" t="s">
        <v>7</v>
      </c>
      <c r="BM133" s="27" t="s">
        <v>8</v>
      </c>
      <c r="BN133" s="27" t="s">
        <v>7</v>
      </c>
      <c r="BO133" s="27" t="s">
        <v>8</v>
      </c>
      <c r="BR133" s="31"/>
      <c r="BU133" s="27" t="s">
        <v>8</v>
      </c>
      <c r="CA133" s="31"/>
    </row>
    <row r="134" spans="1:83" x14ac:dyDescent="0.25">
      <c r="A134" s="30">
        <v>0.28966437973668741</v>
      </c>
      <c r="C134"/>
      <c r="D134"/>
      <c r="E134"/>
      <c r="F134" s="27" t="s">
        <v>7</v>
      </c>
      <c r="AW134" s="27" t="s">
        <v>8</v>
      </c>
      <c r="BF134" s="27" t="s">
        <v>7</v>
      </c>
      <c r="BG134" s="27" t="s">
        <v>8</v>
      </c>
      <c r="BJ134" s="27" t="s">
        <v>7</v>
      </c>
      <c r="BK134" s="27" t="s">
        <v>8</v>
      </c>
      <c r="BL134" s="27" t="s">
        <v>7</v>
      </c>
      <c r="BM134" s="27" t="s">
        <v>8</v>
      </c>
      <c r="BN134" s="27" t="s">
        <v>7</v>
      </c>
      <c r="BO134" s="27" t="s">
        <v>8</v>
      </c>
      <c r="BP134" s="27" t="s">
        <v>7</v>
      </c>
      <c r="BS134" s="31"/>
      <c r="BU134" s="27" t="s">
        <v>8</v>
      </c>
      <c r="BZ134" s="31"/>
    </row>
    <row r="135" spans="1:83" x14ac:dyDescent="0.25">
      <c r="A135" s="30">
        <v>0.2633312543060794</v>
      </c>
      <c r="C135" s="1" t="s">
        <v>14</v>
      </c>
      <c r="E135"/>
      <c r="F135" s="27" t="s">
        <v>7</v>
      </c>
      <c r="AW135" s="27" t="s">
        <v>8</v>
      </c>
      <c r="BF135" s="27" t="s">
        <v>7</v>
      </c>
      <c r="BJ135" s="27" t="s">
        <v>7</v>
      </c>
      <c r="BK135" s="27" t="s">
        <v>8</v>
      </c>
      <c r="BL135" s="27" t="s">
        <v>7</v>
      </c>
      <c r="BN135" s="27" t="s">
        <v>7</v>
      </c>
      <c r="BO135" s="27" t="s">
        <v>8</v>
      </c>
      <c r="BP135" s="27" t="s">
        <v>7</v>
      </c>
      <c r="BQ135" s="27" t="s">
        <v>8</v>
      </c>
      <c r="BS135" s="27" t="s">
        <v>8</v>
      </c>
      <c r="BT135" s="31"/>
      <c r="BU135" s="27" t="s">
        <v>8</v>
      </c>
      <c r="BY135" s="31"/>
    </row>
    <row r="136" spans="1:83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AQ136" s="27" t="s">
        <v>8</v>
      </c>
      <c r="AW136" s="27" t="s">
        <v>8</v>
      </c>
      <c r="BJ136" s="27" t="s">
        <v>7</v>
      </c>
      <c r="BK136" s="27" t="s">
        <v>8</v>
      </c>
      <c r="BN136" s="27" t="s">
        <v>7</v>
      </c>
      <c r="BP136" s="27" t="s">
        <v>7</v>
      </c>
      <c r="BQ136" s="27" t="s">
        <v>8</v>
      </c>
      <c r="BR136" s="27" t="s">
        <v>7</v>
      </c>
      <c r="BS136" s="27" t="s">
        <v>8</v>
      </c>
      <c r="BT136" s="27" t="s">
        <v>7</v>
      </c>
      <c r="BU136" s="31" t="s">
        <v>8</v>
      </c>
      <c r="BX136" s="31"/>
    </row>
    <row r="137" spans="1:83" x14ac:dyDescent="0.25">
      <c r="A137" s="30">
        <v>0.2176291357901482</v>
      </c>
      <c r="E137"/>
      <c r="F137" s="27" t="s">
        <v>7</v>
      </c>
      <c r="AQ137" s="27" t="s">
        <v>8</v>
      </c>
      <c r="AR137" s="27" t="s">
        <v>7</v>
      </c>
      <c r="AW137" s="27" t="s">
        <v>8</v>
      </c>
      <c r="BJ137" s="27" t="s">
        <v>7</v>
      </c>
      <c r="BK137" s="27" t="s">
        <v>8</v>
      </c>
      <c r="BP137" s="27" t="s">
        <v>7</v>
      </c>
      <c r="BQ137" s="27" t="s">
        <v>8</v>
      </c>
      <c r="BR137" s="27" t="s">
        <v>7</v>
      </c>
      <c r="BS137" s="27" t="s">
        <v>8</v>
      </c>
      <c r="BT137" s="27" t="s">
        <v>7</v>
      </c>
      <c r="BU137" s="27" t="s">
        <v>8</v>
      </c>
      <c r="BW137" s="31"/>
    </row>
    <row r="138" spans="1:83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AQ138" s="27" t="s">
        <v>8</v>
      </c>
      <c r="AR138" s="27" t="s">
        <v>7</v>
      </c>
      <c r="AU138" s="27" t="s">
        <v>8</v>
      </c>
      <c r="AW138" s="27" t="s">
        <v>8</v>
      </c>
      <c r="BJ138" s="27" t="s">
        <v>7</v>
      </c>
      <c r="BP138" s="27" t="s">
        <v>7</v>
      </c>
      <c r="BR138" s="27" t="s">
        <v>7</v>
      </c>
      <c r="BT138" s="27" t="s">
        <v>7</v>
      </c>
      <c r="BU138" s="27" t="s">
        <v>8</v>
      </c>
      <c r="BV138" s="31"/>
    </row>
    <row r="139" spans="1:83" x14ac:dyDescent="0.25">
      <c r="A139" s="30">
        <v>0.17985878990921333</v>
      </c>
      <c r="E139"/>
      <c r="F139" s="27" t="s">
        <v>7</v>
      </c>
      <c r="AQ139" s="27" t="s">
        <v>8</v>
      </c>
      <c r="AR139" s="27" t="s">
        <v>7</v>
      </c>
      <c r="AU139" s="27" t="s">
        <v>8</v>
      </c>
      <c r="AV139" s="27" t="s">
        <v>7</v>
      </c>
      <c r="AW139" s="27" t="s">
        <v>8</v>
      </c>
      <c r="BT139" s="18" t="s">
        <v>7</v>
      </c>
      <c r="BU139" s="31" t="s">
        <v>8</v>
      </c>
    </row>
    <row r="140" spans="1:83" x14ac:dyDescent="0.25">
      <c r="A140" s="30">
        <v>0.16350799082655756</v>
      </c>
      <c r="C140" s="1">
        <v>0</v>
      </c>
      <c r="E140"/>
      <c r="F140" s="27" t="s">
        <v>7</v>
      </c>
      <c r="AQ140" s="27" t="s">
        <v>8</v>
      </c>
      <c r="AR140" s="27" t="s">
        <v>7</v>
      </c>
      <c r="AS140" s="27" t="s">
        <v>8</v>
      </c>
      <c r="AU140" s="27" t="s">
        <v>8</v>
      </c>
      <c r="AV140" s="27" t="s">
        <v>7</v>
      </c>
      <c r="AW140" s="27" t="s">
        <v>8</v>
      </c>
      <c r="BT140" s="31" t="s">
        <v>7</v>
      </c>
    </row>
    <row r="141" spans="1:83" x14ac:dyDescent="0.25">
      <c r="A141" s="30">
        <v>0.14864362802414322</v>
      </c>
      <c r="C141" s="1">
        <v>1</v>
      </c>
      <c r="E141"/>
      <c r="F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AU141" s="27" t="s">
        <v>8</v>
      </c>
      <c r="AV141" s="27" t="s">
        <v>7</v>
      </c>
    </row>
    <row r="142" spans="1:83" x14ac:dyDescent="0.25">
      <c r="A142" s="30">
        <v>0.13513057093103928</v>
      </c>
      <c r="C142" s="1">
        <v>2</v>
      </c>
      <c r="E142"/>
      <c r="F142" s="27" t="s">
        <v>7</v>
      </c>
      <c r="AQ142" s="27" t="s">
        <v>8</v>
      </c>
      <c r="AR142" s="27" t="s">
        <v>7</v>
      </c>
      <c r="AS142" s="27" t="s">
        <v>8</v>
      </c>
      <c r="AT142" s="27" t="s">
        <v>7</v>
      </c>
      <c r="AU142" s="27" t="s">
        <v>8</v>
      </c>
    </row>
    <row r="143" spans="1:83" x14ac:dyDescent="0.25">
      <c r="A143" s="30">
        <v>0.12284597357367205</v>
      </c>
      <c r="C143" s="1">
        <v>3</v>
      </c>
      <c r="E143"/>
      <c r="F143" s="27" t="s">
        <v>7</v>
      </c>
      <c r="AQ143" s="27" t="s">
        <v>8</v>
      </c>
      <c r="AR143" s="27" t="s">
        <v>7</v>
      </c>
      <c r="AS143" s="27" t="s">
        <v>8</v>
      </c>
      <c r="AT143" s="27" t="s">
        <v>7</v>
      </c>
    </row>
    <row r="144" spans="1:83" x14ac:dyDescent="0.25">
      <c r="A144" s="30">
        <v>0.11167815779424731</v>
      </c>
      <c r="C144" s="1">
        <v>4</v>
      </c>
      <c r="E144"/>
      <c r="F144" s="27" t="s">
        <v>7</v>
      </c>
      <c r="AQ144" s="27" t="s">
        <v>8</v>
      </c>
      <c r="AR144" s="27" t="s">
        <v>7</v>
      </c>
      <c r="AS144" s="27" t="s">
        <v>8</v>
      </c>
    </row>
    <row r="145" spans="1:44" x14ac:dyDescent="0.25">
      <c r="A145" s="30">
        <v>0.10152559799477026</v>
      </c>
      <c r="B145"/>
      <c r="C145"/>
      <c r="D145"/>
      <c r="E145"/>
      <c r="F145" s="27" t="s">
        <v>7</v>
      </c>
      <c r="AQ145" s="27" t="s">
        <v>8</v>
      </c>
      <c r="AR145" s="27" t="s">
        <v>7</v>
      </c>
    </row>
    <row r="146" spans="1:44" x14ac:dyDescent="0.25">
      <c r="A146" s="30">
        <v>9.2295998177063854E-2</v>
      </c>
      <c r="B146"/>
      <c r="C146"/>
      <c r="D146"/>
      <c r="E146"/>
      <c r="F146" s="27" t="s">
        <v>7</v>
      </c>
      <c r="AQ146" s="27" t="s">
        <v>8</v>
      </c>
    </row>
    <row r="147" spans="1:44" x14ac:dyDescent="0.25">
      <c r="A147" s="30">
        <v>8.3905452888239848E-2</v>
      </c>
      <c r="B147"/>
      <c r="C147"/>
      <c r="D147"/>
      <c r="E147"/>
      <c r="F147" s="27" t="s">
        <v>7</v>
      </c>
      <c r="AQ147" s="27" t="s">
        <v>8</v>
      </c>
    </row>
    <row r="148" spans="1:44" x14ac:dyDescent="0.25">
      <c r="A148" s="30">
        <v>7.6277684443854396E-2</v>
      </c>
      <c r="B148"/>
      <c r="C148"/>
      <c r="D148"/>
      <c r="E148"/>
      <c r="F148" s="27" t="s">
        <v>7</v>
      </c>
      <c r="AQ148" s="27" t="s">
        <v>8</v>
      </c>
    </row>
    <row r="149" spans="1:44" x14ac:dyDescent="0.25">
      <c r="A149" s="30">
        <v>6.9343349494413078E-2</v>
      </c>
      <c r="B149"/>
      <c r="C149"/>
      <c r="D149"/>
      <c r="E149"/>
      <c r="F149" s="27" t="s">
        <v>7</v>
      </c>
      <c r="AQ149" s="27" t="s">
        <v>8</v>
      </c>
    </row>
    <row r="150" spans="1:44" x14ac:dyDescent="0.25">
      <c r="A150" s="30">
        <v>6.3039408631284613E-2</v>
      </c>
      <c r="B150"/>
      <c r="C150"/>
      <c r="D150"/>
      <c r="E150"/>
      <c r="F150" s="27" t="s">
        <v>7</v>
      </c>
      <c r="AQ150" s="27" t="s">
        <v>8</v>
      </c>
    </row>
    <row r="151" spans="1:44" x14ac:dyDescent="0.25">
      <c r="A151" s="30">
        <v>5.7308553301167818E-2</v>
      </c>
      <c r="B151"/>
      <c r="C151"/>
      <c r="D151"/>
      <c r="E151"/>
      <c r="F151" s="27" t="s">
        <v>7</v>
      </c>
      <c r="AQ151" s="27" t="s">
        <v>8</v>
      </c>
    </row>
    <row r="152" spans="1:44" x14ac:dyDescent="0.25">
      <c r="A152" s="30">
        <v>5.2098684819243464E-2</v>
      </c>
      <c r="B152"/>
      <c r="C152"/>
      <c r="D152"/>
      <c r="E152"/>
      <c r="F152" s="27" t="s">
        <v>7</v>
      </c>
      <c r="AA152" s="27" t="s">
        <v>8</v>
      </c>
      <c r="AQ152" s="27" t="s">
        <v>8</v>
      </c>
    </row>
    <row r="153" spans="1:44" x14ac:dyDescent="0.25">
      <c r="A153" s="30">
        <v>4.7362440744766775E-2</v>
      </c>
      <c r="B153"/>
      <c r="C153"/>
      <c r="D153"/>
      <c r="E153"/>
      <c r="F153" s="27" t="s">
        <v>7</v>
      </c>
      <c r="AA153" s="27" t="s">
        <v>8</v>
      </c>
      <c r="AB153" s="27" t="s">
        <v>7</v>
      </c>
      <c r="AE153" s="27" t="s">
        <v>8</v>
      </c>
      <c r="AQ153" s="27" t="s">
        <v>8</v>
      </c>
    </row>
    <row r="154" spans="1:44" x14ac:dyDescent="0.25">
      <c r="A154" s="30">
        <v>4.3056764313424332E-2</v>
      </c>
      <c r="B154"/>
      <c r="C154"/>
      <c r="D154"/>
      <c r="E154"/>
      <c r="F154" s="27" t="s">
        <v>7</v>
      </c>
      <c r="AA154" s="27" t="s">
        <v>8</v>
      </c>
      <c r="AB154" s="27" t="s">
        <v>7</v>
      </c>
      <c r="AE154" s="27" t="s">
        <v>8</v>
      </c>
      <c r="AF154" s="27" t="s">
        <v>7</v>
      </c>
      <c r="AG154" s="27" t="s">
        <v>8</v>
      </c>
      <c r="AQ154" s="27" t="s">
        <v>8</v>
      </c>
    </row>
    <row r="155" spans="1:44" x14ac:dyDescent="0.25">
      <c r="A155" s="30">
        <v>3.9142513012203929E-2</v>
      </c>
      <c r="B155"/>
      <c r="C155"/>
      <c r="D155"/>
      <c r="E155"/>
      <c r="F155" s="27" t="s">
        <v>7</v>
      </c>
      <c r="AA155" s="27" t="s">
        <v>8</v>
      </c>
      <c r="AB155" s="27" t="s">
        <v>7</v>
      </c>
      <c r="AE155" s="27" t="s">
        <v>8</v>
      </c>
      <c r="AF155" s="27" t="s">
        <v>7</v>
      </c>
      <c r="AG155" s="27" t="s">
        <v>8</v>
      </c>
      <c r="AH155" s="27" t="s">
        <v>7</v>
      </c>
      <c r="AQ155" s="27" t="s">
        <v>8</v>
      </c>
    </row>
    <row r="156" spans="1:44" x14ac:dyDescent="0.25">
      <c r="A156" s="30">
        <v>3.55841027383672E-2</v>
      </c>
      <c r="B156"/>
      <c r="C156"/>
      <c r="D156"/>
      <c r="E156"/>
      <c r="F156" s="27" t="s">
        <v>7</v>
      </c>
      <c r="Y156" s="27" t="s">
        <v>8</v>
      </c>
      <c r="AA156" s="27" t="s">
        <v>8</v>
      </c>
      <c r="AB156" s="27" t="s">
        <v>7</v>
      </c>
      <c r="AC156" s="27" t="s">
        <v>8</v>
      </c>
      <c r="AE156" s="27" t="s">
        <v>8</v>
      </c>
      <c r="AF156" s="27" t="s">
        <v>7</v>
      </c>
      <c r="AG156" s="27" t="s">
        <v>8</v>
      </c>
      <c r="AH156" s="27" t="s">
        <v>7</v>
      </c>
      <c r="AQ156" s="27" t="s">
        <v>8</v>
      </c>
    </row>
    <row r="157" spans="1:44" x14ac:dyDescent="0.25">
      <c r="A157" s="30">
        <v>3.2349184307606541E-2</v>
      </c>
      <c r="B157"/>
      <c r="C157"/>
      <c r="D157"/>
      <c r="E157"/>
      <c r="F157" s="27" t="s">
        <v>7</v>
      </c>
      <c r="Y157" s="27" t="s">
        <v>8</v>
      </c>
      <c r="Z157" s="27" t="s">
        <v>7</v>
      </c>
      <c r="AA157" s="27" t="s">
        <v>8</v>
      </c>
      <c r="AB157" s="27" t="s">
        <v>7</v>
      </c>
      <c r="AC157" s="27" t="s">
        <v>8</v>
      </c>
      <c r="AD157" s="27" t="s">
        <v>7</v>
      </c>
      <c r="AE157" s="27" t="s">
        <v>8</v>
      </c>
      <c r="AF157" s="27" t="s">
        <v>7</v>
      </c>
      <c r="AH157" s="27" t="s">
        <v>7</v>
      </c>
      <c r="AI157" s="27" t="s">
        <v>8</v>
      </c>
      <c r="AQ157" s="27" t="s">
        <v>8</v>
      </c>
    </row>
    <row r="158" spans="1:44" x14ac:dyDescent="0.25">
      <c r="A158" s="30">
        <v>2.9408349370551395E-2</v>
      </c>
      <c r="B158"/>
      <c r="C158"/>
      <c r="D158"/>
      <c r="E158"/>
      <c r="F158" s="27" t="s">
        <v>7</v>
      </c>
      <c r="Y158" s="27" t="s">
        <v>8</v>
      </c>
      <c r="Z158" s="27" t="s">
        <v>7</v>
      </c>
      <c r="AA158" s="27" t="s">
        <v>8</v>
      </c>
      <c r="AB158" s="27" t="s">
        <v>7</v>
      </c>
      <c r="AC158" s="27" t="s">
        <v>8</v>
      </c>
      <c r="AD158" s="27" t="s">
        <v>7</v>
      </c>
      <c r="AE158" s="27" t="s">
        <v>8</v>
      </c>
      <c r="AH158" s="27" t="s">
        <v>7</v>
      </c>
      <c r="AI158" s="27" t="s">
        <v>8</v>
      </c>
      <c r="AJ158" s="27" t="s">
        <v>7</v>
      </c>
      <c r="AQ158" s="27" t="s">
        <v>8</v>
      </c>
    </row>
    <row r="159" spans="1:44" x14ac:dyDescent="0.25">
      <c r="A159" s="30">
        <v>2.6734863064137627E-2</v>
      </c>
      <c r="B159"/>
      <c r="C159"/>
      <c r="D159"/>
      <c r="E159"/>
      <c r="F159" s="27" t="s">
        <v>7</v>
      </c>
      <c r="Y159" s="27" t="s">
        <v>8</v>
      </c>
      <c r="Z159" s="27" t="s">
        <v>7</v>
      </c>
      <c r="AA159" s="27" t="s">
        <v>8</v>
      </c>
      <c r="AB159" s="27" t="s">
        <v>7</v>
      </c>
      <c r="AC159" s="27" t="s">
        <v>8</v>
      </c>
      <c r="AD159" s="27" t="s">
        <v>7</v>
      </c>
      <c r="AH159" s="27" t="s">
        <v>7</v>
      </c>
      <c r="AI159" s="27" t="s">
        <v>8</v>
      </c>
      <c r="AJ159" s="27" t="s">
        <v>7</v>
      </c>
      <c r="AO159" s="27" t="s">
        <v>8</v>
      </c>
      <c r="AQ159" s="27" t="s">
        <v>8</v>
      </c>
    </row>
    <row r="160" spans="1:44" x14ac:dyDescent="0.25">
      <c r="A160" s="30">
        <v>2.4304420967397839E-2</v>
      </c>
      <c r="B160"/>
      <c r="C160"/>
      <c r="D160"/>
      <c r="E160"/>
      <c r="F160" s="27" t="s">
        <v>7</v>
      </c>
      <c r="Y160" s="27" t="s">
        <v>8</v>
      </c>
      <c r="Z160" s="27" t="s">
        <v>7</v>
      </c>
      <c r="AB160" s="27" t="s">
        <v>7</v>
      </c>
      <c r="AC160" s="27" t="s">
        <v>8</v>
      </c>
      <c r="AH160" s="27" t="s">
        <v>7</v>
      </c>
      <c r="AJ160" s="27" t="s">
        <v>7</v>
      </c>
      <c r="AK160" s="27" t="s">
        <v>8</v>
      </c>
      <c r="AM160" s="27" t="s">
        <v>8</v>
      </c>
      <c r="AO160" s="27" t="s">
        <v>8</v>
      </c>
      <c r="AP160" s="27" t="s">
        <v>7</v>
      </c>
      <c r="AQ160" s="27" t="s">
        <v>8</v>
      </c>
    </row>
    <row r="161" spans="1:43" x14ac:dyDescent="0.25">
      <c r="A161" s="30">
        <v>2.2094928152179852E-2</v>
      </c>
      <c r="B161"/>
      <c r="C161"/>
      <c r="D161"/>
      <c r="E161"/>
      <c r="F161" s="27" t="s">
        <v>7</v>
      </c>
      <c r="Y161" s="27" t="s">
        <v>8</v>
      </c>
      <c r="AB161" s="27" t="s">
        <v>7</v>
      </c>
      <c r="AJ161" s="27" t="s">
        <v>7</v>
      </c>
      <c r="AK161" s="27" t="s">
        <v>8</v>
      </c>
      <c r="AL161" s="27" t="s">
        <v>7</v>
      </c>
      <c r="AM161" s="27" t="s">
        <v>8</v>
      </c>
      <c r="AN161" s="27" t="s">
        <v>7</v>
      </c>
      <c r="AO161" s="27" t="s">
        <v>8</v>
      </c>
      <c r="AP161" s="27" t="s">
        <v>7</v>
      </c>
      <c r="AQ161" s="27" t="s">
        <v>8</v>
      </c>
    </row>
    <row r="162" spans="1:43" x14ac:dyDescent="0.25">
      <c r="A162" s="30">
        <v>2.0086298320163499E-2</v>
      </c>
      <c r="B162"/>
      <c r="C162"/>
      <c r="D162"/>
      <c r="E162"/>
      <c r="F162" s="27" t="s">
        <v>7</v>
      </c>
      <c r="Y162" s="27" t="s">
        <v>8</v>
      </c>
      <c r="AJ162" s="27" t="s">
        <v>7</v>
      </c>
      <c r="AK162" s="27" t="s">
        <v>8</v>
      </c>
      <c r="AL162" s="27" t="s">
        <v>7</v>
      </c>
      <c r="AM162" s="27" t="s">
        <v>8</v>
      </c>
      <c r="AN162" s="27" t="s">
        <v>7</v>
      </c>
      <c r="AO162" s="27" t="s">
        <v>8</v>
      </c>
      <c r="AP162" s="27" t="s">
        <v>7</v>
      </c>
    </row>
    <row r="163" spans="1:43" x14ac:dyDescent="0.25">
      <c r="A163" s="30">
        <v>1.8260271200148632E-2</v>
      </c>
      <c r="B163"/>
      <c r="C163"/>
      <c r="D163"/>
      <c r="E163"/>
      <c r="F163" s="27" t="s">
        <v>7</v>
      </c>
      <c r="W163" s="27" t="s">
        <v>8</v>
      </c>
      <c r="Y163" s="27" t="s">
        <v>8</v>
      </c>
      <c r="AJ163" s="27" t="s">
        <v>7</v>
      </c>
      <c r="AK163" s="27" t="s">
        <v>8</v>
      </c>
      <c r="AL163" s="27" t="s">
        <v>7</v>
      </c>
      <c r="AM163" s="27" t="s">
        <v>8</v>
      </c>
      <c r="AN163" s="27" t="s">
        <v>7</v>
      </c>
      <c r="AO163" s="27" t="s">
        <v>8</v>
      </c>
    </row>
    <row r="164" spans="1:43" x14ac:dyDescent="0.25">
      <c r="A164" s="30">
        <v>1.6600246545589663E-2</v>
      </c>
      <c r="B164"/>
      <c r="C164"/>
      <c r="D164"/>
      <c r="E164"/>
      <c r="F164" s="27" t="s">
        <v>7</v>
      </c>
      <c r="W164" s="27" t="s">
        <v>8</v>
      </c>
      <c r="X164" s="27" t="s">
        <v>7</v>
      </c>
      <c r="Y164" s="27" t="s">
        <v>8</v>
      </c>
      <c r="AJ164" s="27" t="s">
        <v>7</v>
      </c>
      <c r="AK164" s="27" t="s">
        <v>8</v>
      </c>
      <c r="AL164" s="27" t="s">
        <v>7</v>
      </c>
      <c r="AN164" s="27" t="s">
        <v>7</v>
      </c>
      <c r="AO164" s="27" t="s">
        <v>8</v>
      </c>
    </row>
    <row r="165" spans="1:43" x14ac:dyDescent="0.25">
      <c r="A165" s="30">
        <v>1.5091133223263328E-2</v>
      </c>
      <c r="B165"/>
      <c r="C165"/>
      <c r="D165"/>
      <c r="E165"/>
      <c r="F165" s="27" t="s">
        <v>7</v>
      </c>
      <c r="W165" s="27" t="s">
        <v>8</v>
      </c>
      <c r="X165" s="27" t="s">
        <v>7</v>
      </c>
      <c r="Y165" s="27" t="s">
        <v>8</v>
      </c>
      <c r="AJ165" s="27" t="s">
        <v>7</v>
      </c>
      <c r="AK165" s="27" t="s">
        <v>8</v>
      </c>
      <c r="AN165" s="27" t="s">
        <v>7</v>
      </c>
    </row>
    <row r="166" spans="1:43" x14ac:dyDescent="0.25">
      <c r="A166" s="30">
        <v>1.3719212021148477E-2</v>
      </c>
      <c r="B166"/>
      <c r="C166"/>
      <c r="D166"/>
      <c r="E166"/>
      <c r="F166" s="27" t="s">
        <v>7</v>
      </c>
      <c r="S166" s="27" t="s">
        <v>8</v>
      </c>
      <c r="U166" s="27" t="s">
        <v>8</v>
      </c>
      <c r="W166" s="27" t="s">
        <v>8</v>
      </c>
      <c r="X166" s="27" t="s">
        <v>7</v>
      </c>
      <c r="Y166" s="27" t="s">
        <v>8</v>
      </c>
      <c r="AJ166" s="27" t="s">
        <v>7</v>
      </c>
    </row>
    <row r="167" spans="1:43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S167" s="27" t="s">
        <v>8</v>
      </c>
      <c r="T167" s="27" t="s">
        <v>7</v>
      </c>
      <c r="U167" s="27" t="s">
        <v>8</v>
      </c>
      <c r="V167" s="27" t="s">
        <v>7</v>
      </c>
      <c r="W167" s="27" t="s">
        <v>8</v>
      </c>
      <c r="X167" s="27" t="s">
        <v>7</v>
      </c>
      <c r="Y167" s="27" t="s">
        <v>8</v>
      </c>
    </row>
    <row r="168" spans="1:43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S168" s="27" t="s">
        <v>8</v>
      </c>
      <c r="T168" s="27" t="s">
        <v>7</v>
      </c>
      <c r="U168" s="27" t="s">
        <v>8</v>
      </c>
      <c r="V168" s="27" t="s">
        <v>7</v>
      </c>
      <c r="W168" s="27" t="s">
        <v>8</v>
      </c>
      <c r="X168" s="27" t="s">
        <v>7</v>
      </c>
    </row>
    <row r="169" spans="1:43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S169" s="27" t="s">
        <v>8</v>
      </c>
      <c r="T169" s="27" t="s">
        <v>7</v>
      </c>
      <c r="V169" s="27" t="s">
        <v>7</v>
      </c>
    </row>
    <row r="170" spans="1:43" x14ac:dyDescent="0.25">
      <c r="A170" s="30">
        <v>9.3704064074506318E-3</v>
      </c>
      <c r="B170"/>
      <c r="C170"/>
      <c r="D170"/>
      <c r="E170"/>
      <c r="F170" s="27" t="s">
        <v>7</v>
      </c>
      <c r="H170" s="27" t="s">
        <v>7</v>
      </c>
      <c r="S170" s="27" t="s">
        <v>8</v>
      </c>
    </row>
    <row r="171" spans="1:43" x14ac:dyDescent="0.25">
      <c r="A171" s="30">
        <v>8.5185512795005747E-3</v>
      </c>
      <c r="H171" s="27" t="s">
        <v>7</v>
      </c>
      <c r="I171" s="27" t="s">
        <v>8</v>
      </c>
      <c r="S171" s="27" t="s">
        <v>8</v>
      </c>
    </row>
    <row r="172" spans="1:43" x14ac:dyDescent="0.25">
      <c r="A172" s="30">
        <v>7.744137526818704E-3</v>
      </c>
      <c r="H172" s="27" t="s">
        <v>7</v>
      </c>
      <c r="I172" s="27" t="s">
        <v>8</v>
      </c>
      <c r="J172" s="27" t="s">
        <v>7</v>
      </c>
      <c r="Q172" s="27" t="s">
        <v>8</v>
      </c>
      <c r="S172" s="27" t="s">
        <v>8</v>
      </c>
    </row>
    <row r="173" spans="1:43" x14ac:dyDescent="0.25">
      <c r="A173" s="30">
        <v>7.0401250243806394E-3</v>
      </c>
      <c r="H173" s="27" t="s">
        <v>7</v>
      </c>
      <c r="I173" s="27" t="s">
        <v>8</v>
      </c>
      <c r="J173" s="27" t="s">
        <v>7</v>
      </c>
      <c r="Q173" s="27" t="s">
        <v>8</v>
      </c>
      <c r="R173" s="27" t="s">
        <v>7</v>
      </c>
      <c r="S173" s="27" t="s">
        <v>8</v>
      </c>
    </row>
    <row r="174" spans="1:43" x14ac:dyDescent="0.25">
      <c r="A174" s="30">
        <v>6.4001136585278536E-3</v>
      </c>
      <c r="H174" s="27" t="s">
        <v>7</v>
      </c>
      <c r="J174" s="27" t="s">
        <v>7</v>
      </c>
      <c r="Q174" s="27" t="s">
        <v>8</v>
      </c>
      <c r="R174" s="27" t="s">
        <v>7</v>
      </c>
      <c r="S174" s="27" t="s">
        <v>8</v>
      </c>
    </row>
    <row r="175" spans="1:43" x14ac:dyDescent="0.25">
      <c r="A175" s="30">
        <v>5.8182851441162305E-3</v>
      </c>
      <c r="J175" s="27" t="s">
        <v>7</v>
      </c>
      <c r="Q175" s="27" t="s">
        <v>8</v>
      </c>
      <c r="R175" s="27" t="s">
        <v>7</v>
      </c>
    </row>
    <row r="176" spans="1:43" x14ac:dyDescent="0.25">
      <c r="A176" s="30">
        <v>5.2893501310147546E-3</v>
      </c>
      <c r="J176" s="27" t="s">
        <v>7</v>
      </c>
      <c r="Q176" s="27" t="s">
        <v>8</v>
      </c>
    </row>
    <row r="177" spans="1:17" x14ac:dyDescent="0.25">
      <c r="A177" s="30">
        <v>4.8085001191043222E-3</v>
      </c>
      <c r="J177" s="27" t="s">
        <v>7</v>
      </c>
      <c r="O177" s="27" t="s">
        <v>8</v>
      </c>
      <c r="Q177" s="27" t="s">
        <v>8</v>
      </c>
    </row>
    <row r="178" spans="1:17" x14ac:dyDescent="0.25">
      <c r="A178" s="30">
        <v>4.3713637446402926E-3</v>
      </c>
      <c r="J178" s="27" t="s">
        <v>7</v>
      </c>
      <c r="O178" s="27" t="s">
        <v>8</v>
      </c>
      <c r="P178" s="27" t="s">
        <v>7</v>
      </c>
      <c r="Q178" s="27" t="s">
        <v>8</v>
      </c>
    </row>
    <row r="179" spans="1:17" x14ac:dyDescent="0.25">
      <c r="A179" s="30">
        <v>3.9739670405820838E-3</v>
      </c>
      <c r="J179" s="27" t="s">
        <v>7</v>
      </c>
      <c r="O179" s="27" t="s">
        <v>8</v>
      </c>
      <c r="P179" s="27" t="s">
        <v>7</v>
      </c>
      <c r="Q179" s="27" t="s">
        <v>8</v>
      </c>
    </row>
    <row r="180" spans="1:17" x14ac:dyDescent="0.25">
      <c r="A180" s="30">
        <v>3.6126973096200759E-3</v>
      </c>
      <c r="J180" s="27" t="s">
        <v>7</v>
      </c>
      <c r="M180" s="27" t="s">
        <v>8</v>
      </c>
      <c r="O180" s="27" t="s">
        <v>8</v>
      </c>
      <c r="P180" s="27" t="s">
        <v>7</v>
      </c>
      <c r="Q180" s="27" t="s">
        <v>8</v>
      </c>
    </row>
    <row r="181" spans="1:17" x14ac:dyDescent="0.25">
      <c r="A181" s="30">
        <v>3.2842702814727962E-3</v>
      </c>
      <c r="J181" s="27" t="s">
        <v>7</v>
      </c>
      <c r="M181" s="27" t="s">
        <v>8</v>
      </c>
      <c r="N181" s="27" t="s">
        <v>7</v>
      </c>
      <c r="O181" s="27" t="s">
        <v>8</v>
      </c>
      <c r="P181" s="27" t="s">
        <v>7</v>
      </c>
    </row>
    <row r="182" spans="1:17" x14ac:dyDescent="0.25">
      <c r="A182" s="30">
        <v>2.9857002558843601E-3</v>
      </c>
      <c r="J182" s="27" t="s">
        <v>7</v>
      </c>
      <c r="K182" s="27" t="s">
        <v>8</v>
      </c>
      <c r="M182" s="27" t="s">
        <v>8</v>
      </c>
      <c r="N182" s="27" t="s">
        <v>7</v>
      </c>
      <c r="O182" s="27" t="s">
        <v>8</v>
      </c>
    </row>
    <row r="183" spans="1:17" x14ac:dyDescent="0.25">
      <c r="A183" s="30">
        <v>2.7142729598948726E-3</v>
      </c>
      <c r="J183" s="27" t="s">
        <v>7</v>
      </c>
      <c r="K183" s="27" t="s">
        <v>8</v>
      </c>
      <c r="L183" s="27" t="s">
        <v>7</v>
      </c>
      <c r="M183" s="27" t="s">
        <v>8</v>
      </c>
      <c r="N183" s="27" t="s">
        <v>7</v>
      </c>
      <c r="O183" s="27" t="s">
        <v>8</v>
      </c>
    </row>
    <row r="184" spans="1:17" x14ac:dyDescent="0.25">
      <c r="A184" s="30">
        <v>2.4675208726317021E-3</v>
      </c>
      <c r="J184" s="27" t="s">
        <v>7</v>
      </c>
      <c r="K184" s="27" t="s">
        <v>8</v>
      </c>
      <c r="L184" s="27" t="s">
        <v>7</v>
      </c>
      <c r="M184" s="27" t="s">
        <v>8</v>
      </c>
      <c r="N184" s="27" t="s">
        <v>7</v>
      </c>
    </row>
    <row r="185" spans="1:17" x14ac:dyDescent="0.25">
      <c r="A185" s="30">
        <v>2.2432007933015472E-3</v>
      </c>
      <c r="J185" s="27" t="s">
        <v>7</v>
      </c>
      <c r="K185" s="27" t="s">
        <v>8</v>
      </c>
      <c r="L185" s="27" t="s">
        <v>7</v>
      </c>
      <c r="M185" s="27" t="s">
        <v>8</v>
      </c>
    </row>
    <row r="186" spans="1:17" x14ac:dyDescent="0.25">
      <c r="A186" s="30">
        <v>2.0392734484559519E-3</v>
      </c>
      <c r="J186" s="27" t="s">
        <v>7</v>
      </c>
      <c r="K186" s="27" t="s">
        <v>8</v>
      </c>
      <c r="L186" s="27" t="s">
        <v>7</v>
      </c>
    </row>
    <row r="187" spans="1:17" x14ac:dyDescent="0.25">
      <c r="A187" s="30">
        <v>1.8538849531417744E-3</v>
      </c>
      <c r="J187" s="27" t="s">
        <v>7</v>
      </c>
    </row>
    <row r="188" spans="1:17" x14ac:dyDescent="0.25">
      <c r="A188" s="30">
        <v>1.6853499574016129E-3</v>
      </c>
    </row>
    <row r="189" spans="1:17" x14ac:dyDescent="0.25">
      <c r="A189" s="30">
        <v>1.5321363249105571E-3</v>
      </c>
    </row>
    <row r="190" spans="1:17" x14ac:dyDescent="0.25">
      <c r="A190" s="30">
        <v>1.3928512044641427E-3</v>
      </c>
    </row>
    <row r="191" spans="1:17" x14ac:dyDescent="0.25">
      <c r="A191" s="30">
        <v>1.2662283676946752E-3</v>
      </c>
    </row>
    <row r="192" spans="1:17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0.15660536473605399</v>
      </c>
      <c r="F3" s="30">
        <v>0.16443563297285677</v>
      </c>
      <c r="G3" s="30">
        <v>0.45811152199139726</v>
      </c>
      <c r="H3" s="25">
        <f>IF(G3="","",(3*(G3-F3))+E3)</f>
        <v>1.0376330317916753</v>
      </c>
      <c r="I3" s="7"/>
      <c r="J3" s="7">
        <f>(E3+G3)/2</f>
        <v>0.30735844336372564</v>
      </c>
      <c r="K3" s="7">
        <f>H3/2</f>
        <v>0.51881651589583766</v>
      </c>
      <c r="M3" s="26">
        <f>IF(OR(J3="",H3=""),"",H3/J3)</f>
        <v>3.3759704807059694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2022-01-28T01:16:56Z</dcterms:modified>
</cp:coreProperties>
</file>