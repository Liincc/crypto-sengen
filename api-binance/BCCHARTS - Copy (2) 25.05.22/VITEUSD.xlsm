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34048FA8-3D7A-4790-8A6E-988FD2590AF0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81" i="1"/>
  <c r="Q781" i="1" s="1"/>
  <c r="R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81" i="1"/>
  <c r="T781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22" i="5" s="1"/>
  <c r="C133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18" i="5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18" i="4"/>
  <c r="C122" i="4"/>
  <c r="C133" i="4" s="1"/>
  <c r="C136" i="4" s="1"/>
  <c r="R780" i="1"/>
  <c r="S780" i="1" s="1"/>
  <c r="T780" i="1" s="1"/>
  <c r="D136" i="5"/>
  <c r="C136" i="5"/>
  <c r="C116" i="3"/>
  <c r="C122" i="3"/>
  <c r="C133" i="3" s="1"/>
  <c r="D136" i="3" s="1"/>
  <c r="R779" i="1" l="1"/>
  <c r="R778" i="1" s="1"/>
  <c r="C138" i="5"/>
  <c r="D136" i="4"/>
  <c r="C138" i="4" s="1"/>
  <c r="C136" i="3"/>
  <c r="C138" i="3" s="1"/>
  <c r="S779" i="1" l="1"/>
  <c r="T779" i="1" s="1"/>
  <c r="R777" i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S223" i="1" l="1"/>
  <c r="T223" i="1" s="1"/>
  <c r="R222" i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R149" i="1" l="1"/>
  <c r="S150" i="1"/>
  <c r="T150" i="1" s="1"/>
  <c r="R148" i="1" l="1"/>
  <c r="S149" i="1"/>
  <c r="T149" i="1" s="1"/>
  <c r="R147" i="1" l="1"/>
  <c r="S148" i="1"/>
  <c r="T148" i="1" s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R123" i="1" l="1"/>
  <c r="S124" i="1"/>
  <c r="T124" i="1" s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S105" i="1" l="1"/>
  <c r="T105" i="1" s="1"/>
  <c r="R104" i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S93" i="1" l="1"/>
  <c r="T93" i="1" s="1"/>
  <c r="R92" i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S87" i="1" l="1"/>
  <c r="T87" i="1" s="1"/>
  <c r="R86" i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S81" i="1" l="1"/>
  <c r="T81" i="1" s="1"/>
  <c r="R80" i="1"/>
  <c r="R79" i="1" l="1"/>
  <c r="S80" i="1"/>
  <c r="T80" i="1" s="1"/>
  <c r="S79" i="1" l="1"/>
  <c r="T79" i="1" s="1"/>
  <c r="R78" i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S69" i="1" l="1"/>
  <c r="T69" i="1" s="1"/>
  <c r="R68" i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S57" i="1" l="1"/>
  <c r="T57" i="1" s="1"/>
  <c r="R56" i="1"/>
  <c r="R55" i="1" l="1"/>
  <c r="S56" i="1"/>
  <c r="T56" i="1" s="1"/>
  <c r="S55" i="1" l="1"/>
  <c r="T55" i="1" s="1"/>
  <c r="R54" i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<sst xmlns="http://schemas.openxmlformats.org/spreadsheetml/2006/main" count="9091" uniqueCount="34">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</sst>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4.8829999999999998E-2</c:v>
                </c:pt>
                <c:pt idx="1">
                  <c:v>4.9939999999999998E-2</c:v>
                </c:pt>
                <c:pt idx="2">
                  <c:v>4.9140000000000003E-2</c:v>
                </c:pt>
                <c:pt idx="3">
                  <c:v>4.8899999999999999E-2</c:v>
                </c:pt>
                <c:pt idx="4">
                  <c:v>5.0090000000000003E-2</c:v>
                </c:pt>
                <c:pt idx="5">
                  <c:v>4.9390000000000003E-2</c:v>
                </c:pt>
                <c:pt idx="6">
                  <c:v>5.3109999999999997E-2</c:v>
                </c:pt>
                <c:pt idx="7">
                  <c:v>6.3969999999999999E-2</c:v>
                </c:pt>
                <c:pt idx="8">
                  <c:v>6.4930000000000002E-2</c:v>
                </c:pt>
                <c:pt idx="9">
                  <c:v>6.5809999999999994E-2</c:v>
                </c:pt>
                <c:pt idx="10">
                  <c:v>6.8769999999999998E-2</c:v>
                </c:pt>
                <c:pt idx="11">
                  <c:v>7.1249999999999994E-2</c:v>
                </c:pt>
                <c:pt idx="12">
                  <c:v>7.0639999999999994E-2</c:v>
                </c:pt>
                <c:pt idx="13">
                  <c:v>6.8849999999999995E-2</c:v>
                </c:pt>
                <c:pt idx="14">
                  <c:v>7.0370000000000002E-2</c:v>
                </c:pt>
                <c:pt idx="15">
                  <c:v>7.2559999999999999E-2</c:v>
                </c:pt>
                <c:pt idx="16">
                  <c:v>6.9070000000000006E-2</c:v>
                </c:pt>
                <c:pt idx="17">
                  <c:v>6.6729999999999998E-2</c:v>
                </c:pt>
                <c:pt idx="18">
                  <c:v>6.9019999999999998E-2</c:v>
                </c:pt>
                <c:pt idx="19">
                  <c:v>6.8820000000000006E-2</c:v>
                </c:pt>
                <c:pt idx="20">
                  <c:v>7.1040000000000006E-2</c:v>
                </c:pt>
                <c:pt idx="21">
                  <c:v>7.5850000000000001E-2</c:v>
                </c:pt>
                <c:pt idx="22">
                  <c:v>7.6420000000000002E-2</c:v>
                </c:pt>
                <c:pt idx="23">
                  <c:v>8.2089999999999996E-2</c:v>
                </c:pt>
                <c:pt idx="24">
                  <c:v>8.1519999999999995E-2</c:v>
                </c:pt>
                <c:pt idx="25">
                  <c:v>8.2979999999999998E-2</c:v>
                </c:pt>
                <c:pt idx="26">
                  <c:v>8.1250000000000003E-2</c:v>
                </c:pt>
                <c:pt idx="27">
                  <c:v>7.8390000000000001E-2</c:v>
                </c:pt>
                <c:pt idx="28">
                  <c:v>8.0070000000000002E-2</c:v>
                </c:pt>
                <c:pt idx="29">
                  <c:v>7.9930000000000001E-2</c:v>
                </c:pt>
                <c:pt idx="30">
                  <c:v>8.3019999999999997E-2</c:v>
                </c:pt>
                <c:pt idx="31">
                  <c:v>9.1259999999999994E-2</c:v>
                </c:pt>
                <c:pt idx="32">
                  <c:v>8.8760000000000006E-2</c:v>
                </c:pt>
                <c:pt idx="33">
                  <c:v>8.7290000000000006E-2</c:v>
                </c:pt>
                <c:pt idx="34">
                  <c:v>8.4739999999999996E-2</c:v>
                </c:pt>
                <c:pt idx="35">
                  <c:v>8.7830000000000005E-2</c:v>
                </c:pt>
                <c:pt idx="36">
                  <c:v>8.3890000000000006E-2</c:v>
                </c:pt>
                <c:pt idx="37">
                  <c:v>8.5000000000000006E-2</c:v>
                </c:pt>
                <c:pt idx="38">
                  <c:v>7.6630000000000004E-2</c:v>
                </c:pt>
                <c:pt idx="39">
                  <c:v>8.1509999999999999E-2</c:v>
                </c:pt>
                <c:pt idx="40">
                  <c:v>8.3320000000000005E-2</c:v>
                </c:pt>
                <c:pt idx="41">
                  <c:v>8.1589999999999996E-2</c:v>
                </c:pt>
                <c:pt idx="42">
                  <c:v>7.6350000000000001E-2</c:v>
                </c:pt>
                <c:pt idx="43">
                  <c:v>7.8020000000000006E-2</c:v>
                </c:pt>
                <c:pt idx="44">
                  <c:v>7.7289999999999998E-2</c:v>
                </c:pt>
                <c:pt idx="45">
                  <c:v>7.5340000000000004E-2</c:v>
                </c:pt>
                <c:pt idx="46">
                  <c:v>8.6709999999999995E-2</c:v>
                </c:pt>
                <c:pt idx="47">
                  <c:v>8.4000000000000005E-2</c:v>
                </c:pt>
                <c:pt idx="48">
                  <c:v>8.2699999999999996E-2</c:v>
                </c:pt>
                <c:pt idx="49">
                  <c:v>8.3599999999999994E-2</c:v>
                </c:pt>
                <c:pt idx="50">
                  <c:v>9.5350000000000004E-2</c:v>
                </c:pt>
                <c:pt idx="51">
                  <c:v>9.1380000000000003E-2</c:v>
                </c:pt>
                <c:pt idx="52">
                  <c:v>9.4310000000000005E-2</c:v>
                </c:pt>
                <c:pt idx="53">
                  <c:v>8.9829999999999993E-2</c:v>
                </c:pt>
                <c:pt idx="54">
                  <c:v>9.8199999999999996E-2</c:v>
                </c:pt>
                <c:pt idx="55">
                  <c:v>0.11255</c:v>
                </c:pt>
                <c:pt idx="56">
                  <c:v>0.11844</c:v>
                </c:pt>
                <c:pt idx="57">
                  <c:v>0.1187</c:v>
                </c:pt>
                <c:pt idx="58">
                  <c:v>0.10996</c:v>
                </c:pt>
                <c:pt idx="59">
                  <c:v>0.11189</c:v>
                </c:pt>
                <c:pt idx="60">
                  <c:v>0.11105</c:v>
                </c:pt>
                <c:pt idx="61">
                  <c:v>0.11089</c:v>
                </c:pt>
                <c:pt idx="62">
                  <c:v>0.1045</c:v>
                </c:pt>
                <c:pt idx="63">
                  <c:v>0.12048</c:v>
                </c:pt>
                <c:pt idx="64">
                  <c:v>0.11360000000000001</c:v>
                </c:pt>
                <c:pt idx="65">
                  <c:v>0.11521000000000001</c:v>
                </c:pt>
                <c:pt idx="66">
                  <c:v>0.1125</c:v>
                </c:pt>
                <c:pt idx="67">
                  <c:v>0.11974</c:v>
                </c:pt>
                <c:pt idx="68">
                  <c:v>0.12366000000000001</c:v>
                </c:pt>
                <c:pt idx="69">
                  <c:v>0.10943</c:v>
                </c:pt>
                <c:pt idx="70">
                  <c:v>0.10055</c:v>
                </c:pt>
                <c:pt idx="71">
                  <c:v>0.11378000000000001</c:v>
                </c:pt>
                <c:pt idx="72">
                  <c:v>0.11345</c:v>
                </c:pt>
                <c:pt idx="73">
                  <c:v>0.12504000000000001</c:v>
                </c:pt>
                <c:pt idx="74">
                  <c:v>0.12388</c:v>
                </c:pt>
                <c:pt idx="75">
                  <c:v>0.12548999999999999</c:v>
                </c:pt>
                <c:pt idx="76">
                  <c:v>0.12717000000000001</c:v>
                </c:pt>
                <c:pt idx="77">
                  <c:v>0.13395000000000001</c:v>
                </c:pt>
                <c:pt idx="78">
                  <c:v>0.11966</c:v>
                </c:pt>
                <c:pt idx="79">
                  <c:v>0.12698999999999999</c:v>
                </c:pt>
                <c:pt idx="80">
                  <c:v>0.13013</c:v>
                </c:pt>
                <c:pt idx="81">
                  <c:v>0.13392000000000001</c:v>
                </c:pt>
                <c:pt idx="82">
                  <c:v>0.13571</c:v>
                </c:pt>
                <c:pt idx="83">
                  <c:v>0.12950999999999999</c:v>
                </c:pt>
                <c:pt idx="84">
                  <c:v>0.12506</c:v>
                </c:pt>
                <c:pt idx="85">
                  <c:v>0.13333</c:v>
                </c:pt>
                <c:pt idx="86">
                  <c:v>0.11965000000000001</c:v>
                </c:pt>
                <c:pt idx="87">
                  <c:v>0.11049</c:v>
                </c:pt>
                <c:pt idx="88">
                  <c:v>0.10759000000000001</c:v>
                </c:pt>
                <c:pt idx="89">
                  <c:v>0.11214</c:v>
                </c:pt>
                <c:pt idx="90">
                  <c:v>0.10657999999999999</c:v>
                </c:pt>
                <c:pt idx="91">
                  <c:v>9.511E-2</c:v>
                </c:pt>
                <c:pt idx="92">
                  <c:v>9.2460000000000001E-2</c:v>
                </c:pt>
                <c:pt idx="93">
                  <c:v>0.10753</c:v>
                </c:pt>
                <c:pt idx="94">
                  <c:v>0.10725999999999999</c:v>
                </c:pt>
                <c:pt idx="95">
                  <c:v>0.10477</c:v>
                </c:pt>
                <c:pt idx="96">
                  <c:v>0.1053</c:v>
                </c:pt>
                <c:pt idx="97">
                  <c:v>9.3390000000000001E-2</c:v>
                </c:pt>
                <c:pt idx="98">
                  <c:v>9.3640000000000001E-2</c:v>
                </c:pt>
                <c:pt idx="99">
                  <c:v>9.9599999999999994E-2</c:v>
                </c:pt>
                <c:pt idx="100">
                  <c:v>9.0630000000000002E-2</c:v>
                </c:pt>
                <c:pt idx="101">
                  <c:v>8.9870000000000005E-2</c:v>
                </c:pt>
                <c:pt idx="102">
                  <c:v>9.4149999999999998E-2</c:v>
                </c:pt>
                <c:pt idx="103">
                  <c:v>9.0620000000000006E-2</c:v>
                </c:pt>
                <c:pt idx="104">
                  <c:v>8.9819999999999997E-2</c:v>
                </c:pt>
                <c:pt idx="105">
                  <c:v>8.8800000000000004E-2</c:v>
                </c:pt>
                <c:pt idx="106">
                  <c:v>8.3049999999999999E-2</c:v>
                </c:pt>
                <c:pt idx="107">
                  <c:v>8.1930000000000003E-2</c:v>
                </c:pt>
                <c:pt idx="108">
                  <c:v>8.4190000000000001E-2</c:v>
                </c:pt>
                <c:pt idx="109">
                  <c:v>8.7010000000000004E-2</c:v>
                </c:pt>
                <c:pt idx="110">
                  <c:v>9.5009999999999997E-2</c:v>
                </c:pt>
                <c:pt idx="111">
                  <c:v>8.233E-2</c:v>
                </c:pt>
                <c:pt idx="112">
                  <c:v>8.1670000000000006E-2</c:v>
                </c:pt>
                <c:pt idx="113">
                  <c:v>8.1600000000000006E-2</c:v>
                </c:pt>
                <c:pt idx="114">
                  <c:v>8.0979999999999996E-2</c:v>
                </c:pt>
                <c:pt idx="115">
                  <c:v>7.9850000000000004E-2</c:v>
                </c:pt>
                <c:pt idx="116">
                  <c:v>8.3400000000000002E-2</c:v>
                </c:pt>
                <c:pt idx="117">
                  <c:v>8.4159999999999999E-2</c:v>
                </c:pt>
                <c:pt idx="118">
                  <c:v>8.3890000000000006E-2</c:v>
                </c:pt>
                <c:pt idx="119">
                  <c:v>7.6380000000000003E-2</c:v>
                </c:pt>
                <c:pt idx="120">
                  <c:v>7.3630000000000001E-2</c:v>
                </c:pt>
                <c:pt idx="121">
                  <c:v>7.4359999999999996E-2</c:v>
                </c:pt>
                <c:pt idx="122">
                  <c:v>7.664E-2</c:v>
                </c:pt>
                <c:pt idx="123">
                  <c:v>7.7189999999999995E-2</c:v>
                </c:pt>
                <c:pt idx="124">
                  <c:v>8.0869999999999997E-2</c:v>
                </c:pt>
                <c:pt idx="125">
                  <c:v>7.7429999999999999E-2</c:v>
                </c:pt>
                <c:pt idx="126">
                  <c:v>8.0829999999999999E-2</c:v>
                </c:pt>
                <c:pt idx="127">
                  <c:v>8.0530000000000004E-2</c:v>
                </c:pt>
                <c:pt idx="128">
                  <c:v>7.0959999999999995E-2</c:v>
                </c:pt>
                <c:pt idx="129">
                  <c:v>8.2229999999999998E-2</c:v>
                </c:pt>
                <c:pt idx="130">
                  <c:v>8.8150000000000006E-2</c:v>
                </c:pt>
                <c:pt idx="131">
                  <c:v>9.4479999999999995E-2</c:v>
                </c:pt>
                <c:pt idx="132">
                  <c:v>9.869E-2</c:v>
                </c:pt>
                <c:pt idx="133">
                  <c:v>8.8849999999999998E-2</c:v>
                </c:pt>
                <c:pt idx="134">
                  <c:v>8.3690000000000001E-2</c:v>
                </c:pt>
                <c:pt idx="135">
                  <c:v>8.1290000000000001E-2</c:v>
                </c:pt>
                <c:pt idx="136">
                  <c:v>7.8030000000000002E-2</c:v>
                </c:pt>
                <c:pt idx="137">
                  <c:v>8.2860000000000003E-2</c:v>
                </c:pt>
                <c:pt idx="138">
                  <c:v>8.3900000000000002E-2</c:v>
                </c:pt>
                <c:pt idx="139">
                  <c:v>8.4849999999999995E-2</c:v>
                </c:pt>
                <c:pt idx="140">
                  <c:v>9.0539999999999995E-2</c:v>
                </c:pt>
                <c:pt idx="141">
                  <c:v>8.616E-2</c:v>
                </c:pt>
                <c:pt idx="142">
                  <c:v>8.2140000000000005E-2</c:v>
                </c:pt>
                <c:pt idx="143">
                  <c:v>0.10516</c:v>
                </c:pt>
                <c:pt idx="144">
                  <c:v>0.10212</c:v>
                </c:pt>
                <c:pt idx="145">
                  <c:v>9.4270000000000007E-2</c:v>
                </c:pt>
                <c:pt idx="146">
                  <c:v>8.9609999999999995E-2</c:v>
                </c:pt>
                <c:pt idx="147">
                  <c:v>8.8109999999999994E-2</c:v>
                </c:pt>
                <c:pt idx="148">
                  <c:v>0.09</c:v>
                </c:pt>
                <c:pt idx="149">
                  <c:v>8.7059999999999998E-2</c:v>
                </c:pt>
                <c:pt idx="150">
                  <c:v>9.0050000000000005E-2</c:v>
                </c:pt>
                <c:pt idx="151">
                  <c:v>9.2460000000000001E-2</c:v>
                </c:pt>
                <c:pt idx="152">
                  <c:v>9.3780000000000002E-2</c:v>
                </c:pt>
                <c:pt idx="153">
                  <c:v>9.1069999999999998E-2</c:v>
                </c:pt>
                <c:pt idx="154">
                  <c:v>8.6620000000000003E-2</c:v>
                </c:pt>
                <c:pt idx="155">
                  <c:v>9.5979999999999996E-2</c:v>
                </c:pt>
                <c:pt idx="156">
                  <c:v>9.468E-2</c:v>
                </c:pt>
                <c:pt idx="157">
                  <c:v>9.8519999999999996E-2</c:v>
                </c:pt>
                <c:pt idx="158">
                  <c:v>9.1380000000000003E-2</c:v>
                </c:pt>
                <c:pt idx="159">
                  <c:v>9.1120000000000007E-2</c:v>
                </c:pt>
                <c:pt idx="160">
                  <c:v>9.6210000000000004E-2</c:v>
                </c:pt>
                <c:pt idx="161">
                  <c:v>9.2319999999999999E-2</c:v>
                </c:pt>
                <c:pt idx="162">
                  <c:v>8.6849999999999997E-2</c:v>
                </c:pt>
                <c:pt idx="163">
                  <c:v>8.8980000000000004E-2</c:v>
                </c:pt>
                <c:pt idx="164">
                  <c:v>9.7820000000000004E-2</c:v>
                </c:pt>
                <c:pt idx="165">
                  <c:v>9.4759999999999997E-2</c:v>
                </c:pt>
                <c:pt idx="166">
                  <c:v>9.715E-2</c:v>
                </c:pt>
                <c:pt idx="167">
                  <c:v>9.1579999999999995E-2</c:v>
                </c:pt>
                <c:pt idx="168">
                  <c:v>8.3269999999999997E-2</c:v>
                </c:pt>
                <c:pt idx="169">
                  <c:v>9.0389999999999998E-2</c:v>
                </c:pt>
                <c:pt idx="170">
                  <c:v>8.1500000000000003E-2</c:v>
                </c:pt>
                <c:pt idx="171">
                  <c:v>8.5690000000000002E-2</c:v>
                </c:pt>
                <c:pt idx="172">
                  <c:v>8.1240000000000007E-2</c:v>
                </c:pt>
                <c:pt idx="173">
                  <c:v>7.5870000000000007E-2</c:v>
                </c:pt>
                <c:pt idx="174">
                  <c:v>7.0360000000000006E-2</c:v>
                </c:pt>
                <c:pt idx="175">
                  <c:v>6.1219999999999997E-2</c:v>
                </c:pt>
                <c:pt idx="176">
                  <c:v>5.722E-2</c:v>
                </c:pt>
                <c:pt idx="177">
                  <c:v>5.5599999999999997E-2</c:v>
                </c:pt>
                <c:pt idx="178">
                  <c:v>5.645E-2</c:v>
                </c:pt>
                <c:pt idx="179">
                  <c:v>5.57E-2</c:v>
                </c:pt>
                <c:pt idx="180">
                  <c:v>5.833E-2</c:v>
                </c:pt>
                <c:pt idx="181">
                  <c:v>6.0339999999999998E-2</c:v>
                </c:pt>
                <c:pt idx="182">
                  <c:v>5.9630000000000002E-2</c:v>
                </c:pt>
                <c:pt idx="183">
                  <c:v>6.132E-2</c:v>
                </c:pt>
                <c:pt idx="184">
                  <c:v>6.089E-2</c:v>
                </c:pt>
                <c:pt idx="185">
                  <c:v>5.9290000000000002E-2</c:v>
                </c:pt>
                <c:pt idx="186">
                  <c:v>5.423E-2</c:v>
                </c:pt>
                <c:pt idx="187">
                  <c:v>5.4449999999999998E-2</c:v>
                </c:pt>
                <c:pt idx="188">
                  <c:v>5.4300000000000001E-2</c:v>
                </c:pt>
                <c:pt idx="189">
                  <c:v>5.0999999999999997E-2</c:v>
                </c:pt>
                <c:pt idx="190">
                  <c:v>5.0459999999999998E-2</c:v>
                </c:pt>
                <c:pt idx="191">
                  <c:v>4.512E-2</c:v>
                </c:pt>
                <c:pt idx="192">
                  <c:v>5.1180000000000003E-2</c:v>
                </c:pt>
                <c:pt idx="193">
                  <c:v>5.3659999999999999E-2</c:v>
                </c:pt>
                <c:pt idx="194">
                  <c:v>4.9779999999999998E-2</c:v>
                </c:pt>
                <c:pt idx="195">
                  <c:v>5.0209999999999998E-2</c:v>
                </c:pt>
                <c:pt idx="196">
                  <c:v>5.7230000000000003E-2</c:v>
                </c:pt>
                <c:pt idx="197">
                  <c:v>5.058E-2</c:v>
                </c:pt>
                <c:pt idx="198">
                  <c:v>4.684E-2</c:v>
                </c:pt>
                <c:pt idx="199">
                  <c:v>4.7750000000000001E-2</c:v>
                </c:pt>
                <c:pt idx="200">
                  <c:v>4.8349999999999997E-2</c:v>
                </c:pt>
                <c:pt idx="201">
                  <c:v>4.7390000000000002E-2</c:v>
                </c:pt>
                <c:pt idx="202">
                  <c:v>4.761E-2</c:v>
                </c:pt>
                <c:pt idx="203">
                  <c:v>4.6190000000000002E-2</c:v>
                </c:pt>
                <c:pt idx="204">
                  <c:v>5.2609999999999997E-2</c:v>
                </c:pt>
                <c:pt idx="205">
                  <c:v>4.8430000000000001E-2</c:v>
                </c:pt>
                <c:pt idx="206">
                  <c:v>4.7109999999999999E-2</c:v>
                </c:pt>
                <c:pt idx="207">
                  <c:v>5.0349999999999999E-2</c:v>
                </c:pt>
                <c:pt idx="208">
                  <c:v>4.7079999999999997E-2</c:v>
                </c:pt>
                <c:pt idx="209">
                  <c:v>4.7230000000000001E-2</c:v>
                </c:pt>
                <c:pt idx="210">
                  <c:v>4.7149999999999997E-2</c:v>
                </c:pt>
                <c:pt idx="211">
                  <c:v>5.1319999999999998E-2</c:v>
                </c:pt>
                <c:pt idx="212">
                  <c:v>5.185E-2</c:v>
                </c:pt>
                <c:pt idx="213">
                  <c:v>4.7660000000000001E-2</c:v>
                </c:pt>
                <c:pt idx="214">
                  <c:v>4.6989999999999997E-2</c:v>
                </c:pt>
                <c:pt idx="215">
                  <c:v>4.8750000000000002E-2</c:v>
                </c:pt>
                <c:pt idx="216">
                  <c:v>5.0380000000000001E-2</c:v>
                </c:pt>
                <c:pt idx="217">
                  <c:v>5.4379999999999998E-2</c:v>
                </c:pt>
                <c:pt idx="218">
                  <c:v>5.1279999999999999E-2</c:v>
                </c:pt>
                <c:pt idx="219">
                  <c:v>4.7669999999999997E-2</c:v>
                </c:pt>
                <c:pt idx="220">
                  <c:v>4.9689999999999998E-2</c:v>
                </c:pt>
                <c:pt idx="221">
                  <c:v>6.5740000000000007E-2</c:v>
                </c:pt>
                <c:pt idx="222">
                  <c:v>6.4320000000000002E-2</c:v>
                </c:pt>
                <c:pt idx="223">
                  <c:v>6.5240000000000006E-2</c:v>
                </c:pt>
                <c:pt idx="224">
                  <c:v>7.1910000000000002E-2</c:v>
                </c:pt>
                <c:pt idx="225">
                  <c:v>7.4319999999999997E-2</c:v>
                </c:pt>
                <c:pt idx="226">
                  <c:v>8.3769999999999997E-2</c:v>
                </c:pt>
                <c:pt idx="227">
                  <c:v>8.3949999999999997E-2</c:v>
                </c:pt>
                <c:pt idx="228">
                  <c:v>8.2720000000000002E-2</c:v>
                </c:pt>
                <c:pt idx="229">
                  <c:v>7.8539999999999999E-2</c:v>
                </c:pt>
                <c:pt idx="230">
                  <c:v>7.8E-2</c:v>
                </c:pt>
                <c:pt idx="231">
                  <c:v>9.2160000000000006E-2</c:v>
                </c:pt>
                <c:pt idx="232">
                  <c:v>0.10281</c:v>
                </c:pt>
                <c:pt idx="233">
                  <c:v>8.2210000000000005E-2</c:v>
                </c:pt>
                <c:pt idx="234">
                  <c:v>7.8549999999999995E-2</c:v>
                </c:pt>
                <c:pt idx="235">
                  <c:v>8.8260000000000005E-2</c:v>
                </c:pt>
                <c:pt idx="236">
                  <c:v>8.1269999999999995E-2</c:v>
                </c:pt>
                <c:pt idx="237">
                  <c:v>8.9590000000000003E-2</c:v>
                </c:pt>
                <c:pt idx="238">
                  <c:v>9.8549999999999999E-2</c:v>
                </c:pt>
                <c:pt idx="239">
                  <c:v>9.1630000000000003E-2</c:v>
                </c:pt>
                <c:pt idx="240">
                  <c:v>9.1120000000000007E-2</c:v>
                </c:pt>
                <c:pt idx="241">
                  <c:v>9.4549999999999995E-2</c:v>
                </c:pt>
                <c:pt idx="242">
                  <c:v>8.8900000000000007E-2</c:v>
                </c:pt>
                <c:pt idx="243">
                  <c:v>8.5569999999999993E-2</c:v>
                </c:pt>
                <c:pt idx="244">
                  <c:v>9.4420000000000004E-2</c:v>
                </c:pt>
                <c:pt idx="245">
                  <c:v>0.10356</c:v>
                </c:pt>
                <c:pt idx="246">
                  <c:v>0.10795</c:v>
                </c:pt>
                <c:pt idx="247">
                  <c:v>9.9559999999999996E-2</c:v>
                </c:pt>
                <c:pt idx="248">
                  <c:v>0.10283</c:v>
                </c:pt>
                <c:pt idx="249">
                  <c:v>8.3129999999999996E-2</c:v>
                </c:pt>
                <c:pt idx="250">
                  <c:v>0.10145999999999999</c:v>
                </c:pt>
                <c:pt idx="251">
                  <c:v>0.10700999999999999</c:v>
                </c:pt>
                <c:pt idx="252">
                  <c:v>0.13200000000000001</c:v>
                </c:pt>
                <c:pt idx="253">
                  <c:v>0.10016</c:v>
                </c:pt>
                <c:pt idx="254">
                  <c:v>0.15756000000000001</c:v>
                </c:pt>
                <c:pt idx="255">
                  <c:v>0.16037000000000001</c:v>
                </c:pt>
                <c:pt idx="256">
                  <c:v>0.18224000000000001</c:v>
                </c:pt>
                <c:pt idx="257">
                  <c:v>0.17968999999999999</c:v>
                </c:pt>
                <c:pt idx="258">
                  <c:v>0.17301</c:v>
                </c:pt>
                <c:pt idx="259">
                  <c:v>0.16303000000000001</c:v>
                </c:pt>
                <c:pt idx="260">
                  <c:v>0.15551000000000001</c:v>
                </c:pt>
                <c:pt idx="261">
                  <c:v>0.18073</c:v>
                </c:pt>
                <c:pt idx="262">
                  <c:v>0.17271</c:v>
                </c:pt>
                <c:pt idx="263">
                  <c:v>0.17466999999999999</c:v>
                </c:pt>
                <c:pt idx="264">
                  <c:v>0.18428</c:v>
                </c:pt>
                <c:pt idx="265">
                  <c:v>0.18054999999999999</c:v>
                </c:pt>
                <c:pt idx="266">
                  <c:v>0.17599999999999999</c:v>
                </c:pt>
                <c:pt idx="267">
                  <c:v>0.19139999999999999</c:v>
                </c:pt>
                <c:pt idx="268">
                  <c:v>0.17899999999999999</c:v>
                </c:pt>
                <c:pt idx="269">
                  <c:v>0.21722</c:v>
                </c:pt>
                <c:pt idx="270">
                  <c:v>0.22567999999999999</c:v>
                </c:pt>
                <c:pt idx="271">
                  <c:v>0.21626000000000001</c:v>
                </c:pt>
                <c:pt idx="272">
                  <c:v>0.22337000000000001</c:v>
                </c:pt>
                <c:pt idx="273">
                  <c:v>0.21809000000000001</c:v>
                </c:pt>
                <c:pt idx="274">
                  <c:v>0.16200999999999999</c:v>
                </c:pt>
                <c:pt idx="275">
                  <c:v>0.17219999999999999</c:v>
                </c:pt>
                <c:pt idx="276">
                  <c:v>0.15615000000000001</c:v>
                </c:pt>
                <c:pt idx="277">
                  <c:v>0.13189000000000001</c:v>
                </c:pt>
                <c:pt idx="278">
                  <c:v>0.12006</c:v>
                </c:pt>
                <c:pt idx="279">
                  <c:v>0.13305</c:v>
                </c:pt>
                <c:pt idx="280">
                  <c:v>0.14684</c:v>
                </c:pt>
                <c:pt idx="281">
                  <c:v>0.1769</c:v>
                </c:pt>
                <c:pt idx="282">
                  <c:v>0.16993</c:v>
                </c:pt>
                <c:pt idx="283">
                  <c:v>0.17618</c:v>
                </c:pt>
                <c:pt idx="284">
                  <c:v>0.18453</c:v>
                </c:pt>
                <c:pt idx="285">
                  <c:v>0.20821999999999999</c:v>
                </c:pt>
                <c:pt idx="286">
                  <c:v>0.20519999999999999</c:v>
                </c:pt>
                <c:pt idx="287">
                  <c:v>0.22123000000000001</c:v>
                </c:pt>
                <c:pt idx="288">
                  <c:v>0.21067</c:v>
                </c:pt>
                <c:pt idx="289">
                  <c:v>0.22450999999999999</c:v>
                </c:pt>
                <c:pt idx="290">
                  <c:v>0.22889999999999999</c:v>
                </c:pt>
                <c:pt idx="291">
                  <c:v>0.26057999999999998</c:v>
                </c:pt>
                <c:pt idx="292">
                  <c:v>0.27700000000000002</c:v>
                </c:pt>
                <c:pt idx="293">
                  <c:v>0.3261</c:v>
                </c:pt>
                <c:pt idx="294">
                  <c:v>0.25524999999999998</c:v>
                </c:pt>
                <c:pt idx="295">
                  <c:v>0.26250000000000001</c:v>
                </c:pt>
                <c:pt idx="296">
                  <c:v>0.22559000000000001</c:v>
                </c:pt>
                <c:pt idx="297">
                  <c:v>0.20266000000000001</c:v>
                </c:pt>
                <c:pt idx="298">
                  <c:v>0.19350000000000001</c:v>
                </c:pt>
                <c:pt idx="299">
                  <c:v>0.14301</c:v>
                </c:pt>
                <c:pt idx="300">
                  <c:v>0.15533</c:v>
                </c:pt>
                <c:pt idx="301">
                  <c:v>0.14527000000000001</c:v>
                </c:pt>
                <c:pt idx="302">
                  <c:v>0.15332999999999999</c:v>
                </c:pt>
                <c:pt idx="303">
                  <c:v>0.17235</c:v>
                </c:pt>
                <c:pt idx="304">
                  <c:v>0.14008999999999999</c:v>
                </c:pt>
                <c:pt idx="305">
                  <c:v>0.1232</c:v>
                </c:pt>
                <c:pt idx="306">
                  <c:v>0.12816</c:v>
                </c:pt>
                <c:pt idx="307">
                  <c:v>0.12031</c:v>
                </c:pt>
                <c:pt idx="308">
                  <c:v>0.11208</c:v>
                </c:pt>
                <c:pt idx="309">
                  <c:v>0.11809</c:v>
                </c:pt>
                <c:pt idx="310">
                  <c:v>0.14102000000000001</c:v>
                </c:pt>
                <c:pt idx="311">
                  <c:v>0.11805</c:v>
                </c:pt>
                <c:pt idx="312">
                  <c:v>0.10849</c:v>
                </c:pt>
                <c:pt idx="313">
                  <c:v>0.10571999999999999</c:v>
                </c:pt>
                <c:pt idx="314">
                  <c:v>0.1003</c:v>
                </c:pt>
                <c:pt idx="315">
                  <c:v>0.10166</c:v>
                </c:pt>
                <c:pt idx="316">
                  <c:v>0.10385999999999999</c:v>
                </c:pt>
                <c:pt idx="317">
                  <c:v>0.10997999999999999</c:v>
                </c:pt>
                <c:pt idx="318">
                  <c:v>0.13822000000000001</c:v>
                </c:pt>
                <c:pt idx="319">
                  <c:v>9.2030000000000001E-2</c:v>
                </c:pt>
                <c:pt idx="320">
                  <c:v>0.10397000000000001</c:v>
                </c:pt>
                <c:pt idx="321">
                  <c:v>0.10782</c:v>
                </c:pt>
                <c:pt idx="322">
                  <c:v>0.127</c:v>
                </c:pt>
                <c:pt idx="323">
                  <c:v>0.12551000000000001</c:v>
                </c:pt>
                <c:pt idx="324">
                  <c:v>6.1740000000000003E-2</c:v>
                </c:pt>
                <c:pt idx="325">
                  <c:v>4.0989999999999999E-2</c:v>
                </c:pt>
                <c:pt idx="326">
                  <c:v>3.7199999999999997E-2</c:v>
                </c:pt>
                <c:pt idx="327">
                  <c:v>3.6830000000000002E-2</c:v>
                </c:pt>
                <c:pt idx="328">
                  <c:v>3.4099999999999998E-2</c:v>
                </c:pt>
                <c:pt idx="329">
                  <c:v>3.2649999999999998E-2</c:v>
                </c:pt>
                <c:pt idx="330">
                  <c:v>3.3349999999999998E-2</c:v>
                </c:pt>
                <c:pt idx="331">
                  <c:v>3.2469999999999999E-2</c:v>
                </c:pt>
                <c:pt idx="332">
                  <c:v>3.2930000000000001E-2</c:v>
                </c:pt>
                <c:pt idx="333">
                  <c:v>2.861E-2</c:v>
                </c:pt>
                <c:pt idx="334">
                  <c:v>3.0689999999999999E-2</c:v>
                </c:pt>
                <c:pt idx="335">
                  <c:v>2.9829999999999999E-2</c:v>
                </c:pt>
                <c:pt idx="336">
                  <c:v>2.9860000000000001E-2</c:v>
                </c:pt>
                <c:pt idx="337">
                  <c:v>2.8899999999999999E-2</c:v>
                </c:pt>
                <c:pt idx="338">
                  <c:v>2.904E-2</c:v>
                </c:pt>
                <c:pt idx="339">
                  <c:v>3.5060000000000001E-2</c:v>
                </c:pt>
                <c:pt idx="340">
                  <c:v>3.9829999999999997E-2</c:v>
                </c:pt>
                <c:pt idx="341">
                  <c:v>3.6749999999999998E-2</c:v>
                </c:pt>
                <c:pt idx="342">
                  <c:v>3.9199999999999999E-2</c:v>
                </c:pt>
                <c:pt idx="343">
                  <c:v>3.9039999999999998E-2</c:v>
                </c:pt>
                <c:pt idx="344">
                  <c:v>3.6589999999999998E-2</c:v>
                </c:pt>
                <c:pt idx="345">
                  <c:v>3.4770000000000002E-2</c:v>
                </c:pt>
                <c:pt idx="346">
                  <c:v>3.4909999999999997E-2</c:v>
                </c:pt>
                <c:pt idx="347">
                  <c:v>3.7199999999999997E-2</c:v>
                </c:pt>
                <c:pt idx="348">
                  <c:v>3.8719999999999997E-2</c:v>
                </c:pt>
                <c:pt idx="349">
                  <c:v>3.6179999999999997E-2</c:v>
                </c:pt>
                <c:pt idx="350">
                  <c:v>3.397E-2</c:v>
                </c:pt>
                <c:pt idx="351">
                  <c:v>0.03</c:v>
                </c:pt>
                <c:pt idx="352">
                  <c:v>2.962E-2</c:v>
                </c:pt>
                <c:pt idx="353">
                  <c:v>3.0190000000000002E-2</c:v>
                </c:pt>
                <c:pt idx="354">
                  <c:v>2.5049999999999999E-2</c:v>
                </c:pt>
                <c:pt idx="355">
                  <c:v>2.6159999999999999E-2</c:v>
                </c:pt>
                <c:pt idx="356">
                  <c:v>2.9000000000000001E-2</c:v>
                </c:pt>
                <c:pt idx="357">
                  <c:v>2.3970000000000002E-2</c:v>
                </c:pt>
                <c:pt idx="358">
                  <c:v>2.537E-2</c:v>
                </c:pt>
                <c:pt idx="359">
                  <c:v>2.495E-2</c:v>
                </c:pt>
                <c:pt idx="360">
                  <c:v>2.308E-2</c:v>
                </c:pt>
                <c:pt idx="361">
                  <c:v>2.4119999999999999E-2</c:v>
                </c:pt>
                <c:pt idx="362">
                  <c:v>2.0279999999999999E-2</c:v>
                </c:pt>
                <c:pt idx="363">
                  <c:v>1.9279999999999999E-2</c:v>
                </c:pt>
                <c:pt idx="364">
                  <c:v>1.8790000000000001E-2</c:v>
                </c:pt>
                <c:pt idx="365">
                  <c:v>1.9089999999999999E-2</c:v>
                </c:pt>
                <c:pt idx="366">
                  <c:v>2.0930000000000001E-2</c:v>
                </c:pt>
                <c:pt idx="367">
                  <c:v>2.18E-2</c:v>
                </c:pt>
                <c:pt idx="368">
                  <c:v>2.291E-2</c:v>
                </c:pt>
                <c:pt idx="369">
                  <c:v>2.2870000000000001E-2</c:v>
                </c:pt>
                <c:pt idx="370">
                  <c:v>1.9970000000000002E-2</c:v>
                </c:pt>
                <c:pt idx="371">
                  <c:v>1.9050000000000001E-2</c:v>
                </c:pt>
                <c:pt idx="372">
                  <c:v>1.9179999999999999E-2</c:v>
                </c:pt>
                <c:pt idx="373">
                  <c:v>1.585E-2</c:v>
                </c:pt>
                <c:pt idx="374">
                  <c:v>1.5509999999999999E-2</c:v>
                </c:pt>
                <c:pt idx="375">
                  <c:v>1.486E-2</c:v>
                </c:pt>
                <c:pt idx="376">
                  <c:v>1.495E-2</c:v>
                </c:pt>
                <c:pt idx="377">
                  <c:v>1.4120000000000001E-2</c:v>
                </c:pt>
                <c:pt idx="378">
                  <c:v>1.4540000000000001E-2</c:v>
                </c:pt>
                <c:pt idx="379">
                  <c:v>1.426E-2</c:v>
                </c:pt>
                <c:pt idx="380">
                  <c:v>1.366E-2</c:v>
                </c:pt>
                <c:pt idx="381">
                  <c:v>1.388E-2</c:v>
                </c:pt>
                <c:pt idx="382">
                  <c:v>1.529E-2</c:v>
                </c:pt>
                <c:pt idx="383">
                  <c:v>1.601E-2</c:v>
                </c:pt>
                <c:pt idx="384">
                  <c:v>1.491E-2</c:v>
                </c:pt>
                <c:pt idx="385">
                  <c:v>1.5339999999999999E-2</c:v>
                </c:pt>
                <c:pt idx="386">
                  <c:v>1.5520000000000001E-2</c:v>
                </c:pt>
                <c:pt idx="387">
                  <c:v>1.3769999999999999E-2</c:v>
                </c:pt>
                <c:pt idx="388">
                  <c:v>1.3169999999999999E-2</c:v>
                </c:pt>
                <c:pt idx="389">
                  <c:v>1.3310000000000001E-2</c:v>
                </c:pt>
                <c:pt idx="390">
                  <c:v>1.302E-2</c:v>
                </c:pt>
                <c:pt idx="391">
                  <c:v>1.3469999999999999E-2</c:v>
                </c:pt>
                <c:pt idx="392">
                  <c:v>1.2880000000000001E-2</c:v>
                </c:pt>
                <c:pt idx="393">
                  <c:v>1.2710000000000001E-2</c:v>
                </c:pt>
                <c:pt idx="394">
                  <c:v>1.2919999999999999E-2</c:v>
                </c:pt>
                <c:pt idx="395">
                  <c:v>1.4500000000000001E-2</c:v>
                </c:pt>
                <c:pt idx="396">
                  <c:v>1.363E-2</c:v>
                </c:pt>
                <c:pt idx="397">
                  <c:v>1.4030000000000001E-2</c:v>
                </c:pt>
                <c:pt idx="398">
                  <c:v>1.3089999999999999E-2</c:v>
                </c:pt>
                <c:pt idx="399">
                  <c:v>1.281E-2</c:v>
                </c:pt>
                <c:pt idx="400">
                  <c:v>1.1950000000000001E-2</c:v>
                </c:pt>
                <c:pt idx="401">
                  <c:v>1.4880000000000001E-2</c:v>
                </c:pt>
                <c:pt idx="402">
                  <c:v>1.512E-2</c:v>
                </c:pt>
                <c:pt idx="403">
                  <c:v>1.5559999999999999E-2</c:v>
                </c:pt>
                <c:pt idx="404">
                  <c:v>1.491E-2</c:v>
                </c:pt>
                <c:pt idx="405">
                  <c:v>1.4370000000000001E-2</c:v>
                </c:pt>
                <c:pt idx="406">
                  <c:v>1.3950000000000001E-2</c:v>
                </c:pt>
                <c:pt idx="407">
                  <c:v>1.452E-2</c:v>
                </c:pt>
                <c:pt idx="408">
                  <c:v>1.375E-2</c:v>
                </c:pt>
                <c:pt idx="409">
                  <c:v>1.375E-2</c:v>
                </c:pt>
                <c:pt idx="410">
                  <c:v>1.392E-2</c:v>
                </c:pt>
                <c:pt idx="411">
                  <c:v>1.4080000000000001E-2</c:v>
                </c:pt>
                <c:pt idx="412">
                  <c:v>1.346E-2</c:v>
                </c:pt>
                <c:pt idx="413">
                  <c:v>1.4160000000000001E-2</c:v>
                </c:pt>
                <c:pt idx="414">
                  <c:v>1.4619999999999999E-2</c:v>
                </c:pt>
                <c:pt idx="415">
                  <c:v>1.4189999999999999E-2</c:v>
                </c:pt>
                <c:pt idx="416">
                  <c:v>1.549E-2</c:v>
                </c:pt>
                <c:pt idx="417">
                  <c:v>1.5339999999999999E-2</c:v>
                </c:pt>
                <c:pt idx="418">
                  <c:v>1.5679999999999999E-2</c:v>
                </c:pt>
                <c:pt idx="419">
                  <c:v>1.5270000000000001E-2</c:v>
                </c:pt>
                <c:pt idx="420">
                  <c:v>1.652E-2</c:v>
                </c:pt>
                <c:pt idx="421">
                  <c:v>1.6209999999999999E-2</c:v>
                </c:pt>
                <c:pt idx="422">
                  <c:v>1.5689999999999999E-2</c:v>
                </c:pt>
                <c:pt idx="423">
                  <c:v>1.6240000000000001E-2</c:v>
                </c:pt>
                <c:pt idx="424">
                  <c:v>1.5939999999999999E-2</c:v>
                </c:pt>
                <c:pt idx="425">
                  <c:v>1.5970000000000002E-2</c:v>
                </c:pt>
                <c:pt idx="426">
                  <c:v>1.5879999999999998E-2</c:v>
                </c:pt>
                <c:pt idx="427">
                  <c:v>1.5689999999999999E-2</c:v>
                </c:pt>
                <c:pt idx="428">
                  <c:v>1.729E-2</c:v>
                </c:pt>
                <c:pt idx="429">
                  <c:v>1.7229999999999999E-2</c:v>
                </c:pt>
                <c:pt idx="430">
                  <c:v>1.7069999999999998E-2</c:v>
                </c:pt>
                <c:pt idx="431">
                  <c:v>1.6490000000000001E-2</c:v>
                </c:pt>
                <c:pt idx="432">
                  <c:v>1.7330000000000002E-2</c:v>
                </c:pt>
                <c:pt idx="433">
                  <c:v>1.5810000000000001E-2</c:v>
                </c:pt>
                <c:pt idx="434">
                  <c:v>1.5990000000000001E-2</c:v>
                </c:pt>
                <c:pt idx="435">
                  <c:v>1.6279999999999999E-2</c:v>
                </c:pt>
                <c:pt idx="436">
                  <c:v>1.703E-2</c:v>
                </c:pt>
                <c:pt idx="437">
                  <c:v>1.6459999999999999E-2</c:v>
                </c:pt>
                <c:pt idx="438">
                  <c:v>1.6549999999999999E-2</c:v>
                </c:pt>
                <c:pt idx="439">
                  <c:v>1.6709999999999999E-2</c:v>
                </c:pt>
                <c:pt idx="440">
                  <c:v>1.7069999999999998E-2</c:v>
                </c:pt>
                <c:pt idx="441">
                  <c:v>1.6369999999999999E-2</c:v>
                </c:pt>
                <c:pt idx="442">
                  <c:v>1.78E-2</c:v>
                </c:pt>
                <c:pt idx="443">
                  <c:v>1.8089999999999998E-2</c:v>
                </c:pt>
                <c:pt idx="444">
                  <c:v>1.6570000000000001E-2</c:v>
                </c:pt>
                <c:pt idx="445">
                  <c:v>1.6840000000000001E-2</c:v>
                </c:pt>
                <c:pt idx="446">
                  <c:v>1.6230000000000001E-2</c:v>
                </c:pt>
                <c:pt idx="447">
                  <c:v>1.754E-2</c:v>
                </c:pt>
                <c:pt idx="448">
                  <c:v>1.6389999999999998E-2</c:v>
                </c:pt>
                <c:pt idx="449">
                  <c:v>1.601E-2</c:v>
                </c:pt>
                <c:pt idx="450">
                  <c:v>1.619E-2</c:v>
                </c:pt>
                <c:pt idx="451">
                  <c:v>1.593E-2</c:v>
                </c:pt>
                <c:pt idx="452">
                  <c:v>1.653E-2</c:v>
                </c:pt>
                <c:pt idx="453">
                  <c:v>1.6039999999999999E-2</c:v>
                </c:pt>
                <c:pt idx="454">
                  <c:v>1.5559999999999999E-2</c:v>
                </c:pt>
                <c:pt idx="455">
                  <c:v>1.541E-2</c:v>
                </c:pt>
                <c:pt idx="456">
                  <c:v>1.6109999999999999E-2</c:v>
                </c:pt>
                <c:pt idx="457">
                  <c:v>1.6619999999999999E-2</c:v>
                </c:pt>
                <c:pt idx="458">
                  <c:v>1.661E-2</c:v>
                </c:pt>
                <c:pt idx="459">
                  <c:v>1.6990000000000002E-2</c:v>
                </c:pt>
                <c:pt idx="460">
                  <c:v>1.7340000000000001E-2</c:v>
                </c:pt>
                <c:pt idx="461">
                  <c:v>1.7610000000000001E-2</c:v>
                </c:pt>
                <c:pt idx="462">
                  <c:v>1.7500000000000002E-2</c:v>
                </c:pt>
                <c:pt idx="463">
                  <c:v>1.7309999999999999E-2</c:v>
                </c:pt>
                <c:pt idx="464">
                  <c:v>1.7219999999999999E-2</c:v>
                </c:pt>
                <c:pt idx="465">
                  <c:v>1.7350000000000001E-2</c:v>
                </c:pt>
                <c:pt idx="466">
                  <c:v>1.7330000000000002E-2</c:v>
                </c:pt>
                <c:pt idx="467">
                  <c:v>1.6760000000000001E-2</c:v>
                </c:pt>
                <c:pt idx="468">
                  <c:v>1.6979999999999999E-2</c:v>
                </c:pt>
                <c:pt idx="469">
                  <c:v>1.7299999999999999E-2</c:v>
                </c:pt>
                <c:pt idx="470">
                  <c:v>1.7160000000000002E-2</c:v>
                </c:pt>
                <c:pt idx="471">
                  <c:v>1.7690000000000001E-2</c:v>
                </c:pt>
                <c:pt idx="472">
                  <c:v>1.7749999999999998E-2</c:v>
                </c:pt>
                <c:pt idx="473">
                  <c:v>1.7000000000000001E-2</c:v>
                </c:pt>
                <c:pt idx="474">
                  <c:v>1.6709999999999999E-2</c:v>
                </c:pt>
                <c:pt idx="475">
                  <c:v>1.7219999999999999E-2</c:v>
                </c:pt>
                <c:pt idx="476">
                  <c:v>1.7160000000000002E-2</c:v>
                </c:pt>
                <c:pt idx="477">
                  <c:v>1.5570000000000001E-2</c:v>
                </c:pt>
                <c:pt idx="478">
                  <c:v>1.5310000000000001E-2</c:v>
                </c:pt>
                <c:pt idx="479">
                  <c:v>1.644E-2</c:v>
                </c:pt>
                <c:pt idx="480">
                  <c:v>1.6240000000000001E-2</c:v>
                </c:pt>
                <c:pt idx="481">
                  <c:v>1.5900000000000001E-2</c:v>
                </c:pt>
                <c:pt idx="482">
                  <c:v>1.6119999999999999E-2</c:v>
                </c:pt>
                <c:pt idx="483">
                  <c:v>1.6789999999999999E-2</c:v>
                </c:pt>
                <c:pt idx="484">
                  <c:v>1.754E-2</c:v>
                </c:pt>
                <c:pt idx="485">
                  <c:v>1.7409999999999998E-2</c:v>
                </c:pt>
                <c:pt idx="486">
                  <c:v>1.7229999999999999E-2</c:v>
                </c:pt>
                <c:pt idx="487">
                  <c:v>1.788E-2</c:v>
                </c:pt>
                <c:pt idx="488">
                  <c:v>1.8100000000000002E-2</c:v>
                </c:pt>
                <c:pt idx="489">
                  <c:v>1.7100000000000001E-2</c:v>
                </c:pt>
                <c:pt idx="490">
                  <c:v>1.694E-2</c:v>
                </c:pt>
                <c:pt idx="491">
                  <c:v>1.5570000000000001E-2</c:v>
                </c:pt>
                <c:pt idx="492">
                  <c:v>1.7139999999999999E-2</c:v>
                </c:pt>
                <c:pt idx="493">
                  <c:v>1.6459999999999999E-2</c:v>
                </c:pt>
                <c:pt idx="494">
                  <c:v>1.934E-2</c:v>
                </c:pt>
                <c:pt idx="495">
                  <c:v>1.7600000000000001E-2</c:v>
                </c:pt>
                <c:pt idx="496">
                  <c:v>1.738E-2</c:v>
                </c:pt>
                <c:pt idx="497">
                  <c:v>1.8249999999999999E-2</c:v>
                </c:pt>
                <c:pt idx="498">
                  <c:v>1.78E-2</c:v>
                </c:pt>
                <c:pt idx="499">
                  <c:v>1.8519999999999998E-2</c:v>
                </c:pt>
                <c:pt idx="500">
                  <c:v>1.9480000000000001E-2</c:v>
                </c:pt>
                <c:pt idx="501">
                  <c:v>2.0119999999999999E-2</c:v>
                </c:pt>
                <c:pt idx="502">
                  <c:v>2.087E-2</c:v>
                </c:pt>
                <c:pt idx="503">
                  <c:v>2.0639999999999999E-2</c:v>
                </c:pt>
                <c:pt idx="504">
                  <c:v>2.026E-2</c:v>
                </c:pt>
                <c:pt idx="505">
                  <c:v>2.06E-2</c:v>
                </c:pt>
                <c:pt idx="506">
                  <c:v>1.831E-2</c:v>
                </c:pt>
                <c:pt idx="507">
                  <c:v>1.8790000000000001E-2</c:v>
                </c:pt>
                <c:pt idx="508">
                  <c:v>1.8460000000000001E-2</c:v>
                </c:pt>
                <c:pt idx="509">
                  <c:v>1.7180000000000001E-2</c:v>
                </c:pt>
                <c:pt idx="510">
                  <c:v>1.9730000000000001E-2</c:v>
                </c:pt>
                <c:pt idx="511">
                  <c:v>1.8700000000000001E-2</c:v>
                </c:pt>
                <c:pt idx="512">
                  <c:v>2.598E-2</c:v>
                </c:pt>
                <c:pt idx="513">
                  <c:v>2.7730000000000001E-2</c:v>
                </c:pt>
                <c:pt idx="514">
                  <c:v>3.1289999999999998E-2</c:v>
                </c:pt>
                <c:pt idx="515">
                  <c:v>3.1559999999999998E-2</c:v>
                </c:pt>
                <c:pt idx="516">
                  <c:v>2.9790000000000001E-2</c:v>
                </c:pt>
                <c:pt idx="517">
                  <c:v>2.9749999999999999E-2</c:v>
                </c:pt>
                <c:pt idx="518">
                  <c:v>2.7959999999999999E-2</c:v>
                </c:pt>
                <c:pt idx="519">
                  <c:v>2.8969999999999999E-2</c:v>
                </c:pt>
                <c:pt idx="520">
                  <c:v>2.8649999999999998E-2</c:v>
                </c:pt>
                <c:pt idx="521">
                  <c:v>3.1669999999999997E-2</c:v>
                </c:pt>
                <c:pt idx="522">
                  <c:v>3.091E-2</c:v>
                </c:pt>
                <c:pt idx="523">
                  <c:v>3.2030000000000003E-2</c:v>
                </c:pt>
                <c:pt idx="524">
                  <c:v>3.014E-2</c:v>
                </c:pt>
                <c:pt idx="525">
                  <c:v>3.1109999999999999E-2</c:v>
                </c:pt>
                <c:pt idx="526">
                  <c:v>3.0339999999999999E-2</c:v>
                </c:pt>
                <c:pt idx="527">
                  <c:v>3.2989999999999998E-2</c:v>
                </c:pt>
                <c:pt idx="528">
                  <c:v>3.2289999999999999E-2</c:v>
                </c:pt>
                <c:pt idx="529">
                  <c:v>3.2969999999999999E-2</c:v>
                </c:pt>
                <c:pt idx="530">
                  <c:v>3.2169999999999997E-2</c:v>
                </c:pt>
                <c:pt idx="531">
                  <c:v>3.2759999999999997E-2</c:v>
                </c:pt>
                <c:pt idx="532">
                  <c:v>3.3140000000000003E-2</c:v>
                </c:pt>
                <c:pt idx="533">
                  <c:v>3.4360000000000002E-2</c:v>
                </c:pt>
                <c:pt idx="534">
                  <c:v>3.3779999999999998E-2</c:v>
                </c:pt>
                <c:pt idx="535">
                  <c:v>3.456E-2</c:v>
                </c:pt>
                <c:pt idx="536">
                  <c:v>3.492E-2</c:v>
                </c:pt>
                <c:pt idx="537">
                  <c:v>3.6580000000000001E-2</c:v>
                </c:pt>
                <c:pt idx="538">
                  <c:v>3.0620000000000001E-2</c:v>
                </c:pt>
                <c:pt idx="539">
                  <c:v>3.0439999999999998E-2</c:v>
                </c:pt>
                <c:pt idx="540">
                  <c:v>2.52E-2</c:v>
                </c:pt>
                <c:pt idx="541">
                  <c:v>2.6370000000000001E-2</c:v>
                </c:pt>
                <c:pt idx="542">
                  <c:v>2.3140000000000001E-2</c:v>
                </c:pt>
                <c:pt idx="543">
                  <c:v>2.358E-2</c:v>
                </c:pt>
                <c:pt idx="544">
                  <c:v>2.367E-2</c:v>
                </c:pt>
                <c:pt idx="545">
                  <c:v>2.3630000000000002E-2</c:v>
                </c:pt>
                <c:pt idx="546">
                  <c:v>2.5659999999999999E-2</c:v>
                </c:pt>
                <c:pt idx="547">
                  <c:v>2.3939999999999999E-2</c:v>
                </c:pt>
                <c:pt idx="548">
                  <c:v>2.4150000000000001E-2</c:v>
                </c:pt>
                <c:pt idx="549">
                  <c:v>2.342E-2</c:v>
                </c:pt>
                <c:pt idx="550">
                  <c:v>2.5329999999999998E-2</c:v>
                </c:pt>
                <c:pt idx="551">
                  <c:v>2.2079999999999999E-2</c:v>
                </c:pt>
                <c:pt idx="552">
                  <c:v>1.975E-2</c:v>
                </c:pt>
                <c:pt idx="553">
                  <c:v>1.7399999999999999E-2</c:v>
                </c:pt>
                <c:pt idx="554">
                  <c:v>1.7909999999999999E-2</c:v>
                </c:pt>
                <c:pt idx="555">
                  <c:v>1.6400000000000001E-2</c:v>
                </c:pt>
                <c:pt idx="556">
                  <c:v>1.521E-2</c:v>
                </c:pt>
                <c:pt idx="557">
                  <c:v>1.485E-2</c:v>
                </c:pt>
                <c:pt idx="558">
                  <c:v>1.469E-2</c:v>
                </c:pt>
                <c:pt idx="559">
                  <c:v>1.421E-2</c:v>
                </c:pt>
                <c:pt idx="560">
                  <c:v>1.421E-2</c:v>
                </c:pt>
                <c:pt idx="561">
                  <c:v>1.4670000000000001E-2</c:v>
                </c:pt>
                <c:pt idx="562">
                  <c:v>1.495E-2</c:v>
                </c:pt>
                <c:pt idx="563">
                  <c:v>1.506E-2</c:v>
                </c:pt>
                <c:pt idx="564">
                  <c:v>1.5910000000000001E-2</c:v>
                </c:pt>
                <c:pt idx="565">
                  <c:v>1.5900000000000001E-2</c:v>
                </c:pt>
                <c:pt idx="566">
                  <c:v>1.5299999999999999E-2</c:v>
                </c:pt>
                <c:pt idx="567">
                  <c:v>1.519E-2</c:v>
                </c:pt>
                <c:pt idx="568">
                  <c:v>1.576E-2</c:v>
                </c:pt>
                <c:pt idx="569">
                  <c:v>1.489E-2</c:v>
                </c:pt>
                <c:pt idx="570">
                  <c:v>1.5129999999999999E-2</c:v>
                </c:pt>
                <c:pt idx="571">
                  <c:v>1.4460000000000001E-2</c:v>
                </c:pt>
                <c:pt idx="572">
                  <c:v>1.4749999999999999E-2</c:v>
                </c:pt>
                <c:pt idx="573">
                  <c:v>1.474E-2</c:v>
                </c:pt>
                <c:pt idx="574">
                  <c:v>1.46E-2</c:v>
                </c:pt>
                <c:pt idx="575">
                  <c:v>1.421E-2</c:v>
                </c:pt>
                <c:pt idx="576">
                  <c:v>1.447E-2</c:v>
                </c:pt>
                <c:pt idx="577">
                  <c:v>1.4760000000000001E-2</c:v>
                </c:pt>
                <c:pt idx="578">
                  <c:v>1.452E-2</c:v>
                </c:pt>
                <c:pt idx="579">
                  <c:v>1.43E-2</c:v>
                </c:pt>
                <c:pt idx="580">
                  <c:v>1.6250000000000001E-2</c:v>
                </c:pt>
                <c:pt idx="581">
                  <c:v>1.7250000000000001E-2</c:v>
                </c:pt>
                <c:pt idx="582">
                  <c:v>1.6889999999999999E-2</c:v>
                </c:pt>
                <c:pt idx="583">
                  <c:v>1.7409999999999998E-2</c:v>
                </c:pt>
                <c:pt idx="584">
                  <c:v>1.685E-2</c:v>
                </c:pt>
                <c:pt idx="585">
                  <c:v>1.7330000000000002E-2</c:v>
                </c:pt>
                <c:pt idx="586">
                  <c:v>1.7100000000000001E-2</c:v>
                </c:pt>
                <c:pt idx="587">
                  <c:v>1.755E-2</c:v>
                </c:pt>
                <c:pt idx="588">
                  <c:v>1.7330000000000002E-2</c:v>
                </c:pt>
                <c:pt idx="589">
                  <c:v>1.634E-2</c:v>
                </c:pt>
                <c:pt idx="590">
                  <c:v>1.5769999999999999E-2</c:v>
                </c:pt>
                <c:pt idx="591">
                  <c:v>1.5789999999999998E-2</c:v>
                </c:pt>
                <c:pt idx="592">
                  <c:v>1.6160000000000001E-2</c:v>
                </c:pt>
                <c:pt idx="593">
                  <c:v>1.6150000000000001E-2</c:v>
                </c:pt>
                <c:pt idx="594">
                  <c:v>1.5789999999999998E-2</c:v>
                </c:pt>
                <c:pt idx="595">
                  <c:v>1.4330000000000001E-2</c:v>
                </c:pt>
                <c:pt idx="596">
                  <c:v>1.5679999999999999E-2</c:v>
                </c:pt>
                <c:pt idx="597">
                  <c:v>1.524E-2</c:v>
                </c:pt>
                <c:pt idx="598">
                  <c:v>1.5350000000000001E-2</c:v>
                </c:pt>
                <c:pt idx="599">
                  <c:v>1.47E-2</c:v>
                </c:pt>
                <c:pt idx="600">
                  <c:v>1.4760000000000001E-2</c:v>
                </c:pt>
                <c:pt idx="601">
                  <c:v>1.444E-2</c:v>
                </c:pt>
                <c:pt idx="602">
                  <c:v>1.413E-2</c:v>
                </c:pt>
                <c:pt idx="603">
                  <c:v>1.349E-2</c:v>
                </c:pt>
                <c:pt idx="604">
                  <c:v>1.3429999999999999E-2</c:v>
                </c:pt>
                <c:pt idx="605">
                  <c:v>1.3939999999999999E-2</c:v>
                </c:pt>
                <c:pt idx="606">
                  <c:v>1.3350000000000001E-2</c:v>
                </c:pt>
                <c:pt idx="607">
                  <c:v>1.3610000000000001E-2</c:v>
                </c:pt>
                <c:pt idx="608">
                  <c:v>1.338E-2</c:v>
                </c:pt>
                <c:pt idx="609">
                  <c:v>1.3259999999999999E-2</c:v>
                </c:pt>
                <c:pt idx="610">
                  <c:v>1.2970000000000001E-2</c:v>
                </c:pt>
                <c:pt idx="611">
                  <c:v>1.421E-2</c:v>
                </c:pt>
                <c:pt idx="612">
                  <c:v>1.38E-2</c:v>
                </c:pt>
                <c:pt idx="613">
                  <c:v>1.316E-2</c:v>
                </c:pt>
                <c:pt idx="614">
                  <c:v>1.2840000000000001E-2</c:v>
                </c:pt>
                <c:pt idx="615">
                  <c:v>1.303E-2</c:v>
                </c:pt>
                <c:pt idx="616">
                  <c:v>1.311E-2</c:v>
                </c:pt>
                <c:pt idx="617">
                  <c:v>1.3129999999999999E-2</c:v>
                </c:pt>
                <c:pt idx="618">
                  <c:v>1.2970000000000001E-2</c:v>
                </c:pt>
                <c:pt idx="619">
                  <c:v>1.234E-2</c:v>
                </c:pt>
                <c:pt idx="620">
                  <c:v>1.1900000000000001E-2</c:v>
                </c:pt>
                <c:pt idx="621">
                  <c:v>1.2E-2</c:v>
                </c:pt>
                <c:pt idx="622">
                  <c:v>1.137E-2</c:v>
                </c:pt>
                <c:pt idx="623">
                  <c:v>1.1690000000000001E-2</c:v>
                </c:pt>
                <c:pt idx="624">
                  <c:v>1.179E-2</c:v>
                </c:pt>
                <c:pt idx="625">
                  <c:v>1.176E-2</c:v>
                </c:pt>
                <c:pt idx="626">
                  <c:v>1.103E-2</c:v>
                </c:pt>
                <c:pt idx="627">
                  <c:v>1.1129999999999999E-2</c:v>
                </c:pt>
                <c:pt idx="628">
                  <c:v>1.167E-2</c:v>
                </c:pt>
                <c:pt idx="629">
                  <c:v>1.1809999999999999E-2</c:v>
                </c:pt>
                <c:pt idx="630">
                  <c:v>1.1610000000000001E-2</c:v>
                </c:pt>
                <c:pt idx="631">
                  <c:v>1.174E-2</c:v>
                </c:pt>
                <c:pt idx="632">
                  <c:v>1.1950000000000001E-2</c:v>
                </c:pt>
                <c:pt idx="633">
                  <c:v>1.205E-2</c:v>
                </c:pt>
                <c:pt idx="634">
                  <c:v>1.187E-2</c:v>
                </c:pt>
                <c:pt idx="635">
                  <c:v>1.217E-2</c:v>
                </c:pt>
                <c:pt idx="636">
                  <c:v>1.201E-2</c:v>
                </c:pt>
                <c:pt idx="637">
                  <c:v>1.1480000000000001E-2</c:v>
                </c:pt>
                <c:pt idx="638">
                  <c:v>1.192E-2</c:v>
                </c:pt>
                <c:pt idx="639">
                  <c:v>1.157E-2</c:v>
                </c:pt>
                <c:pt idx="640">
                  <c:v>1.158E-2</c:v>
                </c:pt>
                <c:pt idx="641">
                  <c:v>1.1560000000000001E-2</c:v>
                </c:pt>
                <c:pt idx="642">
                  <c:v>1.167E-2</c:v>
                </c:pt>
                <c:pt idx="643">
                  <c:v>1.125E-2</c:v>
                </c:pt>
                <c:pt idx="644">
                  <c:v>1.125E-2</c:v>
                </c:pt>
                <c:pt idx="645">
                  <c:v>1.078E-2</c:v>
                </c:pt>
                <c:pt idx="646">
                  <c:v>1.0370000000000001E-2</c:v>
                </c:pt>
                <c:pt idx="647">
                  <c:v>1.017E-2</c:v>
                </c:pt>
                <c:pt idx="648">
                  <c:v>1.061E-2</c:v>
                </c:pt>
                <c:pt idx="649">
                  <c:v>1.076E-2</c:v>
                </c:pt>
                <c:pt idx="650">
                  <c:v>1.0630000000000001E-2</c:v>
                </c:pt>
                <c:pt idx="651">
                  <c:v>1.0279999999999999E-2</c:v>
                </c:pt>
                <c:pt idx="652">
                  <c:v>9.5999999999999992E-3</c:v>
                </c:pt>
                <c:pt idx="653">
                  <c:v>1.005E-2</c:v>
                </c:pt>
                <c:pt idx="654">
                  <c:v>1.06E-2</c:v>
                </c:pt>
                <c:pt idx="655">
                  <c:v>1.035E-2</c:v>
                </c:pt>
                <c:pt idx="656">
                  <c:v>1.0359999999999999E-2</c:v>
                </c:pt>
                <c:pt idx="657">
                  <c:v>9.9699999999999997E-3</c:v>
                </c:pt>
                <c:pt idx="658">
                  <c:v>1.1169999999999999E-2</c:v>
                </c:pt>
                <c:pt idx="659">
                  <c:v>1.086E-2</c:v>
                </c:pt>
                <c:pt idx="660">
                  <c:v>1.057E-2</c:v>
                </c:pt>
                <c:pt idx="661">
                  <c:v>1.085E-2</c:v>
                </c:pt>
                <c:pt idx="662">
                  <c:v>9.7800000000000005E-3</c:v>
                </c:pt>
                <c:pt idx="663">
                  <c:v>9.9000000000000008E-3</c:v>
                </c:pt>
                <c:pt idx="664">
                  <c:v>9.3600000000000003E-3</c:v>
                </c:pt>
                <c:pt idx="665">
                  <c:v>9.4900000000000002E-3</c:v>
                </c:pt>
                <c:pt idx="666">
                  <c:v>9.2200000000000008E-3</c:v>
                </c:pt>
                <c:pt idx="667">
                  <c:v>8.9899999999999997E-3</c:v>
                </c:pt>
                <c:pt idx="668">
                  <c:v>8.8500000000000002E-3</c:v>
                </c:pt>
                <c:pt idx="669">
                  <c:v>8.2199999999999999E-3</c:v>
                </c:pt>
                <c:pt idx="670">
                  <c:v>9.1999999999999998E-3</c:v>
                </c:pt>
                <c:pt idx="671">
                  <c:v>8.9999999999999993E-3</c:v>
                </c:pt>
                <c:pt idx="672">
                  <c:v>9.6299999999999997E-3</c:v>
                </c:pt>
                <c:pt idx="673">
                  <c:v>9.3900000000000008E-3</c:v>
                </c:pt>
                <c:pt idx="674">
                  <c:v>9.75E-3</c:v>
                </c:pt>
                <c:pt idx="675">
                  <c:v>1.051E-2</c:v>
                </c:pt>
                <c:pt idx="676">
                  <c:v>8.0099999999999998E-3</c:v>
                </c:pt>
                <c:pt idx="677">
                  <c:v>8.8999999999999999E-3</c:v>
                </c:pt>
                <c:pt idx="678">
                  <c:v>9.7800000000000005E-3</c:v>
                </c:pt>
                <c:pt idx="679">
                  <c:v>8.2199999999999999E-3</c:v>
                </c:pt>
                <c:pt idx="680">
                  <c:v>6.7200000000000003E-3</c:v>
                </c:pt>
                <c:pt idx="681">
                  <c:v>6.7499999999999999E-3</c:v>
                </c:pt>
                <c:pt idx="682">
                  <c:v>6.5300000000000002E-3</c:v>
                </c:pt>
                <c:pt idx="683">
                  <c:v>7.3499999999999998E-3</c:v>
                </c:pt>
                <c:pt idx="684">
                  <c:v>7.9000000000000008E-3</c:v>
                </c:pt>
                <c:pt idx="685">
                  <c:v>7.7099999999999998E-3</c:v>
                </c:pt>
                <c:pt idx="686">
                  <c:v>6.5300000000000002E-3</c:v>
                </c:pt>
                <c:pt idx="687">
                  <c:v>1.323E-2</c:v>
                </c:pt>
                <c:pt idx="688">
                  <c:v>1.3169999999999999E-2</c:v>
                </c:pt>
                <c:pt idx="689">
                  <c:v>1.337E-2</c:v>
                </c:pt>
                <c:pt idx="690">
                  <c:v>1.4239999999999999E-2</c:v>
                </c:pt>
                <c:pt idx="691">
                  <c:v>1.6570000000000001E-2</c:v>
                </c:pt>
                <c:pt idx="692">
                  <c:v>1.7850000000000001E-2</c:v>
                </c:pt>
                <c:pt idx="693">
                  <c:v>1.6449999999999999E-2</c:v>
                </c:pt>
                <c:pt idx="694">
                  <c:v>1.55E-2</c:v>
                </c:pt>
                <c:pt idx="695">
                  <c:v>1.504E-2</c:v>
                </c:pt>
                <c:pt idx="696">
                  <c:v>1.5299999999999999E-2</c:v>
                </c:pt>
                <c:pt idx="697">
                  <c:v>1.448E-2</c:v>
                </c:pt>
                <c:pt idx="698">
                  <c:v>1.448E-2</c:v>
                </c:pt>
                <c:pt idx="699">
                  <c:v>1.5140000000000001E-2</c:v>
                </c:pt>
                <c:pt idx="700">
                  <c:v>1.3860000000000001E-2</c:v>
                </c:pt>
                <c:pt idx="701">
                  <c:v>1.389E-2</c:v>
                </c:pt>
                <c:pt idx="702">
                  <c:v>1.5469999999999999E-2</c:v>
                </c:pt>
                <c:pt idx="703">
                  <c:v>1.6490000000000001E-2</c:v>
                </c:pt>
                <c:pt idx="704">
                  <c:v>1.678E-2</c:v>
                </c:pt>
                <c:pt idx="705">
                  <c:v>1.6930000000000001E-2</c:v>
                </c:pt>
                <c:pt idx="706">
                  <c:v>1.5570000000000001E-2</c:v>
                </c:pt>
                <c:pt idx="707">
                  <c:v>1.554E-2</c:v>
                </c:pt>
                <c:pt idx="708">
                  <c:v>1.6109999999999999E-2</c:v>
                </c:pt>
                <c:pt idx="709">
                  <c:v>1.7239999999999998E-2</c:v>
                </c:pt>
                <c:pt idx="710">
                  <c:v>1.6930000000000001E-2</c:v>
                </c:pt>
                <c:pt idx="711">
                  <c:v>1.729E-2</c:v>
                </c:pt>
                <c:pt idx="712">
                  <c:v>1.745E-2</c:v>
                </c:pt>
                <c:pt idx="713">
                  <c:v>1.9900000000000001E-2</c:v>
                </c:pt>
                <c:pt idx="714">
                  <c:v>1.9560000000000001E-2</c:v>
                </c:pt>
                <c:pt idx="715">
                  <c:v>2.3900000000000001E-2</c:v>
                </c:pt>
                <c:pt idx="716">
                  <c:v>1.6590000000000001E-2</c:v>
                </c:pt>
                <c:pt idx="717">
                  <c:v>1.6119999999999999E-2</c:v>
                </c:pt>
                <c:pt idx="718">
                  <c:v>1.619E-2</c:v>
                </c:pt>
                <c:pt idx="719">
                  <c:v>1.532E-2</c:v>
                </c:pt>
                <c:pt idx="720">
                  <c:v>1.5879999999999998E-2</c:v>
                </c:pt>
                <c:pt idx="721">
                  <c:v>1.507E-2</c:v>
                </c:pt>
                <c:pt idx="722">
                  <c:v>1.3100000000000001E-2</c:v>
                </c:pt>
                <c:pt idx="723">
                  <c:v>1.3169999999999999E-2</c:v>
                </c:pt>
                <c:pt idx="724">
                  <c:v>1.251E-2</c:v>
                </c:pt>
                <c:pt idx="725">
                  <c:v>1.259E-2</c:v>
                </c:pt>
                <c:pt idx="726">
                  <c:v>1.252E-2</c:v>
                </c:pt>
                <c:pt idx="727">
                  <c:v>1.264E-2</c:v>
                </c:pt>
                <c:pt idx="728">
                  <c:v>1.273E-2</c:v>
                </c:pt>
                <c:pt idx="729">
                  <c:v>1.2749999999999999E-2</c:v>
                </c:pt>
                <c:pt idx="730">
                  <c:v>1.265E-2</c:v>
                </c:pt>
                <c:pt idx="731">
                  <c:v>1.238E-2</c:v>
                </c:pt>
                <c:pt idx="732">
                  <c:v>1.2160000000000001E-2</c:v>
                </c:pt>
                <c:pt idx="733">
                  <c:v>1.2019999999999999E-2</c:v>
                </c:pt>
                <c:pt idx="734">
                  <c:v>1.196E-2</c:v>
                </c:pt>
                <c:pt idx="735">
                  <c:v>1.196E-2</c:v>
                </c:pt>
                <c:pt idx="736">
                  <c:v>1.268E-2</c:v>
                </c:pt>
                <c:pt idx="737">
                  <c:v>1.2800000000000001E-2</c:v>
                </c:pt>
                <c:pt idx="738">
                  <c:v>1.251E-2</c:v>
                </c:pt>
                <c:pt idx="739">
                  <c:v>1.2160000000000001E-2</c:v>
                </c:pt>
                <c:pt idx="740">
                  <c:v>1.251E-2</c:v>
                </c:pt>
                <c:pt idx="741">
                  <c:v>1.2200000000000001E-2</c:v>
                </c:pt>
                <c:pt idx="742">
                  <c:v>1.188E-2</c:v>
                </c:pt>
                <c:pt idx="743">
                  <c:v>1.18E-2</c:v>
                </c:pt>
                <c:pt idx="744">
                  <c:v>1.1950000000000001E-2</c:v>
                </c:pt>
                <c:pt idx="745">
                  <c:v>1.1379999999999999E-2</c:v>
                </c:pt>
                <c:pt idx="746">
                  <c:v>1.17E-2</c:v>
                </c:pt>
                <c:pt idx="747">
                  <c:v>1.11E-2</c:v>
                </c:pt>
                <c:pt idx="748">
                  <c:v>1.1140000000000001E-2</c:v>
                </c:pt>
                <c:pt idx="749">
                  <c:v>1.081E-2</c:v>
                </c:pt>
                <c:pt idx="750">
                  <c:v>1.1180000000000001E-2</c:v>
                </c:pt>
                <c:pt idx="751">
                  <c:v>1.1220000000000001E-2</c:v>
                </c:pt>
                <c:pt idx="752">
                  <c:v>1.1440000000000001E-2</c:v>
                </c:pt>
                <c:pt idx="753">
                  <c:v>1.1089999999999999E-2</c:v>
                </c:pt>
                <c:pt idx="754">
                  <c:v>1.17E-2</c:v>
                </c:pt>
                <c:pt idx="755">
                  <c:v>1.123E-2</c:v>
                </c:pt>
                <c:pt idx="756">
                  <c:v>1.042E-2</c:v>
                </c:pt>
                <c:pt idx="757">
                  <c:v>1.1039999999999999E-2</c:v>
                </c:pt>
                <c:pt idx="758">
                  <c:v>1.0869999999999999E-2</c:v>
                </c:pt>
                <c:pt idx="759">
                  <c:v>1.128E-2</c:v>
                </c:pt>
                <c:pt idx="760">
                  <c:v>1.1299999999999999E-2</c:v>
                </c:pt>
                <c:pt idx="761">
                  <c:v>1.1469999999999999E-2</c:v>
                </c:pt>
                <c:pt idx="762">
                  <c:v>1.1769999999999999E-2</c:v>
                </c:pt>
                <c:pt idx="763">
                  <c:v>1.295E-2</c:v>
                </c:pt>
                <c:pt idx="764">
                  <c:v>1.12E-2</c:v>
                </c:pt>
                <c:pt idx="765">
                  <c:v>1.065E-2</c:v>
                </c:pt>
                <c:pt idx="766">
                  <c:v>1.0540000000000001E-2</c:v>
                </c:pt>
                <c:pt idx="767">
                  <c:v>1.1209999999999999E-2</c:v>
                </c:pt>
                <c:pt idx="768">
                  <c:v>1.1610000000000001E-2</c:v>
                </c:pt>
                <c:pt idx="769">
                  <c:v>1.1599999999999999E-2</c:v>
                </c:pt>
                <c:pt idx="770">
                  <c:v>1.2579999999999999E-2</c:v>
                </c:pt>
                <c:pt idx="771">
                  <c:v>1.193E-2</c:v>
                </c:pt>
                <c:pt idx="772">
                  <c:v>1.17E-2</c:v>
                </c:pt>
                <c:pt idx="773">
                  <c:v>1.3520000000000001E-2</c:v>
                </c:pt>
                <c:pt idx="774">
                  <c:v>1.35E-2</c:v>
                </c:pt>
                <c:pt idx="775">
                  <c:v>1.345E-2</c:v>
                </c:pt>
                <c:pt idx="776">
                  <c:v>1.6580000000000001E-2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92-4196-9C9F-ECF00299E4E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-56.965710928489486</c:v>
                </c:pt>
                <c:pt idx="1">
                  <c:v>-56.962956856780913</c:v>
                </c:pt>
                <c:pt idx="2">
                  <c:v>-56.923430375448923</c:v>
                </c:pt>
                <c:pt idx="3">
                  <c:v>-56.955538746877501</c:v>
                </c:pt>
                <c:pt idx="4">
                  <c:v>-57.05848597944</c:v>
                </c:pt>
                <c:pt idx="5">
                  <c:v>-57.067110815063863</c:v>
                </c:pt>
                <c:pt idx="6">
                  <c:v>-56.925079705700625</c:v>
                </c:pt>
                <c:pt idx="7">
                  <c:v>-56.529601463280578</c:v>
                </c:pt>
                <c:pt idx="8">
                  <c:v>-56.239455239276232</c:v>
                </c:pt>
                <c:pt idx="9">
                  <c:v>-56.247840557876231</c:v>
                </c:pt>
                <c:pt idx="10">
                  <c:v>-56.222959005539558</c:v>
                </c:pt>
                <c:pt idx="11">
                  <c:v>-56.196396423579955</c:v>
                </c:pt>
                <c:pt idx="12">
                  <c:v>-56.197950717778703</c:v>
                </c:pt>
                <c:pt idx="13">
                  <c:v>-56.214905361824862</c:v>
                </c:pt>
                <c:pt idx="14">
                  <c:v>-56.09746160463294</c:v>
                </c:pt>
                <c:pt idx="15">
                  <c:v>-56.000423635614759</c:v>
                </c:pt>
                <c:pt idx="16">
                  <c:v>-55.996243615972972</c:v>
                </c:pt>
                <c:pt idx="17">
                  <c:v>-56.030997007245006</c:v>
                </c:pt>
                <c:pt idx="18">
                  <c:v>-56.050411521563191</c:v>
                </c:pt>
                <c:pt idx="19">
                  <c:v>-56.054063597235917</c:v>
                </c:pt>
                <c:pt idx="20">
                  <c:v>-55.98530468970192</c:v>
                </c:pt>
                <c:pt idx="21">
                  <c:v>-55.867853912832217</c:v>
                </c:pt>
                <c:pt idx="22">
                  <c:v>-55.893354249417342</c:v>
                </c:pt>
                <c:pt idx="23">
                  <c:v>-55.803237750615189</c:v>
                </c:pt>
                <c:pt idx="24">
                  <c:v>-55.747421657583253</c:v>
                </c:pt>
                <c:pt idx="25">
                  <c:v>-55.53883988248564</c:v>
                </c:pt>
                <c:pt idx="26">
                  <c:v>-55.5998670576775</c:v>
                </c:pt>
                <c:pt idx="27">
                  <c:v>-55.632424904234682</c:v>
                </c:pt>
                <c:pt idx="28">
                  <c:v>-55.559736223783197</c:v>
                </c:pt>
                <c:pt idx="29">
                  <c:v>-55.525851653296904</c:v>
                </c:pt>
                <c:pt idx="30">
                  <c:v>-55.479087457147678</c:v>
                </c:pt>
                <c:pt idx="31">
                  <c:v>-55.361254726154009</c:v>
                </c:pt>
                <c:pt idx="32">
                  <c:v>-55.235246375291183</c:v>
                </c:pt>
                <c:pt idx="33">
                  <c:v>-55.313545551430821</c:v>
                </c:pt>
                <c:pt idx="34">
                  <c:v>-55.344415112810125</c:v>
                </c:pt>
                <c:pt idx="35">
                  <c:v>-55.252652671316298</c:v>
                </c:pt>
                <c:pt idx="36">
                  <c:v>-55.335990622728232</c:v>
                </c:pt>
                <c:pt idx="37">
                  <c:v>-55.199779211061561</c:v>
                </c:pt>
                <c:pt idx="38">
                  <c:v>-55.328778956187925</c:v>
                </c:pt>
                <c:pt idx="39">
                  <c:v>-55.24987146642848</c:v>
                </c:pt>
                <c:pt idx="40">
                  <c:v>-55.156513162491343</c:v>
                </c:pt>
                <c:pt idx="41">
                  <c:v>-55.032299798118395</c:v>
                </c:pt>
                <c:pt idx="42">
                  <c:v>-55.169993777552357</c:v>
                </c:pt>
                <c:pt idx="43">
                  <c:v>-54.372375635687952</c:v>
                </c:pt>
                <c:pt idx="44">
                  <c:v>-54.493973210806281</c:v>
                </c:pt>
                <c:pt idx="45">
                  <c:v>-54.639641757148105</c:v>
                </c:pt>
                <c:pt idx="46">
                  <c:v>-54.46512474042396</c:v>
                </c:pt>
                <c:pt idx="47">
                  <c:v>-54.236750245908965</c:v>
                </c:pt>
                <c:pt idx="48">
                  <c:v>-54.249355281961591</c:v>
                </c:pt>
                <c:pt idx="49">
                  <c:v>-54.021269614477873</c:v>
                </c:pt>
                <c:pt idx="50">
                  <c:v>-53.569982246163327</c:v>
                </c:pt>
                <c:pt idx="51">
                  <c:v>-53.54971297884785</c:v>
                </c:pt>
                <c:pt idx="52">
                  <c:v>-53.392283665422312</c:v>
                </c:pt>
                <c:pt idx="53">
                  <c:v>-53.828361744633412</c:v>
                </c:pt>
                <c:pt idx="54">
                  <c:v>-53.355613233430297</c:v>
                </c:pt>
                <c:pt idx="55">
                  <c:v>-53.447356716120247</c:v>
                </c:pt>
                <c:pt idx="56">
                  <c:v>-51.84452498084751</c:v>
                </c:pt>
                <c:pt idx="57">
                  <c:v>-51.973351605863584</c:v>
                </c:pt>
                <c:pt idx="58">
                  <c:v>-52.06054088554162</c:v>
                </c:pt>
                <c:pt idx="59">
                  <c:v>-51.998093506158312</c:v>
                </c:pt>
                <c:pt idx="60">
                  <c:v>-52.031764368419182</c:v>
                </c:pt>
                <c:pt idx="61">
                  <c:v>-52.240044256514196</c:v>
                </c:pt>
                <c:pt idx="62">
                  <c:v>-52.269028895407303</c:v>
                </c:pt>
                <c:pt idx="63">
                  <c:v>-51.855639027436894</c:v>
                </c:pt>
                <c:pt idx="64">
                  <c:v>-52.010360841150721</c:v>
                </c:pt>
                <c:pt idx="65">
                  <c:v>-51.977881344424738</c:v>
                </c:pt>
                <c:pt idx="66">
                  <c:v>-52.28260473872762</c:v>
                </c:pt>
                <c:pt idx="67">
                  <c:v>-52.100462665728791</c:v>
                </c:pt>
                <c:pt idx="68">
                  <c:v>-51.652877453120439</c:v>
                </c:pt>
                <c:pt idx="69">
                  <c:v>-51.884199888629844</c:v>
                </c:pt>
                <c:pt idx="70">
                  <c:v>-52.039558746686801</c:v>
                </c:pt>
                <c:pt idx="71">
                  <c:v>-51.841956156635774</c:v>
                </c:pt>
                <c:pt idx="72">
                  <c:v>-51.887512681410186</c:v>
                </c:pt>
                <c:pt idx="73">
                  <c:v>-51.707815724936324</c:v>
                </c:pt>
                <c:pt idx="74">
                  <c:v>-51.634926068671021</c:v>
                </c:pt>
                <c:pt idx="75">
                  <c:v>-51.580951774625397</c:v>
                </c:pt>
                <c:pt idx="76">
                  <c:v>-51.254847590044882</c:v>
                </c:pt>
                <c:pt idx="77">
                  <c:v>-50.981793972243018</c:v>
                </c:pt>
                <c:pt idx="78">
                  <c:v>-51.327695553580092</c:v>
                </c:pt>
                <c:pt idx="79">
                  <c:v>-51.231059898625873</c:v>
                </c:pt>
                <c:pt idx="80">
                  <c:v>-51.110775966429401</c:v>
                </c:pt>
                <c:pt idx="81">
                  <c:v>-51.097483150196837</c:v>
                </c:pt>
                <c:pt idx="82">
                  <c:v>-50.891844296692078</c:v>
                </c:pt>
                <c:pt idx="83">
                  <c:v>-50.703343735154824</c:v>
                </c:pt>
                <c:pt idx="84">
                  <c:v>-50.789582251914318</c:v>
                </c:pt>
                <c:pt idx="85">
                  <c:v>-50.521923616143255</c:v>
                </c:pt>
                <c:pt idx="86">
                  <c:v>-49.711313162978158</c:v>
                </c:pt>
                <c:pt idx="87">
                  <c:v>-49.931158939928942</c:v>
                </c:pt>
                <c:pt idx="88">
                  <c:v>-49.898905876437965</c:v>
                </c:pt>
                <c:pt idx="89">
                  <c:v>-49.489274424738667</c:v>
                </c:pt>
                <c:pt idx="90">
                  <c:v>-46.591033323972127</c:v>
                </c:pt>
                <c:pt idx="91">
                  <c:v>-46.664473729572137</c:v>
                </c:pt>
                <c:pt idx="92">
                  <c:v>-46.648594094518934</c:v>
                </c:pt>
                <c:pt idx="93">
                  <c:v>-46.221627095474169</c:v>
                </c:pt>
                <c:pt idx="94">
                  <c:v>-45.9607614390751</c:v>
                </c:pt>
                <c:pt idx="95">
                  <c:v>-45.833742684433588</c:v>
                </c:pt>
                <c:pt idx="96">
                  <c:v>-42.518778469864309</c:v>
                </c:pt>
                <c:pt idx="97">
                  <c:v>-42.029679899533356</c:v>
                </c:pt>
                <c:pt idx="98">
                  <c:v>-41.876918511550137</c:v>
                </c:pt>
                <c:pt idx="99">
                  <c:v>-41.692584203652331</c:v>
                </c:pt>
                <c:pt idx="100">
                  <c:v>-41.776219794821777</c:v>
                </c:pt>
                <c:pt idx="101">
                  <c:v>-41.646212668559834</c:v>
                </c:pt>
                <c:pt idx="102">
                  <c:v>-41.329276364821879</c:v>
                </c:pt>
                <c:pt idx="103">
                  <c:v>-40.024093260080384</c:v>
                </c:pt>
                <c:pt idx="104">
                  <c:v>-39.90077297181508</c:v>
                </c:pt>
                <c:pt idx="105">
                  <c:v>-40.01785777323127</c:v>
                </c:pt>
                <c:pt idx="106">
                  <c:v>-40.326629551076699</c:v>
                </c:pt>
                <c:pt idx="107">
                  <c:v>-40.570541146342009</c:v>
                </c:pt>
                <c:pt idx="108">
                  <c:v>-40.615586069692014</c:v>
                </c:pt>
                <c:pt idx="109">
                  <c:v>-40.355707702753726</c:v>
                </c:pt>
                <c:pt idx="110">
                  <c:v>-39.175647931827058</c:v>
                </c:pt>
                <c:pt idx="111">
                  <c:v>-39.1072598745831</c:v>
                </c:pt>
                <c:pt idx="112">
                  <c:v>-39.072472947093161</c:v>
                </c:pt>
                <c:pt idx="113">
                  <c:v>-39.016063246880393</c:v>
                </c:pt>
                <c:pt idx="114">
                  <c:v>-39.08690771363753</c:v>
                </c:pt>
                <c:pt idx="115">
                  <c:v>-39.062263849022145</c:v>
                </c:pt>
                <c:pt idx="116">
                  <c:v>-38.882684874406763</c:v>
                </c:pt>
                <c:pt idx="117">
                  <c:v>-38.67833295045849</c:v>
                </c:pt>
                <c:pt idx="118">
                  <c:v>-38.651220220439022</c:v>
                </c:pt>
                <c:pt idx="119">
                  <c:v>-38.974949373632569</c:v>
                </c:pt>
                <c:pt idx="120">
                  <c:v>-38.917101297963399</c:v>
                </c:pt>
                <c:pt idx="121">
                  <c:v>-38.834156866443394</c:v>
                </c:pt>
                <c:pt idx="122">
                  <c:v>-38.312631354089064</c:v>
                </c:pt>
                <c:pt idx="123">
                  <c:v>-37.885241990388771</c:v>
                </c:pt>
                <c:pt idx="124">
                  <c:v>-37.776549970842801</c:v>
                </c:pt>
                <c:pt idx="125">
                  <c:v>-37.808581403171054</c:v>
                </c:pt>
                <c:pt idx="126">
                  <c:v>-37.991038836737872</c:v>
                </c:pt>
                <c:pt idx="127">
                  <c:v>-38.246279795263916</c:v>
                </c:pt>
                <c:pt idx="128">
                  <c:v>-38.418585953909883</c:v>
                </c:pt>
                <c:pt idx="129">
                  <c:v>-38.237333063276346</c:v>
                </c:pt>
                <c:pt idx="130">
                  <c:v>-38.08838937760833</c:v>
                </c:pt>
                <c:pt idx="131">
                  <c:v>-37.877144479001942</c:v>
                </c:pt>
                <c:pt idx="132">
                  <c:v>-37.508000453722445</c:v>
                </c:pt>
                <c:pt idx="133">
                  <c:v>-37.737645248215017</c:v>
                </c:pt>
                <c:pt idx="134">
                  <c:v>-37.896840915628388</c:v>
                </c:pt>
                <c:pt idx="135">
                  <c:v>-37.900277481430486</c:v>
                </c:pt>
                <c:pt idx="136">
                  <c:v>-38.013093021967229</c:v>
                </c:pt>
                <c:pt idx="137">
                  <c:v>-37.98702247955783</c:v>
                </c:pt>
                <c:pt idx="138">
                  <c:v>-37.954041000981817</c:v>
                </c:pt>
                <c:pt idx="139">
                  <c:v>-37.785001508723468</c:v>
                </c:pt>
                <c:pt idx="140">
                  <c:v>-37.524928295037753</c:v>
                </c:pt>
                <c:pt idx="141">
                  <c:v>-38.403200174471607</c:v>
                </c:pt>
                <c:pt idx="142">
                  <c:v>-38.643291914845108</c:v>
                </c:pt>
                <c:pt idx="143">
                  <c:v>-38.365188713481025</c:v>
                </c:pt>
                <c:pt idx="144">
                  <c:v>-39.104324674716629</c:v>
                </c:pt>
                <c:pt idx="145">
                  <c:v>-38.638749619455304</c:v>
                </c:pt>
                <c:pt idx="146">
                  <c:v>-38.997823808161371</c:v>
                </c:pt>
                <c:pt idx="147">
                  <c:v>-38.948631649781291</c:v>
                </c:pt>
                <c:pt idx="148">
                  <c:v>-38.695597052709203</c:v>
                </c:pt>
                <c:pt idx="149">
                  <c:v>-38.974694431370011</c:v>
                </c:pt>
                <c:pt idx="150">
                  <c:v>-38.76417925937001</c:v>
                </c:pt>
                <c:pt idx="151">
                  <c:v>-38.454202643735023</c:v>
                </c:pt>
                <c:pt idx="152">
                  <c:v>-38.543647501858224</c:v>
                </c:pt>
                <c:pt idx="153">
                  <c:v>-38.685375498739866</c:v>
                </c:pt>
                <c:pt idx="154">
                  <c:v>-38.953730932841488</c:v>
                </c:pt>
                <c:pt idx="155">
                  <c:v>-38.364784508520252</c:v>
                </c:pt>
                <c:pt idx="156">
                  <c:v>-38.540049690778027</c:v>
                </c:pt>
                <c:pt idx="157">
                  <c:v>-38.601411114003554</c:v>
                </c:pt>
                <c:pt idx="158">
                  <c:v>-38.387271303589685</c:v>
                </c:pt>
                <c:pt idx="159">
                  <c:v>-38.392619132951395</c:v>
                </c:pt>
                <c:pt idx="160">
                  <c:v>-38.071330500385479</c:v>
                </c:pt>
                <c:pt idx="161">
                  <c:v>-38.627531169026867</c:v>
                </c:pt>
                <c:pt idx="162">
                  <c:v>-39.100275034225959</c:v>
                </c:pt>
                <c:pt idx="163">
                  <c:v>-38.644963967571712</c:v>
                </c:pt>
                <c:pt idx="164">
                  <c:v>-37.969118513816127</c:v>
                </c:pt>
                <c:pt idx="165">
                  <c:v>-35.006180092466131</c:v>
                </c:pt>
                <c:pt idx="166">
                  <c:v>-35.023039608003643</c:v>
                </c:pt>
                <c:pt idx="167">
                  <c:v>-35.598953254199962</c:v>
                </c:pt>
                <c:pt idx="168">
                  <c:v>-35.983630055852288</c:v>
                </c:pt>
                <c:pt idx="169">
                  <c:v>-35.581462838489571</c:v>
                </c:pt>
                <c:pt idx="170">
                  <c:v>-35.861126198592245</c:v>
                </c:pt>
                <c:pt idx="171">
                  <c:v>-35.729672203616808</c:v>
                </c:pt>
                <c:pt idx="172">
                  <c:v>-35.838517198970841</c:v>
                </c:pt>
                <c:pt idx="173">
                  <c:v>-35.1541779763268</c:v>
                </c:pt>
                <c:pt idx="174">
                  <c:v>-33.692792371166959</c:v>
                </c:pt>
                <c:pt idx="175">
                  <c:v>-33.612345408559712</c:v>
                </c:pt>
                <c:pt idx="176">
                  <c:v>-33.862433381913299</c:v>
                </c:pt>
                <c:pt idx="177">
                  <c:v>-34.085687699021911</c:v>
                </c:pt>
                <c:pt idx="178">
                  <c:v>-34.133196585090872</c:v>
                </c:pt>
                <c:pt idx="179">
                  <c:v>-34.21070348051159</c:v>
                </c:pt>
                <c:pt idx="180">
                  <c:v>-33.792368451132162</c:v>
                </c:pt>
                <c:pt idx="181">
                  <c:v>-33.575170128992717</c:v>
                </c:pt>
                <c:pt idx="182">
                  <c:v>-33.957702504762501</c:v>
                </c:pt>
                <c:pt idx="183">
                  <c:v>-33.876526583209362</c:v>
                </c:pt>
                <c:pt idx="184">
                  <c:v>-33.772115143106802</c:v>
                </c:pt>
                <c:pt idx="185">
                  <c:v>-33.97908352239142</c:v>
                </c:pt>
                <c:pt idx="186">
                  <c:v>-33.887777915777832</c:v>
                </c:pt>
                <c:pt idx="187">
                  <c:v>-34.047436163744869</c:v>
                </c:pt>
                <c:pt idx="188">
                  <c:v>-33.925278163301336</c:v>
                </c:pt>
                <c:pt idx="189">
                  <c:v>-34.143315514181332</c:v>
                </c:pt>
                <c:pt idx="190">
                  <c:v>-34.274390357917859</c:v>
                </c:pt>
                <c:pt idx="191">
                  <c:v>-34.478807087861398</c:v>
                </c:pt>
                <c:pt idx="192">
                  <c:v>-34.295255032033069</c:v>
                </c:pt>
                <c:pt idx="193">
                  <c:v>-34.14899082934943</c:v>
                </c:pt>
                <c:pt idx="194">
                  <c:v>-34.106225861059336</c:v>
                </c:pt>
                <c:pt idx="195">
                  <c:v>-34.065325645001863</c:v>
                </c:pt>
                <c:pt idx="196">
                  <c:v>-32.97656423860186</c:v>
                </c:pt>
                <c:pt idx="197">
                  <c:v>-33.482998017419341</c:v>
                </c:pt>
                <c:pt idx="198">
                  <c:v>-33.855916784063176</c:v>
                </c:pt>
                <c:pt idx="199">
                  <c:v>-33.882568590448365</c:v>
                </c:pt>
                <c:pt idx="200">
                  <c:v>-33.758598662498052</c:v>
                </c:pt>
                <c:pt idx="201">
                  <c:v>-33.685125798573999</c:v>
                </c:pt>
                <c:pt idx="202">
                  <c:v>-33.685125798573999</c:v>
                </c:pt>
                <c:pt idx="203">
                  <c:v>-34.09313786078075</c:v>
                </c:pt>
                <c:pt idx="204">
                  <c:v>-33.849635218976459</c:v>
                </c:pt>
                <c:pt idx="205">
                  <c:v>-34.0848406101668</c:v>
                </c:pt>
                <c:pt idx="206">
                  <c:v>-34.016187143041805</c:v>
                </c:pt>
                <c:pt idx="207">
                  <c:v>-33.866963799384209</c:v>
                </c:pt>
                <c:pt idx="208">
                  <c:v>-34.119743559648917</c:v>
                </c:pt>
                <c:pt idx="209">
                  <c:v>-34.047279264383143</c:v>
                </c:pt>
                <c:pt idx="210">
                  <c:v>-34.214858107700472</c:v>
                </c:pt>
                <c:pt idx="211">
                  <c:v>-34.08376571643381</c:v>
                </c:pt>
                <c:pt idx="212">
                  <c:v>-34.316189547273353</c:v>
                </c:pt>
                <c:pt idx="213">
                  <c:v>-35.967547242055353</c:v>
                </c:pt>
                <c:pt idx="214">
                  <c:v>-37.150703178256144</c:v>
                </c:pt>
                <c:pt idx="215">
                  <c:v>-37.096929630017129</c:v>
                </c:pt>
                <c:pt idx="216">
                  <c:v>-37.236222843642707</c:v>
                </c:pt>
                <c:pt idx="217">
                  <c:v>-36.510946024195604</c:v>
                </c:pt>
                <c:pt idx="218">
                  <c:v>-37.076541407066834</c:v>
                </c:pt>
                <c:pt idx="219">
                  <c:v>-37.176380762768325</c:v>
                </c:pt>
                <c:pt idx="220">
                  <c:v>-37.003604940710325</c:v>
                </c:pt>
                <c:pt idx="221">
                  <c:v>-36.734639023737898</c:v>
                </c:pt>
                <c:pt idx="222">
                  <c:v>-36.951079214737902</c:v>
                </c:pt>
                <c:pt idx="223">
                  <c:v>-36.695487548941784</c:v>
                </c:pt>
                <c:pt idx="224">
                  <c:v>-36.242777153277039</c:v>
                </c:pt>
                <c:pt idx="225">
                  <c:v>-36.001540407334183</c:v>
                </c:pt>
                <c:pt idx="226">
                  <c:v>-35.63771830762316</c:v>
                </c:pt>
                <c:pt idx="227">
                  <c:v>-35.686103723441846</c:v>
                </c:pt>
                <c:pt idx="228">
                  <c:v>-35.929357633449122</c:v>
                </c:pt>
                <c:pt idx="229">
                  <c:v>-36.009737572061674</c:v>
                </c:pt>
                <c:pt idx="230">
                  <c:v>-36.136800623487758</c:v>
                </c:pt>
                <c:pt idx="231">
                  <c:v>-35.787882747658138</c:v>
                </c:pt>
                <c:pt idx="232">
                  <c:v>-35.389111133584798</c:v>
                </c:pt>
                <c:pt idx="233">
                  <c:v>-35.625748807593787</c:v>
                </c:pt>
                <c:pt idx="234">
                  <c:v>-35.535321943441723</c:v>
                </c:pt>
                <c:pt idx="235">
                  <c:v>-35.319241205194395</c:v>
                </c:pt>
                <c:pt idx="236">
                  <c:v>-35.210765501515908</c:v>
                </c:pt>
                <c:pt idx="237">
                  <c:v>-35.023850583674786</c:v>
                </c:pt>
                <c:pt idx="238">
                  <c:v>-34.962603022071086</c:v>
                </c:pt>
                <c:pt idx="239">
                  <c:v>-35.100763593988901</c:v>
                </c:pt>
                <c:pt idx="240">
                  <c:v>-35.052567938801609</c:v>
                </c:pt>
                <c:pt idx="241">
                  <c:v>-34.970176226444948</c:v>
                </c:pt>
                <c:pt idx="242">
                  <c:v>-35.131054374966041</c:v>
                </c:pt>
                <c:pt idx="243">
                  <c:v>-35.206400071234434</c:v>
                </c:pt>
                <c:pt idx="244">
                  <c:v>-35.119019089440819</c:v>
                </c:pt>
                <c:pt idx="245">
                  <c:v>-34.982845353816685</c:v>
                </c:pt>
                <c:pt idx="246">
                  <c:v>-35.054370646243164</c:v>
                </c:pt>
                <c:pt idx="247">
                  <c:v>-35.28777853563593</c:v>
                </c:pt>
                <c:pt idx="248">
                  <c:v>-35.276302718086953</c:v>
                </c:pt>
                <c:pt idx="249">
                  <c:v>-35.639917914416365</c:v>
                </c:pt>
                <c:pt idx="250">
                  <c:v>-35.548712077206453</c:v>
                </c:pt>
                <c:pt idx="251">
                  <c:v>-35.641927590509283</c:v>
                </c:pt>
                <c:pt idx="252">
                  <c:v>-35.483338087603855</c:v>
                </c:pt>
                <c:pt idx="253">
                  <c:v>-36.005520670250974</c:v>
                </c:pt>
                <c:pt idx="254">
                  <c:v>-35.543418223784101</c:v>
                </c:pt>
                <c:pt idx="255">
                  <c:v>-35.424049259069513</c:v>
                </c:pt>
                <c:pt idx="256">
                  <c:v>-35.262980073823158</c:v>
                </c:pt>
                <c:pt idx="257">
                  <c:v>-35.018751983221421</c:v>
                </c:pt>
                <c:pt idx="258">
                  <c:v>-34.41468335920537</c:v>
                </c:pt>
                <c:pt idx="259">
                  <c:v>-34.531567499969839</c:v>
                </c:pt>
                <c:pt idx="260">
                  <c:v>-34.114877843282933</c:v>
                </c:pt>
                <c:pt idx="261">
                  <c:v>-32.857445637064231</c:v>
                </c:pt>
                <c:pt idx="262">
                  <c:v>-33.267332310007674</c:v>
                </c:pt>
                <c:pt idx="263">
                  <c:v>-32.636364692446953</c:v>
                </c:pt>
                <c:pt idx="264">
                  <c:v>-32.632524408095151</c:v>
                </c:pt>
                <c:pt idx="265">
                  <c:v>-32.635940105745128</c:v>
                </c:pt>
                <c:pt idx="266">
                  <c:v>-32.762079746434097</c:v>
                </c:pt>
                <c:pt idx="267">
                  <c:v>-32.43570673592005</c:v>
                </c:pt>
                <c:pt idx="268">
                  <c:v>-32.396362604498997</c:v>
                </c:pt>
                <c:pt idx="269">
                  <c:v>-31.697057900180592</c:v>
                </c:pt>
                <c:pt idx="270">
                  <c:v>-31.07154008175954</c:v>
                </c:pt>
                <c:pt idx="271">
                  <c:v>-31.032002488988145</c:v>
                </c:pt>
                <c:pt idx="272">
                  <c:v>-30.216238394442026</c:v>
                </c:pt>
                <c:pt idx="273">
                  <c:v>-29.22702489587283</c:v>
                </c:pt>
                <c:pt idx="274">
                  <c:v>-31.024434501549926</c:v>
                </c:pt>
                <c:pt idx="275">
                  <c:v>-30.94779105110376</c:v>
                </c:pt>
                <c:pt idx="276">
                  <c:v>-31.361701316329377</c:v>
                </c:pt>
                <c:pt idx="277">
                  <c:v>-31.773002157647586</c:v>
                </c:pt>
                <c:pt idx="278">
                  <c:v>-31.731190757557094</c:v>
                </c:pt>
                <c:pt idx="279">
                  <c:v>-31.01307851944734</c:v>
                </c:pt>
                <c:pt idx="280">
                  <c:v>-31.105506610376032</c:v>
                </c:pt>
                <c:pt idx="281">
                  <c:v>-30.388776251793441</c:v>
                </c:pt>
                <c:pt idx="282">
                  <c:v>-29.881048144912118</c:v>
                </c:pt>
                <c:pt idx="283">
                  <c:v>-30.05533686513731</c:v>
                </c:pt>
                <c:pt idx="284">
                  <c:v>-29.502624320343507</c:v>
                </c:pt>
                <c:pt idx="285">
                  <c:v>-29.608134095406498</c:v>
                </c:pt>
                <c:pt idx="286">
                  <c:v>-29.517047406648974</c:v>
                </c:pt>
                <c:pt idx="287">
                  <c:v>-29.366417115013846</c:v>
                </c:pt>
                <c:pt idx="288">
                  <c:v>-28.537124771816693</c:v>
                </c:pt>
                <c:pt idx="289">
                  <c:v>-28.584149917312736</c:v>
                </c:pt>
                <c:pt idx="290">
                  <c:v>-28.453194411826601</c:v>
                </c:pt>
                <c:pt idx="291">
                  <c:v>-27.760420405607778</c:v>
                </c:pt>
                <c:pt idx="292">
                  <c:v>-27.738061969378272</c:v>
                </c:pt>
                <c:pt idx="293">
                  <c:v>-26.66627206421196</c:v>
                </c:pt>
                <c:pt idx="294">
                  <c:v>-28.716559670683118</c:v>
                </c:pt>
                <c:pt idx="295">
                  <c:v>-27.702033226949911</c:v>
                </c:pt>
                <c:pt idx="296">
                  <c:v>-26.584282930103235</c:v>
                </c:pt>
                <c:pt idx="297">
                  <c:v>-27.192818041099198</c:v>
                </c:pt>
                <c:pt idx="298">
                  <c:v>-25.319408280745577</c:v>
                </c:pt>
                <c:pt idx="299">
                  <c:v>-25.549083695445429</c:v>
                </c:pt>
                <c:pt idx="300">
                  <c:v>-25.366270211470539</c:v>
                </c:pt>
                <c:pt idx="301">
                  <c:v>-25.755595584914552</c:v>
                </c:pt>
                <c:pt idx="302">
                  <c:v>-24.865116257694993</c:v>
                </c:pt>
                <c:pt idx="303">
                  <c:v>-23.511234323926583</c:v>
                </c:pt>
                <c:pt idx="304">
                  <c:v>-24.951014503214026</c:v>
                </c:pt>
                <c:pt idx="305">
                  <c:v>-25.557647677117011</c:v>
                </c:pt>
                <c:pt idx="306">
                  <c:v>-25.263974330555257</c:v>
                </c:pt>
                <c:pt idx="307">
                  <c:v>-25.362633358412005</c:v>
                </c:pt>
                <c:pt idx="308">
                  <c:v>-25.390976748969376</c:v>
                </c:pt>
                <c:pt idx="309">
                  <c:v>-25.000587133035076</c:v>
                </c:pt>
                <c:pt idx="310">
                  <c:v>-23.577256826918521</c:v>
                </c:pt>
                <c:pt idx="311">
                  <c:v>-23.04427415440836</c:v>
                </c:pt>
                <c:pt idx="312">
                  <c:v>-23.069433581612692</c:v>
                </c:pt>
                <c:pt idx="313">
                  <c:v>-19.969019780701963</c:v>
                </c:pt>
                <c:pt idx="314">
                  <c:v>-19.094382922203589</c:v>
                </c:pt>
                <c:pt idx="315">
                  <c:v>-18.975804891251389</c:v>
                </c:pt>
                <c:pt idx="316">
                  <c:v>-18.614762739074482</c:v>
                </c:pt>
                <c:pt idx="317">
                  <c:v>-17.976503626117491</c:v>
                </c:pt>
                <c:pt idx="318">
                  <c:v>-16.429901065856296</c:v>
                </c:pt>
                <c:pt idx="319">
                  <c:v>-20.492112245042705</c:v>
                </c:pt>
                <c:pt idx="320">
                  <c:v>-18.654740776804246</c:v>
                </c:pt>
                <c:pt idx="321">
                  <c:v>-17.20141535924374</c:v>
                </c:pt>
                <c:pt idx="322">
                  <c:v>-13.460830808769641</c:v>
                </c:pt>
                <c:pt idx="323">
                  <c:v>-2.8841479668516827</c:v>
                </c:pt>
                <c:pt idx="324">
                  <c:v>-5.4318639605482337</c:v>
                </c:pt>
                <c:pt idx="325">
                  <c:v>-7.5287147937388124</c:v>
                </c:pt>
                <c:pt idx="326">
                  <c:v>-7.9875092769272422</c:v>
                </c:pt>
                <c:pt idx="327">
                  <c:v>-7.9774159492839294</c:v>
                </c:pt>
                <c:pt idx="328">
                  <c:v>-8.1846813676716863</c:v>
                </c:pt>
                <c:pt idx="329">
                  <c:v>-8.5108780279860348</c:v>
                </c:pt>
                <c:pt idx="330">
                  <c:v>-8.3245863521869907</c:v>
                </c:pt>
                <c:pt idx="331">
                  <c:v>-8.5508542384023745</c:v>
                </c:pt>
                <c:pt idx="332">
                  <c:v>-8.4003105348513909</c:v>
                </c:pt>
                <c:pt idx="333">
                  <c:v>-8.7083048264702434</c:v>
                </c:pt>
                <c:pt idx="334">
                  <c:v>-8.7429404829337543</c:v>
                </c:pt>
                <c:pt idx="335">
                  <c:v>-8.6936656958750866</c:v>
                </c:pt>
                <c:pt idx="336">
                  <c:v>-8.6788954946373256</c:v>
                </c:pt>
                <c:pt idx="337">
                  <c:v>-8.4352298310947713</c:v>
                </c:pt>
                <c:pt idx="338">
                  <c:v>-8.1515656803487175</c:v>
                </c:pt>
                <c:pt idx="339">
                  <c:v>-8.1976699691060197</c:v>
                </c:pt>
                <c:pt idx="340">
                  <c:v>-8.2985250486067255</c:v>
                </c:pt>
                <c:pt idx="341">
                  <c:v>-8.327462613658172</c:v>
                </c:pt>
                <c:pt idx="342">
                  <c:v>-8.1842339752045472</c:v>
                </c:pt>
                <c:pt idx="343">
                  <c:v>-8.0145690354698527</c:v>
                </c:pt>
                <c:pt idx="344">
                  <c:v>-8.1170170586240094</c:v>
                </c:pt>
                <c:pt idx="345">
                  <c:v>-8.2708769494811527</c:v>
                </c:pt>
                <c:pt idx="346">
                  <c:v>-7.9302566173214872</c:v>
                </c:pt>
                <c:pt idx="347">
                  <c:v>-7.8180195396485317</c:v>
                </c:pt>
                <c:pt idx="348">
                  <c:v>-7.6733573448563233</c:v>
                </c:pt>
                <c:pt idx="349">
                  <c:v>-8.0732287985072091</c:v>
                </c:pt>
                <c:pt idx="350">
                  <c:v>-8.2982227831492974</c:v>
                </c:pt>
                <c:pt idx="351">
                  <c:v>-8.5245124517598256</c:v>
                </c:pt>
                <c:pt idx="352">
                  <c:v>-8.4961647842327608</c:v>
                </c:pt>
                <c:pt idx="353">
                  <c:v>-8.4266474944137553</c:v>
                </c:pt>
                <c:pt idx="354">
                  <c:v>-8.819231028540516</c:v>
                </c:pt>
                <c:pt idx="355">
                  <c:v>-8.7241022213776489</c:v>
                </c:pt>
                <c:pt idx="356">
                  <c:v>-8.4654819344285883</c:v>
                </c:pt>
                <c:pt idx="357">
                  <c:v>-8.9076952900285882</c:v>
                </c:pt>
                <c:pt idx="358">
                  <c:v>-8.5741666074604073</c:v>
                </c:pt>
                <c:pt idx="359">
                  <c:v>-8.3001389673466637</c:v>
                </c:pt>
                <c:pt idx="360">
                  <c:v>-8.4786289735948372</c:v>
                </c:pt>
                <c:pt idx="361">
                  <c:v>-8.3592404496368538</c:v>
                </c:pt>
                <c:pt idx="362">
                  <c:v>-7.5347179921511396</c:v>
                </c:pt>
                <c:pt idx="363">
                  <c:v>-7.416422784052819</c:v>
                </c:pt>
                <c:pt idx="364">
                  <c:v>-7.0760926003760503</c:v>
                </c:pt>
                <c:pt idx="365">
                  <c:v>-6.8533829377175142</c:v>
                </c:pt>
                <c:pt idx="366">
                  <c:v>-6.7734203866225773</c:v>
                </c:pt>
                <c:pt idx="367">
                  <c:v>-6.767593073785843</c:v>
                </c:pt>
                <c:pt idx="368">
                  <c:v>-6.262393213619653</c:v>
                </c:pt>
                <c:pt idx="369">
                  <c:v>-5.9540336021230074</c:v>
                </c:pt>
                <c:pt idx="370">
                  <c:v>-7.1645101171811474</c:v>
                </c:pt>
                <c:pt idx="371">
                  <c:v>-7.6120888044288204</c:v>
                </c:pt>
                <c:pt idx="372">
                  <c:v>-3.9341449029042326</c:v>
                </c:pt>
                <c:pt idx="373">
                  <c:v>-4.7170304663247116</c:v>
                </c:pt>
                <c:pt idx="374">
                  <c:v>-4.3446402286127768</c:v>
                </c:pt>
                <c:pt idx="375">
                  <c:v>-4.1499132572248465</c:v>
                </c:pt>
                <c:pt idx="376">
                  <c:v>-4.2953664065017696</c:v>
                </c:pt>
                <c:pt idx="377">
                  <c:v>-4.3800856127064938</c:v>
                </c:pt>
                <c:pt idx="378">
                  <c:v>-4.426596487895174</c:v>
                </c:pt>
                <c:pt idx="379">
                  <c:v>-4.5415773675798592</c:v>
                </c:pt>
                <c:pt idx="380">
                  <c:v>-4.7574742143995312</c:v>
                </c:pt>
                <c:pt idx="381">
                  <c:v>-4.7711069695358947</c:v>
                </c:pt>
                <c:pt idx="382">
                  <c:v>-4.7872054820166632</c:v>
                </c:pt>
                <c:pt idx="383">
                  <c:v>-4.7086430571545943</c:v>
                </c:pt>
                <c:pt idx="384">
                  <c:v>-4.7044491936735824</c:v>
                </c:pt>
                <c:pt idx="385">
                  <c:v>-4.7936203456984776</c:v>
                </c:pt>
                <c:pt idx="386">
                  <c:v>-4.7801893763293499</c:v>
                </c:pt>
                <c:pt idx="387">
                  <c:v>-4.8340404706287128</c:v>
                </c:pt>
                <c:pt idx="388">
                  <c:v>-4.9406483677581248</c:v>
                </c:pt>
                <c:pt idx="389">
                  <c:v>-4.9553463978559504</c:v>
                </c:pt>
                <c:pt idx="390">
                  <c:v>-5.0144504967021044</c:v>
                </c:pt>
                <c:pt idx="391">
                  <c:v>-4.9782229134091756</c:v>
                </c:pt>
                <c:pt idx="392">
                  <c:v>-4.9958708475801155</c:v>
                </c:pt>
                <c:pt idx="393">
                  <c:v>-4.9405375666201152</c:v>
                </c:pt>
                <c:pt idx="394">
                  <c:v>-4.9202421804382972</c:v>
                </c:pt>
                <c:pt idx="395">
                  <c:v>-4.8522841648236632</c:v>
                </c:pt>
                <c:pt idx="396">
                  <c:v>-4.8440465453147343</c:v>
                </c:pt>
                <c:pt idx="397">
                  <c:v>-4.8104915237089649</c:v>
                </c:pt>
                <c:pt idx="398">
                  <c:v>-4.8544186608959574</c:v>
                </c:pt>
                <c:pt idx="399">
                  <c:v>-4.8751045193759577</c:v>
                </c:pt>
                <c:pt idx="400">
                  <c:v>-4.9244775827562393</c:v>
                </c:pt>
                <c:pt idx="401">
                  <c:v>-4.7989578447303494</c:v>
                </c:pt>
                <c:pt idx="402">
                  <c:v>-4.8824366881303494</c:v>
                </c:pt>
                <c:pt idx="403">
                  <c:v>-4.6876112987256677</c:v>
                </c:pt>
                <c:pt idx="404">
                  <c:v>-4.5054076894291848</c:v>
                </c:pt>
                <c:pt idx="405">
                  <c:v>-4.5081618377625183</c:v>
                </c:pt>
                <c:pt idx="406">
                  <c:v>-4.5631826330233878</c:v>
                </c:pt>
                <c:pt idx="407">
                  <c:v>-4.4843000770233887</c:v>
                </c:pt>
                <c:pt idx="408">
                  <c:v>-4.6585210436900555</c:v>
                </c:pt>
                <c:pt idx="409">
                  <c:v>-4.6315276461815804</c:v>
                </c:pt>
                <c:pt idx="410">
                  <c:v>-4.6006514217078962</c:v>
                </c:pt>
                <c:pt idx="411">
                  <c:v>-4.5408775792078968</c:v>
                </c:pt>
                <c:pt idx="412">
                  <c:v>-4.6010925288975519</c:v>
                </c:pt>
                <c:pt idx="413">
                  <c:v>-4.5722080451734133</c:v>
                </c:pt>
                <c:pt idx="414">
                  <c:v>-4.3733107421734143</c:v>
                </c:pt>
                <c:pt idx="415">
                  <c:v>-4.4609755369599302</c:v>
                </c:pt>
                <c:pt idx="416">
                  <c:v>-4.3639867174224314</c:v>
                </c:pt>
                <c:pt idx="417">
                  <c:v>-4.4279918393534654</c:v>
                </c:pt>
                <c:pt idx="418">
                  <c:v>-4.4353249402793908</c:v>
                </c:pt>
                <c:pt idx="419">
                  <c:v>-4.4774622145193907</c:v>
                </c:pt>
                <c:pt idx="420">
                  <c:v>-4.3404005064899795</c:v>
                </c:pt>
                <c:pt idx="421">
                  <c:v>-4.3905339669471219</c:v>
                </c:pt>
                <c:pt idx="422">
                  <c:v>-4.4551238525026777</c:v>
                </c:pt>
                <c:pt idx="423">
                  <c:v>-4.4144809272178289</c:v>
                </c:pt>
                <c:pt idx="424">
                  <c:v>-4.5036836932178295</c:v>
                </c:pt>
                <c:pt idx="425">
                  <c:v>-4.483722893863983</c:v>
                </c:pt>
                <c:pt idx="426">
                  <c:v>-4.442481803013643</c:v>
                </c:pt>
                <c:pt idx="427">
                  <c:v>-4.4768746675493576</c:v>
                </c:pt>
                <c:pt idx="428">
                  <c:v>-4.4407480235493564</c:v>
                </c:pt>
                <c:pt idx="429">
                  <c:v>-4.3164531258807175</c:v>
                </c:pt>
                <c:pt idx="430">
                  <c:v>-4.2876678347776869</c:v>
                </c:pt>
                <c:pt idx="431">
                  <c:v>-4.3585632327776862</c:v>
                </c:pt>
                <c:pt idx="432">
                  <c:v>-4.3575655264031052</c:v>
                </c:pt>
                <c:pt idx="433">
                  <c:v>-4.4924367910873162</c:v>
                </c:pt>
                <c:pt idx="434">
                  <c:v>-4.5044551715873169</c:v>
                </c:pt>
                <c:pt idx="435">
                  <c:v>-4.5152179610995118</c:v>
                </c:pt>
                <c:pt idx="436">
                  <c:v>-4.4757249670155419</c:v>
                </c:pt>
                <c:pt idx="437">
                  <c:v>-4.5558891416864284</c:v>
                </c:pt>
                <c:pt idx="438">
                  <c:v>-4.4941463606864271</c:v>
                </c:pt>
                <c:pt idx="439">
                  <c:v>-4.4737738839184713</c:v>
                </c:pt>
                <c:pt idx="440">
                  <c:v>-4.4781156355851373</c:v>
                </c:pt>
                <c:pt idx="441">
                  <c:v>-4.526213801688586</c:v>
                </c:pt>
                <c:pt idx="442">
                  <c:v>-4.4150934211496242</c:v>
                </c:pt>
                <c:pt idx="443">
                  <c:v>-4.3782837711928666</c:v>
                </c:pt>
                <c:pt idx="444">
                  <c:v>-4.2374231432413252</c:v>
                </c:pt>
                <c:pt idx="445">
                  <c:v>-4.279950506138384</c:v>
                </c:pt>
                <c:pt idx="446">
                  <c:v>-4.328051701672365</c:v>
                </c:pt>
                <c:pt idx="447">
                  <c:v>-4.2305898610389239</c:v>
                </c:pt>
                <c:pt idx="448">
                  <c:v>-4.2990677416681926</c:v>
                </c:pt>
                <c:pt idx="449">
                  <c:v>-4.3061423518809585</c:v>
                </c:pt>
                <c:pt idx="450">
                  <c:v>-4.3061423518809585</c:v>
                </c:pt>
                <c:pt idx="451">
                  <c:v>-4.3818019161285777</c:v>
                </c:pt>
                <c:pt idx="452">
                  <c:v>-4.3319497320093117</c:v>
                </c:pt>
                <c:pt idx="453">
                  <c:v>-4.3179459540988638</c:v>
                </c:pt>
                <c:pt idx="454">
                  <c:v>-4.3273533186678286</c:v>
                </c:pt>
                <c:pt idx="455">
                  <c:v>-4.3487281425923578</c:v>
                </c:pt>
                <c:pt idx="456">
                  <c:v>-4.3405769713552438</c:v>
                </c:pt>
                <c:pt idx="457">
                  <c:v>-4.2829019499375223</c:v>
                </c:pt>
                <c:pt idx="458">
                  <c:v>-4.267675814352617</c:v>
                </c:pt>
                <c:pt idx="459">
                  <c:v>-4.1709126048526155</c:v>
                </c:pt>
                <c:pt idx="460">
                  <c:v>-4.1699040154723344</c:v>
                </c:pt>
                <c:pt idx="461">
                  <c:v>-4.1689426700107957</c:v>
                </c:pt>
                <c:pt idx="462">
                  <c:v>-4.1872833648968717</c:v>
                </c:pt>
                <c:pt idx="463">
                  <c:v>-4.1866912418772646</c:v>
                </c:pt>
                <c:pt idx="464">
                  <c:v>-4.1832346138050989</c:v>
                </c:pt>
                <c:pt idx="465">
                  <c:v>-4.182569874981569</c:v>
                </c:pt>
                <c:pt idx="466">
                  <c:v>-4.1859262271015698</c:v>
                </c:pt>
                <c:pt idx="467">
                  <c:v>-4.1931485437331482</c:v>
                </c:pt>
                <c:pt idx="468">
                  <c:v>-4.1793899343581487</c:v>
                </c:pt>
                <c:pt idx="469">
                  <c:v>-4.187052184878981</c:v>
                </c:pt>
                <c:pt idx="470">
                  <c:v>-4.1994759082251347</c:v>
                </c:pt>
                <c:pt idx="471">
                  <c:v>-4.1763915744509417</c:v>
                </c:pt>
                <c:pt idx="472">
                  <c:v>-4.1823888749726814</c:v>
                </c:pt>
                <c:pt idx="473">
                  <c:v>-4.195178059402588</c:v>
                </c:pt>
                <c:pt idx="474">
                  <c:v>-4.2023864212025872</c:v>
                </c:pt>
                <c:pt idx="475">
                  <c:v>-4.1820745942502064</c:v>
                </c:pt>
                <c:pt idx="476">
                  <c:v>-4.2214038578808379</c:v>
                </c:pt>
                <c:pt idx="477">
                  <c:v>-4.3571266323851852</c:v>
                </c:pt>
                <c:pt idx="478">
                  <c:v>-4.3734402073185183</c:v>
                </c:pt>
                <c:pt idx="479">
                  <c:v>-4.3525007745211335</c:v>
                </c:pt>
                <c:pt idx="480">
                  <c:v>-4.356318380174466</c:v>
                </c:pt>
                <c:pt idx="481">
                  <c:v>-4.3633873455744672</c:v>
                </c:pt>
                <c:pt idx="482">
                  <c:v>-4.3526583836765074</c:v>
                </c:pt>
                <c:pt idx="483">
                  <c:v>-4.2895181073015074</c:v>
                </c:pt>
                <c:pt idx="484">
                  <c:v>-4.2556842835157935</c:v>
                </c:pt>
                <c:pt idx="485">
                  <c:v>-4.2625880163748535</c:v>
                </c:pt>
                <c:pt idx="486">
                  <c:v>-4.2520079382714044</c:v>
                </c:pt>
                <c:pt idx="487">
                  <c:v>-4.1995493848366223</c:v>
                </c:pt>
                <c:pt idx="488">
                  <c:v>-4.2366094176861795</c:v>
                </c:pt>
                <c:pt idx="489">
                  <c:v>-4.3074608902351992</c:v>
                </c:pt>
                <c:pt idx="490">
                  <c:v>-4.3197890950728057</c:v>
                </c:pt>
                <c:pt idx="491">
                  <c:v>-4.3650691282323155</c:v>
                </c:pt>
                <c:pt idx="492">
                  <c:v>-4.3147427772734117</c:v>
                </c:pt>
                <c:pt idx="493">
                  <c:v>-4.371371034038118</c:v>
                </c:pt>
                <c:pt idx="494">
                  <c:v>-4.2076954334416961</c:v>
                </c:pt>
                <c:pt idx="495">
                  <c:v>-3.7882512680792506</c:v>
                </c:pt>
                <c:pt idx="496">
                  <c:v>-3.7914363199792507</c:v>
                </c:pt>
                <c:pt idx="497">
                  <c:v>-3.7215077327439561</c:v>
                </c:pt>
                <c:pt idx="498">
                  <c:v>-3.7604851971967865</c:v>
                </c:pt>
                <c:pt idx="499">
                  <c:v>-3.7420871066562453</c:v>
                </c:pt>
                <c:pt idx="500">
                  <c:v>-3.7163006987521361</c:v>
                </c:pt>
                <c:pt idx="501">
                  <c:v>-3.6747779050529492</c:v>
                </c:pt>
                <c:pt idx="502">
                  <c:v>-3.6552858447672345</c:v>
                </c:pt>
                <c:pt idx="503">
                  <c:v>-3.6348604922875971</c:v>
                </c:pt>
                <c:pt idx="504">
                  <c:v>-3.6341788385664078</c:v>
                </c:pt>
                <c:pt idx="505">
                  <c:v>-3.5699230217664075</c:v>
                </c:pt>
                <c:pt idx="506">
                  <c:v>-3.6686069755283124</c:v>
                </c:pt>
                <c:pt idx="507">
                  <c:v>-3.6662873041283124</c:v>
                </c:pt>
                <c:pt idx="508">
                  <c:v>-3.7373059035727576</c:v>
                </c:pt>
                <c:pt idx="509">
                  <c:v>-3.8251549354986834</c:v>
                </c:pt>
                <c:pt idx="510">
                  <c:v>-3.7863091168714798</c:v>
                </c:pt>
                <c:pt idx="511">
                  <c:v>-3.8111168264968573</c:v>
                </c:pt>
                <c:pt idx="512">
                  <c:v>-3.5957737640257039</c:v>
                </c:pt>
                <c:pt idx="513">
                  <c:v>-3.534421636809209</c:v>
                </c:pt>
                <c:pt idx="514">
                  <c:v>-2.6751123067571134</c:v>
                </c:pt>
                <c:pt idx="515">
                  <c:v>-2.6332472053571125</c:v>
                </c:pt>
                <c:pt idx="516">
                  <c:v>-2.7096641364988456</c:v>
                </c:pt>
                <c:pt idx="517">
                  <c:v>-2.6470567905520364</c:v>
                </c:pt>
                <c:pt idx="518">
                  <c:v>-2.6542450920848832</c:v>
                </c:pt>
                <c:pt idx="519">
                  <c:v>-2.662699468490898</c:v>
                </c:pt>
                <c:pt idx="520">
                  <c:v>-2.6426971087879694</c:v>
                </c:pt>
                <c:pt idx="521">
                  <c:v>-2.6174405625925874</c:v>
                </c:pt>
                <c:pt idx="522">
                  <c:v>-2.6775030518638423</c:v>
                </c:pt>
                <c:pt idx="523">
                  <c:v>-2.5915640950560133</c:v>
                </c:pt>
                <c:pt idx="524">
                  <c:v>-2.770295255444073</c:v>
                </c:pt>
                <c:pt idx="525">
                  <c:v>-2.6742077428182069</c:v>
                </c:pt>
                <c:pt idx="526">
                  <c:v>-2.6673958037682071</c:v>
                </c:pt>
                <c:pt idx="527">
                  <c:v>-2.6161591547736118</c:v>
                </c:pt>
                <c:pt idx="528">
                  <c:v>-2.5680254746337701</c:v>
                </c:pt>
                <c:pt idx="529">
                  <c:v>-2.6317134949660281</c:v>
                </c:pt>
                <c:pt idx="530">
                  <c:v>-2.6706734267246492</c:v>
                </c:pt>
                <c:pt idx="531">
                  <c:v>-2.669529154653727</c:v>
                </c:pt>
                <c:pt idx="532">
                  <c:v>-2.6350054946487016</c:v>
                </c:pt>
                <c:pt idx="533">
                  <c:v>-2.5919928797222309</c:v>
                </c:pt>
                <c:pt idx="534">
                  <c:v>-2.6663307001570136</c:v>
                </c:pt>
                <c:pt idx="535">
                  <c:v>-2.5357201587177456</c:v>
                </c:pt>
                <c:pt idx="536">
                  <c:v>-2.6821582446359273</c:v>
                </c:pt>
                <c:pt idx="537">
                  <c:v>-2.5355671236070814</c:v>
                </c:pt>
                <c:pt idx="538">
                  <c:v>-2.7880286907646972</c:v>
                </c:pt>
                <c:pt idx="539">
                  <c:v>-2.5661239597242478</c:v>
                </c:pt>
                <c:pt idx="540">
                  <c:v>-2.6483799143868989</c:v>
                </c:pt>
                <c:pt idx="541">
                  <c:v>-2.6058517655937954</c:v>
                </c:pt>
                <c:pt idx="542">
                  <c:v>-2.7405279100674798</c:v>
                </c:pt>
                <c:pt idx="543">
                  <c:v>-2.6992474534674797</c:v>
                </c:pt>
                <c:pt idx="544">
                  <c:v>-2.7472610103435127</c:v>
                </c:pt>
                <c:pt idx="545">
                  <c:v>-2.7387943301167086</c:v>
                </c:pt>
                <c:pt idx="546">
                  <c:v>-2.6768423843927653</c:v>
                </c:pt>
                <c:pt idx="547">
                  <c:v>-2.7210112195237559</c:v>
                </c:pt>
                <c:pt idx="548">
                  <c:v>-2.6427713571497722</c:v>
                </c:pt>
                <c:pt idx="549">
                  <c:v>-2.6522640613850661</c:v>
                </c:pt>
                <c:pt idx="550">
                  <c:v>-2.7257075478930028</c:v>
                </c:pt>
                <c:pt idx="551">
                  <c:v>-3.155541497765451</c:v>
                </c:pt>
                <c:pt idx="552">
                  <c:v>-3.0816746567365123</c:v>
                </c:pt>
                <c:pt idx="553">
                  <c:v>-3.1222752898698456</c:v>
                </c:pt>
                <c:pt idx="554">
                  <c:v>-2.7928890041780021</c:v>
                </c:pt>
                <c:pt idx="555">
                  <c:v>-2.5961811673646689</c:v>
                </c:pt>
                <c:pt idx="556">
                  <c:v>-2.6975110218519789</c:v>
                </c:pt>
                <c:pt idx="557">
                  <c:v>-2.6640125629469509</c:v>
                </c:pt>
                <c:pt idx="558">
                  <c:v>-2.6865202679469506</c:v>
                </c:pt>
                <c:pt idx="559">
                  <c:v>-2.6979589006688052</c:v>
                </c:pt>
                <c:pt idx="560">
                  <c:v>-2.6882009452821385</c:v>
                </c:pt>
                <c:pt idx="561">
                  <c:v>-2.6735343068473556</c:v>
                </c:pt>
                <c:pt idx="562">
                  <c:v>-2.647962997347356</c:v>
                </c:pt>
                <c:pt idx="563">
                  <c:v>-2.660710779655048</c:v>
                </c:pt>
                <c:pt idx="564">
                  <c:v>-2.6225015537700931</c:v>
                </c:pt>
                <c:pt idx="565">
                  <c:v>-2.6089186506791839</c:v>
                </c:pt>
                <c:pt idx="566">
                  <c:v>-2.592546634888139</c:v>
                </c:pt>
                <c:pt idx="567">
                  <c:v>-2.5898418591340406</c:v>
                </c:pt>
                <c:pt idx="568">
                  <c:v>-2.5702642623158587</c:v>
                </c:pt>
                <c:pt idx="569">
                  <c:v>-2.6165451125416652</c:v>
                </c:pt>
                <c:pt idx="570">
                  <c:v>-2.6268318197492126</c:v>
                </c:pt>
                <c:pt idx="571">
                  <c:v>-2.6565150482677309</c:v>
                </c:pt>
                <c:pt idx="572">
                  <c:v>-2.6474179297739044</c:v>
                </c:pt>
                <c:pt idx="573">
                  <c:v>-2.6663823337739041</c:v>
                </c:pt>
                <c:pt idx="574">
                  <c:v>-2.6393898000160094</c:v>
                </c:pt>
                <c:pt idx="575">
                  <c:v>-2.5836242547266695</c:v>
                </c:pt>
                <c:pt idx="576">
                  <c:v>-2.5741298160670949</c:v>
                </c:pt>
                <c:pt idx="577">
                  <c:v>-2.5615213615670949</c:v>
                </c:pt>
                <c:pt idx="578">
                  <c:v>-2.5752237049670947</c:v>
                </c:pt>
                <c:pt idx="579">
                  <c:v>-2.5826874353670952</c:v>
                </c:pt>
                <c:pt idx="580">
                  <c:v>-2.5640244326084742</c:v>
                </c:pt>
                <c:pt idx="581">
                  <c:v>-2.5332313477733091</c:v>
                </c:pt>
                <c:pt idx="582">
                  <c:v>-2.4484737694841527</c:v>
                </c:pt>
                <c:pt idx="583">
                  <c:v>-2.458470190505774</c:v>
                </c:pt>
                <c:pt idx="584">
                  <c:v>-2.4745362835354769</c:v>
                </c:pt>
                <c:pt idx="585">
                  <c:v>-2.4350173847576992</c:v>
                </c:pt>
                <c:pt idx="586">
                  <c:v>-2.4152385801576997</c:v>
                </c:pt>
                <c:pt idx="587">
                  <c:v>-2.392766107306636</c:v>
                </c:pt>
                <c:pt idx="588">
                  <c:v>-2.4486469100554733</c:v>
                </c:pt>
                <c:pt idx="589">
                  <c:v>-2.4276845600554728</c:v>
                </c:pt>
                <c:pt idx="590">
                  <c:v>-2.444090838777278</c:v>
                </c:pt>
                <c:pt idx="591">
                  <c:v>-2.4754169792836067</c:v>
                </c:pt>
                <c:pt idx="592">
                  <c:v>-2.5463973055217015</c:v>
                </c:pt>
                <c:pt idx="593">
                  <c:v>-2.5280239200017016</c:v>
                </c:pt>
                <c:pt idx="594">
                  <c:v>-2.5356257839932987</c:v>
                </c:pt>
                <c:pt idx="595">
                  <c:v>-2.5516255088332986</c:v>
                </c:pt>
                <c:pt idx="596">
                  <c:v>-2.5734648055605711</c:v>
                </c:pt>
                <c:pt idx="597">
                  <c:v>-2.6009320591605709</c:v>
                </c:pt>
                <c:pt idx="598">
                  <c:v>-2.5544229424636016</c:v>
                </c:pt>
                <c:pt idx="599">
                  <c:v>-2.5726730102328319</c:v>
                </c:pt>
                <c:pt idx="600">
                  <c:v>-2.5696342375092551</c:v>
                </c:pt>
                <c:pt idx="601">
                  <c:v>-2.534065417787033</c:v>
                </c:pt>
                <c:pt idx="602">
                  <c:v>-2.5387659903522497</c:v>
                </c:pt>
                <c:pt idx="603">
                  <c:v>-2.3895062471760049</c:v>
                </c:pt>
                <c:pt idx="604">
                  <c:v>-2.3953431975289461</c:v>
                </c:pt>
                <c:pt idx="605">
                  <c:v>-2.372894876651753</c:v>
                </c:pt>
                <c:pt idx="606">
                  <c:v>-2.3940883193790254</c:v>
                </c:pt>
                <c:pt idx="607">
                  <c:v>-2.2908648390286608</c:v>
                </c:pt>
                <c:pt idx="608">
                  <c:v>-2.3235752253013886</c:v>
                </c:pt>
                <c:pt idx="609">
                  <c:v>-2.3414066499167729</c:v>
                </c:pt>
                <c:pt idx="610">
                  <c:v>-2.3818520185167729</c:v>
                </c:pt>
                <c:pt idx="611">
                  <c:v>-2.2552608486776924</c:v>
                </c:pt>
                <c:pt idx="612">
                  <c:v>-2.1654695077092714</c:v>
                </c:pt>
                <c:pt idx="613">
                  <c:v>-2.2175167029928535</c:v>
                </c:pt>
                <c:pt idx="614">
                  <c:v>-2.0931700179928536</c:v>
                </c:pt>
                <c:pt idx="615">
                  <c:v>-2.0910981124303532</c:v>
                </c:pt>
                <c:pt idx="616">
                  <c:v>-2.1520428780514056</c:v>
                </c:pt>
                <c:pt idx="617">
                  <c:v>-2.2169631470710138</c:v>
                </c:pt>
                <c:pt idx="618">
                  <c:v>-2.2144201003510138</c:v>
                </c:pt>
                <c:pt idx="619">
                  <c:v>-2.2368459612763867</c:v>
                </c:pt>
                <c:pt idx="620">
                  <c:v>-2.2258061122559787</c:v>
                </c:pt>
                <c:pt idx="621">
                  <c:v>-2.2046467591790559</c:v>
                </c:pt>
                <c:pt idx="622">
                  <c:v>-2.2216170217053719</c:v>
                </c:pt>
                <c:pt idx="623">
                  <c:v>-2.1847840886831493</c:v>
                </c:pt>
                <c:pt idx="624">
                  <c:v>-2.1713499150661284</c:v>
                </c:pt>
                <c:pt idx="625">
                  <c:v>-2.1777947249449161</c:v>
                </c:pt>
                <c:pt idx="626">
                  <c:v>-2.198739819103332</c:v>
                </c:pt>
                <c:pt idx="627">
                  <c:v>-2.1786062118136122</c:v>
                </c:pt>
                <c:pt idx="628">
                  <c:v>-2.2020548501080288</c:v>
                </c:pt>
                <c:pt idx="629">
                  <c:v>-2.1905208689541826</c:v>
                </c:pt>
                <c:pt idx="630">
                  <c:v>-2.2007170118113253</c:v>
                </c:pt>
                <c:pt idx="631">
                  <c:v>-2.193624555876899</c:v>
                </c:pt>
                <c:pt idx="632">
                  <c:v>-2.1552982768398619</c:v>
                </c:pt>
                <c:pt idx="633">
                  <c:v>-2.1605338085541481</c:v>
                </c:pt>
                <c:pt idx="634">
                  <c:v>-2.2004616597541475</c:v>
                </c:pt>
                <c:pt idx="635">
                  <c:v>-2.1720123398341475</c:v>
                </c:pt>
                <c:pt idx="636">
                  <c:v>-2.0921032152317385</c:v>
                </c:pt>
                <c:pt idx="637">
                  <c:v>-1.9810964776484052</c:v>
                </c:pt>
                <c:pt idx="638">
                  <c:v>-1.9327549923380605</c:v>
                </c:pt>
                <c:pt idx="639">
                  <c:v>-1.9528469202648897</c:v>
                </c:pt>
                <c:pt idx="640">
                  <c:v>-1.9510397162993722</c:v>
                </c:pt>
                <c:pt idx="641">
                  <c:v>-1.9494570676896159</c:v>
                </c:pt>
                <c:pt idx="642">
                  <c:v>-1.9438207386896162</c:v>
                </c:pt>
                <c:pt idx="643">
                  <c:v>-1.9627541929696162</c:v>
                </c:pt>
                <c:pt idx="644">
                  <c:v>-1.9506805078414113</c:v>
                </c:pt>
                <c:pt idx="645">
                  <c:v>-1.9442924077489743</c:v>
                </c:pt>
                <c:pt idx="646">
                  <c:v>-1.9569553576927945</c:v>
                </c:pt>
                <c:pt idx="647">
                  <c:v>-1.9647875056927946</c:v>
                </c:pt>
                <c:pt idx="648">
                  <c:v>-1.9548900207761277</c:v>
                </c:pt>
                <c:pt idx="649">
                  <c:v>-1.9536143721863841</c:v>
                </c:pt>
                <c:pt idx="650">
                  <c:v>-1.9642104745863844</c:v>
                </c:pt>
                <c:pt idx="651">
                  <c:v>-1.8702448373400076</c:v>
                </c:pt>
                <c:pt idx="652">
                  <c:v>-1.89946370524292</c:v>
                </c:pt>
                <c:pt idx="653">
                  <c:v>-1.8716388099525973</c:v>
                </c:pt>
                <c:pt idx="654">
                  <c:v>-1.8215439698444891</c:v>
                </c:pt>
                <c:pt idx="655">
                  <c:v>-1.73479096181632</c:v>
                </c:pt>
                <c:pt idx="656">
                  <c:v>-1.734573041988734</c:v>
                </c:pt>
                <c:pt idx="657">
                  <c:v>-1.7408207949346799</c:v>
                </c:pt>
                <c:pt idx="658">
                  <c:v>-1.7198767164931215</c:v>
                </c:pt>
                <c:pt idx="659">
                  <c:v>-1.687803298267315</c:v>
                </c:pt>
                <c:pt idx="660">
                  <c:v>-1.688193865787315</c:v>
                </c:pt>
                <c:pt idx="661">
                  <c:v>-1.6715722439873151</c:v>
                </c:pt>
                <c:pt idx="662">
                  <c:v>-1.7147878321907049</c:v>
                </c:pt>
                <c:pt idx="663">
                  <c:v>-1.7405209701694286</c:v>
                </c:pt>
                <c:pt idx="664">
                  <c:v>-1.754662043999216</c:v>
                </c:pt>
                <c:pt idx="665">
                  <c:v>-1.7389742915420732</c:v>
                </c:pt>
                <c:pt idx="666">
                  <c:v>-1.7056067277020732</c:v>
                </c:pt>
                <c:pt idx="667">
                  <c:v>-1.7182801944931179</c:v>
                </c:pt>
                <c:pt idx="668">
                  <c:v>-1.7151339044000946</c:v>
                </c:pt>
                <c:pt idx="669">
                  <c:v>-1.725157669665401</c:v>
                </c:pt>
                <c:pt idx="670">
                  <c:v>-1.6834717382536364</c:v>
                </c:pt>
                <c:pt idx="671">
                  <c:v>-1.7010001506250649</c:v>
                </c:pt>
                <c:pt idx="672">
                  <c:v>-1.7111813046046567</c:v>
                </c:pt>
                <c:pt idx="673">
                  <c:v>-1.7224224832410204</c:v>
                </c:pt>
                <c:pt idx="674">
                  <c:v>-1.6950610159518638</c:v>
                </c:pt>
                <c:pt idx="675">
                  <c:v>-1.654950626110594</c:v>
                </c:pt>
                <c:pt idx="676">
                  <c:v>-1.7200380348478204</c:v>
                </c:pt>
                <c:pt idx="677">
                  <c:v>-1.6589586968478203</c:v>
                </c:pt>
                <c:pt idx="678">
                  <c:v>-1.6215359832763916</c:v>
                </c:pt>
                <c:pt idx="679">
                  <c:v>-1.6136349009788711</c:v>
                </c:pt>
                <c:pt idx="680">
                  <c:v>-1.6386352951546954</c:v>
                </c:pt>
                <c:pt idx="681">
                  <c:v>-1.6526178108689811</c:v>
                </c:pt>
                <c:pt idx="682">
                  <c:v>-1.6507972329230349</c:v>
                </c:pt>
                <c:pt idx="683">
                  <c:v>-1.6493186962165676</c:v>
                </c:pt>
                <c:pt idx="684">
                  <c:v>-1.6300542193229506</c:v>
                </c:pt>
                <c:pt idx="685">
                  <c:v>-1.6262073083012116</c:v>
                </c:pt>
                <c:pt idx="686">
                  <c:v>-1.6403120533035755</c:v>
                </c:pt>
                <c:pt idx="687">
                  <c:v>-1.6010487506410056</c:v>
                </c:pt>
                <c:pt idx="688">
                  <c:v>-1.609423541220445</c:v>
                </c:pt>
                <c:pt idx="689">
                  <c:v>-1.6060399115692821</c:v>
                </c:pt>
                <c:pt idx="690">
                  <c:v>-1.5940289635258038</c:v>
                </c:pt>
                <c:pt idx="691">
                  <c:v>-1.539887163525804</c:v>
                </c:pt>
                <c:pt idx="692">
                  <c:v>-1.5007915029434746</c:v>
                </c:pt>
                <c:pt idx="693">
                  <c:v>-1.5146361089287688</c:v>
                </c:pt>
                <c:pt idx="694">
                  <c:v>-1.5402593475954356</c:v>
                </c:pt>
                <c:pt idx="695">
                  <c:v>-1.5484811855448029</c:v>
                </c:pt>
                <c:pt idx="696">
                  <c:v>-1.5431520155448029</c:v>
                </c:pt>
                <c:pt idx="697">
                  <c:v>-1.5506084478781361</c:v>
                </c:pt>
                <c:pt idx="698">
                  <c:v>-1.5278365395789233</c:v>
                </c:pt>
                <c:pt idx="699">
                  <c:v>-1.4862480347045515</c:v>
                </c:pt>
                <c:pt idx="700">
                  <c:v>-1.4914008426352443</c:v>
                </c:pt>
                <c:pt idx="701">
                  <c:v>-1.4846740575132933</c:v>
                </c:pt>
                <c:pt idx="702">
                  <c:v>-1.4686076794537188</c:v>
                </c:pt>
                <c:pt idx="703">
                  <c:v>-1.4597369919468695</c:v>
                </c:pt>
                <c:pt idx="704">
                  <c:v>-1.4553533404853309</c:v>
                </c:pt>
                <c:pt idx="705">
                  <c:v>-1.4260863136589836</c:v>
                </c:pt>
                <c:pt idx="706">
                  <c:v>-1.458196643340802</c:v>
                </c:pt>
                <c:pt idx="707">
                  <c:v>-1.4518770415283018</c:v>
                </c:pt>
                <c:pt idx="708">
                  <c:v>-1.464591628176189</c:v>
                </c:pt>
                <c:pt idx="709">
                  <c:v>-1.4314384285752499</c:v>
                </c:pt>
                <c:pt idx="710">
                  <c:v>-1.4565814802738801</c:v>
                </c:pt>
                <c:pt idx="711">
                  <c:v>-1.4493336272814556</c:v>
                </c:pt>
                <c:pt idx="712">
                  <c:v>-1.4482503007429943</c:v>
                </c:pt>
                <c:pt idx="713">
                  <c:v>-1.3616359980988224</c:v>
                </c:pt>
                <c:pt idx="714">
                  <c:v>-1.3639900421432671</c:v>
                </c:pt>
                <c:pt idx="715">
                  <c:v>-1.451395827404198</c:v>
                </c:pt>
                <c:pt idx="716">
                  <c:v>-1.0506361451535196</c:v>
                </c:pt>
                <c:pt idx="717">
                  <c:v>-1.0745980039429932</c:v>
                </c:pt>
                <c:pt idx="718">
                  <c:v>-1.0582184386595286</c:v>
                </c:pt>
                <c:pt idx="719">
                  <c:v>-1.0739285324350387</c:v>
                </c:pt>
                <c:pt idx="720">
                  <c:v>-1.0700324682304934</c:v>
                </c:pt>
                <c:pt idx="721">
                  <c:v>-1.1117069132175064</c:v>
                </c:pt>
                <c:pt idx="722">
                  <c:v>-1.1325004764101667</c:v>
                </c:pt>
                <c:pt idx="723">
                  <c:v>-1.1252101529815954</c:v>
                </c:pt>
                <c:pt idx="724">
                  <c:v>-1.1307170669815956</c:v>
                </c:pt>
                <c:pt idx="725">
                  <c:v>-1.1242380726958812</c:v>
                </c:pt>
                <c:pt idx="726">
                  <c:v>-1.1267254092131225</c:v>
                </c:pt>
                <c:pt idx="727">
                  <c:v>-1.1230169088364992</c:v>
                </c:pt>
                <c:pt idx="728">
                  <c:v>-1.1046465368300475</c:v>
                </c:pt>
                <c:pt idx="729">
                  <c:v>-1.1154367749177667</c:v>
                </c:pt>
                <c:pt idx="730">
                  <c:v>-1.1162413183622113</c:v>
                </c:pt>
                <c:pt idx="731">
                  <c:v>-1.1267787749105984</c:v>
                </c:pt>
                <c:pt idx="732">
                  <c:v>-1.1303664861936171</c:v>
                </c:pt>
                <c:pt idx="733">
                  <c:v>-1.1310255619936171</c:v>
                </c:pt>
                <c:pt idx="734">
                  <c:v>-1.1287131560491728</c:v>
                </c:pt>
                <c:pt idx="735">
                  <c:v>-1.1394204439315259</c:v>
                </c:pt>
                <c:pt idx="736">
                  <c:v>-1.1253579148406168</c:v>
                </c:pt>
                <c:pt idx="737">
                  <c:v>-1.0937702400556706</c:v>
                </c:pt>
                <c:pt idx="738">
                  <c:v>-1.0934060104203767</c:v>
                </c:pt>
                <c:pt idx="739">
                  <c:v>-1.0969317015423279</c:v>
                </c:pt>
                <c:pt idx="740">
                  <c:v>-1.0910973142346354</c:v>
                </c:pt>
                <c:pt idx="741">
                  <c:v>-1.0930103963146356</c:v>
                </c:pt>
                <c:pt idx="742">
                  <c:v>-1.0845142556353902</c:v>
                </c:pt>
                <c:pt idx="743">
                  <c:v>-1.0770180396105968</c:v>
                </c:pt>
                <c:pt idx="744">
                  <c:v>-1.0810906372523879</c:v>
                </c:pt>
                <c:pt idx="745">
                  <c:v>-1.0872905010613765</c:v>
                </c:pt>
                <c:pt idx="746">
                  <c:v>-1.0754785749514864</c:v>
                </c:pt>
                <c:pt idx="747">
                  <c:v>-1.0879018219514862</c:v>
                </c:pt>
                <c:pt idx="748">
                  <c:v>-1.0612169109326184</c:v>
                </c:pt>
                <c:pt idx="749">
                  <c:v>-1.0716985073897614</c:v>
                </c:pt>
                <c:pt idx="750">
                  <c:v>-1.0477500653897613</c:v>
                </c:pt>
                <c:pt idx="751">
                  <c:v>-1.0409452619390571</c:v>
                </c:pt>
                <c:pt idx="752">
                  <c:v>-1.0141029677375069</c:v>
                </c:pt>
                <c:pt idx="753">
                  <c:v>-1.0392890309375069</c:v>
                </c:pt>
                <c:pt idx="754">
                  <c:v>-1.0083679133375067</c:v>
                </c:pt>
                <c:pt idx="755">
                  <c:v>-0.95416659152798311</c:v>
                </c:pt>
                <c:pt idx="756">
                  <c:v>-0.99076461747625899</c:v>
                </c:pt>
                <c:pt idx="757">
                  <c:v>-0.97903816057738258</c:v>
                </c:pt>
                <c:pt idx="758">
                  <c:v>-0.97993800290296396</c:v>
                </c:pt>
                <c:pt idx="759">
                  <c:v>-0.94987418312355199</c:v>
                </c:pt>
                <c:pt idx="760">
                  <c:v>-0.95153020564207069</c:v>
                </c:pt>
                <c:pt idx="761">
                  <c:v>-0.93299616600570701</c:v>
                </c:pt>
                <c:pt idx="762">
                  <c:v>-0.84925373850570685</c:v>
                </c:pt>
                <c:pt idx="763">
                  <c:v>-0.7648703123670928</c:v>
                </c:pt>
                <c:pt idx="764">
                  <c:v>-0.93128772001926674</c:v>
                </c:pt>
                <c:pt idx="765">
                  <c:v>-0.94974914187640969</c:v>
                </c:pt>
                <c:pt idx="766">
                  <c:v>-0.95227845790272547</c:v>
                </c:pt>
                <c:pt idx="767">
                  <c:v>-0.91655027839452896</c:v>
                </c:pt>
                <c:pt idx="768">
                  <c:v>-0.90335024593838842</c:v>
                </c:pt>
                <c:pt idx="769">
                  <c:v>-0.90564064119190957</c:v>
                </c:pt>
                <c:pt idx="770">
                  <c:v>-0.86260679715651145</c:v>
                </c:pt>
                <c:pt idx="771">
                  <c:v>-0.96495436745210872</c:v>
                </c:pt>
                <c:pt idx="772">
                  <c:v>-1.0073581489969363</c:v>
                </c:pt>
                <c:pt idx="773">
                  <c:v>-0.92911528906076613</c:v>
                </c:pt>
                <c:pt idx="774">
                  <c:v>-0.648826603796124</c:v>
                </c:pt>
                <c:pt idx="775">
                  <c:v>-0.61337289221351521</c:v>
                </c:pt>
                <c:pt idx="776">
                  <c:v>-0.41183864428018202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92-4196-9C9F-ECF00299E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439167"/>
        <c:axId val="141439583"/>
      </c:lineChart>
      <c:dateAx>
        <c:axId val="14143916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39583"/>
        <c:crosses val="autoZero"/>
        <c:auto val="1"/>
        <c:lblOffset val="100"/>
        <c:baseTimeUnit val="days"/>
      </c:dateAx>
      <c:valAx>
        <c:axId val="141439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39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CDAB34F-A016-49D8-BE9E-4CF08167B214}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74E964-8130-4960-AB21-DA1F4B6DA6A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0.34899999999999998</v>
      </c>
      <c r="D2" s="4">
        <f>MIN(D3:D1912)</f>
        <v>4.3E-3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5.015E-2</v>
      </c>
      <c r="C5">
        <v>5.0500000000000003E-2</v>
      </c>
      <c r="D5">
        <v>4.8750000000000002E-2</v>
      </c>
      <c r="E5">
        <v>4.8829999999999998E-2</v>
      </c>
      <c r="F5">
        <v>303121.09999999998</v>
      </c>
      <c r="G5">
        <v>4.8829999999999998E-2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-0.90857142857143236</v>
      </c>
      <c r="Q5">
        <f t="shared" ref="Q5" si="1">F5*P5</f>
        <v>-275407.170857144</v>
      </c>
      <c r="R5">
        <f t="shared" ref="R5" si="2">R6+Q5</f>
        <v>-5696571092.8489485</v>
      </c>
      <c r="S5">
        <f t="shared" ref="S5" si="3">R5/100000</f>
        <v>-56965.710928489483</v>
      </c>
      <c r="T5">
        <f t="shared" ref="T5" si="4">S5/1000</f>
        <v>-56.965710928489486</v>
      </c>
    </row>
    <row r="6" spans="1:20" x14ac:dyDescent="0.25">
      <c r="A6" s="5">
        <v>44587</v>
      </c>
      <c r="B6">
        <v>4.9050000000000003E-2</v>
      </c>
      <c r="C6">
        <v>5.3240000000000003E-2</v>
      </c>
      <c r="D6">
        <v>4.827E-2</v>
      </c>
      <c r="E6">
        <v>4.9939999999999998E-2</v>
      </c>
      <c r="F6">
        <v>12051939.4</v>
      </c>
      <c r="G6">
        <v>4.9939999999999998E-2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-0.32796780684104743</v>
      </c>
      <c r="Q6">
        <f t="shared" ref="Q6" si="6">F6*P6</f>
        <v>-3952648.1331992093</v>
      </c>
      <c r="R6">
        <f t="shared" ref="R6" si="7">R7+Q6</f>
        <v>-5696295685.678091</v>
      </c>
      <c r="S6">
        <f t="shared" ref="S6" si="8">R6/100000</f>
        <v>-56962.956856780911</v>
      </c>
      <c r="T6">
        <f t="shared" ref="T6" si="9">S6/1000</f>
        <v>-56.962956856780913</v>
      </c>
    </row>
    <row r="7" spans="1:20" x14ac:dyDescent="0.25">
      <c r="A7" s="5">
        <v>44586</v>
      </c>
      <c r="B7">
        <v>4.9000000000000002E-2</v>
      </c>
      <c r="C7">
        <v>5.0130000000000001E-2</v>
      </c>
      <c r="D7">
        <v>4.7399999999999998E-2</v>
      </c>
      <c r="E7">
        <v>4.9140000000000003E-2</v>
      </c>
      <c r="F7">
        <v>11687447.199999999</v>
      </c>
      <c r="G7">
        <v>4.9140000000000003E-2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0.27472527472527719</v>
      </c>
      <c r="Q7">
        <f t="shared" ref="Q7" si="11">F7*P7</f>
        <v>3210837.1428571716</v>
      </c>
      <c r="R7">
        <f t="shared" ref="R7" si="12">R8+Q7</f>
        <v>-5692343037.5448923</v>
      </c>
      <c r="S7">
        <f t="shared" ref="S7" si="13">R7/100000</f>
        <v>-56923.430375448923</v>
      </c>
      <c r="T7">
        <f t="shared" ref="T7" si="14">S7/1000</f>
        <v>-56.923430375448923</v>
      </c>
    </row>
    <row r="8" spans="1:20" x14ac:dyDescent="0.25">
      <c r="A8" s="5">
        <v>44585</v>
      </c>
      <c r="B8">
        <v>5.006E-2</v>
      </c>
      <c r="C8">
        <v>5.006E-2</v>
      </c>
      <c r="D8">
        <v>4.3659999999999997E-2</v>
      </c>
      <c r="E8">
        <v>4.8899999999999999E-2</v>
      </c>
      <c r="F8">
        <v>16148585.5</v>
      </c>
      <c r="G8">
        <v>4.8899999999999999E-2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0.63749999999999973</v>
      </c>
      <c r="Q8">
        <f t="shared" ref="Q8" si="16">F8*P8</f>
        <v>10294723.256249996</v>
      </c>
      <c r="R8">
        <f t="shared" ref="R8" si="17">R9+Q8</f>
        <v>-5695553874.6877499</v>
      </c>
      <c r="S8">
        <f t="shared" ref="S8" si="18">R8/100000</f>
        <v>-56955.538746877501</v>
      </c>
      <c r="T8">
        <f t="shared" ref="T8" si="19">S8/1000</f>
        <v>-56.955538746877501</v>
      </c>
    </row>
    <row r="9" spans="1:20" x14ac:dyDescent="0.25">
      <c r="A9" s="5">
        <v>44584</v>
      </c>
      <c r="B9">
        <v>4.9390000000000003E-2</v>
      </c>
      <c r="C9">
        <v>5.3129999999999997E-2</v>
      </c>
      <c r="D9">
        <v>4.6589999999999999E-2</v>
      </c>
      <c r="E9">
        <v>5.0090000000000003E-2</v>
      </c>
      <c r="F9">
        <v>12262266.300000001</v>
      </c>
      <c r="G9">
        <v>5.0090000000000003E-2</v>
      </c>
      <c r="L9" t="s">
        <v>8</v>
      </c>
      <c r="M9" t="s">
        <v>7</v>
      </c>
      <c r="N9" t="s">
        <v>7</v>
      </c>
      <c r="P9">
        <f t="shared" ref="P9" si="20">IF(C9=D9,0,((E9-D9)-(C9-E9))/(C9-D9))</f>
        <v>7.0336391437310283E-2</v>
      </c>
      <c r="Q9">
        <f t="shared" ref="Q9" si="21">F9*P9</f>
        <v>862483.56238533847</v>
      </c>
      <c r="R9">
        <f t="shared" ref="R9" si="22">R10+Q9</f>
        <v>-5705848597.9440002</v>
      </c>
      <c r="S9">
        <f t="shared" ref="S9" si="23">R9/100000</f>
        <v>-57058.485979440004</v>
      </c>
      <c r="T9">
        <f t="shared" ref="T9" si="24">S9/1000</f>
        <v>-57.05848597944</v>
      </c>
    </row>
    <row r="10" spans="1:20" x14ac:dyDescent="0.25">
      <c r="A10" s="5">
        <v>44583</v>
      </c>
      <c r="B10">
        <v>5.3199999999999997E-2</v>
      </c>
      <c r="C10">
        <v>5.7020000000000001E-2</v>
      </c>
      <c r="D10">
        <v>4.5870000000000001E-2</v>
      </c>
      <c r="E10">
        <v>4.9390000000000003E-2</v>
      </c>
      <c r="F10">
        <v>38531554</v>
      </c>
      <c r="G10">
        <v>4.9390000000000003E-2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-0.36860986547085162</v>
      </c>
      <c r="Q10">
        <f t="shared" ref="Q10" si="26">F10*P10</f>
        <v>-14203110.936322855</v>
      </c>
      <c r="R10">
        <f t="shared" ref="R10" si="27">R11+Q10</f>
        <v>-5706711081.5063858</v>
      </c>
      <c r="S10">
        <f t="shared" ref="S10" si="28">R10/100000</f>
        <v>-57067.110815063861</v>
      </c>
      <c r="T10">
        <f t="shared" ref="T10" si="29">S10/1000</f>
        <v>-57.067110815063863</v>
      </c>
    </row>
    <row r="11" spans="1:20" x14ac:dyDescent="0.25">
      <c r="A11" s="5">
        <v>44582</v>
      </c>
      <c r="B11">
        <v>6.4079999999999998E-2</v>
      </c>
      <c r="C11">
        <v>6.5600000000000006E-2</v>
      </c>
      <c r="D11">
        <v>5.1839999999999997E-2</v>
      </c>
      <c r="E11">
        <v>5.3109999999999997E-2</v>
      </c>
      <c r="F11">
        <v>48500718.5</v>
      </c>
      <c r="G11">
        <v>5.3109999999999997E-2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-0.81540697674418616</v>
      </c>
      <c r="Q11">
        <f t="shared" ref="Q11" si="31">F11*P11</f>
        <v>-39547824.242005818</v>
      </c>
      <c r="R11">
        <f t="shared" ref="R11" si="32">R12+Q11</f>
        <v>-5692507970.5700626</v>
      </c>
      <c r="S11">
        <f t="shared" ref="S11" si="33">R11/100000</f>
        <v>-56925.079705700628</v>
      </c>
      <c r="T11">
        <f t="shared" ref="T11" si="34">S11/1000</f>
        <v>-56.925079705700625</v>
      </c>
    </row>
    <row r="12" spans="1:20" x14ac:dyDescent="0.25">
      <c r="A12" s="5">
        <v>44581</v>
      </c>
      <c r="B12">
        <v>6.4930000000000002E-2</v>
      </c>
      <c r="C12">
        <v>7.2999999999999995E-2</v>
      </c>
      <c r="D12">
        <v>6.3780000000000003E-2</v>
      </c>
      <c r="E12">
        <v>6.3969999999999999E-2</v>
      </c>
      <c r="F12">
        <v>30261857.300000001</v>
      </c>
      <c r="G12">
        <v>6.3969999999999999E-2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-0.95878524945770149</v>
      </c>
      <c r="Q12">
        <f t="shared" ref="Q12" si="36">F12*P12</f>
        <v>-29014622.400433864</v>
      </c>
      <c r="R12">
        <f t="shared" ref="R12" si="37">R13+Q12</f>
        <v>-5652960146.3280573</v>
      </c>
      <c r="S12">
        <f t="shared" ref="S12" si="38">R12/100000</f>
        <v>-56529.601463280575</v>
      </c>
      <c r="T12">
        <f t="shared" ref="T12" si="39">S12/1000</f>
        <v>-56.529601463280578</v>
      </c>
    </row>
    <row r="13" spans="1:20" x14ac:dyDescent="0.25">
      <c r="A13" s="5">
        <v>44580</v>
      </c>
      <c r="B13">
        <v>6.5970000000000001E-2</v>
      </c>
      <c r="C13">
        <v>6.658E-2</v>
      </c>
      <c r="D13">
        <v>6.2829999999999997E-2</v>
      </c>
      <c r="E13">
        <v>6.4930000000000002E-2</v>
      </c>
      <c r="F13">
        <v>6987765.5</v>
      </c>
      <c r="G13">
        <v>6.4930000000000002E-2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0.12000000000000148</v>
      </c>
      <c r="Q13">
        <f t="shared" ref="Q13" si="41">F13*P13</f>
        <v>838531.86000001035</v>
      </c>
      <c r="R13">
        <f t="shared" ref="R13" si="42">R14+Q13</f>
        <v>-5623945523.9276237</v>
      </c>
      <c r="S13">
        <f t="shared" ref="S13" si="43">R13/100000</f>
        <v>-56239.455239276234</v>
      </c>
      <c r="T13">
        <f t="shared" ref="T13" si="44">S13/1000</f>
        <v>-56.239455239276232</v>
      </c>
    </row>
    <row r="14" spans="1:20" x14ac:dyDescent="0.25">
      <c r="A14" s="5">
        <v>44579</v>
      </c>
      <c r="B14">
        <v>6.8769999999999998E-2</v>
      </c>
      <c r="C14">
        <v>6.8989999999999996E-2</v>
      </c>
      <c r="D14">
        <v>6.4000000000000001E-2</v>
      </c>
      <c r="E14">
        <v>6.5809999999999994E-2</v>
      </c>
      <c r="F14">
        <v>9062696.8000000007</v>
      </c>
      <c r="G14">
        <v>6.5809999999999994E-2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-0.27454909819639511</v>
      </c>
      <c r="Q14">
        <f t="shared" ref="Q14" si="46">F14*P14</f>
        <v>-2488155.233667356</v>
      </c>
      <c r="R14">
        <f t="shared" ref="R14" si="47">R15+Q14</f>
        <v>-5624784055.7876234</v>
      </c>
      <c r="S14">
        <f t="shared" ref="S14" si="48">R14/100000</f>
        <v>-56247.840557876232</v>
      </c>
      <c r="T14">
        <f t="shared" ref="T14" si="49">S14/1000</f>
        <v>-56.247840557876231</v>
      </c>
    </row>
    <row r="15" spans="1:20" x14ac:dyDescent="0.25">
      <c r="A15" s="5">
        <v>44578</v>
      </c>
      <c r="B15">
        <v>7.1419999999999997E-2</v>
      </c>
      <c r="C15">
        <v>7.1660000000000001E-2</v>
      </c>
      <c r="D15">
        <v>6.7699999999999996E-2</v>
      </c>
      <c r="E15">
        <v>6.8769999999999998E-2</v>
      </c>
      <c r="F15">
        <v>5779550.7999999998</v>
      </c>
      <c r="G15">
        <v>6.8769999999999998E-2</v>
      </c>
      <c r="L15" t="s">
        <v>8</v>
      </c>
      <c r="M15" t="s">
        <v>8</v>
      </c>
      <c r="N15" t="s">
        <v>7</v>
      </c>
      <c r="P15">
        <f t="shared" ref="P15" si="50">IF(C15=D15,0,((E15-D15)-(C15-E15))/(C15-D15))</f>
        <v>-0.45959595959595956</v>
      </c>
      <c r="Q15">
        <f t="shared" ref="Q15" si="51">F15*P15</f>
        <v>-2656258.1959595955</v>
      </c>
      <c r="R15">
        <f t="shared" ref="R15" si="52">R16+Q15</f>
        <v>-5622295900.553956</v>
      </c>
      <c r="S15">
        <f t="shared" ref="S15" si="53">R15/100000</f>
        <v>-56222.95900553956</v>
      </c>
      <c r="T15">
        <f t="shared" ref="T15" si="54">S15/1000</f>
        <v>-56.222959005539558</v>
      </c>
    </row>
    <row r="16" spans="1:20" x14ac:dyDescent="0.25">
      <c r="A16" s="5">
        <v>44577</v>
      </c>
      <c r="B16">
        <v>7.0690000000000003E-2</v>
      </c>
      <c r="C16">
        <v>7.2800000000000004E-2</v>
      </c>
      <c r="D16">
        <v>6.9629999999999997E-2</v>
      </c>
      <c r="E16">
        <v>7.1249999999999994E-2</v>
      </c>
      <c r="F16">
        <v>7038732.2999999998</v>
      </c>
      <c r="G16">
        <v>7.1249999999999994E-2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2.2082018927440571E-2</v>
      </c>
      <c r="Q16">
        <f t="shared" ref="Q16" si="56">F16*P16</f>
        <v>155429.41987378729</v>
      </c>
      <c r="R16">
        <f t="shared" ref="R16" si="57">R17+Q16</f>
        <v>-5619639642.357996</v>
      </c>
      <c r="S16">
        <f t="shared" ref="S16" si="58">R16/100000</f>
        <v>-56196.396423579958</v>
      </c>
      <c r="T16">
        <f t="shared" ref="T16" si="59">S16/1000</f>
        <v>-56.196396423579955</v>
      </c>
    </row>
    <row r="17" spans="1:20" x14ac:dyDescent="0.25">
      <c r="A17" s="5">
        <v>44576</v>
      </c>
      <c r="B17">
        <v>6.8919999999999995E-2</v>
      </c>
      <c r="C17">
        <v>7.2910000000000003E-2</v>
      </c>
      <c r="D17">
        <v>6.7710000000000006E-2</v>
      </c>
      <c r="E17">
        <v>7.0639999999999994E-2</v>
      </c>
      <c r="F17">
        <v>13358204.4</v>
      </c>
      <c r="G17">
        <v>7.0639999999999994E-2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0.12692307692307317</v>
      </c>
      <c r="Q17">
        <f t="shared" ref="Q17" si="61">F17*P17</f>
        <v>1695464.4046153345</v>
      </c>
      <c r="R17">
        <f t="shared" ref="R17" si="62">R18+Q17</f>
        <v>-5619795071.7778702</v>
      </c>
      <c r="S17">
        <f t="shared" ref="S17" si="63">R17/100000</f>
        <v>-56197.950717778702</v>
      </c>
      <c r="T17">
        <f t="shared" ref="T17" si="64">S17/1000</f>
        <v>-56.197950717778703</v>
      </c>
    </row>
    <row r="18" spans="1:20" x14ac:dyDescent="0.25">
      <c r="A18" s="5">
        <v>44575</v>
      </c>
      <c r="B18">
        <v>7.0400000000000004E-2</v>
      </c>
      <c r="C18">
        <v>7.4219999999999994E-2</v>
      </c>
      <c r="D18">
        <v>6.5310000000000007E-2</v>
      </c>
      <c r="E18">
        <v>6.8849999999999995E-2</v>
      </c>
      <c r="F18">
        <v>57181632.600000001</v>
      </c>
      <c r="G18">
        <v>6.8849999999999995E-2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-0.20538720538720703</v>
      </c>
      <c r="Q18">
        <f t="shared" ref="Q18" si="66">F18*P18</f>
        <v>-11744375.719192013</v>
      </c>
      <c r="R18">
        <f t="shared" ref="R18" si="67">R19+Q18</f>
        <v>-5621490536.1824856</v>
      </c>
      <c r="S18">
        <f t="shared" ref="S18" si="68">R18/100000</f>
        <v>-56214.905361824858</v>
      </c>
      <c r="T18">
        <f t="shared" ref="T18" si="69">S18/1000</f>
        <v>-56.214905361824862</v>
      </c>
    </row>
    <row r="19" spans="1:20" x14ac:dyDescent="0.25">
      <c r="A19" s="5">
        <v>44574</v>
      </c>
      <c r="B19">
        <v>7.2609999999999994E-2</v>
      </c>
      <c r="C19">
        <v>7.4090000000000003E-2</v>
      </c>
      <c r="D19">
        <v>6.9690000000000002E-2</v>
      </c>
      <c r="E19">
        <v>7.0370000000000002E-2</v>
      </c>
      <c r="F19">
        <v>14044969.199999999</v>
      </c>
      <c r="G19">
        <v>7.0370000000000002E-2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-0.69090909090909092</v>
      </c>
      <c r="Q19">
        <f t="shared" ref="Q19" si="71">F19*P19</f>
        <v>-9703796.9018181823</v>
      </c>
      <c r="R19">
        <f t="shared" ref="R19" si="72">R20+Q19</f>
        <v>-5609746160.463294</v>
      </c>
      <c r="S19">
        <f t="shared" ref="S19" si="73">R19/100000</f>
        <v>-56097.461604632939</v>
      </c>
      <c r="T19">
        <f t="shared" ref="T19" si="74">S19/1000</f>
        <v>-56.09746160463294</v>
      </c>
    </row>
    <row r="20" spans="1:20" x14ac:dyDescent="0.25">
      <c r="A20" s="5">
        <v>44573</v>
      </c>
      <c r="B20">
        <v>6.9070000000000006E-2</v>
      </c>
      <c r="C20">
        <v>7.6660000000000006E-2</v>
      </c>
      <c r="D20">
        <v>6.862E-2</v>
      </c>
      <c r="E20">
        <v>7.2559999999999999E-2</v>
      </c>
      <c r="F20">
        <v>21004598.699999999</v>
      </c>
      <c r="G20">
        <v>7.2559999999999999E-2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-1.9900497512438713E-2</v>
      </c>
      <c r="Q20">
        <f t="shared" ref="Q20" si="76">F20*P20</f>
        <v>-418001.9641791234</v>
      </c>
      <c r="R20">
        <f t="shared" ref="R20" si="77">R21+Q20</f>
        <v>-5600042363.5614758</v>
      </c>
      <c r="S20">
        <f t="shared" ref="S20" si="78">R20/100000</f>
        <v>-56000.423635614759</v>
      </c>
      <c r="T20">
        <f t="shared" ref="T20" si="79">S20/1000</f>
        <v>-56.000423635614759</v>
      </c>
    </row>
    <row r="21" spans="1:20" x14ac:dyDescent="0.25">
      <c r="A21" s="5">
        <v>44572</v>
      </c>
      <c r="B21">
        <v>6.6909999999999997E-2</v>
      </c>
      <c r="C21">
        <v>7.0010000000000003E-2</v>
      </c>
      <c r="D21">
        <v>6.6040000000000001E-2</v>
      </c>
      <c r="E21">
        <v>6.9070000000000006E-2</v>
      </c>
      <c r="F21">
        <v>6601481.5</v>
      </c>
      <c r="G21">
        <v>6.9070000000000006E-2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0.52644836272040496</v>
      </c>
      <c r="Q21">
        <f t="shared" ref="Q21" si="81">F21*P21</f>
        <v>3475339.1272040429</v>
      </c>
      <c r="R21">
        <f t="shared" ref="R21" si="82">R22+Q21</f>
        <v>-5599624361.5972967</v>
      </c>
      <c r="S21">
        <f t="shared" ref="S21" si="83">R21/100000</f>
        <v>-55996.24361597297</v>
      </c>
      <c r="T21">
        <f t="shared" ref="T21" si="84">S21/1000</f>
        <v>-55.996243615972972</v>
      </c>
    </row>
    <row r="22" spans="1:20" x14ac:dyDescent="0.25">
      <c r="A22" s="5">
        <v>44571</v>
      </c>
      <c r="B22">
        <v>6.9120000000000001E-2</v>
      </c>
      <c r="C22">
        <v>6.9540000000000005E-2</v>
      </c>
      <c r="D22">
        <v>6.25E-2</v>
      </c>
      <c r="E22">
        <v>6.6729999999999998E-2</v>
      </c>
      <c r="F22">
        <v>9625224</v>
      </c>
      <c r="G22">
        <v>6.6729999999999998E-2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0.201704545454544</v>
      </c>
      <c r="Q22">
        <f t="shared" ref="Q22" si="86">F22*P22</f>
        <v>1941451.4318181679</v>
      </c>
      <c r="R22">
        <f t="shared" ref="R22" si="87">R23+Q22</f>
        <v>-5603099700.7245007</v>
      </c>
      <c r="S22">
        <f t="shared" ref="S22" si="88">R22/100000</f>
        <v>-56030.997007245009</v>
      </c>
      <c r="T22">
        <f t="shared" ref="T22" si="89">S22/1000</f>
        <v>-56.030997007245006</v>
      </c>
    </row>
    <row r="23" spans="1:20" x14ac:dyDescent="0.25">
      <c r="A23" s="5">
        <v>44570</v>
      </c>
      <c r="B23">
        <v>6.8790000000000004E-2</v>
      </c>
      <c r="C23">
        <v>7.0849999999999996E-2</v>
      </c>
      <c r="D23">
        <v>6.7000000000000004E-2</v>
      </c>
      <c r="E23">
        <v>6.9019999999999998E-2</v>
      </c>
      <c r="F23">
        <v>7400258.5999999996</v>
      </c>
      <c r="G23">
        <v>6.9019999999999998E-2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4.935064935064834E-2</v>
      </c>
      <c r="Q23">
        <f t="shared" ref="Q23" si="91">F23*P23</f>
        <v>365207.56727271975</v>
      </c>
      <c r="R23">
        <f t="shared" ref="R23" si="92">R24+Q23</f>
        <v>-5605041152.1563187</v>
      </c>
      <c r="S23">
        <f t="shared" ref="S23" si="93">R23/100000</f>
        <v>-56050.41152156319</v>
      </c>
      <c r="T23">
        <f t="shared" ref="T23" si="94">S23/1000</f>
        <v>-56.050411521563191</v>
      </c>
    </row>
    <row r="24" spans="1:20" x14ac:dyDescent="0.25">
      <c r="A24" s="5">
        <v>44569</v>
      </c>
      <c r="B24">
        <v>7.1169999999999997E-2</v>
      </c>
      <c r="C24">
        <v>7.3580000000000007E-2</v>
      </c>
      <c r="D24">
        <v>6.7549999999999999E-2</v>
      </c>
      <c r="E24">
        <v>6.8820000000000006E-2</v>
      </c>
      <c r="F24">
        <v>11880120.699999999</v>
      </c>
      <c r="G24">
        <v>6.8820000000000006E-2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-0.57877280265339781</v>
      </c>
      <c r="Q24">
        <f t="shared" ref="Q24" si="96">F24*P24</f>
        <v>-6875890.7533996459</v>
      </c>
      <c r="R24">
        <f t="shared" ref="R24" si="97">R25+Q24</f>
        <v>-5605406359.7235918</v>
      </c>
      <c r="S24">
        <f t="shared" ref="S24" si="98">R24/100000</f>
        <v>-56054.063597235916</v>
      </c>
      <c r="T24">
        <f t="shared" ref="T24" si="99">S24/1000</f>
        <v>-56.054063597235917</v>
      </c>
    </row>
    <row r="25" spans="1:20" x14ac:dyDescent="0.25">
      <c r="A25" s="5">
        <v>44568</v>
      </c>
      <c r="B25">
        <v>7.5950000000000004E-2</v>
      </c>
      <c r="C25">
        <v>7.6009999999999994E-2</v>
      </c>
      <c r="D25">
        <v>7.0099999999999996E-2</v>
      </c>
      <c r="E25">
        <v>7.1040000000000006E-2</v>
      </c>
      <c r="F25">
        <v>17224171</v>
      </c>
      <c r="G25">
        <v>7.1040000000000006E-2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-0.68189509306260221</v>
      </c>
      <c r="Q25">
        <f t="shared" ref="Q25" si="101">F25*P25</f>
        <v>-11745077.686971175</v>
      </c>
      <c r="R25">
        <f t="shared" ref="R25" si="102">R26+Q25</f>
        <v>-5598530468.970192</v>
      </c>
      <c r="S25">
        <f t="shared" ref="S25" si="103">R25/100000</f>
        <v>-55985.304689701923</v>
      </c>
      <c r="T25">
        <f t="shared" ref="T25" si="104">S25/1000</f>
        <v>-55.98530468970192</v>
      </c>
    </row>
    <row r="26" spans="1:20" x14ac:dyDescent="0.25">
      <c r="A26" s="5">
        <v>44567</v>
      </c>
      <c r="B26">
        <v>7.621E-2</v>
      </c>
      <c r="C26">
        <v>7.7369999999999994E-2</v>
      </c>
      <c r="D26">
        <v>7.3200000000000001E-2</v>
      </c>
      <c r="E26">
        <v>7.5850000000000001E-2</v>
      </c>
      <c r="F26">
        <v>9410301.1999999993</v>
      </c>
      <c r="G26">
        <v>7.5850000000000001E-2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0.27098321342925846</v>
      </c>
      <c r="Q26">
        <f t="shared" ref="Q26" si="106">F26*P26</f>
        <v>2550033.658513207</v>
      </c>
      <c r="R26">
        <f t="shared" ref="R26" si="107">R27+Q26</f>
        <v>-5586785391.2832212</v>
      </c>
      <c r="S26">
        <f t="shared" ref="S26" si="108">R26/100000</f>
        <v>-55867.853912832215</v>
      </c>
      <c r="T26">
        <f t="shared" ref="T26" si="109">S26/1000</f>
        <v>-55.867853912832217</v>
      </c>
    </row>
    <row r="27" spans="1:20" x14ac:dyDescent="0.25">
      <c r="A27" s="5">
        <v>44566</v>
      </c>
      <c r="B27">
        <v>8.2089999999999996E-2</v>
      </c>
      <c r="C27">
        <v>8.5999999999999993E-2</v>
      </c>
      <c r="D27">
        <v>7.3010000000000005E-2</v>
      </c>
      <c r="E27">
        <v>7.6420000000000002E-2</v>
      </c>
      <c r="F27">
        <v>18972663.199999999</v>
      </c>
      <c r="G27">
        <v>7.6420000000000002E-2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-0.47498075442648197</v>
      </c>
      <c r="Q27">
        <f t="shared" ref="Q27" si="111">F27*P27</f>
        <v>-9011649.8802155517</v>
      </c>
      <c r="R27">
        <f t="shared" ref="R27" si="112">R28+Q27</f>
        <v>-5589335424.9417343</v>
      </c>
      <c r="S27">
        <f t="shared" ref="S27" si="113">R27/100000</f>
        <v>-55893.354249417345</v>
      </c>
      <c r="T27">
        <f t="shared" ref="T27" si="114">S27/1000</f>
        <v>-55.893354249417342</v>
      </c>
    </row>
    <row r="28" spans="1:20" x14ac:dyDescent="0.25">
      <c r="A28" s="5">
        <v>44565</v>
      </c>
      <c r="B28">
        <v>8.1699999999999995E-2</v>
      </c>
      <c r="C28">
        <v>8.6999999999999994E-2</v>
      </c>
      <c r="D28">
        <v>8.0110000000000001E-2</v>
      </c>
      <c r="E28">
        <v>8.2089999999999996E-2</v>
      </c>
      <c r="F28">
        <v>13125354.300000001</v>
      </c>
      <c r="G28">
        <v>8.2089999999999996E-2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-0.42525399129172786</v>
      </c>
      <c r="Q28">
        <f t="shared" ref="Q28" si="116">F28*P28</f>
        <v>-5581609.303193043</v>
      </c>
      <c r="R28">
        <f t="shared" ref="R28" si="117">R29+Q28</f>
        <v>-5580323775.0615187</v>
      </c>
      <c r="S28">
        <f t="shared" ref="S28" si="118">R28/100000</f>
        <v>-55803.23775061519</v>
      </c>
      <c r="T28">
        <f t="shared" ref="T28" si="119">S28/1000</f>
        <v>-55.803237750615189</v>
      </c>
    </row>
    <row r="29" spans="1:20" x14ac:dyDescent="0.25">
      <c r="A29" s="5">
        <v>44564</v>
      </c>
      <c r="B29">
        <v>8.3040000000000003E-2</v>
      </c>
      <c r="C29">
        <v>8.8849999999999998E-2</v>
      </c>
      <c r="D29">
        <v>7.9630000000000006E-2</v>
      </c>
      <c r="E29">
        <v>8.1519999999999995E-2</v>
      </c>
      <c r="F29">
        <v>35351543.5</v>
      </c>
      <c r="G29">
        <v>8.1519999999999995E-2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-0.5900216919739717</v>
      </c>
      <c r="Q29">
        <f t="shared" ref="Q29" si="121">F29*P29</f>
        <v>-20858177.50976146</v>
      </c>
      <c r="R29">
        <f t="shared" ref="R29" si="122">R30+Q29</f>
        <v>-5574742165.7583256</v>
      </c>
      <c r="S29">
        <f t="shared" ref="S29" si="123">R29/100000</f>
        <v>-55747.421657583254</v>
      </c>
      <c r="T29">
        <f t="shared" ref="T29" si="124">S29/1000</f>
        <v>-55.747421657583253</v>
      </c>
    </row>
    <row r="30" spans="1:20" x14ac:dyDescent="0.25">
      <c r="A30" s="5">
        <v>44563</v>
      </c>
      <c r="B30">
        <v>8.1250000000000003E-2</v>
      </c>
      <c r="C30">
        <v>8.3489999999999995E-2</v>
      </c>
      <c r="D30">
        <v>8.0049999999999996E-2</v>
      </c>
      <c r="E30">
        <v>8.2979999999999998E-2</v>
      </c>
      <c r="F30">
        <v>8674937.3000000007</v>
      </c>
      <c r="G30">
        <v>8.2979999999999998E-2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0.70348837209302517</v>
      </c>
      <c r="Q30">
        <f t="shared" ref="Q30" si="126">F30*P30</f>
        <v>6102717.5191860637</v>
      </c>
      <c r="R30">
        <f t="shared" ref="R30" si="127">R31+Q30</f>
        <v>-5553883988.2485638</v>
      </c>
      <c r="S30">
        <f t="shared" ref="S30" si="128">R30/100000</f>
        <v>-55538.839882485641</v>
      </c>
      <c r="T30">
        <f t="shared" ref="T30" si="129">S30/1000</f>
        <v>-55.53883988248564</v>
      </c>
    </row>
    <row r="31" spans="1:20" x14ac:dyDescent="0.25">
      <c r="A31" s="5">
        <v>44562</v>
      </c>
      <c r="B31">
        <v>7.8589999999999993E-2</v>
      </c>
      <c r="C31">
        <v>8.2000000000000003E-2</v>
      </c>
      <c r="D31">
        <v>7.8589999999999993E-2</v>
      </c>
      <c r="E31">
        <v>8.1250000000000003E-2</v>
      </c>
      <c r="F31">
        <v>5812683.5999999996</v>
      </c>
      <c r="G31">
        <v>8.1250000000000003E-2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0.56011730205278687</v>
      </c>
      <c r="Q31">
        <f t="shared" ref="Q31" si="131">F31*P31</f>
        <v>3255784.6557184802</v>
      </c>
      <c r="R31">
        <f t="shared" ref="R31" si="132">R32+Q31</f>
        <v>-5559986705.7677498</v>
      </c>
      <c r="S31">
        <f t="shared" ref="S31" si="133">R31/100000</f>
        <v>-55599.867057677497</v>
      </c>
      <c r="T31">
        <f t="shared" ref="T31" si="134">S31/1000</f>
        <v>-55.5998670576775</v>
      </c>
    </row>
    <row r="32" spans="1:20" x14ac:dyDescent="0.25">
      <c r="A32" s="5">
        <v>44561</v>
      </c>
      <c r="B32">
        <v>7.9960000000000003E-2</v>
      </c>
      <c r="C32">
        <v>8.3000000000000004E-2</v>
      </c>
      <c r="D32">
        <v>7.7640000000000001E-2</v>
      </c>
      <c r="E32">
        <v>7.8390000000000001E-2</v>
      </c>
      <c r="F32">
        <v>10093557.699999999</v>
      </c>
      <c r="G32">
        <v>7.8390000000000001E-2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-0.7201492537313432</v>
      </c>
      <c r="Q32">
        <f t="shared" ref="Q32" si="136">F32*P32</f>
        <v>-7268868.0451492527</v>
      </c>
      <c r="R32">
        <f t="shared" ref="R32" si="137">R33+Q32</f>
        <v>-5563242490.4234686</v>
      </c>
      <c r="S32">
        <f t="shared" ref="S32" si="138">R32/100000</f>
        <v>-55632.424904234686</v>
      </c>
      <c r="T32">
        <f t="shared" ref="T32" si="139">S32/1000</f>
        <v>-55.632424904234682</v>
      </c>
    </row>
    <row r="33" spans="1:20" x14ac:dyDescent="0.25">
      <c r="A33" s="5">
        <v>44560</v>
      </c>
      <c r="B33">
        <v>7.9939999999999997E-2</v>
      </c>
      <c r="C33">
        <v>8.2000000000000003E-2</v>
      </c>
      <c r="D33">
        <v>7.9079999999999998E-2</v>
      </c>
      <c r="E33">
        <v>8.0070000000000002E-2</v>
      </c>
      <c r="F33">
        <v>10525845.300000001</v>
      </c>
      <c r="G33">
        <v>8.0070000000000002E-2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-0.3219178082191762</v>
      </c>
      <c r="Q33">
        <f t="shared" ref="Q33" si="141">F33*P33</f>
        <v>-3388457.0486301174</v>
      </c>
      <c r="R33">
        <f t="shared" ref="R33" si="142">R34+Q33</f>
        <v>-5555973622.3783197</v>
      </c>
      <c r="S33">
        <f t="shared" ref="S33" si="143">R33/100000</f>
        <v>-55559.736223783199</v>
      </c>
      <c r="T33">
        <f t="shared" ref="T33" si="144">S33/1000</f>
        <v>-55.559736223783197</v>
      </c>
    </row>
    <row r="34" spans="1:20" x14ac:dyDescent="0.25">
      <c r="A34" s="5">
        <v>44559</v>
      </c>
      <c r="B34">
        <v>8.3019999999999997E-2</v>
      </c>
      <c r="C34">
        <v>8.3839999999999998E-2</v>
      </c>
      <c r="D34">
        <v>7.8009999999999996E-2</v>
      </c>
      <c r="E34">
        <v>7.9930000000000001E-2</v>
      </c>
      <c r="F34">
        <v>13700264.5</v>
      </c>
      <c r="G34">
        <v>7.9930000000000001E-2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-0.34133790737564168</v>
      </c>
      <c r="Q34">
        <f t="shared" ref="Q34" si="146">F34*P34</f>
        <v>-4676419.6149227917</v>
      </c>
      <c r="R34">
        <f t="shared" ref="R34" si="147">R35+Q34</f>
        <v>-5552585165.32969</v>
      </c>
      <c r="S34">
        <f t="shared" ref="S34" si="148">R34/100000</f>
        <v>-55525.851653296901</v>
      </c>
      <c r="T34">
        <f t="shared" ref="T34" si="149">S34/1000</f>
        <v>-55.525851653296904</v>
      </c>
    </row>
    <row r="35" spans="1:20" x14ac:dyDescent="0.25">
      <c r="A35" s="5">
        <v>44558</v>
      </c>
      <c r="B35">
        <v>9.1310000000000002E-2</v>
      </c>
      <c r="C35">
        <v>9.1350000000000001E-2</v>
      </c>
      <c r="D35">
        <v>8.1890000000000004E-2</v>
      </c>
      <c r="E35">
        <v>8.3019999999999997E-2</v>
      </c>
      <c r="F35">
        <v>15481911.6</v>
      </c>
      <c r="G35">
        <v>8.3019999999999997E-2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-0.76109936575053017</v>
      </c>
      <c r="Q35">
        <f t="shared" ref="Q35" si="151">F35*P35</f>
        <v>-11783273.099365775</v>
      </c>
      <c r="R35">
        <f t="shared" ref="R35" si="152">R36+Q35</f>
        <v>-5547908745.7147675</v>
      </c>
      <c r="S35">
        <f t="shared" ref="S35" si="153">R35/100000</f>
        <v>-55479.087457147674</v>
      </c>
      <c r="T35">
        <f t="shared" ref="T35" si="154">S35/1000</f>
        <v>-55.479087457147678</v>
      </c>
    </row>
    <row r="36" spans="1:20" x14ac:dyDescent="0.25">
      <c r="A36" s="5">
        <v>44557</v>
      </c>
      <c r="B36">
        <v>8.8900000000000007E-2</v>
      </c>
      <c r="C36">
        <v>9.8070000000000004E-2</v>
      </c>
      <c r="D36">
        <v>8.8010000000000005E-2</v>
      </c>
      <c r="E36">
        <v>9.1259999999999994E-2</v>
      </c>
      <c r="F36">
        <v>35607977.799999997</v>
      </c>
      <c r="G36">
        <v>9.1259999999999994E-2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-0.35387673956262639</v>
      </c>
      <c r="Q36">
        <f t="shared" ref="Q36" si="156">F36*P36</f>
        <v>-12600835.086282382</v>
      </c>
      <c r="R36">
        <f t="shared" ref="R36" si="157">R37+Q36</f>
        <v>-5536125472.6154013</v>
      </c>
      <c r="S36">
        <f t="shared" ref="S36" si="158">R36/100000</f>
        <v>-55361.254726154009</v>
      </c>
      <c r="T36">
        <f t="shared" ref="T36" si="159">S36/1000</f>
        <v>-55.361254726154009</v>
      </c>
    </row>
    <row r="37" spans="1:20" x14ac:dyDescent="0.25">
      <c r="A37" s="5">
        <v>44556</v>
      </c>
      <c r="B37">
        <v>8.7379999999999999E-2</v>
      </c>
      <c r="C37">
        <v>9.0020000000000003E-2</v>
      </c>
      <c r="D37">
        <v>8.5150000000000003E-2</v>
      </c>
      <c r="E37">
        <v>8.8760000000000006E-2</v>
      </c>
      <c r="F37">
        <v>16226254.800000001</v>
      </c>
      <c r="G37">
        <v>8.8760000000000006E-2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0.4825462012320339</v>
      </c>
      <c r="Q37">
        <f t="shared" ref="Q37" si="161">F37*P37</f>
        <v>7829917.6139630564</v>
      </c>
      <c r="R37">
        <f t="shared" ref="R37" si="162">R38+Q37</f>
        <v>-5523524637.5291185</v>
      </c>
      <c r="S37">
        <f t="shared" ref="S37" si="163">R37/100000</f>
        <v>-55235.246375291186</v>
      </c>
      <c r="T37">
        <f t="shared" ref="T37" si="164">S37/1000</f>
        <v>-55.235246375291183</v>
      </c>
    </row>
    <row r="38" spans="1:20" x14ac:dyDescent="0.25">
      <c r="A38" s="5">
        <v>44555</v>
      </c>
      <c r="B38">
        <v>8.5070000000000007E-2</v>
      </c>
      <c r="C38">
        <v>8.8679999999999995E-2</v>
      </c>
      <c r="D38">
        <v>8.4620000000000001E-2</v>
      </c>
      <c r="E38">
        <v>8.7290000000000006E-2</v>
      </c>
      <c r="F38">
        <v>9791439</v>
      </c>
      <c r="G38">
        <v>8.7290000000000006E-2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0.31527093596059586</v>
      </c>
      <c r="Q38">
        <f t="shared" ref="Q38" si="166">F38*P38</f>
        <v>3086956.1379310805</v>
      </c>
      <c r="R38">
        <f t="shared" ref="R38" si="167">R39+Q38</f>
        <v>-5531354555.1430817</v>
      </c>
      <c r="S38">
        <f t="shared" ref="S38" si="168">R38/100000</f>
        <v>-55313.54555143082</v>
      </c>
      <c r="T38">
        <f t="shared" ref="T38" si="169">S38/1000</f>
        <v>-55.313545551430821</v>
      </c>
    </row>
    <row r="39" spans="1:20" x14ac:dyDescent="0.25">
      <c r="A39" s="5">
        <v>44554</v>
      </c>
      <c r="B39">
        <v>8.7830000000000005E-2</v>
      </c>
      <c r="C39">
        <v>0.09</v>
      </c>
      <c r="D39">
        <v>8.3519999999999997E-2</v>
      </c>
      <c r="E39">
        <v>8.4739999999999996E-2</v>
      </c>
      <c r="F39">
        <v>14718332.199999999</v>
      </c>
      <c r="G39">
        <v>8.4739999999999996E-2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-0.62345679012345712</v>
      </c>
      <c r="Q39">
        <f t="shared" ref="Q39" si="171">F39*P39</f>
        <v>-9176244.1493827198</v>
      </c>
      <c r="R39">
        <f t="shared" ref="R39" si="172">R40+Q39</f>
        <v>-5534441511.2810125</v>
      </c>
      <c r="S39">
        <f t="shared" ref="S39" si="173">R39/100000</f>
        <v>-55344.415112810122</v>
      </c>
      <c r="T39">
        <f t="shared" ref="T39" si="174">S39/1000</f>
        <v>-55.344415112810125</v>
      </c>
    </row>
    <row r="40" spans="1:20" x14ac:dyDescent="0.25">
      <c r="A40" s="5">
        <v>44553</v>
      </c>
      <c r="B40">
        <v>8.3890000000000006E-2</v>
      </c>
      <c r="C40">
        <v>8.9410000000000003E-2</v>
      </c>
      <c r="D40">
        <v>8.2540000000000002E-2</v>
      </c>
      <c r="E40">
        <v>8.7830000000000005E-2</v>
      </c>
      <c r="F40">
        <v>15432122</v>
      </c>
      <c r="G40">
        <v>8.7830000000000005E-2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0.5400291120815145</v>
      </c>
      <c r="Q40">
        <f t="shared" ref="Q40" si="176">F40*P40</f>
        <v>8333795.141193606</v>
      </c>
      <c r="R40">
        <f t="shared" ref="R40" si="177">R41+Q40</f>
        <v>-5525265267.1316299</v>
      </c>
      <c r="S40">
        <f t="shared" ref="S40" si="178">R40/100000</f>
        <v>-55252.652671316297</v>
      </c>
      <c r="T40">
        <f t="shared" ref="T40" si="179">S40/1000</f>
        <v>-55.252652671316298</v>
      </c>
    </row>
    <row r="41" spans="1:20" x14ac:dyDescent="0.25">
      <c r="A41" s="5">
        <v>44552</v>
      </c>
      <c r="B41">
        <v>8.5000000000000006E-2</v>
      </c>
      <c r="C41">
        <v>8.9179999999999995E-2</v>
      </c>
      <c r="D41">
        <v>8.2970000000000002E-2</v>
      </c>
      <c r="E41">
        <v>8.3890000000000006E-2</v>
      </c>
      <c r="F41">
        <v>19356358.5</v>
      </c>
      <c r="G41">
        <v>8.3890000000000006E-2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-0.70370370370370205</v>
      </c>
      <c r="Q41">
        <f t="shared" ref="Q41" si="181">F41*P41</f>
        <v>-13621141.166666634</v>
      </c>
      <c r="R41">
        <f t="shared" ref="R41" si="182">R42+Q41</f>
        <v>-5533599062.2728233</v>
      </c>
      <c r="S41">
        <f t="shared" ref="S41" si="183">R41/100000</f>
        <v>-55335.990622728234</v>
      </c>
      <c r="T41">
        <f t="shared" ref="T41" si="184">S41/1000</f>
        <v>-55.335990622728232</v>
      </c>
    </row>
    <row r="42" spans="1:20" x14ac:dyDescent="0.25">
      <c r="A42" s="5">
        <v>44551</v>
      </c>
      <c r="B42">
        <v>7.6719999999999997E-2</v>
      </c>
      <c r="C42">
        <v>8.8800000000000004E-2</v>
      </c>
      <c r="D42">
        <v>7.5980000000000006E-2</v>
      </c>
      <c r="E42">
        <v>8.5000000000000006E-2</v>
      </c>
      <c r="F42">
        <v>31681546.600000001</v>
      </c>
      <c r="G42">
        <v>8.5000000000000006E-2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0.40717628705148229</v>
      </c>
      <c r="Q42">
        <f t="shared" ref="Q42" si="186">F42*P42</f>
        <v>12899974.512636513</v>
      </c>
      <c r="R42">
        <f t="shared" ref="R42" si="187">R43+Q42</f>
        <v>-5519977921.1061563</v>
      </c>
      <c r="S42">
        <f t="shared" ref="S42" si="188">R42/100000</f>
        <v>-55199.779211061563</v>
      </c>
      <c r="T42">
        <f t="shared" ref="T42" si="189">S42/1000</f>
        <v>-55.199779211061561</v>
      </c>
    </row>
    <row r="43" spans="1:20" x14ac:dyDescent="0.25">
      <c r="A43" s="5">
        <v>44550</v>
      </c>
      <c r="B43">
        <v>8.1460000000000005E-2</v>
      </c>
      <c r="C43">
        <v>8.2269999999999996E-2</v>
      </c>
      <c r="D43">
        <v>7.3539999999999994E-2</v>
      </c>
      <c r="E43">
        <v>7.6630000000000004E-2</v>
      </c>
      <c r="F43">
        <v>27014211.199999999</v>
      </c>
      <c r="G43">
        <v>7.6630000000000004E-2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-0.29209621993126944</v>
      </c>
      <c r="Q43">
        <f t="shared" ref="Q43" si="191">F43*P43</f>
        <v>-7890748.9759449624</v>
      </c>
      <c r="R43">
        <f t="shared" ref="R43" si="192">R44+Q43</f>
        <v>-5532877895.6187925</v>
      </c>
      <c r="S43">
        <f t="shared" ref="S43" si="193">R43/100000</f>
        <v>-55328.778956187925</v>
      </c>
      <c r="T43">
        <f t="shared" ref="T43" si="194">S43/1000</f>
        <v>-55.328778956187925</v>
      </c>
    </row>
    <row r="44" spans="1:20" x14ac:dyDescent="0.25">
      <c r="A44" s="5">
        <v>44549</v>
      </c>
      <c r="B44">
        <v>8.3360000000000004E-2</v>
      </c>
      <c r="C44">
        <v>8.6999999999999994E-2</v>
      </c>
      <c r="D44">
        <v>0.08</v>
      </c>
      <c r="E44">
        <v>8.1509999999999999E-2</v>
      </c>
      <c r="F44">
        <v>16419802.199999999</v>
      </c>
      <c r="G44">
        <v>8.1509999999999999E-2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-0.56857142857142884</v>
      </c>
      <c r="Q44">
        <f t="shared" ref="Q44" si="196">F44*P44</f>
        <v>-9335830.3937142901</v>
      </c>
      <c r="R44">
        <f t="shared" ref="R44" si="197">R45+Q44</f>
        <v>-5524987146.642848</v>
      </c>
      <c r="S44">
        <f t="shared" ref="S44" si="198">R44/100000</f>
        <v>-55249.871466428478</v>
      </c>
      <c r="T44">
        <f t="shared" ref="T44" si="199">S44/1000</f>
        <v>-55.24987146642848</v>
      </c>
    </row>
    <row r="45" spans="1:20" x14ac:dyDescent="0.25">
      <c r="A45" s="5">
        <v>44548</v>
      </c>
      <c r="B45">
        <v>8.1680000000000003E-2</v>
      </c>
      <c r="C45">
        <v>9.0679999999999997E-2</v>
      </c>
      <c r="D45">
        <v>7.9070000000000001E-2</v>
      </c>
      <c r="E45">
        <v>8.3320000000000005E-2</v>
      </c>
      <c r="F45">
        <v>46370326.700000003</v>
      </c>
      <c r="G45">
        <v>8.3320000000000005E-2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-0.26787252368647624</v>
      </c>
      <c r="Q45">
        <f t="shared" ref="Q45" si="201">F45*P45</f>
        <v>-12421336.437295392</v>
      </c>
      <c r="R45">
        <f t="shared" ref="R45" si="202">R46+Q45</f>
        <v>-5515651316.2491341</v>
      </c>
      <c r="S45">
        <f t="shared" ref="S45" si="203">R45/100000</f>
        <v>-55156.513162491341</v>
      </c>
      <c r="T45">
        <f t="shared" ref="T45" si="204">S45/1000</f>
        <v>-55.156513162491343</v>
      </c>
    </row>
    <row r="46" spans="1:20" x14ac:dyDescent="0.25">
      <c r="A46" s="5">
        <v>44547</v>
      </c>
      <c r="B46">
        <v>7.6289999999999997E-2</v>
      </c>
      <c r="C46">
        <v>8.4650000000000003E-2</v>
      </c>
      <c r="D46">
        <v>7.5639999999999999E-2</v>
      </c>
      <c r="E46">
        <v>8.1589999999999996E-2</v>
      </c>
      <c r="F46">
        <v>42928123</v>
      </c>
      <c r="G46">
        <v>8.1589999999999996E-2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0.32075471698113078</v>
      </c>
      <c r="Q46">
        <f t="shared" ref="Q46" si="206">F46*P46</f>
        <v>13769397.943396172</v>
      </c>
      <c r="R46">
        <f t="shared" ref="R46" si="207">R47+Q46</f>
        <v>-5503229979.8118391</v>
      </c>
      <c r="S46">
        <f t="shared" ref="S46" si="208">R46/100000</f>
        <v>-55032.299798118394</v>
      </c>
      <c r="T46">
        <f t="shared" ref="T46" si="209">S46/1000</f>
        <v>-55.032299798118395</v>
      </c>
    </row>
    <row r="47" spans="1:20" x14ac:dyDescent="0.25">
      <c r="A47" s="5">
        <v>44546</v>
      </c>
      <c r="B47">
        <v>7.8E-2</v>
      </c>
      <c r="C47">
        <v>8.4900000000000003E-2</v>
      </c>
      <c r="D47">
        <v>7.6050000000000006E-2</v>
      </c>
      <c r="E47">
        <v>7.6350000000000001E-2</v>
      </c>
      <c r="F47">
        <v>85562673.400000006</v>
      </c>
      <c r="G47">
        <v>7.6350000000000001E-2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-0.93220338983050965</v>
      </c>
      <c r="Q47">
        <f t="shared" ref="Q47" si="211">F47*P47</f>
        <v>-79761814.186440781</v>
      </c>
      <c r="R47">
        <f t="shared" ref="R47" si="212">R48+Q47</f>
        <v>-5516999377.7552357</v>
      </c>
      <c r="S47">
        <f t="shared" ref="S47" si="213">R47/100000</f>
        <v>-55169.993777552358</v>
      </c>
      <c r="T47">
        <f t="shared" ref="T47" si="214">S47/1000</f>
        <v>-55.169993777552357</v>
      </c>
    </row>
    <row r="48" spans="1:20" x14ac:dyDescent="0.25">
      <c r="A48" s="5">
        <v>44545</v>
      </c>
      <c r="B48">
        <v>7.7520000000000006E-2</v>
      </c>
      <c r="C48">
        <v>7.9839999999999994E-2</v>
      </c>
      <c r="D48">
        <v>7.1220000000000006E-2</v>
      </c>
      <c r="E48">
        <v>7.8020000000000006E-2</v>
      </c>
      <c r="F48">
        <v>21047612.399999999</v>
      </c>
      <c r="G48">
        <v>7.8020000000000006E-2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0.57772621809744995</v>
      </c>
      <c r="Q48">
        <f t="shared" ref="Q48" si="216">F48*P48</f>
        <v>12159757.511832992</v>
      </c>
      <c r="R48">
        <f t="shared" ref="R48" si="217">R49+Q48</f>
        <v>-5437237563.5687952</v>
      </c>
      <c r="S48">
        <f t="shared" ref="S48" si="218">R48/100000</f>
        <v>-54372.375635687953</v>
      </c>
      <c r="T48">
        <f t="shared" ref="T48" si="219">S48/1000</f>
        <v>-54.372375635687952</v>
      </c>
    </row>
    <row r="49" spans="1:20" x14ac:dyDescent="0.25">
      <c r="A49" s="5">
        <v>44544</v>
      </c>
      <c r="B49">
        <v>7.5289999999999996E-2</v>
      </c>
      <c r="C49">
        <v>7.8079999999999997E-2</v>
      </c>
      <c r="D49">
        <v>7.2580000000000006E-2</v>
      </c>
      <c r="E49">
        <v>7.7289999999999998E-2</v>
      </c>
      <c r="F49">
        <v>20438188.899999999</v>
      </c>
      <c r="G49">
        <v>7.7289999999999998E-2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0.71272727272727265</v>
      </c>
      <c r="Q49">
        <f t="shared" ref="Q49" si="221">F49*P49</f>
        <v>14566854.634181816</v>
      </c>
      <c r="R49">
        <f t="shared" ref="R49" si="222">R50+Q49</f>
        <v>-5449397321.0806284</v>
      </c>
      <c r="S49">
        <f t="shared" ref="S49" si="223">R49/100000</f>
        <v>-54493.973210806282</v>
      </c>
      <c r="T49">
        <f t="shared" ref="T49" si="224">S49/1000</f>
        <v>-54.493973210806281</v>
      </c>
    </row>
    <row r="50" spans="1:20" x14ac:dyDescent="0.25">
      <c r="A50" s="5">
        <v>44543</v>
      </c>
      <c r="B50">
        <v>8.6830000000000004E-2</v>
      </c>
      <c r="C50">
        <v>8.7300000000000003E-2</v>
      </c>
      <c r="D50">
        <v>7.3959999999999998E-2</v>
      </c>
      <c r="E50">
        <v>7.5340000000000004E-2</v>
      </c>
      <c r="F50">
        <v>22004319.5</v>
      </c>
      <c r="G50">
        <v>7.5340000000000004E-2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-0.79310344827586121</v>
      </c>
      <c r="Q50">
        <f t="shared" ref="Q50" si="226">F50*P50</f>
        <v>-17451701.672413774</v>
      </c>
      <c r="R50">
        <f t="shared" ref="R50" si="227">R51+Q50</f>
        <v>-5463964175.7148104</v>
      </c>
      <c r="S50">
        <f t="shared" ref="S50" si="228">R50/100000</f>
        <v>-54639.641757148107</v>
      </c>
      <c r="T50">
        <f t="shared" ref="T50" si="229">S50/1000</f>
        <v>-54.639641757148105</v>
      </c>
    </row>
    <row r="51" spans="1:20" x14ac:dyDescent="0.25">
      <c r="A51" s="5">
        <v>44542</v>
      </c>
      <c r="B51">
        <v>8.5819999999999994E-2</v>
      </c>
      <c r="C51">
        <v>9.5000000000000001E-2</v>
      </c>
      <c r="D51">
        <v>8.3000000000000004E-2</v>
      </c>
      <c r="E51">
        <v>8.6709999999999995E-2</v>
      </c>
      <c r="F51">
        <v>59836112.100000001</v>
      </c>
      <c r="G51">
        <v>8.6709999999999995E-2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-0.38166666666666799</v>
      </c>
      <c r="Q51">
        <f t="shared" ref="Q51" si="231">F51*P51</f>
        <v>-22837449.451500081</v>
      </c>
      <c r="R51">
        <f t="shared" ref="R51" si="232">R52+Q51</f>
        <v>-5446512474.0423965</v>
      </c>
      <c r="S51">
        <f t="shared" ref="S51" si="233">R51/100000</f>
        <v>-54465.124740423962</v>
      </c>
      <c r="T51">
        <f t="shared" ref="T51" si="234">S51/1000</f>
        <v>-54.46512474042396</v>
      </c>
    </row>
    <row r="52" spans="1:20" x14ac:dyDescent="0.25">
      <c r="A52" s="5">
        <v>44541</v>
      </c>
      <c r="B52">
        <v>8.2540000000000002E-2</v>
      </c>
      <c r="C52">
        <v>8.405E-2</v>
      </c>
      <c r="D52">
        <v>8.1199999999999994E-2</v>
      </c>
      <c r="E52">
        <v>8.4000000000000005E-2</v>
      </c>
      <c r="F52">
        <v>1306340.1000000001</v>
      </c>
      <c r="G52">
        <v>8.4000000000000005E-2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0.96491228070175827</v>
      </c>
      <c r="Q52">
        <f t="shared" ref="Q52" si="236">F52*P52</f>
        <v>1260503.6052631631</v>
      </c>
      <c r="R52">
        <f t="shared" ref="R52" si="237">R53+Q52</f>
        <v>-5423675024.5908966</v>
      </c>
      <c r="S52">
        <f t="shared" ref="S52" si="238">R52/100000</f>
        <v>-54236.750245908966</v>
      </c>
      <c r="T52">
        <f t="shared" ref="T52" si="239">S52/1000</f>
        <v>-54.236750245908965</v>
      </c>
    </row>
    <row r="53" spans="1:20" x14ac:dyDescent="0.25">
      <c r="A53" s="5">
        <v>44540</v>
      </c>
      <c r="B53">
        <v>8.3580000000000002E-2</v>
      </c>
      <c r="C53">
        <v>9.2600000000000002E-2</v>
      </c>
      <c r="D53">
        <v>8.1850000000000006E-2</v>
      </c>
      <c r="E53">
        <v>8.2699999999999996E-2</v>
      </c>
      <c r="F53">
        <v>27093048.899999999</v>
      </c>
      <c r="G53">
        <v>8.2699999999999996E-2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-0.84186046511628088</v>
      </c>
      <c r="Q53">
        <f t="shared" ref="Q53" si="241">F53*P53</f>
        <v>-22808566.748372141</v>
      </c>
      <c r="R53">
        <f t="shared" ref="R53" si="242">R54+Q53</f>
        <v>-5424935528.1961594</v>
      </c>
      <c r="S53">
        <f t="shared" ref="S53" si="243">R53/100000</f>
        <v>-54249.355281961594</v>
      </c>
      <c r="T53">
        <f t="shared" ref="T53" si="244">S53/1000</f>
        <v>-54.249355281961591</v>
      </c>
    </row>
    <row r="54" spans="1:20" x14ac:dyDescent="0.25">
      <c r="A54" s="5">
        <v>44539</v>
      </c>
      <c r="B54">
        <v>9.5250000000000001E-2</v>
      </c>
      <c r="C54">
        <v>9.6699999999999994E-2</v>
      </c>
      <c r="D54">
        <v>8.3220000000000002E-2</v>
      </c>
      <c r="E54">
        <v>8.3599999999999994E-2</v>
      </c>
      <c r="F54">
        <v>47825107.899999999</v>
      </c>
      <c r="G54">
        <v>8.3599999999999994E-2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-0.9436201780415443</v>
      </c>
      <c r="Q54">
        <f t="shared" ref="Q54" si="246">F54*P54</f>
        <v>-45128736.831454068</v>
      </c>
      <c r="R54">
        <f t="shared" ref="R54" si="247">R55+Q54</f>
        <v>-5402126961.4477873</v>
      </c>
      <c r="S54">
        <f t="shared" ref="S54" si="248">R54/100000</f>
        <v>-54021.269614477875</v>
      </c>
      <c r="T54">
        <f t="shared" ref="T54" si="249">S54/1000</f>
        <v>-54.021269614477873</v>
      </c>
    </row>
    <row r="55" spans="1:20" x14ac:dyDescent="0.25">
      <c r="A55" s="5">
        <v>44538</v>
      </c>
      <c r="B55">
        <v>9.1380000000000003E-2</v>
      </c>
      <c r="C55">
        <v>0.10349999999999999</v>
      </c>
      <c r="D55">
        <v>8.7809999999999999E-2</v>
      </c>
      <c r="E55">
        <v>9.5350000000000004E-2</v>
      </c>
      <c r="F55">
        <v>52135213.799999997</v>
      </c>
      <c r="G55">
        <v>9.5350000000000004E-2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-3.8878266411726307E-2</v>
      </c>
      <c r="Q55">
        <f t="shared" ref="Q55" si="251">F55*P55</f>
        <v>-2026926.7315487098</v>
      </c>
      <c r="R55">
        <f t="shared" ref="R55" si="252">R56+Q55</f>
        <v>-5356998224.616333</v>
      </c>
      <c r="S55">
        <f t="shared" ref="S55" si="253">R55/100000</f>
        <v>-53569.98224616333</v>
      </c>
      <c r="T55">
        <f t="shared" ref="T55" si="254">S55/1000</f>
        <v>-53.569982246163327</v>
      </c>
    </row>
    <row r="56" spans="1:20" x14ac:dyDescent="0.25">
      <c r="A56" s="5">
        <v>44537</v>
      </c>
      <c r="B56">
        <v>9.3899999999999997E-2</v>
      </c>
      <c r="C56">
        <v>9.7479999999999997E-2</v>
      </c>
      <c r="D56">
        <v>9.0429999999999996E-2</v>
      </c>
      <c r="E56">
        <v>9.1380000000000003E-2</v>
      </c>
      <c r="F56">
        <v>21551003.100000001</v>
      </c>
      <c r="G56">
        <v>9.1380000000000003E-2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-0.73049645390070739</v>
      </c>
      <c r="Q56">
        <f t="shared" ref="Q56" si="256">F56*P56</f>
        <v>-15742931.342553154</v>
      </c>
      <c r="R56">
        <f t="shared" ref="R56" si="257">R57+Q56</f>
        <v>-5354971297.8847847</v>
      </c>
      <c r="S56">
        <f t="shared" ref="S56" si="258">R56/100000</f>
        <v>-53549.712978847849</v>
      </c>
      <c r="T56">
        <f t="shared" ref="T56" si="259">S56/1000</f>
        <v>-53.54971297884785</v>
      </c>
    </row>
    <row r="57" spans="1:20" x14ac:dyDescent="0.25">
      <c r="A57" s="5">
        <v>44536</v>
      </c>
      <c r="B57">
        <v>9.0010000000000007E-2</v>
      </c>
      <c r="C57">
        <v>9.8669999999999994E-2</v>
      </c>
      <c r="D57">
        <v>8.0100000000000005E-2</v>
      </c>
      <c r="E57">
        <v>9.4310000000000005E-2</v>
      </c>
      <c r="F57">
        <v>82212892.700000003</v>
      </c>
      <c r="G57">
        <v>9.4310000000000005E-2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0.53042541733979631</v>
      </c>
      <c r="Q57">
        <f t="shared" ref="Q57" si="261">F57*P57</f>
        <v>43607807.921109393</v>
      </c>
      <c r="R57">
        <f t="shared" ref="R57" si="262">R58+Q57</f>
        <v>-5339228366.5422316</v>
      </c>
      <c r="S57">
        <f t="shared" ref="S57" si="263">R57/100000</f>
        <v>-53392.283665422314</v>
      </c>
      <c r="T57">
        <f t="shared" ref="T57" si="264">S57/1000</f>
        <v>-53.392283665422312</v>
      </c>
    </row>
    <row r="58" spans="1:20" x14ac:dyDescent="0.25">
      <c r="A58" s="5">
        <v>44535</v>
      </c>
      <c r="B58">
        <v>9.8129999999999995E-2</v>
      </c>
      <c r="C58">
        <v>0.10927000000000001</v>
      </c>
      <c r="D58">
        <v>8.6720000000000005E-2</v>
      </c>
      <c r="E58">
        <v>8.9829999999999993E-2</v>
      </c>
      <c r="F58">
        <v>65281561.100000001</v>
      </c>
      <c r="G58">
        <v>8.9829999999999993E-2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-0.72416851441241792</v>
      </c>
      <c r="Q58">
        <f t="shared" ref="Q58" si="266">F58*P58</f>
        <v>-47274851.120310493</v>
      </c>
      <c r="R58">
        <f t="shared" ref="R58" si="267">R59+Q58</f>
        <v>-5382836174.4633408</v>
      </c>
      <c r="S58">
        <f t="shared" ref="S58" si="268">R58/100000</f>
        <v>-53828.36174463341</v>
      </c>
      <c r="T58">
        <f t="shared" ref="T58" si="269">S58/1000</f>
        <v>-53.828361744633412</v>
      </c>
    </row>
    <row r="59" spans="1:20" x14ac:dyDescent="0.25">
      <c r="A59" s="5">
        <v>44534</v>
      </c>
      <c r="B59">
        <v>0.11216</v>
      </c>
      <c r="C59">
        <v>0.11293</v>
      </c>
      <c r="D59">
        <v>7.7130000000000004E-2</v>
      </c>
      <c r="E59">
        <v>9.8199999999999996E-2</v>
      </c>
      <c r="F59">
        <v>51804679.5</v>
      </c>
      <c r="G59">
        <v>9.8199999999999996E-2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0.17709497206703867</v>
      </c>
      <c r="Q59">
        <f t="shared" ref="Q59" si="271">F59*P59</f>
        <v>9174348.268994391</v>
      </c>
      <c r="R59">
        <f t="shared" ref="R59" si="272">R60+Q59</f>
        <v>-5335561323.34303</v>
      </c>
      <c r="S59">
        <f t="shared" ref="S59" si="273">R59/100000</f>
        <v>-53355.613233430297</v>
      </c>
      <c r="T59">
        <f t="shared" ref="T59" si="274">S59/1000</f>
        <v>-53.355613233430297</v>
      </c>
    </row>
    <row r="60" spans="1:20" x14ac:dyDescent="0.25">
      <c r="A60" s="5">
        <v>44533</v>
      </c>
      <c r="B60">
        <v>0.11845</v>
      </c>
      <c r="C60">
        <v>0.1522</v>
      </c>
      <c r="D60">
        <v>0.10929999999999999</v>
      </c>
      <c r="E60">
        <v>0.11255</v>
      </c>
      <c r="F60">
        <v>188905168.80000001</v>
      </c>
      <c r="G60">
        <v>0.11255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-0.8484848484848484</v>
      </c>
      <c r="Q60">
        <f t="shared" ref="Q60" si="276">F60*P60</f>
        <v>-160283173.52727273</v>
      </c>
      <c r="R60">
        <f t="shared" ref="R60" si="277">R61+Q60</f>
        <v>-5344735671.6120243</v>
      </c>
      <c r="S60">
        <f t="shared" ref="S60" si="278">R60/100000</f>
        <v>-53447.356716120245</v>
      </c>
      <c r="T60">
        <f t="shared" ref="T60" si="279">S60/1000</f>
        <v>-53.447356716120247</v>
      </c>
    </row>
    <row r="61" spans="1:20" x14ac:dyDescent="0.25">
      <c r="A61" s="5">
        <v>44532</v>
      </c>
      <c r="B61">
        <v>0.11887</v>
      </c>
      <c r="C61">
        <v>0.12293</v>
      </c>
      <c r="D61">
        <v>0.11049</v>
      </c>
      <c r="E61">
        <v>0.11844</v>
      </c>
      <c r="F61">
        <v>46318012</v>
      </c>
      <c r="G61">
        <v>0.11844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0.27813504823151181</v>
      </c>
      <c r="Q61">
        <f t="shared" ref="Q61" si="281">F61*P61</f>
        <v>12882662.501607742</v>
      </c>
      <c r="R61">
        <f t="shared" ref="R61" si="282">R62+Q61</f>
        <v>-5184452498.0847511</v>
      </c>
      <c r="S61">
        <f t="shared" ref="S61" si="283">R61/100000</f>
        <v>-51844.524980847513</v>
      </c>
      <c r="T61">
        <f t="shared" ref="T61" si="284">S61/1000</f>
        <v>-51.84452498084751</v>
      </c>
    </row>
    <row r="62" spans="1:20" x14ac:dyDescent="0.25">
      <c r="A62" s="5">
        <v>44531</v>
      </c>
      <c r="B62">
        <v>0.10994</v>
      </c>
      <c r="C62">
        <v>0.127</v>
      </c>
      <c r="D62">
        <v>0.10793</v>
      </c>
      <c r="E62">
        <v>0.1187</v>
      </c>
      <c r="F62">
        <v>67315771.799999997</v>
      </c>
      <c r="G62">
        <v>0.1187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0.12952281069743049</v>
      </c>
      <c r="Q62">
        <f t="shared" ref="Q62" si="286">F62*P62</f>
        <v>8718927.96780283</v>
      </c>
      <c r="R62">
        <f t="shared" ref="R62" si="287">R63+Q62</f>
        <v>-5197335160.586359</v>
      </c>
      <c r="S62">
        <f t="shared" ref="S62" si="288">R62/100000</f>
        <v>-51973.351605863587</v>
      </c>
      <c r="T62">
        <f t="shared" ref="T62" si="289">S62/1000</f>
        <v>-51.973351605863584</v>
      </c>
    </row>
    <row r="63" spans="1:20" x14ac:dyDescent="0.25">
      <c r="A63" s="5">
        <v>44530</v>
      </c>
      <c r="B63">
        <v>0.11189</v>
      </c>
      <c r="C63">
        <v>0.1137</v>
      </c>
      <c r="D63">
        <v>0.10783</v>
      </c>
      <c r="E63">
        <v>0.10996</v>
      </c>
      <c r="F63">
        <v>22768081.800000001</v>
      </c>
      <c r="G63">
        <v>0.10996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-0.27427597955706751</v>
      </c>
      <c r="Q63">
        <f t="shared" ref="Q63" si="291">F63*P63</f>
        <v>-6244737.9383304408</v>
      </c>
      <c r="R63">
        <f t="shared" ref="R63" si="292">R64+Q63</f>
        <v>-5206054088.554162</v>
      </c>
      <c r="S63">
        <f t="shared" ref="S63" si="293">R63/100000</f>
        <v>-52060.540885541617</v>
      </c>
      <c r="T63">
        <f t="shared" ref="T63" si="294">S63/1000</f>
        <v>-52.06054088554162</v>
      </c>
    </row>
    <row r="64" spans="1:20" x14ac:dyDescent="0.25">
      <c r="A64" s="5">
        <v>44529</v>
      </c>
      <c r="B64">
        <v>0.111</v>
      </c>
      <c r="C64">
        <v>0.11405</v>
      </c>
      <c r="D64">
        <v>0.10899</v>
      </c>
      <c r="E64">
        <v>0.11189</v>
      </c>
      <c r="F64">
        <v>23023589.600000001</v>
      </c>
      <c r="G64">
        <v>0.11189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0.14624505928853859</v>
      </c>
      <c r="Q64">
        <f t="shared" ref="Q64" si="296">F64*P64</f>
        <v>3367086.2260869807</v>
      </c>
      <c r="R64">
        <f t="shared" ref="R64" si="297">R65+Q64</f>
        <v>-5199809350.6158314</v>
      </c>
      <c r="S64">
        <f t="shared" ref="S64" si="298">R64/100000</f>
        <v>-51998.093506158315</v>
      </c>
      <c r="T64">
        <f t="shared" ref="T64" si="299">S64/1000</f>
        <v>-51.998093506158312</v>
      </c>
    </row>
    <row r="65" spans="1:20" x14ac:dyDescent="0.25">
      <c r="A65" s="5">
        <v>44528</v>
      </c>
      <c r="B65">
        <v>0.11089</v>
      </c>
      <c r="C65">
        <v>0.11138000000000001</v>
      </c>
      <c r="D65">
        <v>0.10274999999999999</v>
      </c>
      <c r="E65">
        <v>0.11105</v>
      </c>
      <c r="F65">
        <v>22552765.800000001</v>
      </c>
      <c r="G65">
        <v>0.11105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0.92352259559675309</v>
      </c>
      <c r="Q65">
        <f t="shared" ref="Q65" si="301">F65*P65</f>
        <v>20827988.809501685</v>
      </c>
      <c r="R65">
        <f t="shared" ref="R65" si="302">R66+Q65</f>
        <v>-5203176436.841918</v>
      </c>
      <c r="S65">
        <f t="shared" ref="S65" si="303">R65/100000</f>
        <v>-52031.764368419179</v>
      </c>
      <c r="T65">
        <f t="shared" ref="T65" si="304">S65/1000</f>
        <v>-52.031764368419182</v>
      </c>
    </row>
    <row r="66" spans="1:20" x14ac:dyDescent="0.25">
      <c r="A66" s="5">
        <v>44527</v>
      </c>
      <c r="B66">
        <v>0.10432</v>
      </c>
      <c r="C66">
        <v>0.1169</v>
      </c>
      <c r="D66">
        <v>0.10399</v>
      </c>
      <c r="E66">
        <v>0.11089</v>
      </c>
      <c r="F66">
        <v>42044009.899999999</v>
      </c>
      <c r="G66">
        <v>0.11089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6.8938807126258841E-2</v>
      </c>
      <c r="Q66">
        <f t="shared" ref="Q66" si="306">F66*P66</f>
        <v>2898463.889310617</v>
      </c>
      <c r="R66">
        <f t="shared" ref="R66" si="307">R67+Q66</f>
        <v>-5224004425.6514196</v>
      </c>
      <c r="S66">
        <f t="shared" ref="S66" si="308">R66/100000</f>
        <v>-52240.044256514193</v>
      </c>
      <c r="T66">
        <f t="shared" ref="T66" si="309">S66/1000</f>
        <v>-52.240044256514196</v>
      </c>
    </row>
    <row r="67" spans="1:20" x14ac:dyDescent="0.25">
      <c r="A67" s="5">
        <v>44526</v>
      </c>
      <c r="B67">
        <v>0.12027</v>
      </c>
      <c r="C67">
        <v>0.12349</v>
      </c>
      <c r="D67">
        <v>0.1022</v>
      </c>
      <c r="E67">
        <v>0.1045</v>
      </c>
      <c r="F67">
        <v>52732596.100000001</v>
      </c>
      <c r="G67">
        <v>0.1045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-0.78393612024424653</v>
      </c>
      <c r="Q67">
        <f t="shared" ref="Q67" si="311">F67*P67</f>
        <v>-41338986.797040887</v>
      </c>
      <c r="R67">
        <f t="shared" ref="R67" si="312">R68+Q67</f>
        <v>-5226902889.5407305</v>
      </c>
      <c r="S67">
        <f t="shared" ref="S67" si="313">R67/100000</f>
        <v>-52269.028895407304</v>
      </c>
      <c r="T67">
        <f t="shared" ref="T67" si="314">S67/1000</f>
        <v>-52.269028895407303</v>
      </c>
    </row>
    <row r="68" spans="1:20" x14ac:dyDescent="0.25">
      <c r="A68" s="5">
        <v>44525</v>
      </c>
      <c r="B68">
        <v>0.11348</v>
      </c>
      <c r="C68">
        <v>0.12383</v>
      </c>
      <c r="D68">
        <v>0.11125</v>
      </c>
      <c r="E68">
        <v>0.12048</v>
      </c>
      <c r="F68">
        <v>33102047.899999999</v>
      </c>
      <c r="G68">
        <v>0.12048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0.46740858505564492</v>
      </c>
      <c r="Q68">
        <f t="shared" ref="Q68" si="316">F68*P68</f>
        <v>15472181.371383181</v>
      </c>
      <c r="R68">
        <f t="shared" ref="R68" si="317">R69+Q68</f>
        <v>-5185563902.7436895</v>
      </c>
      <c r="S68">
        <f t="shared" ref="S68" si="318">R68/100000</f>
        <v>-51855.639027436897</v>
      </c>
      <c r="T68">
        <f t="shared" ref="T68" si="319">S68/1000</f>
        <v>-51.855639027436894</v>
      </c>
    </row>
    <row r="69" spans="1:20" x14ac:dyDescent="0.25">
      <c r="A69" s="5">
        <v>44524</v>
      </c>
      <c r="B69">
        <v>0.11514000000000001</v>
      </c>
      <c r="C69">
        <v>0.11901</v>
      </c>
      <c r="D69">
        <v>0.11119999999999999</v>
      </c>
      <c r="E69">
        <v>0.11360000000000001</v>
      </c>
      <c r="F69">
        <v>8427404.3000000007</v>
      </c>
      <c r="G69">
        <v>0.11360000000000001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-0.38540332906529839</v>
      </c>
      <c r="Q69">
        <f t="shared" ref="Q69" si="321">F69*P69</f>
        <v>-3247949.6725992109</v>
      </c>
      <c r="R69">
        <f t="shared" ref="R69" si="322">R70+Q69</f>
        <v>-5201036084.1150723</v>
      </c>
      <c r="S69">
        <f t="shared" ref="S69" si="323">R69/100000</f>
        <v>-52010.360841150723</v>
      </c>
      <c r="T69">
        <f t="shared" ref="T69" si="324">S69/1000</f>
        <v>-52.010360841150721</v>
      </c>
    </row>
    <row r="70" spans="1:20" x14ac:dyDescent="0.25">
      <c r="A70" s="5">
        <v>44523</v>
      </c>
      <c r="B70">
        <v>0.11211</v>
      </c>
      <c r="C70">
        <v>0.11642</v>
      </c>
      <c r="D70">
        <v>0.1081</v>
      </c>
      <c r="E70">
        <v>0.11521000000000001</v>
      </c>
      <c r="F70">
        <v>42971163.399999999</v>
      </c>
      <c r="G70">
        <v>0.11521000000000001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0.70913461538461786</v>
      </c>
      <c r="Q70">
        <f t="shared" ref="Q70" si="326">F70*P70</f>
        <v>30472339.430288568</v>
      </c>
      <c r="R70">
        <f t="shared" ref="R70" si="327">R71+Q70</f>
        <v>-5197788134.4424734</v>
      </c>
      <c r="S70">
        <f t="shared" ref="S70" si="328">R70/100000</f>
        <v>-51977.881344424735</v>
      </c>
      <c r="T70">
        <f t="shared" ref="T70" si="329">S70/1000</f>
        <v>-51.977881344424738</v>
      </c>
    </row>
    <row r="71" spans="1:20" x14ac:dyDescent="0.25">
      <c r="A71" s="5">
        <v>44522</v>
      </c>
      <c r="B71">
        <v>0.11982</v>
      </c>
      <c r="C71">
        <v>0.11984</v>
      </c>
      <c r="D71">
        <v>0.11133</v>
      </c>
      <c r="E71">
        <v>0.1125</v>
      </c>
      <c r="F71">
        <v>25122026.600000001</v>
      </c>
      <c r="G71">
        <v>0.1125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-0.7250293772032893</v>
      </c>
      <c r="Q71">
        <f t="shared" ref="Q71" si="331">F71*P71</f>
        <v>-18214207.299882468</v>
      </c>
      <c r="R71">
        <f t="shared" ref="R71" si="332">R72+Q71</f>
        <v>-5228260473.8727617</v>
      </c>
      <c r="S71">
        <f t="shared" ref="S71" si="333">R71/100000</f>
        <v>-52282.604738727619</v>
      </c>
      <c r="T71">
        <f t="shared" ref="T71" si="334">S71/1000</f>
        <v>-52.28260473872762</v>
      </c>
    </row>
    <row r="72" spans="1:20" x14ac:dyDescent="0.25">
      <c r="A72" s="5">
        <v>44521</v>
      </c>
      <c r="B72">
        <v>0.12374</v>
      </c>
      <c r="C72">
        <v>0.13100000000000001</v>
      </c>
      <c r="D72">
        <v>0.11854000000000001</v>
      </c>
      <c r="E72">
        <v>0.11974</v>
      </c>
      <c r="F72">
        <v>55436498.5</v>
      </c>
      <c r="G72">
        <v>0.11974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-0.80738362760834781</v>
      </c>
      <c r="Q72">
        <f t="shared" ref="Q72" si="336">F72*P72</f>
        <v>-44758521.260834731</v>
      </c>
      <c r="R72">
        <f t="shared" ref="R72" si="337">R73+Q72</f>
        <v>-5210046266.5728788</v>
      </c>
      <c r="S72">
        <f t="shared" ref="S72" si="338">R72/100000</f>
        <v>-52100.462665728788</v>
      </c>
      <c r="T72">
        <f t="shared" ref="T72" si="339">S72/1000</f>
        <v>-52.100462665728791</v>
      </c>
    </row>
    <row r="73" spans="1:20" x14ac:dyDescent="0.25">
      <c r="A73" s="5">
        <v>44520</v>
      </c>
      <c r="B73">
        <v>0.10944</v>
      </c>
      <c r="C73">
        <v>0.13200000000000001</v>
      </c>
      <c r="D73">
        <v>0.10913</v>
      </c>
      <c r="E73">
        <v>0.12366000000000001</v>
      </c>
      <c r="F73">
        <v>85465979</v>
      </c>
      <c r="G73">
        <v>0.12366000000000001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0.27066025360734591</v>
      </c>
      <c r="Q73">
        <f t="shared" ref="Q73" si="341">F73*P73</f>
        <v>23132243.5509401</v>
      </c>
      <c r="R73">
        <f t="shared" ref="R73" si="342">R74+Q73</f>
        <v>-5165287745.3120441</v>
      </c>
      <c r="S73">
        <f t="shared" ref="S73" si="343">R73/100000</f>
        <v>-51652.87745312044</v>
      </c>
      <c r="T73">
        <f t="shared" ref="T73" si="344">S73/1000</f>
        <v>-51.652877453120439</v>
      </c>
    </row>
    <row r="74" spans="1:20" x14ac:dyDescent="0.25">
      <c r="A74" s="5">
        <v>44519</v>
      </c>
      <c r="B74">
        <v>0.10048</v>
      </c>
      <c r="C74">
        <v>0.1125</v>
      </c>
      <c r="D74">
        <v>9.8629999999999995E-2</v>
      </c>
      <c r="E74">
        <v>0.10943</v>
      </c>
      <c r="F74">
        <v>27876162.5</v>
      </c>
      <c r="G74">
        <v>0.10943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0.55731795241528459</v>
      </c>
      <c r="Q74">
        <f t="shared" ref="Q74" si="346">F74*P74</f>
        <v>15535885.805695741</v>
      </c>
      <c r="R74">
        <f t="shared" ref="R74" si="347">R75+Q74</f>
        <v>-5188419988.8629847</v>
      </c>
      <c r="S74">
        <f t="shared" ref="S74" si="348">R74/100000</f>
        <v>-51884.199888629846</v>
      </c>
      <c r="T74">
        <f t="shared" ref="T74" si="349">S74/1000</f>
        <v>-51.884199888629844</v>
      </c>
    </row>
    <row r="75" spans="1:20" x14ac:dyDescent="0.25">
      <c r="A75" s="5">
        <v>44518</v>
      </c>
      <c r="B75">
        <v>0.11358</v>
      </c>
      <c r="C75">
        <v>0.11481</v>
      </c>
      <c r="D75">
        <v>9.8350000000000007E-2</v>
      </c>
      <c r="E75">
        <v>0.10055</v>
      </c>
      <c r="F75">
        <v>26969640.399999999</v>
      </c>
      <c r="G75">
        <v>0.10055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-0.73268529769137358</v>
      </c>
      <c r="Q75">
        <f t="shared" ref="Q75" si="351">F75*P75</f>
        <v>-19760259.005103294</v>
      </c>
      <c r="R75">
        <f t="shared" ref="R75" si="352">R76+Q75</f>
        <v>-5203955874.6686802</v>
      </c>
      <c r="S75">
        <f t="shared" ref="S75" si="353">R75/100000</f>
        <v>-52039.558746686802</v>
      </c>
      <c r="T75">
        <f t="shared" ref="T75" si="354">S75/1000</f>
        <v>-52.039558746686801</v>
      </c>
    </row>
    <row r="76" spans="1:20" x14ac:dyDescent="0.25">
      <c r="A76" s="5">
        <v>44517</v>
      </c>
      <c r="B76">
        <v>0.1134</v>
      </c>
      <c r="C76">
        <v>0.11799999999999999</v>
      </c>
      <c r="D76">
        <v>0.10807</v>
      </c>
      <c r="E76">
        <v>0.11378000000000001</v>
      </c>
      <c r="F76">
        <v>30360824.899999999</v>
      </c>
      <c r="G76">
        <v>0.11378000000000001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0.15005035246727291</v>
      </c>
      <c r="Q76">
        <f t="shared" ref="Q76" si="356">F76*P76</f>
        <v>4555652.4774421556</v>
      </c>
      <c r="R76">
        <f t="shared" ref="R76" si="357">R77+Q76</f>
        <v>-5184195615.6635771</v>
      </c>
      <c r="S76">
        <f t="shared" ref="S76" si="358">R76/100000</f>
        <v>-51841.956156635773</v>
      </c>
      <c r="T76">
        <f t="shared" ref="T76" si="359">S76/1000</f>
        <v>-51.841956156635774</v>
      </c>
    </row>
    <row r="77" spans="1:20" x14ac:dyDescent="0.25">
      <c r="A77" s="5">
        <v>44516</v>
      </c>
      <c r="B77">
        <v>0.12504000000000001</v>
      </c>
      <c r="C77">
        <v>0.12509000000000001</v>
      </c>
      <c r="D77">
        <v>0.10806</v>
      </c>
      <c r="E77">
        <v>0.11345</v>
      </c>
      <c r="F77">
        <v>48963826.700000003</v>
      </c>
      <c r="G77">
        <v>0.11345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-0.36699941280094056</v>
      </c>
      <c r="Q77">
        <f t="shared" ref="Q77" si="361">F77*P77</f>
        <v>-17969695.647387017</v>
      </c>
      <c r="R77">
        <f t="shared" ref="R77" si="362">R78+Q77</f>
        <v>-5188751268.1410189</v>
      </c>
      <c r="S77">
        <f t="shared" ref="S77" si="363">R77/100000</f>
        <v>-51887.51268141019</v>
      </c>
      <c r="T77">
        <f t="shared" ref="T77" si="364">S77/1000</f>
        <v>-51.887512681410186</v>
      </c>
    </row>
    <row r="78" spans="1:20" x14ac:dyDescent="0.25">
      <c r="A78" s="5">
        <v>44515</v>
      </c>
      <c r="B78">
        <v>0.12391000000000001</v>
      </c>
      <c r="C78">
        <v>0.1295</v>
      </c>
      <c r="D78">
        <v>0.12214999999999999</v>
      </c>
      <c r="E78">
        <v>0.12504000000000001</v>
      </c>
      <c r="F78">
        <v>34123501.5</v>
      </c>
      <c r="G78">
        <v>0.12504000000000001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-0.21360544217686697</v>
      </c>
      <c r="Q78">
        <f t="shared" ref="Q78" si="366">F78*P78</f>
        <v>-7288965.6265304834</v>
      </c>
      <c r="R78">
        <f t="shared" ref="R78" si="367">R79+Q78</f>
        <v>-5170781572.4936323</v>
      </c>
      <c r="S78">
        <f t="shared" ref="S78" si="368">R78/100000</f>
        <v>-51707.815724936321</v>
      </c>
      <c r="T78">
        <f t="shared" ref="T78" si="369">S78/1000</f>
        <v>-51.707815724936324</v>
      </c>
    </row>
    <row r="79" spans="1:20" x14ac:dyDescent="0.25">
      <c r="A79" s="5">
        <v>44514</v>
      </c>
      <c r="B79">
        <v>0.12548000000000001</v>
      </c>
      <c r="C79">
        <v>0.12873999999999999</v>
      </c>
      <c r="D79">
        <v>0.12041</v>
      </c>
      <c r="E79">
        <v>0.12388</v>
      </c>
      <c r="F79">
        <v>32345746</v>
      </c>
      <c r="G79">
        <v>0.12388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-0.16686674669867829</v>
      </c>
      <c r="Q79">
        <f t="shared" ref="Q79" si="371">F79*P79</f>
        <v>-5397429.4045617869</v>
      </c>
      <c r="R79">
        <f t="shared" ref="R79" si="372">R80+Q79</f>
        <v>-5163492606.8671017</v>
      </c>
      <c r="S79">
        <f t="shared" ref="S79" si="373">R79/100000</f>
        <v>-51634.926068671019</v>
      </c>
      <c r="T79">
        <f t="shared" ref="T79" si="374">S79/1000</f>
        <v>-51.634926068671021</v>
      </c>
    </row>
    <row r="80" spans="1:20" x14ac:dyDescent="0.25">
      <c r="A80" s="5">
        <v>44513</v>
      </c>
      <c r="B80">
        <v>0.12714</v>
      </c>
      <c r="C80">
        <v>0.13419</v>
      </c>
      <c r="D80">
        <v>0.12413</v>
      </c>
      <c r="E80">
        <v>0.12548999999999999</v>
      </c>
      <c r="F80">
        <v>44694933.200000003</v>
      </c>
      <c r="G80">
        <v>0.12548999999999999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-0.72962226640159322</v>
      </c>
      <c r="Q80">
        <f t="shared" ref="Q80" si="376">F80*P80</f>
        <v>-32610418.458051816</v>
      </c>
      <c r="R80">
        <f t="shared" ref="R80" si="377">R81+Q80</f>
        <v>-5158095177.4625397</v>
      </c>
      <c r="S80">
        <f t="shared" ref="S80" si="378">R80/100000</f>
        <v>-51580.951774625399</v>
      </c>
      <c r="T80">
        <f t="shared" ref="T80" si="379">S80/1000</f>
        <v>-51.580951774625397</v>
      </c>
    </row>
    <row r="81" spans="1:20" x14ac:dyDescent="0.25">
      <c r="A81" s="5">
        <v>44512</v>
      </c>
      <c r="B81">
        <v>0.13392000000000001</v>
      </c>
      <c r="C81">
        <v>0.13872999999999999</v>
      </c>
      <c r="D81">
        <v>0.12268</v>
      </c>
      <c r="E81">
        <v>0.12717000000000001</v>
      </c>
      <c r="F81">
        <v>61987419.600000001</v>
      </c>
      <c r="G81">
        <v>0.12717000000000001</v>
      </c>
      <c r="L81" t="s">
        <v>7</v>
      </c>
      <c r="M81" t="s">
        <v>8</v>
      </c>
      <c r="N81" t="s">
        <v>8</v>
      </c>
      <c r="P81">
        <f t="shared" ref="P81" si="380">IF(C81=D81,0,((E81-D81)-(C81-E81))/(C81-D81))</f>
        <v>-0.44049844236760011</v>
      </c>
      <c r="Q81">
        <f t="shared" ref="Q81" si="381">F81*P81</f>
        <v>-27305361.780186847</v>
      </c>
      <c r="R81">
        <f t="shared" ref="R81" si="382">R82+Q81</f>
        <v>-5125484759.004488</v>
      </c>
      <c r="S81">
        <f t="shared" ref="S81" si="383">R81/100000</f>
        <v>-51254.847590044883</v>
      </c>
      <c r="T81">
        <f t="shared" ref="T81" si="384">S81/1000</f>
        <v>-51.254847590044882</v>
      </c>
    </row>
    <row r="82" spans="1:20" x14ac:dyDescent="0.25">
      <c r="A82" s="5">
        <v>44511</v>
      </c>
      <c r="B82">
        <v>0.11949</v>
      </c>
      <c r="C82">
        <v>0.1394</v>
      </c>
      <c r="D82">
        <v>0.11804000000000001</v>
      </c>
      <c r="E82">
        <v>0.13395000000000001</v>
      </c>
      <c r="F82">
        <v>70635351.599999994</v>
      </c>
      <c r="G82">
        <v>0.13395000000000001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0.48970037453183657</v>
      </c>
      <c r="Q82">
        <f t="shared" ref="Q82" si="386">F82*P82</f>
        <v>34590158.133707955</v>
      </c>
      <c r="R82">
        <f t="shared" ref="R82" si="387">R83+Q82</f>
        <v>-5098179397.2243013</v>
      </c>
      <c r="S82">
        <f t="shared" ref="S82" si="388">R82/100000</f>
        <v>-50981.793972243016</v>
      </c>
      <c r="T82">
        <f t="shared" ref="T82" si="389">S82/1000</f>
        <v>-50.981793972243018</v>
      </c>
    </row>
    <row r="83" spans="1:20" x14ac:dyDescent="0.25">
      <c r="A83" s="5">
        <v>44510</v>
      </c>
      <c r="B83">
        <v>0.12709000000000001</v>
      </c>
      <c r="C83">
        <v>0.13113</v>
      </c>
      <c r="D83">
        <v>0.11255999999999999</v>
      </c>
      <c r="E83">
        <v>0.11966</v>
      </c>
      <c r="F83">
        <v>41064625</v>
      </c>
      <c r="G83">
        <v>0.11966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-0.23532579429186776</v>
      </c>
      <c r="Q83">
        <f t="shared" ref="Q83" si="391">F83*P83</f>
        <v>-9663565.4954226892</v>
      </c>
      <c r="R83">
        <f t="shared" ref="R83" si="392">R84+Q83</f>
        <v>-5132769555.3580093</v>
      </c>
      <c r="S83">
        <f t="shared" ref="S83" si="393">R83/100000</f>
        <v>-51327.695553580095</v>
      </c>
      <c r="T83">
        <f t="shared" ref="T83" si="394">S83/1000</f>
        <v>-51.327695553580092</v>
      </c>
    </row>
    <row r="84" spans="1:20" x14ac:dyDescent="0.25">
      <c r="A84" s="5">
        <v>44509</v>
      </c>
      <c r="B84">
        <v>0.13000999999999999</v>
      </c>
      <c r="C84">
        <v>0.13294</v>
      </c>
      <c r="D84">
        <v>0.125</v>
      </c>
      <c r="E84">
        <v>0.12698999999999999</v>
      </c>
      <c r="F84">
        <v>24117535.899999999</v>
      </c>
      <c r="G84">
        <v>0.12698999999999999</v>
      </c>
      <c r="L84" t="s">
        <v>7</v>
      </c>
      <c r="M84" t="s">
        <v>8</v>
      </c>
      <c r="N84" t="s">
        <v>8</v>
      </c>
      <c r="P84">
        <f t="shared" ref="P84" si="395">IF(C84=D84,0,((E84-D84)-(C84-E84))/(C84-D84))</f>
        <v>-0.49874055415617352</v>
      </c>
      <c r="Q84">
        <f t="shared" ref="Q84" si="396">F84*P84</f>
        <v>-12028393.219647408</v>
      </c>
      <c r="R84">
        <f t="shared" ref="R84" si="397">R85+Q84</f>
        <v>-5123105989.862587</v>
      </c>
      <c r="S84">
        <f t="shared" ref="S84" si="398">R84/100000</f>
        <v>-51231.05989862587</v>
      </c>
      <c r="T84">
        <f t="shared" ref="T84" si="399">S84/1000</f>
        <v>-51.231059898625873</v>
      </c>
    </row>
    <row r="85" spans="1:20" x14ac:dyDescent="0.25">
      <c r="A85" s="5">
        <v>44508</v>
      </c>
      <c r="B85">
        <v>0.1338</v>
      </c>
      <c r="C85">
        <v>0.13417999999999999</v>
      </c>
      <c r="D85">
        <v>0.12644</v>
      </c>
      <c r="E85">
        <v>0.13013</v>
      </c>
      <c r="F85">
        <v>28579554.899999999</v>
      </c>
      <c r="G85">
        <v>0.13013</v>
      </c>
      <c r="L85" t="s">
        <v>7</v>
      </c>
      <c r="M85" t="s">
        <v>8</v>
      </c>
      <c r="N85" t="s">
        <v>8</v>
      </c>
      <c r="P85">
        <f t="shared" ref="P85" si="400">IF(C85=D85,0,((E85-D85)-(C85-E85))/(C85-D85))</f>
        <v>-4.651162790697666E-2</v>
      </c>
      <c r="Q85">
        <f t="shared" ref="Q85" si="401">F85*P85</f>
        <v>-1329281.6232558114</v>
      </c>
      <c r="R85">
        <f t="shared" ref="R85" si="402">R86+Q85</f>
        <v>-5111077596.6429396</v>
      </c>
      <c r="S85">
        <f t="shared" ref="S85" si="403">R85/100000</f>
        <v>-51110.775966429399</v>
      </c>
      <c r="T85">
        <f t="shared" ref="T85" si="404">S85/1000</f>
        <v>-51.110775966429401</v>
      </c>
    </row>
    <row r="86" spans="1:20" x14ac:dyDescent="0.25">
      <c r="A86" s="5">
        <v>44507</v>
      </c>
      <c r="B86">
        <v>0.13571</v>
      </c>
      <c r="C86">
        <v>0.14249999999999999</v>
      </c>
      <c r="D86">
        <v>0.13305</v>
      </c>
      <c r="E86">
        <v>0.13392000000000001</v>
      </c>
      <c r="F86">
        <v>25204762.199999999</v>
      </c>
      <c r="G86">
        <v>0.13392000000000001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-0.81587301587301353</v>
      </c>
      <c r="Q86">
        <f t="shared" ref="Q86" si="406">F86*P86</f>
        <v>-20563885.350476131</v>
      </c>
      <c r="R86">
        <f t="shared" ref="R86" si="407">R87+Q86</f>
        <v>-5109748315.0196838</v>
      </c>
      <c r="S86">
        <f t="shared" ref="S86" si="408">R86/100000</f>
        <v>-51097.483150196837</v>
      </c>
      <c r="T86">
        <f t="shared" ref="T86" si="409">S86/1000</f>
        <v>-51.097483150196837</v>
      </c>
    </row>
    <row r="87" spans="1:20" x14ac:dyDescent="0.25">
      <c r="A87" s="5">
        <v>44506</v>
      </c>
      <c r="B87">
        <v>0.12950999999999999</v>
      </c>
      <c r="C87">
        <v>0.14602000000000001</v>
      </c>
      <c r="D87">
        <v>0.12950999999999999</v>
      </c>
      <c r="E87">
        <v>0.13571</v>
      </c>
      <c r="F87">
        <v>75721271.799999997</v>
      </c>
      <c r="G87">
        <v>0.13571</v>
      </c>
      <c r="L87" t="s">
        <v>8</v>
      </c>
      <c r="M87" t="s">
        <v>8</v>
      </c>
      <c r="N87" t="s">
        <v>8</v>
      </c>
      <c r="P87">
        <f t="shared" ref="P87" si="410">IF(C87=D87,0,((E87-D87)-(C87-E87))/(C87-D87))</f>
        <v>-0.24894003634161094</v>
      </c>
      <c r="Q87">
        <f t="shared" ref="Q87" si="411">F87*P87</f>
        <v>-18850056.153724998</v>
      </c>
      <c r="R87">
        <f t="shared" ref="R87" si="412">R88+Q87</f>
        <v>-5089184429.6692076</v>
      </c>
      <c r="S87">
        <f t="shared" ref="S87" si="413">R87/100000</f>
        <v>-50891.844296692077</v>
      </c>
      <c r="T87">
        <f t="shared" ref="T87" si="414">S87/1000</f>
        <v>-50.891844296692078</v>
      </c>
    </row>
    <row r="88" spans="1:20" x14ac:dyDescent="0.25">
      <c r="A88" s="5">
        <v>44505</v>
      </c>
      <c r="B88">
        <v>0.12508</v>
      </c>
      <c r="C88">
        <v>0.13500000000000001</v>
      </c>
      <c r="D88">
        <v>0.12078</v>
      </c>
      <c r="E88">
        <v>0.12950999999999999</v>
      </c>
      <c r="F88">
        <v>37849126.799999997</v>
      </c>
      <c r="G88">
        <v>0.12950999999999999</v>
      </c>
      <c r="L88" t="s">
        <v>8</v>
      </c>
      <c r="M88" t="s">
        <v>7</v>
      </c>
      <c r="N88" t="s">
        <v>8</v>
      </c>
      <c r="P88">
        <f t="shared" ref="P88" si="415">IF(C88=D88,0,((E88-D88)-(C88-E88))/(C88-D88))</f>
        <v>0.22784810126582017</v>
      </c>
      <c r="Q88">
        <f t="shared" ref="Q88" si="416">F88*P88</f>
        <v>8623851.675949268</v>
      </c>
      <c r="R88">
        <f t="shared" ref="R88" si="417">R89+Q88</f>
        <v>-5070334373.5154829</v>
      </c>
      <c r="S88">
        <f t="shared" ref="S88" si="418">R88/100000</f>
        <v>-50703.343735154827</v>
      </c>
      <c r="T88">
        <f t="shared" ref="T88" si="419">S88/1000</f>
        <v>-50.703343735154824</v>
      </c>
    </row>
    <row r="89" spans="1:20" x14ac:dyDescent="0.25">
      <c r="A89" s="5">
        <v>44504</v>
      </c>
      <c r="B89">
        <v>0.13399</v>
      </c>
      <c r="C89">
        <v>0.13542999999999999</v>
      </c>
      <c r="D89">
        <v>0.12202</v>
      </c>
      <c r="E89">
        <v>0.12506</v>
      </c>
      <c r="F89">
        <v>48967289.299999997</v>
      </c>
      <c r="G89">
        <v>0.12506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-0.54660700969425757</v>
      </c>
      <c r="Q89">
        <f t="shared" ref="Q89" si="421">F89*P89</f>
        <v>-26765863.577106614</v>
      </c>
      <c r="R89">
        <f t="shared" ref="R89" si="422">R90+Q89</f>
        <v>-5078958225.191432</v>
      </c>
      <c r="S89">
        <f t="shared" ref="S89" si="423">R89/100000</f>
        <v>-50789.582251914318</v>
      </c>
      <c r="T89">
        <f t="shared" ref="T89" si="424">S89/1000</f>
        <v>-50.789582251914318</v>
      </c>
    </row>
    <row r="90" spans="1:20" x14ac:dyDescent="0.25">
      <c r="A90" s="5">
        <v>44503</v>
      </c>
      <c r="B90">
        <v>0.11975</v>
      </c>
      <c r="C90">
        <v>0.15761</v>
      </c>
      <c r="D90">
        <v>0.11933000000000001</v>
      </c>
      <c r="E90">
        <v>0.13333</v>
      </c>
      <c r="F90">
        <v>301849884.69999999</v>
      </c>
      <c r="G90">
        <v>0.13333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-0.26854754440961337</v>
      </c>
      <c r="Q90">
        <f t="shared" ref="Q90" si="426">F90*P90</f>
        <v>-81061045.316509917</v>
      </c>
      <c r="R90">
        <f t="shared" ref="R90" si="427">R91+Q90</f>
        <v>-5052192361.6143255</v>
      </c>
      <c r="S90">
        <f t="shared" ref="S90" si="428">R90/100000</f>
        <v>-50521.923616143256</v>
      </c>
      <c r="T90">
        <f t="shared" ref="T90" si="429">S90/1000</f>
        <v>-50.521923616143255</v>
      </c>
    </row>
    <row r="91" spans="1:20" x14ac:dyDescent="0.25">
      <c r="A91" s="5">
        <v>44502</v>
      </c>
      <c r="B91">
        <v>0.11049</v>
      </c>
      <c r="C91">
        <v>0.127</v>
      </c>
      <c r="D91">
        <v>0.10668</v>
      </c>
      <c r="E91">
        <v>0.11965000000000001</v>
      </c>
      <c r="F91">
        <v>79488722.200000003</v>
      </c>
      <c r="G91">
        <v>0.11965000000000001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0.27657480314960692</v>
      </c>
      <c r="Q91">
        <f t="shared" ref="Q91" si="431">F91*P91</f>
        <v>21984577.69507879</v>
      </c>
      <c r="R91">
        <f t="shared" ref="R91" si="432">R92+Q91</f>
        <v>-4971131316.2978153</v>
      </c>
      <c r="S91">
        <f t="shared" ref="S91" si="433">R91/100000</f>
        <v>-49711.313162978156</v>
      </c>
      <c r="T91">
        <f t="shared" ref="T91" si="434">S91/1000</f>
        <v>-49.711313162978158</v>
      </c>
    </row>
    <row r="92" spans="1:20" x14ac:dyDescent="0.25">
      <c r="A92" s="5">
        <v>44501</v>
      </c>
      <c r="B92">
        <v>0.10759000000000001</v>
      </c>
      <c r="C92">
        <v>0.11663</v>
      </c>
      <c r="D92">
        <v>0.105</v>
      </c>
      <c r="E92">
        <v>0.11049</v>
      </c>
      <c r="F92">
        <v>57708173.600000001</v>
      </c>
      <c r="G92">
        <v>0.11049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-5.5889939810832658E-2</v>
      </c>
      <c r="Q92">
        <f t="shared" ref="Q92" si="436">F92*P92</f>
        <v>-3225306.3490970824</v>
      </c>
      <c r="R92">
        <f t="shared" ref="R92" si="437">R93+Q92</f>
        <v>-4993115893.9928942</v>
      </c>
      <c r="S92">
        <f t="shared" ref="S92" si="438">R92/100000</f>
        <v>-49931.158939928944</v>
      </c>
      <c r="T92">
        <f t="shared" ref="T92" si="439">S92/1000</f>
        <v>-49.931158939928942</v>
      </c>
    </row>
    <row r="93" spans="1:20" x14ac:dyDescent="0.25">
      <c r="A93" s="5">
        <v>44500</v>
      </c>
      <c r="B93">
        <v>0.11222</v>
      </c>
      <c r="C93">
        <v>0.12</v>
      </c>
      <c r="D93">
        <v>0.10407</v>
      </c>
      <c r="E93">
        <v>0.10759000000000001</v>
      </c>
      <c r="F93">
        <v>73401901.299999997</v>
      </c>
      <c r="G93">
        <v>0.10759000000000001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-0.5580665411173874</v>
      </c>
      <c r="Q93">
        <f t="shared" ref="Q93" si="441">F93*P93</f>
        <v>-40963145.16993086</v>
      </c>
      <c r="R93">
        <f t="shared" ref="R93" si="442">R94+Q93</f>
        <v>-4989890587.6437969</v>
      </c>
      <c r="S93">
        <f t="shared" ref="S93" si="443">R93/100000</f>
        <v>-49898.905876437966</v>
      </c>
      <c r="T93">
        <f t="shared" ref="T93" si="444">S93/1000</f>
        <v>-49.898905876437965</v>
      </c>
    </row>
    <row r="94" spans="1:20" x14ac:dyDescent="0.25">
      <c r="A94" s="5">
        <v>44499</v>
      </c>
      <c r="B94">
        <v>0.10679</v>
      </c>
      <c r="C94">
        <v>0.15798000000000001</v>
      </c>
      <c r="D94">
        <v>0.10657999999999999</v>
      </c>
      <c r="E94">
        <v>0.11214</v>
      </c>
      <c r="F94">
        <v>369835135.5</v>
      </c>
      <c r="G94">
        <v>0.11214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-0.78365758754863779</v>
      </c>
      <c r="Q94">
        <f t="shared" ref="Q94" si="446">F94*P94</f>
        <v>-289824110.0766536</v>
      </c>
      <c r="R94">
        <f t="shared" ref="R94" si="447">R95+Q94</f>
        <v>-4948927442.4738665</v>
      </c>
      <c r="S94">
        <f t="shared" ref="S94" si="448">R94/100000</f>
        <v>-49489.274424738665</v>
      </c>
      <c r="T94">
        <f t="shared" ref="T94" si="449">S94/1000</f>
        <v>-49.489274424738667</v>
      </c>
    </row>
    <row r="95" spans="1:20" x14ac:dyDescent="0.25">
      <c r="A95" s="5">
        <v>44498</v>
      </c>
      <c r="B95">
        <v>9.5369999999999996E-2</v>
      </c>
      <c r="C95">
        <v>0.1172</v>
      </c>
      <c r="D95">
        <v>9.3799999999999994E-2</v>
      </c>
      <c r="E95">
        <v>0.10657999999999999</v>
      </c>
      <c r="F95">
        <v>79560439.400000006</v>
      </c>
      <c r="G95">
        <v>0.10657999999999999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9.2307692307692091E-2</v>
      </c>
      <c r="Q95">
        <f t="shared" ref="Q95" si="451">F95*P95</f>
        <v>7344040.5599999838</v>
      </c>
      <c r="R95">
        <f t="shared" ref="R95" si="452">R96+Q95</f>
        <v>-4659103332.397213</v>
      </c>
      <c r="S95">
        <f t="shared" ref="S95" si="453">R95/100000</f>
        <v>-46591.033323972129</v>
      </c>
      <c r="T95">
        <f t="shared" ref="T95" si="454">S95/1000</f>
        <v>-46.591033323972127</v>
      </c>
    </row>
    <row r="96" spans="1:20" x14ac:dyDescent="0.25">
      <c r="A96" s="5">
        <v>44497</v>
      </c>
      <c r="B96">
        <v>9.2460000000000001E-2</v>
      </c>
      <c r="C96">
        <v>0.1</v>
      </c>
      <c r="D96">
        <v>9.06E-2</v>
      </c>
      <c r="E96">
        <v>9.511E-2</v>
      </c>
      <c r="F96">
        <v>39281202.5</v>
      </c>
      <c r="G96">
        <v>9.511E-2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-4.0425531914894161E-2</v>
      </c>
      <c r="Q96">
        <f t="shared" ref="Q96" si="456">F96*P96</f>
        <v>-1587963.5053191704</v>
      </c>
      <c r="R96">
        <f t="shared" ref="R96" si="457">R97+Q96</f>
        <v>-4666447372.9572134</v>
      </c>
      <c r="S96">
        <f t="shared" ref="S96" si="458">R96/100000</f>
        <v>-46664.473729572135</v>
      </c>
      <c r="T96">
        <f t="shared" ref="T96" si="459">S96/1000</f>
        <v>-46.664473729572137</v>
      </c>
    </row>
    <row r="97" spans="1:20" x14ac:dyDescent="0.25">
      <c r="A97" s="5">
        <v>44496</v>
      </c>
      <c r="B97">
        <v>0.10775999999999999</v>
      </c>
      <c r="C97">
        <v>0.10975</v>
      </c>
      <c r="D97">
        <v>9.2329999999999995E-2</v>
      </c>
      <c r="E97">
        <v>9.2460000000000001E-2</v>
      </c>
      <c r="F97">
        <v>43343619.600000001</v>
      </c>
      <c r="G97">
        <v>9.2460000000000001E-2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-0.98507462686567104</v>
      </c>
      <c r="Q97">
        <f t="shared" ref="Q97" si="461">F97*P97</f>
        <v>-42696699.904477589</v>
      </c>
      <c r="R97">
        <f t="shared" ref="R97" si="462">R98+Q97</f>
        <v>-4664859409.4518938</v>
      </c>
      <c r="S97">
        <f t="shared" ref="S97" si="463">R97/100000</f>
        <v>-46648.594094518936</v>
      </c>
      <c r="T97">
        <f t="shared" ref="T97" si="464">S97/1000</f>
        <v>-46.648594094518934</v>
      </c>
    </row>
    <row r="98" spans="1:20" x14ac:dyDescent="0.25">
      <c r="A98" s="5">
        <v>44495</v>
      </c>
      <c r="B98">
        <v>0.10725999999999999</v>
      </c>
      <c r="C98">
        <v>0.11365</v>
      </c>
      <c r="D98">
        <v>0.10508000000000001</v>
      </c>
      <c r="E98">
        <v>0.10753</v>
      </c>
      <c r="F98">
        <v>60916040.200000003</v>
      </c>
      <c r="G98">
        <v>0.10753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-0.42823803967327995</v>
      </c>
      <c r="Q98">
        <f t="shared" ref="Q98" si="466">F98*P98</f>
        <v>-26086565.639906716</v>
      </c>
      <c r="R98">
        <f t="shared" ref="R98" si="467">R99+Q98</f>
        <v>-4622162709.5474167</v>
      </c>
      <c r="S98">
        <f t="shared" ref="S98" si="468">R98/100000</f>
        <v>-46221.62709547417</v>
      </c>
      <c r="T98">
        <f t="shared" ref="T98" si="469">S98/1000</f>
        <v>-46.221627095474169</v>
      </c>
    </row>
    <row r="99" spans="1:20" x14ac:dyDescent="0.25">
      <c r="A99" s="5">
        <v>44494</v>
      </c>
      <c r="B99">
        <v>0.10477</v>
      </c>
      <c r="C99">
        <v>0.111</v>
      </c>
      <c r="D99">
        <v>0.10464</v>
      </c>
      <c r="E99">
        <v>0.10725999999999999</v>
      </c>
      <c r="F99">
        <v>72128507.099999994</v>
      </c>
      <c r="G99">
        <v>0.10725999999999999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-0.17610062893081904</v>
      </c>
      <c r="Q99">
        <f t="shared" ref="Q99" si="471">F99*P99</f>
        <v>-12701875.464151045</v>
      </c>
      <c r="R99">
        <f t="shared" ref="R99" si="472">R100+Q99</f>
        <v>-4596076143.9075098</v>
      </c>
      <c r="S99">
        <f t="shared" ref="S99" si="473">R99/100000</f>
        <v>-45960.761439075097</v>
      </c>
      <c r="T99">
        <f t="shared" ref="T99" si="474">S99/1000</f>
        <v>-45.9607614390751</v>
      </c>
    </row>
    <row r="100" spans="1:20" x14ac:dyDescent="0.25">
      <c r="A100" s="5">
        <v>44493</v>
      </c>
      <c r="B100">
        <v>0.10531</v>
      </c>
      <c r="C100">
        <v>0.12426</v>
      </c>
      <c r="D100">
        <v>0.10369</v>
      </c>
      <c r="E100">
        <v>0.10477</v>
      </c>
      <c r="F100">
        <v>370390080.89999998</v>
      </c>
      <c r="G100">
        <v>0.10477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-0.89499270782693263</v>
      </c>
      <c r="Q100">
        <f t="shared" ref="Q100" si="476">F100*P100</f>
        <v>-331496421.4569276</v>
      </c>
      <c r="R100">
        <f t="shared" ref="R100" si="477">R101+Q100</f>
        <v>-4583374268.4433584</v>
      </c>
      <c r="S100">
        <f t="shared" ref="S100" si="478">R100/100000</f>
        <v>-45833.742684433586</v>
      </c>
      <c r="T100">
        <f t="shared" ref="T100" si="479">S100/1000</f>
        <v>-45.833742684433588</v>
      </c>
    </row>
    <row r="101" spans="1:20" x14ac:dyDescent="0.25">
      <c r="A101" s="5">
        <v>44492</v>
      </c>
      <c r="B101">
        <v>9.3590000000000007E-2</v>
      </c>
      <c r="C101">
        <v>0.12188</v>
      </c>
      <c r="D101">
        <v>9.257E-2</v>
      </c>
      <c r="E101">
        <v>0.1053</v>
      </c>
      <c r="F101">
        <v>372350106.39999998</v>
      </c>
      <c r="G101">
        <v>0.1053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-0.13135448652337059</v>
      </c>
      <c r="Q101">
        <f t="shared" ref="Q101" si="481">F101*P101</f>
        <v>-48909857.033094399</v>
      </c>
      <c r="R101">
        <f t="shared" ref="R101" si="482">R102+Q101</f>
        <v>-4251877846.9864306</v>
      </c>
      <c r="S101">
        <f t="shared" ref="S101" si="483">R101/100000</f>
        <v>-42518.778469864308</v>
      </c>
      <c r="T101">
        <f t="shared" ref="T101" si="484">S101/1000</f>
        <v>-42.518778469864309</v>
      </c>
    </row>
    <row r="102" spans="1:20" x14ac:dyDescent="0.25">
      <c r="A102" s="5">
        <v>44491</v>
      </c>
      <c r="B102">
        <v>9.3890000000000001E-2</v>
      </c>
      <c r="C102">
        <v>9.826E-2</v>
      </c>
      <c r="D102">
        <v>9.2299999999999993E-2</v>
      </c>
      <c r="E102">
        <v>9.3390000000000001E-2</v>
      </c>
      <c r="F102">
        <v>24086187.100000001</v>
      </c>
      <c r="G102">
        <v>9.3390000000000001E-2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-0.63422818791946101</v>
      </c>
      <c r="Q102">
        <f t="shared" ref="Q102" si="486">F102*P102</f>
        <v>-15276138.798322098</v>
      </c>
      <c r="R102">
        <f t="shared" ref="R102" si="487">R103+Q102</f>
        <v>-4202967989.9533362</v>
      </c>
      <c r="S102">
        <f t="shared" ref="S102" si="488">R102/100000</f>
        <v>-42029.679899533359</v>
      </c>
      <c r="T102">
        <f t="shared" ref="T102" si="489">S102/1000</f>
        <v>-42.029679899533356</v>
      </c>
    </row>
    <row r="103" spans="1:20" x14ac:dyDescent="0.25">
      <c r="A103" s="5">
        <v>44490</v>
      </c>
      <c r="B103">
        <v>9.9360000000000004E-2</v>
      </c>
      <c r="C103">
        <v>0.10022</v>
      </c>
      <c r="D103">
        <v>9.1999999999999998E-2</v>
      </c>
      <c r="E103">
        <v>9.3640000000000001E-2</v>
      </c>
      <c r="F103">
        <v>30672631.800000001</v>
      </c>
      <c r="G103">
        <v>9.3640000000000001E-2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-0.60097323600973196</v>
      </c>
      <c r="Q103">
        <f t="shared" ref="Q103" si="491">F103*P103</f>
        <v>-18433430.789781012</v>
      </c>
      <c r="R103">
        <f t="shared" ref="R103" si="492">R104+Q103</f>
        <v>-4187691851.155014</v>
      </c>
      <c r="S103">
        <f t="shared" ref="S103" si="493">R103/100000</f>
        <v>-41876.918511550139</v>
      </c>
      <c r="T103">
        <f t="shared" ref="T103" si="494">S103/1000</f>
        <v>-41.876918511550137</v>
      </c>
    </row>
    <row r="104" spans="1:20" x14ac:dyDescent="0.25">
      <c r="A104" s="5">
        <v>44489</v>
      </c>
      <c r="B104">
        <v>9.0859999999999996E-2</v>
      </c>
      <c r="C104">
        <v>0.10688</v>
      </c>
      <c r="D104">
        <v>9.0120000000000006E-2</v>
      </c>
      <c r="E104">
        <v>9.9599999999999994E-2</v>
      </c>
      <c r="F104">
        <v>63715114</v>
      </c>
      <c r="G104">
        <v>9.9599999999999994E-2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0.13126491646777924</v>
      </c>
      <c r="Q104">
        <f t="shared" ref="Q104" si="496">F104*P104</f>
        <v>8363559.116945032</v>
      </c>
      <c r="R104">
        <f t="shared" ref="R104" si="497">R105+Q104</f>
        <v>-4169258420.3652329</v>
      </c>
      <c r="S104">
        <f t="shared" ref="S104" si="498">R104/100000</f>
        <v>-41692.584203652332</v>
      </c>
      <c r="T104">
        <f t="shared" ref="T104" si="499">S104/1000</f>
        <v>-41.692584203652331</v>
      </c>
    </row>
    <row r="105" spans="1:20" x14ac:dyDescent="0.25">
      <c r="A105" s="5">
        <v>44488</v>
      </c>
      <c r="B105">
        <v>9.0190000000000006E-2</v>
      </c>
      <c r="C105">
        <v>9.4890000000000002E-2</v>
      </c>
      <c r="D105">
        <v>8.924E-2</v>
      </c>
      <c r="E105">
        <v>9.0630000000000002E-2</v>
      </c>
      <c r="F105">
        <v>25593737.399999999</v>
      </c>
      <c r="G105">
        <v>9.0630000000000002E-2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-0.50796460176991087</v>
      </c>
      <c r="Q105">
        <f t="shared" ref="Q105" si="501">F105*P105</f>
        <v>-13000712.626194673</v>
      </c>
      <c r="R105">
        <f t="shared" ref="R105" si="502">R106+Q105</f>
        <v>-4177621979.4821782</v>
      </c>
      <c r="S105">
        <f t="shared" ref="S105" si="503">R105/100000</f>
        <v>-41776.21979482178</v>
      </c>
      <c r="T105">
        <f t="shared" ref="T105" si="504">S105/1000</f>
        <v>-41.776219794821777</v>
      </c>
    </row>
    <row r="106" spans="1:20" x14ac:dyDescent="0.25">
      <c r="A106" s="5">
        <v>44487</v>
      </c>
      <c r="B106">
        <v>9.4149999999999998E-2</v>
      </c>
      <c r="C106">
        <v>9.8500000000000004E-2</v>
      </c>
      <c r="D106">
        <v>8.8120000000000004E-2</v>
      </c>
      <c r="E106">
        <v>8.9870000000000005E-2</v>
      </c>
      <c r="F106">
        <v>47816843.5</v>
      </c>
      <c r="G106">
        <v>8.9870000000000005E-2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-0.66281310211946021</v>
      </c>
      <c r="Q106">
        <f t="shared" ref="Q106" si="506">F106*P106</f>
        <v>-31693630.373795748</v>
      </c>
      <c r="R106">
        <f t="shared" ref="R106" si="507">R107+Q106</f>
        <v>-4164621266.8559837</v>
      </c>
      <c r="S106">
        <f t="shared" ref="S106" si="508">R106/100000</f>
        <v>-41646.212668559834</v>
      </c>
      <c r="T106">
        <f t="shared" ref="T106" si="509">S106/1000</f>
        <v>-41.646212668559834</v>
      </c>
    </row>
    <row r="107" spans="1:20" x14ac:dyDescent="0.25">
      <c r="A107" s="5">
        <v>44486</v>
      </c>
      <c r="B107">
        <v>9.06E-2</v>
      </c>
      <c r="C107">
        <v>0.12221</v>
      </c>
      <c r="D107">
        <v>8.8400000000000006E-2</v>
      </c>
      <c r="E107">
        <v>9.4149999999999998E-2</v>
      </c>
      <c r="F107">
        <v>197795790.09999999</v>
      </c>
      <c r="G107">
        <v>9.4149999999999998E-2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-0.65986394557823169</v>
      </c>
      <c r="Q107">
        <f t="shared" ref="Q107" si="511">F107*P107</f>
        <v>-130518310.47414973</v>
      </c>
      <c r="R107">
        <f t="shared" ref="R107" si="512">R108+Q107</f>
        <v>-4132927636.4821882</v>
      </c>
      <c r="S107">
        <f t="shared" ref="S107" si="513">R107/100000</f>
        <v>-41329.276364821882</v>
      </c>
      <c r="T107">
        <f t="shared" ref="T107" si="514">S107/1000</f>
        <v>-41.329276364821879</v>
      </c>
    </row>
    <row r="108" spans="1:20" x14ac:dyDescent="0.25">
      <c r="A108" s="5">
        <v>44485</v>
      </c>
      <c r="B108">
        <v>8.9829999999999993E-2</v>
      </c>
      <c r="C108">
        <v>9.3799999999999994E-2</v>
      </c>
      <c r="D108">
        <v>8.9389999999999997E-2</v>
      </c>
      <c r="E108">
        <v>9.0620000000000006E-2</v>
      </c>
      <c r="F108">
        <v>27889357.5</v>
      </c>
      <c r="G108">
        <v>9.0620000000000006E-2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-0.44217687074829493</v>
      </c>
      <c r="Q108">
        <f t="shared" ref="Q108" si="516">F108*P108</f>
        <v>-12332028.82653049</v>
      </c>
      <c r="R108">
        <f t="shared" ref="R108" si="517">R109+Q108</f>
        <v>-4002409326.0080385</v>
      </c>
      <c r="S108">
        <f t="shared" ref="S108" si="518">R108/100000</f>
        <v>-40024.093260080386</v>
      </c>
      <c r="T108">
        <f t="shared" ref="T108" si="519">S108/1000</f>
        <v>-40.024093260080384</v>
      </c>
    </row>
    <row r="109" spans="1:20" x14ac:dyDescent="0.25">
      <c r="A109" s="5">
        <v>44484</v>
      </c>
      <c r="B109">
        <v>8.8929999999999995E-2</v>
      </c>
      <c r="C109">
        <v>9.4119999999999995E-2</v>
      </c>
      <c r="D109">
        <v>8.3739999999999995E-2</v>
      </c>
      <c r="E109">
        <v>8.9819999999999997E-2</v>
      </c>
      <c r="F109">
        <v>68277541.5</v>
      </c>
      <c r="G109">
        <v>8.9819999999999997E-2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0.17148362235067474</v>
      </c>
      <c r="Q109">
        <f t="shared" ref="Q109" si="521">F109*P109</f>
        <v>11708480.141618522</v>
      </c>
      <c r="R109">
        <f t="shared" ref="R109" si="522">R110+Q109</f>
        <v>-3990077297.1815081</v>
      </c>
      <c r="S109">
        <f t="shared" ref="S109" si="523">R109/100000</f>
        <v>-39900.77297181508</v>
      </c>
      <c r="T109">
        <f t="shared" ref="T109" si="524">S109/1000</f>
        <v>-39.90077297181508</v>
      </c>
    </row>
    <row r="110" spans="1:20" x14ac:dyDescent="0.25">
      <c r="A110" s="5">
        <v>44483</v>
      </c>
      <c r="B110">
        <v>8.3049999999999999E-2</v>
      </c>
      <c r="C110">
        <v>9.0999999999999998E-2</v>
      </c>
      <c r="D110">
        <v>8.2460000000000006E-2</v>
      </c>
      <c r="E110">
        <v>8.8800000000000004E-2</v>
      </c>
      <c r="F110">
        <v>63693502</v>
      </c>
      <c r="G110">
        <v>8.8800000000000004E-2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0.48477751756440385</v>
      </c>
      <c r="Q110">
        <f t="shared" ref="Q110" si="526">F110*P110</f>
        <v>30877177.784543391</v>
      </c>
      <c r="R110">
        <f t="shared" ref="R110" si="527">R111+Q110</f>
        <v>-4001785777.3231268</v>
      </c>
      <c r="S110">
        <f t="shared" ref="S110" si="528">R110/100000</f>
        <v>-40017.85777323127</v>
      </c>
      <c r="T110">
        <f t="shared" ref="T110" si="529">S110/1000</f>
        <v>-40.01785777323127</v>
      </c>
    </row>
    <row r="111" spans="1:20" x14ac:dyDescent="0.25">
      <c r="A111" s="5">
        <v>44482</v>
      </c>
      <c r="B111">
        <v>8.1930000000000003E-2</v>
      </c>
      <c r="C111">
        <v>8.3650000000000002E-2</v>
      </c>
      <c r="D111">
        <v>7.9729999999999995E-2</v>
      </c>
      <c r="E111">
        <v>8.3049999999999999E-2</v>
      </c>
      <c r="F111">
        <v>35151965.200000003</v>
      </c>
      <c r="G111">
        <v>8.3049999999999999E-2</v>
      </c>
      <c r="L111" t="s">
        <v>7</v>
      </c>
      <c r="M111" t="s">
        <v>7</v>
      </c>
      <c r="N111" t="s">
        <v>8</v>
      </c>
      <c r="P111">
        <f t="shared" ref="P111" si="530">IF(C111=D111,0,((E111-D111)-(C111-E111))/(C111-D111))</f>
        <v>0.69387755102040705</v>
      </c>
      <c r="Q111">
        <f t="shared" ref="Q111" si="531">F111*P111</f>
        <v>24391159.526530575</v>
      </c>
      <c r="R111">
        <f t="shared" ref="R111" si="532">R112+Q111</f>
        <v>-4032662955.1076703</v>
      </c>
      <c r="S111">
        <f t="shared" ref="S111" si="533">R111/100000</f>
        <v>-40326.629551076701</v>
      </c>
      <c r="T111">
        <f t="shared" ref="T111" si="534">S111/1000</f>
        <v>-40.326629551076699</v>
      </c>
    </row>
    <row r="112" spans="1:20" x14ac:dyDescent="0.25">
      <c r="A112" s="5">
        <v>44481</v>
      </c>
      <c r="B112">
        <v>8.4239999999999995E-2</v>
      </c>
      <c r="C112">
        <v>8.43E-2</v>
      </c>
      <c r="D112">
        <v>7.8299999999999995E-2</v>
      </c>
      <c r="E112">
        <v>8.1930000000000003E-2</v>
      </c>
      <c r="F112">
        <v>21449963.5</v>
      </c>
      <c r="G112">
        <v>8.1930000000000003E-2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0.21000000000000166</v>
      </c>
      <c r="Q112">
        <f t="shared" ref="Q112" si="536">F112*P112</f>
        <v>4504492.3350000354</v>
      </c>
      <c r="R112">
        <f t="shared" ref="R112" si="537">R113+Q112</f>
        <v>-4057054114.634201</v>
      </c>
      <c r="S112">
        <f t="shared" ref="S112" si="538">R112/100000</f>
        <v>-40570.54114634201</v>
      </c>
      <c r="T112">
        <f t="shared" ref="T112" si="539">S112/1000</f>
        <v>-40.570541146342009</v>
      </c>
    </row>
    <row r="113" spans="1:20" x14ac:dyDescent="0.25">
      <c r="A113" s="5">
        <v>44480</v>
      </c>
      <c r="B113">
        <v>8.6699999999999999E-2</v>
      </c>
      <c r="C113">
        <v>9.0810000000000002E-2</v>
      </c>
      <c r="D113">
        <v>8.2059999999999994E-2</v>
      </c>
      <c r="E113">
        <v>8.4190000000000001E-2</v>
      </c>
      <c r="F113">
        <v>50644447.899999999</v>
      </c>
      <c r="G113">
        <v>8.4190000000000001E-2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-0.51314285714285601</v>
      </c>
      <c r="Q113">
        <f t="shared" ref="Q113" si="541">F113*P113</f>
        <v>-25987836.693828512</v>
      </c>
      <c r="R113">
        <f t="shared" ref="R113" si="542">R114+Q113</f>
        <v>-4061558606.9692011</v>
      </c>
      <c r="S113">
        <f t="shared" ref="S113" si="543">R113/100000</f>
        <v>-40615.586069692014</v>
      </c>
      <c r="T113">
        <f t="shared" ref="T113" si="544">S113/1000</f>
        <v>-40.615586069692014</v>
      </c>
    </row>
    <row r="114" spans="1:20" x14ac:dyDescent="0.25">
      <c r="A114" s="5">
        <v>44479</v>
      </c>
      <c r="B114">
        <v>9.5049999999999996E-2</v>
      </c>
      <c r="C114">
        <v>0.10499</v>
      </c>
      <c r="D114">
        <v>8.6169999999999997E-2</v>
      </c>
      <c r="E114">
        <v>8.7010000000000004E-2</v>
      </c>
      <c r="F114">
        <v>129572490.59999999</v>
      </c>
      <c r="G114">
        <v>8.7010000000000004E-2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-0.91073326248671549</v>
      </c>
      <c r="Q114">
        <f t="shared" ref="Q114" si="546">F114*P114</f>
        <v>-118005977.09266727</v>
      </c>
      <c r="R114">
        <f t="shared" ref="R114" si="547">R115+Q114</f>
        <v>-4035570770.2753725</v>
      </c>
      <c r="S114">
        <f t="shared" ref="S114" si="548">R114/100000</f>
        <v>-40355.707702753723</v>
      </c>
      <c r="T114">
        <f t="shared" ref="T114" si="549">S114/1000</f>
        <v>-40.355707702753726</v>
      </c>
    </row>
    <row r="115" spans="1:20" x14ac:dyDescent="0.25">
      <c r="A115" s="5">
        <v>44478</v>
      </c>
      <c r="B115">
        <v>8.2350000000000007E-2</v>
      </c>
      <c r="C115">
        <v>0.109</v>
      </c>
      <c r="D115">
        <v>8.1699999999999995E-2</v>
      </c>
      <c r="E115">
        <v>9.5009999999999997E-2</v>
      </c>
      <c r="F115">
        <v>274557935.69999999</v>
      </c>
      <c r="G115">
        <v>9.5009999999999997E-2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-2.4908424908424907E-2</v>
      </c>
      <c r="Q115">
        <f t="shared" ref="Q115" si="551">F115*P115</f>
        <v>-6838805.7243956039</v>
      </c>
      <c r="R115">
        <f t="shared" ref="R115" si="552">R116+Q115</f>
        <v>-3917564793.1827054</v>
      </c>
      <c r="S115">
        <f t="shared" ref="S115" si="553">R115/100000</f>
        <v>-39175.647931827058</v>
      </c>
      <c r="T115">
        <f t="shared" ref="T115" si="554">S115/1000</f>
        <v>-39.175647931827058</v>
      </c>
    </row>
    <row r="116" spans="1:20" x14ac:dyDescent="0.25">
      <c r="A116" s="5">
        <v>44477</v>
      </c>
      <c r="B116">
        <v>8.1670000000000006E-2</v>
      </c>
      <c r="C116">
        <v>8.3989999999999995E-2</v>
      </c>
      <c r="D116">
        <v>8.1009999999999999E-2</v>
      </c>
      <c r="E116">
        <v>8.233E-2</v>
      </c>
      <c r="F116">
        <v>30489718.800000001</v>
      </c>
      <c r="G116">
        <v>8.233E-2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-0.11409395973154143</v>
      </c>
      <c r="Q116">
        <f t="shared" ref="Q116" si="556">F116*P116</f>
        <v>-3478692.7489932217</v>
      </c>
      <c r="R116">
        <f t="shared" ref="R116" si="557">R117+Q116</f>
        <v>-3910725987.4583097</v>
      </c>
      <c r="S116">
        <f t="shared" ref="S116" si="558">R116/100000</f>
        <v>-39107.259874583098</v>
      </c>
      <c r="T116">
        <f t="shared" ref="T116" si="559">S116/1000</f>
        <v>-39.1072598745831</v>
      </c>
    </row>
    <row r="117" spans="1:20" x14ac:dyDescent="0.25">
      <c r="A117" s="5">
        <v>44476</v>
      </c>
      <c r="B117">
        <v>8.1509999999999999E-2</v>
      </c>
      <c r="C117">
        <v>8.5000000000000006E-2</v>
      </c>
      <c r="D117">
        <v>7.936E-2</v>
      </c>
      <c r="E117">
        <v>8.1670000000000006E-2</v>
      </c>
      <c r="F117">
        <v>31191246</v>
      </c>
      <c r="G117">
        <v>8.1670000000000006E-2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-0.18085106382978583</v>
      </c>
      <c r="Q117">
        <f t="shared" ref="Q117" si="561">F117*P117</f>
        <v>-5640970.0212765522</v>
      </c>
      <c r="R117">
        <f t="shared" ref="R117" si="562">R118+Q117</f>
        <v>-3907247294.7093163</v>
      </c>
      <c r="S117">
        <f t="shared" ref="S117" si="563">R117/100000</f>
        <v>-39072.472947093163</v>
      </c>
      <c r="T117">
        <f t="shared" ref="T117" si="564">S117/1000</f>
        <v>-39.072472947093161</v>
      </c>
    </row>
    <row r="118" spans="1:20" x14ac:dyDescent="0.25">
      <c r="A118" s="5">
        <v>44475</v>
      </c>
      <c r="B118">
        <v>8.1079999999999999E-2</v>
      </c>
      <c r="C118">
        <v>8.5849999999999996E-2</v>
      </c>
      <c r="D118">
        <v>7.5679999999999997E-2</v>
      </c>
      <c r="E118">
        <v>8.1600000000000006E-2</v>
      </c>
      <c r="F118">
        <v>43143007.600000001</v>
      </c>
      <c r="G118">
        <v>8.1600000000000006E-2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0.16420845624385633</v>
      </c>
      <c r="Q118">
        <f t="shared" ref="Q118" si="566">F118*P118</f>
        <v>7084446.6757129608</v>
      </c>
      <c r="R118">
        <f t="shared" ref="R118" si="567">R119+Q118</f>
        <v>-3901606324.6880398</v>
      </c>
      <c r="S118">
        <f t="shared" ref="S118" si="568">R118/100000</f>
        <v>-39016.063246880396</v>
      </c>
      <c r="T118">
        <f t="shared" ref="T118" si="569">S118/1000</f>
        <v>-39.016063246880393</v>
      </c>
    </row>
    <row r="119" spans="1:20" x14ac:dyDescent="0.25">
      <c r="A119" s="5">
        <v>44474</v>
      </c>
      <c r="B119">
        <v>7.9990000000000006E-2</v>
      </c>
      <c r="C119">
        <v>8.3290000000000003E-2</v>
      </c>
      <c r="D119">
        <v>7.9000000000000001E-2</v>
      </c>
      <c r="E119">
        <v>8.0979999999999996E-2</v>
      </c>
      <c r="F119">
        <v>32037024</v>
      </c>
      <c r="G119">
        <v>8.0979999999999996E-2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-7.6923076923079411E-2</v>
      </c>
      <c r="Q119">
        <f t="shared" ref="Q119" si="571">F119*P119</f>
        <v>-2464386.4615385411</v>
      </c>
      <c r="R119">
        <f t="shared" ref="R119" si="572">R120+Q119</f>
        <v>-3908690771.3637528</v>
      </c>
      <c r="S119">
        <f t="shared" ref="S119" si="573">R119/100000</f>
        <v>-39086.907713637527</v>
      </c>
      <c r="T119">
        <f t="shared" ref="T119" si="574">S119/1000</f>
        <v>-39.08690771363753</v>
      </c>
    </row>
    <row r="120" spans="1:20" x14ac:dyDescent="0.25">
      <c r="A120" s="5">
        <v>44473</v>
      </c>
      <c r="B120">
        <v>8.3839999999999998E-2</v>
      </c>
      <c r="C120">
        <v>8.3849999999999994E-2</v>
      </c>
      <c r="D120">
        <v>7.8649999999999998E-2</v>
      </c>
      <c r="E120">
        <v>7.9850000000000004E-2</v>
      </c>
      <c r="F120">
        <v>33350381</v>
      </c>
      <c r="G120">
        <v>7.9850000000000004E-2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-0.53846153846153555</v>
      </c>
      <c r="Q120">
        <f t="shared" ref="Q120" si="576">F120*P120</f>
        <v>-17957897.461538363</v>
      </c>
      <c r="R120">
        <f t="shared" ref="R120" si="577">R121+Q120</f>
        <v>-3906226384.9022145</v>
      </c>
      <c r="S120">
        <f t="shared" ref="S120" si="578">R120/100000</f>
        <v>-39062.263849022143</v>
      </c>
      <c r="T120">
        <f t="shared" ref="T120" si="579">S120/1000</f>
        <v>-39.062263849022145</v>
      </c>
    </row>
    <row r="121" spans="1:20" x14ac:dyDescent="0.25">
      <c r="A121" s="5">
        <v>44472</v>
      </c>
      <c r="B121">
        <v>8.4019999999999997E-2</v>
      </c>
      <c r="C121">
        <v>8.7340000000000001E-2</v>
      </c>
      <c r="D121">
        <v>8.2699999999999996E-2</v>
      </c>
      <c r="E121">
        <v>8.3400000000000002E-2</v>
      </c>
      <c r="F121">
        <v>29265213.800000001</v>
      </c>
      <c r="G121">
        <v>8.3400000000000002E-2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-0.69827586206896319</v>
      </c>
      <c r="Q121">
        <f t="shared" ref="Q121" si="581">F121*P121</f>
        <v>-20435192.394827519</v>
      </c>
      <c r="R121">
        <f t="shared" ref="R121" si="582">R122+Q121</f>
        <v>-3888268487.4406762</v>
      </c>
      <c r="S121">
        <f t="shared" ref="S121" si="583">R121/100000</f>
        <v>-38882.684874406761</v>
      </c>
      <c r="T121">
        <f t="shared" ref="T121" si="584">S121/1000</f>
        <v>-38.882684874406763</v>
      </c>
    </row>
    <row r="122" spans="1:20" x14ac:dyDescent="0.25">
      <c r="A122" s="5">
        <v>44471</v>
      </c>
      <c r="B122">
        <v>8.3890000000000006E-2</v>
      </c>
      <c r="C122">
        <v>8.7099999999999997E-2</v>
      </c>
      <c r="D122">
        <v>8.1449999999999995E-2</v>
      </c>
      <c r="E122">
        <v>8.4159999999999999E-2</v>
      </c>
      <c r="F122">
        <v>66603010.700000003</v>
      </c>
      <c r="G122">
        <v>8.4159999999999999E-2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-4.0707964601768849E-2</v>
      </c>
      <c r="Q122">
        <f t="shared" ref="Q122" si="586">F122*P122</f>
        <v>-2711273.0019468321</v>
      </c>
      <c r="R122">
        <f t="shared" ref="R122" si="587">R123+Q122</f>
        <v>-3867833295.0458488</v>
      </c>
      <c r="S122">
        <f t="shared" ref="S122" si="588">R122/100000</f>
        <v>-38678.332950458491</v>
      </c>
      <c r="T122">
        <f t="shared" ref="T122" si="589">S122/1000</f>
        <v>-38.67833295045849</v>
      </c>
    </row>
    <row r="123" spans="1:20" x14ac:dyDescent="0.25">
      <c r="A123" s="5">
        <v>44470</v>
      </c>
      <c r="B123">
        <v>7.6590000000000005E-2</v>
      </c>
      <c r="C123">
        <v>8.5870000000000002E-2</v>
      </c>
      <c r="D123">
        <v>7.5639999999999999E-2</v>
      </c>
      <c r="E123">
        <v>8.3890000000000006E-2</v>
      </c>
      <c r="F123">
        <v>52818967.100000001</v>
      </c>
      <c r="G123">
        <v>8.3890000000000006E-2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0.61290322580645262</v>
      </c>
      <c r="Q123">
        <f t="shared" ref="Q123" si="591">F123*P123</f>
        <v>32372915.319354892</v>
      </c>
      <c r="R123">
        <f t="shared" ref="R123" si="592">R124+Q123</f>
        <v>-3865122022.0439019</v>
      </c>
      <c r="S123">
        <f t="shared" ref="S123" si="593">R123/100000</f>
        <v>-38651.22022043902</v>
      </c>
      <c r="T123">
        <f t="shared" ref="T123" si="594">S123/1000</f>
        <v>-38.651220220439022</v>
      </c>
    </row>
    <row r="124" spans="1:20" x14ac:dyDescent="0.25">
      <c r="A124" s="5">
        <v>44469</v>
      </c>
      <c r="B124">
        <v>7.3800000000000004E-2</v>
      </c>
      <c r="C124">
        <v>8.1250000000000003E-2</v>
      </c>
      <c r="D124">
        <v>7.3270000000000002E-2</v>
      </c>
      <c r="E124">
        <v>7.6380000000000003E-2</v>
      </c>
      <c r="F124">
        <v>26228843.399999999</v>
      </c>
      <c r="G124">
        <v>7.6380000000000003E-2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-0.22055137844611497</v>
      </c>
      <c r="Q124">
        <f t="shared" ref="Q124" si="596">F124*P124</f>
        <v>-5784807.5669172844</v>
      </c>
      <c r="R124">
        <f t="shared" ref="R124" si="597">R125+Q124</f>
        <v>-3897494937.3632569</v>
      </c>
      <c r="S124">
        <f t="shared" ref="S124" si="598">R124/100000</f>
        <v>-38974.949373632568</v>
      </c>
      <c r="T124">
        <f t="shared" ref="T124" si="599">S124/1000</f>
        <v>-38.974949373632569</v>
      </c>
    </row>
    <row r="125" spans="1:20" x14ac:dyDescent="0.25">
      <c r="A125" s="5">
        <v>44468</v>
      </c>
      <c r="B125">
        <v>7.4289999999999995E-2</v>
      </c>
      <c r="C125">
        <v>7.7329999999999996E-2</v>
      </c>
      <c r="D125">
        <v>7.2330000000000005E-2</v>
      </c>
      <c r="E125">
        <v>7.3630000000000001E-2</v>
      </c>
      <c r="F125">
        <v>17280089.899999999</v>
      </c>
      <c r="G125">
        <v>7.3630000000000001E-2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-0.48000000000000076</v>
      </c>
      <c r="Q125">
        <f t="shared" ref="Q125" si="601">F125*P125</f>
        <v>-8294443.1520000128</v>
      </c>
      <c r="R125">
        <f t="shared" ref="R125" si="602">R126+Q125</f>
        <v>-3891710129.7963395</v>
      </c>
      <c r="S125">
        <f t="shared" ref="S125" si="603">R125/100000</f>
        <v>-38917.101297963396</v>
      </c>
      <c r="T125">
        <f t="shared" ref="T125" si="604">S125/1000</f>
        <v>-38.917101297963399</v>
      </c>
    </row>
    <row r="126" spans="1:20" x14ac:dyDescent="0.25">
      <c r="A126" s="5">
        <v>44467</v>
      </c>
      <c r="B126">
        <v>7.6649999999999996E-2</v>
      </c>
      <c r="C126">
        <v>8.5430000000000006E-2</v>
      </c>
      <c r="D126">
        <v>7.3999999999999996E-2</v>
      </c>
      <c r="E126">
        <v>7.4359999999999996E-2</v>
      </c>
      <c r="F126">
        <v>55658605.100000001</v>
      </c>
      <c r="G126">
        <v>7.4359999999999996E-2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-0.93700787401574825</v>
      </c>
      <c r="Q126">
        <f t="shared" ref="Q126" si="606">F126*P126</f>
        <v>-52152551.235433087</v>
      </c>
      <c r="R126">
        <f t="shared" ref="R126" si="607">R127+Q126</f>
        <v>-3883415686.6443396</v>
      </c>
      <c r="S126">
        <f t="shared" ref="S126" si="608">R126/100000</f>
        <v>-38834.156866443394</v>
      </c>
      <c r="T126">
        <f t="shared" ref="T126" si="609">S126/1000</f>
        <v>-38.834156866443394</v>
      </c>
    </row>
    <row r="127" spans="1:20" x14ac:dyDescent="0.25">
      <c r="A127" s="5">
        <v>44466</v>
      </c>
      <c r="B127">
        <v>7.7030000000000001E-2</v>
      </c>
      <c r="C127">
        <v>8.5999999999999993E-2</v>
      </c>
      <c r="D127">
        <v>7.5889999999999999E-2</v>
      </c>
      <c r="E127">
        <v>7.664E-2</v>
      </c>
      <c r="F127">
        <v>50184744.100000001</v>
      </c>
      <c r="G127">
        <v>7.664E-2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-0.85163204747774457</v>
      </c>
      <c r="Q127">
        <f t="shared" ref="Q127" si="611">F127*P127</f>
        <v>-42738936.370029666</v>
      </c>
      <c r="R127">
        <f t="shared" ref="R127" si="612">R128+Q127</f>
        <v>-3831263135.4089065</v>
      </c>
      <c r="S127">
        <f t="shared" ref="S127" si="613">R127/100000</f>
        <v>-38312.631354089062</v>
      </c>
      <c r="T127">
        <f t="shared" ref="T127" si="614">S127/1000</f>
        <v>-38.312631354089064</v>
      </c>
    </row>
    <row r="128" spans="1:20" x14ac:dyDescent="0.25">
      <c r="A128" s="5">
        <v>44465</v>
      </c>
      <c r="B128">
        <v>8.0869999999999997E-2</v>
      </c>
      <c r="C128">
        <v>8.2669999999999993E-2</v>
      </c>
      <c r="D128">
        <v>7.3859999999999995E-2</v>
      </c>
      <c r="E128">
        <v>7.7189999999999995E-2</v>
      </c>
      <c r="F128">
        <v>44538450.799999997</v>
      </c>
      <c r="G128">
        <v>7.7189999999999995E-2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-0.24404086265607258</v>
      </c>
      <c r="Q128">
        <f t="shared" ref="Q128" si="616">F128*P128</f>
        <v>-10869201.954597045</v>
      </c>
      <c r="R128">
        <f t="shared" ref="R128" si="617">R129+Q128</f>
        <v>-3788524199.038877</v>
      </c>
      <c r="S128">
        <f t="shared" ref="S128" si="618">R128/100000</f>
        <v>-37885.241990388771</v>
      </c>
      <c r="T128">
        <f t="shared" ref="T128" si="619">S128/1000</f>
        <v>-37.885241990388771</v>
      </c>
    </row>
    <row r="129" spans="1:20" x14ac:dyDescent="0.25">
      <c r="A129" s="5">
        <v>44464</v>
      </c>
      <c r="B129">
        <v>7.7660000000000007E-2</v>
      </c>
      <c r="C129">
        <v>8.9139999999999997E-2</v>
      </c>
      <c r="D129">
        <v>7.2080000000000005E-2</v>
      </c>
      <c r="E129">
        <v>8.0869999999999997E-2</v>
      </c>
      <c r="F129">
        <v>105087737.59999999</v>
      </c>
      <c r="G129">
        <v>8.0869999999999997E-2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3.0480656506447417E-2</v>
      </c>
      <c r="Q129">
        <f t="shared" ref="Q129" si="621">F129*P129</f>
        <v>3203143.2328252788</v>
      </c>
      <c r="R129">
        <f t="shared" ref="R129" si="622">R130+Q129</f>
        <v>-3777654997.08428</v>
      </c>
      <c r="S129">
        <f t="shared" ref="S129" si="623">R129/100000</f>
        <v>-37776.549970842803</v>
      </c>
      <c r="T129">
        <f t="shared" ref="T129" si="624">S129/1000</f>
        <v>-37.776549970842801</v>
      </c>
    </row>
    <row r="130" spans="1:20" x14ac:dyDescent="0.25">
      <c r="A130" s="5">
        <v>44463</v>
      </c>
      <c r="B130">
        <v>8.115E-2</v>
      </c>
      <c r="C130">
        <v>8.1430000000000002E-2</v>
      </c>
      <c r="D130">
        <v>6.8409999999999999E-2</v>
      </c>
      <c r="E130">
        <v>7.7429999999999999E-2</v>
      </c>
      <c r="F130">
        <v>47322625.200000003</v>
      </c>
      <c r="G130">
        <v>7.7429999999999999E-2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0.38556067588325615</v>
      </c>
      <c r="Q130">
        <f t="shared" ref="Q130" si="626">F130*P130</f>
        <v>18245743.35668201</v>
      </c>
      <c r="R130">
        <f t="shared" ref="R130" si="627">R131+Q130</f>
        <v>-3780858140.3171053</v>
      </c>
      <c r="S130">
        <f t="shared" ref="S130" si="628">R130/100000</f>
        <v>-37808.581403171054</v>
      </c>
      <c r="T130">
        <f t="shared" ref="T130" si="629">S130/1000</f>
        <v>-37.808581403171054</v>
      </c>
    </row>
    <row r="131" spans="1:20" x14ac:dyDescent="0.25">
      <c r="A131" s="5">
        <v>44462</v>
      </c>
      <c r="B131">
        <v>8.0449999999999994E-2</v>
      </c>
      <c r="C131">
        <v>8.2379999999999995E-2</v>
      </c>
      <c r="D131">
        <v>7.4700000000000003E-2</v>
      </c>
      <c r="E131">
        <v>8.0829999999999999E-2</v>
      </c>
      <c r="F131">
        <v>42800230.600000001</v>
      </c>
      <c r="G131">
        <v>8.0829999999999999E-2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0.59635416666666741</v>
      </c>
      <c r="Q131">
        <f t="shared" ref="Q131" si="631">F131*P131</f>
        <v>25524095.852604199</v>
      </c>
      <c r="R131">
        <f t="shared" ref="R131" si="632">R132+Q131</f>
        <v>-3799103883.6737871</v>
      </c>
      <c r="S131">
        <f t="shared" ref="S131" si="633">R131/100000</f>
        <v>-37991.038836737869</v>
      </c>
      <c r="T131">
        <f t="shared" ref="T131" si="634">S131/1000</f>
        <v>-37.991038836737872</v>
      </c>
    </row>
    <row r="132" spans="1:20" x14ac:dyDescent="0.25">
      <c r="A132" s="5">
        <v>44461</v>
      </c>
      <c r="B132">
        <v>7.0959999999999995E-2</v>
      </c>
      <c r="C132">
        <v>8.1339999999999996E-2</v>
      </c>
      <c r="D132">
        <v>7.0550000000000002E-2</v>
      </c>
      <c r="E132">
        <v>8.0530000000000004E-2</v>
      </c>
      <c r="F132">
        <v>20274628.699999999</v>
      </c>
      <c r="G132">
        <v>8.0530000000000004E-2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0.84986098239110441</v>
      </c>
      <c r="Q132">
        <f t="shared" ref="Q132" si="636">F132*P132</f>
        <v>17230615.864596881</v>
      </c>
      <c r="R132">
        <f t="shared" ref="R132" si="637">R133+Q132</f>
        <v>-3824627979.5263915</v>
      </c>
      <c r="S132">
        <f t="shared" ref="S132" si="638">R132/100000</f>
        <v>-38246.279795263916</v>
      </c>
      <c r="T132">
        <f t="shared" ref="T132" si="639">S132/1000</f>
        <v>-38.246279795263916</v>
      </c>
    </row>
    <row r="133" spans="1:20" x14ac:dyDescent="0.25">
      <c r="A133" s="5">
        <v>44460</v>
      </c>
      <c r="B133">
        <v>7.6950000000000005E-2</v>
      </c>
      <c r="C133">
        <v>8.0879999999999994E-2</v>
      </c>
      <c r="D133">
        <v>6.8000000000000005E-2</v>
      </c>
      <c r="E133">
        <v>7.0959999999999995E-2</v>
      </c>
      <c r="F133">
        <v>33542201.600000001</v>
      </c>
      <c r="G133">
        <v>7.0959999999999995E-2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-0.54037267080745455</v>
      </c>
      <c r="Q133">
        <f t="shared" ref="Q133" si="641">F133*P133</f>
        <v>-18125289.063354075</v>
      </c>
      <c r="R133">
        <f t="shared" ref="R133" si="642">R134+Q133</f>
        <v>-3841858595.3909883</v>
      </c>
      <c r="S133">
        <f t="shared" ref="S133" si="643">R133/100000</f>
        <v>-38418.585953909882</v>
      </c>
      <c r="T133">
        <f t="shared" ref="T133" si="644">S133/1000</f>
        <v>-38.418585953909883</v>
      </c>
    </row>
    <row r="134" spans="1:20" x14ac:dyDescent="0.25">
      <c r="A134" s="5">
        <v>44459</v>
      </c>
      <c r="B134">
        <v>8.8150000000000006E-2</v>
      </c>
      <c r="C134">
        <v>8.8410000000000002E-2</v>
      </c>
      <c r="D134">
        <v>8.1000000000000003E-2</v>
      </c>
      <c r="E134">
        <v>8.2229999999999998E-2</v>
      </c>
      <c r="F134">
        <v>22296418.399999999</v>
      </c>
      <c r="G134">
        <v>8.2229999999999998E-2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-0.66801619433198511</v>
      </c>
      <c r="Q134">
        <f t="shared" ref="Q134" si="646">F134*P134</f>
        <v>-14894368.566801647</v>
      </c>
      <c r="R134">
        <f t="shared" ref="R134" si="647">R135+Q134</f>
        <v>-3823733306.3276343</v>
      </c>
      <c r="S134">
        <f t="shared" ref="S134" si="648">R134/100000</f>
        <v>-38237.333063276346</v>
      </c>
      <c r="T134">
        <f t="shared" ref="T134" si="649">S134/1000</f>
        <v>-38.237333063276346</v>
      </c>
    </row>
    <row r="135" spans="1:20" x14ac:dyDescent="0.25">
      <c r="A135" s="5">
        <v>44458</v>
      </c>
      <c r="B135">
        <v>9.4439999999999996E-2</v>
      </c>
      <c r="C135">
        <v>9.4769999999999993E-2</v>
      </c>
      <c r="D135">
        <v>8.7249999999999994E-2</v>
      </c>
      <c r="E135">
        <v>8.8150000000000006E-2</v>
      </c>
      <c r="F135">
        <v>27772056.600000001</v>
      </c>
      <c r="G135">
        <v>8.8150000000000006E-2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-0.76063829787233728</v>
      </c>
      <c r="Q135">
        <f t="shared" ref="Q135" si="651">F135*P135</f>
        <v>-21124489.860638212</v>
      </c>
      <c r="R135">
        <f t="shared" ref="R135" si="652">R136+Q135</f>
        <v>-3808838937.7608328</v>
      </c>
      <c r="S135">
        <f t="shared" ref="S135" si="653">R135/100000</f>
        <v>-38088.389377608328</v>
      </c>
      <c r="T135">
        <f t="shared" ref="T135" si="654">S135/1000</f>
        <v>-38.08838937760833</v>
      </c>
    </row>
    <row r="136" spans="1:20" x14ac:dyDescent="0.25">
      <c r="A136" s="5">
        <v>44457</v>
      </c>
      <c r="B136">
        <v>9.8729999999999998E-2</v>
      </c>
      <c r="C136">
        <v>0.10252</v>
      </c>
      <c r="D136">
        <v>9.2859999999999998E-2</v>
      </c>
      <c r="E136">
        <v>9.4479999999999995E-2</v>
      </c>
      <c r="F136">
        <v>55544101</v>
      </c>
      <c r="G136">
        <v>9.4479999999999995E-2</v>
      </c>
      <c r="L136" t="s">
        <v>7</v>
      </c>
      <c r="M136" t="s">
        <v>8</v>
      </c>
      <c r="N136" t="s">
        <v>8</v>
      </c>
      <c r="P136">
        <f t="shared" ref="P136" si="655">IF(C136=D136,0,((E136-D136)-(C136-E136))/(C136-D136))</f>
        <v>-0.66459627329192628</v>
      </c>
      <c r="Q136">
        <f t="shared" ref="Q136" si="656">F136*P136</f>
        <v>-36914402.527950354</v>
      </c>
      <c r="R136">
        <f t="shared" ref="R136" si="657">R137+Q136</f>
        <v>-3787714447.9001946</v>
      </c>
      <c r="S136">
        <f t="shared" ref="S136" si="658">R136/100000</f>
        <v>-37877.144479001945</v>
      </c>
      <c r="T136">
        <f t="shared" ref="T136" si="659">S136/1000</f>
        <v>-37.877144479001942</v>
      </c>
    </row>
    <row r="137" spans="1:20" x14ac:dyDescent="0.25">
      <c r="A137" s="5">
        <v>44456</v>
      </c>
      <c r="B137">
        <v>8.8819999999999996E-2</v>
      </c>
      <c r="C137">
        <v>0.1074</v>
      </c>
      <c r="D137">
        <v>8.7870000000000004E-2</v>
      </c>
      <c r="E137">
        <v>9.869E-2</v>
      </c>
      <c r="F137">
        <v>212557480.40000001</v>
      </c>
      <c r="G137">
        <v>9.869E-2</v>
      </c>
      <c r="L137" t="s">
        <v>8</v>
      </c>
      <c r="M137" t="s">
        <v>8</v>
      </c>
      <c r="N137" t="s">
        <v>8</v>
      </c>
      <c r="P137">
        <f t="shared" ref="P137" si="660">IF(C137=D137,0,((E137-D137)-(C137-E137))/(C137-D137))</f>
        <v>0.10803891449052748</v>
      </c>
      <c r="Q137">
        <f t="shared" ref="Q137" si="661">F137*P137</f>
        <v>22964479.449257571</v>
      </c>
      <c r="R137">
        <f t="shared" ref="R137" si="662">R138+Q137</f>
        <v>-3750800045.3722444</v>
      </c>
      <c r="S137">
        <f t="shared" ref="S137" si="663">R137/100000</f>
        <v>-37508.000453722445</v>
      </c>
      <c r="T137">
        <f t="shared" ref="T137" si="664">S137/1000</f>
        <v>-37.508000453722445</v>
      </c>
    </row>
    <row r="138" spans="1:20" x14ac:dyDescent="0.25">
      <c r="A138" s="5">
        <v>44455</v>
      </c>
      <c r="B138">
        <v>8.3479999999999999E-2</v>
      </c>
      <c r="C138">
        <v>9.4409999999999994E-2</v>
      </c>
      <c r="D138">
        <v>8.1250000000000003E-2</v>
      </c>
      <c r="E138">
        <v>8.8849999999999998E-2</v>
      </c>
      <c r="F138">
        <v>102696812.90000001</v>
      </c>
      <c r="G138">
        <v>8.8849999999999998E-2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0.15501519756838916</v>
      </c>
      <c r="Q138">
        <f t="shared" ref="Q138" si="666">F138*P138</f>
        <v>15919566.741337398</v>
      </c>
      <c r="R138">
        <f t="shared" ref="R138" si="667">R139+Q138</f>
        <v>-3773764524.8215017</v>
      </c>
      <c r="S138">
        <f t="shared" ref="S138" si="668">R138/100000</f>
        <v>-37737.64524821502</v>
      </c>
      <c r="T138">
        <f t="shared" ref="T138" si="669">S138/1000</f>
        <v>-37.737645248215017</v>
      </c>
    </row>
    <row r="139" spans="1:20" x14ac:dyDescent="0.25">
      <c r="A139" s="5">
        <v>44454</v>
      </c>
      <c r="B139">
        <v>8.1290000000000001E-2</v>
      </c>
      <c r="C139">
        <v>8.6999999999999994E-2</v>
      </c>
      <c r="D139">
        <v>8.0329999999999999E-2</v>
      </c>
      <c r="E139">
        <v>8.3690000000000001E-2</v>
      </c>
      <c r="F139">
        <v>45843787.799999997</v>
      </c>
      <c r="G139">
        <v>8.3690000000000001E-2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7.4962518740642288E-3</v>
      </c>
      <c r="Q139">
        <f t="shared" ref="Q139" si="671">F139*P139</f>
        <v>343656.58020995278</v>
      </c>
      <c r="R139">
        <f t="shared" ref="R139" si="672">R140+Q139</f>
        <v>-3789684091.562839</v>
      </c>
      <c r="S139">
        <f t="shared" ref="S139" si="673">R139/100000</f>
        <v>-37896.840915628389</v>
      </c>
      <c r="T139">
        <f t="shared" ref="T139" si="674">S139/1000</f>
        <v>-37.896840915628388</v>
      </c>
    </row>
    <row r="140" spans="1:20" x14ac:dyDescent="0.25">
      <c r="A140" s="5">
        <v>44453</v>
      </c>
      <c r="B140">
        <v>7.8259999999999996E-2</v>
      </c>
      <c r="C140">
        <v>8.3500000000000005E-2</v>
      </c>
      <c r="D140">
        <v>7.7240000000000003E-2</v>
      </c>
      <c r="E140">
        <v>8.1290000000000001E-2</v>
      </c>
      <c r="F140">
        <v>38381808.899999999</v>
      </c>
      <c r="G140">
        <v>8.1290000000000001E-2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0.29392971246006294</v>
      </c>
      <c r="Q140">
        <f t="shared" ref="Q140" si="676">F140*P140</f>
        <v>11281554.053674085</v>
      </c>
      <c r="R140">
        <f t="shared" ref="R140" si="677">R141+Q140</f>
        <v>-3790027748.1430488</v>
      </c>
      <c r="S140">
        <f t="shared" ref="S140" si="678">R140/100000</f>
        <v>-37900.277481430487</v>
      </c>
      <c r="T140">
        <f t="shared" ref="T140" si="679">S140/1000</f>
        <v>-37.900277481430486</v>
      </c>
    </row>
    <row r="141" spans="1:20" x14ac:dyDescent="0.25">
      <c r="A141" s="5">
        <v>44452</v>
      </c>
      <c r="B141">
        <v>8.2860000000000003E-2</v>
      </c>
      <c r="C141">
        <v>8.3510000000000001E-2</v>
      </c>
      <c r="D141">
        <v>7.3300000000000004E-2</v>
      </c>
      <c r="E141">
        <v>7.8030000000000002E-2</v>
      </c>
      <c r="F141">
        <v>35490698.399999999</v>
      </c>
      <c r="G141">
        <v>7.8030000000000002E-2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-7.3457394711067672E-2</v>
      </c>
      <c r="Q141">
        <f t="shared" ref="Q141" si="681">F141*P141</f>
        <v>-2607054.2409402579</v>
      </c>
      <c r="R141">
        <f t="shared" ref="R141" si="682">R142+Q141</f>
        <v>-3801309302.196723</v>
      </c>
      <c r="S141">
        <f t="shared" ref="S141" si="683">R141/100000</f>
        <v>-38013.09302196723</v>
      </c>
      <c r="T141">
        <f t="shared" ref="T141" si="684">S141/1000</f>
        <v>-38.013093021967229</v>
      </c>
    </row>
    <row r="142" spans="1:20" x14ac:dyDescent="0.25">
      <c r="A142" s="5">
        <v>44451</v>
      </c>
      <c r="B142">
        <v>8.3879999999999996E-2</v>
      </c>
      <c r="C142">
        <v>8.5430000000000006E-2</v>
      </c>
      <c r="D142">
        <v>8.0759999999999998E-2</v>
      </c>
      <c r="E142">
        <v>8.2860000000000003E-2</v>
      </c>
      <c r="F142">
        <v>32770958.5</v>
      </c>
      <c r="G142">
        <v>8.2860000000000003E-2</v>
      </c>
      <c r="L142" t="s">
        <v>7</v>
      </c>
      <c r="M142" t="s">
        <v>8</v>
      </c>
      <c r="N142" t="s">
        <v>8</v>
      </c>
      <c r="P142">
        <f t="shared" ref="P142" si="685">IF(C142=D142,0,((E142-D142)-(C142-E142))/(C142-D142))</f>
        <v>-0.10064239828693736</v>
      </c>
      <c r="Q142">
        <f t="shared" ref="Q142" si="686">F142*P142</f>
        <v>-3298147.8576016952</v>
      </c>
      <c r="R142">
        <f t="shared" ref="R142" si="687">R143+Q142</f>
        <v>-3798702247.9557829</v>
      </c>
      <c r="S142">
        <f t="shared" ref="S142" si="688">R142/100000</f>
        <v>-37987.022479557832</v>
      </c>
      <c r="T142">
        <f t="shared" ref="T142" si="689">S142/1000</f>
        <v>-37.98702247955783</v>
      </c>
    </row>
    <row r="143" spans="1:20" x14ac:dyDescent="0.25">
      <c r="A143" s="5">
        <v>44450</v>
      </c>
      <c r="B143">
        <v>8.4830000000000003E-2</v>
      </c>
      <c r="C143">
        <v>8.8889999999999997E-2</v>
      </c>
      <c r="D143">
        <v>8.2000000000000003E-2</v>
      </c>
      <c r="E143">
        <v>8.3900000000000002E-2</v>
      </c>
      <c r="F143">
        <v>37691977.399999999</v>
      </c>
      <c r="G143">
        <v>8.3900000000000002E-2</v>
      </c>
      <c r="L143" t="s">
        <v>7</v>
      </c>
      <c r="M143" t="s">
        <v>8</v>
      </c>
      <c r="N143" t="s">
        <v>8</v>
      </c>
      <c r="P143">
        <f t="shared" ref="P143" si="690">IF(C143=D143,0,((E143-D143)-(C143-E143))/(C143-D143))</f>
        <v>-0.44847605224963694</v>
      </c>
      <c r="Q143">
        <f t="shared" ref="Q143" si="691">F143*P143</f>
        <v>-16903949.225834534</v>
      </c>
      <c r="R143">
        <f t="shared" ref="R143" si="692">R144+Q143</f>
        <v>-3795404100.0981812</v>
      </c>
      <c r="S143">
        <f t="shared" ref="S143" si="693">R143/100000</f>
        <v>-37954.041000981815</v>
      </c>
      <c r="T143">
        <f t="shared" ref="T143" si="694">S143/1000</f>
        <v>-37.954041000981817</v>
      </c>
    </row>
    <row r="144" spans="1:20" x14ac:dyDescent="0.25">
      <c r="A144" s="5">
        <v>44449</v>
      </c>
      <c r="B144">
        <v>9.0440000000000006E-2</v>
      </c>
      <c r="C144">
        <v>9.461E-2</v>
      </c>
      <c r="D144">
        <v>7.9210000000000003E-2</v>
      </c>
      <c r="E144">
        <v>8.4849999999999995E-2</v>
      </c>
      <c r="F144">
        <v>97211832.299999997</v>
      </c>
      <c r="G144">
        <v>8.4849999999999995E-2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-0.2675324675324684</v>
      </c>
      <c r="Q144">
        <f t="shared" ref="Q144" si="696">F144*P144</f>
        <v>-26007321.368571512</v>
      </c>
      <c r="R144">
        <f t="shared" ref="R144" si="697">R145+Q144</f>
        <v>-3778500150.8723469</v>
      </c>
      <c r="S144">
        <f t="shared" ref="S144" si="698">R144/100000</f>
        <v>-37785.001508723471</v>
      </c>
      <c r="T144">
        <f t="shared" ref="T144" si="699">S144/1000</f>
        <v>-37.785001508723468</v>
      </c>
    </row>
    <row r="145" spans="1:20" x14ac:dyDescent="0.25">
      <c r="A145" s="5">
        <v>44448</v>
      </c>
      <c r="B145">
        <v>8.5900000000000004E-2</v>
      </c>
      <c r="C145">
        <v>9.1999999999999998E-2</v>
      </c>
      <c r="D145">
        <v>7.9000000000000001E-2</v>
      </c>
      <c r="E145">
        <v>9.0539999999999995E-2</v>
      </c>
      <c r="F145">
        <v>113269190.8</v>
      </c>
      <c r="G145">
        <v>9.0539999999999995E-2</v>
      </c>
      <c r="L145" t="s">
        <v>7</v>
      </c>
      <c r="M145" t="s">
        <v>7</v>
      </c>
      <c r="N145" t="s">
        <v>8</v>
      </c>
      <c r="P145">
        <f t="shared" ref="P145" si="700">IF(C145=D145,0,((E145-D145)-(C145-E145))/(C145-D145))</f>
        <v>0.77538461538461489</v>
      </c>
      <c r="Q145">
        <f t="shared" ref="Q145" si="701">F145*P145</f>
        <v>87827187.943384558</v>
      </c>
      <c r="R145">
        <f t="shared" ref="R145" si="702">R146+Q145</f>
        <v>-3752492829.5037756</v>
      </c>
      <c r="S145">
        <f t="shared" ref="S145" si="703">R145/100000</f>
        <v>-37524.928295037753</v>
      </c>
      <c r="T145">
        <f t="shared" ref="T145" si="704">S145/1000</f>
        <v>-37.524928295037753</v>
      </c>
    </row>
    <row r="146" spans="1:20" x14ac:dyDescent="0.25">
      <c r="A146" s="5">
        <v>44447</v>
      </c>
      <c r="B146">
        <v>8.2180000000000003E-2</v>
      </c>
      <c r="C146">
        <v>9.3740000000000004E-2</v>
      </c>
      <c r="D146">
        <v>7.1999999999999995E-2</v>
      </c>
      <c r="E146">
        <v>8.616E-2</v>
      </c>
      <c r="F146">
        <v>79325143.400000006</v>
      </c>
      <c r="G146">
        <v>8.616E-2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0.30266789328426863</v>
      </c>
      <c r="Q146">
        <f t="shared" ref="Q146" si="706">F146*P146</f>
        <v>24009174.037350509</v>
      </c>
      <c r="R146">
        <f t="shared" ref="R146" si="707">R147+Q146</f>
        <v>-3840320017.4471602</v>
      </c>
      <c r="S146">
        <f t="shared" ref="S146" si="708">R146/100000</f>
        <v>-38403.200174471604</v>
      </c>
      <c r="T146">
        <f t="shared" ref="T146" si="709">S146/1000</f>
        <v>-38.403200174471607</v>
      </c>
    </row>
    <row r="147" spans="1:20" x14ac:dyDescent="0.25">
      <c r="A147" s="5">
        <v>44446</v>
      </c>
      <c r="B147">
        <v>0.10505</v>
      </c>
      <c r="C147">
        <v>0.11</v>
      </c>
      <c r="D147">
        <v>6.9239999999999996E-2</v>
      </c>
      <c r="E147">
        <v>8.2140000000000005E-2</v>
      </c>
      <c r="F147">
        <v>75771968.5</v>
      </c>
      <c r="G147">
        <v>8.2140000000000005E-2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-0.36702649656525971</v>
      </c>
      <c r="Q147">
        <f t="shared" ref="Q147" si="711">F147*P147</f>
        <v>-27810320.136408217</v>
      </c>
      <c r="R147">
        <f t="shared" ref="R147" si="712">R148+Q147</f>
        <v>-3864329191.4845109</v>
      </c>
      <c r="S147">
        <f t="shared" ref="S147" si="713">R147/100000</f>
        <v>-38643.291914845111</v>
      </c>
      <c r="T147">
        <f t="shared" ref="T147" si="714">S147/1000</f>
        <v>-38.643291914845108</v>
      </c>
    </row>
    <row r="148" spans="1:20" x14ac:dyDescent="0.25">
      <c r="A148" s="5">
        <v>44445</v>
      </c>
      <c r="B148">
        <v>0.1021</v>
      </c>
      <c r="C148">
        <v>0.10852000000000001</v>
      </c>
      <c r="D148">
        <v>9.1329999999999995E-2</v>
      </c>
      <c r="E148">
        <v>0.10516</v>
      </c>
      <c r="F148">
        <v>121353841.2</v>
      </c>
      <c r="G148">
        <v>0.10516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0.60907504363001752</v>
      </c>
      <c r="Q148">
        <f t="shared" ref="Q148" si="716">F148*P148</f>
        <v>73913596.12356022</v>
      </c>
      <c r="R148">
        <f t="shared" ref="R148" si="717">R149+Q148</f>
        <v>-3836518871.3481026</v>
      </c>
      <c r="S148">
        <f t="shared" ref="S148" si="718">R148/100000</f>
        <v>-38365.188713481024</v>
      </c>
      <c r="T148">
        <f t="shared" ref="T148" si="719">S148/1000</f>
        <v>-38.365188713481025</v>
      </c>
    </row>
    <row r="149" spans="1:20" x14ac:dyDescent="0.25">
      <c r="A149" s="5">
        <v>44444</v>
      </c>
      <c r="B149">
        <v>9.4270000000000007E-2</v>
      </c>
      <c r="C149">
        <v>0.11600000000000001</v>
      </c>
      <c r="D149">
        <v>9.3039999999999998E-2</v>
      </c>
      <c r="E149">
        <v>0.10212</v>
      </c>
      <c r="F149">
        <v>222700068.09999999</v>
      </c>
      <c r="G149">
        <v>0.10212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-0.20905923344947722</v>
      </c>
      <c r="Q149">
        <f t="shared" ref="Q149" si="721">F149*P149</f>
        <v>-46557505.526132375</v>
      </c>
      <c r="R149">
        <f t="shared" ref="R149" si="722">R150+Q149</f>
        <v>-3910432467.471663</v>
      </c>
      <c r="S149">
        <f t="shared" ref="S149" si="723">R149/100000</f>
        <v>-39104.324674716627</v>
      </c>
      <c r="T149">
        <f t="shared" ref="T149" si="724">S149/1000</f>
        <v>-39.104324674716629</v>
      </c>
    </row>
    <row r="150" spans="1:20" x14ac:dyDescent="0.25">
      <c r="A150" s="5">
        <v>44443</v>
      </c>
      <c r="B150">
        <v>8.9810000000000001E-2</v>
      </c>
      <c r="C150">
        <v>9.4990000000000005E-2</v>
      </c>
      <c r="D150">
        <v>8.8730000000000003E-2</v>
      </c>
      <c r="E150">
        <v>9.4270000000000007E-2</v>
      </c>
      <c r="F150">
        <v>46634946.5</v>
      </c>
      <c r="G150">
        <v>9.4270000000000007E-2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0.76996805111821143</v>
      </c>
      <c r="Q150">
        <f t="shared" ref="Q150" si="726">F150*P150</f>
        <v>35907418.870607056</v>
      </c>
      <c r="R150">
        <f t="shared" ref="R150" si="727">R151+Q150</f>
        <v>-3863874961.9455304</v>
      </c>
      <c r="S150">
        <f t="shared" ref="S150" si="728">R150/100000</f>
        <v>-38638.749619455302</v>
      </c>
      <c r="T150">
        <f t="shared" ref="T150" si="729">S150/1000</f>
        <v>-38.638749619455304</v>
      </c>
    </row>
    <row r="151" spans="1:20" x14ac:dyDescent="0.25">
      <c r="A151" s="5">
        <v>44442</v>
      </c>
      <c r="B151">
        <v>8.8260000000000005E-2</v>
      </c>
      <c r="C151">
        <v>9.3329999999999996E-2</v>
      </c>
      <c r="D151">
        <v>8.6699999999999999E-2</v>
      </c>
      <c r="E151">
        <v>8.9609999999999995E-2</v>
      </c>
      <c r="F151">
        <v>40264692.600000001</v>
      </c>
      <c r="G151">
        <v>8.9609999999999995E-2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-0.12217194570135829</v>
      </c>
      <c r="Q151">
        <f t="shared" ref="Q151" si="731">F151*P151</f>
        <v>-4919215.8380090836</v>
      </c>
      <c r="R151">
        <f t="shared" ref="R151" si="732">R152+Q151</f>
        <v>-3899782380.8161373</v>
      </c>
      <c r="S151">
        <f t="shared" ref="S151" si="733">R151/100000</f>
        <v>-38997.823808161374</v>
      </c>
      <c r="T151">
        <f t="shared" ref="T151" si="734">S151/1000</f>
        <v>-38.997823808161371</v>
      </c>
    </row>
    <row r="152" spans="1:20" x14ac:dyDescent="0.25">
      <c r="A152" s="5">
        <v>44441</v>
      </c>
      <c r="B152">
        <v>0.09</v>
      </c>
      <c r="C152">
        <v>9.1050000000000006E-2</v>
      </c>
      <c r="D152">
        <v>8.7720000000000006E-2</v>
      </c>
      <c r="E152">
        <v>8.8109999999999994E-2</v>
      </c>
      <c r="F152">
        <v>33043341.5</v>
      </c>
      <c r="G152">
        <v>8.8109999999999994E-2</v>
      </c>
      <c r="L152" t="s">
        <v>7</v>
      </c>
      <c r="M152" t="s">
        <v>7</v>
      </c>
      <c r="N152" t="s">
        <v>8</v>
      </c>
      <c r="P152">
        <f t="shared" ref="P152" si="735">IF(C152=D152,0,((E152-D152)-(C152-E152))/(C152-D152))</f>
        <v>-0.76576576576577315</v>
      </c>
      <c r="Q152">
        <f t="shared" ref="Q152" si="736">F152*P152</f>
        <v>-25303459.707207453</v>
      </c>
      <c r="R152">
        <f t="shared" ref="R152" si="737">R153+Q152</f>
        <v>-3894863164.9781284</v>
      </c>
      <c r="S152">
        <f t="shared" ref="S152" si="738">R152/100000</f>
        <v>-38948.631649781288</v>
      </c>
      <c r="T152">
        <f t="shared" ref="T152" si="739">S152/1000</f>
        <v>-38.948631649781291</v>
      </c>
    </row>
    <row r="153" spans="1:20" x14ac:dyDescent="0.25">
      <c r="A153" s="5">
        <v>44440</v>
      </c>
      <c r="B153">
        <v>8.7040000000000006E-2</v>
      </c>
      <c r="C153">
        <v>9.0829999999999994E-2</v>
      </c>
      <c r="D153">
        <v>8.4580000000000002E-2</v>
      </c>
      <c r="E153">
        <v>0.09</v>
      </c>
      <c r="F153">
        <v>38003455.700000003</v>
      </c>
      <c r="G153">
        <v>0.09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0.7344000000000005</v>
      </c>
      <c r="Q153">
        <f t="shared" ref="Q153" si="741">F153*P153</f>
        <v>27909737.86608002</v>
      </c>
      <c r="R153">
        <f t="shared" ref="R153" si="742">R154+Q153</f>
        <v>-3869559705.2709208</v>
      </c>
      <c r="S153">
        <f t="shared" ref="S153" si="743">R153/100000</f>
        <v>-38695.597052709207</v>
      </c>
      <c r="T153">
        <f t="shared" ref="T153" si="744">S153/1000</f>
        <v>-38.695597052709203</v>
      </c>
    </row>
    <row r="154" spans="1:20" x14ac:dyDescent="0.25">
      <c r="A154" s="5">
        <v>44439</v>
      </c>
      <c r="B154">
        <v>9.0200000000000002E-2</v>
      </c>
      <c r="C154">
        <v>9.2350000000000002E-2</v>
      </c>
      <c r="D154">
        <v>8.5489999999999997E-2</v>
      </c>
      <c r="E154">
        <v>8.7059999999999998E-2</v>
      </c>
      <c r="F154">
        <v>38820808.600000001</v>
      </c>
      <c r="G154">
        <v>8.7059999999999998E-2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-0.54227405247813387</v>
      </c>
      <c r="Q154">
        <f t="shared" ref="Q154" si="746">F154*P154</f>
        <v>-21051517.199999992</v>
      </c>
      <c r="R154">
        <f t="shared" ref="R154" si="747">R155+Q154</f>
        <v>-3897469443.1370006</v>
      </c>
      <c r="S154">
        <f t="shared" ref="S154" si="748">R154/100000</f>
        <v>-38974.694431370008</v>
      </c>
      <c r="T154">
        <f t="shared" ref="T154" si="749">S154/1000</f>
        <v>-38.974694431370011</v>
      </c>
    </row>
    <row r="155" spans="1:20" x14ac:dyDescent="0.25">
      <c r="A155" s="5">
        <v>44438</v>
      </c>
      <c r="B155">
        <v>9.2329999999999995E-2</v>
      </c>
      <c r="C155">
        <v>9.4200000000000006E-2</v>
      </c>
      <c r="D155">
        <v>8.9569999999999997E-2</v>
      </c>
      <c r="E155">
        <v>9.0050000000000005E-2</v>
      </c>
      <c r="F155">
        <v>39106041.700000003</v>
      </c>
      <c r="G155">
        <v>9.0050000000000005E-2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-0.79265658747299905</v>
      </c>
      <c r="Q155">
        <f t="shared" ref="Q155" si="751">F155*P155</f>
        <v>-30997661.563498802</v>
      </c>
      <c r="R155">
        <f t="shared" ref="R155" si="752">R156+Q155</f>
        <v>-3876417925.9370008</v>
      </c>
      <c r="S155">
        <f t="shared" ref="S155" si="753">R155/100000</f>
        <v>-38764.179259370008</v>
      </c>
      <c r="T155">
        <f t="shared" ref="T155" si="754">S155/1000</f>
        <v>-38.76417925937001</v>
      </c>
    </row>
    <row r="156" spans="1:20" x14ac:dyDescent="0.25">
      <c r="A156" s="5">
        <v>44437</v>
      </c>
      <c r="B156">
        <v>9.3780000000000002E-2</v>
      </c>
      <c r="C156">
        <v>9.5000000000000001E-2</v>
      </c>
      <c r="D156">
        <v>8.8020000000000001E-2</v>
      </c>
      <c r="E156">
        <v>9.2460000000000001E-2</v>
      </c>
      <c r="F156">
        <v>32859216.300000001</v>
      </c>
      <c r="G156">
        <v>9.2460000000000001E-2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0.27220630372492821</v>
      </c>
      <c r="Q156">
        <f t="shared" ref="Q156" si="756">F156*P156</f>
        <v>8944485.8123209123</v>
      </c>
      <c r="R156">
        <f t="shared" ref="R156" si="757">R157+Q156</f>
        <v>-3845420264.3735018</v>
      </c>
      <c r="S156">
        <f t="shared" ref="S156" si="758">R156/100000</f>
        <v>-38454.202643735021</v>
      </c>
      <c r="T156">
        <f t="shared" ref="T156" si="759">S156/1000</f>
        <v>-38.454202643735023</v>
      </c>
    </row>
    <row r="157" spans="1:20" x14ac:dyDescent="0.25">
      <c r="A157" s="5">
        <v>44436</v>
      </c>
      <c r="B157">
        <v>9.0880000000000002E-2</v>
      </c>
      <c r="C157">
        <v>9.5750000000000002E-2</v>
      </c>
      <c r="D157">
        <v>8.9160000000000003E-2</v>
      </c>
      <c r="E157">
        <v>9.3780000000000002E-2</v>
      </c>
      <c r="F157">
        <v>35244811.299999997</v>
      </c>
      <c r="G157">
        <v>9.3780000000000002E-2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0.40212443095599393</v>
      </c>
      <c r="Q157">
        <f t="shared" ref="Q157" si="761">F157*P157</f>
        <v>14172799.688163884</v>
      </c>
      <c r="R157">
        <f t="shared" ref="R157" si="762">R158+Q157</f>
        <v>-3854364750.1858225</v>
      </c>
      <c r="S157">
        <f t="shared" ref="S157" si="763">R157/100000</f>
        <v>-38543.647501858228</v>
      </c>
      <c r="T157">
        <f t="shared" ref="T157" si="764">S157/1000</f>
        <v>-38.543647501858224</v>
      </c>
    </row>
    <row r="158" spans="1:20" x14ac:dyDescent="0.25">
      <c r="A158" s="5">
        <v>44435</v>
      </c>
      <c r="B158">
        <v>8.6739999999999998E-2</v>
      </c>
      <c r="C158">
        <v>9.2299999999999993E-2</v>
      </c>
      <c r="D158">
        <v>8.3049999999999999E-2</v>
      </c>
      <c r="E158">
        <v>9.1069999999999998E-2</v>
      </c>
      <c r="F158">
        <v>36557993.600000001</v>
      </c>
      <c r="G158">
        <v>9.1069999999999998E-2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0.73405405405405499</v>
      </c>
      <c r="Q158">
        <f t="shared" ref="Q158" si="766">F158*P158</f>
        <v>26835543.410162199</v>
      </c>
      <c r="R158">
        <f t="shared" ref="R158" si="767">R159+Q158</f>
        <v>-3868537549.8739862</v>
      </c>
      <c r="S158">
        <f t="shared" ref="S158" si="768">R158/100000</f>
        <v>-38685.375498739864</v>
      </c>
      <c r="T158">
        <f t="shared" ref="T158" si="769">S158/1000</f>
        <v>-38.685375498739866</v>
      </c>
    </row>
    <row r="159" spans="1:20" x14ac:dyDescent="0.25">
      <c r="A159" s="5">
        <v>44434</v>
      </c>
      <c r="B159">
        <v>9.5829999999999999E-2</v>
      </c>
      <c r="C159">
        <v>9.7460000000000005E-2</v>
      </c>
      <c r="D159">
        <v>8.6440000000000003E-2</v>
      </c>
      <c r="E159">
        <v>8.6620000000000003E-2</v>
      </c>
      <c r="F159">
        <v>60883579.700000003</v>
      </c>
      <c r="G159">
        <v>8.6620000000000003E-2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-0.96733212341197827</v>
      </c>
      <c r="Q159">
        <f t="shared" ref="Q159" si="771">F159*P159</f>
        <v>-58894642.432123415</v>
      </c>
      <c r="R159">
        <f t="shared" ref="R159" si="772">R160+Q159</f>
        <v>-3895373093.2841482</v>
      </c>
      <c r="S159">
        <f t="shared" ref="S159" si="773">R159/100000</f>
        <v>-38953.730932841485</v>
      </c>
      <c r="T159">
        <f t="shared" ref="T159" si="774">S159/1000</f>
        <v>-38.953730932841488</v>
      </c>
    </row>
    <row r="160" spans="1:20" x14ac:dyDescent="0.25">
      <c r="A160" s="5">
        <v>44433</v>
      </c>
      <c r="B160">
        <v>9.461E-2</v>
      </c>
      <c r="C160">
        <v>9.9000000000000005E-2</v>
      </c>
      <c r="D160">
        <v>0.09</v>
      </c>
      <c r="E160">
        <v>9.5979999999999996E-2</v>
      </c>
      <c r="F160">
        <v>53290089.200000003</v>
      </c>
      <c r="G160">
        <v>9.5979999999999996E-2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0.32888888888888751</v>
      </c>
      <c r="Q160">
        <f t="shared" ref="Q160" si="776">F160*P160</f>
        <v>17526518.225777704</v>
      </c>
      <c r="R160">
        <f t="shared" ref="R160" si="777">R161+Q160</f>
        <v>-3836478450.852025</v>
      </c>
      <c r="S160">
        <f t="shared" ref="S160" si="778">R160/100000</f>
        <v>-38364.78450852025</v>
      </c>
      <c r="T160">
        <f t="shared" ref="T160" si="779">S160/1000</f>
        <v>-38.364784508520252</v>
      </c>
    </row>
    <row r="161" spans="1:20" x14ac:dyDescent="0.25">
      <c r="A161" s="5">
        <v>44432</v>
      </c>
      <c r="B161">
        <v>9.8360000000000003E-2</v>
      </c>
      <c r="C161">
        <v>9.9989999999999996E-2</v>
      </c>
      <c r="D161">
        <v>8.8550000000000004E-2</v>
      </c>
      <c r="E161">
        <v>9.468E-2</v>
      </c>
      <c r="F161">
        <v>85606668.5</v>
      </c>
      <c r="G161">
        <v>9.468E-2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7.1678321678321846E-2</v>
      </c>
      <c r="Q161">
        <f t="shared" ref="Q161" si="781">F161*P161</f>
        <v>6136142.3225524621</v>
      </c>
      <c r="R161">
        <f t="shared" ref="R161" si="782">R162+Q161</f>
        <v>-3854004969.0778027</v>
      </c>
      <c r="S161">
        <f t="shared" ref="S161" si="783">R161/100000</f>
        <v>-38540.049690778025</v>
      </c>
      <c r="T161">
        <f t="shared" ref="T161" si="784">S161/1000</f>
        <v>-38.540049690778027</v>
      </c>
    </row>
    <row r="162" spans="1:20" x14ac:dyDescent="0.25">
      <c r="A162" s="5">
        <v>44431</v>
      </c>
      <c r="B162">
        <v>9.3049999999999994E-2</v>
      </c>
      <c r="C162">
        <v>0.108</v>
      </c>
      <c r="D162">
        <v>9.2270000000000005E-2</v>
      </c>
      <c r="E162">
        <v>9.8519999999999996E-2</v>
      </c>
      <c r="F162">
        <v>104285424.7</v>
      </c>
      <c r="G162">
        <v>9.8519999999999996E-2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-0.20534011443102429</v>
      </c>
      <c r="Q162">
        <f t="shared" ref="Q162" si="786">F162*P162</f>
        <v>-21413981.041385967</v>
      </c>
      <c r="R162">
        <f t="shared" ref="R162" si="787">R163+Q162</f>
        <v>-3860141111.4003553</v>
      </c>
      <c r="S162">
        <f t="shared" ref="S162" si="788">R162/100000</f>
        <v>-38601.411114003553</v>
      </c>
      <c r="T162">
        <f t="shared" ref="T162" si="789">S162/1000</f>
        <v>-38.601411114003554</v>
      </c>
    </row>
    <row r="163" spans="1:20" x14ac:dyDescent="0.25">
      <c r="A163" s="5">
        <v>44430</v>
      </c>
      <c r="B163">
        <v>9.1509999999999994E-2</v>
      </c>
      <c r="C163">
        <v>9.2670000000000002E-2</v>
      </c>
      <c r="D163">
        <v>8.9849999999999999E-2</v>
      </c>
      <c r="E163">
        <v>9.1380000000000003E-2</v>
      </c>
      <c r="F163">
        <v>6283699.5</v>
      </c>
      <c r="G163">
        <v>9.1380000000000003E-2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8.5106382978724762E-2</v>
      </c>
      <c r="Q163">
        <f t="shared" ref="Q163" si="791">F163*P163</f>
        <v>534782.93617022131</v>
      </c>
      <c r="R163">
        <f t="shared" ref="R163" si="792">R164+Q163</f>
        <v>-3838727130.3589692</v>
      </c>
      <c r="S163">
        <f t="shared" ref="S163" si="793">R163/100000</f>
        <v>-38387.271303589689</v>
      </c>
      <c r="T163">
        <f t="shared" ref="T163" si="794">S163/1000</f>
        <v>-38.387271303589685</v>
      </c>
    </row>
    <row r="164" spans="1:20" x14ac:dyDescent="0.25">
      <c r="A164" s="5">
        <v>44429</v>
      </c>
      <c r="B164">
        <v>9.6240000000000006E-2</v>
      </c>
      <c r="C164">
        <v>9.6390000000000003E-2</v>
      </c>
      <c r="D164">
        <v>9.017E-2</v>
      </c>
      <c r="E164">
        <v>9.1120000000000007E-2</v>
      </c>
      <c r="F164">
        <v>46259613.299999997</v>
      </c>
      <c r="G164">
        <v>9.1120000000000007E-2</v>
      </c>
      <c r="L164" t="s">
        <v>7</v>
      </c>
      <c r="M164" t="s">
        <v>7</v>
      </c>
      <c r="N164" t="s">
        <v>8</v>
      </c>
      <c r="P164">
        <f t="shared" ref="P164" si="795">IF(C164=D164,0,((E164-D164)-(C164-E164))/(C164-D164))</f>
        <v>-0.69453376205787587</v>
      </c>
      <c r="Q164">
        <f t="shared" ref="Q164" si="796">F164*P164</f>
        <v>-32128863.256591547</v>
      </c>
      <c r="R164">
        <f t="shared" ref="R164" si="797">R165+Q164</f>
        <v>-3839261913.2951393</v>
      </c>
      <c r="S164">
        <f t="shared" ref="S164" si="798">R164/100000</f>
        <v>-38392.619132951397</v>
      </c>
      <c r="T164">
        <f t="shared" ref="T164" si="799">S164/1000</f>
        <v>-38.392619132951395</v>
      </c>
    </row>
    <row r="165" spans="1:20" x14ac:dyDescent="0.25">
      <c r="A165" s="5">
        <v>44428</v>
      </c>
      <c r="B165">
        <v>9.2179999999999998E-2</v>
      </c>
      <c r="C165">
        <v>9.7640000000000005E-2</v>
      </c>
      <c r="D165">
        <v>9.0389999999999998E-2</v>
      </c>
      <c r="E165">
        <v>9.6210000000000004E-2</v>
      </c>
      <c r="F165">
        <v>91855463.5</v>
      </c>
      <c r="G165">
        <v>9.6210000000000004E-2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0.60551724137931051</v>
      </c>
      <c r="Q165">
        <f t="shared" ref="Q165" si="801">F165*P165</f>
        <v>55620066.864137948</v>
      </c>
      <c r="R165">
        <f t="shared" ref="R165" si="802">R166+Q165</f>
        <v>-3807133050.038548</v>
      </c>
      <c r="S165">
        <f t="shared" ref="S165" si="803">R165/100000</f>
        <v>-38071.330500385477</v>
      </c>
      <c r="T165">
        <f t="shared" ref="T165" si="804">S165/1000</f>
        <v>-38.071330500385479</v>
      </c>
    </row>
    <row r="166" spans="1:20" x14ac:dyDescent="0.25">
      <c r="A166" s="5">
        <v>44427</v>
      </c>
      <c r="B166">
        <v>8.6900000000000005E-2</v>
      </c>
      <c r="C166">
        <v>9.2509999999999995E-2</v>
      </c>
      <c r="D166">
        <v>8.362E-2</v>
      </c>
      <c r="E166">
        <v>9.2319999999999999E-2</v>
      </c>
      <c r="F166">
        <v>49385346.200000003</v>
      </c>
      <c r="G166">
        <v>9.2319999999999999E-2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0.95725534308211568</v>
      </c>
      <c r="Q166">
        <f t="shared" ref="Q166" si="806">F166*P166</f>
        <v>47274386.51991006</v>
      </c>
      <c r="R166">
        <f t="shared" ref="R166" si="807">R167+Q166</f>
        <v>-3862753116.9026861</v>
      </c>
      <c r="S166">
        <f t="shared" ref="S166" si="808">R166/100000</f>
        <v>-38627.531169026865</v>
      </c>
      <c r="T166">
        <f t="shared" ref="T166" si="809">S166/1000</f>
        <v>-38.627531169026867</v>
      </c>
    </row>
    <row r="167" spans="1:20" x14ac:dyDescent="0.25">
      <c r="A167" s="5">
        <v>44426</v>
      </c>
      <c r="B167">
        <v>8.9160000000000003E-2</v>
      </c>
      <c r="C167">
        <v>9.2579999999999996E-2</v>
      </c>
      <c r="D167">
        <v>8.5870000000000002E-2</v>
      </c>
      <c r="E167">
        <v>8.6849999999999997E-2</v>
      </c>
      <c r="F167">
        <v>64318679.100000001</v>
      </c>
      <c r="G167">
        <v>8.6849999999999997E-2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-0.70789865871833213</v>
      </c>
      <c r="Q167">
        <f t="shared" ref="Q167" si="811">F167*P167</f>
        <v>-45531106.665424824</v>
      </c>
      <c r="R167">
        <f t="shared" ref="R167" si="812">R168+Q167</f>
        <v>-3910027503.422596</v>
      </c>
      <c r="S167">
        <f t="shared" ref="S167" si="813">R167/100000</f>
        <v>-39100.275034225961</v>
      </c>
      <c r="T167">
        <f t="shared" ref="T167" si="814">S167/1000</f>
        <v>-39.100275034225959</v>
      </c>
    </row>
    <row r="168" spans="1:20" x14ac:dyDescent="0.25">
      <c r="A168" s="5">
        <v>44425</v>
      </c>
      <c r="B168">
        <v>9.7809999999999994E-2</v>
      </c>
      <c r="C168">
        <v>0.10383000000000001</v>
      </c>
      <c r="D168">
        <v>8.8609999999999994E-2</v>
      </c>
      <c r="E168">
        <v>8.8980000000000004E-2</v>
      </c>
      <c r="F168">
        <v>71038451.700000003</v>
      </c>
      <c r="G168">
        <v>8.8980000000000004E-2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-0.95137976346911846</v>
      </c>
      <c r="Q168">
        <f t="shared" ref="Q168" si="816">F168*P168</f>
        <v>-67584545.375558406</v>
      </c>
      <c r="R168">
        <f t="shared" ref="R168" si="817">R169+Q168</f>
        <v>-3864496396.7571712</v>
      </c>
      <c r="S168">
        <f t="shared" ref="S168" si="818">R168/100000</f>
        <v>-38644.963967571712</v>
      </c>
      <c r="T168">
        <f t="shared" ref="T168" si="819">S168/1000</f>
        <v>-38.644963967571712</v>
      </c>
    </row>
    <row r="169" spans="1:20" x14ac:dyDescent="0.25">
      <c r="A169" s="5">
        <v>44424</v>
      </c>
      <c r="B169">
        <v>9.4619999999999996E-2</v>
      </c>
      <c r="C169">
        <v>0.11</v>
      </c>
      <c r="D169">
        <v>9.3200000000000005E-2</v>
      </c>
      <c r="E169">
        <v>9.7820000000000004E-2</v>
      </c>
      <c r="F169">
        <v>658430760.29999995</v>
      </c>
      <c r="G169">
        <v>9.7820000000000004E-2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-0.44999999999999996</v>
      </c>
      <c r="Q169">
        <f t="shared" ref="Q169" si="821">F169*P169</f>
        <v>-296293842.13499993</v>
      </c>
      <c r="R169">
        <f t="shared" ref="R169" si="822">R170+Q169</f>
        <v>-3796911851.3816128</v>
      </c>
      <c r="S169">
        <f t="shared" ref="S169" si="823">R169/100000</f>
        <v>-37969.118513816131</v>
      </c>
      <c r="T169">
        <f t="shared" ref="T169" si="824">S169/1000</f>
        <v>-37.969118513816127</v>
      </c>
    </row>
    <row r="170" spans="1:20" x14ac:dyDescent="0.25">
      <c r="A170" s="5">
        <v>44423</v>
      </c>
      <c r="B170">
        <v>9.715E-2</v>
      </c>
      <c r="C170">
        <v>9.9099999999999994E-2</v>
      </c>
      <c r="D170">
        <v>9.017E-2</v>
      </c>
      <c r="E170">
        <v>9.4759999999999997E-2</v>
      </c>
      <c r="F170">
        <v>60222189.5</v>
      </c>
      <c r="G170">
        <v>9.4759999999999997E-2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2.7995520716685377E-2</v>
      </c>
      <c r="Q170">
        <f t="shared" ref="Q170" si="826">F170*P170</f>
        <v>1685951.5537514025</v>
      </c>
      <c r="R170">
        <f t="shared" ref="R170" si="827">R171+Q170</f>
        <v>-3500618009.246613</v>
      </c>
      <c r="S170">
        <f t="shared" ref="S170" si="828">R170/100000</f>
        <v>-35006.180092466129</v>
      </c>
      <c r="T170">
        <f t="shared" ref="T170" si="829">S170/1000</f>
        <v>-35.006180092466131</v>
      </c>
    </row>
    <row r="171" spans="1:20" x14ac:dyDescent="0.25">
      <c r="A171" s="5">
        <v>44422</v>
      </c>
      <c r="B171">
        <v>9.1679999999999998E-2</v>
      </c>
      <c r="C171">
        <v>9.8970000000000002E-2</v>
      </c>
      <c r="D171">
        <v>8.7559999999999999E-2</v>
      </c>
      <c r="E171">
        <v>9.715E-2</v>
      </c>
      <c r="F171">
        <v>84571103</v>
      </c>
      <c r="G171">
        <v>9.715E-2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0.68098159509202427</v>
      </c>
      <c r="Q171">
        <f t="shared" ref="Q171" si="831">F171*P171</f>
        <v>57591364.619631879</v>
      </c>
      <c r="R171">
        <f t="shared" ref="R171" si="832">R172+Q171</f>
        <v>-3502303960.8003645</v>
      </c>
      <c r="S171">
        <f t="shared" ref="S171" si="833">R171/100000</f>
        <v>-35023.039608003644</v>
      </c>
      <c r="T171">
        <f t="shared" ref="T171" si="834">S171/1000</f>
        <v>-35.023039608003643</v>
      </c>
    </row>
    <row r="172" spans="1:20" x14ac:dyDescent="0.25">
      <c r="A172" s="5">
        <v>44421</v>
      </c>
      <c r="B172">
        <v>8.3260000000000001E-2</v>
      </c>
      <c r="C172">
        <v>9.4E-2</v>
      </c>
      <c r="D172">
        <v>8.2379999999999995E-2</v>
      </c>
      <c r="E172">
        <v>9.1579999999999995E-2</v>
      </c>
      <c r="F172">
        <v>65928384</v>
      </c>
      <c r="G172">
        <v>9.1579999999999995E-2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0.583476764199655</v>
      </c>
      <c r="Q172">
        <f t="shared" ref="Q172" si="836">F172*P172</f>
        <v>38467680.165232308</v>
      </c>
      <c r="R172">
        <f t="shared" ref="R172" si="837">R173+Q172</f>
        <v>-3559895325.4199963</v>
      </c>
      <c r="S172">
        <f t="shared" ref="S172" si="838">R172/100000</f>
        <v>-35598.953254199965</v>
      </c>
      <c r="T172">
        <f t="shared" ref="T172" si="839">S172/1000</f>
        <v>-35.598953254199962</v>
      </c>
    </row>
    <row r="173" spans="1:20" x14ac:dyDescent="0.25">
      <c r="A173" s="5">
        <v>44420</v>
      </c>
      <c r="B173">
        <v>9.0319999999999998E-2</v>
      </c>
      <c r="C173">
        <v>9.4750000000000001E-2</v>
      </c>
      <c r="D173">
        <v>0.08</v>
      </c>
      <c r="E173">
        <v>8.3269999999999997E-2</v>
      </c>
      <c r="F173">
        <v>72252941</v>
      </c>
      <c r="G173">
        <v>8.3269999999999997E-2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-0.55661016949152609</v>
      </c>
      <c r="Q173">
        <f t="shared" ref="Q173" si="841">F173*P173</f>
        <v>-40216721.736271232</v>
      </c>
      <c r="R173">
        <f t="shared" ref="R173" si="842">R174+Q173</f>
        <v>-3598363005.5852284</v>
      </c>
      <c r="S173">
        <f t="shared" ref="S173" si="843">R173/100000</f>
        <v>-35983.630055852285</v>
      </c>
      <c r="T173">
        <f t="shared" ref="T173" si="844">S173/1000</f>
        <v>-35.983630055852288</v>
      </c>
    </row>
    <row r="174" spans="1:20" x14ac:dyDescent="0.25">
      <c r="A174" s="5">
        <v>44419</v>
      </c>
      <c r="B174">
        <v>8.1290000000000001E-2</v>
      </c>
      <c r="C174">
        <v>9.7000000000000003E-2</v>
      </c>
      <c r="D174">
        <v>8.0930000000000002E-2</v>
      </c>
      <c r="E174">
        <v>9.0389999999999998E-2</v>
      </c>
      <c r="F174">
        <v>157690884.09999999</v>
      </c>
      <c r="G174">
        <v>9.0389999999999998E-2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0.17734909769757257</v>
      </c>
      <c r="Q174">
        <f t="shared" ref="Q174" si="846">F174*P174</f>
        <v>27966336.010267492</v>
      </c>
      <c r="R174">
        <f t="shared" ref="R174" si="847">R175+Q174</f>
        <v>-3558146283.8489571</v>
      </c>
      <c r="S174">
        <f t="shared" ref="S174" si="848">R174/100000</f>
        <v>-35581.46283848957</v>
      </c>
      <c r="T174">
        <f t="shared" ref="T174" si="849">S174/1000</f>
        <v>-35.581462838489571</v>
      </c>
    </row>
    <row r="175" spans="1:20" x14ac:dyDescent="0.25">
      <c r="A175" s="5">
        <v>44418</v>
      </c>
      <c r="B175">
        <v>8.5669999999999996E-2</v>
      </c>
      <c r="C175">
        <v>8.6569999999999994E-2</v>
      </c>
      <c r="D175">
        <v>7.8020000000000006E-2</v>
      </c>
      <c r="E175">
        <v>8.1500000000000003E-2</v>
      </c>
      <c r="F175">
        <v>70687525.599999994</v>
      </c>
      <c r="G175">
        <v>8.1500000000000003E-2</v>
      </c>
      <c r="L175" t="s">
        <v>7</v>
      </c>
      <c r="M175" t="s">
        <v>7</v>
      </c>
      <c r="N175" t="s">
        <v>8</v>
      </c>
      <c r="P175">
        <f t="shared" ref="P175" si="850">IF(C175=D175,0,((E175-D175)-(C175-E175))/(C175-D175))</f>
        <v>-0.18596491228070133</v>
      </c>
      <c r="Q175">
        <f t="shared" ref="Q175" si="851">F175*P175</f>
        <v>-13145399.497543829</v>
      </c>
      <c r="R175">
        <f t="shared" ref="R175" si="852">R176+Q175</f>
        <v>-3586112619.8592243</v>
      </c>
      <c r="S175">
        <f t="shared" ref="S175" si="853">R175/100000</f>
        <v>-35861.126198592247</v>
      </c>
      <c r="T175">
        <f t="shared" ref="T175" si="854">S175/1000</f>
        <v>-35.861126198592245</v>
      </c>
    </row>
    <row r="176" spans="1:20" x14ac:dyDescent="0.25">
      <c r="A176" s="5">
        <v>44417</v>
      </c>
      <c r="B176">
        <v>8.0909999999999996E-2</v>
      </c>
      <c r="C176">
        <v>9.2499999999999999E-2</v>
      </c>
      <c r="D176">
        <v>7.8009999999999996E-2</v>
      </c>
      <c r="E176">
        <v>8.5690000000000002E-2</v>
      </c>
      <c r="F176">
        <v>181283216.40000001</v>
      </c>
      <c r="G176">
        <v>8.5690000000000002E-2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6.0041407867495476E-2</v>
      </c>
      <c r="Q176">
        <f t="shared" ref="Q176" si="856">F176*P176</f>
        <v>10884499.535403846</v>
      </c>
      <c r="R176">
        <f t="shared" ref="R176" si="857">R177+Q176</f>
        <v>-3572967220.3616805</v>
      </c>
      <c r="S176">
        <f t="shared" ref="S176" si="858">R176/100000</f>
        <v>-35729.672203616807</v>
      </c>
      <c r="T176">
        <f t="shared" ref="T176" si="859">S176/1000</f>
        <v>-35.729672203616808</v>
      </c>
    </row>
    <row r="177" spans="1:20" x14ac:dyDescent="0.25">
      <c r="A177" s="5">
        <v>44416</v>
      </c>
      <c r="B177">
        <v>7.5870000000000007E-2</v>
      </c>
      <c r="C177">
        <v>9.4549999999999995E-2</v>
      </c>
      <c r="D177">
        <v>7.2300000000000003E-2</v>
      </c>
      <c r="E177">
        <v>8.1240000000000007E-2</v>
      </c>
      <c r="F177">
        <v>348433585.89999998</v>
      </c>
      <c r="G177">
        <v>8.1240000000000007E-2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-0.19640449438202187</v>
      </c>
      <c r="Q177">
        <f t="shared" ref="Q177" si="861">F177*P177</f>
        <v>-68433922.264404282</v>
      </c>
      <c r="R177">
        <f t="shared" ref="R177" si="862">R178+Q177</f>
        <v>-3583851719.8970842</v>
      </c>
      <c r="S177">
        <f t="shared" ref="S177" si="863">R177/100000</f>
        <v>-35838.51719897084</v>
      </c>
      <c r="T177">
        <f t="shared" ref="T177" si="864">S177/1000</f>
        <v>-35.838517198970841</v>
      </c>
    </row>
    <row r="178" spans="1:20" x14ac:dyDescent="0.25">
      <c r="A178" s="5">
        <v>44415</v>
      </c>
      <c r="B178">
        <v>7.0559999999999998E-2</v>
      </c>
      <c r="C178">
        <v>9.3600000000000003E-2</v>
      </c>
      <c r="D178">
        <v>6.7699999999999996E-2</v>
      </c>
      <c r="E178">
        <v>7.5870000000000007E-2</v>
      </c>
      <c r="F178">
        <v>395919321.89999998</v>
      </c>
      <c r="G178">
        <v>7.5870000000000007E-2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-0.36911196911196847</v>
      </c>
      <c r="Q178">
        <f t="shared" ref="Q178" si="866">F178*P178</f>
        <v>-146138560.5159843</v>
      </c>
      <c r="R178">
        <f t="shared" ref="R178" si="867">R179+Q178</f>
        <v>-3515417797.6326799</v>
      </c>
      <c r="S178">
        <f t="shared" ref="S178" si="868">R178/100000</f>
        <v>-35154.177976326799</v>
      </c>
      <c r="T178">
        <f t="shared" ref="T178" si="869">S178/1000</f>
        <v>-35.1541779763268</v>
      </c>
    </row>
    <row r="179" spans="1:20" x14ac:dyDescent="0.25">
      <c r="A179" s="5">
        <v>44414</v>
      </c>
      <c r="B179">
        <v>6.1420000000000002E-2</v>
      </c>
      <c r="C179">
        <v>8.3049999999999999E-2</v>
      </c>
      <c r="D179">
        <v>5.9040000000000002E-2</v>
      </c>
      <c r="E179">
        <v>7.0360000000000006E-2</v>
      </c>
      <c r="F179">
        <v>140987706</v>
      </c>
      <c r="G179">
        <v>7.0360000000000006E-2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-5.7059558517284024E-2</v>
      </c>
      <c r="Q179">
        <f t="shared" ref="Q179" si="871">F179*P179</f>
        <v>-8044696.2607246358</v>
      </c>
      <c r="R179">
        <f t="shared" ref="R179" si="872">R180+Q179</f>
        <v>-3369279237.1166959</v>
      </c>
      <c r="S179">
        <f t="shared" ref="S179" si="873">R179/100000</f>
        <v>-33692.792371166957</v>
      </c>
      <c r="T179">
        <f t="shared" ref="T179" si="874">S179/1000</f>
        <v>-33.692792371166959</v>
      </c>
    </row>
    <row r="180" spans="1:20" x14ac:dyDescent="0.25">
      <c r="A180" s="5">
        <v>44413</v>
      </c>
      <c r="B180">
        <v>5.722E-2</v>
      </c>
      <c r="C180">
        <v>6.4259999999999998E-2</v>
      </c>
      <c r="D180">
        <v>5.6030000000000003E-2</v>
      </c>
      <c r="E180">
        <v>6.1219999999999997E-2</v>
      </c>
      <c r="F180">
        <v>95731349.799999997</v>
      </c>
      <c r="G180">
        <v>6.1219999999999997E-2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0.26123936816524834</v>
      </c>
      <c r="Q180">
        <f t="shared" ref="Q180" si="876">F180*P180</f>
        <v>25008797.335358374</v>
      </c>
      <c r="R180">
        <f t="shared" ref="R180" si="877">R181+Q180</f>
        <v>-3361234540.8559713</v>
      </c>
      <c r="S180">
        <f t="shared" ref="S180" si="878">R180/100000</f>
        <v>-33612.345408559711</v>
      </c>
      <c r="T180">
        <f t="shared" ref="T180" si="879">S180/1000</f>
        <v>-33.612345408559712</v>
      </c>
    </row>
    <row r="181" spans="1:20" x14ac:dyDescent="0.25">
      <c r="A181" s="5">
        <v>44412</v>
      </c>
      <c r="B181">
        <v>5.5620000000000003E-2</v>
      </c>
      <c r="C181">
        <v>5.7299999999999997E-2</v>
      </c>
      <c r="D181">
        <v>5.4629999999999998E-2</v>
      </c>
      <c r="E181">
        <v>5.722E-2</v>
      </c>
      <c r="F181">
        <v>23748566.800000001</v>
      </c>
      <c r="G181">
        <v>5.722E-2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0.94007490636704361</v>
      </c>
      <c r="Q181">
        <f t="shared" ref="Q181" si="881">F181*P181</f>
        <v>22325431.710861482</v>
      </c>
      <c r="R181">
        <f t="shared" ref="R181" si="882">R182+Q181</f>
        <v>-3386243338.1913295</v>
      </c>
      <c r="S181">
        <f t="shared" ref="S181" si="883">R181/100000</f>
        <v>-33862.433381913295</v>
      </c>
      <c r="T181">
        <f t="shared" ref="T181" si="884">S181/1000</f>
        <v>-33.862433381913299</v>
      </c>
    </row>
    <row r="182" spans="1:20" x14ac:dyDescent="0.25">
      <c r="A182" s="5">
        <v>44411</v>
      </c>
      <c r="B182">
        <v>5.645E-2</v>
      </c>
      <c r="C182">
        <v>5.7349999999999998E-2</v>
      </c>
      <c r="D182">
        <v>5.3289999999999997E-2</v>
      </c>
      <c r="E182">
        <v>5.5599999999999997E-2</v>
      </c>
      <c r="F182">
        <v>34443942.399999999</v>
      </c>
      <c r="G182">
        <v>5.5599999999999997E-2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0.13793103448275809</v>
      </c>
      <c r="Q182">
        <f t="shared" ref="Q182" si="886">F182*P182</f>
        <v>4750888.6068965336</v>
      </c>
      <c r="R182">
        <f t="shared" ref="R182" si="887">R183+Q182</f>
        <v>-3408568769.9021912</v>
      </c>
      <c r="S182">
        <f t="shared" ref="S182" si="888">R182/100000</f>
        <v>-34085.68769902191</v>
      </c>
      <c r="T182">
        <f t="shared" ref="T182" si="889">S182/1000</f>
        <v>-34.085687699021911</v>
      </c>
    </row>
    <row r="183" spans="1:20" x14ac:dyDescent="0.25">
      <c r="A183" s="5">
        <v>44410</v>
      </c>
      <c r="B183">
        <v>5.57E-2</v>
      </c>
      <c r="C183">
        <v>5.7570000000000003E-2</v>
      </c>
      <c r="D183">
        <v>5.4480000000000001E-2</v>
      </c>
      <c r="E183">
        <v>5.645E-2</v>
      </c>
      <c r="F183">
        <v>28176036.100000001</v>
      </c>
      <c r="G183">
        <v>5.645E-2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0.27508090614886599</v>
      </c>
      <c r="Q183">
        <f t="shared" ref="Q183" si="891">F183*P183</f>
        <v>7750689.5420711609</v>
      </c>
      <c r="R183">
        <f t="shared" ref="R183" si="892">R184+Q183</f>
        <v>-3413319658.5090876</v>
      </c>
      <c r="S183">
        <f t="shared" ref="S183" si="893">R183/100000</f>
        <v>-34133.196585090875</v>
      </c>
      <c r="T183">
        <f t="shared" ref="T183" si="894">S183/1000</f>
        <v>-34.133196585090872</v>
      </c>
    </row>
    <row r="184" spans="1:20" x14ac:dyDescent="0.25">
      <c r="A184" s="5">
        <v>44409</v>
      </c>
      <c r="B184">
        <v>5.833E-2</v>
      </c>
      <c r="C184">
        <v>6.0999999999999999E-2</v>
      </c>
      <c r="D184">
        <v>5.5070000000000001E-2</v>
      </c>
      <c r="E184">
        <v>5.57E-2</v>
      </c>
      <c r="F184">
        <v>53120486.600000001</v>
      </c>
      <c r="G184">
        <v>5.57E-2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-0.78752107925801051</v>
      </c>
      <c r="Q184">
        <f t="shared" ref="Q184" si="896">F184*P184</f>
        <v>-41833502.937942684</v>
      </c>
      <c r="R184">
        <f t="shared" ref="R184" si="897">R185+Q184</f>
        <v>-3421070348.0511589</v>
      </c>
      <c r="S184">
        <f t="shared" ref="S184" si="898">R184/100000</f>
        <v>-34210.703480511591</v>
      </c>
      <c r="T184">
        <f t="shared" ref="T184" si="899">S184/1000</f>
        <v>-34.21070348051159</v>
      </c>
    </row>
    <row r="185" spans="1:20" x14ac:dyDescent="0.25">
      <c r="A185" s="5">
        <v>44408</v>
      </c>
      <c r="B185">
        <v>6.0380000000000003E-2</v>
      </c>
      <c r="C185">
        <v>6.1949999999999998E-2</v>
      </c>
      <c r="D185">
        <v>5.6500000000000002E-2</v>
      </c>
      <c r="E185">
        <v>5.833E-2</v>
      </c>
      <c r="F185">
        <v>66130215.399999999</v>
      </c>
      <c r="G185">
        <v>5.833E-2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-0.32844036697247725</v>
      </c>
      <c r="Q185">
        <f t="shared" ref="Q185" si="901">F185*P185</f>
        <v>-21719832.213944964</v>
      </c>
      <c r="R185">
        <f t="shared" ref="R185" si="902">R186+Q185</f>
        <v>-3379236845.1132164</v>
      </c>
      <c r="S185">
        <f t="shared" ref="S185" si="903">R185/100000</f>
        <v>-33792.368451132163</v>
      </c>
      <c r="T185">
        <f t="shared" ref="T185" si="904">S185/1000</f>
        <v>-33.792368451132162</v>
      </c>
    </row>
    <row r="186" spans="1:20" x14ac:dyDescent="0.25">
      <c r="A186" s="5">
        <v>44407</v>
      </c>
      <c r="B186">
        <v>5.9729999999999998E-2</v>
      </c>
      <c r="C186">
        <v>6.1600000000000002E-2</v>
      </c>
      <c r="D186">
        <v>5.604E-2</v>
      </c>
      <c r="E186">
        <v>6.0339999999999998E-2</v>
      </c>
      <c r="F186">
        <v>69963158.200000003</v>
      </c>
      <c r="G186">
        <v>6.0339999999999998E-2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0.54676258992805626</v>
      </c>
      <c r="Q186">
        <f t="shared" ref="Q186" si="906">F186*P186</f>
        <v>38253237.576978326</v>
      </c>
      <c r="R186">
        <f t="shared" ref="R186" si="907">R187+Q186</f>
        <v>-3357517012.8992715</v>
      </c>
      <c r="S186">
        <f t="shared" ref="S186" si="908">R186/100000</f>
        <v>-33575.170128992715</v>
      </c>
      <c r="T186">
        <f t="shared" ref="T186" si="909">S186/1000</f>
        <v>-33.575170128992717</v>
      </c>
    </row>
    <row r="187" spans="1:20" x14ac:dyDescent="0.25">
      <c r="A187" s="5">
        <v>44406</v>
      </c>
      <c r="B187">
        <v>6.1150000000000003E-2</v>
      </c>
      <c r="C187">
        <v>6.2140000000000001E-2</v>
      </c>
      <c r="D187">
        <v>5.8470000000000001E-2</v>
      </c>
      <c r="E187">
        <v>5.9630000000000002E-2</v>
      </c>
      <c r="F187">
        <v>22067824.600000001</v>
      </c>
      <c r="G187">
        <v>5.9630000000000002E-2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-0.3678474114441409</v>
      </c>
      <c r="Q187">
        <f t="shared" ref="Q187" si="911">F187*P187</f>
        <v>-8117592.1553133344</v>
      </c>
      <c r="R187">
        <f t="shared" ref="R187" si="912">R188+Q187</f>
        <v>-3395770250.4762497</v>
      </c>
      <c r="S187">
        <f t="shared" ref="S187" si="913">R187/100000</f>
        <v>-33957.702504762499</v>
      </c>
      <c r="T187">
        <f t="shared" ref="T187" si="914">S187/1000</f>
        <v>-33.957702504762501</v>
      </c>
    </row>
    <row r="188" spans="1:20" x14ac:dyDescent="0.25">
      <c r="A188" s="5">
        <v>44405</v>
      </c>
      <c r="B188">
        <v>6.089E-2</v>
      </c>
      <c r="C188">
        <v>6.4890000000000003E-2</v>
      </c>
      <c r="D188">
        <v>5.9040000000000002E-2</v>
      </c>
      <c r="E188">
        <v>6.132E-2</v>
      </c>
      <c r="F188">
        <v>47349374</v>
      </c>
      <c r="G188">
        <v>6.132E-2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-0.22051282051282156</v>
      </c>
      <c r="Q188">
        <f t="shared" ref="Q188" si="916">F188*P188</f>
        <v>-10441144.01025646</v>
      </c>
      <c r="R188">
        <f t="shared" ref="R188" si="917">R189+Q188</f>
        <v>-3387652658.3209362</v>
      </c>
      <c r="S188">
        <f t="shared" ref="S188" si="918">R188/100000</f>
        <v>-33876.526583209365</v>
      </c>
      <c r="T188">
        <f t="shared" ref="T188" si="919">S188/1000</f>
        <v>-33.876526583209362</v>
      </c>
    </row>
    <row r="189" spans="1:20" x14ac:dyDescent="0.25">
      <c r="A189" s="5">
        <v>44404</v>
      </c>
      <c r="B189">
        <v>5.951E-2</v>
      </c>
      <c r="C189">
        <v>6.3799999999999996E-2</v>
      </c>
      <c r="D189">
        <v>5.6000000000000001E-2</v>
      </c>
      <c r="E189">
        <v>6.089E-2</v>
      </c>
      <c r="F189">
        <v>81532997.900000006</v>
      </c>
      <c r="G189">
        <v>6.089E-2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0.25384615384615433</v>
      </c>
      <c r="Q189">
        <f t="shared" ref="Q189" si="921">F189*P189</f>
        <v>20696837.928461578</v>
      </c>
      <c r="R189">
        <f t="shared" ref="R189" si="922">R190+Q189</f>
        <v>-3377211514.3106799</v>
      </c>
      <c r="S189">
        <f t="shared" ref="S189" si="923">R189/100000</f>
        <v>-33772.115143106799</v>
      </c>
      <c r="T189">
        <f t="shared" ref="T189" si="924">S189/1000</f>
        <v>-33.772115143106802</v>
      </c>
    </row>
    <row r="190" spans="1:20" x14ac:dyDescent="0.25">
      <c r="A190" s="5">
        <v>44403</v>
      </c>
      <c r="B190">
        <v>5.4289999999999998E-2</v>
      </c>
      <c r="C190">
        <v>6.5960000000000005E-2</v>
      </c>
      <c r="D190">
        <v>5.4030000000000002E-2</v>
      </c>
      <c r="E190">
        <v>5.9290000000000002E-2</v>
      </c>
      <c r="F190">
        <v>77253609</v>
      </c>
      <c r="G190">
        <v>5.9290000000000002E-2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-0.11818943839061199</v>
      </c>
      <c r="Q190">
        <f t="shared" ref="Q190" si="926">F190*P190</f>
        <v>-9130560.6613579281</v>
      </c>
      <c r="R190">
        <f t="shared" ref="R190" si="927">R191+Q190</f>
        <v>-3397908352.2391415</v>
      </c>
      <c r="S190">
        <f t="shared" ref="S190" si="928">R190/100000</f>
        <v>-33979.083522391418</v>
      </c>
      <c r="T190">
        <f t="shared" ref="T190" si="929">S190/1000</f>
        <v>-33.97908352239142</v>
      </c>
    </row>
    <row r="191" spans="1:20" x14ac:dyDescent="0.25">
      <c r="A191" s="5">
        <v>44402</v>
      </c>
      <c r="B191">
        <v>5.4449999999999998E-2</v>
      </c>
      <c r="C191">
        <v>5.5149999999999998E-2</v>
      </c>
      <c r="D191">
        <v>5.151E-2</v>
      </c>
      <c r="E191">
        <v>5.423E-2</v>
      </c>
      <c r="F191">
        <v>32286445.699999999</v>
      </c>
      <c r="G191">
        <v>5.423E-2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0.49450549450549569</v>
      </c>
      <c r="Q191">
        <f t="shared" ref="Q191" si="931">F191*P191</f>
        <v>15965824.796703335</v>
      </c>
      <c r="R191">
        <f t="shared" ref="R191" si="932">R192+Q191</f>
        <v>-3388777791.5777836</v>
      </c>
      <c r="S191">
        <f t="shared" ref="S191" si="933">R191/100000</f>
        <v>-33887.777915777835</v>
      </c>
      <c r="T191">
        <f t="shared" ref="T191:T197" si="934">S191/1000</f>
        <v>-33.887777915777832</v>
      </c>
    </row>
    <row r="192" spans="1:20" x14ac:dyDescent="0.25">
      <c r="A192" s="5">
        <v>44401</v>
      </c>
      <c r="B192">
        <v>5.441E-2</v>
      </c>
      <c r="C192">
        <v>5.8299999999999998E-2</v>
      </c>
      <c r="D192">
        <v>5.219E-2</v>
      </c>
      <c r="E192">
        <v>5.4449999999999998E-2</v>
      </c>
      <c r="F192">
        <v>46942476.899999999</v>
      </c>
      <c r="G192">
        <v>5.4449999999999998E-2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-0.26022913256955837</v>
      </c>
      <c r="Q192">
        <f t="shared" ref="Q192" si="936">F192*P192</f>
        <v>-12215800.044353532</v>
      </c>
      <c r="R192">
        <f t="shared" ref="R192" si="937">R193+Q192</f>
        <v>-3404743616.3744869</v>
      </c>
      <c r="S192">
        <f t="shared" ref="S192" si="938">R192/100000</f>
        <v>-34047.436163744867</v>
      </c>
      <c r="T192">
        <f t="shared" si="934"/>
        <v>-34.047436163744869</v>
      </c>
    </row>
    <row r="193" spans="1:20" x14ac:dyDescent="0.25">
      <c r="A193" s="5">
        <v>44400</v>
      </c>
      <c r="B193">
        <v>5.0999999999999997E-2</v>
      </c>
      <c r="C193">
        <v>5.5E-2</v>
      </c>
      <c r="D193">
        <v>0.05</v>
      </c>
      <c r="E193">
        <v>5.4300000000000001E-2</v>
      </c>
      <c r="F193">
        <v>30282965.399999999</v>
      </c>
      <c r="G193">
        <v>5.4300000000000001E-2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0.7200000000000002</v>
      </c>
      <c r="Q193">
        <f t="shared" ref="Q193" si="940">F193*P193</f>
        <v>21803735.088000003</v>
      </c>
      <c r="R193">
        <f t="shared" ref="R193" si="941">R194+Q193</f>
        <v>-3392527816.3301334</v>
      </c>
      <c r="S193">
        <f t="shared" ref="S193" si="942">R193/100000</f>
        <v>-33925.278163301336</v>
      </c>
      <c r="T193">
        <f t="shared" si="934"/>
        <v>-33.925278163301336</v>
      </c>
    </row>
    <row r="194" spans="1:20" x14ac:dyDescent="0.25">
      <c r="A194" s="5">
        <v>44399</v>
      </c>
      <c r="B194">
        <v>5.0689999999999999E-2</v>
      </c>
      <c r="C194">
        <v>5.176E-2</v>
      </c>
      <c r="D194">
        <v>4.8419999999999998E-2</v>
      </c>
      <c r="E194">
        <v>5.0999999999999997E-2</v>
      </c>
      <c r="F194">
        <v>24054394.399999999</v>
      </c>
      <c r="G194">
        <v>5.0999999999999997E-2</v>
      </c>
      <c r="L194" t="s">
        <v>8</v>
      </c>
      <c r="M194" t="s">
        <v>8</v>
      </c>
      <c r="N194" t="s">
        <v>8</v>
      </c>
      <c r="P194">
        <f t="shared" ref="P194" si="943">IF(C194=D194,0,((E194-D194)-(C194-E194))/(C194-D194))</f>
        <v>0.54491017964071675</v>
      </c>
      <c r="Q194">
        <f t="shared" ref="Q194" si="944">F194*P194</f>
        <v>13107484.37365265</v>
      </c>
      <c r="R194">
        <f t="shared" ref="R194" si="945">R195+Q194</f>
        <v>-3414331551.4181333</v>
      </c>
      <c r="S194">
        <f t="shared" ref="S194" si="946">R194/100000</f>
        <v>-34143.315514181333</v>
      </c>
      <c r="T194">
        <f t="shared" si="934"/>
        <v>-34.143315514181332</v>
      </c>
    </row>
    <row r="195" spans="1:20" x14ac:dyDescent="0.25">
      <c r="A195" s="5">
        <v>44398</v>
      </c>
      <c r="B195">
        <v>4.5080000000000002E-2</v>
      </c>
      <c r="C195">
        <v>5.1700000000000003E-2</v>
      </c>
      <c r="D195">
        <v>4.3729999999999998E-2</v>
      </c>
      <c r="E195">
        <v>5.0459999999999998E-2</v>
      </c>
      <c r="F195">
        <v>29675798.5</v>
      </c>
      <c r="G195">
        <v>5.0459999999999998E-2</v>
      </c>
      <c r="L195" t="s">
        <v>8</v>
      </c>
      <c r="M195" t="s">
        <v>8</v>
      </c>
      <c r="N195" t="s">
        <v>8</v>
      </c>
      <c r="P195">
        <f t="shared" ref="P195" si="947">IF(C195=D195,0,((E195-D195)-(C195-E195))/(C195-D195))</f>
        <v>0.68883312421580822</v>
      </c>
      <c r="Q195">
        <f t="shared" ref="Q195" si="948">F195*P195</f>
        <v>20441672.994353794</v>
      </c>
      <c r="R195">
        <f t="shared" ref="R195" si="949">R196+Q195</f>
        <v>-3427439035.7917857</v>
      </c>
      <c r="S195">
        <f t="shared" ref="S195" si="950">R195/100000</f>
        <v>-34274.390357917859</v>
      </c>
      <c r="T195">
        <f t="shared" si="934"/>
        <v>-34.274390357917859</v>
      </c>
    </row>
    <row r="196" spans="1:20" x14ac:dyDescent="0.25">
      <c r="A196" s="5">
        <v>44397</v>
      </c>
      <c r="B196">
        <v>5.1200000000000002E-2</v>
      </c>
      <c r="C196">
        <v>5.2589999999999998E-2</v>
      </c>
      <c r="D196">
        <v>4.3270000000000003E-2</v>
      </c>
      <c r="E196">
        <v>4.512E-2</v>
      </c>
      <c r="F196">
        <v>30439593.600000001</v>
      </c>
      <c r="G196">
        <v>4.512E-2</v>
      </c>
      <c r="L196" t="s">
        <v>7</v>
      </c>
      <c r="M196" t="s">
        <v>7</v>
      </c>
      <c r="N196" t="s">
        <v>8</v>
      </c>
      <c r="P196">
        <f t="shared" ref="P196" si="951">IF(C196=D196,0,((E196-D196)-(C196-E196))/(C196-D196))</f>
        <v>-0.60300429184549387</v>
      </c>
      <c r="Q196">
        <f t="shared" ref="Q196" si="952">F196*P196</f>
        <v>-18355205.582832627</v>
      </c>
      <c r="R196">
        <f t="shared" ref="R196" si="953">R197+Q196</f>
        <v>-3447880708.7861395</v>
      </c>
      <c r="S196">
        <f t="shared" ref="S196" si="954">R196/100000</f>
        <v>-34478.807087861394</v>
      </c>
      <c r="T196">
        <f t="shared" si="934"/>
        <v>-34.478807087861398</v>
      </c>
    </row>
    <row r="197" spans="1:20" x14ac:dyDescent="0.25">
      <c r="A197" s="5">
        <v>44396</v>
      </c>
      <c r="B197">
        <v>5.339E-2</v>
      </c>
      <c r="C197">
        <v>5.4899999999999997E-2</v>
      </c>
      <c r="D197">
        <v>4.9399999999999999E-2</v>
      </c>
      <c r="E197">
        <v>5.1180000000000003E-2</v>
      </c>
      <c r="F197">
        <v>41466655.399999999</v>
      </c>
      <c r="G197">
        <v>0</v>
      </c>
      <c r="L197" t="s">
        <v>7</v>
      </c>
      <c r="M197" t="s">
        <v>8</v>
      </c>
      <c r="N197" t="s">
        <v>8</v>
      </c>
      <c r="P197">
        <f t="shared" ref="P197" si="955">IF(C197=D197,0,((E197-D197)-(C197-E197))/(C197-D197))</f>
        <v>-0.35272727272727111</v>
      </c>
      <c r="Q197">
        <f t="shared" ref="Q197" si="956">F197*P197</f>
        <v>-14626420.268363569</v>
      </c>
      <c r="R197">
        <f t="shared" ref="R197" si="957">R198+Q197</f>
        <v>-3429525503.2033067</v>
      </c>
      <c r="S197">
        <f t="shared" ref="S197" si="958">R197/100000</f>
        <v>-34295.25503203307</v>
      </c>
      <c r="T197">
        <f t="shared" si="934"/>
        <v>-34.295255032033069</v>
      </c>
    </row>
    <row r="198" spans="1:20" x14ac:dyDescent="0.25">
      <c r="A198" s="5">
        <v>44395</v>
      </c>
      <c r="B198">
        <v>4.9630000000000001E-2</v>
      </c>
      <c r="C198">
        <v>5.8369999999999998E-2</v>
      </c>
      <c r="D198">
        <v>4.9579999999999999E-2</v>
      </c>
      <c r="E198">
        <v>5.3659999999999999E-2</v>
      </c>
      <c r="F198">
        <v>59667312.899999999</v>
      </c>
      <c r="G198">
        <v>0</v>
      </c>
      <c r="L198" t="s">
        <v>8</v>
      </c>
      <c r="M198" t="s">
        <v>8</v>
      </c>
      <c r="N198" t="s">
        <v>8</v>
      </c>
      <c r="P198">
        <f t="shared" ref="P198:P261" si="959">IF(C198=D198,0,((E198-D198)-(C198-E198))/(C198-D198))</f>
        <v>-7.1672354948805306E-2</v>
      </c>
      <c r="Q198">
        <f t="shared" ref="Q198:Q261" si="960">F198*P198</f>
        <v>-4276496.8290102296</v>
      </c>
      <c r="R198">
        <f t="shared" ref="R198:R261" si="961">R199+Q198</f>
        <v>-3414899082.9349432</v>
      </c>
      <c r="S198">
        <f t="shared" ref="S198:S261" si="962">R198/100000</f>
        <v>-34148.99082934943</v>
      </c>
      <c r="T198">
        <f t="shared" ref="T198:T261" si="963">S198/1000</f>
        <v>-34.14899082934943</v>
      </c>
    </row>
    <row r="199" spans="1:20" x14ac:dyDescent="0.25">
      <c r="A199" s="5">
        <v>44394</v>
      </c>
      <c r="B199">
        <v>5.0349999999999999E-2</v>
      </c>
      <c r="C199">
        <v>5.1740000000000001E-2</v>
      </c>
      <c r="D199">
        <v>4.8259999999999997E-2</v>
      </c>
      <c r="E199">
        <v>4.9779999999999998E-2</v>
      </c>
      <c r="F199">
        <v>32348352.699999999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-0.12643678160919608</v>
      </c>
      <c r="Q199">
        <f t="shared" si="960"/>
        <v>-4090021.6057471484</v>
      </c>
      <c r="R199">
        <f t="shared" si="961"/>
        <v>-3410622586.1059332</v>
      </c>
      <c r="S199">
        <f t="shared" si="962"/>
        <v>-34106.225861059334</v>
      </c>
      <c r="T199">
        <f t="shared" si="963"/>
        <v>-34.106225861059336</v>
      </c>
    </row>
    <row r="200" spans="1:20" x14ac:dyDescent="0.25">
      <c r="A200" s="5">
        <v>44393</v>
      </c>
      <c r="B200">
        <v>5.7250000000000002E-2</v>
      </c>
      <c r="C200">
        <v>5.9929999999999997E-2</v>
      </c>
      <c r="D200">
        <v>4.913E-2</v>
      </c>
      <c r="E200">
        <v>5.0209999999999998E-2</v>
      </c>
      <c r="F200">
        <v>136095175.80000001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-0.80000000000000038</v>
      </c>
      <c r="Q200">
        <f t="shared" si="960"/>
        <v>-108876140.64000006</v>
      </c>
      <c r="R200">
        <f t="shared" si="961"/>
        <v>-3406532564.500186</v>
      </c>
      <c r="S200">
        <f t="shared" si="962"/>
        <v>-34065.32564500186</v>
      </c>
      <c r="T200">
        <f t="shared" si="963"/>
        <v>-34.065325645001863</v>
      </c>
    </row>
    <row r="201" spans="1:20" x14ac:dyDescent="0.25">
      <c r="A201" s="5">
        <v>44392</v>
      </c>
      <c r="B201">
        <v>5.0569999999999997E-2</v>
      </c>
      <c r="C201">
        <v>6.2740000000000004E-2</v>
      </c>
      <c r="D201">
        <v>4.718E-2</v>
      </c>
      <c r="E201">
        <v>5.7230000000000003E-2</v>
      </c>
      <c r="F201">
        <v>173570696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0.29177377892030854</v>
      </c>
      <c r="Q201">
        <f t="shared" si="960"/>
        <v>50643377.88174808</v>
      </c>
      <c r="R201">
        <f t="shared" si="961"/>
        <v>-3297656423.8601861</v>
      </c>
      <c r="S201">
        <f t="shared" si="962"/>
        <v>-32976.564238601859</v>
      </c>
      <c r="T201">
        <f t="shared" si="963"/>
        <v>-32.97656423860186</v>
      </c>
    </row>
    <row r="202" spans="1:20" x14ac:dyDescent="0.25">
      <c r="A202" s="5">
        <v>44391</v>
      </c>
      <c r="B202">
        <v>4.684E-2</v>
      </c>
      <c r="C202">
        <v>5.2670000000000002E-2</v>
      </c>
      <c r="D202">
        <v>4.4639999999999999E-2</v>
      </c>
      <c r="E202">
        <v>5.058E-2</v>
      </c>
      <c r="F202">
        <v>77780199.900000006</v>
      </c>
      <c r="G202">
        <v>0</v>
      </c>
      <c r="L202" t="s">
        <v>7</v>
      </c>
      <c r="M202" t="s">
        <v>8</v>
      </c>
      <c r="N202" t="s">
        <v>7</v>
      </c>
      <c r="P202">
        <f t="shared" si="959"/>
        <v>0.4794520547945203</v>
      </c>
      <c r="Q202">
        <f t="shared" si="960"/>
        <v>37291876.664383546</v>
      </c>
      <c r="R202">
        <f t="shared" si="961"/>
        <v>-3348299801.7419343</v>
      </c>
      <c r="S202">
        <f t="shared" si="962"/>
        <v>-33482.998017419341</v>
      </c>
      <c r="T202">
        <f t="shared" si="963"/>
        <v>-33.482998017419341</v>
      </c>
    </row>
    <row r="203" spans="1:20" x14ac:dyDescent="0.25">
      <c r="A203" s="5">
        <v>44390</v>
      </c>
      <c r="B203">
        <v>4.7759999999999997E-2</v>
      </c>
      <c r="C203">
        <v>4.8000000000000001E-2</v>
      </c>
      <c r="D203">
        <v>4.53E-2</v>
      </c>
      <c r="E203">
        <v>4.684E-2</v>
      </c>
      <c r="F203">
        <v>18936809.800000001</v>
      </c>
      <c r="G203">
        <v>0</v>
      </c>
      <c r="L203" t="s">
        <v>7</v>
      </c>
      <c r="M203" t="s">
        <v>8</v>
      </c>
      <c r="N203" t="s">
        <v>7</v>
      </c>
      <c r="P203">
        <f t="shared" si="959"/>
        <v>0.14074074074074008</v>
      </c>
      <c r="Q203">
        <f t="shared" si="960"/>
        <v>2665180.6385185062</v>
      </c>
      <c r="R203">
        <f t="shared" si="961"/>
        <v>-3385591678.4063177</v>
      </c>
      <c r="S203">
        <f t="shared" si="962"/>
        <v>-33855.916784063178</v>
      </c>
      <c r="T203">
        <f t="shared" si="963"/>
        <v>-33.855916784063176</v>
      </c>
    </row>
    <row r="204" spans="1:20" x14ac:dyDescent="0.25">
      <c r="A204" s="5">
        <v>44389</v>
      </c>
      <c r="B204">
        <v>4.845E-2</v>
      </c>
      <c r="C204">
        <v>5.0160000000000003E-2</v>
      </c>
      <c r="D204">
        <v>4.6940000000000003E-2</v>
      </c>
      <c r="E204">
        <v>4.7750000000000001E-2</v>
      </c>
      <c r="F204">
        <v>24948948</v>
      </c>
      <c r="G204">
        <v>0</v>
      </c>
      <c r="L204" t="s">
        <v>7</v>
      </c>
      <c r="M204" t="s">
        <v>8</v>
      </c>
      <c r="N204" t="s">
        <v>7</v>
      </c>
      <c r="P204">
        <f t="shared" si="959"/>
        <v>-0.49689440993788941</v>
      </c>
      <c r="Q204">
        <f t="shared" si="960"/>
        <v>-12396992.795031086</v>
      </c>
      <c r="R204">
        <f t="shared" si="961"/>
        <v>-3388256859.044836</v>
      </c>
      <c r="S204">
        <f t="shared" si="962"/>
        <v>-33882.568590448362</v>
      </c>
      <c r="T204">
        <f t="shared" si="963"/>
        <v>-33.882568590448365</v>
      </c>
    </row>
    <row r="205" spans="1:20" x14ac:dyDescent="0.25">
      <c r="A205" s="5">
        <v>44388</v>
      </c>
      <c r="B205">
        <v>4.7260000000000003E-2</v>
      </c>
      <c r="C205">
        <v>5.1209999999999999E-2</v>
      </c>
      <c r="D205">
        <v>4.6469999999999997E-2</v>
      </c>
      <c r="E205">
        <v>4.8349999999999997E-2</v>
      </c>
      <c r="F205">
        <v>35536875</v>
      </c>
      <c r="G205">
        <v>0</v>
      </c>
      <c r="L205" t="s">
        <v>8</v>
      </c>
      <c r="M205" t="s">
        <v>8</v>
      </c>
      <c r="N205" t="s">
        <v>7</v>
      </c>
      <c r="P205">
        <f t="shared" si="959"/>
        <v>-0.20675105485232098</v>
      </c>
      <c r="Q205">
        <f t="shared" si="960"/>
        <v>-7347286.3924050741</v>
      </c>
      <c r="R205">
        <f t="shared" si="961"/>
        <v>-3375859866.249805</v>
      </c>
      <c r="S205">
        <f t="shared" si="962"/>
        <v>-33758.598662498051</v>
      </c>
      <c r="T205">
        <f t="shared" si="963"/>
        <v>-33.758598662498052</v>
      </c>
    </row>
    <row r="206" spans="1:20" x14ac:dyDescent="0.25">
      <c r="A206" s="5">
        <v>44387</v>
      </c>
      <c r="B206">
        <v>4.7640000000000002E-2</v>
      </c>
      <c r="C206">
        <v>4.8770000000000001E-2</v>
      </c>
      <c r="D206">
        <v>4.6010000000000002E-2</v>
      </c>
      <c r="E206">
        <v>4.7390000000000002E-2</v>
      </c>
      <c r="F206">
        <v>51485912.299999997</v>
      </c>
      <c r="G206">
        <v>0</v>
      </c>
      <c r="L206" t="s">
        <v>8</v>
      </c>
      <c r="M206" t="s">
        <v>7</v>
      </c>
      <c r="N206" t="s">
        <v>7</v>
      </c>
      <c r="P206">
        <f t="shared" si="959"/>
        <v>0</v>
      </c>
      <c r="Q206">
        <f t="shared" si="960"/>
        <v>0</v>
      </c>
      <c r="R206">
        <f t="shared" si="961"/>
        <v>-3368512579.8573999</v>
      </c>
      <c r="S206">
        <f t="shared" si="962"/>
        <v>-33685.125798574001</v>
      </c>
      <c r="T206">
        <f t="shared" si="963"/>
        <v>-33.685125798573999</v>
      </c>
    </row>
    <row r="207" spans="1:20" x14ac:dyDescent="0.25">
      <c r="A207" s="5">
        <v>44386</v>
      </c>
      <c r="B207">
        <v>4.5999999999999999E-2</v>
      </c>
      <c r="C207">
        <v>4.8469999999999999E-2</v>
      </c>
      <c r="D207">
        <v>4.3729999999999998E-2</v>
      </c>
      <c r="E207">
        <v>4.761E-2</v>
      </c>
      <c r="F207">
        <v>64038979.299999997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0.63713080168776393</v>
      </c>
      <c r="Q207">
        <f t="shared" si="960"/>
        <v>40801206.220675118</v>
      </c>
      <c r="R207">
        <f t="shared" si="961"/>
        <v>-3368512579.8573999</v>
      </c>
      <c r="S207">
        <f t="shared" si="962"/>
        <v>-33685.125798574001</v>
      </c>
      <c r="T207">
        <f t="shared" si="963"/>
        <v>-33.685125798573999</v>
      </c>
    </row>
    <row r="208" spans="1:20" x14ac:dyDescent="0.25">
      <c r="A208" s="5">
        <v>44385</v>
      </c>
      <c r="B208">
        <v>5.2389999999999999E-2</v>
      </c>
      <c r="C208">
        <v>5.2490000000000002E-2</v>
      </c>
      <c r="D208">
        <v>4.5030000000000001E-2</v>
      </c>
      <c r="E208">
        <v>4.6190000000000002E-2</v>
      </c>
      <c r="F208">
        <v>35341044.899999999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-0.68900804289544204</v>
      </c>
      <c r="Q208">
        <f t="shared" si="960"/>
        <v>-24350264.180428941</v>
      </c>
      <c r="R208">
        <f t="shared" si="961"/>
        <v>-3409313786.0780749</v>
      </c>
      <c r="S208">
        <f t="shared" si="962"/>
        <v>-34093.137860780749</v>
      </c>
      <c r="T208">
        <f t="shared" si="963"/>
        <v>-34.09313786078075</v>
      </c>
    </row>
    <row r="209" spans="1:20" x14ac:dyDescent="0.25">
      <c r="A209" s="5">
        <v>44384</v>
      </c>
      <c r="B209">
        <v>4.8419999999999998E-2</v>
      </c>
      <c r="C209">
        <v>5.4739999999999997E-2</v>
      </c>
      <c r="D209">
        <v>4.7699999999999999E-2</v>
      </c>
      <c r="E209">
        <v>5.2609999999999997E-2</v>
      </c>
      <c r="F209">
        <v>59562804.100000001</v>
      </c>
      <c r="G209">
        <v>0</v>
      </c>
      <c r="L209" t="s">
        <v>8</v>
      </c>
      <c r="M209" t="s">
        <v>8</v>
      </c>
      <c r="N209" t="s">
        <v>7</v>
      </c>
      <c r="P209">
        <f t="shared" si="959"/>
        <v>0.39488636363636342</v>
      </c>
      <c r="Q209">
        <f t="shared" si="960"/>
        <v>23520539.119034078</v>
      </c>
      <c r="R209">
        <f t="shared" si="961"/>
        <v>-3384963521.897646</v>
      </c>
      <c r="S209">
        <f t="shared" si="962"/>
        <v>-33849.635218976458</v>
      </c>
      <c r="T209">
        <f t="shared" si="963"/>
        <v>-33.849635218976459</v>
      </c>
    </row>
    <row r="210" spans="1:20" x14ac:dyDescent="0.25">
      <c r="A210" s="5">
        <v>44383</v>
      </c>
      <c r="B210">
        <v>4.7140000000000001E-2</v>
      </c>
      <c r="C210">
        <v>5.0139999999999997E-2</v>
      </c>
      <c r="D210">
        <v>4.7100000000000003E-2</v>
      </c>
      <c r="E210">
        <v>4.8430000000000001E-2</v>
      </c>
      <c r="F210">
        <v>54922773.700000003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-0.12499999999999971</v>
      </c>
      <c r="Q210">
        <f t="shared" si="960"/>
        <v>-6865346.7124999845</v>
      </c>
      <c r="R210">
        <f t="shared" si="961"/>
        <v>-3408484061.0166802</v>
      </c>
      <c r="S210">
        <f t="shared" si="962"/>
        <v>-34084.840610166801</v>
      </c>
      <c r="T210">
        <f t="shared" si="963"/>
        <v>-34.0848406101668</v>
      </c>
    </row>
    <row r="211" spans="1:20" x14ac:dyDescent="0.25">
      <c r="A211" s="5">
        <v>44382</v>
      </c>
      <c r="B211">
        <v>5.0380000000000001E-2</v>
      </c>
      <c r="C211">
        <v>5.049E-2</v>
      </c>
      <c r="D211">
        <v>4.5350000000000001E-2</v>
      </c>
      <c r="E211">
        <v>4.7109999999999999E-2</v>
      </c>
      <c r="F211">
        <v>47346172</v>
      </c>
      <c r="G211">
        <v>0</v>
      </c>
      <c r="L211" t="s">
        <v>7</v>
      </c>
      <c r="M211" t="s">
        <v>8</v>
      </c>
      <c r="N211" t="s">
        <v>7</v>
      </c>
      <c r="P211">
        <f t="shared" si="959"/>
        <v>-0.3151750972762653</v>
      </c>
      <c r="Q211">
        <f t="shared" si="960"/>
        <v>-14922334.365758788</v>
      </c>
      <c r="R211">
        <f t="shared" si="961"/>
        <v>-3401618714.3041801</v>
      </c>
      <c r="S211">
        <f t="shared" si="962"/>
        <v>-34016.187143041803</v>
      </c>
      <c r="T211">
        <f t="shared" si="963"/>
        <v>-34.016187143041805</v>
      </c>
    </row>
    <row r="212" spans="1:20" x14ac:dyDescent="0.25">
      <c r="A212" s="5">
        <v>44381</v>
      </c>
      <c r="B212">
        <v>4.7190000000000003E-2</v>
      </c>
      <c r="C212">
        <v>5.3440000000000001E-2</v>
      </c>
      <c r="D212">
        <v>4.5280000000000001E-2</v>
      </c>
      <c r="E212">
        <v>5.0349999999999999E-2</v>
      </c>
      <c r="F212">
        <v>104175901.2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0.24264705882352886</v>
      </c>
      <c r="Q212">
        <f t="shared" si="960"/>
        <v>25277976.026470531</v>
      </c>
      <c r="R212">
        <f t="shared" si="961"/>
        <v>-3386696379.9384212</v>
      </c>
      <c r="S212">
        <f t="shared" si="962"/>
        <v>-33866.963799384212</v>
      </c>
      <c r="T212">
        <f t="shared" si="963"/>
        <v>-33.866963799384209</v>
      </c>
    </row>
    <row r="213" spans="1:20" x14ac:dyDescent="0.25">
      <c r="A213" s="5">
        <v>44380</v>
      </c>
      <c r="B213">
        <v>4.7169999999999997E-2</v>
      </c>
      <c r="C213">
        <v>4.9209999999999997E-2</v>
      </c>
      <c r="D213">
        <v>4.6199999999999998E-2</v>
      </c>
      <c r="E213">
        <v>4.7079999999999997E-2</v>
      </c>
      <c r="F213">
        <v>17449402.300000001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-0.41528239202657863</v>
      </c>
      <c r="Q213">
        <f t="shared" si="960"/>
        <v>-7246429.5265780827</v>
      </c>
      <c r="R213">
        <f t="shared" si="961"/>
        <v>-3411974355.9648919</v>
      </c>
      <c r="S213">
        <f t="shared" si="962"/>
        <v>-34119.743559648916</v>
      </c>
      <c r="T213">
        <f t="shared" si="963"/>
        <v>-34.119743559648917</v>
      </c>
    </row>
    <row r="214" spans="1:20" x14ac:dyDescent="0.25">
      <c r="A214" s="5">
        <v>44379</v>
      </c>
      <c r="B214">
        <v>4.7109999999999999E-2</v>
      </c>
      <c r="C214">
        <v>4.7660000000000001E-2</v>
      </c>
      <c r="D214">
        <v>4.3909999999999998E-2</v>
      </c>
      <c r="E214">
        <v>4.7230000000000001E-2</v>
      </c>
      <c r="F214">
        <v>21744659.600000001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0.77066666666666694</v>
      </c>
      <c r="Q214">
        <f t="shared" si="960"/>
        <v>16757884.33173334</v>
      </c>
      <c r="R214">
        <f t="shared" si="961"/>
        <v>-3404727926.438314</v>
      </c>
      <c r="S214">
        <f t="shared" si="962"/>
        <v>-34047.279264383142</v>
      </c>
      <c r="T214">
        <f t="shared" si="963"/>
        <v>-34.047279264383143</v>
      </c>
    </row>
    <row r="215" spans="1:20" x14ac:dyDescent="0.25">
      <c r="A215" s="5">
        <v>44378</v>
      </c>
      <c r="B215">
        <v>5.1299999999999998E-2</v>
      </c>
      <c r="C215">
        <v>5.1330000000000001E-2</v>
      </c>
      <c r="D215">
        <v>4.5629999999999997E-2</v>
      </c>
      <c r="E215">
        <v>4.7149999999999997E-2</v>
      </c>
      <c r="F215">
        <v>28091226.699999999</v>
      </c>
      <c r="G215">
        <v>0</v>
      </c>
      <c r="L215" t="s">
        <v>7</v>
      </c>
      <c r="M215" t="s">
        <v>8</v>
      </c>
      <c r="N215" t="s">
        <v>7</v>
      </c>
      <c r="P215">
        <f t="shared" si="959"/>
        <v>-0.46666666666666684</v>
      </c>
      <c r="Q215">
        <f t="shared" si="960"/>
        <v>-13109239.126666671</v>
      </c>
      <c r="R215">
        <f t="shared" si="961"/>
        <v>-3421485810.7700472</v>
      </c>
      <c r="S215">
        <f t="shared" si="962"/>
        <v>-34214.858107700471</v>
      </c>
      <c r="T215">
        <f t="shared" si="963"/>
        <v>-34.214858107700472</v>
      </c>
    </row>
    <row r="216" spans="1:20" x14ac:dyDescent="0.25">
      <c r="A216" s="5">
        <v>44377</v>
      </c>
      <c r="B216">
        <v>5.1970000000000002E-2</v>
      </c>
      <c r="C216">
        <v>5.3499999999999999E-2</v>
      </c>
      <c r="D216">
        <v>4.6519999999999999E-2</v>
      </c>
      <c r="E216">
        <v>5.1319999999999998E-2</v>
      </c>
      <c r="F216">
        <v>61920547.299999997</v>
      </c>
      <c r="G216">
        <v>0</v>
      </c>
      <c r="L216" t="s">
        <v>8</v>
      </c>
      <c r="M216" t="s">
        <v>8</v>
      </c>
      <c r="N216" t="s">
        <v>7</v>
      </c>
      <c r="P216">
        <f t="shared" si="959"/>
        <v>0.37535816618911139</v>
      </c>
      <c r="Q216">
        <f t="shared" si="960"/>
        <v>23242383.083954129</v>
      </c>
      <c r="R216">
        <f t="shared" si="961"/>
        <v>-3408376571.6433806</v>
      </c>
      <c r="S216">
        <f t="shared" si="962"/>
        <v>-34083.765716433809</v>
      </c>
      <c r="T216">
        <f t="shared" si="963"/>
        <v>-34.08376571643381</v>
      </c>
    </row>
    <row r="217" spans="1:20" x14ac:dyDescent="0.25">
      <c r="A217" s="5">
        <v>44376</v>
      </c>
      <c r="B217">
        <v>4.7660000000000001E-2</v>
      </c>
      <c r="C217">
        <v>5.2909999999999999E-2</v>
      </c>
      <c r="D217">
        <v>4.7129999999999998E-2</v>
      </c>
      <c r="E217">
        <v>5.185E-2</v>
      </c>
      <c r="F217">
        <v>260788182.40000001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0.63321799307958537</v>
      </c>
      <c r="Q217">
        <f t="shared" si="960"/>
        <v>165135769.47820085</v>
      </c>
      <c r="R217">
        <f t="shared" si="961"/>
        <v>-3431618954.727335</v>
      </c>
      <c r="S217">
        <f t="shared" si="962"/>
        <v>-34316.189547273352</v>
      </c>
      <c r="T217">
        <f t="shared" si="963"/>
        <v>-34.316189547273353</v>
      </c>
    </row>
    <row r="218" spans="1:20" x14ac:dyDescent="0.25">
      <c r="A218" s="5">
        <v>44375</v>
      </c>
      <c r="B218">
        <v>4.7E-2</v>
      </c>
      <c r="C218">
        <v>4.861E-2</v>
      </c>
      <c r="D218">
        <v>4.3529999999999999E-2</v>
      </c>
      <c r="E218">
        <v>4.7660000000000001E-2</v>
      </c>
      <c r="F218">
        <v>189007300.5</v>
      </c>
      <c r="G218">
        <v>0</v>
      </c>
      <c r="L218" t="s">
        <v>7</v>
      </c>
      <c r="M218" t="s">
        <v>7</v>
      </c>
      <c r="N218" t="s">
        <v>7</v>
      </c>
      <c r="P218">
        <f t="shared" si="959"/>
        <v>0.62598425196850427</v>
      </c>
      <c r="Q218">
        <f t="shared" si="960"/>
        <v>118315593.6200788</v>
      </c>
      <c r="R218">
        <f t="shared" si="961"/>
        <v>-3596754724.2055359</v>
      </c>
      <c r="S218">
        <f t="shared" si="962"/>
        <v>-35967.547242055356</v>
      </c>
      <c r="T218">
        <f t="shared" si="963"/>
        <v>-35.967547242055353</v>
      </c>
    </row>
    <row r="219" spans="1:20" x14ac:dyDescent="0.25">
      <c r="A219" s="5">
        <v>44374</v>
      </c>
      <c r="B219">
        <v>4.8739999999999999E-2</v>
      </c>
      <c r="C219">
        <v>5.0229999999999997E-2</v>
      </c>
      <c r="D219">
        <v>4.4080000000000001E-2</v>
      </c>
      <c r="E219">
        <v>4.6989999999999997E-2</v>
      </c>
      <c r="F219">
        <v>100214339.90000001</v>
      </c>
      <c r="G219">
        <v>0</v>
      </c>
      <c r="L219" t="s">
        <v>7</v>
      </c>
      <c r="M219" t="s">
        <v>7</v>
      </c>
      <c r="N219" t="s">
        <v>7</v>
      </c>
      <c r="P219">
        <f t="shared" si="959"/>
        <v>-5.3658536585366526E-2</v>
      </c>
      <c r="Q219">
        <f t="shared" si="960"/>
        <v>-5377354.8239025064</v>
      </c>
      <c r="R219">
        <f t="shared" si="961"/>
        <v>-3715070317.8256149</v>
      </c>
      <c r="S219">
        <f t="shared" si="962"/>
        <v>-37150.703178256146</v>
      </c>
      <c r="T219">
        <f t="shared" si="963"/>
        <v>-37.150703178256144</v>
      </c>
    </row>
    <row r="220" spans="1:20" x14ac:dyDescent="0.25">
      <c r="A220" s="5">
        <v>44373</v>
      </c>
      <c r="B220">
        <v>5.0349999999999999E-2</v>
      </c>
      <c r="C220">
        <v>5.1499999999999997E-2</v>
      </c>
      <c r="D220">
        <v>4.5089999999999998E-2</v>
      </c>
      <c r="E220">
        <v>4.8750000000000002E-2</v>
      </c>
      <c r="F220">
        <v>98117527.400000006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0.14196567862714635</v>
      </c>
      <c r="Q220">
        <f t="shared" si="960"/>
        <v>13929321.362558628</v>
      </c>
      <c r="R220">
        <f t="shared" si="961"/>
        <v>-3709692963.0017123</v>
      </c>
      <c r="S220">
        <f t="shared" si="962"/>
        <v>-37096.929630017126</v>
      </c>
      <c r="T220">
        <f t="shared" si="963"/>
        <v>-37.096929630017129</v>
      </c>
    </row>
    <row r="221" spans="1:20" x14ac:dyDescent="0.25">
      <c r="A221" s="5">
        <v>44372</v>
      </c>
      <c r="B221">
        <v>5.4379999999999998E-2</v>
      </c>
      <c r="C221">
        <v>5.5190000000000003E-2</v>
      </c>
      <c r="D221">
        <v>5.0180000000000002E-2</v>
      </c>
      <c r="E221">
        <v>5.0380000000000001E-2</v>
      </c>
      <c r="F221">
        <v>78820756.299999997</v>
      </c>
      <c r="G221">
        <v>0</v>
      </c>
      <c r="L221" t="s">
        <v>8</v>
      </c>
      <c r="M221" t="s">
        <v>8</v>
      </c>
      <c r="N221" t="s">
        <v>7</v>
      </c>
      <c r="P221">
        <f t="shared" si="959"/>
        <v>-0.920159680638723</v>
      </c>
      <c r="Q221">
        <f t="shared" si="960"/>
        <v>-72527681.944710612</v>
      </c>
      <c r="R221">
        <f t="shared" si="961"/>
        <v>-3723622284.3642712</v>
      </c>
      <c r="S221">
        <f t="shared" si="962"/>
        <v>-37236.22284364271</v>
      </c>
      <c r="T221">
        <f t="shared" si="963"/>
        <v>-37.236222843642707</v>
      </c>
    </row>
    <row r="222" spans="1:20" x14ac:dyDescent="0.25">
      <c r="A222" s="5">
        <v>44371</v>
      </c>
      <c r="B222">
        <v>5.1279999999999999E-2</v>
      </c>
      <c r="C222">
        <v>5.5239999999999997E-2</v>
      </c>
      <c r="D222">
        <v>4.7940000000000003E-2</v>
      </c>
      <c r="E222">
        <v>5.4379999999999998E-2</v>
      </c>
      <c r="F222">
        <v>73993661.200000003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0.76438356164383547</v>
      </c>
      <c r="Q222">
        <f t="shared" si="960"/>
        <v>56559538.287123278</v>
      </c>
      <c r="R222">
        <f t="shared" si="961"/>
        <v>-3651094602.4195604</v>
      </c>
      <c r="S222">
        <f t="shared" si="962"/>
        <v>-36510.946024195604</v>
      </c>
      <c r="T222">
        <f t="shared" si="963"/>
        <v>-36.510946024195604</v>
      </c>
    </row>
    <row r="223" spans="1:20" x14ac:dyDescent="0.25">
      <c r="A223" s="5">
        <v>44370</v>
      </c>
      <c r="B223">
        <v>4.7699999999999999E-2</v>
      </c>
      <c r="C223">
        <v>5.5410000000000001E-2</v>
      </c>
      <c r="D223">
        <v>4.6030000000000001E-2</v>
      </c>
      <c r="E223">
        <v>5.1279999999999999E-2</v>
      </c>
      <c r="F223">
        <v>83615460.400000006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0.11940298507462645</v>
      </c>
      <c r="Q223">
        <f t="shared" si="960"/>
        <v>9983935.5701492187</v>
      </c>
      <c r="R223">
        <f t="shared" si="961"/>
        <v>-3707654140.7066836</v>
      </c>
      <c r="S223">
        <f t="shared" si="962"/>
        <v>-37076.541407066834</v>
      </c>
      <c r="T223">
        <f t="shared" si="963"/>
        <v>-37.076541407066834</v>
      </c>
    </row>
    <row r="224" spans="1:20" x14ac:dyDescent="0.25">
      <c r="A224" s="5">
        <v>44369</v>
      </c>
      <c r="B224">
        <v>4.9689999999999998E-2</v>
      </c>
      <c r="C224">
        <v>5.8560000000000001E-2</v>
      </c>
      <c r="D224">
        <v>4.2009999999999999E-2</v>
      </c>
      <c r="E224">
        <v>4.7669999999999997E-2</v>
      </c>
      <c r="F224">
        <v>54673802.200000003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-0.3160120845921453</v>
      </c>
      <c r="Q224">
        <f t="shared" si="960"/>
        <v>-17277582.205800623</v>
      </c>
      <c r="R224">
        <f t="shared" si="961"/>
        <v>-3717638076.2768331</v>
      </c>
      <c r="S224">
        <f t="shared" si="962"/>
        <v>-37176.380762768327</v>
      </c>
      <c r="T224">
        <f t="shared" si="963"/>
        <v>-37.176380762768325</v>
      </c>
    </row>
    <row r="225" spans="1:20" x14ac:dyDescent="0.25">
      <c r="A225" s="5">
        <v>44368</v>
      </c>
      <c r="B225">
        <v>6.5740000000000007E-2</v>
      </c>
      <c r="C225">
        <v>6.6000000000000003E-2</v>
      </c>
      <c r="D225">
        <v>4.9320000000000003E-2</v>
      </c>
      <c r="E225">
        <v>4.9689999999999998E-2</v>
      </c>
      <c r="F225">
        <v>28145241.5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-0.95563549160671524</v>
      </c>
      <c r="Q225">
        <f t="shared" si="960"/>
        <v>-26896591.697242223</v>
      </c>
      <c r="R225">
        <f t="shared" si="961"/>
        <v>-3700360494.0710325</v>
      </c>
      <c r="S225">
        <f t="shared" si="962"/>
        <v>-37003.604940710327</v>
      </c>
      <c r="T225">
        <f t="shared" si="963"/>
        <v>-37.003604940710325</v>
      </c>
    </row>
    <row r="226" spans="1:20" x14ac:dyDescent="0.25">
      <c r="A226" s="5">
        <v>44367</v>
      </c>
      <c r="B226">
        <v>6.4350000000000004E-2</v>
      </c>
      <c r="C226">
        <v>6.5740000000000007E-2</v>
      </c>
      <c r="D226">
        <v>5.8020000000000002E-2</v>
      </c>
      <c r="E226">
        <v>6.5740000000000007E-2</v>
      </c>
      <c r="F226">
        <v>21644019.100000001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1</v>
      </c>
      <c r="Q226">
        <f t="shared" si="960"/>
        <v>21644019.100000001</v>
      </c>
      <c r="R226">
        <f t="shared" si="961"/>
        <v>-3673463902.3737903</v>
      </c>
      <c r="S226">
        <f t="shared" si="962"/>
        <v>-36734.639023737902</v>
      </c>
      <c r="T226">
        <f t="shared" si="963"/>
        <v>-36.734639023737898</v>
      </c>
    </row>
    <row r="227" spans="1:20" x14ac:dyDescent="0.25">
      <c r="A227" s="5">
        <v>44366</v>
      </c>
      <c r="B227">
        <v>6.5140000000000003E-2</v>
      </c>
      <c r="C227">
        <v>6.8970000000000004E-2</v>
      </c>
      <c r="D227">
        <v>6.3820000000000002E-2</v>
      </c>
      <c r="E227">
        <v>6.4320000000000002E-2</v>
      </c>
      <c r="F227">
        <v>31718001.899999999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-0.80582524271844647</v>
      </c>
      <c r="Q227">
        <f t="shared" si="960"/>
        <v>-25559166.579611644</v>
      </c>
      <c r="R227">
        <f t="shared" si="961"/>
        <v>-3695107921.4737902</v>
      </c>
      <c r="S227">
        <f t="shared" si="962"/>
        <v>-36951.079214737903</v>
      </c>
      <c r="T227">
        <f t="shared" si="963"/>
        <v>-36.951079214737902</v>
      </c>
    </row>
    <row r="228" spans="1:20" x14ac:dyDescent="0.25">
      <c r="A228" s="5">
        <v>44365</v>
      </c>
      <c r="B228">
        <v>7.1940000000000004E-2</v>
      </c>
      <c r="C228">
        <v>7.3679999999999995E-2</v>
      </c>
      <c r="D228">
        <v>6.3299999999999995E-2</v>
      </c>
      <c r="E228">
        <v>6.5240000000000006E-2</v>
      </c>
      <c r="F228">
        <v>72294367.799999997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-0.62620423892099975</v>
      </c>
      <c r="Q228">
        <f t="shared" si="960"/>
        <v>-45271039.566473827</v>
      </c>
      <c r="R228">
        <f t="shared" si="961"/>
        <v>-3669548754.8941784</v>
      </c>
      <c r="S228">
        <f t="shared" si="962"/>
        <v>-36695.487548941783</v>
      </c>
      <c r="T228">
        <f t="shared" si="963"/>
        <v>-36.695487548941784</v>
      </c>
    </row>
    <row r="229" spans="1:20" x14ac:dyDescent="0.25">
      <c r="A229" s="5">
        <v>44364</v>
      </c>
      <c r="B229">
        <v>7.4359999999999996E-2</v>
      </c>
      <c r="C229">
        <v>7.8E-2</v>
      </c>
      <c r="D229">
        <v>7.0650000000000004E-2</v>
      </c>
      <c r="E229">
        <v>7.1910000000000002E-2</v>
      </c>
      <c r="F229">
        <v>36709939.600000001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-0.65714285714285769</v>
      </c>
      <c r="Q229">
        <f t="shared" si="960"/>
        <v>-24123674.594285734</v>
      </c>
      <c r="R229">
        <f t="shared" si="961"/>
        <v>-3624277715.3277044</v>
      </c>
      <c r="S229">
        <f t="shared" si="962"/>
        <v>-36242.777153277042</v>
      </c>
      <c r="T229">
        <f t="shared" si="963"/>
        <v>-36.242777153277039</v>
      </c>
    </row>
    <row r="230" spans="1:20" x14ac:dyDescent="0.25">
      <c r="A230" s="5">
        <v>44363</v>
      </c>
      <c r="B230">
        <v>8.3650000000000002E-2</v>
      </c>
      <c r="C230">
        <v>8.4150000000000003E-2</v>
      </c>
      <c r="D230">
        <v>7.3630000000000001E-2</v>
      </c>
      <c r="E230">
        <v>7.4319999999999997E-2</v>
      </c>
      <c r="F230">
        <v>41875366.399999999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-0.86882129277566611</v>
      </c>
      <c r="Q230">
        <f t="shared" si="960"/>
        <v>-36382209.971102692</v>
      </c>
      <c r="R230">
        <f t="shared" si="961"/>
        <v>-3600154040.7334185</v>
      </c>
      <c r="S230">
        <f t="shared" si="962"/>
        <v>-36001.540407334185</v>
      </c>
      <c r="T230">
        <f t="shared" si="963"/>
        <v>-36.001540407334183</v>
      </c>
    </row>
    <row r="231" spans="1:20" x14ac:dyDescent="0.25">
      <c r="A231" s="5">
        <v>44362</v>
      </c>
      <c r="B231">
        <v>8.3970000000000003E-2</v>
      </c>
      <c r="C231">
        <v>8.6819999999999994E-2</v>
      </c>
      <c r="D231">
        <v>7.9649999999999999E-2</v>
      </c>
      <c r="E231">
        <v>8.3769999999999997E-2</v>
      </c>
      <c r="F231">
        <v>32422750.600000001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0.1492329149232918</v>
      </c>
      <c r="Q231">
        <f t="shared" si="960"/>
        <v>4838541.5818689084</v>
      </c>
      <c r="R231">
        <f t="shared" si="961"/>
        <v>-3563771830.7623158</v>
      </c>
      <c r="S231">
        <f t="shared" si="962"/>
        <v>-35637.718307623159</v>
      </c>
      <c r="T231">
        <f t="shared" si="963"/>
        <v>-35.63771830762316</v>
      </c>
    </row>
    <row r="232" spans="1:20" x14ac:dyDescent="0.25">
      <c r="A232" s="5">
        <v>44361</v>
      </c>
      <c r="B232">
        <v>8.2650000000000001E-2</v>
      </c>
      <c r="C232">
        <v>8.6019999999999999E-2</v>
      </c>
      <c r="D232">
        <v>7.7770000000000006E-2</v>
      </c>
      <c r="E232">
        <v>8.3949999999999997E-2</v>
      </c>
      <c r="F232">
        <v>48828339.600000001</v>
      </c>
      <c r="G232">
        <v>0</v>
      </c>
      <c r="L232" t="s">
        <v>7</v>
      </c>
      <c r="M232" t="s">
        <v>7</v>
      </c>
      <c r="N232" t="s">
        <v>7</v>
      </c>
      <c r="P232">
        <f t="shared" si="959"/>
        <v>0.49818181818181723</v>
      </c>
      <c r="Q232">
        <f t="shared" si="960"/>
        <v>24325391.000727225</v>
      </c>
      <c r="R232">
        <f t="shared" si="961"/>
        <v>-3568610372.3441849</v>
      </c>
      <c r="S232">
        <f t="shared" si="962"/>
        <v>-35686.103723441847</v>
      </c>
      <c r="T232">
        <f t="shared" si="963"/>
        <v>-35.686103723441846</v>
      </c>
    </row>
    <row r="233" spans="1:20" x14ac:dyDescent="0.25">
      <c r="A233" s="5">
        <v>44360</v>
      </c>
      <c r="B233">
        <v>7.8740000000000004E-2</v>
      </c>
      <c r="C233">
        <v>8.6730000000000002E-2</v>
      </c>
      <c r="D233">
        <v>7.5579999999999994E-2</v>
      </c>
      <c r="E233">
        <v>8.2720000000000002E-2</v>
      </c>
      <c r="F233">
        <v>28633748.100000001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0.28071748878923819</v>
      </c>
      <c r="Q233">
        <f t="shared" si="960"/>
        <v>8037993.8612556206</v>
      </c>
      <c r="R233">
        <f t="shared" si="961"/>
        <v>-3592935763.3449121</v>
      </c>
      <c r="S233">
        <f t="shared" si="962"/>
        <v>-35929.357633449123</v>
      </c>
      <c r="T233">
        <f t="shared" si="963"/>
        <v>-35.929357633449122</v>
      </c>
    </row>
    <row r="234" spans="1:20" x14ac:dyDescent="0.25">
      <c r="A234" s="5">
        <v>44359</v>
      </c>
      <c r="B234">
        <v>7.8009999999999996E-2</v>
      </c>
      <c r="C234">
        <v>8.1199999999999994E-2</v>
      </c>
      <c r="D234">
        <v>7.1999999999999995E-2</v>
      </c>
      <c r="E234">
        <v>7.8539999999999999E-2</v>
      </c>
      <c r="F234">
        <v>30128352.399999999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0.42173913043478356</v>
      </c>
      <c r="Q234">
        <f t="shared" si="960"/>
        <v>12706305.142608725</v>
      </c>
      <c r="R234">
        <f t="shared" si="961"/>
        <v>-3600973757.2061677</v>
      </c>
      <c r="S234">
        <f t="shared" si="962"/>
        <v>-36009.737572061676</v>
      </c>
      <c r="T234">
        <f t="shared" si="963"/>
        <v>-36.009737572061674</v>
      </c>
    </row>
    <row r="235" spans="1:20" x14ac:dyDescent="0.25">
      <c r="A235" s="5">
        <v>44358</v>
      </c>
      <c r="B235">
        <v>9.1679999999999998E-2</v>
      </c>
      <c r="C235">
        <v>9.264E-2</v>
      </c>
      <c r="D235">
        <v>7.6439999999999994E-2</v>
      </c>
      <c r="E235">
        <v>7.8E-2</v>
      </c>
      <c r="F235">
        <v>43214599.299999997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-0.8074074074074068</v>
      </c>
      <c r="Q235">
        <f t="shared" si="960"/>
        <v>-34891787.582962938</v>
      </c>
      <c r="R235">
        <f t="shared" si="961"/>
        <v>-3613680062.3487763</v>
      </c>
      <c r="S235">
        <f t="shared" si="962"/>
        <v>-36136.800623487761</v>
      </c>
      <c r="T235">
        <f t="shared" si="963"/>
        <v>-36.136800623487758</v>
      </c>
    </row>
    <row r="236" spans="1:20" x14ac:dyDescent="0.25">
      <c r="A236" s="5">
        <v>44357</v>
      </c>
      <c r="B236">
        <v>0.10281999999999999</v>
      </c>
      <c r="C236">
        <v>0.10321</v>
      </c>
      <c r="D236">
        <v>8.8209999999999997E-2</v>
      </c>
      <c r="E236">
        <v>9.2160000000000006E-2</v>
      </c>
      <c r="F236">
        <v>84247524.099999994</v>
      </c>
      <c r="G236">
        <v>0</v>
      </c>
      <c r="L236" t="s">
        <v>7</v>
      </c>
      <c r="M236" t="s">
        <v>7</v>
      </c>
      <c r="N236" t="s">
        <v>8</v>
      </c>
      <c r="P236">
        <f t="shared" si="959"/>
        <v>-0.47333333333333211</v>
      </c>
      <c r="Q236">
        <f t="shared" si="960"/>
        <v>-39877161.407333225</v>
      </c>
      <c r="R236">
        <f t="shared" si="961"/>
        <v>-3578788274.7658134</v>
      </c>
      <c r="S236">
        <f t="shared" si="962"/>
        <v>-35787.882747658135</v>
      </c>
      <c r="T236">
        <f t="shared" si="963"/>
        <v>-35.787882747658138</v>
      </c>
    </row>
    <row r="237" spans="1:20" x14ac:dyDescent="0.25">
      <c r="A237" s="5">
        <v>44356</v>
      </c>
      <c r="B237">
        <v>8.2210000000000005E-2</v>
      </c>
      <c r="C237">
        <v>0.12239999999999999</v>
      </c>
      <c r="D237">
        <v>7.8990000000000005E-2</v>
      </c>
      <c r="E237">
        <v>0.10281</v>
      </c>
      <c r="F237">
        <v>242847315.09999999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9.7442985487214889E-2</v>
      </c>
      <c r="Q237">
        <f t="shared" si="960"/>
        <v>23663767.400898401</v>
      </c>
      <c r="R237">
        <f t="shared" si="961"/>
        <v>-3538911113.35848</v>
      </c>
      <c r="S237">
        <f t="shared" si="962"/>
        <v>-35389.111133584796</v>
      </c>
      <c r="T237">
        <f t="shared" si="963"/>
        <v>-35.389111133584798</v>
      </c>
    </row>
    <row r="238" spans="1:20" x14ac:dyDescent="0.25">
      <c r="A238" s="5">
        <v>44355</v>
      </c>
      <c r="B238">
        <v>7.8939999999999996E-2</v>
      </c>
      <c r="C238">
        <v>9.6000000000000002E-2</v>
      </c>
      <c r="D238">
        <v>7.1470000000000006E-2</v>
      </c>
      <c r="E238">
        <v>8.2210000000000005E-2</v>
      </c>
      <c r="F238">
        <v>72726917.299999997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-0.12433754586220944</v>
      </c>
      <c r="Q238">
        <f t="shared" si="960"/>
        <v>-9042686.4152058624</v>
      </c>
      <c r="R238">
        <f t="shared" si="961"/>
        <v>-3562574880.7593784</v>
      </c>
      <c r="S238">
        <f t="shared" si="962"/>
        <v>-35625.748807593787</v>
      </c>
      <c r="T238">
        <f t="shared" si="963"/>
        <v>-35.625748807593787</v>
      </c>
    </row>
    <row r="239" spans="1:20" x14ac:dyDescent="0.25">
      <c r="A239" s="5">
        <v>44354</v>
      </c>
      <c r="B239">
        <v>8.8160000000000002E-2</v>
      </c>
      <c r="C239">
        <v>9.2030000000000001E-2</v>
      </c>
      <c r="D239">
        <v>7.8E-2</v>
      </c>
      <c r="E239">
        <v>7.8549999999999995E-2</v>
      </c>
      <c r="F239">
        <v>23446347.699999999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-0.92159657875980117</v>
      </c>
      <c r="Q239">
        <f t="shared" si="960"/>
        <v>-21608073.824732732</v>
      </c>
      <c r="R239">
        <f t="shared" si="961"/>
        <v>-3553532194.3441725</v>
      </c>
      <c r="S239">
        <f t="shared" si="962"/>
        <v>-35535.321943441726</v>
      </c>
      <c r="T239">
        <f t="shared" si="963"/>
        <v>-35.535321943441723</v>
      </c>
    </row>
    <row r="240" spans="1:20" x14ac:dyDescent="0.25">
      <c r="A240" s="5">
        <v>44353</v>
      </c>
      <c r="B240">
        <v>8.1280000000000005E-2</v>
      </c>
      <c r="C240">
        <v>9.8000000000000004E-2</v>
      </c>
      <c r="D240">
        <v>8.1079999999999999E-2</v>
      </c>
      <c r="E240">
        <v>8.8260000000000005E-2</v>
      </c>
      <c r="F240">
        <v>71695660.400000006</v>
      </c>
      <c r="G240">
        <v>0</v>
      </c>
      <c r="L240" t="s">
        <v>8</v>
      </c>
      <c r="M240" t="s">
        <v>8</v>
      </c>
      <c r="N240" t="s">
        <v>7</v>
      </c>
      <c r="P240">
        <f t="shared" si="959"/>
        <v>-0.15130023640661891</v>
      </c>
      <c r="Q240">
        <f t="shared" si="960"/>
        <v>-10847570.367848666</v>
      </c>
      <c r="R240">
        <f t="shared" si="961"/>
        <v>-3531924120.5194397</v>
      </c>
      <c r="S240">
        <f t="shared" si="962"/>
        <v>-35319.241205194397</v>
      </c>
      <c r="T240">
        <f t="shared" si="963"/>
        <v>-35.319241205194395</v>
      </c>
    </row>
    <row r="241" spans="1:20" x14ac:dyDescent="0.25">
      <c r="A241" s="5">
        <v>44352</v>
      </c>
      <c r="B241">
        <v>8.8889999999999997E-2</v>
      </c>
      <c r="C241">
        <v>9.2840000000000006E-2</v>
      </c>
      <c r="D241">
        <v>7.893E-2</v>
      </c>
      <c r="E241">
        <v>8.1269999999999995E-2</v>
      </c>
      <c r="F241">
        <v>28168867.899999999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-0.66355140186915973</v>
      </c>
      <c r="Q241">
        <f t="shared" si="960"/>
        <v>-18691491.784112174</v>
      </c>
      <c r="R241">
        <f t="shared" si="961"/>
        <v>-3521076550.1515908</v>
      </c>
      <c r="S241">
        <f t="shared" si="962"/>
        <v>-35210.765501515911</v>
      </c>
      <c r="T241">
        <f t="shared" si="963"/>
        <v>-35.210765501515908</v>
      </c>
    </row>
    <row r="242" spans="1:20" x14ac:dyDescent="0.25">
      <c r="A242" s="5">
        <v>44351</v>
      </c>
      <c r="B242">
        <v>9.8540000000000003E-2</v>
      </c>
      <c r="C242">
        <v>9.8540000000000003E-2</v>
      </c>
      <c r="D242">
        <v>8.3400000000000002E-2</v>
      </c>
      <c r="E242">
        <v>8.9590000000000003E-2</v>
      </c>
      <c r="F242">
        <v>33597394.299999997</v>
      </c>
      <c r="G242">
        <v>0</v>
      </c>
      <c r="L242" t="s">
        <v>7</v>
      </c>
      <c r="M242" t="s">
        <v>8</v>
      </c>
      <c r="N242" t="s">
        <v>7</v>
      </c>
      <c r="P242">
        <f t="shared" si="959"/>
        <v>-0.1822985468956406</v>
      </c>
      <c r="Q242">
        <f t="shared" si="960"/>
        <v>-6124756.1603698777</v>
      </c>
      <c r="R242">
        <f t="shared" si="961"/>
        <v>-3502385058.3674788</v>
      </c>
      <c r="S242">
        <f t="shared" si="962"/>
        <v>-35023.850583674786</v>
      </c>
      <c r="T242">
        <f t="shared" si="963"/>
        <v>-35.023850583674786</v>
      </c>
    </row>
    <row r="243" spans="1:20" x14ac:dyDescent="0.25">
      <c r="A243" s="5">
        <v>44350</v>
      </c>
      <c r="B243">
        <v>9.1619999999999993E-2</v>
      </c>
      <c r="C243">
        <v>0.10041</v>
      </c>
      <c r="D243">
        <v>9.0190000000000006E-2</v>
      </c>
      <c r="E243">
        <v>9.8549999999999999E-2</v>
      </c>
      <c r="F243">
        <v>21723093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0.63600782778864939</v>
      </c>
      <c r="Q243">
        <f t="shared" si="960"/>
        <v>13816057.191780815</v>
      </c>
      <c r="R243">
        <f t="shared" si="961"/>
        <v>-3496260302.207109</v>
      </c>
      <c r="S243">
        <f t="shared" si="962"/>
        <v>-34962.603022071089</v>
      </c>
      <c r="T243">
        <f t="shared" si="963"/>
        <v>-34.962603022071086</v>
      </c>
    </row>
    <row r="244" spans="1:20" x14ac:dyDescent="0.25">
      <c r="A244" s="5">
        <v>44349</v>
      </c>
      <c r="B244">
        <v>9.1130000000000003E-2</v>
      </c>
      <c r="C244">
        <v>9.529E-2</v>
      </c>
      <c r="D244">
        <v>8.931E-2</v>
      </c>
      <c r="E244">
        <v>9.1630000000000003E-2</v>
      </c>
      <c r="F244">
        <v>21508210.300000001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-0.22408026755852745</v>
      </c>
      <c r="Q244">
        <f t="shared" si="960"/>
        <v>-4819565.5187290758</v>
      </c>
      <c r="R244">
        <f t="shared" si="961"/>
        <v>-3510076359.39889</v>
      </c>
      <c r="S244">
        <f t="shared" si="962"/>
        <v>-35100.763593988901</v>
      </c>
      <c r="T244">
        <f t="shared" si="963"/>
        <v>-35.100763593988901</v>
      </c>
    </row>
    <row r="245" spans="1:20" x14ac:dyDescent="0.25">
      <c r="A245" s="5">
        <v>44348</v>
      </c>
      <c r="B245">
        <v>9.4E-2</v>
      </c>
      <c r="C245">
        <v>9.7360000000000002E-2</v>
      </c>
      <c r="D245">
        <v>8.8499999999999995E-2</v>
      </c>
      <c r="E245">
        <v>9.1120000000000007E-2</v>
      </c>
      <c r="F245">
        <v>20165485.399999999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-0.40857787810383539</v>
      </c>
      <c r="Q245">
        <f t="shared" si="960"/>
        <v>-8239171.2356658718</v>
      </c>
      <c r="R245">
        <f t="shared" si="961"/>
        <v>-3505256793.8801608</v>
      </c>
      <c r="S245">
        <f t="shared" si="962"/>
        <v>-35052.567938801607</v>
      </c>
      <c r="T245">
        <f t="shared" si="963"/>
        <v>-35.052567938801609</v>
      </c>
    </row>
    <row r="246" spans="1:20" x14ac:dyDescent="0.25">
      <c r="A246" s="5">
        <v>44347</v>
      </c>
      <c r="B246">
        <v>8.8900000000000007E-2</v>
      </c>
      <c r="C246">
        <v>9.5000000000000001E-2</v>
      </c>
      <c r="D246">
        <v>8.1490000000000007E-2</v>
      </c>
      <c r="E246">
        <v>9.4549999999999995E-2</v>
      </c>
      <c r="F246">
        <v>17236033.199999999</v>
      </c>
      <c r="G246">
        <v>0</v>
      </c>
      <c r="L246" t="s">
        <v>8</v>
      </c>
      <c r="M246" t="s">
        <v>7</v>
      </c>
      <c r="N246" t="s">
        <v>7</v>
      </c>
      <c r="P246">
        <f t="shared" si="959"/>
        <v>0.9333826794966682</v>
      </c>
      <c r="Q246">
        <f t="shared" si="960"/>
        <v>16087814.852109531</v>
      </c>
      <c r="R246">
        <f t="shared" si="961"/>
        <v>-3497017622.644495</v>
      </c>
      <c r="S246">
        <f t="shared" si="962"/>
        <v>-34970.17622644495</v>
      </c>
      <c r="T246">
        <f t="shared" si="963"/>
        <v>-34.970176226444948</v>
      </c>
    </row>
    <row r="247" spans="1:20" x14ac:dyDescent="0.25">
      <c r="A247" s="5">
        <v>44346</v>
      </c>
      <c r="B247">
        <v>8.591E-2</v>
      </c>
      <c r="C247">
        <v>9.0719999999999995E-2</v>
      </c>
      <c r="D247">
        <v>8.0659999999999996E-2</v>
      </c>
      <c r="E247">
        <v>8.8900000000000007E-2</v>
      </c>
      <c r="F247">
        <v>11806506.300000001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0.63817097415507185</v>
      </c>
      <c r="Q247">
        <f t="shared" si="960"/>
        <v>7534569.6268389933</v>
      </c>
      <c r="R247">
        <f t="shared" si="961"/>
        <v>-3513105437.4966044</v>
      </c>
      <c r="S247">
        <f t="shared" si="962"/>
        <v>-35131.054374966043</v>
      </c>
      <c r="T247">
        <f t="shared" si="963"/>
        <v>-35.131054374966041</v>
      </c>
    </row>
    <row r="248" spans="1:20" x14ac:dyDescent="0.25">
      <c r="A248" s="5">
        <v>44345</v>
      </c>
      <c r="B248">
        <v>9.4719999999999999E-2</v>
      </c>
      <c r="C248">
        <v>9.7509999999999999E-2</v>
      </c>
      <c r="D248">
        <v>8.1229999999999997E-2</v>
      </c>
      <c r="E248">
        <v>8.5569999999999993E-2</v>
      </c>
      <c r="F248">
        <v>18717926.100000001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-0.46683046683046736</v>
      </c>
      <c r="Q248">
        <f t="shared" si="960"/>
        <v>-8738098.1793611906</v>
      </c>
      <c r="R248">
        <f t="shared" si="961"/>
        <v>-3520640007.1234436</v>
      </c>
      <c r="S248">
        <f t="shared" si="962"/>
        <v>-35206.400071234435</v>
      </c>
      <c r="T248">
        <f t="shared" si="963"/>
        <v>-35.206400071234434</v>
      </c>
    </row>
    <row r="249" spans="1:20" x14ac:dyDescent="0.25">
      <c r="A249" s="5">
        <v>44344</v>
      </c>
      <c r="B249">
        <v>0.10376000000000001</v>
      </c>
      <c r="C249">
        <v>0.10928</v>
      </c>
      <c r="D249">
        <v>8.7650000000000006E-2</v>
      </c>
      <c r="E249">
        <v>9.4420000000000004E-2</v>
      </c>
      <c r="F249">
        <v>36408379.5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-0.37401756819232551</v>
      </c>
      <c r="Q249">
        <f t="shared" si="960"/>
        <v>-13617373.562413316</v>
      </c>
      <c r="R249">
        <f t="shared" si="961"/>
        <v>-3511901908.9440823</v>
      </c>
      <c r="S249">
        <f t="shared" si="962"/>
        <v>-35119.019089440822</v>
      </c>
      <c r="T249">
        <f t="shared" si="963"/>
        <v>-35.119019089440819</v>
      </c>
    </row>
    <row r="250" spans="1:20" x14ac:dyDescent="0.25">
      <c r="A250" s="5">
        <v>44343</v>
      </c>
      <c r="B250">
        <v>0.10823000000000001</v>
      </c>
      <c r="C250">
        <v>0.10831</v>
      </c>
      <c r="D250">
        <v>9.6070000000000003E-2</v>
      </c>
      <c r="E250">
        <v>0.10356</v>
      </c>
      <c r="F250">
        <v>31951444.5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0.22385620915032617</v>
      </c>
      <c r="Q250">
        <f t="shared" si="960"/>
        <v>7152529.2426470388</v>
      </c>
      <c r="R250">
        <f t="shared" si="961"/>
        <v>-3498284535.381669</v>
      </c>
      <c r="S250">
        <f t="shared" si="962"/>
        <v>-34982.845353816687</v>
      </c>
      <c r="T250">
        <f t="shared" si="963"/>
        <v>-34.982845353816685</v>
      </c>
    </row>
    <row r="251" spans="1:20" x14ac:dyDescent="0.25">
      <c r="A251" s="5">
        <v>44342</v>
      </c>
      <c r="B251">
        <v>9.9659999999999999E-2</v>
      </c>
      <c r="C251">
        <v>0.1119</v>
      </c>
      <c r="D251">
        <v>9.6420000000000006E-2</v>
      </c>
      <c r="E251">
        <v>0.10795</v>
      </c>
      <c r="F251">
        <v>47666941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0.48966408268733891</v>
      </c>
      <c r="Q251">
        <f t="shared" si="960"/>
        <v>23340788.939276505</v>
      </c>
      <c r="R251">
        <f t="shared" si="961"/>
        <v>-3505437064.6243162</v>
      </c>
      <c r="S251">
        <f t="shared" si="962"/>
        <v>-35054.370646243166</v>
      </c>
      <c r="T251">
        <f t="shared" si="963"/>
        <v>-35.054370646243164</v>
      </c>
    </row>
    <row r="252" spans="1:20" x14ac:dyDescent="0.25">
      <c r="A252" s="5">
        <v>44341</v>
      </c>
      <c r="B252">
        <v>0.10289</v>
      </c>
      <c r="C252">
        <v>0.10851</v>
      </c>
      <c r="D252">
        <v>9.0950000000000003E-2</v>
      </c>
      <c r="E252">
        <v>9.9559999999999996E-2</v>
      </c>
      <c r="F252">
        <v>59269222.399999999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-1.9362186788155301E-2</v>
      </c>
      <c r="Q252">
        <f t="shared" si="960"/>
        <v>-1147581.7548975183</v>
      </c>
      <c r="R252">
        <f t="shared" si="961"/>
        <v>-3528777853.5635929</v>
      </c>
      <c r="S252">
        <f t="shared" si="962"/>
        <v>-35287.778535635931</v>
      </c>
      <c r="T252">
        <f t="shared" si="963"/>
        <v>-35.28777853563593</v>
      </c>
    </row>
    <row r="253" spans="1:20" x14ac:dyDescent="0.25">
      <c r="A253" s="5">
        <v>44340</v>
      </c>
      <c r="B253">
        <v>8.3140000000000006E-2</v>
      </c>
      <c r="C253">
        <v>0.10466</v>
      </c>
      <c r="D253">
        <v>7.9159999999999994E-2</v>
      </c>
      <c r="E253">
        <v>0.10283</v>
      </c>
      <c r="F253">
        <v>42455071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0.85647058823529432</v>
      </c>
      <c r="Q253">
        <f t="shared" si="960"/>
        <v>36361519.632941186</v>
      </c>
      <c r="R253">
        <f t="shared" si="961"/>
        <v>-3527630271.8086953</v>
      </c>
      <c r="S253">
        <f t="shared" si="962"/>
        <v>-35276.302718086954</v>
      </c>
      <c r="T253">
        <f t="shared" si="963"/>
        <v>-35.276302718086953</v>
      </c>
    </row>
    <row r="254" spans="1:20" x14ac:dyDescent="0.25">
      <c r="A254" s="5">
        <v>44339</v>
      </c>
      <c r="B254">
        <v>0.10145999999999999</v>
      </c>
      <c r="C254">
        <v>0.1041</v>
      </c>
      <c r="D254">
        <v>6.8180000000000004E-2</v>
      </c>
      <c r="E254">
        <v>8.3129999999999996E-2</v>
      </c>
      <c r="F254">
        <v>54420492.899999999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-0.16759465478841906</v>
      </c>
      <c r="Q254">
        <f t="shared" si="960"/>
        <v>-9120583.7209911104</v>
      </c>
      <c r="R254">
        <f t="shared" si="961"/>
        <v>-3563991791.4416366</v>
      </c>
      <c r="S254">
        <f t="shared" si="962"/>
        <v>-35639.917914416365</v>
      </c>
      <c r="T254">
        <f t="shared" si="963"/>
        <v>-35.639917914416365</v>
      </c>
    </row>
    <row r="255" spans="1:20" x14ac:dyDescent="0.25">
      <c r="A255" s="5">
        <v>44338</v>
      </c>
      <c r="B255">
        <v>0.10700999999999999</v>
      </c>
      <c r="C255">
        <v>0.10829999999999999</v>
      </c>
      <c r="D255">
        <v>9.0270000000000003E-2</v>
      </c>
      <c r="E255">
        <v>0.10145999999999999</v>
      </c>
      <c r="F255">
        <v>38636223.100000001</v>
      </c>
      <c r="G255">
        <v>0</v>
      </c>
      <c r="L255" t="s">
        <v>7</v>
      </c>
      <c r="M255" t="s">
        <v>8</v>
      </c>
      <c r="N255" t="s">
        <v>7</v>
      </c>
      <c r="P255">
        <f t="shared" si="959"/>
        <v>0.24126455906821936</v>
      </c>
      <c r="Q255">
        <f t="shared" si="960"/>
        <v>9321551.3302828521</v>
      </c>
      <c r="R255">
        <f t="shared" si="961"/>
        <v>-3554871207.7206454</v>
      </c>
      <c r="S255">
        <f t="shared" si="962"/>
        <v>-35548.712077206452</v>
      </c>
      <c r="T255">
        <f t="shared" si="963"/>
        <v>-35.548712077206453</v>
      </c>
    </row>
    <row r="256" spans="1:20" x14ac:dyDescent="0.25">
      <c r="A256" s="5">
        <v>44337</v>
      </c>
      <c r="B256">
        <v>0.13149</v>
      </c>
      <c r="C256">
        <v>0.1333</v>
      </c>
      <c r="D256">
        <v>9.1109999999999997E-2</v>
      </c>
      <c r="E256">
        <v>0.10700999999999999</v>
      </c>
      <c r="F256">
        <v>64397412.200000003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-0.24626688788812537</v>
      </c>
      <c r="Q256">
        <f t="shared" si="960"/>
        <v>-15858950.290542798</v>
      </c>
      <c r="R256">
        <f t="shared" si="961"/>
        <v>-3564192759.0509281</v>
      </c>
      <c r="S256">
        <f t="shared" si="962"/>
        <v>-35641.92759050928</v>
      </c>
      <c r="T256">
        <f t="shared" si="963"/>
        <v>-35.641927590509283</v>
      </c>
    </row>
    <row r="257" spans="1:20" x14ac:dyDescent="0.25">
      <c r="A257" s="5">
        <v>44336</v>
      </c>
      <c r="B257">
        <v>0.10065</v>
      </c>
      <c r="C257">
        <v>0.14455000000000001</v>
      </c>
      <c r="D257">
        <v>8.7080000000000005E-2</v>
      </c>
      <c r="E257">
        <v>0.13200000000000001</v>
      </c>
      <c r="F257">
        <v>92708782.900000006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0.563250391508613</v>
      </c>
      <c r="Q257">
        <f t="shared" si="960"/>
        <v>52218258.264712013</v>
      </c>
      <c r="R257">
        <f t="shared" si="961"/>
        <v>-3548333808.7603855</v>
      </c>
      <c r="S257">
        <f t="shared" si="962"/>
        <v>-35483.338087603857</v>
      </c>
      <c r="T257">
        <f t="shared" si="963"/>
        <v>-35.483338087603855</v>
      </c>
    </row>
    <row r="258" spans="1:20" x14ac:dyDescent="0.25">
      <c r="A258" s="5">
        <v>44335</v>
      </c>
      <c r="B258">
        <v>0.15798000000000001</v>
      </c>
      <c r="C258">
        <v>0.15952</v>
      </c>
      <c r="D258">
        <v>7.9990000000000006E-2</v>
      </c>
      <c r="E258">
        <v>0.10016</v>
      </c>
      <c r="F258">
        <v>93776492.900000006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-0.49277002389035596</v>
      </c>
      <c r="Q258">
        <f t="shared" si="960"/>
        <v>-46210244.6466868</v>
      </c>
      <c r="R258">
        <f t="shared" si="961"/>
        <v>-3600552067.0250974</v>
      </c>
      <c r="S258">
        <f t="shared" si="962"/>
        <v>-36005.520670250975</v>
      </c>
      <c r="T258">
        <f t="shared" si="963"/>
        <v>-36.005520670250974</v>
      </c>
    </row>
    <row r="259" spans="1:20" x14ac:dyDescent="0.25">
      <c r="A259" s="5">
        <v>44334</v>
      </c>
      <c r="B259">
        <v>0.16058</v>
      </c>
      <c r="C259">
        <v>0.17091999999999999</v>
      </c>
      <c r="D259">
        <v>0.152</v>
      </c>
      <c r="E259">
        <v>0.15756000000000001</v>
      </c>
      <c r="F259">
        <v>28954625.800000001</v>
      </c>
      <c r="G259">
        <v>0</v>
      </c>
      <c r="L259" t="s">
        <v>8</v>
      </c>
      <c r="M259" t="s">
        <v>7</v>
      </c>
      <c r="N259" t="s">
        <v>8</v>
      </c>
      <c r="P259">
        <f t="shared" si="959"/>
        <v>-0.41226215644820174</v>
      </c>
      <c r="Q259">
        <f t="shared" si="960"/>
        <v>-11936896.471458739</v>
      </c>
      <c r="R259">
        <f t="shared" si="961"/>
        <v>-3554341822.3784103</v>
      </c>
      <c r="S259">
        <f t="shared" si="962"/>
        <v>-35543.418223784101</v>
      </c>
      <c r="T259">
        <f t="shared" si="963"/>
        <v>-35.543418223784101</v>
      </c>
    </row>
    <row r="260" spans="1:20" x14ac:dyDescent="0.25">
      <c r="A260" s="5">
        <v>44333</v>
      </c>
      <c r="B260">
        <v>0.18112</v>
      </c>
      <c r="C260">
        <v>0.18257999999999999</v>
      </c>
      <c r="D260">
        <v>0.151</v>
      </c>
      <c r="E260">
        <v>0.16037000000000001</v>
      </c>
      <c r="F260">
        <v>39614991.200000003</v>
      </c>
      <c r="G260">
        <v>0</v>
      </c>
      <c r="L260" t="s">
        <v>7</v>
      </c>
      <c r="M260" t="s">
        <v>7</v>
      </c>
      <c r="N260" t="s">
        <v>8</v>
      </c>
      <c r="P260">
        <f t="shared" si="959"/>
        <v>-0.40658644711842823</v>
      </c>
      <c r="Q260">
        <f t="shared" si="960"/>
        <v>-16106918.524635801</v>
      </c>
      <c r="R260">
        <f t="shared" si="961"/>
        <v>-3542404925.9069514</v>
      </c>
      <c r="S260">
        <f t="shared" si="962"/>
        <v>-35424.049259069514</v>
      </c>
      <c r="T260">
        <f t="shared" si="963"/>
        <v>-35.424049259069513</v>
      </c>
    </row>
    <row r="261" spans="1:20" x14ac:dyDescent="0.25">
      <c r="A261" s="5">
        <v>44332</v>
      </c>
      <c r="B261">
        <v>0.1804</v>
      </c>
      <c r="C261">
        <v>0.21049999999999999</v>
      </c>
      <c r="D261">
        <v>0.17005000000000001</v>
      </c>
      <c r="E261">
        <v>0.18224000000000001</v>
      </c>
      <c r="F261">
        <v>61474961.200000003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-0.39728059332509219</v>
      </c>
      <c r="Q261">
        <f t="shared" si="960"/>
        <v>-24422809.060173023</v>
      </c>
      <c r="R261">
        <f t="shared" si="961"/>
        <v>-3526298007.3823156</v>
      </c>
      <c r="S261">
        <f t="shared" si="962"/>
        <v>-35262.980073823157</v>
      </c>
      <c r="T261">
        <f t="shared" si="963"/>
        <v>-35.262980073823158</v>
      </c>
    </row>
    <row r="262" spans="1:20" x14ac:dyDescent="0.25">
      <c r="A262" s="5">
        <v>44331</v>
      </c>
      <c r="B262">
        <v>0.17315</v>
      </c>
      <c r="C262">
        <v>0.21113999999999999</v>
      </c>
      <c r="D262">
        <v>0.17191000000000001</v>
      </c>
      <c r="E262">
        <v>0.17968999999999999</v>
      </c>
      <c r="F262">
        <v>100116654.5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-0.60336477185827253</v>
      </c>
      <c r="Q262">
        <f t="shared" ref="Q262:Q325" si="965">F262*P262</f>
        <v>-60406862.401605994</v>
      </c>
      <c r="R262">
        <f t="shared" ref="R262:R325" si="966">R263+Q262</f>
        <v>-3501875198.3221426</v>
      </c>
      <c r="S262">
        <f t="shared" ref="S262:S325" si="967">R262/100000</f>
        <v>-35018.751983221424</v>
      </c>
      <c r="T262">
        <f t="shared" ref="T262:T325" si="968">S262/1000</f>
        <v>-35.018751983221421</v>
      </c>
    </row>
    <row r="263" spans="1:20" x14ac:dyDescent="0.25">
      <c r="A263" s="5">
        <v>44330</v>
      </c>
      <c r="B263">
        <v>0.16302</v>
      </c>
      <c r="C263">
        <v>0.17957999999999999</v>
      </c>
      <c r="D263">
        <v>0.16213</v>
      </c>
      <c r="E263">
        <v>0.17301</v>
      </c>
      <c r="F263">
        <v>47323161.399999999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0.24699140401146188</v>
      </c>
      <c r="Q263">
        <f t="shared" si="965"/>
        <v>11688414.076447017</v>
      </c>
      <c r="R263">
        <f t="shared" si="966"/>
        <v>-3441468335.9205365</v>
      </c>
      <c r="S263">
        <f t="shared" si="967"/>
        <v>-34414.683359205366</v>
      </c>
      <c r="T263">
        <f t="shared" si="968"/>
        <v>-34.41468335920537</v>
      </c>
    </row>
    <row r="264" spans="1:20" x14ac:dyDescent="0.25">
      <c r="A264" s="5">
        <v>44329</v>
      </c>
      <c r="B264">
        <v>0.15551000000000001</v>
      </c>
      <c r="C264">
        <v>0.19742000000000001</v>
      </c>
      <c r="D264">
        <v>0.14832999999999999</v>
      </c>
      <c r="E264">
        <v>0.16303000000000001</v>
      </c>
      <c r="F264">
        <v>103886720.40000001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-0.4011000203707471</v>
      </c>
      <c r="Q264">
        <f t="shared" si="965"/>
        <v>-41668965.668690108</v>
      </c>
      <c r="R264">
        <f t="shared" si="966"/>
        <v>-3453156749.9969835</v>
      </c>
      <c r="S264">
        <f t="shared" si="967"/>
        <v>-34531.567499969839</v>
      </c>
      <c r="T264">
        <f t="shared" si="968"/>
        <v>-34.531567499969839</v>
      </c>
    </row>
    <row r="265" spans="1:20" x14ac:dyDescent="0.25">
      <c r="A265" s="5">
        <v>44328</v>
      </c>
      <c r="B265">
        <v>0.18051</v>
      </c>
      <c r="C265">
        <v>0.20999000000000001</v>
      </c>
      <c r="D265">
        <v>0.15439</v>
      </c>
      <c r="E265">
        <v>0.15551000000000001</v>
      </c>
      <c r="F265">
        <v>131021796.59999999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-0.95971223021582697</v>
      </c>
      <c r="Q265">
        <f t="shared" si="965"/>
        <v>-125743220.62187044</v>
      </c>
      <c r="R265">
        <f t="shared" si="966"/>
        <v>-3411487784.3282933</v>
      </c>
      <c r="S265">
        <f t="shared" si="967"/>
        <v>-34114.877843282935</v>
      </c>
      <c r="T265">
        <f t="shared" si="968"/>
        <v>-34.114877843282933</v>
      </c>
    </row>
    <row r="266" spans="1:20" x14ac:dyDescent="0.25">
      <c r="A266" s="5">
        <v>44327</v>
      </c>
      <c r="B266">
        <v>0.17279</v>
      </c>
      <c r="C266">
        <v>0.18228</v>
      </c>
      <c r="D266">
        <v>0.16</v>
      </c>
      <c r="E266">
        <v>0.18073</v>
      </c>
      <c r="F266">
        <v>47613530.100000001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0.86086175942549403</v>
      </c>
      <c r="Q266">
        <f t="shared" si="965"/>
        <v>40988667.294344723</v>
      </c>
      <c r="R266">
        <f t="shared" si="966"/>
        <v>-3285744563.7064228</v>
      </c>
      <c r="S266">
        <f t="shared" si="967"/>
        <v>-32857.445637064229</v>
      </c>
      <c r="T266">
        <f t="shared" si="968"/>
        <v>-32.857445637064231</v>
      </c>
    </row>
    <row r="267" spans="1:20" x14ac:dyDescent="0.25">
      <c r="A267" s="5">
        <v>44326</v>
      </c>
      <c r="B267">
        <v>0.17466999999999999</v>
      </c>
      <c r="C267">
        <v>0.215</v>
      </c>
      <c r="D267">
        <v>0.16</v>
      </c>
      <c r="E267">
        <v>0.17271</v>
      </c>
      <c r="F267">
        <v>117319874.8</v>
      </c>
      <c r="G267">
        <v>0</v>
      </c>
      <c r="L267" t="s">
        <v>7</v>
      </c>
      <c r="M267" t="s">
        <v>8</v>
      </c>
      <c r="N267" t="s">
        <v>7</v>
      </c>
      <c r="P267">
        <f t="shared" si="964"/>
        <v>-0.53781818181818175</v>
      </c>
      <c r="Q267">
        <f t="shared" si="965"/>
        <v>-63096761.756072715</v>
      </c>
      <c r="R267">
        <f t="shared" si="966"/>
        <v>-3326733231.0007677</v>
      </c>
      <c r="S267">
        <f t="shared" si="967"/>
        <v>-33267.332310007674</v>
      </c>
      <c r="T267">
        <f t="shared" si="968"/>
        <v>-33.267332310007674</v>
      </c>
    </row>
    <row r="268" spans="1:20" x14ac:dyDescent="0.25">
      <c r="A268" s="5">
        <v>44325</v>
      </c>
      <c r="B268">
        <v>0.18407999999999999</v>
      </c>
      <c r="C268">
        <v>0.18559</v>
      </c>
      <c r="D268">
        <v>0.16392999999999999</v>
      </c>
      <c r="E268">
        <v>0.17466999999999999</v>
      </c>
      <c r="F268">
        <v>46211421.700000003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-8.3102493074798424E-3</v>
      </c>
      <c r="Q268">
        <f t="shared" si="965"/>
        <v>-384028.43518008396</v>
      </c>
      <c r="R268">
        <f t="shared" si="966"/>
        <v>-3263636469.2446952</v>
      </c>
      <c r="S268">
        <f t="shared" si="967"/>
        <v>-32636.36469244695</v>
      </c>
      <c r="T268">
        <f t="shared" si="968"/>
        <v>-32.636364692446953</v>
      </c>
    </row>
    <row r="269" spans="1:20" x14ac:dyDescent="0.25">
      <c r="A269" s="5">
        <v>44324</v>
      </c>
      <c r="B269">
        <v>0.18015</v>
      </c>
      <c r="C269">
        <v>0.1948</v>
      </c>
      <c r="D269">
        <v>0.17363000000000001</v>
      </c>
      <c r="E269">
        <v>0.18428</v>
      </c>
      <c r="F269">
        <v>55623322.5</v>
      </c>
      <c r="G269">
        <v>0</v>
      </c>
      <c r="L269" t="s">
        <v>8</v>
      </c>
      <c r="M269" t="s">
        <v>7</v>
      </c>
      <c r="N269" t="s">
        <v>7</v>
      </c>
      <c r="P269">
        <f t="shared" si="964"/>
        <v>6.1407652338210331E-3</v>
      </c>
      <c r="Q269">
        <f t="shared" si="965"/>
        <v>341569.76499761525</v>
      </c>
      <c r="R269">
        <f t="shared" si="966"/>
        <v>-3263252440.809515</v>
      </c>
      <c r="S269">
        <f t="shared" si="967"/>
        <v>-32632.524408095149</v>
      </c>
      <c r="T269">
        <f t="shared" si="968"/>
        <v>-32.632524408095151</v>
      </c>
    </row>
    <row r="270" spans="1:20" x14ac:dyDescent="0.25">
      <c r="A270" s="5">
        <v>44323</v>
      </c>
      <c r="B270">
        <v>0.17612</v>
      </c>
      <c r="C270">
        <v>0.19</v>
      </c>
      <c r="D270">
        <v>0.16743</v>
      </c>
      <c r="E270">
        <v>0.18054999999999999</v>
      </c>
      <c r="F270">
        <v>77574160.5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0.1626052281789977</v>
      </c>
      <c r="Q270">
        <f t="shared" si="965"/>
        <v>12613964.06889669</v>
      </c>
      <c r="R270">
        <f t="shared" si="966"/>
        <v>-3263594010.5745125</v>
      </c>
      <c r="S270">
        <f t="shared" si="967"/>
        <v>-32635.940105745125</v>
      </c>
      <c r="T270">
        <f t="shared" si="968"/>
        <v>-32.635940105745128</v>
      </c>
    </row>
    <row r="271" spans="1:20" x14ac:dyDescent="0.25">
      <c r="A271" s="5">
        <v>44322</v>
      </c>
      <c r="B271">
        <v>0.1915</v>
      </c>
      <c r="C271">
        <v>0.19395999999999999</v>
      </c>
      <c r="D271">
        <v>0.17046</v>
      </c>
      <c r="E271">
        <v>0.17599999999999999</v>
      </c>
      <c r="F271">
        <v>61753347.399999999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-0.52851063829787315</v>
      </c>
      <c r="Q271">
        <f t="shared" si="965"/>
        <v>-32637301.051404305</v>
      </c>
      <c r="R271">
        <f t="shared" si="966"/>
        <v>-3276207974.6434093</v>
      </c>
      <c r="S271">
        <f t="shared" si="967"/>
        <v>-32762.079746434094</v>
      </c>
      <c r="T271">
        <f t="shared" si="968"/>
        <v>-32.762079746434097</v>
      </c>
    </row>
    <row r="272" spans="1:20" x14ac:dyDescent="0.25">
      <c r="A272" s="5">
        <v>44321</v>
      </c>
      <c r="B272">
        <v>0.17901</v>
      </c>
      <c r="C272">
        <v>0.20799999999999999</v>
      </c>
      <c r="D272">
        <v>0.17646000000000001</v>
      </c>
      <c r="E272">
        <v>0.19139999999999999</v>
      </c>
      <c r="F272">
        <v>74753849.700000003</v>
      </c>
      <c r="G272">
        <v>0</v>
      </c>
      <c r="L272" t="s">
        <v>8</v>
      </c>
      <c r="M272" t="s">
        <v>7</v>
      </c>
      <c r="N272" t="s">
        <v>7</v>
      </c>
      <c r="P272">
        <f t="shared" si="964"/>
        <v>-5.2631578947369161E-2</v>
      </c>
      <c r="Q272">
        <f t="shared" si="965"/>
        <v>-3934413.1421053186</v>
      </c>
      <c r="R272">
        <f t="shared" si="966"/>
        <v>-3243570673.5920048</v>
      </c>
      <c r="S272">
        <f t="shared" si="967"/>
        <v>-32435.706735920048</v>
      </c>
      <c r="T272">
        <f t="shared" si="968"/>
        <v>-32.43570673592005</v>
      </c>
    </row>
    <row r="273" spans="1:20" x14ac:dyDescent="0.25">
      <c r="A273" s="5">
        <v>44320</v>
      </c>
      <c r="B273">
        <v>0.21709000000000001</v>
      </c>
      <c r="C273">
        <v>0.21808</v>
      </c>
      <c r="D273">
        <v>0.17699999999999999</v>
      </c>
      <c r="E273">
        <v>0.17899999999999999</v>
      </c>
      <c r="F273">
        <v>77474210.5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-0.90262901655306715</v>
      </c>
      <c r="Q273">
        <f t="shared" si="965"/>
        <v>-69930470.431840315</v>
      </c>
      <c r="R273">
        <f t="shared" si="966"/>
        <v>-3239636260.4498997</v>
      </c>
      <c r="S273">
        <f t="shared" si="967"/>
        <v>-32396.362604498998</v>
      </c>
      <c r="T273">
        <f t="shared" si="968"/>
        <v>-32.396362604498997</v>
      </c>
    </row>
    <row r="274" spans="1:20" x14ac:dyDescent="0.25">
      <c r="A274" s="5">
        <v>44319</v>
      </c>
      <c r="B274">
        <v>0.22597</v>
      </c>
      <c r="C274">
        <v>0.248</v>
      </c>
      <c r="D274">
        <v>0.21551000000000001</v>
      </c>
      <c r="E274">
        <v>0.21722</v>
      </c>
      <c r="F274">
        <v>69910815</v>
      </c>
      <c r="G274">
        <v>0</v>
      </c>
      <c r="L274" t="s">
        <v>8</v>
      </c>
      <c r="M274" t="s">
        <v>7</v>
      </c>
      <c r="N274" t="s">
        <v>8</v>
      </c>
      <c r="P274">
        <f t="shared" si="964"/>
        <v>-0.89473684210526383</v>
      </c>
      <c r="Q274">
        <f t="shared" si="965"/>
        <v>-62551781.842105307</v>
      </c>
      <c r="R274">
        <f t="shared" si="966"/>
        <v>-3169705790.0180593</v>
      </c>
      <c r="S274">
        <f t="shared" si="967"/>
        <v>-31697.057900180593</v>
      </c>
      <c r="T274">
        <f t="shared" si="968"/>
        <v>-31.697057900180592</v>
      </c>
    </row>
    <row r="275" spans="1:20" x14ac:dyDescent="0.25">
      <c r="A275" s="5">
        <v>44318</v>
      </c>
      <c r="B275">
        <v>0.21643999999999999</v>
      </c>
      <c r="C275">
        <v>0.23799999999999999</v>
      </c>
      <c r="D275">
        <v>0.21451000000000001</v>
      </c>
      <c r="E275">
        <v>0.22567999999999999</v>
      </c>
      <c r="F275">
        <v>80759830.799999997</v>
      </c>
      <c r="G275">
        <v>0</v>
      </c>
      <c r="L275" t="s">
        <v>8</v>
      </c>
      <c r="M275" t="s">
        <v>7</v>
      </c>
      <c r="N275" t="s">
        <v>8</v>
      </c>
      <c r="P275">
        <f t="shared" si="964"/>
        <v>-4.8957002979992038E-2</v>
      </c>
      <c r="Q275">
        <f t="shared" si="965"/>
        <v>-3953759.2771392525</v>
      </c>
      <c r="R275">
        <f t="shared" si="966"/>
        <v>-3107154008.1759539</v>
      </c>
      <c r="S275">
        <f t="shared" si="967"/>
        <v>-31071.54008175954</v>
      </c>
      <c r="T275">
        <f t="shared" si="968"/>
        <v>-31.07154008175954</v>
      </c>
    </row>
    <row r="276" spans="1:20" x14ac:dyDescent="0.25">
      <c r="A276" s="5">
        <v>44317</v>
      </c>
      <c r="B276">
        <v>0.22284000000000001</v>
      </c>
      <c r="C276">
        <v>0.25</v>
      </c>
      <c r="D276">
        <v>0.21043000000000001</v>
      </c>
      <c r="E276">
        <v>0.21626000000000001</v>
      </c>
      <c r="F276">
        <v>115656700.90000001</v>
      </c>
      <c r="G276">
        <v>0</v>
      </c>
      <c r="L276" t="s">
        <v>7</v>
      </c>
      <c r="M276" t="s">
        <v>7</v>
      </c>
      <c r="N276" t="s">
        <v>8</v>
      </c>
      <c r="P276">
        <f t="shared" si="964"/>
        <v>-0.70533232246651489</v>
      </c>
      <c r="Q276">
        <f t="shared" si="965"/>
        <v>-81576409.454612061</v>
      </c>
      <c r="R276">
        <f t="shared" si="966"/>
        <v>-3103200248.8988147</v>
      </c>
      <c r="S276">
        <f t="shared" si="967"/>
        <v>-31032.002488988146</v>
      </c>
      <c r="T276">
        <f t="shared" si="968"/>
        <v>-31.032002488988145</v>
      </c>
    </row>
    <row r="277" spans="1:20" x14ac:dyDescent="0.25">
      <c r="A277" s="5">
        <v>44316</v>
      </c>
      <c r="B277">
        <v>0.21804000000000001</v>
      </c>
      <c r="C277">
        <v>0.27500000000000002</v>
      </c>
      <c r="D277">
        <v>0.19825999999999999</v>
      </c>
      <c r="E277">
        <v>0.22337000000000001</v>
      </c>
      <c r="F277">
        <v>286245263.5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-0.34558248631743521</v>
      </c>
      <c r="Q277">
        <f t="shared" si="965"/>
        <v>-98921349.856919393</v>
      </c>
      <c r="R277">
        <f t="shared" si="966"/>
        <v>-3021623839.4442024</v>
      </c>
      <c r="S277">
        <f t="shared" si="967"/>
        <v>-30216.238394442025</v>
      </c>
      <c r="T277">
        <f t="shared" si="968"/>
        <v>-30.216238394442026</v>
      </c>
    </row>
    <row r="278" spans="1:20" x14ac:dyDescent="0.25">
      <c r="A278" s="5">
        <v>44315</v>
      </c>
      <c r="B278">
        <v>0.16259000000000001</v>
      </c>
      <c r="C278">
        <v>0.22155</v>
      </c>
      <c r="D278">
        <v>0.15825</v>
      </c>
      <c r="E278">
        <v>0.21809000000000001</v>
      </c>
      <c r="F278">
        <v>201802107.19999999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0.89067930489731462</v>
      </c>
      <c r="Q278">
        <f t="shared" si="965"/>
        <v>179740960.56770936</v>
      </c>
      <c r="R278">
        <f t="shared" si="966"/>
        <v>-2922702489.5872831</v>
      </c>
      <c r="S278">
        <f t="shared" si="967"/>
        <v>-29227.02489587283</v>
      </c>
      <c r="T278">
        <f t="shared" si="968"/>
        <v>-29.22702489587283</v>
      </c>
    </row>
    <row r="279" spans="1:20" x14ac:dyDescent="0.25">
      <c r="A279" s="5">
        <v>44314</v>
      </c>
      <c r="B279">
        <v>0.17232</v>
      </c>
      <c r="C279">
        <v>0.17599999999999999</v>
      </c>
      <c r="D279">
        <v>0.15148</v>
      </c>
      <c r="E279">
        <v>0.16200999999999999</v>
      </c>
      <c r="F279">
        <v>54314953.899999999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-0.14110929853181162</v>
      </c>
      <c r="Q279">
        <f t="shared" si="965"/>
        <v>-7664345.0446166852</v>
      </c>
      <c r="R279">
        <f t="shared" si="966"/>
        <v>-3102443450.1549926</v>
      </c>
      <c r="S279">
        <f t="shared" si="967"/>
        <v>-31024.434501549928</v>
      </c>
      <c r="T279">
        <f t="shared" si="968"/>
        <v>-31.024434501549926</v>
      </c>
    </row>
    <row r="280" spans="1:20" x14ac:dyDescent="0.25">
      <c r="A280" s="5">
        <v>44313</v>
      </c>
      <c r="B280">
        <v>0.15622</v>
      </c>
      <c r="C280">
        <v>0.17768</v>
      </c>
      <c r="D280">
        <v>0.1502</v>
      </c>
      <c r="E280">
        <v>0.17219999999999999</v>
      </c>
      <c r="F280">
        <v>68851417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0.60116448326055227</v>
      </c>
      <c r="Q280">
        <f t="shared" si="965"/>
        <v>41391026.522561803</v>
      </c>
      <c r="R280">
        <f t="shared" si="966"/>
        <v>-3094779105.1103759</v>
      </c>
      <c r="S280">
        <f t="shared" si="967"/>
        <v>-30947.791051103759</v>
      </c>
      <c r="T280">
        <f t="shared" si="968"/>
        <v>-30.94779105110376</v>
      </c>
    </row>
    <row r="281" spans="1:20" x14ac:dyDescent="0.25">
      <c r="A281" s="5">
        <v>44312</v>
      </c>
      <c r="B281">
        <v>0.13155</v>
      </c>
      <c r="C281">
        <v>0.16600999999999999</v>
      </c>
      <c r="D281">
        <v>0.13119</v>
      </c>
      <c r="E281">
        <v>0.15615000000000001</v>
      </c>
      <c r="F281">
        <v>94844339.700000003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0.4336588167719711</v>
      </c>
      <c r="Q281">
        <f t="shared" si="965"/>
        <v>41130084.131820887</v>
      </c>
      <c r="R281">
        <f t="shared" si="966"/>
        <v>-3136170131.6329379</v>
      </c>
      <c r="S281">
        <f t="shared" si="967"/>
        <v>-31361.701316329378</v>
      </c>
      <c r="T281">
        <f t="shared" si="968"/>
        <v>-31.361701316329377</v>
      </c>
    </row>
    <row r="282" spans="1:20" x14ac:dyDescent="0.25">
      <c r="A282" s="5">
        <v>44311</v>
      </c>
      <c r="B282">
        <v>0.1198</v>
      </c>
      <c r="C282">
        <v>0.14799999999999999</v>
      </c>
      <c r="D282">
        <v>0.11749999999999999</v>
      </c>
      <c r="E282">
        <v>0.13189000000000001</v>
      </c>
      <c r="F282">
        <v>74142308.299999997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-5.6393442622949888E-2</v>
      </c>
      <c r="Q282">
        <f t="shared" si="965"/>
        <v>-4181140.009049111</v>
      </c>
      <c r="R282">
        <f t="shared" si="966"/>
        <v>-3177300215.7647586</v>
      </c>
      <c r="S282">
        <f t="shared" si="967"/>
        <v>-31773.002157647585</v>
      </c>
      <c r="T282">
        <f t="shared" si="968"/>
        <v>-31.773002157647586</v>
      </c>
    </row>
    <row r="283" spans="1:20" x14ac:dyDescent="0.25">
      <c r="A283" s="5">
        <v>44310</v>
      </c>
      <c r="B283">
        <v>0.13306000000000001</v>
      </c>
      <c r="C283">
        <v>0.14047000000000001</v>
      </c>
      <c r="D283">
        <v>0.11915000000000001</v>
      </c>
      <c r="E283">
        <v>0.12006</v>
      </c>
      <c r="F283">
        <v>78513604.700000003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-0.914634146341464</v>
      </c>
      <c r="Q283">
        <f t="shared" si="965"/>
        <v>-71811223.810975656</v>
      </c>
      <c r="R283">
        <f t="shared" si="966"/>
        <v>-3173119075.7557096</v>
      </c>
      <c r="S283">
        <f t="shared" si="967"/>
        <v>-31731.190757557095</v>
      </c>
      <c r="T283">
        <f t="shared" si="968"/>
        <v>-31.731190757557094</v>
      </c>
    </row>
    <row r="284" spans="1:20" x14ac:dyDescent="0.25">
      <c r="A284" s="5">
        <v>44309</v>
      </c>
      <c r="B284">
        <v>0.14685000000000001</v>
      </c>
      <c r="C284">
        <v>0.14948</v>
      </c>
      <c r="D284">
        <v>0.11386</v>
      </c>
      <c r="E284">
        <v>0.13305</v>
      </c>
      <c r="F284">
        <v>119285818.8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7.7484559236384018E-2</v>
      </c>
      <c r="Q284">
        <f t="shared" si="965"/>
        <v>9242809.09286917</v>
      </c>
      <c r="R284">
        <f t="shared" si="966"/>
        <v>-3101307851.9447341</v>
      </c>
      <c r="S284">
        <f t="shared" si="967"/>
        <v>-31013.078519447339</v>
      </c>
      <c r="T284">
        <f t="shared" si="968"/>
        <v>-31.01307851944734</v>
      </c>
    </row>
    <row r="285" spans="1:20" x14ac:dyDescent="0.25">
      <c r="A285" s="5">
        <v>44308</v>
      </c>
      <c r="B285">
        <v>0.1769</v>
      </c>
      <c r="C285">
        <v>0.18138000000000001</v>
      </c>
      <c r="D285">
        <v>0.14657000000000001</v>
      </c>
      <c r="E285">
        <v>0.14684</v>
      </c>
      <c r="F285">
        <v>72802403.799999997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-0.98448721631715064</v>
      </c>
      <c r="Q285">
        <f t="shared" si="965"/>
        <v>-71673035.858259141</v>
      </c>
      <c r="R285">
        <f t="shared" si="966"/>
        <v>-3110550661.0376034</v>
      </c>
      <c r="S285">
        <f t="shared" si="967"/>
        <v>-31105.506610376033</v>
      </c>
      <c r="T285">
        <f t="shared" si="968"/>
        <v>-31.105506610376032</v>
      </c>
    </row>
    <row r="286" spans="1:20" x14ac:dyDescent="0.25">
      <c r="A286" s="5">
        <v>44307</v>
      </c>
      <c r="B286">
        <v>0.16980000000000001</v>
      </c>
      <c r="C286">
        <v>0.20391000000000001</v>
      </c>
      <c r="D286">
        <v>0.16616</v>
      </c>
      <c r="E286">
        <v>0.1769</v>
      </c>
      <c r="F286">
        <v>117804155.09999999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-0.4309933774834438</v>
      </c>
      <c r="Q286">
        <f t="shared" si="965"/>
        <v>-50772810.688132457</v>
      </c>
      <c r="R286">
        <f t="shared" si="966"/>
        <v>-3038877625.1793442</v>
      </c>
      <c r="S286">
        <f t="shared" si="967"/>
        <v>-30388.776251793442</v>
      </c>
      <c r="T286">
        <f t="shared" si="968"/>
        <v>-30.388776251793441</v>
      </c>
    </row>
    <row r="287" spans="1:20" x14ac:dyDescent="0.25">
      <c r="A287" s="5">
        <v>44306</v>
      </c>
      <c r="B287">
        <v>0.17582</v>
      </c>
      <c r="C287">
        <v>0.17979999999999999</v>
      </c>
      <c r="D287">
        <v>0.15359999999999999</v>
      </c>
      <c r="E287">
        <v>0.16993</v>
      </c>
      <c r="F287">
        <v>70686756.5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0.24656488549618402</v>
      </c>
      <c r="Q287">
        <f t="shared" si="965"/>
        <v>17428872.022519141</v>
      </c>
      <c r="R287">
        <f t="shared" si="966"/>
        <v>-2988104814.4912119</v>
      </c>
      <c r="S287">
        <f t="shared" si="967"/>
        <v>-29881.048144912118</v>
      </c>
      <c r="T287">
        <f t="shared" si="968"/>
        <v>-29.881048144912118</v>
      </c>
    </row>
    <row r="288" spans="1:20" x14ac:dyDescent="0.25">
      <c r="A288" s="5">
        <v>44305</v>
      </c>
      <c r="B288">
        <v>0.18495</v>
      </c>
      <c r="C288">
        <v>0.214</v>
      </c>
      <c r="D288">
        <v>0.17011000000000001</v>
      </c>
      <c r="E288">
        <v>0.17618</v>
      </c>
      <c r="F288">
        <v>76404893.200000003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-0.72339940760993415</v>
      </c>
      <c r="Q288">
        <f t="shared" si="965"/>
        <v>-55271254.479380287</v>
      </c>
      <c r="R288">
        <f t="shared" si="966"/>
        <v>-3005533686.513731</v>
      </c>
      <c r="S288">
        <f t="shared" si="967"/>
        <v>-30055.336865137309</v>
      </c>
      <c r="T288">
        <f t="shared" si="968"/>
        <v>-30.05533686513731</v>
      </c>
    </row>
    <row r="289" spans="1:20" x14ac:dyDescent="0.25">
      <c r="A289" s="5">
        <v>44304</v>
      </c>
      <c r="B289">
        <v>0.20823</v>
      </c>
      <c r="C289">
        <v>0.21018000000000001</v>
      </c>
      <c r="D289">
        <v>0.15303</v>
      </c>
      <c r="E289">
        <v>0.18453</v>
      </c>
      <c r="F289">
        <v>103074934.09999999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0.10236220472440934</v>
      </c>
      <c r="Q289">
        <f t="shared" si="965"/>
        <v>10550977.5062992</v>
      </c>
      <c r="R289">
        <f t="shared" si="966"/>
        <v>-2950262432.0343509</v>
      </c>
      <c r="S289">
        <f t="shared" si="967"/>
        <v>-29502.624320343508</v>
      </c>
      <c r="T289">
        <f t="shared" si="968"/>
        <v>-29.502624320343507</v>
      </c>
    </row>
    <row r="290" spans="1:20" x14ac:dyDescent="0.25">
      <c r="A290" s="5">
        <v>44303</v>
      </c>
      <c r="B290">
        <v>0.20483000000000001</v>
      </c>
      <c r="C290">
        <v>0.22115000000000001</v>
      </c>
      <c r="D290">
        <v>0.19722999999999999</v>
      </c>
      <c r="E290">
        <v>0.20821999999999999</v>
      </c>
      <c r="F290">
        <v>112308948.2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-8.1103678929766845E-2</v>
      </c>
      <c r="Q290">
        <f t="shared" si="965"/>
        <v>-9108668.8757526167</v>
      </c>
      <c r="R290">
        <f t="shared" si="966"/>
        <v>-2960813409.5406499</v>
      </c>
      <c r="S290">
        <f t="shared" si="967"/>
        <v>-29608.134095406498</v>
      </c>
      <c r="T290">
        <f t="shared" si="968"/>
        <v>-29.608134095406498</v>
      </c>
    </row>
    <row r="291" spans="1:20" x14ac:dyDescent="0.25">
      <c r="A291" s="5">
        <v>44302</v>
      </c>
      <c r="B291">
        <v>0.22142000000000001</v>
      </c>
      <c r="C291">
        <v>0.22187999999999999</v>
      </c>
      <c r="D291">
        <v>0.1925</v>
      </c>
      <c r="E291">
        <v>0.20519999999999999</v>
      </c>
      <c r="F291">
        <v>111193918.8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-0.13546630360789697</v>
      </c>
      <c r="Q291">
        <f t="shared" si="965"/>
        <v>-15063029.163512642</v>
      </c>
      <c r="R291">
        <f t="shared" si="966"/>
        <v>-2951704740.6648974</v>
      </c>
      <c r="S291">
        <f t="shared" si="967"/>
        <v>-29517.047406648973</v>
      </c>
      <c r="T291">
        <f t="shared" si="968"/>
        <v>-29.517047406648974</v>
      </c>
    </row>
    <row r="292" spans="1:20" x14ac:dyDescent="0.25">
      <c r="A292" s="5">
        <v>44301</v>
      </c>
      <c r="B292">
        <v>0.2109</v>
      </c>
      <c r="C292">
        <v>0.25551000000000001</v>
      </c>
      <c r="D292">
        <v>0.21046999999999999</v>
      </c>
      <c r="E292">
        <v>0.22123000000000001</v>
      </c>
      <c r="F292">
        <v>158806663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-0.52220248667850744</v>
      </c>
      <c r="Q292">
        <f t="shared" si="965"/>
        <v>-82929234.319715723</v>
      </c>
      <c r="R292">
        <f t="shared" si="966"/>
        <v>-2936641711.5013847</v>
      </c>
      <c r="S292">
        <f t="shared" si="967"/>
        <v>-29366.417115013846</v>
      </c>
      <c r="T292">
        <f t="shared" si="968"/>
        <v>-29.366417115013846</v>
      </c>
    </row>
    <row r="293" spans="1:20" x14ac:dyDescent="0.25">
      <c r="A293" s="5">
        <v>44300</v>
      </c>
      <c r="B293">
        <v>0.22452</v>
      </c>
      <c r="C293">
        <v>0.22636000000000001</v>
      </c>
      <c r="D293">
        <v>0.19350000000000001</v>
      </c>
      <c r="E293">
        <v>0.21067</v>
      </c>
      <c r="F293">
        <v>104408532.5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4.5039561777236191E-2</v>
      </c>
      <c r="Q293">
        <f t="shared" si="965"/>
        <v>4702514.5496043228</v>
      </c>
      <c r="R293">
        <f t="shared" si="966"/>
        <v>-2853712477.1816692</v>
      </c>
      <c r="S293">
        <f t="shared" si="967"/>
        <v>-28537.124771816692</v>
      </c>
      <c r="T293">
        <f t="shared" si="968"/>
        <v>-28.537124771816693</v>
      </c>
    </row>
    <row r="294" spans="1:20" x14ac:dyDescent="0.25">
      <c r="A294" s="5">
        <v>44299</v>
      </c>
      <c r="B294">
        <v>0.2288</v>
      </c>
      <c r="C294">
        <v>0.24168000000000001</v>
      </c>
      <c r="D294">
        <v>0.21174999999999999</v>
      </c>
      <c r="E294">
        <v>0.22450999999999999</v>
      </c>
      <c r="F294">
        <v>88877512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-0.14734380220514612</v>
      </c>
      <c r="Q294">
        <f t="shared" si="965"/>
        <v>-13095550.5486135</v>
      </c>
      <c r="R294">
        <f t="shared" si="966"/>
        <v>-2858414991.7312737</v>
      </c>
      <c r="S294">
        <f t="shared" si="967"/>
        <v>-28584.149917312738</v>
      </c>
      <c r="T294">
        <f t="shared" si="968"/>
        <v>-28.584149917312736</v>
      </c>
    </row>
    <row r="295" spans="1:20" x14ac:dyDescent="0.25">
      <c r="A295" s="5">
        <v>44298</v>
      </c>
      <c r="B295">
        <v>0.26119999999999999</v>
      </c>
      <c r="C295">
        <v>0.26266</v>
      </c>
      <c r="D295">
        <v>0.2261</v>
      </c>
      <c r="E295">
        <v>0.22889999999999999</v>
      </c>
      <c r="F295">
        <v>81808196.599999994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-0.84682713347921246</v>
      </c>
      <c r="Q295">
        <f t="shared" si="965"/>
        <v>-69277400.621881843</v>
      </c>
      <c r="R295">
        <f t="shared" si="966"/>
        <v>-2845319441.1826601</v>
      </c>
      <c r="S295">
        <f t="shared" si="967"/>
        <v>-28453.1944118266</v>
      </c>
      <c r="T295">
        <f t="shared" si="968"/>
        <v>-28.453194411826601</v>
      </c>
    </row>
    <row r="296" spans="1:20" x14ac:dyDescent="0.25">
      <c r="A296" s="5">
        <v>44297</v>
      </c>
      <c r="B296">
        <v>0.27744000000000002</v>
      </c>
      <c r="C296">
        <v>0.27800000000000002</v>
      </c>
      <c r="D296">
        <v>0.24384</v>
      </c>
      <c r="E296">
        <v>0.26057999999999998</v>
      </c>
      <c r="F296">
        <v>112318262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-1.990632318501373E-2</v>
      </c>
      <c r="Q296">
        <f t="shared" si="965"/>
        <v>-2235843.6229510466</v>
      </c>
      <c r="R296">
        <f t="shared" si="966"/>
        <v>-2776042040.5607781</v>
      </c>
      <c r="S296">
        <f t="shared" si="967"/>
        <v>-27760.42040560778</v>
      </c>
      <c r="T296">
        <f t="shared" si="968"/>
        <v>-27.760420405607778</v>
      </c>
    </row>
    <row r="297" spans="1:20" x14ac:dyDescent="0.25">
      <c r="A297" s="5">
        <v>44296</v>
      </c>
      <c r="B297">
        <v>0.32641999999999999</v>
      </c>
      <c r="C297">
        <v>0.34899999999999998</v>
      </c>
      <c r="D297">
        <v>0.25977</v>
      </c>
      <c r="E297">
        <v>0.27700000000000002</v>
      </c>
      <c r="F297">
        <v>174613498.69999999</v>
      </c>
      <c r="G297">
        <v>0</v>
      </c>
      <c r="L297" t="s">
        <v>7</v>
      </c>
      <c r="M297" t="s">
        <v>8</v>
      </c>
      <c r="N297" t="s">
        <v>8</v>
      </c>
      <c r="P297">
        <f t="shared" si="964"/>
        <v>-0.61380701557771988</v>
      </c>
      <c r="Q297">
        <f t="shared" si="965"/>
        <v>-107178990.51663107</v>
      </c>
      <c r="R297">
        <f t="shared" si="966"/>
        <v>-2773806196.9378271</v>
      </c>
      <c r="S297">
        <f t="shared" si="967"/>
        <v>-27738.061969378272</v>
      </c>
      <c r="T297">
        <f t="shared" si="968"/>
        <v>-27.738061969378272</v>
      </c>
    </row>
    <row r="298" spans="1:20" x14ac:dyDescent="0.25">
      <c r="A298" s="5">
        <v>44295</v>
      </c>
      <c r="B298">
        <v>0.25514999999999999</v>
      </c>
      <c r="C298">
        <v>0.34369</v>
      </c>
      <c r="D298">
        <v>0.24245</v>
      </c>
      <c r="E298">
        <v>0.3261</v>
      </c>
      <c r="F298">
        <v>314216041.89999998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0.6525088897668907</v>
      </c>
      <c r="Q298">
        <f t="shared" si="965"/>
        <v>205028760.6471158</v>
      </c>
      <c r="R298">
        <f t="shared" si="966"/>
        <v>-2666627206.421196</v>
      </c>
      <c r="S298">
        <f t="shared" si="967"/>
        <v>-26666.27206421196</v>
      </c>
      <c r="T298">
        <f t="shared" si="968"/>
        <v>-26.66627206421196</v>
      </c>
    </row>
    <row r="299" spans="1:20" x14ac:dyDescent="0.25">
      <c r="A299" s="5">
        <v>44294</v>
      </c>
      <c r="B299">
        <v>0.26250000000000001</v>
      </c>
      <c r="C299">
        <v>0.29599999999999999</v>
      </c>
      <c r="D299">
        <v>0.24465000000000001</v>
      </c>
      <c r="E299">
        <v>0.25524999999999998</v>
      </c>
      <c r="F299">
        <v>172789163.80000001</v>
      </c>
      <c r="G299">
        <v>0</v>
      </c>
      <c r="L299" t="s">
        <v>7</v>
      </c>
      <c r="M299" t="s">
        <v>7</v>
      </c>
      <c r="N299" t="s">
        <v>8</v>
      </c>
      <c r="P299">
        <f t="shared" si="964"/>
        <v>-0.5871470301850058</v>
      </c>
      <c r="Q299">
        <f t="shared" si="965"/>
        <v>-101452644.37332052</v>
      </c>
      <c r="R299">
        <f t="shared" si="966"/>
        <v>-2871655967.0683117</v>
      </c>
      <c r="S299">
        <f t="shared" si="967"/>
        <v>-28716.559670683117</v>
      </c>
      <c r="T299">
        <f t="shared" si="968"/>
        <v>-28.716559670683118</v>
      </c>
    </row>
    <row r="300" spans="1:20" x14ac:dyDescent="0.25">
      <c r="A300" s="5">
        <v>44293</v>
      </c>
      <c r="B300">
        <v>0.22620999999999999</v>
      </c>
      <c r="C300">
        <v>0.32655000000000001</v>
      </c>
      <c r="D300">
        <v>0.216</v>
      </c>
      <c r="E300">
        <v>0.26250000000000001</v>
      </c>
      <c r="F300">
        <v>704087152.79999995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-0.15875169606512873</v>
      </c>
      <c r="Q300">
        <f t="shared" si="965"/>
        <v>-111775029.68466744</v>
      </c>
      <c r="R300">
        <f t="shared" si="966"/>
        <v>-2770203322.6949911</v>
      </c>
      <c r="S300">
        <f t="shared" si="967"/>
        <v>-27702.033226949912</v>
      </c>
      <c r="T300">
        <f t="shared" si="968"/>
        <v>-27.702033226949911</v>
      </c>
    </row>
    <row r="301" spans="1:20" x14ac:dyDescent="0.25">
      <c r="A301" s="5">
        <v>44292</v>
      </c>
      <c r="B301">
        <v>0.20244999999999999</v>
      </c>
      <c r="C301">
        <v>0.24521999999999999</v>
      </c>
      <c r="D301">
        <v>0.18826999999999999</v>
      </c>
      <c r="E301">
        <v>0.22559000000000001</v>
      </c>
      <c r="F301">
        <v>195907713.80000001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0.3106233538191403</v>
      </c>
      <c r="Q301">
        <f t="shared" si="965"/>
        <v>60853511.099596277</v>
      </c>
      <c r="R301">
        <f t="shared" si="966"/>
        <v>-2658428293.0103235</v>
      </c>
      <c r="S301">
        <f t="shared" si="967"/>
        <v>-26584.282930103236</v>
      </c>
      <c r="T301">
        <f t="shared" si="968"/>
        <v>-26.584282930103235</v>
      </c>
    </row>
    <row r="302" spans="1:20" x14ac:dyDescent="0.25">
      <c r="A302" s="5">
        <v>44291</v>
      </c>
      <c r="B302">
        <v>0.19350000000000001</v>
      </c>
      <c r="C302">
        <v>0.24879999999999999</v>
      </c>
      <c r="D302">
        <v>0.18851000000000001</v>
      </c>
      <c r="E302">
        <v>0.20266000000000001</v>
      </c>
      <c r="F302">
        <v>353072442.80000001</v>
      </c>
      <c r="G302">
        <v>0</v>
      </c>
      <c r="L302" t="s">
        <v>8</v>
      </c>
      <c r="M302" t="s">
        <v>7</v>
      </c>
      <c r="N302" t="s">
        <v>8</v>
      </c>
      <c r="P302">
        <f t="shared" si="964"/>
        <v>-0.5306020898988224</v>
      </c>
      <c r="Q302">
        <f t="shared" si="965"/>
        <v>-187340976.03536245</v>
      </c>
      <c r="R302">
        <f t="shared" si="966"/>
        <v>-2719281804.10992</v>
      </c>
      <c r="S302">
        <f t="shared" si="967"/>
        <v>-27192.818041099199</v>
      </c>
      <c r="T302">
        <f t="shared" si="968"/>
        <v>-27.192818041099198</v>
      </c>
    </row>
    <row r="303" spans="1:20" x14ac:dyDescent="0.25">
      <c r="A303" s="5">
        <v>44290</v>
      </c>
      <c r="B303">
        <v>0.14244000000000001</v>
      </c>
      <c r="C303">
        <v>0.24468000000000001</v>
      </c>
      <c r="D303">
        <v>0.13900000000000001</v>
      </c>
      <c r="E303">
        <v>0.19350000000000001</v>
      </c>
      <c r="F303">
        <v>731087283.89999998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3.1415594246782641E-2</v>
      </c>
      <c r="Q303">
        <f t="shared" si="965"/>
        <v>22967541.469984785</v>
      </c>
      <c r="R303">
        <f t="shared" si="966"/>
        <v>-2531940828.0745578</v>
      </c>
      <c r="S303">
        <f t="shared" si="967"/>
        <v>-25319.408280745578</v>
      </c>
      <c r="T303">
        <f t="shared" si="968"/>
        <v>-25.319408280745577</v>
      </c>
    </row>
    <row r="304" spans="1:20" x14ac:dyDescent="0.25">
      <c r="A304" s="5">
        <v>44289</v>
      </c>
      <c r="B304">
        <v>0.15528</v>
      </c>
      <c r="C304">
        <v>0.15658</v>
      </c>
      <c r="D304">
        <v>0.13428000000000001</v>
      </c>
      <c r="E304">
        <v>0.14301</v>
      </c>
      <c r="F304">
        <v>84230179.599999994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-0.21704035874439523</v>
      </c>
      <c r="Q304">
        <f t="shared" si="965"/>
        <v>-18281348.39748884</v>
      </c>
      <c r="R304">
        <f t="shared" si="966"/>
        <v>-2554908369.5445428</v>
      </c>
      <c r="S304">
        <f t="shared" si="967"/>
        <v>-25549.083695445428</v>
      </c>
      <c r="T304">
        <f t="shared" si="968"/>
        <v>-25.549083695445429</v>
      </c>
    </row>
    <row r="305" spans="1:20" x14ac:dyDescent="0.25">
      <c r="A305" s="5">
        <v>44288</v>
      </c>
      <c r="B305">
        <v>0.14527999999999999</v>
      </c>
      <c r="C305">
        <v>0.16203000000000001</v>
      </c>
      <c r="D305">
        <v>0.1414</v>
      </c>
      <c r="E305">
        <v>0.15533</v>
      </c>
      <c r="F305">
        <v>111089660.5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0.35046049442559296</v>
      </c>
      <c r="Q305">
        <f t="shared" si="965"/>
        <v>38932537.344401263</v>
      </c>
      <c r="R305">
        <f t="shared" si="966"/>
        <v>-2536627021.1470537</v>
      </c>
      <c r="S305">
        <f t="shared" si="967"/>
        <v>-25366.270211470539</v>
      </c>
      <c r="T305">
        <f t="shared" si="968"/>
        <v>-25.366270211470539</v>
      </c>
    </row>
    <row r="306" spans="1:20" x14ac:dyDescent="0.25">
      <c r="A306" s="5">
        <v>44287</v>
      </c>
      <c r="B306">
        <v>0.15311</v>
      </c>
      <c r="C306">
        <v>0.16500000000000001</v>
      </c>
      <c r="D306">
        <v>0.14413999999999999</v>
      </c>
      <c r="E306">
        <v>0.14527000000000001</v>
      </c>
      <c r="F306">
        <v>99867735.299999997</v>
      </c>
      <c r="G306">
        <v>0</v>
      </c>
      <c r="L306" t="s">
        <v>7</v>
      </c>
      <c r="M306" t="s">
        <v>7</v>
      </c>
      <c r="N306" t="s">
        <v>8</v>
      </c>
      <c r="P306">
        <f t="shared" si="964"/>
        <v>-0.89165867689357436</v>
      </c>
      <c r="Q306">
        <f t="shared" si="965"/>
        <v>-89047932.721955702</v>
      </c>
      <c r="R306">
        <f t="shared" si="966"/>
        <v>-2575559558.4914551</v>
      </c>
      <c r="S306">
        <f t="shared" si="967"/>
        <v>-25755.59558491455</v>
      </c>
      <c r="T306">
        <f t="shared" si="968"/>
        <v>-25.755595584914552</v>
      </c>
    </row>
    <row r="307" spans="1:20" x14ac:dyDescent="0.25">
      <c r="A307" s="5">
        <v>44286</v>
      </c>
      <c r="B307">
        <v>0.17236000000000001</v>
      </c>
      <c r="C307">
        <v>0.1885</v>
      </c>
      <c r="D307">
        <v>0.14721999999999999</v>
      </c>
      <c r="E307">
        <v>0.15332999999999999</v>
      </c>
      <c r="F307">
        <v>192320186.59999999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-0.70397286821705418</v>
      </c>
      <c r="Q307">
        <f t="shared" si="965"/>
        <v>-135388193.37684107</v>
      </c>
      <c r="R307">
        <f t="shared" si="966"/>
        <v>-2486511625.7694993</v>
      </c>
      <c r="S307">
        <f t="shared" si="967"/>
        <v>-24865.116257694994</v>
      </c>
      <c r="T307">
        <f t="shared" si="968"/>
        <v>-24.865116257694993</v>
      </c>
    </row>
    <row r="308" spans="1:20" x14ac:dyDescent="0.25">
      <c r="A308" s="5">
        <v>44285</v>
      </c>
      <c r="B308">
        <v>0.14011000000000001</v>
      </c>
      <c r="C308">
        <v>0.17899999999999999</v>
      </c>
      <c r="D308">
        <v>0.13927</v>
      </c>
      <c r="E308">
        <v>0.17235</v>
      </c>
      <c r="F308">
        <v>216430066.30000001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0.6652403725144731</v>
      </c>
      <c r="Q308">
        <f t="shared" si="965"/>
        <v>143978017.92874411</v>
      </c>
      <c r="R308">
        <f t="shared" si="966"/>
        <v>-2351123432.3926582</v>
      </c>
      <c r="S308">
        <f t="shared" si="967"/>
        <v>-23511.234323926583</v>
      </c>
      <c r="T308">
        <f t="shared" si="968"/>
        <v>-23.511234323926583</v>
      </c>
    </row>
    <row r="309" spans="1:20" x14ac:dyDescent="0.25">
      <c r="A309" s="5">
        <v>44284</v>
      </c>
      <c r="B309">
        <v>0.12316000000000001</v>
      </c>
      <c r="C309">
        <v>0.14945</v>
      </c>
      <c r="D309">
        <v>0.12028</v>
      </c>
      <c r="E309">
        <v>0.14008999999999999</v>
      </c>
      <c r="F309">
        <v>169334829.5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0.3582447720260537</v>
      </c>
      <c r="Q309">
        <f t="shared" si="965"/>
        <v>60663317.390298173</v>
      </c>
      <c r="R309">
        <f t="shared" si="966"/>
        <v>-2495101450.3214025</v>
      </c>
      <c r="S309">
        <f t="shared" si="967"/>
        <v>-24951.014503214024</v>
      </c>
      <c r="T309">
        <f t="shared" si="968"/>
        <v>-24.951014503214026</v>
      </c>
    </row>
    <row r="310" spans="1:20" x14ac:dyDescent="0.25">
      <c r="A310" s="5">
        <v>44283</v>
      </c>
      <c r="B310">
        <v>0.12817999999999999</v>
      </c>
      <c r="C310">
        <v>0.13664000000000001</v>
      </c>
      <c r="D310">
        <v>0.11907</v>
      </c>
      <c r="E310">
        <v>0.1232</v>
      </c>
      <c r="F310">
        <v>55422563.899999999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-0.52988047808764882</v>
      </c>
      <c r="Q310">
        <f t="shared" si="965"/>
        <v>-29367334.656175267</v>
      </c>
      <c r="R310">
        <f t="shared" si="966"/>
        <v>-2555764767.7117009</v>
      </c>
      <c r="S310">
        <f t="shared" si="967"/>
        <v>-25557.647677117009</v>
      </c>
      <c r="T310">
        <f t="shared" si="968"/>
        <v>-25.557647677117011</v>
      </c>
    </row>
    <row r="311" spans="1:20" x14ac:dyDescent="0.25">
      <c r="A311" s="5">
        <v>44282</v>
      </c>
      <c r="B311">
        <v>0.12031</v>
      </c>
      <c r="C311">
        <v>0.13789000000000001</v>
      </c>
      <c r="D311">
        <v>0.11625000000000001</v>
      </c>
      <c r="E311">
        <v>0.12816</v>
      </c>
      <c r="F311">
        <v>97934924.900000006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0.10073937153419468</v>
      </c>
      <c r="Q311">
        <f t="shared" si="965"/>
        <v>9865902.7856745552</v>
      </c>
      <c r="R311">
        <f t="shared" si="966"/>
        <v>-2526397433.0555258</v>
      </c>
      <c r="S311">
        <f t="shared" si="967"/>
        <v>-25263.974330555258</v>
      </c>
      <c r="T311">
        <f t="shared" si="968"/>
        <v>-25.263974330555257</v>
      </c>
    </row>
    <row r="312" spans="1:20" x14ac:dyDescent="0.25">
      <c r="A312" s="5">
        <v>44281</v>
      </c>
      <c r="B312">
        <v>0.11214</v>
      </c>
      <c r="C312">
        <v>0.128</v>
      </c>
      <c r="D312">
        <v>0.11214</v>
      </c>
      <c r="E312">
        <v>0.12031</v>
      </c>
      <c r="F312">
        <v>93651286.299999997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3.0264817150062694E-2</v>
      </c>
      <c r="Q312">
        <f t="shared" si="965"/>
        <v>2834339.0557376714</v>
      </c>
      <c r="R312">
        <f t="shared" si="966"/>
        <v>-2536263335.8412004</v>
      </c>
      <c r="S312">
        <f t="shared" si="967"/>
        <v>-25362.633358412004</v>
      </c>
      <c r="T312">
        <f t="shared" si="968"/>
        <v>-25.362633358412005</v>
      </c>
    </row>
    <row r="313" spans="1:20" x14ac:dyDescent="0.25">
      <c r="A313" s="5">
        <v>44280</v>
      </c>
      <c r="B313">
        <v>0.11808</v>
      </c>
      <c r="C313">
        <v>0.12130000000000001</v>
      </c>
      <c r="D313">
        <v>0.1076</v>
      </c>
      <c r="E313">
        <v>0.11208</v>
      </c>
      <c r="F313">
        <v>112834129.5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-0.34598540145985451</v>
      </c>
      <c r="Q313">
        <f t="shared" si="965"/>
        <v>-39038961.593430713</v>
      </c>
      <c r="R313">
        <f t="shared" si="966"/>
        <v>-2539097674.8969378</v>
      </c>
      <c r="S313">
        <f t="shared" si="967"/>
        <v>-25390.976748969377</v>
      </c>
      <c r="T313">
        <f t="shared" si="968"/>
        <v>-25.390976748969376</v>
      </c>
    </row>
    <row r="314" spans="1:20" x14ac:dyDescent="0.25">
      <c r="A314" s="5">
        <v>44279</v>
      </c>
      <c r="B314">
        <v>0.14133000000000001</v>
      </c>
      <c r="C314">
        <v>0.14399999999999999</v>
      </c>
      <c r="D314">
        <v>0.115</v>
      </c>
      <c r="E314">
        <v>0.11809</v>
      </c>
      <c r="F314">
        <v>180878960.90000001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-0.78689655172413808</v>
      </c>
      <c r="Q314">
        <f t="shared" si="965"/>
        <v>-142333030.61165521</v>
      </c>
      <c r="R314">
        <f t="shared" si="966"/>
        <v>-2500058713.3035073</v>
      </c>
      <c r="S314">
        <f t="shared" si="967"/>
        <v>-25000.587133035075</v>
      </c>
      <c r="T314">
        <f t="shared" si="968"/>
        <v>-25.000587133035076</v>
      </c>
    </row>
    <row r="315" spans="1:20" x14ac:dyDescent="0.25">
      <c r="A315" s="5">
        <v>44278</v>
      </c>
      <c r="B315">
        <v>0.11809</v>
      </c>
      <c r="C315">
        <v>0.17304</v>
      </c>
      <c r="D315">
        <v>0.114</v>
      </c>
      <c r="E315">
        <v>0.14102000000000001</v>
      </c>
      <c r="F315">
        <v>629345939.70000005</v>
      </c>
      <c r="G315">
        <v>0</v>
      </c>
      <c r="L315" t="s">
        <v>8</v>
      </c>
      <c r="M315" t="s">
        <v>8</v>
      </c>
      <c r="N315" t="s">
        <v>8</v>
      </c>
      <c r="P315">
        <f t="shared" si="964"/>
        <v>-8.4688346883468685E-2</v>
      </c>
      <c r="Q315">
        <f t="shared" si="965"/>
        <v>-53298267.25101617</v>
      </c>
      <c r="R315">
        <f t="shared" si="966"/>
        <v>-2357725682.6918521</v>
      </c>
      <c r="S315">
        <f t="shared" si="967"/>
        <v>-23577.256826918521</v>
      </c>
      <c r="T315">
        <f t="shared" si="968"/>
        <v>-23.577256826918521</v>
      </c>
    </row>
    <row r="316" spans="1:20" x14ac:dyDescent="0.25">
      <c r="A316" s="5">
        <v>44277</v>
      </c>
      <c r="B316">
        <v>0.10849</v>
      </c>
      <c r="C316">
        <v>0.13084000000000001</v>
      </c>
      <c r="D316">
        <v>0.105</v>
      </c>
      <c r="E316">
        <v>0.11805</v>
      </c>
      <c r="F316">
        <v>250045999.59999999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1.0061919504643815E-2</v>
      </c>
      <c r="Q316">
        <f t="shared" si="965"/>
        <v>2515942.7204333995</v>
      </c>
      <c r="R316">
        <f t="shared" si="966"/>
        <v>-2304427415.440836</v>
      </c>
      <c r="S316">
        <f t="shared" si="967"/>
        <v>-23044.274154408358</v>
      </c>
      <c r="T316">
        <f t="shared" si="968"/>
        <v>-23.04427415440836</v>
      </c>
    </row>
    <row r="317" spans="1:20" x14ac:dyDescent="0.25">
      <c r="A317" s="5">
        <v>44276</v>
      </c>
      <c r="B317">
        <v>0.10571999999999999</v>
      </c>
      <c r="C317">
        <v>0.13999</v>
      </c>
      <c r="D317">
        <v>0.1</v>
      </c>
      <c r="E317">
        <v>0.10849</v>
      </c>
      <c r="F317">
        <v>538833324.20000005</v>
      </c>
      <c r="G317">
        <v>0</v>
      </c>
      <c r="L317" t="s">
        <v>8</v>
      </c>
      <c r="M317" t="s">
        <v>8</v>
      </c>
      <c r="N317" t="s">
        <v>8</v>
      </c>
      <c r="P317">
        <f t="shared" si="964"/>
        <v>-0.57539384846211561</v>
      </c>
      <c r="Q317">
        <f t="shared" si="965"/>
        <v>-310041380.09107286</v>
      </c>
      <c r="R317">
        <f t="shared" si="966"/>
        <v>-2306943358.1612692</v>
      </c>
      <c r="S317">
        <f t="shared" si="967"/>
        <v>-23069.433581612691</v>
      </c>
      <c r="T317">
        <f t="shared" si="968"/>
        <v>-23.069433581612692</v>
      </c>
    </row>
    <row r="318" spans="1:20" x14ac:dyDescent="0.25">
      <c r="A318" s="5">
        <v>44275</v>
      </c>
      <c r="B318">
        <v>0.10018000000000001</v>
      </c>
      <c r="C318">
        <v>0.12</v>
      </c>
      <c r="D318">
        <v>9.851E-2</v>
      </c>
      <c r="E318">
        <v>0.10571999999999999</v>
      </c>
      <c r="F318">
        <v>265854965.90000001</v>
      </c>
      <c r="G318">
        <v>0</v>
      </c>
      <c r="L318" t="s">
        <v>8</v>
      </c>
      <c r="M318" t="s">
        <v>8</v>
      </c>
      <c r="N318" t="s">
        <v>7</v>
      </c>
      <c r="P318">
        <f t="shared" si="964"/>
        <v>-0.32899022801302968</v>
      </c>
      <c r="Q318">
        <f t="shared" si="965"/>
        <v>-87463685.849837229</v>
      </c>
      <c r="R318">
        <f t="shared" si="966"/>
        <v>-1996901978.0701962</v>
      </c>
      <c r="S318">
        <f t="shared" si="967"/>
        <v>-19969.019780701961</v>
      </c>
      <c r="T318">
        <f t="shared" si="968"/>
        <v>-19.969019780701963</v>
      </c>
    </row>
    <row r="319" spans="1:20" x14ac:dyDescent="0.25">
      <c r="A319" s="5">
        <v>44274</v>
      </c>
      <c r="B319">
        <v>0.10148</v>
      </c>
      <c r="C319">
        <v>0.10323</v>
      </c>
      <c r="D319">
        <v>9.8000000000000004E-2</v>
      </c>
      <c r="E319">
        <v>0.1003</v>
      </c>
      <c r="F319">
        <v>98438587.599999994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-0.12045889101338542</v>
      </c>
      <c r="Q319">
        <f t="shared" si="965"/>
        <v>-11857803.095219992</v>
      </c>
      <c r="R319">
        <f t="shared" si="966"/>
        <v>-1909438292.2203588</v>
      </c>
      <c r="S319">
        <f t="shared" si="967"/>
        <v>-19094.382922203589</v>
      </c>
      <c r="T319">
        <f t="shared" si="968"/>
        <v>-19.094382922203589</v>
      </c>
    </row>
    <row r="320" spans="1:20" x14ac:dyDescent="0.25">
      <c r="A320" s="5">
        <v>44273</v>
      </c>
      <c r="B320">
        <v>0.10385999999999999</v>
      </c>
      <c r="C320">
        <v>0.10745</v>
      </c>
      <c r="D320">
        <v>9.9309999999999996E-2</v>
      </c>
      <c r="E320">
        <v>0.10166</v>
      </c>
      <c r="F320">
        <v>85432648.799999997</v>
      </c>
      <c r="G320">
        <v>0</v>
      </c>
      <c r="L320" t="s">
        <v>7</v>
      </c>
      <c r="M320" t="s">
        <v>7</v>
      </c>
      <c r="N320" t="s">
        <v>7</v>
      </c>
      <c r="P320">
        <f t="shared" si="964"/>
        <v>-0.42260442260442199</v>
      </c>
      <c r="Q320">
        <f t="shared" si="965"/>
        <v>-36104215.217690364</v>
      </c>
      <c r="R320">
        <f t="shared" si="966"/>
        <v>-1897580489.1251388</v>
      </c>
      <c r="S320">
        <f t="shared" si="967"/>
        <v>-18975.804891251388</v>
      </c>
      <c r="T320">
        <f t="shared" si="968"/>
        <v>-18.975804891251389</v>
      </c>
    </row>
    <row r="321" spans="1:20" x14ac:dyDescent="0.25">
      <c r="A321" s="5">
        <v>44272</v>
      </c>
      <c r="B321">
        <v>0.10996</v>
      </c>
      <c r="C321">
        <v>0.11309</v>
      </c>
      <c r="D321">
        <v>0.10100000000000001</v>
      </c>
      <c r="E321">
        <v>0.10385999999999999</v>
      </c>
      <c r="F321">
        <v>121138974.5</v>
      </c>
      <c r="G321">
        <v>0</v>
      </c>
      <c r="L321" t="s">
        <v>8</v>
      </c>
      <c r="M321" t="s">
        <v>7</v>
      </c>
      <c r="N321" t="s">
        <v>7</v>
      </c>
      <c r="P321">
        <f t="shared" si="964"/>
        <v>-0.52688172043010917</v>
      </c>
      <c r="Q321">
        <f t="shared" si="965"/>
        <v>-63825911.295699127</v>
      </c>
      <c r="R321">
        <f t="shared" si="966"/>
        <v>-1861476273.9074483</v>
      </c>
      <c r="S321">
        <f t="shared" si="967"/>
        <v>-18614.762739074482</v>
      </c>
      <c r="T321">
        <f t="shared" si="968"/>
        <v>-18.614762739074482</v>
      </c>
    </row>
    <row r="322" spans="1:20" x14ac:dyDescent="0.25">
      <c r="A322" s="5">
        <v>44271</v>
      </c>
      <c r="B322">
        <v>0.1389</v>
      </c>
      <c r="C322">
        <v>0.14949999999999999</v>
      </c>
      <c r="D322">
        <v>9.9040000000000003E-2</v>
      </c>
      <c r="E322">
        <v>0.10997999999999999</v>
      </c>
      <c r="F322">
        <v>273063559.10000002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-0.56638921918351193</v>
      </c>
      <c r="Q322">
        <f t="shared" si="965"/>
        <v>-154660256.02611977</v>
      </c>
      <c r="R322">
        <f t="shared" si="966"/>
        <v>-1797650362.6117492</v>
      </c>
      <c r="S322">
        <f t="shared" si="967"/>
        <v>-17976.50362611749</v>
      </c>
      <c r="T322">
        <f t="shared" si="968"/>
        <v>-17.976503626117491</v>
      </c>
    </row>
    <row r="323" spans="1:20" x14ac:dyDescent="0.25">
      <c r="A323" s="5">
        <v>44270</v>
      </c>
      <c r="B323">
        <v>9.2109999999999997E-2</v>
      </c>
      <c r="C323">
        <v>0.15</v>
      </c>
      <c r="D323">
        <v>9.2009999999999995E-2</v>
      </c>
      <c r="E323">
        <v>0.13822000000000001</v>
      </c>
      <c r="F323">
        <v>684192931.39999998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0.59372305569925898</v>
      </c>
      <c r="Q323">
        <f t="shared" si="965"/>
        <v>406221117.91864145</v>
      </c>
      <c r="R323">
        <f t="shared" si="966"/>
        <v>-1642990106.5856295</v>
      </c>
      <c r="S323">
        <f t="shared" si="967"/>
        <v>-16429.901065856295</v>
      </c>
      <c r="T323">
        <f t="shared" si="968"/>
        <v>-16.429901065856296</v>
      </c>
    </row>
    <row r="324" spans="1:20" x14ac:dyDescent="0.25">
      <c r="A324" s="5">
        <v>44269</v>
      </c>
      <c r="B324">
        <v>0.10397000000000001</v>
      </c>
      <c r="C324">
        <v>0.105</v>
      </c>
      <c r="D324">
        <v>9.1999999999999998E-2</v>
      </c>
      <c r="E324">
        <v>9.2030000000000001E-2</v>
      </c>
      <c r="F324">
        <v>184589096.5</v>
      </c>
      <c r="G324">
        <v>0</v>
      </c>
      <c r="L324" t="s">
        <v>7</v>
      </c>
      <c r="M324" t="s">
        <v>7</v>
      </c>
      <c r="N324" t="s">
        <v>7</v>
      </c>
      <c r="P324">
        <f t="shared" si="964"/>
        <v>-0.99538461538461509</v>
      </c>
      <c r="Q324">
        <f t="shared" si="965"/>
        <v>-183737146.8238461</v>
      </c>
      <c r="R324">
        <f t="shared" si="966"/>
        <v>-2049211224.5042708</v>
      </c>
      <c r="S324">
        <f t="shared" si="967"/>
        <v>-20492.112245042706</v>
      </c>
      <c r="T324">
        <f t="shared" si="968"/>
        <v>-20.492112245042705</v>
      </c>
    </row>
    <row r="325" spans="1:20" x14ac:dyDescent="0.25">
      <c r="A325" s="5">
        <v>44268</v>
      </c>
      <c r="B325">
        <v>0.1075</v>
      </c>
      <c r="C325">
        <v>0.1197</v>
      </c>
      <c r="D325">
        <v>0.10086000000000001</v>
      </c>
      <c r="E325">
        <v>0.10397000000000001</v>
      </c>
      <c r="F325">
        <v>216962368.19999999</v>
      </c>
      <c r="G325">
        <v>0</v>
      </c>
      <c r="L325" t="s">
        <v>7</v>
      </c>
      <c r="M325" t="s">
        <v>7</v>
      </c>
      <c r="N325" t="s">
        <v>7</v>
      </c>
      <c r="P325">
        <f t="shared" si="964"/>
        <v>-0.66985138004246259</v>
      </c>
      <c r="Q325">
        <f t="shared" si="965"/>
        <v>-145332541.75605088</v>
      </c>
      <c r="R325">
        <f t="shared" si="966"/>
        <v>-1865474077.6804247</v>
      </c>
      <c r="S325">
        <f t="shared" si="967"/>
        <v>-18654.740776804247</v>
      </c>
      <c r="T325">
        <f t="shared" si="968"/>
        <v>-18.654740776804246</v>
      </c>
    </row>
    <row r="326" spans="1:20" x14ac:dyDescent="0.25">
      <c r="A326" s="5">
        <v>44267</v>
      </c>
      <c r="B326">
        <v>0.12694</v>
      </c>
      <c r="C326">
        <v>0.14499999999999999</v>
      </c>
      <c r="D326">
        <v>0.10427</v>
      </c>
      <c r="E326">
        <v>0.10782</v>
      </c>
      <c r="F326">
        <v>453030058.69999999</v>
      </c>
      <c r="G326">
        <v>0</v>
      </c>
      <c r="L326" t="s">
        <v>7</v>
      </c>
      <c r="M326" t="s">
        <v>7</v>
      </c>
      <c r="N326" t="s">
        <v>7</v>
      </c>
      <c r="P326">
        <f t="shared" ref="P326:P389" si="969">IF(C326=D326,0,((E326-D326)-(C326-E326))/(C326-D326))</f>
        <v>-0.82568131598330474</v>
      </c>
      <c r="Q326">
        <f t="shared" ref="Q326:Q389" si="970">F326*P326</f>
        <v>-374058455.04740977</v>
      </c>
      <c r="R326">
        <f t="shared" ref="R326:R389" si="971">R327+Q326</f>
        <v>-1720141535.9243739</v>
      </c>
      <c r="S326">
        <f t="shared" ref="S326:S389" si="972">R326/100000</f>
        <v>-17201.41535924374</v>
      </c>
      <c r="T326">
        <f t="shared" ref="T326:T389" si="973">S326/1000</f>
        <v>-17.20141535924374</v>
      </c>
    </row>
    <row r="327" spans="1:20" x14ac:dyDescent="0.25">
      <c r="A327" s="5">
        <v>44266</v>
      </c>
      <c r="B327">
        <v>0.12551000000000001</v>
      </c>
      <c r="C327">
        <v>0.19500000000000001</v>
      </c>
      <c r="D327">
        <v>0.11455</v>
      </c>
      <c r="E327">
        <v>0.127</v>
      </c>
      <c r="F327">
        <v>1531762618.5999999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-0.69049098819142318</v>
      </c>
      <c r="Q327">
        <f t="shared" si="970"/>
        <v>-1057668284.1917959</v>
      </c>
      <c r="R327">
        <f t="shared" si="971"/>
        <v>-1346083080.8769641</v>
      </c>
      <c r="S327">
        <f t="shared" si="972"/>
        <v>-13460.83080876964</v>
      </c>
      <c r="T327">
        <f t="shared" si="973"/>
        <v>-13.460830808769641</v>
      </c>
    </row>
    <row r="328" spans="1:20" x14ac:dyDescent="0.25">
      <c r="A328" s="5">
        <v>44265</v>
      </c>
      <c r="B328">
        <v>6.1990000000000003E-2</v>
      </c>
      <c r="C328">
        <v>0.17821000000000001</v>
      </c>
      <c r="D328">
        <v>6.198E-2</v>
      </c>
      <c r="E328">
        <v>0.12551000000000001</v>
      </c>
      <c r="F328">
        <v>2734266204.5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9.3177320829390051E-2</v>
      </c>
      <c r="Q328">
        <f t="shared" si="970"/>
        <v>254771599.36965513</v>
      </c>
      <c r="R328">
        <f t="shared" si="971"/>
        <v>-288414796.68516827</v>
      </c>
      <c r="S328">
        <f t="shared" si="972"/>
        <v>-2884.1479668516827</v>
      </c>
      <c r="T328">
        <f t="shared" si="973"/>
        <v>-2.8841479668516827</v>
      </c>
    </row>
    <row r="329" spans="1:20" x14ac:dyDescent="0.25">
      <c r="A329" s="5">
        <v>44264</v>
      </c>
      <c r="B329">
        <v>4.0980000000000003E-2</v>
      </c>
      <c r="C329">
        <v>6.9000000000000006E-2</v>
      </c>
      <c r="D329">
        <v>4.0980000000000003E-2</v>
      </c>
      <c r="E329">
        <v>6.1740000000000003E-2</v>
      </c>
      <c r="F329">
        <v>435213039.60000002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0.48179871520342599</v>
      </c>
      <c r="Q329">
        <f t="shared" si="970"/>
        <v>209685083.31905776</v>
      </c>
      <c r="R329">
        <f t="shared" si="971"/>
        <v>-543186396.0548234</v>
      </c>
      <c r="S329">
        <f t="shared" si="972"/>
        <v>-5431.863960548234</v>
      </c>
      <c r="T329">
        <f t="shared" si="973"/>
        <v>-5.4318639605482337</v>
      </c>
    </row>
    <row r="330" spans="1:20" x14ac:dyDescent="0.25">
      <c r="A330" s="5">
        <v>44263</v>
      </c>
      <c r="B330">
        <v>3.721E-2</v>
      </c>
      <c r="C330">
        <v>4.233E-2</v>
      </c>
      <c r="D330">
        <v>3.628E-2</v>
      </c>
      <c r="E330">
        <v>4.0989999999999999E-2</v>
      </c>
      <c r="F330">
        <v>82365181.700000003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0.55702479338842947</v>
      </c>
      <c r="Q330">
        <f t="shared" si="970"/>
        <v>45879448.318842955</v>
      </c>
      <c r="R330">
        <f t="shared" si="971"/>
        <v>-752871479.37388122</v>
      </c>
      <c r="S330">
        <f t="shared" si="972"/>
        <v>-7528.7147937388127</v>
      </c>
      <c r="T330">
        <f t="shared" si="973"/>
        <v>-7.5287147937388124</v>
      </c>
    </row>
    <row r="331" spans="1:20" x14ac:dyDescent="0.25">
      <c r="A331" s="5">
        <v>44262</v>
      </c>
      <c r="B331">
        <v>3.6839999999999998E-2</v>
      </c>
      <c r="C331">
        <v>3.7999999999999999E-2</v>
      </c>
      <c r="D331">
        <v>3.6429999999999997E-2</v>
      </c>
      <c r="E331">
        <v>3.7199999999999997E-2</v>
      </c>
      <c r="F331">
        <v>52821748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-1.9108280254778478E-2</v>
      </c>
      <c r="Q331">
        <f t="shared" si="970"/>
        <v>-1009332.7643312846</v>
      </c>
      <c r="R331">
        <f t="shared" si="971"/>
        <v>-798750927.69272423</v>
      </c>
      <c r="S331">
        <f t="shared" si="972"/>
        <v>-7987.5092769272424</v>
      </c>
      <c r="T331">
        <f t="shared" si="973"/>
        <v>-7.9875092769272422</v>
      </c>
    </row>
    <row r="332" spans="1:20" x14ac:dyDescent="0.25">
      <c r="A332" s="5">
        <v>44261</v>
      </c>
      <c r="B332">
        <v>3.397E-2</v>
      </c>
      <c r="C332">
        <v>3.7969999999999997E-2</v>
      </c>
      <c r="D332">
        <v>3.356E-2</v>
      </c>
      <c r="E332">
        <v>3.6830000000000002E-2</v>
      </c>
      <c r="F332">
        <v>42912699.299999997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0.48299319727891343</v>
      </c>
      <c r="Q332">
        <f t="shared" si="970"/>
        <v>20726541.83877559</v>
      </c>
      <c r="R332">
        <f t="shared" si="971"/>
        <v>-797741594.92839289</v>
      </c>
      <c r="S332">
        <f t="shared" si="972"/>
        <v>-7977.415949283929</v>
      </c>
      <c r="T332">
        <f t="shared" si="973"/>
        <v>-7.9774159492839294</v>
      </c>
    </row>
    <row r="333" spans="1:20" x14ac:dyDescent="0.25">
      <c r="A333" s="5">
        <v>44260</v>
      </c>
      <c r="B333">
        <v>3.2629999999999999E-2</v>
      </c>
      <c r="C333">
        <v>3.5000000000000003E-2</v>
      </c>
      <c r="D333">
        <v>3.0609999999999998E-2</v>
      </c>
      <c r="E333">
        <v>3.4099999999999998E-2</v>
      </c>
      <c r="F333">
        <v>55289704.200000003</v>
      </c>
      <c r="G333">
        <v>0</v>
      </c>
      <c r="L333" t="s">
        <v>7</v>
      </c>
      <c r="M333" t="s">
        <v>8</v>
      </c>
      <c r="N333" t="s">
        <v>8</v>
      </c>
      <c r="P333">
        <f t="shared" si="969"/>
        <v>0.58997722095671801</v>
      </c>
      <c r="Q333">
        <f t="shared" si="970"/>
        <v>32619666.031434983</v>
      </c>
      <c r="R333">
        <f t="shared" si="971"/>
        <v>-818468136.76716852</v>
      </c>
      <c r="S333">
        <f t="shared" si="972"/>
        <v>-8184.6813676716856</v>
      </c>
      <c r="T333">
        <f t="shared" si="973"/>
        <v>-8.1846813676716863</v>
      </c>
    </row>
    <row r="334" spans="1:20" x14ac:dyDescent="0.25">
      <c r="A334" s="5">
        <v>44259</v>
      </c>
      <c r="B334">
        <v>3.3160000000000002E-2</v>
      </c>
      <c r="C334">
        <v>3.5529999999999999E-2</v>
      </c>
      <c r="D334">
        <v>3.1350000000000003E-2</v>
      </c>
      <c r="E334">
        <v>3.2649999999999998E-2</v>
      </c>
      <c r="F334">
        <v>49284759.799999997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-0.3779904306220111</v>
      </c>
      <c r="Q334">
        <f t="shared" si="970"/>
        <v>-18629167.579904381</v>
      </c>
      <c r="R334">
        <f t="shared" si="971"/>
        <v>-851087802.79860353</v>
      </c>
      <c r="S334">
        <f t="shared" si="972"/>
        <v>-8510.8780279860348</v>
      </c>
      <c r="T334">
        <f t="shared" si="973"/>
        <v>-8.5108780279860348</v>
      </c>
    </row>
    <row r="335" spans="1:20" x14ac:dyDescent="0.25">
      <c r="A335" s="5">
        <v>44258</v>
      </c>
      <c r="B335">
        <v>3.2469999999999999E-2</v>
      </c>
      <c r="C335">
        <v>3.3980000000000003E-2</v>
      </c>
      <c r="D335">
        <v>3.073E-2</v>
      </c>
      <c r="E335">
        <v>3.3349999999999998E-2</v>
      </c>
      <c r="F335">
        <v>36953298</v>
      </c>
      <c r="G335">
        <v>0</v>
      </c>
      <c r="L335" t="s">
        <v>7</v>
      </c>
      <c r="M335" t="s">
        <v>8</v>
      </c>
      <c r="N335" t="s">
        <v>8</v>
      </c>
      <c r="P335">
        <f t="shared" si="969"/>
        <v>0.61230769230768922</v>
      </c>
      <c r="Q335">
        <f t="shared" si="970"/>
        <v>22626788.621538348</v>
      </c>
      <c r="R335">
        <f t="shared" si="971"/>
        <v>-832458635.2186991</v>
      </c>
      <c r="S335">
        <f t="shared" si="972"/>
        <v>-8324.5863521869906</v>
      </c>
      <c r="T335">
        <f t="shared" si="973"/>
        <v>-8.3245863521869907</v>
      </c>
    </row>
    <row r="336" spans="1:20" x14ac:dyDescent="0.25">
      <c r="A336" s="5">
        <v>44257</v>
      </c>
      <c r="B336">
        <v>3.2930000000000001E-2</v>
      </c>
      <c r="C336">
        <v>3.5970000000000002E-2</v>
      </c>
      <c r="D336">
        <v>3.0380000000000001E-2</v>
      </c>
      <c r="E336">
        <v>3.2469999999999999E-2</v>
      </c>
      <c r="F336">
        <v>59683638.5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-0.25223613595706701</v>
      </c>
      <c r="Q336">
        <f t="shared" si="970"/>
        <v>-15054370.355098439</v>
      </c>
      <c r="R336">
        <f t="shared" si="971"/>
        <v>-855085423.8402375</v>
      </c>
      <c r="S336">
        <f t="shared" si="972"/>
        <v>-8550.8542384023749</v>
      </c>
      <c r="T336">
        <f t="shared" si="973"/>
        <v>-8.5508542384023745</v>
      </c>
    </row>
    <row r="337" spans="1:20" x14ac:dyDescent="0.25">
      <c r="A337" s="5">
        <v>44256</v>
      </c>
      <c r="B337">
        <v>2.86E-2</v>
      </c>
      <c r="C337">
        <v>3.3419999999999998E-2</v>
      </c>
      <c r="D337">
        <v>2.8539999999999999E-2</v>
      </c>
      <c r="E337">
        <v>3.2930000000000001E-2</v>
      </c>
      <c r="F337">
        <v>38538772.899999999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0.79918032786885351</v>
      </c>
      <c r="Q337">
        <f t="shared" si="970"/>
        <v>30799429.161885284</v>
      </c>
      <c r="R337">
        <f t="shared" si="971"/>
        <v>-840031053.48513901</v>
      </c>
      <c r="S337">
        <f t="shared" si="972"/>
        <v>-8400.3105348513909</v>
      </c>
      <c r="T337">
        <f t="shared" si="973"/>
        <v>-8.4003105348513909</v>
      </c>
    </row>
    <row r="338" spans="1:20" x14ac:dyDescent="0.25">
      <c r="A338" s="5">
        <v>44255</v>
      </c>
      <c r="B338">
        <v>3.0339999999999999E-2</v>
      </c>
      <c r="C338">
        <v>3.0839999999999999E-2</v>
      </c>
      <c r="D338">
        <v>2.5770000000000001E-2</v>
      </c>
      <c r="E338">
        <v>2.861E-2</v>
      </c>
      <c r="F338">
        <v>28787340.699999999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0.12031558185404333</v>
      </c>
      <c r="Q338">
        <f t="shared" si="970"/>
        <v>3463565.6463510827</v>
      </c>
      <c r="R338">
        <f t="shared" si="971"/>
        <v>-870830482.64702427</v>
      </c>
      <c r="S338">
        <f t="shared" si="972"/>
        <v>-8708.3048264702429</v>
      </c>
      <c r="T338">
        <f t="shared" si="973"/>
        <v>-8.7083048264702434</v>
      </c>
    </row>
    <row r="339" spans="1:20" x14ac:dyDescent="0.25">
      <c r="A339" s="5">
        <v>44254</v>
      </c>
      <c r="B339">
        <v>2.9829999999999999E-2</v>
      </c>
      <c r="C339">
        <v>3.2919999999999998E-2</v>
      </c>
      <c r="D339">
        <v>2.9170000000000001E-2</v>
      </c>
      <c r="E339">
        <v>3.0689999999999999E-2</v>
      </c>
      <c r="F339">
        <v>26025415.699999999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-0.18933333333333413</v>
      </c>
      <c r="Q339">
        <f t="shared" si="970"/>
        <v>-4927478.705866687</v>
      </c>
      <c r="R339">
        <f t="shared" si="971"/>
        <v>-874294048.29337537</v>
      </c>
      <c r="S339">
        <f t="shared" si="972"/>
        <v>-8742.9404829337545</v>
      </c>
      <c r="T339">
        <f t="shared" si="973"/>
        <v>-8.7429404829337543</v>
      </c>
    </row>
    <row r="340" spans="1:20" x14ac:dyDescent="0.25">
      <c r="A340" s="5">
        <v>44253</v>
      </c>
      <c r="B340">
        <v>2.964E-2</v>
      </c>
      <c r="C340">
        <v>3.2829999999999998E-2</v>
      </c>
      <c r="D340">
        <v>2.7109999999999999E-2</v>
      </c>
      <c r="E340">
        <v>2.9829999999999999E-2</v>
      </c>
      <c r="F340">
        <v>30173411.100000001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-4.8951048951048778E-2</v>
      </c>
      <c r="Q340">
        <f t="shared" si="970"/>
        <v>-1477020.1237762186</v>
      </c>
      <c r="R340">
        <f t="shared" si="971"/>
        <v>-869366569.58750868</v>
      </c>
      <c r="S340">
        <f t="shared" si="972"/>
        <v>-8693.6656958750864</v>
      </c>
      <c r="T340">
        <f t="shared" si="973"/>
        <v>-8.6936656958750866</v>
      </c>
    </row>
    <row r="341" spans="1:20" x14ac:dyDescent="0.25">
      <c r="A341" s="5">
        <v>44252</v>
      </c>
      <c r="B341">
        <v>2.9049999999999999E-2</v>
      </c>
      <c r="C341">
        <v>3.6060000000000002E-2</v>
      </c>
      <c r="D341">
        <v>2.8539999999999999E-2</v>
      </c>
      <c r="E341">
        <v>2.9860000000000001E-2</v>
      </c>
      <c r="F341">
        <v>37548479.299999997</v>
      </c>
      <c r="G341">
        <v>0</v>
      </c>
      <c r="L341" t="s">
        <v>8</v>
      </c>
      <c r="M341" t="s">
        <v>7</v>
      </c>
      <c r="N341" t="s">
        <v>8</v>
      </c>
      <c r="P341">
        <f t="shared" si="969"/>
        <v>-0.64893617021276562</v>
      </c>
      <c r="Q341">
        <f t="shared" si="970"/>
        <v>-24366566.354255304</v>
      </c>
      <c r="R341">
        <f t="shared" si="971"/>
        <v>-867889549.46373248</v>
      </c>
      <c r="S341">
        <f t="shared" si="972"/>
        <v>-8678.8954946373251</v>
      </c>
      <c r="T341">
        <f t="shared" si="973"/>
        <v>-8.6788954946373256</v>
      </c>
    </row>
    <row r="342" spans="1:20" x14ac:dyDescent="0.25">
      <c r="A342" s="5">
        <v>44251</v>
      </c>
      <c r="B342">
        <v>2.903E-2</v>
      </c>
      <c r="C342">
        <v>3.4700000000000002E-2</v>
      </c>
      <c r="D342">
        <v>2.7730000000000001E-2</v>
      </c>
      <c r="E342">
        <v>2.8899999999999999E-2</v>
      </c>
      <c r="F342">
        <v>42702789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-0.66427546628407541</v>
      </c>
      <c r="Q342">
        <f t="shared" si="970"/>
        <v>-28366415.074605487</v>
      </c>
      <c r="R342">
        <f t="shared" si="971"/>
        <v>-843522983.10947716</v>
      </c>
      <c r="S342">
        <f t="shared" si="972"/>
        <v>-8435.2298310947717</v>
      </c>
      <c r="T342">
        <f t="shared" si="973"/>
        <v>-8.4352298310947713</v>
      </c>
    </row>
    <row r="343" spans="1:20" x14ac:dyDescent="0.25">
      <c r="A343" s="5">
        <v>44250</v>
      </c>
      <c r="B343">
        <v>3.5069999999999997E-2</v>
      </c>
      <c r="C343">
        <v>3.5069999999999997E-2</v>
      </c>
      <c r="D343">
        <v>2.172E-2</v>
      </c>
      <c r="E343">
        <v>2.904E-2</v>
      </c>
      <c r="F343">
        <v>47712577.899999999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9.6629213483146306E-2</v>
      </c>
      <c r="Q343">
        <f t="shared" si="970"/>
        <v>4610428.8757303488</v>
      </c>
      <c r="R343">
        <f t="shared" si="971"/>
        <v>-815156568.0348717</v>
      </c>
      <c r="S343">
        <f t="shared" si="972"/>
        <v>-8151.5656803487173</v>
      </c>
      <c r="T343">
        <f t="shared" si="973"/>
        <v>-8.1515656803487175</v>
      </c>
    </row>
    <row r="344" spans="1:20" x14ac:dyDescent="0.25">
      <c r="A344" s="5">
        <v>44249</v>
      </c>
      <c r="B344">
        <v>3.9809999999999998E-2</v>
      </c>
      <c r="C344">
        <v>4.0059999999999998E-2</v>
      </c>
      <c r="D344">
        <v>2.588E-2</v>
      </c>
      <c r="E344">
        <v>3.5060000000000001E-2</v>
      </c>
      <c r="F344">
        <v>34213517.399999999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0.2947813822284911</v>
      </c>
      <c r="Q344">
        <f t="shared" si="970"/>
        <v>10085507.95007053</v>
      </c>
      <c r="R344">
        <f t="shared" si="971"/>
        <v>-819766996.91060209</v>
      </c>
      <c r="S344">
        <f t="shared" si="972"/>
        <v>-8197.6699691060203</v>
      </c>
      <c r="T344">
        <f t="shared" si="973"/>
        <v>-8.1976699691060197</v>
      </c>
    </row>
    <row r="345" spans="1:20" x14ac:dyDescent="0.25">
      <c r="A345" s="5">
        <v>44248</v>
      </c>
      <c r="B345">
        <v>3.6740000000000002E-2</v>
      </c>
      <c r="C345">
        <v>4.2750000000000003E-2</v>
      </c>
      <c r="D345">
        <v>3.653E-2</v>
      </c>
      <c r="E345">
        <v>3.9829999999999997E-2</v>
      </c>
      <c r="F345">
        <v>47366224.899999999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6.1093247588423029E-2</v>
      </c>
      <c r="Q345">
        <f t="shared" si="970"/>
        <v>2893756.5051446278</v>
      </c>
      <c r="R345">
        <f t="shared" si="971"/>
        <v>-829852504.86067259</v>
      </c>
      <c r="S345">
        <f t="shared" si="972"/>
        <v>-8298.5250486067252</v>
      </c>
      <c r="T345">
        <f t="shared" si="973"/>
        <v>-8.2985250486067255</v>
      </c>
    </row>
    <row r="346" spans="1:20" x14ac:dyDescent="0.25">
      <c r="A346" s="5">
        <v>44247</v>
      </c>
      <c r="B346">
        <v>3.9300000000000002E-2</v>
      </c>
      <c r="C346">
        <v>4.1029999999999997E-2</v>
      </c>
      <c r="D346">
        <v>3.5099999999999999E-2</v>
      </c>
      <c r="E346">
        <v>3.6749999999999998E-2</v>
      </c>
      <c r="F346">
        <v>32294518.100000001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-0.44350758853288386</v>
      </c>
      <c r="Q346">
        <f t="shared" si="970"/>
        <v>-14322863.84536257</v>
      </c>
      <c r="R346">
        <f t="shared" si="971"/>
        <v>-832746261.36581719</v>
      </c>
      <c r="S346">
        <f t="shared" si="972"/>
        <v>-8327.4626136581719</v>
      </c>
      <c r="T346">
        <f t="shared" si="973"/>
        <v>-8.327462613658172</v>
      </c>
    </row>
    <row r="347" spans="1:20" x14ac:dyDescent="0.25">
      <c r="A347" s="5">
        <v>44246</v>
      </c>
      <c r="B347">
        <v>3.9070000000000001E-2</v>
      </c>
      <c r="C347">
        <v>4.2799999999999998E-2</v>
      </c>
      <c r="D347">
        <v>3.7900000000000003E-2</v>
      </c>
      <c r="E347">
        <v>3.9199999999999999E-2</v>
      </c>
      <c r="F347">
        <v>36146008.899999999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-0.469387755102042</v>
      </c>
      <c r="Q347">
        <f t="shared" si="970"/>
        <v>-16966493.973469429</v>
      </c>
      <c r="R347">
        <f t="shared" si="971"/>
        <v>-818423397.52045465</v>
      </c>
      <c r="S347">
        <f t="shared" si="972"/>
        <v>-8184.2339752045464</v>
      </c>
      <c r="T347">
        <f t="shared" si="973"/>
        <v>-8.1842339752045472</v>
      </c>
    </row>
    <row r="348" spans="1:20" x14ac:dyDescent="0.25">
      <c r="A348" s="5">
        <v>44245</v>
      </c>
      <c r="B348">
        <v>3.662E-2</v>
      </c>
      <c r="C348">
        <v>4.0930000000000001E-2</v>
      </c>
      <c r="D348">
        <v>3.5999999999999997E-2</v>
      </c>
      <c r="E348">
        <v>3.9039999999999998E-2</v>
      </c>
      <c r="F348">
        <v>43919022.100000001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0.23326572008113536</v>
      </c>
      <c r="Q348">
        <f t="shared" si="970"/>
        <v>10244802.315415798</v>
      </c>
      <c r="R348">
        <f t="shared" si="971"/>
        <v>-801456903.54698527</v>
      </c>
      <c r="S348">
        <f t="shared" si="972"/>
        <v>-8014.5690354698527</v>
      </c>
      <c r="T348">
        <f t="shared" si="973"/>
        <v>-8.0145690354698527</v>
      </c>
    </row>
    <row r="349" spans="1:20" x14ac:dyDescent="0.25">
      <c r="A349" s="5">
        <v>44244</v>
      </c>
      <c r="B349">
        <v>3.4759999999999999E-2</v>
      </c>
      <c r="C349">
        <v>3.7220000000000003E-2</v>
      </c>
      <c r="D349">
        <v>3.3790000000000001E-2</v>
      </c>
      <c r="E349">
        <v>3.6589999999999998E-2</v>
      </c>
      <c r="F349">
        <v>24319789.199999999</v>
      </c>
      <c r="G349">
        <v>0</v>
      </c>
      <c r="L349" t="s">
        <v>7</v>
      </c>
      <c r="M349" t="s">
        <v>8</v>
      </c>
      <c r="N349" t="s">
        <v>8</v>
      </c>
      <c r="P349">
        <f t="shared" si="969"/>
        <v>0.63265306122448683</v>
      </c>
      <c r="Q349">
        <f t="shared" si="970"/>
        <v>15385989.085714214</v>
      </c>
      <c r="R349">
        <f t="shared" si="971"/>
        <v>-811701705.86240101</v>
      </c>
      <c r="S349">
        <f t="shared" si="972"/>
        <v>-8117.0170586240101</v>
      </c>
      <c r="T349">
        <f t="shared" si="973"/>
        <v>-8.1170170586240094</v>
      </c>
    </row>
    <row r="350" spans="1:20" x14ac:dyDescent="0.25">
      <c r="A350" s="5">
        <v>44243</v>
      </c>
      <c r="B350">
        <v>3.499E-2</v>
      </c>
      <c r="C350">
        <v>3.8490000000000003E-2</v>
      </c>
      <c r="D350">
        <v>3.3730000000000003E-2</v>
      </c>
      <c r="E350">
        <v>3.4770000000000002E-2</v>
      </c>
      <c r="F350">
        <v>60498238.100000001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-0.56302521008403394</v>
      </c>
      <c r="Q350">
        <f t="shared" si="970"/>
        <v>-34062033.215966411</v>
      </c>
      <c r="R350">
        <f t="shared" si="971"/>
        <v>-827087694.94811523</v>
      </c>
      <c r="S350">
        <f t="shared" si="972"/>
        <v>-8270.8769494811531</v>
      </c>
      <c r="T350">
        <f t="shared" si="973"/>
        <v>-8.2708769494811527</v>
      </c>
    </row>
    <row r="351" spans="1:20" x14ac:dyDescent="0.25">
      <c r="A351" s="5">
        <v>44242</v>
      </c>
      <c r="B351">
        <v>3.7190000000000001E-2</v>
      </c>
      <c r="C351">
        <v>3.909E-2</v>
      </c>
      <c r="D351">
        <v>3.2730000000000002E-2</v>
      </c>
      <c r="E351">
        <v>3.4909999999999997E-2</v>
      </c>
      <c r="F351">
        <v>35691390.700000003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-0.31446540880503293</v>
      </c>
      <c r="Q351">
        <f t="shared" si="970"/>
        <v>-11223707.767295651</v>
      </c>
      <c r="R351">
        <f t="shared" si="971"/>
        <v>-793025661.73214877</v>
      </c>
      <c r="S351">
        <f t="shared" si="972"/>
        <v>-7930.2566173214873</v>
      </c>
      <c r="T351">
        <f t="shared" si="973"/>
        <v>-7.9302566173214872</v>
      </c>
    </row>
    <row r="352" spans="1:20" x14ac:dyDescent="0.25">
      <c r="A352" s="5">
        <v>44241</v>
      </c>
      <c r="B352">
        <v>3.8719999999999997E-2</v>
      </c>
      <c r="C352">
        <v>4.0960000000000003E-2</v>
      </c>
      <c r="D352">
        <v>3.5569999999999997E-2</v>
      </c>
      <c r="E352">
        <v>3.7199999999999997E-2</v>
      </c>
      <c r="F352">
        <v>36607006.100000001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-0.3951762523191103</v>
      </c>
      <c r="Q352">
        <f t="shared" si="970"/>
        <v>-14466219.479220811</v>
      </c>
      <c r="R352">
        <f t="shared" si="971"/>
        <v>-781801953.96485317</v>
      </c>
      <c r="S352">
        <f t="shared" si="972"/>
        <v>-7818.0195396485315</v>
      </c>
      <c r="T352">
        <f t="shared" si="973"/>
        <v>-7.8180195396485317</v>
      </c>
    </row>
    <row r="353" spans="1:20" x14ac:dyDescent="0.25">
      <c r="A353" s="5">
        <v>44240</v>
      </c>
      <c r="B353">
        <v>3.6089999999999997E-2</v>
      </c>
      <c r="C353">
        <v>3.9050000000000001E-2</v>
      </c>
      <c r="D353">
        <v>3.3980000000000003E-2</v>
      </c>
      <c r="E353">
        <v>3.8719999999999997E-2</v>
      </c>
      <c r="F353">
        <v>45971616.100000001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0.86982248520709904</v>
      </c>
      <c r="Q353">
        <f t="shared" si="970"/>
        <v>39987145.365088686</v>
      </c>
      <c r="R353">
        <f t="shared" si="971"/>
        <v>-767335734.4856323</v>
      </c>
      <c r="S353">
        <f t="shared" si="972"/>
        <v>-7673.3573448563229</v>
      </c>
      <c r="T353">
        <f t="shared" si="973"/>
        <v>-7.6733573448563233</v>
      </c>
    </row>
    <row r="354" spans="1:20" x14ac:dyDescent="0.25">
      <c r="A354" s="5">
        <v>44239</v>
      </c>
      <c r="B354">
        <v>3.397E-2</v>
      </c>
      <c r="C354">
        <v>3.8440000000000002E-2</v>
      </c>
      <c r="D354">
        <v>3.193E-2</v>
      </c>
      <c r="E354">
        <v>3.6179999999999997E-2</v>
      </c>
      <c r="F354">
        <v>73603559.799999997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0.30568356374807854</v>
      </c>
      <c r="Q354">
        <f t="shared" si="970"/>
        <v>22499398.464208812</v>
      </c>
      <c r="R354">
        <f t="shared" si="971"/>
        <v>-807322879.850721</v>
      </c>
      <c r="S354">
        <f t="shared" si="972"/>
        <v>-8073.2287985072098</v>
      </c>
      <c r="T354">
        <f t="shared" si="973"/>
        <v>-8.0732287985072091</v>
      </c>
    </row>
    <row r="355" spans="1:20" x14ac:dyDescent="0.25">
      <c r="A355" s="5">
        <v>44238</v>
      </c>
      <c r="B355">
        <v>0.03</v>
      </c>
      <c r="C355">
        <v>3.5999999999999997E-2</v>
      </c>
      <c r="D355">
        <v>2.9350000000000001E-2</v>
      </c>
      <c r="E355">
        <v>3.397E-2</v>
      </c>
      <c r="F355">
        <v>58101401.399999999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0.38947368421052686</v>
      </c>
      <c r="Q355">
        <f t="shared" si="970"/>
        <v>22628966.861052662</v>
      </c>
      <c r="R355">
        <f t="shared" si="971"/>
        <v>-829822278.31492984</v>
      </c>
      <c r="S355">
        <f t="shared" si="972"/>
        <v>-8298.2227831492983</v>
      </c>
      <c r="T355">
        <f t="shared" si="973"/>
        <v>-8.2982227831492974</v>
      </c>
    </row>
    <row r="356" spans="1:20" x14ac:dyDescent="0.25">
      <c r="A356" s="5">
        <v>44237</v>
      </c>
      <c r="B356">
        <v>2.9729999999999999E-2</v>
      </c>
      <c r="C356">
        <v>3.3700000000000001E-2</v>
      </c>
      <c r="D356">
        <v>2.6679999999999999E-2</v>
      </c>
      <c r="E356">
        <v>0.03</v>
      </c>
      <c r="F356">
        <v>52368585.799999997</v>
      </c>
      <c r="G356">
        <v>0</v>
      </c>
      <c r="L356" t="s">
        <v>7</v>
      </c>
      <c r="M356" t="s">
        <v>8</v>
      </c>
      <c r="N356" t="s">
        <v>8</v>
      </c>
      <c r="P356">
        <f t="shared" si="969"/>
        <v>-5.4131054131054381E-2</v>
      </c>
      <c r="Q356">
        <f t="shared" si="970"/>
        <v>-2834766.7527065654</v>
      </c>
      <c r="R356">
        <f t="shared" si="971"/>
        <v>-852451245.17598248</v>
      </c>
      <c r="S356">
        <f t="shared" si="972"/>
        <v>-8524.5124517598251</v>
      </c>
      <c r="T356">
        <f t="shared" si="973"/>
        <v>-8.5245124517598256</v>
      </c>
    </row>
    <row r="357" spans="1:20" x14ac:dyDescent="0.25">
      <c r="A357" s="5">
        <v>44236</v>
      </c>
      <c r="B357">
        <v>3.0300000000000001E-2</v>
      </c>
      <c r="C357">
        <v>3.1E-2</v>
      </c>
      <c r="D357">
        <v>2.879E-2</v>
      </c>
      <c r="E357">
        <v>2.962E-2</v>
      </c>
      <c r="F357">
        <v>27933311</v>
      </c>
      <c r="G357">
        <v>0</v>
      </c>
      <c r="L357" t="s">
        <v>7</v>
      </c>
      <c r="M357" t="s">
        <v>8</v>
      </c>
      <c r="N357" t="s">
        <v>8</v>
      </c>
      <c r="P357">
        <f t="shared" si="969"/>
        <v>-0.24886877828054224</v>
      </c>
      <c r="Q357">
        <f t="shared" si="970"/>
        <v>-6951728.9819004312</v>
      </c>
      <c r="R357">
        <f t="shared" si="971"/>
        <v>-849616478.42327595</v>
      </c>
      <c r="S357">
        <f t="shared" si="972"/>
        <v>-8496.1647842327602</v>
      </c>
      <c r="T357">
        <f t="shared" si="973"/>
        <v>-8.4961647842327608</v>
      </c>
    </row>
    <row r="358" spans="1:20" x14ac:dyDescent="0.25">
      <c r="A358" s="5">
        <v>44235</v>
      </c>
      <c r="B358">
        <v>2.5049999999999999E-2</v>
      </c>
      <c r="C358">
        <v>3.1E-2</v>
      </c>
      <c r="D358">
        <v>2.461E-2</v>
      </c>
      <c r="E358">
        <v>3.0190000000000002E-2</v>
      </c>
      <c r="F358">
        <v>52591379.100000001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0.74647887323943718</v>
      </c>
      <c r="Q358">
        <f t="shared" si="970"/>
        <v>39258353.412676089</v>
      </c>
      <c r="R358">
        <f t="shared" si="971"/>
        <v>-842664749.44137549</v>
      </c>
      <c r="S358">
        <f t="shared" si="972"/>
        <v>-8426.6474944137553</v>
      </c>
      <c r="T358">
        <f t="shared" si="973"/>
        <v>-8.4266474944137553</v>
      </c>
    </row>
    <row r="359" spans="1:20" x14ac:dyDescent="0.25">
      <c r="A359" s="5">
        <v>44234</v>
      </c>
      <c r="B359">
        <v>2.605E-2</v>
      </c>
      <c r="C359">
        <v>2.7089999999999999E-2</v>
      </c>
      <c r="D359">
        <v>2.402E-2</v>
      </c>
      <c r="E359">
        <v>2.5049999999999999E-2</v>
      </c>
      <c r="F359">
        <v>28915389.899999999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-0.32899022801302952</v>
      </c>
      <c r="Q359">
        <f t="shared" si="970"/>
        <v>-9512880.7162866499</v>
      </c>
      <c r="R359">
        <f t="shared" si="971"/>
        <v>-881923102.85405159</v>
      </c>
      <c r="S359">
        <f t="shared" si="972"/>
        <v>-8819.2310285405165</v>
      </c>
      <c r="T359">
        <f t="shared" si="973"/>
        <v>-8.819231028540516</v>
      </c>
    </row>
    <row r="360" spans="1:20" x14ac:dyDescent="0.25">
      <c r="A360" s="5">
        <v>44233</v>
      </c>
      <c r="B360">
        <v>2.8799999999999999E-2</v>
      </c>
      <c r="C360">
        <v>2.912E-2</v>
      </c>
      <c r="D360">
        <v>2.5389999999999999E-2</v>
      </c>
      <c r="E360">
        <v>2.6159999999999999E-2</v>
      </c>
      <c r="F360">
        <v>44048112.799999997</v>
      </c>
      <c r="G360">
        <v>0</v>
      </c>
      <c r="L360" t="s">
        <v>8</v>
      </c>
      <c r="M360" t="s">
        <v>7</v>
      </c>
      <c r="N360" t="s">
        <v>8</v>
      </c>
      <c r="P360">
        <f t="shared" si="969"/>
        <v>-0.58713136729222537</v>
      </c>
      <c r="Q360">
        <f t="shared" si="970"/>
        <v>-25862028.694906171</v>
      </c>
      <c r="R360">
        <f t="shared" si="971"/>
        <v>-872410222.13776493</v>
      </c>
      <c r="S360">
        <f t="shared" si="972"/>
        <v>-8724.1022213776487</v>
      </c>
      <c r="T360">
        <f t="shared" si="973"/>
        <v>-8.7241022213776489</v>
      </c>
    </row>
    <row r="361" spans="1:20" x14ac:dyDescent="0.25">
      <c r="A361" s="5">
        <v>44232</v>
      </c>
      <c r="B361">
        <v>2.3970000000000002E-2</v>
      </c>
      <c r="C361">
        <v>3.1199999999999999E-2</v>
      </c>
      <c r="D361">
        <v>2.2700000000000001E-2</v>
      </c>
      <c r="E361">
        <v>2.9000000000000001E-2</v>
      </c>
      <c r="F361">
        <v>91678378.599999994</v>
      </c>
      <c r="G361">
        <v>0</v>
      </c>
      <c r="L361" t="s">
        <v>7</v>
      </c>
      <c r="M361" t="s">
        <v>8</v>
      </c>
      <c r="N361" t="s">
        <v>8</v>
      </c>
      <c r="P361">
        <f t="shared" si="969"/>
        <v>0.4823529411764711</v>
      </c>
      <c r="Q361">
        <f t="shared" si="970"/>
        <v>44221335.560000047</v>
      </c>
      <c r="R361">
        <f t="shared" si="971"/>
        <v>-846548193.44285882</v>
      </c>
      <c r="S361">
        <f t="shared" si="972"/>
        <v>-8465.4819344285879</v>
      </c>
      <c r="T361">
        <f t="shared" si="973"/>
        <v>-8.4654819344285883</v>
      </c>
    </row>
    <row r="362" spans="1:20" x14ac:dyDescent="0.25">
      <c r="A362" s="5">
        <v>44231</v>
      </c>
      <c r="B362">
        <v>2.5360000000000001E-2</v>
      </c>
      <c r="C362">
        <v>2.665E-2</v>
      </c>
      <c r="D362">
        <v>2.3130000000000001E-2</v>
      </c>
      <c r="E362">
        <v>2.3970000000000002E-2</v>
      </c>
      <c r="F362">
        <v>63805487.100000001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-0.52272727272727226</v>
      </c>
      <c r="Q362">
        <f t="shared" si="970"/>
        <v>-33352868.256818153</v>
      </c>
      <c r="R362">
        <f t="shared" si="971"/>
        <v>-890769529.00285888</v>
      </c>
      <c r="S362">
        <f t="shared" si="972"/>
        <v>-8907.6952900285887</v>
      </c>
      <c r="T362">
        <f t="shared" si="973"/>
        <v>-8.9076952900285882</v>
      </c>
    </row>
    <row r="363" spans="1:20" x14ac:dyDescent="0.25">
      <c r="A363" s="5">
        <v>44230</v>
      </c>
      <c r="B363">
        <v>2.496E-2</v>
      </c>
      <c r="C363">
        <v>2.9000000000000001E-2</v>
      </c>
      <c r="D363">
        <v>2.478E-2</v>
      </c>
      <c r="E363">
        <v>2.537E-2</v>
      </c>
      <c r="F363">
        <v>38039363.200000003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-0.72037914691943128</v>
      </c>
      <c r="Q363">
        <f t="shared" si="970"/>
        <v>-27402764.01137441</v>
      </c>
      <c r="R363">
        <f t="shared" si="971"/>
        <v>-857416660.7460407</v>
      </c>
      <c r="S363">
        <f t="shared" si="972"/>
        <v>-8574.1666074604072</v>
      </c>
      <c r="T363">
        <f t="shared" si="973"/>
        <v>-8.5741666074604073</v>
      </c>
    </row>
    <row r="364" spans="1:20" x14ac:dyDescent="0.25">
      <c r="A364" s="5">
        <v>44229</v>
      </c>
      <c r="B364">
        <v>2.308E-2</v>
      </c>
      <c r="C364">
        <v>2.555E-2</v>
      </c>
      <c r="D364">
        <v>2.281E-2</v>
      </c>
      <c r="E364">
        <v>2.495E-2</v>
      </c>
      <c r="F364">
        <v>31757312.800000001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0.56204379562043794</v>
      </c>
      <c r="Q364">
        <f t="shared" si="970"/>
        <v>17849000.624817517</v>
      </c>
      <c r="R364">
        <f t="shared" si="971"/>
        <v>-830013896.73466635</v>
      </c>
      <c r="S364">
        <f t="shared" si="972"/>
        <v>-8300.1389673466638</v>
      </c>
      <c r="T364">
        <f t="shared" si="973"/>
        <v>-8.3001389673466637</v>
      </c>
    </row>
    <row r="365" spans="1:20" x14ac:dyDescent="0.25">
      <c r="A365" s="5">
        <v>44228</v>
      </c>
      <c r="B365">
        <v>2.4160000000000001E-2</v>
      </c>
      <c r="C365">
        <v>2.4680000000000001E-2</v>
      </c>
      <c r="D365">
        <v>2.23E-2</v>
      </c>
      <c r="E365">
        <v>2.308E-2</v>
      </c>
      <c r="F365">
        <v>34651791.100000001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-0.34453781512605092</v>
      </c>
      <c r="Q365">
        <f t="shared" si="970"/>
        <v>-11938852.395798337</v>
      </c>
      <c r="R365">
        <f t="shared" si="971"/>
        <v>-847862897.35948384</v>
      </c>
      <c r="S365">
        <f t="shared" si="972"/>
        <v>-8478.6289735948376</v>
      </c>
      <c r="T365">
        <f t="shared" si="973"/>
        <v>-8.4786289735948372</v>
      </c>
    </row>
    <row r="366" spans="1:20" x14ac:dyDescent="0.25">
      <c r="A366" s="5">
        <v>44227</v>
      </c>
      <c r="B366">
        <v>2.0250000000000001E-2</v>
      </c>
      <c r="C366">
        <v>3.1199999999999999E-2</v>
      </c>
      <c r="D366">
        <v>0.02</v>
      </c>
      <c r="E366">
        <v>2.4119999999999999E-2</v>
      </c>
      <c r="F366">
        <v>311981470.39999998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-0.2642857142857144</v>
      </c>
      <c r="Q366">
        <f t="shared" si="970"/>
        <v>-82452245.748571455</v>
      </c>
      <c r="R366">
        <f t="shared" si="971"/>
        <v>-835924044.96368551</v>
      </c>
      <c r="S366">
        <f t="shared" si="972"/>
        <v>-8359.2404496368545</v>
      </c>
      <c r="T366">
        <f t="shared" si="973"/>
        <v>-8.3592404496368538</v>
      </c>
    </row>
    <row r="367" spans="1:20" x14ac:dyDescent="0.25">
      <c r="A367" s="5">
        <v>44226</v>
      </c>
      <c r="B367">
        <v>1.9369999999999998E-2</v>
      </c>
      <c r="C367">
        <v>2.2849999999999999E-2</v>
      </c>
      <c r="D367">
        <v>1.8679999999999999E-2</v>
      </c>
      <c r="E367">
        <v>2.0279999999999999E-2</v>
      </c>
      <c r="F367">
        <v>50854744.100000001</v>
      </c>
      <c r="G367">
        <v>0</v>
      </c>
      <c r="L367" t="s">
        <v>8</v>
      </c>
      <c r="M367" t="s">
        <v>8</v>
      </c>
      <c r="N367" t="s">
        <v>7</v>
      </c>
      <c r="P367">
        <f t="shared" si="969"/>
        <v>-0.23261390887290134</v>
      </c>
      <c r="Q367">
        <f t="shared" si="970"/>
        <v>-11829520.809832118</v>
      </c>
      <c r="R367">
        <f t="shared" si="971"/>
        <v>-753471799.215114</v>
      </c>
      <c r="S367">
        <f t="shared" si="972"/>
        <v>-7534.7179921511397</v>
      </c>
      <c r="T367">
        <f t="shared" si="973"/>
        <v>-7.5347179921511396</v>
      </c>
    </row>
    <row r="368" spans="1:20" x14ac:dyDescent="0.25">
      <c r="A368" s="5">
        <v>44225</v>
      </c>
      <c r="B368">
        <v>1.8870000000000001E-2</v>
      </c>
      <c r="C368">
        <v>2.1409999999999998E-2</v>
      </c>
      <c r="D368">
        <v>1.8440000000000002E-2</v>
      </c>
      <c r="E368">
        <v>1.9279999999999999E-2</v>
      </c>
      <c r="F368">
        <v>78355088.799999997</v>
      </c>
      <c r="G368">
        <v>0</v>
      </c>
      <c r="L368" t="s">
        <v>8</v>
      </c>
      <c r="M368" t="s">
        <v>8</v>
      </c>
      <c r="N368" t="s">
        <v>7</v>
      </c>
      <c r="P368">
        <f t="shared" si="969"/>
        <v>-0.43434343434343581</v>
      </c>
      <c r="Q368">
        <f t="shared" si="970"/>
        <v>-34033018.367676884</v>
      </c>
      <c r="R368">
        <f t="shared" si="971"/>
        <v>-741642278.4052819</v>
      </c>
      <c r="S368">
        <f t="shared" si="972"/>
        <v>-7416.4227840528192</v>
      </c>
      <c r="T368">
        <f t="shared" si="973"/>
        <v>-7.416422784052819</v>
      </c>
    </row>
    <row r="369" spans="1:20" x14ac:dyDescent="0.25">
      <c r="A369" s="5">
        <v>44224</v>
      </c>
      <c r="B369">
        <v>1.908E-2</v>
      </c>
      <c r="C369">
        <v>2.0500000000000001E-2</v>
      </c>
      <c r="D369">
        <v>1.8450000000000001E-2</v>
      </c>
      <c r="E369">
        <v>1.8790000000000001E-2</v>
      </c>
      <c r="F369">
        <v>33325168.5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-0.6682926829268292</v>
      </c>
      <c r="Q369">
        <f t="shared" si="970"/>
        <v>-22270966.265853655</v>
      </c>
      <c r="R369">
        <f t="shared" si="971"/>
        <v>-707609260.03760505</v>
      </c>
      <c r="S369">
        <f t="shared" si="972"/>
        <v>-7076.0926003760505</v>
      </c>
      <c r="T369">
        <f t="shared" si="973"/>
        <v>-7.0760926003760503</v>
      </c>
    </row>
    <row r="370" spans="1:20" x14ac:dyDescent="0.25">
      <c r="A370" s="5">
        <v>44223</v>
      </c>
      <c r="B370">
        <v>2.0910000000000002E-2</v>
      </c>
      <c r="C370">
        <v>2.0959999999999999E-2</v>
      </c>
      <c r="D370">
        <v>1.78E-2</v>
      </c>
      <c r="E370">
        <v>1.9089999999999999E-2</v>
      </c>
      <c r="F370">
        <v>43565803.700000003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-0.18354430379746858</v>
      </c>
      <c r="Q370">
        <f t="shared" si="970"/>
        <v>-7996255.1094936812</v>
      </c>
      <c r="R370">
        <f t="shared" si="971"/>
        <v>-685338293.7717514</v>
      </c>
      <c r="S370">
        <f t="shared" si="972"/>
        <v>-6853.3829377175143</v>
      </c>
      <c r="T370">
        <f t="shared" si="973"/>
        <v>-6.8533829377175142</v>
      </c>
    </row>
    <row r="371" spans="1:20" x14ac:dyDescent="0.25">
      <c r="A371" s="5">
        <v>44222</v>
      </c>
      <c r="B371">
        <v>2.162E-2</v>
      </c>
      <c r="C371">
        <v>2.2179999999999998E-2</v>
      </c>
      <c r="D371">
        <v>1.9730000000000001E-2</v>
      </c>
      <c r="E371">
        <v>2.0930000000000001E-2</v>
      </c>
      <c r="F371">
        <v>28553832.899999999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-2.0408163265305312E-2</v>
      </c>
      <c r="Q371">
        <f t="shared" si="970"/>
        <v>-582731.28367344628</v>
      </c>
      <c r="R371">
        <f t="shared" si="971"/>
        <v>-677342038.66225767</v>
      </c>
      <c r="S371">
        <f t="shared" si="972"/>
        <v>-6773.4203866225771</v>
      </c>
      <c r="T371">
        <f t="shared" si="973"/>
        <v>-6.7734203866225773</v>
      </c>
    </row>
    <row r="372" spans="1:20" x14ac:dyDescent="0.25">
      <c r="A372" s="5">
        <v>44221</v>
      </c>
      <c r="B372">
        <v>2.3019999999999999E-2</v>
      </c>
      <c r="C372">
        <v>2.4750000000000001E-2</v>
      </c>
      <c r="D372">
        <v>2.1260000000000001E-2</v>
      </c>
      <c r="E372">
        <v>2.18E-2</v>
      </c>
      <c r="F372">
        <v>73159647.799999997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-0.69054441260745059</v>
      </c>
      <c r="Q372">
        <f t="shared" si="970"/>
        <v>-50519986.01661896</v>
      </c>
      <c r="R372">
        <f t="shared" si="971"/>
        <v>-676759307.37858427</v>
      </c>
      <c r="S372">
        <f t="shared" si="972"/>
        <v>-6767.5930737858425</v>
      </c>
      <c r="T372">
        <f t="shared" si="973"/>
        <v>-6.767593073785843</v>
      </c>
    </row>
    <row r="373" spans="1:20" x14ac:dyDescent="0.25">
      <c r="A373" s="5">
        <v>44220</v>
      </c>
      <c r="B373">
        <v>2.2859999999999998E-2</v>
      </c>
      <c r="C373">
        <v>2.5190000000000001E-2</v>
      </c>
      <c r="D373">
        <v>2.2210000000000001E-2</v>
      </c>
      <c r="E373">
        <v>2.291E-2</v>
      </c>
      <c r="F373">
        <v>58158964.700000003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-0.53020134228187976</v>
      </c>
      <c r="Q373">
        <f t="shared" si="970"/>
        <v>-30835961.149664465</v>
      </c>
      <c r="R373">
        <f t="shared" si="971"/>
        <v>-626239321.3619653</v>
      </c>
      <c r="S373">
        <f t="shared" si="972"/>
        <v>-6262.3932136196527</v>
      </c>
      <c r="T373">
        <f t="shared" si="973"/>
        <v>-6.262393213619653</v>
      </c>
    </row>
    <row r="374" spans="1:20" x14ac:dyDescent="0.25">
      <c r="A374" s="5">
        <v>44219</v>
      </c>
      <c r="B374">
        <v>1.9949999999999999E-2</v>
      </c>
      <c r="C374">
        <v>2.3290000000000002E-2</v>
      </c>
      <c r="D374">
        <v>1.985E-2</v>
      </c>
      <c r="E374">
        <v>2.2870000000000001E-2</v>
      </c>
      <c r="F374">
        <v>160155354.30000001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0.7558139534883721</v>
      </c>
      <c r="Q374">
        <f t="shared" si="970"/>
        <v>121047651.50581397</v>
      </c>
      <c r="R374">
        <f t="shared" si="971"/>
        <v>-595403360.21230078</v>
      </c>
      <c r="S374">
        <f t="shared" si="972"/>
        <v>-5954.0336021230078</v>
      </c>
      <c r="T374">
        <f t="shared" si="973"/>
        <v>-5.9540336021230074</v>
      </c>
    </row>
    <row r="375" spans="1:20" x14ac:dyDescent="0.25">
      <c r="A375" s="5">
        <v>44218</v>
      </c>
      <c r="B375">
        <v>1.917E-2</v>
      </c>
      <c r="C375">
        <v>2.205E-2</v>
      </c>
      <c r="D375">
        <v>1.668E-2</v>
      </c>
      <c r="E375">
        <v>1.9970000000000002E-2</v>
      </c>
      <c r="F375">
        <v>198636161.19999999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0.22532588454376215</v>
      </c>
      <c r="Q375">
        <f t="shared" si="970"/>
        <v>44757868.724767327</v>
      </c>
      <c r="R375">
        <f t="shared" si="971"/>
        <v>-716451011.71811473</v>
      </c>
      <c r="S375">
        <f t="shared" si="972"/>
        <v>-7164.5101171811475</v>
      </c>
      <c r="T375">
        <f t="shared" si="973"/>
        <v>-7.1645101171811474</v>
      </c>
    </row>
    <row r="376" spans="1:20" x14ac:dyDescent="0.25">
      <c r="A376" s="5">
        <v>44217</v>
      </c>
      <c r="B376">
        <v>1.9189999999999999E-2</v>
      </c>
      <c r="C376">
        <v>2.937E-2</v>
      </c>
      <c r="D376">
        <v>1.9E-2</v>
      </c>
      <c r="E376">
        <v>1.9050000000000001E-2</v>
      </c>
      <c r="F376">
        <v>371375640.30000001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-0.99035679845708746</v>
      </c>
      <c r="Q376">
        <f t="shared" si="970"/>
        <v>-367794390.15245891</v>
      </c>
      <c r="R376">
        <f t="shared" si="971"/>
        <v>-761208880.44288206</v>
      </c>
      <c r="S376">
        <f t="shared" si="972"/>
        <v>-7612.0888044288204</v>
      </c>
      <c r="T376">
        <f t="shared" si="973"/>
        <v>-7.6120888044288204</v>
      </c>
    </row>
    <row r="377" spans="1:20" x14ac:dyDescent="0.25">
      <c r="A377" s="5">
        <v>44216</v>
      </c>
      <c r="B377">
        <v>1.5859999999999999E-2</v>
      </c>
      <c r="C377">
        <v>1.9949999999999999E-2</v>
      </c>
      <c r="D377">
        <v>1.536E-2</v>
      </c>
      <c r="E377">
        <v>1.9179999999999999E-2</v>
      </c>
      <c r="F377">
        <v>117817860.2</v>
      </c>
      <c r="G377">
        <v>0</v>
      </c>
      <c r="L377" t="s">
        <v>8</v>
      </c>
      <c r="M377" t="s">
        <v>8</v>
      </c>
      <c r="N377" t="s">
        <v>8</v>
      </c>
      <c r="P377">
        <f t="shared" si="969"/>
        <v>0.66448801742919383</v>
      </c>
      <c r="Q377">
        <f t="shared" si="970"/>
        <v>78288556.34204793</v>
      </c>
      <c r="R377">
        <f t="shared" si="971"/>
        <v>-393414490.29042321</v>
      </c>
      <c r="S377">
        <f t="shared" si="972"/>
        <v>-3934.1449029042324</v>
      </c>
      <c r="T377">
        <f t="shared" si="973"/>
        <v>-3.9341449029042326</v>
      </c>
    </row>
    <row r="378" spans="1:20" x14ac:dyDescent="0.25">
      <c r="A378" s="5">
        <v>44215</v>
      </c>
      <c r="B378">
        <v>1.554E-2</v>
      </c>
      <c r="C378">
        <v>1.746E-2</v>
      </c>
      <c r="D378">
        <v>1.503E-2</v>
      </c>
      <c r="E378">
        <v>1.585E-2</v>
      </c>
      <c r="F378">
        <v>114545351.59999999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-0.32510288065843657</v>
      </c>
      <c r="Q378">
        <f t="shared" si="970"/>
        <v>-37239023.771193452</v>
      </c>
      <c r="R378">
        <f t="shared" si="971"/>
        <v>-471703046.63247114</v>
      </c>
      <c r="S378">
        <f t="shared" si="972"/>
        <v>-4717.0304663247116</v>
      </c>
      <c r="T378">
        <f t="shared" si="973"/>
        <v>-4.7170304663247116</v>
      </c>
    </row>
    <row r="379" spans="1:20" x14ac:dyDescent="0.25">
      <c r="A379" s="5">
        <v>44214</v>
      </c>
      <c r="B379">
        <v>1.487E-2</v>
      </c>
      <c r="C379">
        <v>1.6899999999999998E-2</v>
      </c>
      <c r="D379">
        <v>1.4579999999999999E-2</v>
      </c>
      <c r="E379">
        <v>1.5509999999999999E-2</v>
      </c>
      <c r="F379">
        <v>98210124.700000003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-0.198275862068965</v>
      </c>
      <c r="Q379">
        <f t="shared" si="970"/>
        <v>-19472697.138793051</v>
      </c>
      <c r="R379">
        <f t="shared" si="971"/>
        <v>-434464022.8612777</v>
      </c>
      <c r="S379">
        <f t="shared" si="972"/>
        <v>-4344.6402286127768</v>
      </c>
      <c r="T379">
        <f t="shared" si="973"/>
        <v>-4.3446402286127768</v>
      </c>
    </row>
    <row r="380" spans="1:20" x14ac:dyDescent="0.25">
      <c r="A380" s="5">
        <v>44213</v>
      </c>
      <c r="B380">
        <v>1.4959999999999999E-2</v>
      </c>
      <c r="C380">
        <v>1.524E-2</v>
      </c>
      <c r="D380">
        <v>1.3939999999999999E-2</v>
      </c>
      <c r="E380">
        <v>1.486E-2</v>
      </c>
      <c r="F380">
        <v>35016498.899999999</v>
      </c>
      <c r="G380">
        <v>0</v>
      </c>
      <c r="L380" t="s">
        <v>7</v>
      </c>
      <c r="M380" t="s">
        <v>8</v>
      </c>
      <c r="N380" t="s">
        <v>7</v>
      </c>
      <c r="P380">
        <f t="shared" si="969"/>
        <v>0.41538461538461557</v>
      </c>
      <c r="Q380">
        <f t="shared" si="970"/>
        <v>14545314.927692315</v>
      </c>
      <c r="R380">
        <f t="shared" si="971"/>
        <v>-414991325.72248465</v>
      </c>
      <c r="S380">
        <f t="shared" si="972"/>
        <v>-4149.9132572248463</v>
      </c>
      <c r="T380">
        <f t="shared" si="973"/>
        <v>-4.1499132572248465</v>
      </c>
    </row>
    <row r="381" spans="1:20" x14ac:dyDescent="0.25">
      <c r="A381" s="5">
        <v>44212</v>
      </c>
      <c r="B381">
        <v>1.4120000000000001E-2</v>
      </c>
      <c r="C381">
        <v>1.5389999999999999E-2</v>
      </c>
      <c r="D381">
        <v>1.4120000000000001E-2</v>
      </c>
      <c r="E381">
        <v>1.495E-2</v>
      </c>
      <c r="F381">
        <v>27588049.199999999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0.30708661417322847</v>
      </c>
      <c r="Q381">
        <f t="shared" si="970"/>
        <v>8471920.6204724442</v>
      </c>
      <c r="R381">
        <f t="shared" si="971"/>
        <v>-429536640.65017694</v>
      </c>
      <c r="S381">
        <f t="shared" si="972"/>
        <v>-4295.3664065017692</v>
      </c>
      <c r="T381">
        <f t="shared" si="973"/>
        <v>-4.2953664065017696</v>
      </c>
    </row>
    <row r="382" spans="1:20" x14ac:dyDescent="0.25">
      <c r="A382" s="5">
        <v>44211</v>
      </c>
      <c r="B382">
        <v>1.4540000000000001E-2</v>
      </c>
      <c r="C382">
        <v>1.4840000000000001E-2</v>
      </c>
      <c r="D382">
        <v>1.325E-2</v>
      </c>
      <c r="E382">
        <v>1.4120000000000001E-2</v>
      </c>
      <c r="F382">
        <v>49301527.700000003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9.4339622641509885E-2</v>
      </c>
      <c r="Q382">
        <f t="shared" si="970"/>
        <v>4651087.5188679472</v>
      </c>
      <c r="R382">
        <f t="shared" si="971"/>
        <v>-438008561.27064937</v>
      </c>
      <c r="S382">
        <f t="shared" si="972"/>
        <v>-4380.0856127064935</v>
      </c>
      <c r="T382">
        <f t="shared" si="973"/>
        <v>-4.3800856127064938</v>
      </c>
    </row>
    <row r="383" spans="1:20" x14ac:dyDescent="0.25">
      <c r="A383" s="5">
        <v>44210</v>
      </c>
      <c r="B383">
        <v>1.426E-2</v>
      </c>
      <c r="C383">
        <v>1.4919999999999999E-2</v>
      </c>
      <c r="D383">
        <v>1.3809999999999999E-2</v>
      </c>
      <c r="E383">
        <v>1.4540000000000001E-2</v>
      </c>
      <c r="F383">
        <v>36465364.700000003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0.31531531531531815</v>
      </c>
      <c r="Q383">
        <f t="shared" si="970"/>
        <v>11498087.968468573</v>
      </c>
      <c r="R383">
        <f t="shared" si="971"/>
        <v>-442659648.78951734</v>
      </c>
      <c r="S383">
        <f t="shared" si="972"/>
        <v>-4426.5964878951736</v>
      </c>
      <c r="T383">
        <f t="shared" si="973"/>
        <v>-4.426596487895174</v>
      </c>
    </row>
    <row r="384" spans="1:20" x14ac:dyDescent="0.25">
      <c r="A384" s="5">
        <v>44209</v>
      </c>
      <c r="B384">
        <v>1.366E-2</v>
      </c>
      <c r="C384">
        <v>1.438E-2</v>
      </c>
      <c r="D384">
        <v>1.316E-2</v>
      </c>
      <c r="E384">
        <v>1.426E-2</v>
      </c>
      <c r="F384">
        <v>26876954.399999999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0.80327868852458972</v>
      </c>
      <c r="Q384">
        <f t="shared" si="970"/>
        <v>21589684.681967199</v>
      </c>
      <c r="R384">
        <f t="shared" si="971"/>
        <v>-454157736.75798589</v>
      </c>
      <c r="S384">
        <f t="shared" si="972"/>
        <v>-4541.5773675798591</v>
      </c>
      <c r="T384">
        <f t="shared" si="973"/>
        <v>-4.5415773675798592</v>
      </c>
    </row>
    <row r="385" spans="1:20" x14ac:dyDescent="0.25">
      <c r="A385" s="5">
        <v>44208</v>
      </c>
      <c r="B385">
        <v>1.388E-2</v>
      </c>
      <c r="C385">
        <v>1.4500000000000001E-2</v>
      </c>
      <c r="D385">
        <v>1.274E-2</v>
      </c>
      <c r="E385">
        <v>1.366E-2</v>
      </c>
      <c r="F385">
        <v>29992061.300000001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4.5454545454545546E-2</v>
      </c>
      <c r="Q385">
        <f t="shared" si="970"/>
        <v>1363275.5136363665</v>
      </c>
      <c r="R385">
        <f t="shared" si="971"/>
        <v>-475747421.43995309</v>
      </c>
      <c r="S385">
        <f t="shared" si="972"/>
        <v>-4757.4742143995309</v>
      </c>
      <c r="T385">
        <f t="shared" si="973"/>
        <v>-4.7574742143995312</v>
      </c>
    </row>
    <row r="386" spans="1:20" x14ac:dyDescent="0.25">
      <c r="A386" s="5">
        <v>44207</v>
      </c>
      <c r="B386">
        <v>1.533E-2</v>
      </c>
      <c r="C386">
        <v>1.533E-2</v>
      </c>
      <c r="D386">
        <v>1.221E-2</v>
      </c>
      <c r="E386">
        <v>1.388E-2</v>
      </c>
      <c r="F386">
        <v>22830617.699999999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7.0512820512820429E-2</v>
      </c>
      <c r="Q386">
        <f t="shared" si="970"/>
        <v>1609851.2480769211</v>
      </c>
      <c r="R386">
        <f t="shared" si="971"/>
        <v>-477110696.95358944</v>
      </c>
      <c r="S386">
        <f t="shared" si="972"/>
        <v>-4771.1069695358947</v>
      </c>
      <c r="T386">
        <f t="shared" si="973"/>
        <v>-4.7711069695358947</v>
      </c>
    </row>
    <row r="387" spans="1:20" x14ac:dyDescent="0.25">
      <c r="A387" s="5">
        <v>44206</v>
      </c>
      <c r="B387">
        <v>1.5980000000000001E-2</v>
      </c>
      <c r="C387">
        <v>1.6729999999999998E-2</v>
      </c>
      <c r="D387">
        <v>1.4409999999999999E-2</v>
      </c>
      <c r="E387">
        <v>1.529E-2</v>
      </c>
      <c r="F387">
        <v>32547290.300000001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-0.24137931034482682</v>
      </c>
      <c r="Q387">
        <f t="shared" si="970"/>
        <v>-7856242.4862068715</v>
      </c>
      <c r="R387">
        <f t="shared" si="971"/>
        <v>-478720548.20166636</v>
      </c>
      <c r="S387">
        <f t="shared" si="972"/>
        <v>-4787.2054820166632</v>
      </c>
      <c r="T387">
        <f t="shared" si="973"/>
        <v>-4.7872054820166632</v>
      </c>
    </row>
    <row r="388" spans="1:20" x14ac:dyDescent="0.25">
      <c r="A388" s="5">
        <v>44205</v>
      </c>
      <c r="B388">
        <v>1.491E-2</v>
      </c>
      <c r="C388">
        <v>1.7999999999999999E-2</v>
      </c>
      <c r="D388">
        <v>1.405E-2</v>
      </c>
      <c r="E388">
        <v>1.601E-2</v>
      </c>
      <c r="F388">
        <v>55219202.5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-7.594936708860453E-3</v>
      </c>
      <c r="Q388">
        <f t="shared" si="970"/>
        <v>-419386.34810124891</v>
      </c>
      <c r="R388">
        <f t="shared" si="971"/>
        <v>-470864305.71545947</v>
      </c>
      <c r="S388">
        <f t="shared" si="972"/>
        <v>-4708.6430571545943</v>
      </c>
      <c r="T388">
        <f t="shared" si="973"/>
        <v>-4.7086430571545943</v>
      </c>
    </row>
    <row r="389" spans="1:20" x14ac:dyDescent="0.25">
      <c r="A389" s="5">
        <v>44204</v>
      </c>
      <c r="B389">
        <v>1.5339999999999999E-2</v>
      </c>
      <c r="C389">
        <v>1.5970000000000002E-2</v>
      </c>
      <c r="D389">
        <v>1.3559999999999999E-2</v>
      </c>
      <c r="E389">
        <v>1.491E-2</v>
      </c>
      <c r="F389">
        <v>74104302.200000003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0.12033195020746817</v>
      </c>
      <c r="Q389">
        <f t="shared" si="970"/>
        <v>8917115.2024895754</v>
      </c>
      <c r="R389">
        <f t="shared" si="971"/>
        <v>-470444919.36735821</v>
      </c>
      <c r="S389">
        <f t="shared" si="972"/>
        <v>-4704.4491936735822</v>
      </c>
      <c r="T389">
        <f t="shared" si="973"/>
        <v>-4.7044491936735824</v>
      </c>
    </row>
    <row r="390" spans="1:20" x14ac:dyDescent="0.25">
      <c r="A390" s="5">
        <v>44203</v>
      </c>
      <c r="B390">
        <v>1.5520000000000001E-2</v>
      </c>
      <c r="C390">
        <v>1.6150000000000001E-2</v>
      </c>
      <c r="D390">
        <v>1.4659999999999999E-2</v>
      </c>
      <c r="E390">
        <v>1.5339999999999999E-2</v>
      </c>
      <c r="F390">
        <v>15393957.199999999</v>
      </c>
      <c r="G390">
        <v>0</v>
      </c>
      <c r="L390" t="s">
        <v>7</v>
      </c>
      <c r="M390" t="s">
        <v>8</v>
      </c>
      <c r="N390" t="s">
        <v>8</v>
      </c>
      <c r="P390">
        <f t="shared" ref="P390:P453" si="974">IF(C390=D390,0,((E390-D390)-(C390-E390))/(C390-D390))</f>
        <v>-8.7248322147652005E-2</v>
      </c>
      <c r="Q390">
        <f t="shared" ref="Q390:Q453" si="975">F390*P390</f>
        <v>-1343096.9369127669</v>
      </c>
      <c r="R390">
        <f t="shared" ref="R390:R453" si="976">R391+Q390</f>
        <v>-479362034.56984776</v>
      </c>
      <c r="S390">
        <f t="shared" ref="S390:S453" si="977">R390/100000</f>
        <v>-4793.6203456984776</v>
      </c>
      <c r="T390">
        <f t="shared" ref="T390:T453" si="978">S390/1000</f>
        <v>-4.7936203456984776</v>
      </c>
    </row>
    <row r="391" spans="1:20" x14ac:dyDescent="0.25">
      <c r="A391" s="5">
        <v>44202</v>
      </c>
      <c r="B391">
        <v>1.3979999999999999E-2</v>
      </c>
      <c r="C391">
        <v>1.6740000000000001E-2</v>
      </c>
      <c r="D391">
        <v>1.3599999999999999E-2</v>
      </c>
      <c r="E391">
        <v>1.5520000000000001E-2</v>
      </c>
      <c r="F391">
        <v>24156062.300000001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0.22292993630573263</v>
      </c>
      <c r="Q391">
        <f t="shared" si="975"/>
        <v>5385109.4299363093</v>
      </c>
      <c r="R391">
        <f t="shared" si="976"/>
        <v>-478018937.63293499</v>
      </c>
      <c r="S391">
        <f t="shared" si="977"/>
        <v>-4780.1893763293501</v>
      </c>
      <c r="T391">
        <f t="shared" si="978"/>
        <v>-4.7801893763293499</v>
      </c>
    </row>
    <row r="392" spans="1:20" x14ac:dyDescent="0.25">
      <c r="A392" s="5">
        <v>44201</v>
      </c>
      <c r="B392">
        <v>1.3169999999999999E-2</v>
      </c>
      <c r="C392">
        <v>1.4E-2</v>
      </c>
      <c r="D392">
        <v>1.23E-2</v>
      </c>
      <c r="E392">
        <v>1.3769999999999999E-2</v>
      </c>
      <c r="F392">
        <v>14615598.800000001</v>
      </c>
      <c r="G392">
        <v>0</v>
      </c>
      <c r="L392" t="s">
        <v>8</v>
      </c>
      <c r="M392" t="s">
        <v>7</v>
      </c>
      <c r="N392" t="s">
        <v>7</v>
      </c>
      <c r="P392">
        <f t="shared" si="974"/>
        <v>0.7294117647058812</v>
      </c>
      <c r="Q392">
        <f t="shared" si="975"/>
        <v>10660789.71294116</v>
      </c>
      <c r="R392">
        <f t="shared" si="976"/>
        <v>-483404047.06287128</v>
      </c>
      <c r="S392">
        <f t="shared" si="977"/>
        <v>-4834.0404706287127</v>
      </c>
      <c r="T392">
        <f t="shared" si="978"/>
        <v>-4.8340404706287128</v>
      </c>
    </row>
    <row r="393" spans="1:20" x14ac:dyDescent="0.25">
      <c r="A393" s="5">
        <v>44200</v>
      </c>
      <c r="B393">
        <v>1.329E-2</v>
      </c>
      <c r="C393">
        <v>1.3979999999999999E-2</v>
      </c>
      <c r="D393">
        <v>1.214E-2</v>
      </c>
      <c r="E393">
        <v>1.3169999999999999E-2</v>
      </c>
      <c r="F393">
        <v>12292897.9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0.11956521739130421</v>
      </c>
      <c r="Q393">
        <f t="shared" si="975"/>
        <v>1469803.009782607</v>
      </c>
      <c r="R393">
        <f t="shared" si="976"/>
        <v>-494064836.77581245</v>
      </c>
      <c r="S393">
        <f t="shared" si="977"/>
        <v>-4940.6483677581246</v>
      </c>
      <c r="T393">
        <f t="shared" si="978"/>
        <v>-4.9406483677581248</v>
      </c>
    </row>
    <row r="394" spans="1:20" x14ac:dyDescent="0.25">
      <c r="A394" s="5">
        <v>44199</v>
      </c>
      <c r="B394">
        <v>1.302E-2</v>
      </c>
      <c r="C394">
        <v>1.346E-2</v>
      </c>
      <c r="D394">
        <v>1.242E-2</v>
      </c>
      <c r="E394">
        <v>1.3310000000000001E-2</v>
      </c>
      <c r="F394">
        <v>8306522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0.71153846153846312</v>
      </c>
      <c r="Q394">
        <f t="shared" si="975"/>
        <v>5910409.884615398</v>
      </c>
      <c r="R394">
        <f t="shared" si="976"/>
        <v>-495534639.78559506</v>
      </c>
      <c r="S394">
        <f t="shared" si="977"/>
        <v>-4955.3463978559503</v>
      </c>
      <c r="T394">
        <f t="shared" si="978"/>
        <v>-4.9553463978559504</v>
      </c>
    </row>
    <row r="395" spans="1:20" x14ac:dyDescent="0.25">
      <c r="A395" s="5">
        <v>44198</v>
      </c>
      <c r="B395">
        <v>1.342E-2</v>
      </c>
      <c r="C395">
        <v>1.3820000000000001E-2</v>
      </c>
      <c r="D395">
        <v>1.2829999999999999E-2</v>
      </c>
      <c r="E395">
        <v>1.302E-2</v>
      </c>
      <c r="F395">
        <v>5879558.5999999996</v>
      </c>
      <c r="G395">
        <v>0</v>
      </c>
      <c r="L395" t="s">
        <v>8</v>
      </c>
      <c r="M395" t="s">
        <v>7</v>
      </c>
      <c r="N395" t="s">
        <v>7</v>
      </c>
      <c r="P395">
        <f t="shared" si="974"/>
        <v>-0.6161616161616148</v>
      </c>
      <c r="Q395">
        <f t="shared" si="975"/>
        <v>-3622758.3292929209</v>
      </c>
      <c r="R395">
        <f t="shared" si="976"/>
        <v>-501445049.67021048</v>
      </c>
      <c r="S395">
        <f t="shared" si="977"/>
        <v>-5014.4504967021048</v>
      </c>
      <c r="T395">
        <f t="shared" si="978"/>
        <v>-5.0144504967021044</v>
      </c>
    </row>
    <row r="396" spans="1:20" x14ac:dyDescent="0.25">
      <c r="A396" s="5">
        <v>44197</v>
      </c>
      <c r="B396">
        <v>1.282E-2</v>
      </c>
      <c r="C396">
        <v>1.3849999999999999E-2</v>
      </c>
      <c r="D396">
        <v>1.268E-2</v>
      </c>
      <c r="E396">
        <v>1.3469999999999999E-2</v>
      </c>
      <c r="F396">
        <v>5036117.8</v>
      </c>
      <c r="G396">
        <v>0</v>
      </c>
      <c r="L396" t="s">
        <v>7</v>
      </c>
      <c r="M396" t="s">
        <v>7</v>
      </c>
      <c r="N396" t="s">
        <v>7</v>
      </c>
      <c r="P396">
        <f t="shared" si="974"/>
        <v>0.35042735042734974</v>
      </c>
      <c r="Q396">
        <f t="shared" si="975"/>
        <v>1764793.4170940137</v>
      </c>
      <c r="R396">
        <f t="shared" si="976"/>
        <v>-497822291.34091759</v>
      </c>
      <c r="S396">
        <f t="shared" si="977"/>
        <v>-4978.2229134091758</v>
      </c>
      <c r="T396">
        <f t="shared" si="978"/>
        <v>-4.9782229134091756</v>
      </c>
    </row>
    <row r="397" spans="1:20" x14ac:dyDescent="0.25">
      <c r="A397" s="5">
        <v>44196</v>
      </c>
      <c r="B397">
        <v>1.281E-2</v>
      </c>
      <c r="C397">
        <v>1.4E-2</v>
      </c>
      <c r="D397">
        <v>1.2500000000000001E-2</v>
      </c>
      <c r="E397">
        <v>1.2880000000000001E-2</v>
      </c>
      <c r="F397">
        <v>11216205.6</v>
      </c>
      <c r="G397">
        <v>0</v>
      </c>
      <c r="L397" t="s">
        <v>8</v>
      </c>
      <c r="M397" t="s">
        <v>7</v>
      </c>
      <c r="N397" t="s">
        <v>7</v>
      </c>
      <c r="P397">
        <f t="shared" si="974"/>
        <v>-0.49333333333333301</v>
      </c>
      <c r="Q397">
        <f t="shared" si="975"/>
        <v>-5533328.0959999962</v>
      </c>
      <c r="R397">
        <f t="shared" si="976"/>
        <v>-499587084.75801158</v>
      </c>
      <c r="S397">
        <f t="shared" si="977"/>
        <v>-4995.8708475801159</v>
      </c>
      <c r="T397">
        <f t="shared" si="978"/>
        <v>-4.9958708475801155</v>
      </c>
    </row>
    <row r="398" spans="1:20" x14ac:dyDescent="0.25">
      <c r="A398" s="5">
        <v>44195</v>
      </c>
      <c r="B398">
        <v>1.2930000000000001E-2</v>
      </c>
      <c r="C398">
        <v>1.316E-2</v>
      </c>
      <c r="D398">
        <v>1.2500000000000001E-2</v>
      </c>
      <c r="E398">
        <v>1.2710000000000001E-2</v>
      </c>
      <c r="F398">
        <v>5581231.2000000002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-0.36363636363636243</v>
      </c>
      <c r="Q398">
        <f t="shared" si="975"/>
        <v>-2029538.6181818114</v>
      </c>
      <c r="R398">
        <f t="shared" si="976"/>
        <v>-494053756.66201156</v>
      </c>
      <c r="S398">
        <f t="shared" si="977"/>
        <v>-4940.5375666201153</v>
      </c>
      <c r="T398">
        <f t="shared" si="978"/>
        <v>-4.9405375666201152</v>
      </c>
    </row>
    <row r="399" spans="1:20" x14ac:dyDescent="0.25">
      <c r="A399" s="5">
        <v>44194</v>
      </c>
      <c r="B399">
        <v>1.4500000000000001E-2</v>
      </c>
      <c r="C399">
        <v>1.455E-2</v>
      </c>
      <c r="D399">
        <v>1.2500000000000001E-2</v>
      </c>
      <c r="E399">
        <v>1.2919999999999999E-2</v>
      </c>
      <c r="F399">
        <v>11513548.1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-0.5902439024390258</v>
      </c>
      <c r="Q399">
        <f t="shared" si="975"/>
        <v>-6795801.5614634305</v>
      </c>
      <c r="R399">
        <f t="shared" si="976"/>
        <v>-492024218.04382974</v>
      </c>
      <c r="S399">
        <f t="shared" si="977"/>
        <v>-4920.2421804382975</v>
      </c>
      <c r="T399">
        <f t="shared" si="978"/>
        <v>-4.9202421804382972</v>
      </c>
    </row>
    <row r="400" spans="1:20" x14ac:dyDescent="0.25">
      <c r="A400" s="5">
        <v>44193</v>
      </c>
      <c r="B400">
        <v>1.3820000000000001E-2</v>
      </c>
      <c r="C400">
        <v>1.5650000000000001E-2</v>
      </c>
      <c r="D400">
        <v>1.341E-2</v>
      </c>
      <c r="E400">
        <v>1.4500000000000001E-2</v>
      </c>
      <c r="F400">
        <v>30753779.5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-2.6785714285713962E-2</v>
      </c>
      <c r="Q400">
        <f t="shared" si="975"/>
        <v>-823761.95089284715</v>
      </c>
      <c r="R400">
        <f t="shared" si="976"/>
        <v>-485228416.48236632</v>
      </c>
      <c r="S400">
        <f t="shared" si="977"/>
        <v>-4852.2841648236636</v>
      </c>
      <c r="T400">
        <f t="shared" si="978"/>
        <v>-4.8522841648236632</v>
      </c>
    </row>
    <row r="401" spans="1:20" x14ac:dyDescent="0.25">
      <c r="A401" s="5">
        <v>44192</v>
      </c>
      <c r="B401">
        <v>1.4030000000000001E-2</v>
      </c>
      <c r="C401">
        <v>1.4999999999999999E-2</v>
      </c>
      <c r="D401">
        <v>1.2919999999999999E-2</v>
      </c>
      <c r="E401">
        <v>1.363E-2</v>
      </c>
      <c r="F401">
        <v>10574915.9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-0.31730769230769185</v>
      </c>
      <c r="Q401">
        <f t="shared" si="975"/>
        <v>-3355502.1605769182</v>
      </c>
      <c r="R401">
        <f t="shared" si="976"/>
        <v>-484404654.53147346</v>
      </c>
      <c r="S401">
        <f t="shared" si="977"/>
        <v>-4844.0465453147344</v>
      </c>
      <c r="T401">
        <f t="shared" si="978"/>
        <v>-4.8440465453147343</v>
      </c>
    </row>
    <row r="402" spans="1:20" x14ac:dyDescent="0.25">
      <c r="A402" s="5">
        <v>44191</v>
      </c>
      <c r="B402">
        <v>1.308E-2</v>
      </c>
      <c r="C402">
        <v>1.4999999999999999E-2</v>
      </c>
      <c r="D402">
        <v>1.2540000000000001E-2</v>
      </c>
      <c r="E402">
        <v>1.4030000000000001E-2</v>
      </c>
      <c r="F402">
        <v>20780914.899999999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0.21138211382113889</v>
      </c>
      <c r="Q402">
        <f t="shared" si="975"/>
        <v>4392713.718699201</v>
      </c>
      <c r="R402">
        <f t="shared" si="976"/>
        <v>-481049152.37089652</v>
      </c>
      <c r="S402">
        <f t="shared" si="977"/>
        <v>-4810.4915237089654</v>
      </c>
      <c r="T402">
        <f t="shared" si="978"/>
        <v>-4.8104915237089649</v>
      </c>
    </row>
    <row r="403" spans="1:20" x14ac:dyDescent="0.25">
      <c r="A403" s="5">
        <v>44190</v>
      </c>
      <c r="B403">
        <v>1.295E-2</v>
      </c>
      <c r="C403">
        <v>1.3310000000000001E-2</v>
      </c>
      <c r="D403">
        <v>1.231E-2</v>
      </c>
      <c r="E403">
        <v>1.3089999999999999E-2</v>
      </c>
      <c r="F403">
        <v>3693903.3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0.5599999999999975</v>
      </c>
      <c r="Q403">
        <f t="shared" si="975"/>
        <v>2068585.8479999907</v>
      </c>
      <c r="R403">
        <f t="shared" si="976"/>
        <v>-485441866.08959574</v>
      </c>
      <c r="S403">
        <f t="shared" si="977"/>
        <v>-4854.4186608959571</v>
      </c>
      <c r="T403">
        <f t="shared" si="978"/>
        <v>-4.8544186608959574</v>
      </c>
    </row>
    <row r="404" spans="1:20" x14ac:dyDescent="0.25">
      <c r="A404" s="5">
        <v>44189</v>
      </c>
      <c r="B404">
        <v>1.1860000000000001E-2</v>
      </c>
      <c r="C404">
        <v>1.302E-2</v>
      </c>
      <c r="D404">
        <v>1.1599999999999999E-2</v>
      </c>
      <c r="E404">
        <v>1.281E-2</v>
      </c>
      <c r="F404">
        <v>7010975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0.70422535211267612</v>
      </c>
      <c r="Q404">
        <f t="shared" si="975"/>
        <v>4937306.3380281692</v>
      </c>
      <c r="R404">
        <f t="shared" si="976"/>
        <v>-487510451.93759573</v>
      </c>
      <c r="S404">
        <f t="shared" si="977"/>
        <v>-4875.1045193759574</v>
      </c>
      <c r="T404">
        <f t="shared" si="978"/>
        <v>-4.8751045193759577</v>
      </c>
    </row>
    <row r="405" spans="1:20" x14ac:dyDescent="0.25">
      <c r="A405" s="5">
        <v>44188</v>
      </c>
      <c r="B405">
        <v>1.487E-2</v>
      </c>
      <c r="C405">
        <v>1.487E-2</v>
      </c>
      <c r="D405">
        <v>1.1780000000000001E-2</v>
      </c>
      <c r="E405">
        <v>1.1950000000000001E-2</v>
      </c>
      <c r="F405">
        <v>14103854.199999999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-0.88996763754045305</v>
      </c>
      <c r="Q405">
        <f t="shared" si="975"/>
        <v>-12551973.802588996</v>
      </c>
      <c r="R405">
        <f t="shared" si="976"/>
        <v>-492447758.27562392</v>
      </c>
      <c r="S405">
        <f t="shared" si="977"/>
        <v>-4924.4775827562389</v>
      </c>
      <c r="T405">
        <f t="shared" si="978"/>
        <v>-4.9244775827562393</v>
      </c>
    </row>
    <row r="406" spans="1:20" x14ac:dyDescent="0.25">
      <c r="A406" s="5">
        <v>44187</v>
      </c>
      <c r="B406">
        <v>1.512E-2</v>
      </c>
      <c r="C406">
        <v>1.524E-2</v>
      </c>
      <c r="D406">
        <v>1.384E-2</v>
      </c>
      <c r="E406">
        <v>1.4880000000000001E-2</v>
      </c>
      <c r="F406">
        <v>17186820.699999999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0.48571428571428693</v>
      </c>
      <c r="Q406">
        <f t="shared" si="975"/>
        <v>8347884.3400000203</v>
      </c>
      <c r="R406">
        <f t="shared" si="976"/>
        <v>-479895784.47303492</v>
      </c>
      <c r="S406">
        <f t="shared" si="977"/>
        <v>-4798.9578447303493</v>
      </c>
      <c r="T406">
        <f t="shared" si="978"/>
        <v>-4.7989578447303494</v>
      </c>
    </row>
    <row r="407" spans="1:20" x14ac:dyDescent="0.25">
      <c r="A407" s="5">
        <v>44186</v>
      </c>
      <c r="B407">
        <v>1.554E-2</v>
      </c>
      <c r="C407">
        <v>1.7500000000000002E-2</v>
      </c>
      <c r="D407">
        <v>1.451E-2</v>
      </c>
      <c r="E407">
        <v>1.512E-2</v>
      </c>
      <c r="F407">
        <v>32911181.600000001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-0.5919732441471578</v>
      </c>
      <c r="Q407">
        <f t="shared" si="975"/>
        <v>-19482538.940468248</v>
      </c>
      <c r="R407">
        <f t="shared" si="976"/>
        <v>-488243668.81303495</v>
      </c>
      <c r="S407">
        <f t="shared" si="977"/>
        <v>-4882.4366881303495</v>
      </c>
      <c r="T407">
        <f t="shared" si="978"/>
        <v>-4.8824366881303494</v>
      </c>
    </row>
    <row r="408" spans="1:20" x14ac:dyDescent="0.25">
      <c r="A408" s="5">
        <v>44185</v>
      </c>
      <c r="B408">
        <v>1.494E-2</v>
      </c>
      <c r="C408">
        <v>1.7999999999999999E-2</v>
      </c>
      <c r="D408">
        <v>1.4019999999999999E-2</v>
      </c>
      <c r="E408">
        <v>1.5559999999999999E-2</v>
      </c>
      <c r="F408">
        <v>80574485</v>
      </c>
      <c r="G408">
        <v>0</v>
      </c>
      <c r="L408" t="s">
        <v>8</v>
      </c>
      <c r="M408" t="s">
        <v>8</v>
      </c>
      <c r="N408" t="s">
        <v>7</v>
      </c>
      <c r="P408">
        <f t="shared" si="974"/>
        <v>-0.22613065326633164</v>
      </c>
      <c r="Q408">
        <f t="shared" si="975"/>
        <v>-18220360.929648239</v>
      </c>
      <c r="R408">
        <f t="shared" si="976"/>
        <v>-468761129.8725667</v>
      </c>
      <c r="S408">
        <f t="shared" si="977"/>
        <v>-4687.6112987256674</v>
      </c>
      <c r="T408">
        <f t="shared" si="978"/>
        <v>-4.6876112987256677</v>
      </c>
    </row>
    <row r="409" spans="1:20" x14ac:dyDescent="0.25">
      <c r="A409" s="5">
        <v>44184</v>
      </c>
      <c r="B409">
        <v>1.4370000000000001E-2</v>
      </c>
      <c r="C409">
        <v>1.55E-2</v>
      </c>
      <c r="D409">
        <v>1.43E-2</v>
      </c>
      <c r="E409">
        <v>1.491E-2</v>
      </c>
      <c r="F409">
        <v>16524890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1.6666666666665993E-2</v>
      </c>
      <c r="Q409">
        <f t="shared" si="975"/>
        <v>275414.8333333222</v>
      </c>
      <c r="R409">
        <f t="shared" si="976"/>
        <v>-450540768.94291848</v>
      </c>
      <c r="S409">
        <f t="shared" si="977"/>
        <v>-4505.4076894291848</v>
      </c>
      <c r="T409">
        <f t="shared" si="978"/>
        <v>-4.5054076894291848</v>
      </c>
    </row>
    <row r="410" spans="1:20" x14ac:dyDescent="0.25">
      <c r="A410" s="5">
        <v>44183</v>
      </c>
      <c r="B410">
        <v>1.3939999999999999E-2</v>
      </c>
      <c r="C410">
        <v>1.469E-2</v>
      </c>
      <c r="D410">
        <v>1.3769999999999999E-2</v>
      </c>
      <c r="E410">
        <v>1.4370000000000001E-2</v>
      </c>
      <c r="F410">
        <v>18078261.300000001</v>
      </c>
      <c r="G410">
        <v>0</v>
      </c>
      <c r="L410" t="s">
        <v>8</v>
      </c>
      <c r="M410" t="s">
        <v>7</v>
      </c>
      <c r="N410" t="s">
        <v>7</v>
      </c>
      <c r="P410">
        <f t="shared" si="974"/>
        <v>0.30434782608695898</v>
      </c>
      <c r="Q410">
        <f t="shared" si="975"/>
        <v>5502079.526087001</v>
      </c>
      <c r="R410">
        <f t="shared" si="976"/>
        <v>-450816183.77625179</v>
      </c>
      <c r="S410">
        <f t="shared" si="977"/>
        <v>-4508.1618377625182</v>
      </c>
      <c r="T410">
        <f t="shared" si="978"/>
        <v>-4.5081618377625183</v>
      </c>
    </row>
    <row r="411" spans="1:20" x14ac:dyDescent="0.25">
      <c r="A411" s="5">
        <v>44182</v>
      </c>
      <c r="B411">
        <v>1.44E-2</v>
      </c>
      <c r="C411">
        <v>1.461E-2</v>
      </c>
      <c r="D411">
        <v>1.3769999999999999E-2</v>
      </c>
      <c r="E411">
        <v>1.3950000000000001E-2</v>
      </c>
      <c r="F411">
        <v>13804447.300000001</v>
      </c>
      <c r="G411">
        <v>0</v>
      </c>
      <c r="L411" t="s">
        <v>8</v>
      </c>
      <c r="M411" t="s">
        <v>7</v>
      </c>
      <c r="N411" t="s">
        <v>7</v>
      </c>
      <c r="P411">
        <f t="shared" si="974"/>
        <v>-0.57142857142856851</v>
      </c>
      <c r="Q411">
        <f t="shared" si="975"/>
        <v>-7888255.5999999605</v>
      </c>
      <c r="R411">
        <f t="shared" si="976"/>
        <v>-456318263.30233878</v>
      </c>
      <c r="S411">
        <f t="shared" si="977"/>
        <v>-4563.182633023388</v>
      </c>
      <c r="T411">
        <f t="shared" si="978"/>
        <v>-4.5631826330233878</v>
      </c>
    </row>
    <row r="412" spans="1:20" x14ac:dyDescent="0.25">
      <c r="A412" s="5">
        <v>44181</v>
      </c>
      <c r="B412">
        <v>1.375E-2</v>
      </c>
      <c r="C412">
        <v>1.453E-2</v>
      </c>
      <c r="D412">
        <v>1.3509999999999999E-2</v>
      </c>
      <c r="E412">
        <v>1.452E-2</v>
      </c>
      <c r="F412">
        <v>17770538.600000001</v>
      </c>
      <c r="G412">
        <v>0</v>
      </c>
      <c r="L412" t="s">
        <v>8</v>
      </c>
      <c r="M412" t="s">
        <v>7</v>
      </c>
      <c r="N412" t="s">
        <v>7</v>
      </c>
      <c r="P412">
        <f t="shared" si="974"/>
        <v>0.98039215686274594</v>
      </c>
      <c r="Q412">
        <f t="shared" si="975"/>
        <v>17422096.666666683</v>
      </c>
      <c r="R412">
        <f t="shared" si="976"/>
        <v>-448430007.70233881</v>
      </c>
      <c r="S412">
        <f t="shared" si="977"/>
        <v>-4484.3000770233884</v>
      </c>
      <c r="T412">
        <f t="shared" si="978"/>
        <v>-4.4843000770233887</v>
      </c>
    </row>
    <row r="413" spans="1:20" x14ac:dyDescent="0.25">
      <c r="A413" s="5">
        <v>44180</v>
      </c>
      <c r="B413">
        <v>1.375E-2</v>
      </c>
      <c r="C413">
        <v>1.409E-2</v>
      </c>
      <c r="D413">
        <v>1.35E-2</v>
      </c>
      <c r="E413">
        <v>1.375E-2</v>
      </c>
      <c r="F413">
        <v>17695671.699999999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-0.15254237288135553</v>
      </c>
      <c r="Q413">
        <f t="shared" si="975"/>
        <v>-2699339.7508474505</v>
      </c>
      <c r="R413">
        <f t="shared" si="976"/>
        <v>-465852104.3690055</v>
      </c>
      <c r="S413">
        <f t="shared" si="977"/>
        <v>-4658.5210436900552</v>
      </c>
      <c r="T413">
        <f t="shared" si="978"/>
        <v>-4.6585210436900555</v>
      </c>
    </row>
    <row r="414" spans="1:20" x14ac:dyDescent="0.25">
      <c r="A414" s="5">
        <v>44179</v>
      </c>
      <c r="B414">
        <v>1.393E-2</v>
      </c>
      <c r="C414">
        <v>1.4109999999999999E-2</v>
      </c>
      <c r="D414">
        <v>1.354E-2</v>
      </c>
      <c r="E414">
        <v>1.375E-2</v>
      </c>
      <c r="F414">
        <v>11732965.300000001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-0.26315789473684081</v>
      </c>
      <c r="Q414">
        <f t="shared" si="975"/>
        <v>-3087622.4473684062</v>
      </c>
      <c r="R414">
        <f t="shared" si="976"/>
        <v>-463152764.61815804</v>
      </c>
      <c r="S414">
        <f t="shared" si="977"/>
        <v>-4631.5276461815802</v>
      </c>
      <c r="T414">
        <f t="shared" si="978"/>
        <v>-4.6315276461815804</v>
      </c>
    </row>
    <row r="415" spans="1:20" x14ac:dyDescent="0.25">
      <c r="A415" s="5">
        <v>44178</v>
      </c>
      <c r="B415">
        <v>1.409E-2</v>
      </c>
      <c r="C415">
        <v>1.434E-2</v>
      </c>
      <c r="D415">
        <v>1.3780000000000001E-2</v>
      </c>
      <c r="E415">
        <v>1.392E-2</v>
      </c>
      <c r="F415">
        <v>11954768.5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-0.50000000000000155</v>
      </c>
      <c r="Q415">
        <f t="shared" si="975"/>
        <v>-5977384.2500000186</v>
      </c>
      <c r="R415">
        <f t="shared" si="976"/>
        <v>-460065142.17078966</v>
      </c>
      <c r="S415">
        <f t="shared" si="977"/>
        <v>-4600.6514217078966</v>
      </c>
      <c r="T415">
        <f t="shared" si="978"/>
        <v>-4.6006514217078962</v>
      </c>
    </row>
    <row r="416" spans="1:20" x14ac:dyDescent="0.25">
      <c r="A416" s="5">
        <v>44177</v>
      </c>
      <c r="B416">
        <v>1.346E-2</v>
      </c>
      <c r="C416">
        <v>1.4319999999999999E-2</v>
      </c>
      <c r="D416">
        <v>1.345E-2</v>
      </c>
      <c r="E416">
        <v>1.4080000000000001E-2</v>
      </c>
      <c r="F416">
        <v>13432565.699999999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0.44827586206896758</v>
      </c>
      <c r="Q416">
        <f t="shared" si="975"/>
        <v>6021494.9689655444</v>
      </c>
      <c r="R416">
        <f t="shared" si="976"/>
        <v>-454087757.92078966</v>
      </c>
      <c r="S416">
        <f t="shared" si="977"/>
        <v>-4540.8775792078968</v>
      </c>
      <c r="T416">
        <f t="shared" si="978"/>
        <v>-4.5408775792078968</v>
      </c>
    </row>
    <row r="417" spans="1:20" x14ac:dyDescent="0.25">
      <c r="A417" s="5">
        <v>44176</v>
      </c>
      <c r="B417">
        <v>1.4160000000000001E-2</v>
      </c>
      <c r="C417">
        <v>1.4160000000000001E-2</v>
      </c>
      <c r="D417">
        <v>1.2999999999999999E-2</v>
      </c>
      <c r="E417">
        <v>1.346E-2</v>
      </c>
      <c r="F417">
        <v>13960833.800000001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-0.20689655172413823</v>
      </c>
      <c r="Q417">
        <f t="shared" si="975"/>
        <v>-2888448.3724137973</v>
      </c>
      <c r="R417">
        <f t="shared" si="976"/>
        <v>-460109252.88975519</v>
      </c>
      <c r="S417">
        <f t="shared" si="977"/>
        <v>-4601.0925288975523</v>
      </c>
      <c r="T417">
        <f t="shared" si="978"/>
        <v>-4.6010925288975519</v>
      </c>
    </row>
    <row r="418" spans="1:20" x14ac:dyDescent="0.25">
      <c r="A418" s="5">
        <v>44175</v>
      </c>
      <c r="B418">
        <v>1.4619999999999999E-2</v>
      </c>
      <c r="C418">
        <v>1.6559999999999998E-2</v>
      </c>
      <c r="D418">
        <v>1.3520000000000001E-2</v>
      </c>
      <c r="E418">
        <v>1.4160000000000001E-2</v>
      </c>
      <c r="F418">
        <v>34354988.700000003</v>
      </c>
      <c r="G418">
        <v>0</v>
      </c>
      <c r="L418" t="s">
        <v>8</v>
      </c>
      <c r="M418" t="s">
        <v>8</v>
      </c>
      <c r="N418" t="s">
        <v>7</v>
      </c>
      <c r="P418">
        <f t="shared" si="974"/>
        <v>-0.57894736842105232</v>
      </c>
      <c r="Q418">
        <f t="shared" si="975"/>
        <v>-19889730.29999999</v>
      </c>
      <c r="R418">
        <f t="shared" si="976"/>
        <v>-457220804.51734138</v>
      </c>
      <c r="S418">
        <f t="shared" si="977"/>
        <v>-4572.2080451734137</v>
      </c>
      <c r="T418">
        <f t="shared" si="978"/>
        <v>-4.5722080451734133</v>
      </c>
    </row>
    <row r="419" spans="1:20" x14ac:dyDescent="0.25">
      <c r="A419" s="5">
        <v>44174</v>
      </c>
      <c r="B419">
        <v>1.418E-2</v>
      </c>
      <c r="C419">
        <v>1.495E-2</v>
      </c>
      <c r="D419">
        <v>1.3169999999999999E-2</v>
      </c>
      <c r="E419">
        <v>1.4619999999999999E-2</v>
      </c>
      <c r="F419">
        <v>13932440.6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0.62921348314606695</v>
      </c>
      <c r="Q419">
        <f t="shared" si="975"/>
        <v>8766479.4786516782</v>
      </c>
      <c r="R419">
        <f t="shared" si="976"/>
        <v>-437331074.21734136</v>
      </c>
      <c r="S419">
        <f t="shared" si="977"/>
        <v>-4373.3107421734139</v>
      </c>
      <c r="T419">
        <f t="shared" si="978"/>
        <v>-4.3733107421734143</v>
      </c>
    </row>
    <row r="420" spans="1:20" x14ac:dyDescent="0.25">
      <c r="A420" s="5">
        <v>44173</v>
      </c>
      <c r="B420">
        <v>1.55E-2</v>
      </c>
      <c r="C420">
        <v>1.5559999999999999E-2</v>
      </c>
      <c r="D420">
        <v>1.396E-2</v>
      </c>
      <c r="E420">
        <v>1.4189999999999999E-2</v>
      </c>
      <c r="F420">
        <v>13612465.9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-0.71250000000000069</v>
      </c>
      <c r="Q420">
        <f t="shared" si="975"/>
        <v>-9698881.9537500087</v>
      </c>
      <c r="R420">
        <f t="shared" si="976"/>
        <v>-446097553.69599307</v>
      </c>
      <c r="S420">
        <f t="shared" si="977"/>
        <v>-4460.9755369599307</v>
      </c>
      <c r="T420">
        <f t="shared" si="978"/>
        <v>-4.4609755369599302</v>
      </c>
    </row>
    <row r="421" spans="1:20" x14ac:dyDescent="0.25">
      <c r="A421" s="5">
        <v>44172</v>
      </c>
      <c r="B421">
        <v>1.533E-2</v>
      </c>
      <c r="C421">
        <v>1.555E-2</v>
      </c>
      <c r="D421">
        <v>1.5259999999999999E-2</v>
      </c>
      <c r="E421">
        <v>1.549E-2</v>
      </c>
      <c r="F421">
        <v>10918520.800000001</v>
      </c>
      <c r="G421">
        <v>0</v>
      </c>
      <c r="L421" t="s">
        <v>7</v>
      </c>
      <c r="M421" t="s">
        <v>7</v>
      </c>
      <c r="N421" t="s">
        <v>7</v>
      </c>
      <c r="P421">
        <f t="shared" si="974"/>
        <v>0.58620689655172953</v>
      </c>
      <c r="Q421">
        <f t="shared" si="975"/>
        <v>6400512.1931035072</v>
      </c>
      <c r="R421">
        <f t="shared" si="976"/>
        <v>-436398671.74224305</v>
      </c>
      <c r="S421">
        <f t="shared" si="977"/>
        <v>-4363.986717422431</v>
      </c>
      <c r="T421">
        <f t="shared" si="978"/>
        <v>-4.3639867174224314</v>
      </c>
    </row>
    <row r="422" spans="1:20" x14ac:dyDescent="0.25">
      <c r="A422" s="5">
        <v>44171</v>
      </c>
      <c r="B422">
        <v>1.5679999999999999E-2</v>
      </c>
      <c r="C422">
        <v>1.5720000000000001E-2</v>
      </c>
      <c r="D422">
        <v>1.491E-2</v>
      </c>
      <c r="E422">
        <v>1.5339999999999999E-2</v>
      </c>
      <c r="F422">
        <v>11879623.5</v>
      </c>
      <c r="G422">
        <v>0</v>
      </c>
      <c r="L422" t="s">
        <v>7</v>
      </c>
      <c r="M422" t="s">
        <v>7</v>
      </c>
      <c r="N422" t="s">
        <v>7</v>
      </c>
      <c r="P422">
        <f t="shared" si="974"/>
        <v>6.1728395061725748E-2</v>
      </c>
      <c r="Q422">
        <f t="shared" si="975"/>
        <v>733310.09259256115</v>
      </c>
      <c r="R422">
        <f t="shared" si="976"/>
        <v>-442799183.93534654</v>
      </c>
      <c r="S422">
        <f t="shared" si="977"/>
        <v>-4427.9918393534654</v>
      </c>
      <c r="T422">
        <f t="shared" si="978"/>
        <v>-4.4279918393534654</v>
      </c>
    </row>
    <row r="423" spans="1:20" x14ac:dyDescent="0.25">
      <c r="A423" s="5">
        <v>44170</v>
      </c>
      <c r="B423">
        <v>1.5270000000000001E-2</v>
      </c>
      <c r="C423">
        <v>1.592E-2</v>
      </c>
      <c r="D423">
        <v>1.5169999999999999E-2</v>
      </c>
      <c r="E423">
        <v>1.5679999999999999E-2</v>
      </c>
      <c r="F423">
        <v>11704798.4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0.35999999999999888</v>
      </c>
      <c r="Q423">
        <f t="shared" si="975"/>
        <v>4213727.4239999866</v>
      </c>
      <c r="R423">
        <f t="shared" si="976"/>
        <v>-443532494.02793908</v>
      </c>
      <c r="S423">
        <f t="shared" si="977"/>
        <v>-4435.3249402793908</v>
      </c>
      <c r="T423">
        <f t="shared" si="978"/>
        <v>-4.4353249402793908</v>
      </c>
    </row>
    <row r="424" spans="1:20" x14ac:dyDescent="0.25">
      <c r="A424" s="5">
        <v>44169</v>
      </c>
      <c r="B424">
        <v>1.651E-2</v>
      </c>
      <c r="C424">
        <v>1.653E-2</v>
      </c>
      <c r="D424">
        <v>1.5169999999999999E-2</v>
      </c>
      <c r="E424">
        <v>1.5270000000000001E-2</v>
      </c>
      <c r="F424">
        <v>16069303.699999999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-0.85294117647058654</v>
      </c>
      <c r="Q424">
        <f t="shared" si="975"/>
        <v>-13706170.802941149</v>
      </c>
      <c r="R424">
        <f t="shared" si="976"/>
        <v>-447746221.45193905</v>
      </c>
      <c r="S424">
        <f t="shared" si="977"/>
        <v>-4477.4622145193907</v>
      </c>
      <c r="T424">
        <f t="shared" si="978"/>
        <v>-4.4774622145193907</v>
      </c>
    </row>
    <row r="425" spans="1:20" x14ac:dyDescent="0.25">
      <c r="A425" s="5">
        <v>44168</v>
      </c>
      <c r="B425">
        <v>1.6240000000000001E-2</v>
      </c>
      <c r="C425">
        <v>1.67E-2</v>
      </c>
      <c r="D425">
        <v>1.6E-2</v>
      </c>
      <c r="E425">
        <v>1.652E-2</v>
      </c>
      <c r="F425">
        <v>10321594.800000001</v>
      </c>
      <c r="G425">
        <v>0</v>
      </c>
      <c r="L425" t="s">
        <v>8</v>
      </c>
      <c r="M425" t="s">
        <v>7</v>
      </c>
      <c r="N425" t="s">
        <v>7</v>
      </c>
      <c r="P425">
        <f t="shared" si="974"/>
        <v>0.48571428571428626</v>
      </c>
      <c r="Q425">
        <f t="shared" si="975"/>
        <v>5013346.0457142917</v>
      </c>
      <c r="R425">
        <f t="shared" si="976"/>
        <v>-434040050.6489979</v>
      </c>
      <c r="S425">
        <f t="shared" si="977"/>
        <v>-4340.4005064899793</v>
      </c>
      <c r="T425">
        <f t="shared" si="978"/>
        <v>-4.3404005064899795</v>
      </c>
    </row>
    <row r="426" spans="1:20" x14ac:dyDescent="0.25">
      <c r="A426" s="5">
        <v>44167</v>
      </c>
      <c r="B426">
        <v>1.566E-2</v>
      </c>
      <c r="C426">
        <v>1.6449999999999999E-2</v>
      </c>
      <c r="D426">
        <v>1.537E-2</v>
      </c>
      <c r="E426">
        <v>1.6209999999999999E-2</v>
      </c>
      <c r="F426">
        <v>11626179.4</v>
      </c>
      <c r="G426">
        <v>0</v>
      </c>
      <c r="L426" t="s">
        <v>8</v>
      </c>
      <c r="M426" t="s">
        <v>7</v>
      </c>
      <c r="N426" t="s">
        <v>7</v>
      </c>
      <c r="P426">
        <f t="shared" si="974"/>
        <v>0.55555555555555414</v>
      </c>
      <c r="Q426">
        <f t="shared" si="975"/>
        <v>6458988.5555555392</v>
      </c>
      <c r="R426">
        <f t="shared" si="976"/>
        <v>-439053396.69471222</v>
      </c>
      <c r="S426">
        <f t="shared" si="977"/>
        <v>-4390.5339669471223</v>
      </c>
      <c r="T426">
        <f t="shared" si="978"/>
        <v>-4.3905339669471219</v>
      </c>
    </row>
    <row r="427" spans="1:20" x14ac:dyDescent="0.25">
      <c r="A427" s="5">
        <v>44166</v>
      </c>
      <c r="B427">
        <v>1.6310000000000002E-2</v>
      </c>
      <c r="C427">
        <v>1.6719999999999999E-2</v>
      </c>
      <c r="D427">
        <v>1.507E-2</v>
      </c>
      <c r="E427">
        <v>1.5689999999999999E-2</v>
      </c>
      <c r="F427">
        <v>16356299.199999999</v>
      </c>
      <c r="G427">
        <v>0</v>
      </c>
      <c r="L427" t="s">
        <v>7</v>
      </c>
      <c r="M427" t="s">
        <v>7</v>
      </c>
      <c r="N427" t="s">
        <v>7</v>
      </c>
      <c r="P427">
        <f t="shared" si="974"/>
        <v>-0.24848484848484906</v>
      </c>
      <c r="Q427">
        <f t="shared" si="975"/>
        <v>-4064292.5284848576</v>
      </c>
      <c r="R427">
        <f t="shared" si="976"/>
        <v>-445512385.25026774</v>
      </c>
      <c r="S427">
        <f t="shared" si="977"/>
        <v>-4455.1238525026774</v>
      </c>
      <c r="T427">
        <f t="shared" si="978"/>
        <v>-4.4551238525026777</v>
      </c>
    </row>
    <row r="428" spans="1:20" x14ac:dyDescent="0.25">
      <c r="A428" s="5">
        <v>44165</v>
      </c>
      <c r="B428">
        <v>1.6039999999999999E-2</v>
      </c>
      <c r="C428">
        <v>1.6459999999999999E-2</v>
      </c>
      <c r="D428">
        <v>1.558E-2</v>
      </c>
      <c r="E428">
        <v>1.6240000000000001E-2</v>
      </c>
      <c r="F428">
        <v>17840553.199999999</v>
      </c>
      <c r="G428">
        <v>0</v>
      </c>
      <c r="L428" t="s">
        <v>7</v>
      </c>
      <c r="M428" t="s">
        <v>7</v>
      </c>
      <c r="N428" t="s">
        <v>7</v>
      </c>
      <c r="P428">
        <f t="shared" si="974"/>
        <v>0.500000000000004</v>
      </c>
      <c r="Q428">
        <f t="shared" si="975"/>
        <v>8920276.6000000704</v>
      </c>
      <c r="R428">
        <f t="shared" si="976"/>
        <v>-441448092.72178286</v>
      </c>
      <c r="S428">
        <f t="shared" si="977"/>
        <v>-4414.480927217829</v>
      </c>
      <c r="T428">
        <f t="shared" si="978"/>
        <v>-4.4144809272178289</v>
      </c>
    </row>
    <row r="429" spans="1:20" x14ac:dyDescent="0.25">
      <c r="A429" s="5">
        <v>44164</v>
      </c>
      <c r="B429">
        <v>1.5970000000000002E-2</v>
      </c>
      <c r="C429">
        <v>1.643E-2</v>
      </c>
      <c r="D429">
        <v>1.5779999999999999E-2</v>
      </c>
      <c r="E429">
        <v>1.5939999999999999E-2</v>
      </c>
      <c r="F429">
        <v>3931672.6</v>
      </c>
      <c r="G429">
        <v>0</v>
      </c>
      <c r="L429" t="s">
        <v>7</v>
      </c>
      <c r="M429" t="s">
        <v>7</v>
      </c>
      <c r="N429" t="s">
        <v>7</v>
      </c>
      <c r="P429">
        <f t="shared" si="974"/>
        <v>-0.50769230769230733</v>
      </c>
      <c r="Q429">
        <f t="shared" si="975"/>
        <v>-1996079.9353846139</v>
      </c>
      <c r="R429">
        <f t="shared" si="976"/>
        <v>-450368369.32178295</v>
      </c>
      <c r="S429">
        <f t="shared" si="977"/>
        <v>-4503.6836932178294</v>
      </c>
      <c r="T429">
        <f t="shared" si="978"/>
        <v>-4.5036836932178295</v>
      </c>
    </row>
    <row r="430" spans="1:20" x14ac:dyDescent="0.25">
      <c r="A430" s="5">
        <v>44163</v>
      </c>
      <c r="B430">
        <v>1.5879999999999998E-2</v>
      </c>
      <c r="C430">
        <v>1.6920000000000001E-2</v>
      </c>
      <c r="D430">
        <v>1.545E-2</v>
      </c>
      <c r="E430">
        <v>1.5970000000000002E-2</v>
      </c>
      <c r="F430">
        <v>14098698.5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-0.29251700680271964</v>
      </c>
      <c r="Q430">
        <f t="shared" si="975"/>
        <v>-4124109.0850339932</v>
      </c>
      <c r="R430">
        <f t="shared" si="976"/>
        <v>-448372289.38639832</v>
      </c>
      <c r="S430">
        <f t="shared" si="977"/>
        <v>-4483.7228938639828</v>
      </c>
      <c r="T430">
        <f t="shared" si="978"/>
        <v>-4.483722893863983</v>
      </c>
    </row>
    <row r="431" spans="1:20" x14ac:dyDescent="0.25">
      <c r="A431" s="5">
        <v>44162</v>
      </c>
      <c r="B431">
        <v>1.5730000000000001E-2</v>
      </c>
      <c r="C431">
        <v>1.6049999999999998E-2</v>
      </c>
      <c r="D431">
        <v>1.4930000000000001E-2</v>
      </c>
      <c r="E431">
        <v>1.5879999999999998E-2</v>
      </c>
      <c r="F431">
        <v>4938462.5999999996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0.69642857142857084</v>
      </c>
      <c r="Q431">
        <f t="shared" si="975"/>
        <v>3439286.4535714253</v>
      </c>
      <c r="R431">
        <f t="shared" si="976"/>
        <v>-444248180.3013643</v>
      </c>
      <c r="S431">
        <f t="shared" si="977"/>
        <v>-4442.481803013643</v>
      </c>
      <c r="T431">
        <f t="shared" si="978"/>
        <v>-4.442481803013643</v>
      </c>
    </row>
    <row r="432" spans="1:20" x14ac:dyDescent="0.25">
      <c r="A432" s="5">
        <v>44161</v>
      </c>
      <c r="B432">
        <v>1.7239999999999998E-2</v>
      </c>
      <c r="C432">
        <v>1.7819999999999999E-2</v>
      </c>
      <c r="D432">
        <v>1.4500000000000001E-2</v>
      </c>
      <c r="E432">
        <v>1.5689999999999999E-2</v>
      </c>
      <c r="F432">
        <v>12759623.199999999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-0.28313253012048256</v>
      </c>
      <c r="Q432">
        <f t="shared" si="975"/>
        <v>-3612664.4000000078</v>
      </c>
      <c r="R432">
        <f t="shared" si="976"/>
        <v>-447687466.75493574</v>
      </c>
      <c r="S432">
        <f t="shared" si="977"/>
        <v>-4476.8746675493576</v>
      </c>
      <c r="T432">
        <f t="shared" si="978"/>
        <v>-4.4768746675493576</v>
      </c>
    </row>
    <row r="433" spans="1:20" x14ac:dyDescent="0.25">
      <c r="A433" s="5">
        <v>44160</v>
      </c>
      <c r="B433">
        <v>1.7250000000000001E-2</v>
      </c>
      <c r="C433">
        <v>1.8550000000000001E-2</v>
      </c>
      <c r="D433">
        <v>1.686E-2</v>
      </c>
      <c r="E433">
        <v>1.729E-2</v>
      </c>
      <c r="F433">
        <v>25308238.199999999</v>
      </c>
      <c r="G433">
        <v>0</v>
      </c>
      <c r="L433" t="s">
        <v>8</v>
      </c>
      <c r="M433" t="s">
        <v>8</v>
      </c>
      <c r="N433" t="s">
        <v>7</v>
      </c>
      <c r="P433">
        <f t="shared" si="974"/>
        <v>-0.49112426035502993</v>
      </c>
      <c r="Q433">
        <f t="shared" si="975"/>
        <v>-12429489.766863914</v>
      </c>
      <c r="R433">
        <f t="shared" si="976"/>
        <v>-444074802.35493571</v>
      </c>
      <c r="S433">
        <f t="shared" si="977"/>
        <v>-4440.7480235493567</v>
      </c>
      <c r="T433">
        <f t="shared" si="978"/>
        <v>-4.4407480235493564</v>
      </c>
    </row>
    <row r="434" spans="1:20" x14ac:dyDescent="0.25">
      <c r="A434" s="5">
        <v>44159</v>
      </c>
      <c r="B434">
        <v>1.7059999999999999E-2</v>
      </c>
      <c r="C434">
        <v>1.8149999999999999E-2</v>
      </c>
      <c r="D434">
        <v>1.6500000000000001E-2</v>
      </c>
      <c r="E434">
        <v>1.7229999999999999E-2</v>
      </c>
      <c r="F434">
        <v>24997752.800000001</v>
      </c>
      <c r="G434">
        <v>0</v>
      </c>
      <c r="L434" t="s">
        <v>8</v>
      </c>
      <c r="M434" t="s">
        <v>8</v>
      </c>
      <c r="N434" t="s">
        <v>7</v>
      </c>
      <c r="P434">
        <f t="shared" si="974"/>
        <v>-0.11515151515151686</v>
      </c>
      <c r="Q434">
        <f t="shared" si="975"/>
        <v>-2878529.1103030732</v>
      </c>
      <c r="R434">
        <f t="shared" si="976"/>
        <v>-431645312.58807176</v>
      </c>
      <c r="S434">
        <f t="shared" si="977"/>
        <v>-4316.4531258807174</v>
      </c>
      <c r="T434">
        <f t="shared" si="978"/>
        <v>-4.3164531258807175</v>
      </c>
    </row>
    <row r="435" spans="1:20" x14ac:dyDescent="0.25">
      <c r="A435" s="5">
        <v>44158</v>
      </c>
      <c r="B435">
        <v>1.6490000000000001E-2</v>
      </c>
      <c r="C435">
        <v>1.7510000000000001E-2</v>
      </c>
      <c r="D435">
        <v>1.6070000000000001E-2</v>
      </c>
      <c r="E435">
        <v>1.7069999999999998E-2</v>
      </c>
      <c r="F435">
        <v>18230245.199999999</v>
      </c>
      <c r="G435">
        <v>0</v>
      </c>
      <c r="L435" t="s">
        <v>7</v>
      </c>
      <c r="M435" t="s">
        <v>8</v>
      </c>
      <c r="N435" t="s">
        <v>7</v>
      </c>
      <c r="P435">
        <f t="shared" si="974"/>
        <v>0.38888888888888501</v>
      </c>
      <c r="Q435">
        <f t="shared" si="975"/>
        <v>7089539.799999929</v>
      </c>
      <c r="R435">
        <f t="shared" si="976"/>
        <v>-428766783.47776872</v>
      </c>
      <c r="S435">
        <f t="shared" si="977"/>
        <v>-4287.6678347776869</v>
      </c>
      <c r="T435">
        <f t="shared" si="978"/>
        <v>-4.2876678347776869</v>
      </c>
    </row>
    <row r="436" spans="1:20" x14ac:dyDescent="0.25">
      <c r="A436" s="5">
        <v>44157</v>
      </c>
      <c r="B436">
        <v>1.7340000000000001E-2</v>
      </c>
      <c r="C436">
        <v>1.7989999999999999E-2</v>
      </c>
      <c r="D436">
        <v>1.4999999999999999E-2</v>
      </c>
      <c r="E436">
        <v>1.6490000000000001E-2</v>
      </c>
      <c r="F436">
        <v>29831420.600000001</v>
      </c>
      <c r="G436">
        <v>0</v>
      </c>
      <c r="L436" t="s">
        <v>8</v>
      </c>
      <c r="M436" t="s">
        <v>8</v>
      </c>
      <c r="N436" t="s">
        <v>7</v>
      </c>
      <c r="P436">
        <f t="shared" si="974"/>
        <v>-3.3444816053498742E-3</v>
      </c>
      <c r="Q436">
        <f t="shared" si="975"/>
        <v>-99770.63745815531</v>
      </c>
      <c r="R436">
        <f t="shared" si="976"/>
        <v>-435856323.27776867</v>
      </c>
      <c r="S436">
        <f t="shared" si="977"/>
        <v>-4358.5632327776866</v>
      </c>
      <c r="T436">
        <f t="shared" si="978"/>
        <v>-4.3585632327776862</v>
      </c>
    </row>
    <row r="437" spans="1:20" x14ac:dyDescent="0.25">
      <c r="A437" s="5">
        <v>44156</v>
      </c>
      <c r="B437">
        <v>1.583E-2</v>
      </c>
      <c r="C437">
        <v>1.847E-2</v>
      </c>
      <c r="D437">
        <v>1.486E-2</v>
      </c>
      <c r="E437">
        <v>1.7330000000000002E-2</v>
      </c>
      <c r="F437">
        <v>36607914.700000003</v>
      </c>
      <c r="G437">
        <v>0</v>
      </c>
      <c r="L437" t="s">
        <v>7</v>
      </c>
      <c r="M437" t="s">
        <v>7</v>
      </c>
      <c r="N437" t="s">
        <v>7</v>
      </c>
      <c r="P437">
        <f t="shared" si="974"/>
        <v>0.36842105263157976</v>
      </c>
      <c r="Q437">
        <f t="shared" si="975"/>
        <v>13487126.468421083</v>
      </c>
      <c r="R437">
        <f t="shared" si="976"/>
        <v>-435756552.64031053</v>
      </c>
      <c r="S437">
        <f t="shared" si="977"/>
        <v>-4357.5655264031057</v>
      </c>
      <c r="T437">
        <f t="shared" si="978"/>
        <v>-4.3575655264031052</v>
      </c>
    </row>
    <row r="438" spans="1:20" x14ac:dyDescent="0.25">
      <c r="A438" s="5">
        <v>44155</v>
      </c>
      <c r="B438">
        <v>1.6070000000000001E-2</v>
      </c>
      <c r="C438">
        <v>1.6230000000000001E-2</v>
      </c>
      <c r="D438">
        <v>1.511E-2</v>
      </c>
      <c r="E438">
        <v>1.5810000000000001E-2</v>
      </c>
      <c r="F438">
        <v>4807352.2</v>
      </c>
      <c r="G438">
        <v>0</v>
      </c>
      <c r="L438" t="s">
        <v>7</v>
      </c>
      <c r="M438" t="s">
        <v>7</v>
      </c>
      <c r="N438" t="s">
        <v>8</v>
      </c>
      <c r="P438">
        <f t="shared" si="974"/>
        <v>0.25000000000000039</v>
      </c>
      <c r="Q438">
        <f t="shared" si="975"/>
        <v>1201838.0500000019</v>
      </c>
      <c r="R438">
        <f t="shared" si="976"/>
        <v>-449243679.10873163</v>
      </c>
      <c r="S438">
        <f t="shared" si="977"/>
        <v>-4492.4367910873161</v>
      </c>
      <c r="T438">
        <f t="shared" si="978"/>
        <v>-4.4924367910873162</v>
      </c>
    </row>
    <row r="439" spans="1:20" x14ac:dyDescent="0.25">
      <c r="A439" s="5">
        <v>44154</v>
      </c>
      <c r="B439">
        <v>1.626E-2</v>
      </c>
      <c r="C439">
        <v>1.635E-2</v>
      </c>
      <c r="D439">
        <v>1.553E-2</v>
      </c>
      <c r="E439">
        <v>1.5990000000000001E-2</v>
      </c>
      <c r="F439">
        <v>8825487.4000000004</v>
      </c>
      <c r="G439">
        <v>0</v>
      </c>
      <c r="L439" t="s">
        <v>7</v>
      </c>
      <c r="M439" t="s">
        <v>7</v>
      </c>
      <c r="N439" t="s">
        <v>8</v>
      </c>
      <c r="P439">
        <f t="shared" si="974"/>
        <v>0.12195121951219656</v>
      </c>
      <c r="Q439">
        <f t="shared" si="975"/>
        <v>1076278.951219525</v>
      </c>
      <c r="R439">
        <f t="shared" si="976"/>
        <v>-450445517.15873164</v>
      </c>
      <c r="S439">
        <f t="shared" si="977"/>
        <v>-4504.4551715873167</v>
      </c>
      <c r="T439">
        <f t="shared" si="978"/>
        <v>-4.5044551715873169</v>
      </c>
    </row>
    <row r="440" spans="1:20" x14ac:dyDescent="0.25">
      <c r="A440" s="5">
        <v>44153</v>
      </c>
      <c r="B440">
        <v>1.703E-2</v>
      </c>
      <c r="C440">
        <v>1.711E-2</v>
      </c>
      <c r="D440">
        <v>1.5800000000000002E-2</v>
      </c>
      <c r="E440">
        <v>1.6279999999999999E-2</v>
      </c>
      <c r="F440">
        <v>14781663.5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-0.26717557251908658</v>
      </c>
      <c r="Q440">
        <f t="shared" si="975"/>
        <v>-3949299.4083969849</v>
      </c>
      <c r="R440">
        <f t="shared" si="976"/>
        <v>-451521796.10995114</v>
      </c>
      <c r="S440">
        <f t="shared" si="977"/>
        <v>-4515.2179610995117</v>
      </c>
      <c r="T440">
        <f t="shared" si="978"/>
        <v>-4.5152179610995118</v>
      </c>
    </row>
    <row r="441" spans="1:20" x14ac:dyDescent="0.25">
      <c r="A441" s="5">
        <v>44152</v>
      </c>
      <c r="B441">
        <v>1.6449999999999999E-2</v>
      </c>
      <c r="C441">
        <v>1.7229999999999999E-2</v>
      </c>
      <c r="D441">
        <v>1.644E-2</v>
      </c>
      <c r="E441">
        <v>1.703E-2</v>
      </c>
      <c r="F441">
        <v>16238384.1</v>
      </c>
      <c r="G441">
        <v>0</v>
      </c>
      <c r="L441" t="s">
        <v>8</v>
      </c>
      <c r="M441" t="s">
        <v>7</v>
      </c>
      <c r="N441" t="s">
        <v>8</v>
      </c>
      <c r="P441">
        <f t="shared" si="974"/>
        <v>0.49367088607595183</v>
      </c>
      <c r="Q441">
        <f t="shared" si="975"/>
        <v>8016417.4670886472</v>
      </c>
      <c r="R441">
        <f t="shared" si="976"/>
        <v>-447572496.70155418</v>
      </c>
      <c r="S441">
        <f t="shared" si="977"/>
        <v>-4475.7249670155416</v>
      </c>
      <c r="T441">
        <f t="shared" si="978"/>
        <v>-4.4757249670155419</v>
      </c>
    </row>
    <row r="442" spans="1:20" x14ac:dyDescent="0.25">
      <c r="A442" s="5">
        <v>44151</v>
      </c>
      <c r="B442">
        <v>1.6539999999999999E-2</v>
      </c>
      <c r="C442">
        <v>1.6879999999999999E-2</v>
      </c>
      <c r="D442">
        <v>1.6310000000000002E-2</v>
      </c>
      <c r="E442">
        <v>1.6459999999999999E-2</v>
      </c>
      <c r="F442">
        <v>13034587.1</v>
      </c>
      <c r="G442">
        <v>0</v>
      </c>
      <c r="L442" t="s">
        <v>7</v>
      </c>
      <c r="M442" t="s">
        <v>7</v>
      </c>
      <c r="N442" t="s">
        <v>8</v>
      </c>
      <c r="P442">
        <f t="shared" si="974"/>
        <v>-0.47368421052632281</v>
      </c>
      <c r="Q442">
        <f t="shared" si="975"/>
        <v>-6174278.1000000918</v>
      </c>
      <c r="R442">
        <f t="shared" si="976"/>
        <v>-455588914.16864282</v>
      </c>
      <c r="S442">
        <f t="shared" si="977"/>
        <v>-4555.889141686428</v>
      </c>
      <c r="T442">
        <f t="shared" si="978"/>
        <v>-4.5558891416864284</v>
      </c>
    </row>
    <row r="443" spans="1:20" x14ac:dyDescent="0.25">
      <c r="A443" s="5">
        <v>44150</v>
      </c>
      <c r="B443">
        <v>1.6670000000000001E-2</v>
      </c>
      <c r="C443">
        <v>1.7600000000000001E-2</v>
      </c>
      <c r="D443">
        <v>1.5789999999999998E-2</v>
      </c>
      <c r="E443">
        <v>1.6549999999999999E-2</v>
      </c>
      <c r="F443">
        <v>12715235.5</v>
      </c>
      <c r="G443">
        <v>0</v>
      </c>
      <c r="L443" t="s">
        <v>7</v>
      </c>
      <c r="M443" t="s">
        <v>7</v>
      </c>
      <c r="N443" t="s">
        <v>8</v>
      </c>
      <c r="P443">
        <f t="shared" si="974"/>
        <v>-0.16022099447513904</v>
      </c>
      <c r="Q443">
        <f t="shared" si="975"/>
        <v>-2037247.6767955918</v>
      </c>
      <c r="R443">
        <f t="shared" si="976"/>
        <v>-449414636.06864274</v>
      </c>
      <c r="S443">
        <f t="shared" si="977"/>
        <v>-4494.1463606864272</v>
      </c>
      <c r="T443">
        <f t="shared" si="978"/>
        <v>-4.4941463606864271</v>
      </c>
    </row>
    <row r="444" spans="1:20" x14ac:dyDescent="0.25">
      <c r="A444" s="5">
        <v>44149</v>
      </c>
      <c r="B444">
        <v>1.7069999999999998E-2</v>
      </c>
      <c r="C444">
        <v>1.7100000000000001E-2</v>
      </c>
      <c r="D444">
        <v>1.6289999999999999E-2</v>
      </c>
      <c r="E444">
        <v>1.6709999999999999E-2</v>
      </c>
      <c r="F444">
        <v>11722729.5</v>
      </c>
      <c r="G444">
        <v>0</v>
      </c>
      <c r="L444" t="s">
        <v>8</v>
      </c>
      <c r="M444" t="s">
        <v>7</v>
      </c>
      <c r="N444" t="s">
        <v>8</v>
      </c>
      <c r="P444">
        <f t="shared" si="974"/>
        <v>3.7037037037035453E-2</v>
      </c>
      <c r="Q444">
        <f t="shared" si="975"/>
        <v>434175.16666664812</v>
      </c>
      <c r="R444">
        <f t="shared" si="976"/>
        <v>-447377388.39184713</v>
      </c>
      <c r="S444">
        <f t="shared" si="977"/>
        <v>-4473.7738839184713</v>
      </c>
      <c r="T444">
        <f t="shared" si="978"/>
        <v>-4.4737738839184713</v>
      </c>
    </row>
    <row r="445" spans="1:20" x14ac:dyDescent="0.25">
      <c r="A445" s="5">
        <v>44148</v>
      </c>
      <c r="B445">
        <v>1.636E-2</v>
      </c>
      <c r="C445">
        <v>1.7440000000000001E-2</v>
      </c>
      <c r="D445">
        <v>1.6279999999999999E-2</v>
      </c>
      <c r="E445">
        <v>1.7069999999999998E-2</v>
      </c>
      <c r="F445">
        <v>13284255.4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0.36206896551723816</v>
      </c>
      <c r="Q445">
        <f t="shared" si="975"/>
        <v>4809816.6103447853</v>
      </c>
      <c r="R445">
        <f t="shared" si="976"/>
        <v>-447811563.55851376</v>
      </c>
      <c r="S445">
        <f t="shared" si="977"/>
        <v>-4478.1156355851372</v>
      </c>
      <c r="T445">
        <f t="shared" si="978"/>
        <v>-4.4781156355851373</v>
      </c>
    </row>
    <row r="446" spans="1:20" x14ac:dyDescent="0.25">
      <c r="A446" s="5">
        <v>44147</v>
      </c>
      <c r="B446">
        <v>1.7809999999999999E-2</v>
      </c>
      <c r="C446">
        <v>1.9E-2</v>
      </c>
      <c r="D446">
        <v>1.592E-2</v>
      </c>
      <c r="E446">
        <v>1.6369999999999999E-2</v>
      </c>
      <c r="F446">
        <v>15699576.699999999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-0.70779220779220842</v>
      </c>
      <c r="Q446">
        <f t="shared" si="975"/>
        <v>-11112038.053896112</v>
      </c>
      <c r="R446">
        <f t="shared" si="976"/>
        <v>-452621380.16885853</v>
      </c>
      <c r="S446">
        <f t="shared" si="977"/>
        <v>-4526.2138016885856</v>
      </c>
      <c r="T446">
        <f t="shared" si="978"/>
        <v>-4.526213801688586</v>
      </c>
    </row>
    <row r="447" spans="1:20" x14ac:dyDescent="0.25">
      <c r="A447" s="5">
        <v>44146</v>
      </c>
      <c r="B447">
        <v>1.8180000000000002E-2</v>
      </c>
      <c r="C447">
        <v>1.8919999999999999E-2</v>
      </c>
      <c r="D447">
        <v>1.7069999999999998E-2</v>
      </c>
      <c r="E447">
        <v>1.78E-2</v>
      </c>
      <c r="F447">
        <v>17460987.800000001</v>
      </c>
      <c r="G447">
        <v>0</v>
      </c>
      <c r="L447" t="s">
        <v>7</v>
      </c>
      <c r="M447" t="s">
        <v>7</v>
      </c>
      <c r="N447" t="s">
        <v>8</v>
      </c>
      <c r="P447">
        <f t="shared" si="974"/>
        <v>-0.2108108108108096</v>
      </c>
      <c r="Q447">
        <f t="shared" si="975"/>
        <v>-3680964.9956756546</v>
      </c>
      <c r="R447">
        <f t="shared" si="976"/>
        <v>-441509342.1149624</v>
      </c>
      <c r="S447">
        <f t="shared" si="977"/>
        <v>-4415.0934211496242</v>
      </c>
      <c r="T447">
        <f t="shared" si="978"/>
        <v>-4.4150934211496242</v>
      </c>
    </row>
    <row r="448" spans="1:20" x14ac:dyDescent="0.25">
      <c r="A448" s="5">
        <v>44145</v>
      </c>
      <c r="B448">
        <v>1.6570000000000001E-2</v>
      </c>
      <c r="C448">
        <v>2.1090000000000001E-2</v>
      </c>
      <c r="D448">
        <v>1.6549999999999999E-2</v>
      </c>
      <c r="E448">
        <v>1.8089999999999998E-2</v>
      </c>
      <c r="F448">
        <v>43801866.5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-0.32158590308370094</v>
      </c>
      <c r="Q448">
        <f t="shared" si="975"/>
        <v>-14086062.795154206</v>
      </c>
      <c r="R448">
        <f t="shared" si="976"/>
        <v>-437828377.11928672</v>
      </c>
      <c r="S448">
        <f t="shared" si="977"/>
        <v>-4378.2837711928669</v>
      </c>
      <c r="T448">
        <f t="shared" si="978"/>
        <v>-4.3782837711928666</v>
      </c>
    </row>
    <row r="449" spans="1:20" x14ac:dyDescent="0.25">
      <c r="A449" s="5">
        <v>44144</v>
      </c>
      <c r="B449">
        <v>1.6840000000000001E-2</v>
      </c>
      <c r="C449">
        <v>1.6979999999999999E-2</v>
      </c>
      <c r="D449">
        <v>1.562E-2</v>
      </c>
      <c r="E449">
        <v>1.6570000000000001E-2</v>
      </c>
      <c r="F449">
        <v>10710595.1</v>
      </c>
      <c r="G449">
        <v>0</v>
      </c>
      <c r="L449" t="s">
        <v>7</v>
      </c>
      <c r="M449" t="s">
        <v>7</v>
      </c>
      <c r="N449" t="s">
        <v>7</v>
      </c>
      <c r="P449">
        <f t="shared" si="974"/>
        <v>0.39705882352941518</v>
      </c>
      <c r="Q449">
        <f t="shared" si="975"/>
        <v>4252736.2897059191</v>
      </c>
      <c r="R449">
        <f t="shared" si="976"/>
        <v>-423742314.3241325</v>
      </c>
      <c r="S449">
        <f t="shared" si="977"/>
        <v>-4237.4231432413253</v>
      </c>
      <c r="T449">
        <f t="shared" si="978"/>
        <v>-4.2374231432413252</v>
      </c>
    </row>
    <row r="450" spans="1:20" x14ac:dyDescent="0.25">
      <c r="A450" s="5">
        <v>44143</v>
      </c>
      <c r="B450">
        <v>1.6240000000000001E-2</v>
      </c>
      <c r="C450">
        <v>1.7129999999999999E-2</v>
      </c>
      <c r="D450">
        <v>1.61E-2</v>
      </c>
      <c r="E450">
        <v>1.6840000000000001E-2</v>
      </c>
      <c r="F450">
        <v>11009829.199999999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0.43689320388349767</v>
      </c>
      <c r="Q450">
        <f t="shared" si="975"/>
        <v>4810119.5533980858</v>
      </c>
      <c r="R450">
        <f t="shared" si="976"/>
        <v>-427995050.61383843</v>
      </c>
      <c r="S450">
        <f t="shared" si="977"/>
        <v>-4279.9505061383843</v>
      </c>
      <c r="T450">
        <f t="shared" si="978"/>
        <v>-4.279950506138384</v>
      </c>
    </row>
    <row r="451" spans="1:20" x14ac:dyDescent="0.25">
      <c r="A451" s="5">
        <v>44142</v>
      </c>
      <c r="B451">
        <v>1.754E-2</v>
      </c>
      <c r="C451">
        <v>1.8749999999999999E-2</v>
      </c>
      <c r="D451">
        <v>1.5640000000000001E-2</v>
      </c>
      <c r="E451">
        <v>1.6230000000000001E-2</v>
      </c>
      <c r="F451">
        <v>15704990.9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-0.6205787781350478</v>
      </c>
      <c r="Q451">
        <f t="shared" si="975"/>
        <v>-9746184.0633440446</v>
      </c>
      <c r="R451">
        <f t="shared" si="976"/>
        <v>-432805170.16723651</v>
      </c>
      <c r="S451">
        <f t="shared" si="977"/>
        <v>-4328.0517016723652</v>
      </c>
      <c r="T451">
        <f t="shared" si="978"/>
        <v>-4.328051701672365</v>
      </c>
    </row>
    <row r="452" spans="1:20" x14ac:dyDescent="0.25">
      <c r="A452" s="5">
        <v>44141</v>
      </c>
      <c r="B452">
        <v>1.6369999999999999E-2</v>
      </c>
      <c r="C452">
        <v>1.7899999999999999E-2</v>
      </c>
      <c r="D452">
        <v>1.585E-2</v>
      </c>
      <c r="E452">
        <v>1.754E-2</v>
      </c>
      <c r="F452">
        <v>10554861.300000001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0.64878048780487874</v>
      </c>
      <c r="Q452">
        <f t="shared" si="975"/>
        <v>6847788.0629268372</v>
      </c>
      <c r="R452">
        <f t="shared" si="976"/>
        <v>-423058986.10389245</v>
      </c>
      <c r="S452">
        <f t="shared" si="977"/>
        <v>-4230.589861038924</v>
      </c>
      <c r="T452">
        <f t="shared" si="978"/>
        <v>-4.2305898610389239</v>
      </c>
    </row>
    <row r="453" spans="1:20" x14ac:dyDescent="0.25">
      <c r="A453" s="5">
        <v>44140</v>
      </c>
      <c r="B453">
        <v>1.602E-2</v>
      </c>
      <c r="C453">
        <v>1.6820000000000002E-2</v>
      </c>
      <c r="D453">
        <v>1.5879999999999998E-2</v>
      </c>
      <c r="E453">
        <v>1.6389999999999998E-2</v>
      </c>
      <c r="F453">
        <v>8312667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8.5106382978719641E-2</v>
      </c>
      <c r="Q453">
        <f t="shared" si="975"/>
        <v>707461.02127656445</v>
      </c>
      <c r="R453">
        <f t="shared" si="976"/>
        <v>-429906774.16681927</v>
      </c>
      <c r="S453">
        <f t="shared" si="977"/>
        <v>-4299.0677416681929</v>
      </c>
      <c r="T453">
        <f t="shared" si="978"/>
        <v>-4.2990677416681926</v>
      </c>
    </row>
    <row r="454" spans="1:20" x14ac:dyDescent="0.25">
      <c r="A454" s="5">
        <v>44139</v>
      </c>
      <c r="B454">
        <v>1.619E-2</v>
      </c>
      <c r="C454">
        <v>1.6490000000000001E-2</v>
      </c>
      <c r="D454">
        <v>1.553E-2</v>
      </c>
      <c r="E454">
        <v>1.601E-2</v>
      </c>
      <c r="F454">
        <v>4643088.8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-1.8070036208091726E-15</v>
      </c>
      <c r="Q454">
        <f t="shared" ref="Q454:Q517" si="980">F454*P454</f>
        <v>-8.3900782733385158E-9</v>
      </c>
      <c r="R454">
        <f t="shared" ref="R454:R517" si="981">R455+Q454</f>
        <v>-430614235.18809587</v>
      </c>
      <c r="S454">
        <f t="shared" ref="S454:S517" si="982">R454/100000</f>
        <v>-4306.1423518809588</v>
      </c>
      <c r="T454">
        <f t="shared" ref="T454:T517" si="983">S454/1000</f>
        <v>-4.3061423518809585</v>
      </c>
    </row>
    <row r="455" spans="1:20" x14ac:dyDescent="0.25">
      <c r="A455" s="5">
        <v>44138</v>
      </c>
      <c r="B455">
        <v>1.593E-2</v>
      </c>
      <c r="C455">
        <v>1.6199999999999999E-2</v>
      </c>
      <c r="D455">
        <v>1.515E-2</v>
      </c>
      <c r="E455">
        <v>1.619E-2</v>
      </c>
      <c r="F455">
        <v>7712868.2000000002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0.98095238095238169</v>
      </c>
      <c r="Q455">
        <f t="shared" si="980"/>
        <v>7565956.4247619109</v>
      </c>
      <c r="R455">
        <f t="shared" si="981"/>
        <v>-430614235.18809587</v>
      </c>
      <c r="S455">
        <f t="shared" si="982"/>
        <v>-4306.1423518809588</v>
      </c>
      <c r="T455">
        <f t="shared" si="983"/>
        <v>-4.3061423518809585</v>
      </c>
    </row>
    <row r="456" spans="1:20" x14ac:dyDescent="0.25">
      <c r="A456" s="5">
        <v>44137</v>
      </c>
      <c r="B456">
        <v>1.653E-2</v>
      </c>
      <c r="C456">
        <v>1.6809999999999999E-2</v>
      </c>
      <c r="D456">
        <v>1.5720000000000001E-2</v>
      </c>
      <c r="E456">
        <v>1.593E-2</v>
      </c>
      <c r="F456">
        <v>8110280.7000000002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-0.61467889908257078</v>
      </c>
      <c r="Q456">
        <f t="shared" si="980"/>
        <v>-4985218.4119266216</v>
      </c>
      <c r="R456">
        <f t="shared" si="981"/>
        <v>-438180191.61285776</v>
      </c>
      <c r="S456">
        <f t="shared" si="982"/>
        <v>-4381.8019161285774</v>
      </c>
      <c r="T456">
        <f t="shared" si="983"/>
        <v>-4.3818019161285777</v>
      </c>
    </row>
    <row r="457" spans="1:20" x14ac:dyDescent="0.25">
      <c r="A457" s="5">
        <v>44136</v>
      </c>
      <c r="B457">
        <v>1.6029999999999999E-2</v>
      </c>
      <c r="C457">
        <v>1.7299999999999999E-2</v>
      </c>
      <c r="D457">
        <v>1.5959999999999998E-2</v>
      </c>
      <c r="E457">
        <v>1.653E-2</v>
      </c>
      <c r="F457">
        <v>9382531.1999999993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-0.14925373134328257</v>
      </c>
      <c r="Q457">
        <f t="shared" si="980"/>
        <v>-1400377.7910447665</v>
      </c>
      <c r="R457">
        <f t="shared" si="981"/>
        <v>-433194973.20093113</v>
      </c>
      <c r="S457">
        <f t="shared" si="982"/>
        <v>-4331.9497320093114</v>
      </c>
      <c r="T457">
        <f t="shared" si="983"/>
        <v>-4.3319497320093117</v>
      </c>
    </row>
    <row r="458" spans="1:20" x14ac:dyDescent="0.25">
      <c r="A458" s="5">
        <v>44135</v>
      </c>
      <c r="B458">
        <v>1.5599999999999999E-2</v>
      </c>
      <c r="C458">
        <v>1.6549999999999999E-2</v>
      </c>
      <c r="D458">
        <v>1.5389999999999999E-2</v>
      </c>
      <c r="E458">
        <v>1.6039999999999999E-2</v>
      </c>
      <c r="F458">
        <v>7794673.5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0.12068965517241341</v>
      </c>
      <c r="Q458">
        <f t="shared" si="980"/>
        <v>940736.45689654874</v>
      </c>
      <c r="R458">
        <f t="shared" si="981"/>
        <v>-431794595.40988636</v>
      </c>
      <c r="S458">
        <f t="shared" si="982"/>
        <v>-4317.9459540988637</v>
      </c>
      <c r="T458">
        <f t="shared" si="983"/>
        <v>-4.3179459540988638</v>
      </c>
    </row>
    <row r="459" spans="1:20" x14ac:dyDescent="0.25">
      <c r="A459" s="5">
        <v>44134</v>
      </c>
      <c r="B459">
        <v>1.541E-2</v>
      </c>
      <c r="C459">
        <v>1.5650000000000001E-2</v>
      </c>
      <c r="D459">
        <v>1.4590000000000001E-2</v>
      </c>
      <c r="E459">
        <v>1.5559999999999999E-2</v>
      </c>
      <c r="F459">
        <v>2574694.7000000002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0.83018867924528017</v>
      </c>
      <c r="Q459">
        <f t="shared" si="980"/>
        <v>2137482.392452823</v>
      </c>
      <c r="R459">
        <f t="shared" si="981"/>
        <v>-432735331.8667829</v>
      </c>
      <c r="S459">
        <f t="shared" si="982"/>
        <v>-4327.3533186678287</v>
      </c>
      <c r="T459">
        <f t="shared" si="983"/>
        <v>-4.3273533186678286</v>
      </c>
    </row>
    <row r="460" spans="1:20" x14ac:dyDescent="0.25">
      <c r="A460" s="5">
        <v>44133</v>
      </c>
      <c r="B460">
        <v>1.6080000000000001E-2</v>
      </c>
      <c r="C460">
        <v>1.6129999999999999E-2</v>
      </c>
      <c r="D460">
        <v>1.516E-2</v>
      </c>
      <c r="E460">
        <v>1.541E-2</v>
      </c>
      <c r="F460">
        <v>1682263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-0.48453608247422564</v>
      </c>
      <c r="Q460">
        <f t="shared" si="980"/>
        <v>-815117.12371133827</v>
      </c>
      <c r="R460">
        <f t="shared" si="981"/>
        <v>-434872814.25923574</v>
      </c>
      <c r="S460">
        <f t="shared" si="982"/>
        <v>-4348.7281425923575</v>
      </c>
      <c r="T460">
        <f t="shared" si="983"/>
        <v>-4.3487281425923578</v>
      </c>
    </row>
    <row r="461" spans="1:20" x14ac:dyDescent="0.25">
      <c r="A461" s="5">
        <v>44132</v>
      </c>
      <c r="B461">
        <v>1.6629999999999999E-2</v>
      </c>
      <c r="C461">
        <v>1.6789999999999999E-2</v>
      </c>
      <c r="D461">
        <v>1.6E-2</v>
      </c>
      <c r="E461">
        <v>1.6109999999999999E-2</v>
      </c>
      <c r="F461">
        <v>7993555.5999999996</v>
      </c>
      <c r="G461">
        <v>0</v>
      </c>
      <c r="L461" t="s">
        <v>7</v>
      </c>
      <c r="M461" t="s">
        <v>8</v>
      </c>
      <c r="N461" t="s">
        <v>7</v>
      </c>
      <c r="P461">
        <f t="shared" si="979"/>
        <v>-0.72151898734177433</v>
      </c>
      <c r="Q461">
        <f t="shared" si="980"/>
        <v>-5767502.1417721687</v>
      </c>
      <c r="R461">
        <f t="shared" si="981"/>
        <v>-434057697.13552439</v>
      </c>
      <c r="S461">
        <f t="shared" si="982"/>
        <v>-4340.5769713552436</v>
      </c>
      <c r="T461">
        <f t="shared" si="983"/>
        <v>-4.3405769713552438</v>
      </c>
    </row>
    <row r="462" spans="1:20" x14ac:dyDescent="0.25">
      <c r="A462" s="5">
        <v>44131</v>
      </c>
      <c r="B462">
        <v>1.66E-2</v>
      </c>
      <c r="C462">
        <v>1.6920000000000001E-2</v>
      </c>
      <c r="D462">
        <v>1.6389999999999998E-2</v>
      </c>
      <c r="E462">
        <v>1.6619999999999999E-2</v>
      </c>
      <c r="F462">
        <v>11528359.800000001</v>
      </c>
      <c r="G462">
        <v>0</v>
      </c>
      <c r="L462" t="s">
        <v>7</v>
      </c>
      <c r="M462" t="s">
        <v>8</v>
      </c>
      <c r="N462" t="s">
        <v>7</v>
      </c>
      <c r="P462">
        <f t="shared" si="979"/>
        <v>-0.13207547169811371</v>
      </c>
      <c r="Q462">
        <f t="shared" si="980"/>
        <v>-1522613.5584905718</v>
      </c>
      <c r="R462">
        <f t="shared" si="981"/>
        <v>-428290194.99375224</v>
      </c>
      <c r="S462">
        <f t="shared" si="982"/>
        <v>-4282.9019499375227</v>
      </c>
      <c r="T462">
        <f t="shared" si="983"/>
        <v>-4.2829019499375223</v>
      </c>
    </row>
    <row r="463" spans="1:20" x14ac:dyDescent="0.25">
      <c r="A463" s="5">
        <v>44130</v>
      </c>
      <c r="B463">
        <v>1.6899999999999998E-2</v>
      </c>
      <c r="C463">
        <v>1.7160000000000002E-2</v>
      </c>
      <c r="D463">
        <v>1.644E-2</v>
      </c>
      <c r="E463">
        <v>1.661E-2</v>
      </c>
      <c r="F463">
        <v>18334081.800000001</v>
      </c>
      <c r="G463">
        <v>0</v>
      </c>
      <c r="L463" t="s">
        <v>7</v>
      </c>
      <c r="M463" t="s">
        <v>8</v>
      </c>
      <c r="N463" t="s">
        <v>7</v>
      </c>
      <c r="P463">
        <f t="shared" si="979"/>
        <v>-0.52777777777777901</v>
      </c>
      <c r="Q463">
        <f t="shared" si="980"/>
        <v>-9676320.9500000235</v>
      </c>
      <c r="R463">
        <f t="shared" si="981"/>
        <v>-426767581.43526167</v>
      </c>
      <c r="S463">
        <f t="shared" si="982"/>
        <v>-4267.6758143526167</v>
      </c>
      <c r="T463">
        <f t="shared" si="983"/>
        <v>-4.267675814352617</v>
      </c>
    </row>
    <row r="464" spans="1:20" x14ac:dyDescent="0.25">
      <c r="A464" s="5">
        <v>44129</v>
      </c>
      <c r="B464">
        <v>1.729E-2</v>
      </c>
      <c r="C464">
        <v>1.738E-2</v>
      </c>
      <c r="D464">
        <v>1.6670000000000001E-2</v>
      </c>
      <c r="E464">
        <v>1.6990000000000002E-2</v>
      </c>
      <c r="F464">
        <v>1022997.8</v>
      </c>
      <c r="G464">
        <v>0</v>
      </c>
      <c r="L464" t="s">
        <v>8</v>
      </c>
      <c r="M464" t="s">
        <v>8</v>
      </c>
      <c r="N464" t="s">
        <v>7</v>
      </c>
      <c r="P464">
        <f t="shared" si="979"/>
        <v>-9.8591549295770797E-2</v>
      </c>
      <c r="Q464">
        <f t="shared" si="980"/>
        <v>-100858.93802816508</v>
      </c>
      <c r="R464">
        <f t="shared" si="981"/>
        <v>-417091260.48526162</v>
      </c>
      <c r="S464">
        <f t="shared" si="982"/>
        <v>-4170.9126048526159</v>
      </c>
      <c r="T464">
        <f t="shared" si="983"/>
        <v>-4.1709126048526155</v>
      </c>
    </row>
    <row r="465" spans="1:20" x14ac:dyDescent="0.25">
      <c r="A465" s="5">
        <v>44128</v>
      </c>
      <c r="B465">
        <v>1.762E-2</v>
      </c>
      <c r="C465">
        <v>1.762E-2</v>
      </c>
      <c r="D465">
        <v>1.7100000000000001E-2</v>
      </c>
      <c r="E465">
        <v>1.7340000000000001E-2</v>
      </c>
      <c r="F465">
        <v>1249749.1000000001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-7.6923076923073846E-2</v>
      </c>
      <c r="Q465">
        <f t="shared" si="980"/>
        <v>-96134.546153842311</v>
      </c>
      <c r="R465">
        <f t="shared" si="981"/>
        <v>-416990401.54723346</v>
      </c>
      <c r="S465">
        <f t="shared" si="982"/>
        <v>-4169.9040154723343</v>
      </c>
      <c r="T465">
        <f t="shared" si="983"/>
        <v>-4.1699040154723344</v>
      </c>
    </row>
    <row r="466" spans="1:20" x14ac:dyDescent="0.25">
      <c r="A466" s="5">
        <v>44127</v>
      </c>
      <c r="B466">
        <v>1.7670000000000002E-2</v>
      </c>
      <c r="C466">
        <v>1.8010000000000002E-2</v>
      </c>
      <c r="D466">
        <v>1.643E-2</v>
      </c>
      <c r="E466">
        <v>1.7610000000000001E-2</v>
      </c>
      <c r="F466">
        <v>3715166.4</v>
      </c>
      <c r="G466">
        <v>0</v>
      </c>
      <c r="L466" t="s">
        <v>7</v>
      </c>
      <c r="M466" t="s">
        <v>8</v>
      </c>
      <c r="N466" t="s">
        <v>7</v>
      </c>
      <c r="P466">
        <f t="shared" si="979"/>
        <v>0.49367088607594856</v>
      </c>
      <c r="Q466">
        <f t="shared" si="980"/>
        <v>1834069.4886075919</v>
      </c>
      <c r="R466">
        <f t="shared" si="981"/>
        <v>-416894267.00107962</v>
      </c>
      <c r="S466">
        <f t="shared" si="982"/>
        <v>-4168.9426700107961</v>
      </c>
      <c r="T466">
        <f t="shared" si="983"/>
        <v>-4.1689426700107957</v>
      </c>
    </row>
    <row r="467" spans="1:20" x14ac:dyDescent="0.25">
      <c r="A467" s="5">
        <v>44126</v>
      </c>
      <c r="B467">
        <v>1.7260000000000001E-2</v>
      </c>
      <c r="C467">
        <v>1.8020000000000001E-2</v>
      </c>
      <c r="D467">
        <v>1.7000000000000001E-2</v>
      </c>
      <c r="E467">
        <v>1.7500000000000002E-2</v>
      </c>
      <c r="F467">
        <v>3019827.4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-1.96078431372541E-2</v>
      </c>
      <c r="Q467">
        <f t="shared" si="980"/>
        <v>-59212.301960781893</v>
      </c>
      <c r="R467">
        <f t="shared" si="981"/>
        <v>-418728336.4896872</v>
      </c>
      <c r="S467">
        <f t="shared" si="982"/>
        <v>-4187.2833648968717</v>
      </c>
      <c r="T467">
        <f t="shared" si="983"/>
        <v>-4.1872833648968717</v>
      </c>
    </row>
    <row r="468" spans="1:20" x14ac:dyDescent="0.25">
      <c r="A468" s="5">
        <v>44125</v>
      </c>
      <c r="B468">
        <v>1.7250000000000001E-2</v>
      </c>
      <c r="C468">
        <v>1.7829999999999999E-2</v>
      </c>
      <c r="D468">
        <v>1.686E-2</v>
      </c>
      <c r="E468">
        <v>1.7309999999999999E-2</v>
      </c>
      <c r="F468">
        <v>4789898.9000000004</v>
      </c>
      <c r="G468">
        <v>0</v>
      </c>
      <c r="L468" t="s">
        <v>8</v>
      </c>
      <c r="M468" t="s">
        <v>8</v>
      </c>
      <c r="N468" t="s">
        <v>7</v>
      </c>
      <c r="P468">
        <f t="shared" si="979"/>
        <v>-7.216494845360899E-2</v>
      </c>
      <c r="Q468">
        <f t="shared" si="980"/>
        <v>-345662.80721649842</v>
      </c>
      <c r="R468">
        <f t="shared" si="981"/>
        <v>-418669124.18772644</v>
      </c>
      <c r="S468">
        <f t="shared" si="982"/>
        <v>-4186.6912418772645</v>
      </c>
      <c r="T468">
        <f t="shared" si="983"/>
        <v>-4.1866912418772646</v>
      </c>
    </row>
    <row r="469" spans="1:20" x14ac:dyDescent="0.25">
      <c r="A469" s="5">
        <v>44124</v>
      </c>
      <c r="B469">
        <v>1.736E-2</v>
      </c>
      <c r="C469">
        <v>1.7739999999999999E-2</v>
      </c>
      <c r="D469">
        <v>1.6719999999999999E-2</v>
      </c>
      <c r="E469">
        <v>1.7219999999999999E-2</v>
      </c>
      <c r="F469">
        <v>3390168</v>
      </c>
      <c r="G469">
        <v>0</v>
      </c>
      <c r="L469" t="s">
        <v>8</v>
      </c>
      <c r="M469" t="s">
        <v>8</v>
      </c>
      <c r="N469" t="s">
        <v>7</v>
      </c>
      <c r="P469">
        <f t="shared" si="979"/>
        <v>-1.96078431372541E-2</v>
      </c>
      <c r="Q469">
        <f t="shared" si="980"/>
        <v>-66473.882352938454</v>
      </c>
      <c r="R469">
        <f t="shared" si="981"/>
        <v>-418323461.38050991</v>
      </c>
      <c r="S469">
        <f t="shared" si="982"/>
        <v>-4183.2346138050989</v>
      </c>
      <c r="T469">
        <f t="shared" si="983"/>
        <v>-4.1832346138050989</v>
      </c>
    </row>
    <row r="470" spans="1:20" x14ac:dyDescent="0.25">
      <c r="A470" s="5">
        <v>44123</v>
      </c>
      <c r="B470">
        <v>1.737E-2</v>
      </c>
      <c r="C470">
        <v>1.7670000000000002E-2</v>
      </c>
      <c r="D470">
        <v>1.6920000000000001E-2</v>
      </c>
      <c r="E470">
        <v>1.7350000000000001E-2</v>
      </c>
      <c r="F470">
        <v>2288421.9</v>
      </c>
      <c r="G470">
        <v>0</v>
      </c>
      <c r="L470" t="s">
        <v>8</v>
      </c>
      <c r="M470" t="s">
        <v>8</v>
      </c>
      <c r="N470" t="s">
        <v>7</v>
      </c>
      <c r="P470">
        <f t="shared" si="979"/>
        <v>0.1466666666666652</v>
      </c>
      <c r="Q470">
        <f t="shared" si="980"/>
        <v>335635.21199999662</v>
      </c>
      <c r="R470">
        <f t="shared" si="981"/>
        <v>-418256987.49815696</v>
      </c>
      <c r="S470">
        <f t="shared" si="982"/>
        <v>-4182.5698749815692</v>
      </c>
      <c r="T470">
        <f t="shared" si="983"/>
        <v>-4.182569874981569</v>
      </c>
    </row>
    <row r="471" spans="1:20" x14ac:dyDescent="0.25">
      <c r="A471" s="5">
        <v>44122</v>
      </c>
      <c r="B471">
        <v>1.6789999999999999E-2</v>
      </c>
      <c r="C471">
        <v>1.755E-2</v>
      </c>
      <c r="D471">
        <v>1.6789999999999999E-2</v>
      </c>
      <c r="E471">
        <v>1.7330000000000002E-2</v>
      </c>
      <c r="F471">
        <v>1715300.2</v>
      </c>
      <c r="G471">
        <v>0</v>
      </c>
      <c r="L471" t="s">
        <v>7</v>
      </c>
      <c r="M471" t="s">
        <v>8</v>
      </c>
      <c r="N471" t="s">
        <v>7</v>
      </c>
      <c r="P471">
        <f t="shared" si="979"/>
        <v>0.4210526315789529</v>
      </c>
      <c r="Q471">
        <f t="shared" si="980"/>
        <v>722231.66315790417</v>
      </c>
      <c r="R471">
        <f t="shared" si="981"/>
        <v>-418592622.71015698</v>
      </c>
      <c r="S471">
        <f t="shared" si="982"/>
        <v>-4185.9262271015696</v>
      </c>
      <c r="T471">
        <f t="shared" si="983"/>
        <v>-4.1859262271015698</v>
      </c>
    </row>
    <row r="472" spans="1:20" x14ac:dyDescent="0.25">
      <c r="A472" s="5">
        <v>44121</v>
      </c>
      <c r="B472">
        <v>1.7080000000000001E-2</v>
      </c>
      <c r="C472">
        <v>1.7409999999999998E-2</v>
      </c>
      <c r="D472">
        <v>1.661E-2</v>
      </c>
      <c r="E472">
        <v>1.6760000000000001E-2</v>
      </c>
      <c r="F472">
        <v>2201377.5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-0.62499999999999734</v>
      </c>
      <c r="Q472">
        <f t="shared" si="980"/>
        <v>-1375860.9374999942</v>
      </c>
      <c r="R472">
        <f t="shared" si="981"/>
        <v>-419314854.37331486</v>
      </c>
      <c r="S472">
        <f t="shared" si="982"/>
        <v>-4193.1485437331485</v>
      </c>
      <c r="T472">
        <f t="shared" si="983"/>
        <v>-4.1931485437331482</v>
      </c>
    </row>
    <row r="473" spans="1:20" x14ac:dyDescent="0.25">
      <c r="A473" s="5">
        <v>44120</v>
      </c>
      <c r="B473">
        <v>1.729E-2</v>
      </c>
      <c r="C473">
        <v>1.7350000000000001E-2</v>
      </c>
      <c r="D473">
        <v>1.6389999999999998E-2</v>
      </c>
      <c r="E473">
        <v>1.6979999999999999E-2</v>
      </c>
      <c r="F473">
        <v>3343527.5</v>
      </c>
      <c r="G473">
        <v>0</v>
      </c>
      <c r="L473" t="s">
        <v>7</v>
      </c>
      <c r="M473" t="s">
        <v>8</v>
      </c>
      <c r="N473" t="s">
        <v>7</v>
      </c>
      <c r="P473">
        <f t="shared" si="979"/>
        <v>0.22916666666666397</v>
      </c>
      <c r="Q473">
        <f t="shared" si="980"/>
        <v>766225.05208332429</v>
      </c>
      <c r="R473">
        <f t="shared" si="981"/>
        <v>-417938993.43581486</v>
      </c>
      <c r="S473">
        <f t="shared" si="982"/>
        <v>-4179.3899343581488</v>
      </c>
      <c r="T473">
        <f t="shared" si="983"/>
        <v>-4.1793899343581487</v>
      </c>
    </row>
    <row r="474" spans="1:20" x14ac:dyDescent="0.25">
      <c r="A474" s="5">
        <v>44119</v>
      </c>
      <c r="B474">
        <v>1.7170000000000001E-2</v>
      </c>
      <c r="C474">
        <v>1.7330000000000002E-2</v>
      </c>
      <c r="D474">
        <v>1.6809999999999999E-2</v>
      </c>
      <c r="E474">
        <v>1.7299999999999999E-2</v>
      </c>
      <c r="F474">
        <v>1404420.9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0.8846153846153767</v>
      </c>
      <c r="Q474">
        <f t="shared" si="980"/>
        <v>1242372.3346153735</v>
      </c>
      <c r="R474">
        <f t="shared" si="981"/>
        <v>-418705218.48789817</v>
      </c>
      <c r="S474">
        <f t="shared" si="982"/>
        <v>-4187.0521848789813</v>
      </c>
      <c r="T474">
        <f t="shared" si="983"/>
        <v>-4.187052184878981</v>
      </c>
    </row>
    <row r="475" spans="1:20" x14ac:dyDescent="0.25">
      <c r="A475" s="5">
        <v>44118</v>
      </c>
      <c r="B475">
        <v>1.7680000000000001E-2</v>
      </c>
      <c r="C475">
        <v>1.8409999999999999E-2</v>
      </c>
      <c r="D475">
        <v>1.686E-2</v>
      </c>
      <c r="E475">
        <v>1.7160000000000002E-2</v>
      </c>
      <c r="F475">
        <v>3766391.3</v>
      </c>
      <c r="G475">
        <v>0</v>
      </c>
      <c r="L475" t="s">
        <v>8</v>
      </c>
      <c r="M475" t="s">
        <v>8</v>
      </c>
      <c r="N475" t="s">
        <v>7</v>
      </c>
      <c r="P475">
        <f t="shared" si="979"/>
        <v>-0.61290322580644929</v>
      </c>
      <c r="Q475">
        <f t="shared" si="980"/>
        <v>-2308433.377419346</v>
      </c>
      <c r="R475">
        <f t="shared" si="981"/>
        <v>-419947590.82251352</v>
      </c>
      <c r="S475">
        <f t="shared" si="982"/>
        <v>-4199.4759082251348</v>
      </c>
      <c r="T475">
        <f t="shared" si="983"/>
        <v>-4.1994759082251347</v>
      </c>
    </row>
    <row r="476" spans="1:20" x14ac:dyDescent="0.25">
      <c r="A476" s="5">
        <v>44117</v>
      </c>
      <c r="B476">
        <v>1.7739999999999999E-2</v>
      </c>
      <c r="C476">
        <v>1.8069999999999999E-2</v>
      </c>
      <c r="D476">
        <v>1.7149999999999999E-2</v>
      </c>
      <c r="E476">
        <v>1.7690000000000001E-2</v>
      </c>
      <c r="F476">
        <v>3448447.8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0.17391304347826497</v>
      </c>
      <c r="Q476">
        <f t="shared" si="980"/>
        <v>599730.05217392719</v>
      </c>
      <c r="R476">
        <f t="shared" si="981"/>
        <v>-417639157.44509417</v>
      </c>
      <c r="S476">
        <f t="shared" si="982"/>
        <v>-4176.3915744509413</v>
      </c>
      <c r="T476">
        <f t="shared" si="983"/>
        <v>-4.1763915744509417</v>
      </c>
    </row>
    <row r="477" spans="1:20" x14ac:dyDescent="0.25">
      <c r="A477" s="5">
        <v>44116</v>
      </c>
      <c r="B477">
        <v>1.711E-2</v>
      </c>
      <c r="C477">
        <v>1.813E-2</v>
      </c>
      <c r="D477">
        <v>1.7059999999999999E-2</v>
      </c>
      <c r="E477">
        <v>1.7749999999999998E-2</v>
      </c>
      <c r="F477">
        <v>4414331.4000000004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0.28971962616822183</v>
      </c>
      <c r="Q477">
        <f t="shared" si="980"/>
        <v>1278918.4429906434</v>
      </c>
      <c r="R477">
        <f t="shared" si="981"/>
        <v>-418238887.49726808</v>
      </c>
      <c r="S477">
        <f t="shared" si="982"/>
        <v>-4182.3888749726812</v>
      </c>
      <c r="T477">
        <f t="shared" si="983"/>
        <v>-4.1823888749726814</v>
      </c>
    </row>
    <row r="478" spans="1:20" x14ac:dyDescent="0.25">
      <c r="A478" s="5">
        <v>44115</v>
      </c>
      <c r="B478">
        <v>1.6709999999999999E-2</v>
      </c>
      <c r="C478">
        <v>1.7180000000000001E-2</v>
      </c>
      <c r="D478">
        <v>1.653E-2</v>
      </c>
      <c r="E478">
        <v>1.7000000000000001E-2</v>
      </c>
      <c r="F478">
        <v>1615667.3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0.44615384615384845</v>
      </c>
      <c r="Q478">
        <f t="shared" si="980"/>
        <v>720836.18000000378</v>
      </c>
      <c r="R478">
        <f t="shared" si="981"/>
        <v>-419517805.94025874</v>
      </c>
      <c r="S478">
        <f t="shared" si="982"/>
        <v>-4195.1780594025877</v>
      </c>
      <c r="T478">
        <f t="shared" si="983"/>
        <v>-4.195178059402588</v>
      </c>
    </row>
    <row r="479" spans="1:20" x14ac:dyDescent="0.25">
      <c r="A479" s="5">
        <v>44114</v>
      </c>
      <c r="B479">
        <v>1.7219999999999999E-2</v>
      </c>
      <c r="C479">
        <v>1.772E-2</v>
      </c>
      <c r="D479">
        <v>1.6459999999999999E-2</v>
      </c>
      <c r="E479">
        <v>1.6709999999999999E-2</v>
      </c>
      <c r="F479">
        <v>3367487.1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-0.60317460317460303</v>
      </c>
      <c r="Q479">
        <f t="shared" si="980"/>
        <v>-2031182.6952380948</v>
      </c>
      <c r="R479">
        <f t="shared" si="981"/>
        <v>-420238642.12025875</v>
      </c>
      <c r="S479">
        <f t="shared" si="982"/>
        <v>-4202.3864212025874</v>
      </c>
      <c r="T479">
        <f t="shared" si="983"/>
        <v>-4.2023864212025872</v>
      </c>
    </row>
    <row r="480" spans="1:20" x14ac:dyDescent="0.25">
      <c r="A480" s="5">
        <v>44113</v>
      </c>
      <c r="B480">
        <v>1.7059999999999999E-2</v>
      </c>
      <c r="C480">
        <v>1.7409999999999998E-2</v>
      </c>
      <c r="D480">
        <v>1.6299999999999999E-2</v>
      </c>
      <c r="E480">
        <v>1.7219999999999999E-2</v>
      </c>
      <c r="F480">
        <v>5980203.0999999996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0.65765765765765904</v>
      </c>
      <c r="Q480">
        <f t="shared" si="980"/>
        <v>3932926.3630630709</v>
      </c>
      <c r="R480">
        <f t="shared" si="981"/>
        <v>-418207459.42502064</v>
      </c>
      <c r="S480">
        <f t="shared" si="982"/>
        <v>-4182.0745942502062</v>
      </c>
      <c r="T480">
        <f t="shared" si="983"/>
        <v>-4.1820745942502064</v>
      </c>
    </row>
    <row r="481" spans="1:20" x14ac:dyDescent="0.25">
      <c r="A481" s="5">
        <v>44112</v>
      </c>
      <c r="B481">
        <v>1.5570000000000001E-2</v>
      </c>
      <c r="C481">
        <v>1.7229999999999999E-2</v>
      </c>
      <c r="D481">
        <v>1.4930000000000001E-2</v>
      </c>
      <c r="E481">
        <v>1.7160000000000002E-2</v>
      </c>
      <c r="F481">
        <v>14451962.1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0.93913043478261116</v>
      </c>
      <c r="Q481">
        <f t="shared" si="980"/>
        <v>13572277.450434817</v>
      </c>
      <c r="R481">
        <f t="shared" si="981"/>
        <v>-422140385.78808373</v>
      </c>
      <c r="S481">
        <f t="shared" si="982"/>
        <v>-4221.4038578808377</v>
      </c>
      <c r="T481">
        <f t="shared" si="983"/>
        <v>-4.2214038578808379</v>
      </c>
    </row>
    <row r="482" spans="1:20" x14ac:dyDescent="0.25">
      <c r="A482" s="5">
        <v>44111</v>
      </c>
      <c r="B482">
        <v>1.525E-2</v>
      </c>
      <c r="C482">
        <v>1.5689999999999999E-2</v>
      </c>
      <c r="D482">
        <v>1.4789999999999999E-2</v>
      </c>
      <c r="E482">
        <v>1.5570000000000001E-2</v>
      </c>
      <c r="F482">
        <v>2224578.4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0.73333333333333639</v>
      </c>
      <c r="Q482">
        <f t="shared" si="980"/>
        <v>1631357.4933333402</v>
      </c>
      <c r="R482">
        <f t="shared" si="981"/>
        <v>-435712663.23851854</v>
      </c>
      <c r="S482">
        <f t="shared" si="982"/>
        <v>-4357.1266323851851</v>
      </c>
      <c r="T482">
        <f t="shared" si="983"/>
        <v>-4.3571266323851852</v>
      </c>
    </row>
    <row r="483" spans="1:20" x14ac:dyDescent="0.25">
      <c r="A483" s="5">
        <v>44110</v>
      </c>
      <c r="B483">
        <v>1.643E-2</v>
      </c>
      <c r="C483">
        <v>1.6590000000000001E-2</v>
      </c>
      <c r="D483">
        <v>1.506E-2</v>
      </c>
      <c r="E483">
        <v>1.5310000000000001E-2</v>
      </c>
      <c r="F483">
        <v>3110420.6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-0.67320261437908469</v>
      </c>
      <c r="Q483">
        <f t="shared" si="980"/>
        <v>-2093943.2797385613</v>
      </c>
      <c r="R483">
        <f t="shared" si="981"/>
        <v>-437344020.73185188</v>
      </c>
      <c r="S483">
        <f t="shared" si="982"/>
        <v>-4373.4402073185183</v>
      </c>
      <c r="T483">
        <f t="shared" si="983"/>
        <v>-4.3734402073185183</v>
      </c>
    </row>
    <row r="484" spans="1:20" x14ac:dyDescent="0.25">
      <c r="A484" s="5">
        <v>44109</v>
      </c>
      <c r="B484">
        <v>1.6240000000000001E-2</v>
      </c>
      <c r="C484">
        <v>1.6750000000000001E-2</v>
      </c>
      <c r="D484">
        <v>1.6E-2</v>
      </c>
      <c r="E484">
        <v>1.644E-2</v>
      </c>
      <c r="F484">
        <v>2202464.7999999998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0.17333333333333073</v>
      </c>
      <c r="Q484">
        <f t="shared" si="980"/>
        <v>381760.56533332757</v>
      </c>
      <c r="R484">
        <f t="shared" si="981"/>
        <v>-435250077.45211333</v>
      </c>
      <c r="S484">
        <f t="shared" si="982"/>
        <v>-4352.5007745211333</v>
      </c>
      <c r="T484">
        <f t="shared" si="983"/>
        <v>-4.3525007745211335</v>
      </c>
    </row>
    <row r="485" spans="1:20" x14ac:dyDescent="0.25">
      <c r="A485" s="5">
        <v>44108</v>
      </c>
      <c r="B485">
        <v>1.5900000000000001E-2</v>
      </c>
      <c r="C485">
        <v>1.6279999999999999E-2</v>
      </c>
      <c r="D485">
        <v>1.5779999999999999E-2</v>
      </c>
      <c r="E485">
        <v>1.6240000000000001E-2</v>
      </c>
      <c r="F485">
        <v>841543.5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0.84000000000000663</v>
      </c>
      <c r="Q485">
        <f t="shared" si="980"/>
        <v>706896.54000000563</v>
      </c>
      <c r="R485">
        <f t="shared" si="981"/>
        <v>-435631838.01744664</v>
      </c>
      <c r="S485">
        <f t="shared" si="982"/>
        <v>-4356.3183801744663</v>
      </c>
      <c r="T485">
        <f t="shared" si="983"/>
        <v>-4.356318380174466</v>
      </c>
    </row>
    <row r="486" spans="1:20" x14ac:dyDescent="0.25">
      <c r="A486" s="5">
        <v>44107</v>
      </c>
      <c r="B486">
        <v>1.6109999999999999E-2</v>
      </c>
      <c r="C486">
        <v>1.6279999999999999E-2</v>
      </c>
      <c r="D486">
        <v>1.5789999999999998E-2</v>
      </c>
      <c r="E486">
        <v>1.5900000000000001E-2</v>
      </c>
      <c r="F486">
        <v>1947107.9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-0.55102040816325604</v>
      </c>
      <c r="Q486">
        <f t="shared" si="980"/>
        <v>-1072896.1897959004</v>
      </c>
      <c r="R486">
        <f t="shared" si="981"/>
        <v>-436338734.55744666</v>
      </c>
      <c r="S486">
        <f t="shared" si="982"/>
        <v>-4363.387345574467</v>
      </c>
      <c r="T486">
        <f t="shared" si="983"/>
        <v>-4.3633873455744672</v>
      </c>
    </row>
    <row r="487" spans="1:20" x14ac:dyDescent="0.25">
      <c r="A487" s="5">
        <v>44106</v>
      </c>
      <c r="B487">
        <v>1.678E-2</v>
      </c>
      <c r="C487">
        <v>1.787E-2</v>
      </c>
      <c r="D487">
        <v>1.5469999999999999E-2</v>
      </c>
      <c r="E487">
        <v>1.6119999999999999E-2</v>
      </c>
      <c r="F487">
        <v>13776060.300000001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-0.45833333333333398</v>
      </c>
      <c r="Q487">
        <f t="shared" si="980"/>
        <v>-6314027.6375000095</v>
      </c>
      <c r="R487">
        <f t="shared" si="981"/>
        <v>-435265838.36765075</v>
      </c>
      <c r="S487">
        <f t="shared" si="982"/>
        <v>-4352.6583836765076</v>
      </c>
      <c r="T487">
        <f t="shared" si="983"/>
        <v>-4.3526583836765074</v>
      </c>
    </row>
    <row r="488" spans="1:20" x14ac:dyDescent="0.25">
      <c r="A488" s="5">
        <v>44105</v>
      </c>
      <c r="B488">
        <v>1.7590000000000001E-2</v>
      </c>
      <c r="C488">
        <v>1.7899999999999999E-2</v>
      </c>
      <c r="D488">
        <v>1.6500000000000001E-2</v>
      </c>
      <c r="E488">
        <v>1.6789999999999999E-2</v>
      </c>
      <c r="F488">
        <v>5776506.5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-0.5857142857142873</v>
      </c>
      <c r="Q488">
        <f t="shared" si="980"/>
        <v>-3383382.3785714377</v>
      </c>
      <c r="R488">
        <f t="shared" si="981"/>
        <v>-428951810.73015076</v>
      </c>
      <c r="S488">
        <f t="shared" si="982"/>
        <v>-4289.5181073015074</v>
      </c>
      <c r="T488">
        <f t="shared" si="983"/>
        <v>-4.2895181073015074</v>
      </c>
    </row>
    <row r="489" spans="1:20" x14ac:dyDescent="0.25">
      <c r="A489" s="5">
        <v>44104</v>
      </c>
      <c r="B489">
        <v>1.7250000000000001E-2</v>
      </c>
      <c r="C489">
        <v>1.8200000000000001E-2</v>
      </c>
      <c r="D489">
        <v>1.6709999999999999E-2</v>
      </c>
      <c r="E489">
        <v>1.754E-2</v>
      </c>
      <c r="F489">
        <v>6050918.7999999998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0.1140939597315435</v>
      </c>
      <c r="Q489">
        <f t="shared" si="980"/>
        <v>690373.28590603953</v>
      </c>
      <c r="R489">
        <f t="shared" si="981"/>
        <v>-425568428.35157931</v>
      </c>
      <c r="S489">
        <f t="shared" si="982"/>
        <v>-4255.6842835157931</v>
      </c>
      <c r="T489">
        <f t="shared" si="983"/>
        <v>-4.2556842835157935</v>
      </c>
    </row>
    <row r="490" spans="1:20" x14ac:dyDescent="0.25">
      <c r="A490" s="5">
        <v>44103</v>
      </c>
      <c r="B490">
        <v>1.711E-2</v>
      </c>
      <c r="C490">
        <v>1.8429999999999998E-2</v>
      </c>
      <c r="D490">
        <v>1.669E-2</v>
      </c>
      <c r="E490">
        <v>1.7409999999999998E-2</v>
      </c>
      <c r="F490">
        <v>6136445.2999999998</v>
      </c>
      <c r="G490">
        <v>0</v>
      </c>
      <c r="L490" t="s">
        <v>8</v>
      </c>
      <c r="M490" t="s">
        <v>8</v>
      </c>
      <c r="N490" t="s">
        <v>7</v>
      </c>
      <c r="P490">
        <f t="shared" si="979"/>
        <v>-0.17241379310344937</v>
      </c>
      <c r="Q490">
        <f t="shared" si="980"/>
        <v>-1058007.8103448343</v>
      </c>
      <c r="R490">
        <f t="shared" si="981"/>
        <v>-426258801.63748533</v>
      </c>
      <c r="S490">
        <f t="shared" si="982"/>
        <v>-4262.5880163748534</v>
      </c>
      <c r="T490">
        <f t="shared" si="983"/>
        <v>-4.2625880163748535</v>
      </c>
    </row>
    <row r="491" spans="1:20" x14ac:dyDescent="0.25">
      <c r="A491" s="5">
        <v>44102</v>
      </c>
      <c r="B491">
        <v>1.7909999999999999E-2</v>
      </c>
      <c r="C491">
        <v>1.8100000000000002E-2</v>
      </c>
      <c r="D491">
        <v>1.7180000000000001E-2</v>
      </c>
      <c r="E491">
        <v>1.7229999999999999E-2</v>
      </c>
      <c r="F491">
        <v>5885593.7999999998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-0.89130434782609147</v>
      </c>
      <c r="Q491">
        <f t="shared" si="980"/>
        <v>-5245855.3434782876</v>
      </c>
      <c r="R491">
        <f t="shared" si="981"/>
        <v>-425200793.82714051</v>
      </c>
      <c r="S491">
        <f t="shared" si="982"/>
        <v>-4252.0079382714048</v>
      </c>
      <c r="T491">
        <f t="shared" si="983"/>
        <v>-4.2520079382714044</v>
      </c>
    </row>
    <row r="492" spans="1:20" x14ac:dyDescent="0.25">
      <c r="A492" s="5">
        <v>44101</v>
      </c>
      <c r="B492">
        <v>1.8100000000000002E-2</v>
      </c>
      <c r="C492">
        <v>1.814E-2</v>
      </c>
      <c r="D492">
        <v>1.7010000000000001E-2</v>
      </c>
      <c r="E492">
        <v>1.788E-2</v>
      </c>
      <c r="F492">
        <v>6865219.2000000002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0.53982300884955747</v>
      </c>
      <c r="Q492">
        <f t="shared" si="980"/>
        <v>3706003.2849557521</v>
      </c>
      <c r="R492">
        <f t="shared" si="981"/>
        <v>-419954938.48366225</v>
      </c>
      <c r="S492">
        <f t="shared" si="982"/>
        <v>-4199.5493848366223</v>
      </c>
      <c r="T492">
        <f t="shared" si="983"/>
        <v>-4.1995493848366223</v>
      </c>
    </row>
    <row r="493" spans="1:20" x14ac:dyDescent="0.25">
      <c r="A493" s="5">
        <v>44100</v>
      </c>
      <c r="B493">
        <v>1.7090000000000001E-2</v>
      </c>
      <c r="C493">
        <v>1.8110000000000001E-2</v>
      </c>
      <c r="D493">
        <v>1.7090000000000001E-2</v>
      </c>
      <c r="E493">
        <v>1.8100000000000002E-2</v>
      </c>
      <c r="F493">
        <v>7226850.2000000002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0.98039215686274594</v>
      </c>
      <c r="Q493">
        <f t="shared" si="980"/>
        <v>7085147.254901967</v>
      </c>
      <c r="R493">
        <f t="shared" si="981"/>
        <v>-423660941.76861799</v>
      </c>
      <c r="S493">
        <f t="shared" si="982"/>
        <v>-4236.6094176861798</v>
      </c>
      <c r="T493">
        <f t="shared" si="983"/>
        <v>-4.2366094176861795</v>
      </c>
    </row>
    <row r="494" spans="1:20" x14ac:dyDescent="0.25">
      <c r="A494" s="5">
        <v>44099</v>
      </c>
      <c r="B494">
        <v>1.703E-2</v>
      </c>
      <c r="C494">
        <v>1.7569999999999999E-2</v>
      </c>
      <c r="D494">
        <v>1.6400000000000001E-2</v>
      </c>
      <c r="E494">
        <v>1.7100000000000001E-2</v>
      </c>
      <c r="F494">
        <v>6271304.2000000002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0.19658119658119791</v>
      </c>
      <c r="Q494">
        <f t="shared" si="980"/>
        <v>1232820.4837606922</v>
      </c>
      <c r="R494">
        <f t="shared" si="981"/>
        <v>-430746089.02351993</v>
      </c>
      <c r="S494">
        <f t="shared" si="982"/>
        <v>-4307.4608902351993</v>
      </c>
      <c r="T494">
        <f t="shared" si="983"/>
        <v>-4.3074608902351992</v>
      </c>
    </row>
    <row r="495" spans="1:20" x14ac:dyDescent="0.25">
      <c r="A495" s="5">
        <v>44098</v>
      </c>
      <c r="B495">
        <v>1.5709999999999998E-2</v>
      </c>
      <c r="C495">
        <v>1.7229999999999999E-2</v>
      </c>
      <c r="D495">
        <v>1.5599999999999999E-2</v>
      </c>
      <c r="E495">
        <v>1.694E-2</v>
      </c>
      <c r="F495">
        <v>7029186.0999999996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0.6441717791411059</v>
      </c>
      <c r="Q495">
        <f t="shared" si="980"/>
        <v>4528003.315950931</v>
      </c>
      <c r="R495">
        <f t="shared" si="981"/>
        <v>-431978909.50728065</v>
      </c>
      <c r="S495">
        <f t="shared" si="982"/>
        <v>-4319.789095072806</v>
      </c>
      <c r="T495">
        <f t="shared" si="983"/>
        <v>-4.3197890950728057</v>
      </c>
    </row>
    <row r="496" spans="1:20" x14ac:dyDescent="0.25">
      <c r="A496" s="5">
        <v>44097</v>
      </c>
      <c r="B496">
        <v>1.7149999999999999E-2</v>
      </c>
      <c r="C496">
        <v>1.737E-2</v>
      </c>
      <c r="D496">
        <v>1.5180000000000001E-2</v>
      </c>
      <c r="E496">
        <v>1.5570000000000001E-2</v>
      </c>
      <c r="F496">
        <v>7816646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-0.6438356164383563</v>
      </c>
      <c r="Q496">
        <f t="shared" si="980"/>
        <v>-5032635.0958904121</v>
      </c>
      <c r="R496">
        <f t="shared" si="981"/>
        <v>-436506912.82323158</v>
      </c>
      <c r="S496">
        <f t="shared" si="982"/>
        <v>-4365.069128232316</v>
      </c>
      <c r="T496">
        <f t="shared" si="983"/>
        <v>-4.3650691282323155</v>
      </c>
    </row>
    <row r="497" spans="1:20" x14ac:dyDescent="0.25">
      <c r="A497" s="5">
        <v>44096</v>
      </c>
      <c r="B497">
        <v>1.644E-2</v>
      </c>
      <c r="C497">
        <v>1.737E-2</v>
      </c>
      <c r="D497">
        <v>1.601E-2</v>
      </c>
      <c r="E497">
        <v>1.7139999999999999E-2</v>
      </c>
      <c r="F497">
        <v>8557158.8000000007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0.66176470588235148</v>
      </c>
      <c r="Q497">
        <f t="shared" si="980"/>
        <v>5662825.6764705759</v>
      </c>
      <c r="R497">
        <f t="shared" si="981"/>
        <v>-431474277.72734118</v>
      </c>
      <c r="S497">
        <f t="shared" si="982"/>
        <v>-4314.7427772734118</v>
      </c>
      <c r="T497">
        <f t="shared" si="983"/>
        <v>-4.3147427772734117</v>
      </c>
    </row>
    <row r="498" spans="1:20" x14ac:dyDescent="0.25">
      <c r="A498" s="5">
        <v>44095</v>
      </c>
      <c r="B498">
        <v>1.9400000000000001E-2</v>
      </c>
      <c r="C498">
        <v>2.06E-2</v>
      </c>
      <c r="D498">
        <v>1.5570000000000001E-2</v>
      </c>
      <c r="E498">
        <v>1.6459999999999999E-2</v>
      </c>
      <c r="F498">
        <v>25331946.800000001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-0.64612326043737633</v>
      </c>
      <c r="Q498">
        <f t="shared" si="980"/>
        <v>-16367560.059642162</v>
      </c>
      <c r="R498">
        <f t="shared" si="981"/>
        <v>-437137103.40381175</v>
      </c>
      <c r="S498">
        <f t="shared" si="982"/>
        <v>-4371.3710340381176</v>
      </c>
      <c r="T498">
        <f t="shared" si="983"/>
        <v>-4.371371034038118</v>
      </c>
    </row>
    <row r="499" spans="1:20" x14ac:dyDescent="0.25">
      <c r="A499" s="5">
        <v>44094</v>
      </c>
      <c r="B499">
        <v>1.762E-2</v>
      </c>
      <c r="C499">
        <v>2.3570000000000001E-2</v>
      </c>
      <c r="D499">
        <v>1.67E-2</v>
      </c>
      <c r="E499">
        <v>1.934E-2</v>
      </c>
      <c r="F499">
        <v>181231535.59999999</v>
      </c>
      <c r="G499">
        <v>0</v>
      </c>
      <c r="L499" t="s">
        <v>8</v>
      </c>
      <c r="M499" t="s">
        <v>8</v>
      </c>
      <c r="N499" t="s">
        <v>8</v>
      </c>
      <c r="P499">
        <f t="shared" si="979"/>
        <v>-0.23144104803493462</v>
      </c>
      <c r="Q499">
        <f t="shared" si="980"/>
        <v>-41944416.536244564</v>
      </c>
      <c r="R499">
        <f t="shared" si="981"/>
        <v>-420769543.34416962</v>
      </c>
      <c r="S499">
        <f t="shared" si="982"/>
        <v>-4207.695433441696</v>
      </c>
      <c r="T499">
        <f t="shared" si="983"/>
        <v>-4.2076954334416961</v>
      </c>
    </row>
    <row r="500" spans="1:20" x14ac:dyDescent="0.25">
      <c r="A500" s="5">
        <v>44093</v>
      </c>
      <c r="B500">
        <v>1.7389999999999999E-2</v>
      </c>
      <c r="C500">
        <v>1.787E-2</v>
      </c>
      <c r="D500">
        <v>1.7270000000000001E-2</v>
      </c>
      <c r="E500">
        <v>1.7600000000000001E-2</v>
      </c>
      <c r="F500">
        <v>3185051.9</v>
      </c>
      <c r="G500">
        <v>0</v>
      </c>
      <c r="L500" t="s">
        <v>8</v>
      </c>
      <c r="M500" t="s">
        <v>7</v>
      </c>
      <c r="N500" t="s">
        <v>8</v>
      </c>
      <c r="P500">
        <f t="shared" si="979"/>
        <v>0.10000000000000174</v>
      </c>
      <c r="Q500">
        <f t="shared" si="980"/>
        <v>318505.19000000553</v>
      </c>
      <c r="R500">
        <f t="shared" si="981"/>
        <v>-378825126.80792505</v>
      </c>
      <c r="S500">
        <f t="shared" si="982"/>
        <v>-3788.2512680792506</v>
      </c>
      <c r="T500">
        <f t="shared" si="983"/>
        <v>-3.7882512680792506</v>
      </c>
    </row>
    <row r="501" spans="1:20" x14ac:dyDescent="0.25">
      <c r="A501" s="5">
        <v>44092</v>
      </c>
      <c r="B501">
        <v>1.8180000000000002E-2</v>
      </c>
      <c r="C501">
        <v>1.864E-2</v>
      </c>
      <c r="D501">
        <v>1.711E-2</v>
      </c>
      <c r="E501">
        <v>1.738E-2</v>
      </c>
      <c r="F501">
        <v>10807145.300000001</v>
      </c>
      <c r="G501">
        <v>0</v>
      </c>
      <c r="L501" t="s">
        <v>8</v>
      </c>
      <c r="M501" t="s">
        <v>7</v>
      </c>
      <c r="N501" t="s">
        <v>8</v>
      </c>
      <c r="P501">
        <f t="shared" si="979"/>
        <v>-0.64705882352941257</v>
      </c>
      <c r="Q501">
        <f t="shared" si="980"/>
        <v>-6992858.7235294208</v>
      </c>
      <c r="R501">
        <f t="shared" si="981"/>
        <v>-379143631.99792504</v>
      </c>
      <c r="S501">
        <f t="shared" si="982"/>
        <v>-3791.4363199792506</v>
      </c>
      <c r="T501">
        <f t="shared" si="983"/>
        <v>-3.7914363199792507</v>
      </c>
    </row>
    <row r="502" spans="1:20" x14ac:dyDescent="0.25">
      <c r="A502" s="5">
        <v>44091</v>
      </c>
      <c r="B502">
        <v>1.7690000000000001E-2</v>
      </c>
      <c r="C502">
        <v>1.83E-2</v>
      </c>
      <c r="D502">
        <v>1.7239999999999998E-2</v>
      </c>
      <c r="E502">
        <v>1.8249999999999999E-2</v>
      </c>
      <c r="F502">
        <v>4303761.7</v>
      </c>
      <c r="G502">
        <v>0</v>
      </c>
      <c r="L502" t="s">
        <v>7</v>
      </c>
      <c r="M502" t="s">
        <v>7</v>
      </c>
      <c r="N502" t="s">
        <v>8</v>
      </c>
      <c r="P502">
        <f t="shared" si="979"/>
        <v>0.90566037735848803</v>
      </c>
      <c r="Q502">
        <f t="shared" si="980"/>
        <v>3897746.4452830083</v>
      </c>
      <c r="R502">
        <f t="shared" si="981"/>
        <v>-372150773.27439564</v>
      </c>
      <c r="S502">
        <f t="shared" si="982"/>
        <v>-3721.5077327439562</v>
      </c>
      <c r="T502">
        <f t="shared" si="983"/>
        <v>-3.7215077327439561</v>
      </c>
    </row>
    <row r="503" spans="1:20" x14ac:dyDescent="0.25">
      <c r="A503" s="5">
        <v>44090</v>
      </c>
      <c r="B503">
        <v>1.84E-2</v>
      </c>
      <c r="C503">
        <v>1.8790000000000001E-2</v>
      </c>
      <c r="D503">
        <v>1.7309999999999999E-2</v>
      </c>
      <c r="E503">
        <v>1.78E-2</v>
      </c>
      <c r="F503">
        <v>5445834.7999999998</v>
      </c>
      <c r="G503">
        <v>0</v>
      </c>
      <c r="L503" t="s">
        <v>7</v>
      </c>
      <c r="M503" t="s">
        <v>7</v>
      </c>
      <c r="N503" t="s">
        <v>8</v>
      </c>
      <c r="P503">
        <f t="shared" si="979"/>
        <v>-0.33783783783783766</v>
      </c>
      <c r="Q503">
        <f t="shared" si="980"/>
        <v>-1839809.054054053</v>
      </c>
      <c r="R503">
        <f t="shared" si="981"/>
        <v>-376048519.71967864</v>
      </c>
      <c r="S503">
        <f t="shared" si="982"/>
        <v>-3760.4851971967864</v>
      </c>
      <c r="T503">
        <f t="shared" si="983"/>
        <v>-3.7604851971967865</v>
      </c>
    </row>
    <row r="504" spans="1:20" x14ac:dyDescent="0.25">
      <c r="A504" s="5">
        <v>44089</v>
      </c>
      <c r="B504">
        <v>1.9480000000000001E-2</v>
      </c>
      <c r="C504">
        <v>1.9539999999999998E-2</v>
      </c>
      <c r="D504">
        <v>1.8079999999999999E-2</v>
      </c>
      <c r="E504">
        <v>1.8519999999999998E-2</v>
      </c>
      <c r="F504">
        <v>6491061.2999999998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-0.39726027397260333</v>
      </c>
      <c r="Q504">
        <f t="shared" si="980"/>
        <v>-2578640.7904109624</v>
      </c>
      <c r="R504">
        <f t="shared" si="981"/>
        <v>-374208710.66562456</v>
      </c>
      <c r="S504">
        <f t="shared" si="982"/>
        <v>-3742.0871066562454</v>
      </c>
      <c r="T504">
        <f t="shared" si="983"/>
        <v>-3.7420871066562453</v>
      </c>
    </row>
    <row r="505" spans="1:20" x14ac:dyDescent="0.25">
      <c r="A505" s="5">
        <v>44088</v>
      </c>
      <c r="B505">
        <v>2.0080000000000001E-2</v>
      </c>
      <c r="C505">
        <v>2.052E-2</v>
      </c>
      <c r="D505">
        <v>1.9290000000000002E-2</v>
      </c>
      <c r="E505">
        <v>1.9480000000000001E-2</v>
      </c>
      <c r="F505">
        <v>6008592.5</v>
      </c>
      <c r="G505">
        <v>0</v>
      </c>
      <c r="L505" t="s">
        <v>7</v>
      </c>
      <c r="M505" t="s">
        <v>8</v>
      </c>
      <c r="N505" t="s">
        <v>8</v>
      </c>
      <c r="P505">
        <f t="shared" si="979"/>
        <v>-0.69105691056910656</v>
      </c>
      <c r="Q505">
        <f t="shared" si="980"/>
        <v>-4152279.3699187045</v>
      </c>
      <c r="R505">
        <f t="shared" si="981"/>
        <v>-371630069.87521362</v>
      </c>
      <c r="S505">
        <f t="shared" si="982"/>
        <v>-3716.3006987521362</v>
      </c>
      <c r="T505">
        <f t="shared" si="983"/>
        <v>-3.7163006987521361</v>
      </c>
    </row>
    <row r="506" spans="1:20" x14ac:dyDescent="0.25">
      <c r="A506" s="5">
        <v>44087</v>
      </c>
      <c r="B506">
        <v>2.0750000000000001E-2</v>
      </c>
      <c r="C506">
        <v>2.1559999999999999E-2</v>
      </c>
      <c r="D506">
        <v>1.932E-2</v>
      </c>
      <c r="E506">
        <v>2.0119999999999999E-2</v>
      </c>
      <c r="F506">
        <v>6822221.0999999996</v>
      </c>
      <c r="G506">
        <v>0</v>
      </c>
      <c r="L506" t="s">
        <v>7</v>
      </c>
      <c r="M506" t="s">
        <v>8</v>
      </c>
      <c r="N506" t="s">
        <v>8</v>
      </c>
      <c r="P506">
        <f t="shared" si="979"/>
        <v>-0.28571428571428659</v>
      </c>
      <c r="Q506">
        <f t="shared" si="980"/>
        <v>-1949206.0285714343</v>
      </c>
      <c r="R506">
        <f t="shared" si="981"/>
        <v>-367477790.50529492</v>
      </c>
      <c r="S506">
        <f t="shared" si="982"/>
        <v>-3674.7779050529493</v>
      </c>
      <c r="T506">
        <f t="shared" si="983"/>
        <v>-3.6747779050529492</v>
      </c>
    </row>
    <row r="507" spans="1:20" x14ac:dyDescent="0.25">
      <c r="A507" s="5">
        <v>44086</v>
      </c>
      <c r="B507">
        <v>2.0629999999999999E-2</v>
      </c>
      <c r="C507">
        <v>2.2239999999999999E-2</v>
      </c>
      <c r="D507">
        <v>2.0029999999999999E-2</v>
      </c>
      <c r="E507">
        <v>2.087E-2</v>
      </c>
      <c r="F507">
        <v>8516986.5999999996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-0.2398190045248865</v>
      </c>
      <c r="Q507">
        <f t="shared" si="980"/>
        <v>-2042535.2479637975</v>
      </c>
      <c r="R507">
        <f t="shared" si="981"/>
        <v>-365528584.47672349</v>
      </c>
      <c r="S507">
        <f t="shared" si="982"/>
        <v>-3655.2858447672347</v>
      </c>
      <c r="T507">
        <f t="shared" si="983"/>
        <v>-3.6552858447672345</v>
      </c>
    </row>
    <row r="508" spans="1:20" x14ac:dyDescent="0.25">
      <c r="A508" s="5">
        <v>44085</v>
      </c>
      <c r="B508">
        <v>2.027E-2</v>
      </c>
      <c r="C508">
        <v>2.1999999999999999E-2</v>
      </c>
      <c r="D508">
        <v>1.9310000000000001E-2</v>
      </c>
      <c r="E508">
        <v>2.0639999999999999E-2</v>
      </c>
      <c r="F508">
        <v>6112161.7000000002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-1.1152416356878168E-2</v>
      </c>
      <c r="Q508">
        <f t="shared" si="980"/>
        <v>-68165.372118964267</v>
      </c>
      <c r="R508">
        <f t="shared" si="981"/>
        <v>-363486049.22875971</v>
      </c>
      <c r="S508">
        <f t="shared" si="982"/>
        <v>-3634.860492287597</v>
      </c>
      <c r="T508">
        <f t="shared" si="983"/>
        <v>-3.6348604922875971</v>
      </c>
    </row>
    <row r="509" spans="1:20" x14ac:dyDescent="0.25">
      <c r="A509" s="5">
        <v>44084</v>
      </c>
      <c r="B509">
        <v>2.0639999999999999E-2</v>
      </c>
      <c r="C509">
        <v>2.1499999999999998E-2</v>
      </c>
      <c r="D509">
        <v>0.02</v>
      </c>
      <c r="E509">
        <v>2.026E-2</v>
      </c>
      <c r="F509">
        <v>9835074</v>
      </c>
      <c r="G509">
        <v>0</v>
      </c>
      <c r="L509" t="s">
        <v>7</v>
      </c>
      <c r="M509" t="s">
        <v>8</v>
      </c>
      <c r="N509" t="s">
        <v>7</v>
      </c>
      <c r="P509">
        <f t="shared" si="979"/>
        <v>-0.6533333333333331</v>
      </c>
      <c r="Q509">
        <f t="shared" si="980"/>
        <v>-6425581.6799999978</v>
      </c>
      <c r="R509">
        <f t="shared" si="981"/>
        <v>-363417883.85664076</v>
      </c>
      <c r="S509">
        <f t="shared" si="982"/>
        <v>-3634.1788385664076</v>
      </c>
      <c r="T509">
        <f t="shared" si="983"/>
        <v>-3.6341788385664078</v>
      </c>
    </row>
    <row r="510" spans="1:20" x14ac:dyDescent="0.25">
      <c r="A510" s="5">
        <v>44083</v>
      </c>
      <c r="B510">
        <v>1.8339999999999999E-2</v>
      </c>
      <c r="C510">
        <v>2.155E-2</v>
      </c>
      <c r="D510">
        <v>1.7559999999999999E-2</v>
      </c>
      <c r="E510">
        <v>2.06E-2</v>
      </c>
      <c r="F510">
        <v>18839663.899999999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0.52380952380952417</v>
      </c>
      <c r="Q510">
        <f t="shared" si="980"/>
        <v>9868395.3761904817</v>
      </c>
      <c r="R510">
        <f t="shared" si="981"/>
        <v>-356992302.17664075</v>
      </c>
      <c r="S510">
        <f t="shared" si="982"/>
        <v>-3569.9230217664076</v>
      </c>
      <c r="T510">
        <f t="shared" si="983"/>
        <v>-3.5699230217664075</v>
      </c>
    </row>
    <row r="511" spans="1:20" x14ac:dyDescent="0.25">
      <c r="A511" s="5">
        <v>44082</v>
      </c>
      <c r="B511">
        <v>1.8929999999999999E-2</v>
      </c>
      <c r="C511">
        <v>1.9140000000000001E-2</v>
      </c>
      <c r="D511">
        <v>1.754E-2</v>
      </c>
      <c r="E511">
        <v>1.831E-2</v>
      </c>
      <c r="F511">
        <v>6185790.4000000004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-3.7500000000000623E-2</v>
      </c>
      <c r="Q511">
        <f t="shared" si="980"/>
        <v>-231967.14000000386</v>
      </c>
      <c r="R511">
        <f t="shared" si="981"/>
        <v>-366860697.55283123</v>
      </c>
      <c r="S511">
        <f t="shared" si="982"/>
        <v>-3668.6069755283124</v>
      </c>
      <c r="T511">
        <f t="shared" si="983"/>
        <v>-3.6686069755283124</v>
      </c>
    </row>
    <row r="512" spans="1:20" x14ac:dyDescent="0.25">
      <c r="A512" s="5">
        <v>44081</v>
      </c>
      <c r="B512">
        <v>1.847E-2</v>
      </c>
      <c r="C512">
        <v>1.9E-2</v>
      </c>
      <c r="D512">
        <v>1.6840000000000001E-2</v>
      </c>
      <c r="E512">
        <v>1.8790000000000001E-2</v>
      </c>
      <c r="F512">
        <v>8816102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0.80555555555555691</v>
      </c>
      <c r="Q512">
        <f t="shared" si="980"/>
        <v>7101859.9444444561</v>
      </c>
      <c r="R512">
        <f t="shared" si="981"/>
        <v>-366628730.41283125</v>
      </c>
      <c r="S512">
        <f t="shared" si="982"/>
        <v>-3666.2873041283124</v>
      </c>
      <c r="T512">
        <f t="shared" si="983"/>
        <v>-3.6662873041283124</v>
      </c>
    </row>
    <row r="513" spans="1:20" x14ac:dyDescent="0.25">
      <c r="A513" s="5">
        <v>44080</v>
      </c>
      <c r="B513">
        <v>1.721E-2</v>
      </c>
      <c r="C513">
        <v>1.8859999999999998E-2</v>
      </c>
      <c r="D513">
        <v>1.6160000000000001E-2</v>
      </c>
      <c r="E513">
        <v>1.8460000000000001E-2</v>
      </c>
      <c r="F513">
        <v>12483809.800000001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0.70370370370370527</v>
      </c>
      <c r="Q513">
        <f t="shared" si="980"/>
        <v>8784903.1925926134</v>
      </c>
      <c r="R513">
        <f t="shared" si="981"/>
        <v>-373730590.35727572</v>
      </c>
      <c r="S513">
        <f t="shared" si="982"/>
        <v>-3737.3059035727574</v>
      </c>
      <c r="T513">
        <f t="shared" si="983"/>
        <v>-3.7373059035727576</v>
      </c>
    </row>
    <row r="514" spans="1:20" x14ac:dyDescent="0.25">
      <c r="A514" s="5">
        <v>44079</v>
      </c>
      <c r="B514">
        <v>1.9730000000000001E-2</v>
      </c>
      <c r="C514">
        <v>2.009E-2</v>
      </c>
      <c r="D514">
        <v>1.6119999999999999E-2</v>
      </c>
      <c r="E514">
        <v>1.7180000000000001E-2</v>
      </c>
      <c r="F514">
        <v>8336102.7000000002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-0.4659949622166239</v>
      </c>
      <c r="Q514">
        <f t="shared" si="980"/>
        <v>-3884581.8627203964</v>
      </c>
      <c r="R514">
        <f t="shared" si="981"/>
        <v>-382515493.54986835</v>
      </c>
      <c r="S514">
        <f t="shared" si="982"/>
        <v>-3825.1549354986832</v>
      </c>
      <c r="T514">
        <f t="shared" si="983"/>
        <v>-3.8251549354986834</v>
      </c>
    </row>
    <row r="515" spans="1:20" x14ac:dyDescent="0.25">
      <c r="A515" s="5">
        <v>44078</v>
      </c>
      <c r="B515">
        <v>1.8610000000000002E-2</v>
      </c>
      <c r="C515">
        <v>2.1080000000000002E-2</v>
      </c>
      <c r="D515">
        <v>1.7770000000000001E-2</v>
      </c>
      <c r="E515">
        <v>1.9730000000000001E-2</v>
      </c>
      <c r="F515">
        <v>13461232.6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0.18429003021148016</v>
      </c>
      <c r="Q515">
        <f t="shared" si="980"/>
        <v>2480770.9625377618</v>
      </c>
      <c r="R515">
        <f t="shared" si="981"/>
        <v>-378630911.68714797</v>
      </c>
      <c r="S515">
        <f t="shared" si="982"/>
        <v>-3786.3091168714795</v>
      </c>
      <c r="T515">
        <f t="shared" si="983"/>
        <v>-3.7863091168714798</v>
      </c>
    </row>
    <row r="516" spans="1:20" x14ac:dyDescent="0.25">
      <c r="A516" s="5">
        <v>44077</v>
      </c>
      <c r="B516">
        <v>2.6179999999999998E-2</v>
      </c>
      <c r="C516">
        <v>2.632E-2</v>
      </c>
      <c r="D516">
        <v>1.7999999999999999E-2</v>
      </c>
      <c r="E516">
        <v>1.8700000000000001E-2</v>
      </c>
      <c r="F516">
        <v>25890957.800000001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-0.83173076923076861</v>
      </c>
      <c r="Q516">
        <f t="shared" si="980"/>
        <v>-21534306.24711537</v>
      </c>
      <c r="R516">
        <f t="shared" si="981"/>
        <v>-381111682.64968574</v>
      </c>
      <c r="S516">
        <f t="shared" si="982"/>
        <v>-3811.1168264968574</v>
      </c>
      <c r="T516">
        <f t="shared" si="983"/>
        <v>-3.8111168264968573</v>
      </c>
    </row>
    <row r="517" spans="1:20" x14ac:dyDescent="0.25">
      <c r="A517" s="5">
        <v>44076</v>
      </c>
      <c r="B517">
        <v>2.784E-2</v>
      </c>
      <c r="C517">
        <v>2.853E-2</v>
      </c>
      <c r="D517">
        <v>2.4649999999999998E-2</v>
      </c>
      <c r="E517">
        <v>2.598E-2</v>
      </c>
      <c r="F517">
        <v>19511988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-0.31443298969072125</v>
      </c>
      <c r="Q517">
        <f t="shared" si="980"/>
        <v>-6135212.7216494773</v>
      </c>
      <c r="R517">
        <f t="shared" si="981"/>
        <v>-359577376.40257037</v>
      </c>
      <c r="S517">
        <f t="shared" si="982"/>
        <v>-3595.7737640257037</v>
      </c>
      <c r="T517">
        <f t="shared" si="983"/>
        <v>-3.5957737640257039</v>
      </c>
    </row>
    <row r="518" spans="1:20" x14ac:dyDescent="0.25">
      <c r="A518" s="5">
        <v>44075</v>
      </c>
      <c r="B518">
        <v>3.1150000000000001E-2</v>
      </c>
      <c r="C518">
        <v>3.5499999999999997E-2</v>
      </c>
      <c r="D518">
        <v>2.7629999999999998E-2</v>
      </c>
      <c r="E518">
        <v>2.7730000000000001E-2</v>
      </c>
      <c r="F518">
        <v>88171635.299999997</v>
      </c>
      <c r="G518">
        <v>0</v>
      </c>
      <c r="L518" t="s">
        <v>8</v>
      </c>
      <c r="M518" t="s">
        <v>8</v>
      </c>
      <c r="N518" t="s">
        <v>7</v>
      </c>
      <c r="P518">
        <f t="shared" ref="P518:P581" si="984">IF(C518=D518,0,((E518-D518)-(C518-E518))/(C518-D518))</f>
        <v>-0.97458703939008817</v>
      </c>
      <c r="Q518">
        <f t="shared" ref="Q518:Q581" si="985">F518*P518</f>
        <v>-85930933.00520958</v>
      </c>
      <c r="R518">
        <f t="shared" ref="R518:R581" si="986">R519+Q518</f>
        <v>-353442163.6809209</v>
      </c>
      <c r="S518">
        <f t="shared" ref="S518:S581" si="987">R518/100000</f>
        <v>-3534.4216368092088</v>
      </c>
      <c r="T518">
        <f t="shared" ref="T518:T581" si="988">S518/1000</f>
        <v>-3.534421636809209</v>
      </c>
    </row>
    <row r="519" spans="1:20" x14ac:dyDescent="0.25">
      <c r="A519" s="5">
        <v>44074</v>
      </c>
      <c r="B519">
        <v>3.1559999999999998E-2</v>
      </c>
      <c r="C519">
        <v>3.3180000000000001E-2</v>
      </c>
      <c r="D519">
        <v>3.0030000000000001E-2</v>
      </c>
      <c r="E519">
        <v>3.1289999999999998E-2</v>
      </c>
      <c r="F519">
        <v>20932550.699999999</v>
      </c>
      <c r="G519">
        <v>0</v>
      </c>
      <c r="L519" t="s">
        <v>8</v>
      </c>
      <c r="M519" t="s">
        <v>8</v>
      </c>
      <c r="N519" t="s">
        <v>7</v>
      </c>
      <c r="P519">
        <f t="shared" si="984"/>
        <v>-0.20000000000000176</v>
      </c>
      <c r="Q519">
        <f t="shared" si="985"/>
        <v>-4186510.1400000369</v>
      </c>
      <c r="R519">
        <f t="shared" si="986"/>
        <v>-267511230.67571133</v>
      </c>
      <c r="S519">
        <f t="shared" si="987"/>
        <v>-2675.1123067571134</v>
      </c>
      <c r="T519">
        <f t="shared" si="988"/>
        <v>-2.6751123067571134</v>
      </c>
    </row>
    <row r="520" spans="1:20" x14ac:dyDescent="0.25">
      <c r="A520" s="5">
        <v>44073</v>
      </c>
      <c r="B520">
        <v>2.9760000000000002E-2</v>
      </c>
      <c r="C520">
        <v>3.1919999999999997E-2</v>
      </c>
      <c r="D520">
        <v>2.938E-2</v>
      </c>
      <c r="E520">
        <v>3.1559999999999998E-2</v>
      </c>
      <c r="F520">
        <v>10664780.5</v>
      </c>
      <c r="G520">
        <v>0</v>
      </c>
      <c r="L520" t="s">
        <v>8</v>
      </c>
      <c r="M520" t="s">
        <v>8</v>
      </c>
      <c r="N520" t="s">
        <v>7</v>
      </c>
      <c r="P520">
        <f t="shared" si="984"/>
        <v>0.71653543307086642</v>
      </c>
      <c r="Q520">
        <f t="shared" si="985"/>
        <v>7641693.1141732316</v>
      </c>
      <c r="R520">
        <f t="shared" si="986"/>
        <v>-263324720.53571129</v>
      </c>
      <c r="S520">
        <f t="shared" si="987"/>
        <v>-2633.2472053571128</v>
      </c>
      <c r="T520">
        <f t="shared" si="988"/>
        <v>-2.6332472053571125</v>
      </c>
    </row>
    <row r="521" spans="1:20" x14ac:dyDescent="0.25">
      <c r="A521" s="5">
        <v>44072</v>
      </c>
      <c r="B521">
        <v>2.9739999999999999E-2</v>
      </c>
      <c r="C521">
        <v>3.15E-2</v>
      </c>
      <c r="D521">
        <v>2.962E-2</v>
      </c>
      <c r="E521">
        <v>2.9790000000000001E-2</v>
      </c>
      <c r="F521">
        <v>7642974.7000000002</v>
      </c>
      <c r="G521">
        <v>0</v>
      </c>
      <c r="L521" t="s">
        <v>8</v>
      </c>
      <c r="M521" t="s">
        <v>8</v>
      </c>
      <c r="N521" t="s">
        <v>7</v>
      </c>
      <c r="P521">
        <f t="shared" si="984"/>
        <v>-0.81914893617021267</v>
      </c>
      <c r="Q521">
        <f t="shared" si="985"/>
        <v>-6260734.5946808504</v>
      </c>
      <c r="R521">
        <f t="shared" si="986"/>
        <v>-270966413.64988452</v>
      </c>
      <c r="S521">
        <f t="shared" si="987"/>
        <v>-2709.6641364988454</v>
      </c>
      <c r="T521">
        <f t="shared" si="988"/>
        <v>-2.7096641364988456</v>
      </c>
    </row>
    <row r="522" spans="1:20" x14ac:dyDescent="0.25">
      <c r="A522" s="5">
        <v>44071</v>
      </c>
      <c r="B522">
        <v>2.792E-2</v>
      </c>
      <c r="C522">
        <v>3.1699999999999999E-2</v>
      </c>
      <c r="D522">
        <v>2.759E-2</v>
      </c>
      <c r="E522">
        <v>2.9749999999999999E-2</v>
      </c>
      <c r="F522">
        <v>14068533</v>
      </c>
      <c r="G522">
        <v>0</v>
      </c>
      <c r="L522" t="s">
        <v>8</v>
      </c>
      <c r="M522" t="s">
        <v>8</v>
      </c>
      <c r="N522" t="s">
        <v>7</v>
      </c>
      <c r="P522">
        <f t="shared" si="984"/>
        <v>5.1094890510948524E-2</v>
      </c>
      <c r="Q522">
        <f t="shared" si="985"/>
        <v>718830.15328466613</v>
      </c>
      <c r="R522">
        <f t="shared" si="986"/>
        <v>-264705679.05520365</v>
      </c>
      <c r="S522">
        <f t="shared" si="987"/>
        <v>-2647.0567905520365</v>
      </c>
      <c r="T522">
        <f t="shared" si="988"/>
        <v>-2.6470567905520364</v>
      </c>
    </row>
    <row r="523" spans="1:20" x14ac:dyDescent="0.25">
      <c r="A523" s="5">
        <v>44070</v>
      </c>
      <c r="B523">
        <v>2.886E-2</v>
      </c>
      <c r="C523">
        <v>2.9159999999999998E-2</v>
      </c>
      <c r="D523">
        <v>2.6499999999999999E-2</v>
      </c>
      <c r="E523">
        <v>2.7959999999999999E-2</v>
      </c>
      <c r="F523">
        <v>8649477.4000000004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9.7744360902255606E-2</v>
      </c>
      <c r="Q523">
        <f t="shared" si="985"/>
        <v>845437.64060150355</v>
      </c>
      <c r="R523">
        <f t="shared" si="986"/>
        <v>-265424509.20848832</v>
      </c>
      <c r="S523">
        <f t="shared" si="987"/>
        <v>-2654.2450920848833</v>
      </c>
      <c r="T523">
        <f t="shared" si="988"/>
        <v>-2.6542450920848832</v>
      </c>
    </row>
    <row r="524" spans="1:20" x14ac:dyDescent="0.25">
      <c r="A524" s="5">
        <v>44069</v>
      </c>
      <c r="B524">
        <v>2.8719999999999999E-2</v>
      </c>
      <c r="C524">
        <v>3.04E-2</v>
      </c>
      <c r="D524">
        <v>2.801E-2</v>
      </c>
      <c r="E524">
        <v>2.8969999999999999E-2</v>
      </c>
      <c r="F524">
        <v>10171412.699999999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-0.19665271966527267</v>
      </c>
      <c r="Q524">
        <f t="shared" si="985"/>
        <v>-2000235.9702928942</v>
      </c>
      <c r="R524">
        <f t="shared" si="986"/>
        <v>-266269946.84908983</v>
      </c>
      <c r="S524">
        <f t="shared" si="987"/>
        <v>-2662.6994684908982</v>
      </c>
      <c r="T524">
        <f t="shared" si="988"/>
        <v>-2.662699468490898</v>
      </c>
    </row>
    <row r="525" spans="1:20" x14ac:dyDescent="0.25">
      <c r="A525" s="5">
        <v>44068</v>
      </c>
      <c r="B525">
        <v>3.1669999999999997E-2</v>
      </c>
      <c r="C525">
        <v>3.193E-2</v>
      </c>
      <c r="D525">
        <v>2.63E-2</v>
      </c>
      <c r="E525">
        <v>2.8649999999999998E-2</v>
      </c>
      <c r="F525">
        <v>15289715.6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-0.16518650088810014</v>
      </c>
      <c r="Q525">
        <f t="shared" si="985"/>
        <v>-2525654.6195381982</v>
      </c>
      <c r="R525">
        <f t="shared" si="986"/>
        <v>-264269710.87879694</v>
      </c>
      <c r="S525">
        <f t="shared" si="987"/>
        <v>-2642.6971087879692</v>
      </c>
      <c r="T525">
        <f t="shared" si="988"/>
        <v>-2.6426971087879694</v>
      </c>
    </row>
    <row r="526" spans="1:20" x14ac:dyDescent="0.25">
      <c r="A526" s="5">
        <v>44067</v>
      </c>
      <c r="B526">
        <v>3.0890000000000001E-2</v>
      </c>
      <c r="C526">
        <v>3.1989999999999998E-2</v>
      </c>
      <c r="D526">
        <v>2.9520000000000001E-2</v>
      </c>
      <c r="E526">
        <v>3.1669999999999997E-2</v>
      </c>
      <c r="F526">
        <v>8106795</v>
      </c>
      <c r="G526">
        <v>0</v>
      </c>
      <c r="L526" t="s">
        <v>7</v>
      </c>
      <c r="M526" t="s">
        <v>8</v>
      </c>
      <c r="N526" t="s">
        <v>7</v>
      </c>
      <c r="P526">
        <f t="shared" si="984"/>
        <v>0.74089068825910831</v>
      </c>
      <c r="Q526">
        <f t="shared" si="985"/>
        <v>6006248.9271254977</v>
      </c>
      <c r="R526">
        <f t="shared" si="986"/>
        <v>-261744056.25925875</v>
      </c>
      <c r="S526">
        <f t="shared" si="987"/>
        <v>-2617.4405625925874</v>
      </c>
      <c r="T526">
        <f t="shared" si="988"/>
        <v>-2.6174405625925874</v>
      </c>
    </row>
    <row r="527" spans="1:20" x14ac:dyDescent="0.25">
      <c r="A527" s="5">
        <v>44066</v>
      </c>
      <c r="B527">
        <v>3.2050000000000002E-2</v>
      </c>
      <c r="C527">
        <v>3.3300000000000003E-2</v>
      </c>
      <c r="D527">
        <v>3.049E-2</v>
      </c>
      <c r="E527">
        <v>3.091E-2</v>
      </c>
      <c r="F527">
        <v>12258297.9</v>
      </c>
      <c r="G527">
        <v>0</v>
      </c>
      <c r="L527" t="s">
        <v>8</v>
      </c>
      <c r="M527" t="s">
        <v>8</v>
      </c>
      <c r="N527" t="s">
        <v>7</v>
      </c>
      <c r="P527">
        <f t="shared" si="984"/>
        <v>-0.70106761565836317</v>
      </c>
      <c r="Q527">
        <f t="shared" si="985"/>
        <v>-8593895.6807829216</v>
      </c>
      <c r="R527">
        <f t="shared" si="986"/>
        <v>-267750305.18638423</v>
      </c>
      <c r="S527">
        <f t="shared" si="987"/>
        <v>-2677.5030518638423</v>
      </c>
      <c r="T527">
        <f t="shared" si="988"/>
        <v>-2.6775030518638423</v>
      </c>
    </row>
    <row r="528" spans="1:20" x14ac:dyDescent="0.25">
      <c r="A528" s="5">
        <v>44065</v>
      </c>
      <c r="B528">
        <v>3.0130000000000001E-2</v>
      </c>
      <c r="C528">
        <v>3.3059999999999999E-2</v>
      </c>
      <c r="D528">
        <v>2.5690000000000001E-2</v>
      </c>
      <c r="E528">
        <v>3.2030000000000003E-2</v>
      </c>
      <c r="F528">
        <v>24806942.600000001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0.72048846675712441</v>
      </c>
      <c r="Q528">
        <f t="shared" si="985"/>
        <v>17873116.038805995</v>
      </c>
      <c r="R528">
        <f t="shared" si="986"/>
        <v>-259156409.50560132</v>
      </c>
      <c r="S528">
        <f t="shared" si="987"/>
        <v>-2591.5640950560132</v>
      </c>
      <c r="T528">
        <f t="shared" si="988"/>
        <v>-2.5915640950560133</v>
      </c>
    </row>
    <row r="529" spans="1:20" x14ac:dyDescent="0.25">
      <c r="A529" s="5">
        <v>44064</v>
      </c>
      <c r="B529">
        <v>3.1119999999999998E-2</v>
      </c>
      <c r="C529">
        <v>3.3489999999999999E-2</v>
      </c>
      <c r="D529">
        <v>2.9159999999999998E-2</v>
      </c>
      <c r="E529">
        <v>3.014E-2</v>
      </c>
      <c r="F529">
        <v>17555229.100000001</v>
      </c>
      <c r="G529">
        <v>0</v>
      </c>
      <c r="L529" t="s">
        <v>8</v>
      </c>
      <c r="M529" t="s">
        <v>7</v>
      </c>
      <c r="N529" t="s">
        <v>8</v>
      </c>
      <c r="P529">
        <f t="shared" si="984"/>
        <v>-0.54734411085450274</v>
      </c>
      <c r="Q529">
        <f t="shared" si="985"/>
        <v>-9608751.2625865936</v>
      </c>
      <c r="R529">
        <f t="shared" si="986"/>
        <v>-277029525.54440731</v>
      </c>
      <c r="S529">
        <f t="shared" si="987"/>
        <v>-2770.2952554440731</v>
      </c>
      <c r="T529">
        <f t="shared" si="988"/>
        <v>-2.770295255444073</v>
      </c>
    </row>
    <row r="530" spans="1:20" x14ac:dyDescent="0.25">
      <c r="A530" s="5">
        <v>44063</v>
      </c>
      <c r="B530">
        <v>3.0499999999999999E-2</v>
      </c>
      <c r="C530">
        <v>3.1980000000000001E-2</v>
      </c>
      <c r="D530">
        <v>3.0380000000000001E-2</v>
      </c>
      <c r="E530">
        <v>3.1109999999999999E-2</v>
      </c>
      <c r="F530">
        <v>7785073.2000000002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-8.7500000000002895E-2</v>
      </c>
      <c r="Q530">
        <f t="shared" si="985"/>
        <v>-681193.9050000225</v>
      </c>
      <c r="R530">
        <f t="shared" si="986"/>
        <v>-267420774.28182071</v>
      </c>
      <c r="S530">
        <f t="shared" si="987"/>
        <v>-2674.207742818207</v>
      </c>
      <c r="T530">
        <f t="shared" si="988"/>
        <v>-2.6742077428182069</v>
      </c>
    </row>
    <row r="531" spans="1:20" x14ac:dyDescent="0.25">
      <c r="A531" s="5">
        <v>44062</v>
      </c>
      <c r="B531">
        <v>3.3020000000000001E-2</v>
      </c>
      <c r="C531">
        <v>3.3230000000000003E-2</v>
      </c>
      <c r="D531">
        <v>2.9530000000000001E-2</v>
      </c>
      <c r="E531">
        <v>3.0339999999999999E-2</v>
      </c>
      <c r="F531">
        <v>9114211.5999999996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-0.5621621621621633</v>
      </c>
      <c r="Q531">
        <f t="shared" si="985"/>
        <v>-5123664.8994594701</v>
      </c>
      <c r="R531">
        <f t="shared" si="986"/>
        <v>-266739580.37682068</v>
      </c>
      <c r="S531">
        <f t="shared" si="987"/>
        <v>-2667.3958037682069</v>
      </c>
      <c r="T531">
        <f t="shared" si="988"/>
        <v>-2.6673958037682071</v>
      </c>
    </row>
    <row r="532" spans="1:20" x14ac:dyDescent="0.25">
      <c r="A532" s="5">
        <v>44061</v>
      </c>
      <c r="B532">
        <v>3.2320000000000002E-2</v>
      </c>
      <c r="C532">
        <v>3.5430000000000003E-2</v>
      </c>
      <c r="D532">
        <v>3.1640000000000001E-2</v>
      </c>
      <c r="E532">
        <v>3.2989999999999998E-2</v>
      </c>
      <c r="F532">
        <v>16736389.699999999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-0.28759894459103091</v>
      </c>
      <c r="Q532">
        <f t="shared" si="985"/>
        <v>-4813368.0139842005</v>
      </c>
      <c r="R532">
        <f t="shared" si="986"/>
        <v>-261615915.4773612</v>
      </c>
      <c r="S532">
        <f t="shared" si="987"/>
        <v>-2616.159154773612</v>
      </c>
      <c r="T532">
        <f t="shared" si="988"/>
        <v>-2.6161591547736118</v>
      </c>
    </row>
    <row r="533" spans="1:20" x14ac:dyDescent="0.25">
      <c r="A533" s="5">
        <v>44060</v>
      </c>
      <c r="B533">
        <v>3.2910000000000002E-2</v>
      </c>
      <c r="C533">
        <v>3.4299999999999997E-2</v>
      </c>
      <c r="D533">
        <v>2.81E-2</v>
      </c>
      <c r="E533">
        <v>3.2289999999999999E-2</v>
      </c>
      <c r="F533">
        <v>18113106.699999999</v>
      </c>
      <c r="G533">
        <v>0</v>
      </c>
      <c r="L533" t="s">
        <v>8</v>
      </c>
      <c r="M533" t="s">
        <v>7</v>
      </c>
      <c r="N533" t="s">
        <v>8</v>
      </c>
      <c r="P533">
        <f t="shared" si="984"/>
        <v>0.35161290322580685</v>
      </c>
      <c r="Q533">
        <f t="shared" si="985"/>
        <v>6368802.0332258129</v>
      </c>
      <c r="R533">
        <f t="shared" si="986"/>
        <v>-256802547.463377</v>
      </c>
      <c r="S533">
        <f t="shared" si="987"/>
        <v>-2568.02547463377</v>
      </c>
      <c r="T533">
        <f t="shared" si="988"/>
        <v>-2.5680254746337701</v>
      </c>
    </row>
    <row r="534" spans="1:20" x14ac:dyDescent="0.25">
      <c r="A534" s="5">
        <v>44059</v>
      </c>
      <c r="B534">
        <v>3.2169999999999997E-2</v>
      </c>
      <c r="C534">
        <v>3.3369999999999997E-2</v>
      </c>
      <c r="D534">
        <v>3.1919999999999997E-2</v>
      </c>
      <c r="E534">
        <v>3.2969999999999999E-2</v>
      </c>
      <c r="F534">
        <v>8691061.6999999993</v>
      </c>
      <c r="G534">
        <v>0</v>
      </c>
      <c r="L534" t="s">
        <v>8</v>
      </c>
      <c r="M534" t="s">
        <v>7</v>
      </c>
      <c r="N534" t="s">
        <v>8</v>
      </c>
      <c r="P534">
        <f t="shared" si="984"/>
        <v>0.4482758620689688</v>
      </c>
      <c r="Q534">
        <f t="shared" si="985"/>
        <v>3895993.1758620972</v>
      </c>
      <c r="R534">
        <f t="shared" si="986"/>
        <v>-263171349.4966028</v>
      </c>
      <c r="S534">
        <f t="shared" si="987"/>
        <v>-2631.7134949660281</v>
      </c>
      <c r="T534">
        <f t="shared" si="988"/>
        <v>-2.6317134949660281</v>
      </c>
    </row>
    <row r="535" spans="1:20" x14ac:dyDescent="0.25">
      <c r="A535" s="5">
        <v>44058</v>
      </c>
      <c r="B535">
        <v>3.2759999999999997E-2</v>
      </c>
      <c r="C535">
        <v>3.3590000000000002E-2</v>
      </c>
      <c r="D535">
        <v>3.0769999999999999E-2</v>
      </c>
      <c r="E535">
        <v>3.2169999999999997E-2</v>
      </c>
      <c r="F535">
        <v>16134236.199999999</v>
      </c>
      <c r="G535">
        <v>0</v>
      </c>
      <c r="L535" t="s">
        <v>7</v>
      </c>
      <c r="M535" t="s">
        <v>7</v>
      </c>
      <c r="N535" t="s">
        <v>8</v>
      </c>
      <c r="P535">
        <f t="shared" si="984"/>
        <v>-7.0921985815624476E-3</v>
      </c>
      <c r="Q535">
        <f t="shared" si="985"/>
        <v>-114427.20709223348</v>
      </c>
      <c r="R535">
        <f t="shared" si="986"/>
        <v>-267067342.67246491</v>
      </c>
      <c r="S535">
        <f t="shared" si="987"/>
        <v>-2670.6734267246493</v>
      </c>
      <c r="T535">
        <f t="shared" si="988"/>
        <v>-2.6706734267246492</v>
      </c>
    </row>
    <row r="536" spans="1:20" x14ac:dyDescent="0.25">
      <c r="A536" s="5">
        <v>44057</v>
      </c>
      <c r="B536">
        <v>3.329E-2</v>
      </c>
      <c r="C536">
        <v>3.4090000000000002E-2</v>
      </c>
      <c r="D536">
        <v>3.2099999999999997E-2</v>
      </c>
      <c r="E536">
        <v>3.2759999999999997E-2</v>
      </c>
      <c r="F536">
        <v>10254042.300000001</v>
      </c>
      <c r="G536">
        <v>0</v>
      </c>
      <c r="L536" t="s">
        <v>7</v>
      </c>
      <c r="M536" t="s">
        <v>8</v>
      </c>
      <c r="N536" t="s">
        <v>8</v>
      </c>
      <c r="P536">
        <f t="shared" si="984"/>
        <v>-0.33668341708542815</v>
      </c>
      <c r="Q536">
        <f t="shared" si="985"/>
        <v>-3452366.000502523</v>
      </c>
      <c r="R536">
        <f t="shared" si="986"/>
        <v>-266952915.46537268</v>
      </c>
      <c r="S536">
        <f t="shared" si="987"/>
        <v>-2669.5291546537269</v>
      </c>
      <c r="T536">
        <f t="shared" si="988"/>
        <v>-2.669529154653727</v>
      </c>
    </row>
    <row r="537" spans="1:20" x14ac:dyDescent="0.25">
      <c r="A537" s="5">
        <v>44056</v>
      </c>
      <c r="B537">
        <v>3.4299999999999997E-2</v>
      </c>
      <c r="C537">
        <v>3.4880000000000001E-2</v>
      </c>
      <c r="D537">
        <v>3.2160000000000001E-2</v>
      </c>
      <c r="E537">
        <v>3.3140000000000003E-2</v>
      </c>
      <c r="F537">
        <v>15393988.5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-0.27941176470588114</v>
      </c>
      <c r="Q537">
        <f t="shared" si="985"/>
        <v>-4301261.4926470397</v>
      </c>
      <c r="R537">
        <f t="shared" si="986"/>
        <v>-263500549.46487015</v>
      </c>
      <c r="S537">
        <f t="shared" si="987"/>
        <v>-2635.0054946487016</v>
      </c>
      <c r="T537">
        <f t="shared" si="988"/>
        <v>-2.6350054946487016</v>
      </c>
    </row>
    <row r="538" spans="1:20" x14ac:dyDescent="0.25">
      <c r="A538" s="5">
        <v>44055</v>
      </c>
      <c r="B538">
        <v>3.3950000000000001E-2</v>
      </c>
      <c r="C538">
        <v>3.5479999999999998E-2</v>
      </c>
      <c r="D538">
        <v>3.1800000000000002E-2</v>
      </c>
      <c r="E538">
        <v>3.4360000000000002E-2</v>
      </c>
      <c r="F538">
        <v>18997443</v>
      </c>
      <c r="G538">
        <v>0</v>
      </c>
      <c r="L538" t="s">
        <v>7</v>
      </c>
      <c r="M538" t="s">
        <v>8</v>
      </c>
      <c r="N538" t="s">
        <v>8</v>
      </c>
      <c r="P538">
        <f t="shared" si="984"/>
        <v>0.39130434782608842</v>
      </c>
      <c r="Q538">
        <f t="shared" si="985"/>
        <v>7433782.0434782887</v>
      </c>
      <c r="R538">
        <f t="shared" si="986"/>
        <v>-259199287.9722231</v>
      </c>
      <c r="S538">
        <f t="shared" si="987"/>
        <v>-2591.992879722231</v>
      </c>
      <c r="T538">
        <f t="shared" si="988"/>
        <v>-2.5919928797222309</v>
      </c>
    </row>
    <row r="539" spans="1:20" x14ac:dyDescent="0.25">
      <c r="A539" s="5">
        <v>44054</v>
      </c>
      <c r="B539">
        <v>3.456E-2</v>
      </c>
      <c r="C539">
        <v>3.7879999999999997E-2</v>
      </c>
      <c r="D539">
        <v>3.1870000000000002E-2</v>
      </c>
      <c r="E539">
        <v>3.3779999999999998E-2</v>
      </c>
      <c r="F539">
        <v>35843349.5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-0.36439267886855348</v>
      </c>
      <c r="Q539">
        <f t="shared" si="985"/>
        <v>-13061054.143926827</v>
      </c>
      <c r="R539">
        <f t="shared" si="986"/>
        <v>-266633070.01570138</v>
      </c>
      <c r="S539">
        <f t="shared" si="987"/>
        <v>-2666.3307001570138</v>
      </c>
      <c r="T539">
        <f t="shared" si="988"/>
        <v>-2.6663307001570136</v>
      </c>
    </row>
    <row r="540" spans="1:20" x14ac:dyDescent="0.25">
      <c r="A540" s="5">
        <v>44053</v>
      </c>
      <c r="B540">
        <v>3.499E-2</v>
      </c>
      <c r="C540">
        <v>3.5900000000000001E-2</v>
      </c>
      <c r="D540">
        <v>3.15E-2</v>
      </c>
      <c r="E540">
        <v>3.456E-2</v>
      </c>
      <c r="F540">
        <v>37460905.700000003</v>
      </c>
      <c r="G540">
        <v>0</v>
      </c>
      <c r="L540" t="s">
        <v>7</v>
      </c>
      <c r="M540" t="s">
        <v>8</v>
      </c>
      <c r="N540" t="s">
        <v>8</v>
      </c>
      <c r="P540">
        <f t="shared" si="984"/>
        <v>0.39090909090909065</v>
      </c>
      <c r="Q540">
        <f t="shared" si="985"/>
        <v>14643808.591818172</v>
      </c>
      <c r="R540">
        <f t="shared" si="986"/>
        <v>-253572015.87177455</v>
      </c>
      <c r="S540">
        <f t="shared" si="987"/>
        <v>-2535.7201587177456</v>
      </c>
      <c r="T540">
        <f t="shared" si="988"/>
        <v>-2.5357201587177456</v>
      </c>
    </row>
    <row r="541" spans="1:20" x14ac:dyDescent="0.25">
      <c r="A541" s="5">
        <v>44052</v>
      </c>
      <c r="B541">
        <v>3.6580000000000001E-2</v>
      </c>
      <c r="C541">
        <v>3.7990000000000003E-2</v>
      </c>
      <c r="D541">
        <v>3.3829999999999999E-2</v>
      </c>
      <c r="E541">
        <v>3.492E-2</v>
      </c>
      <c r="F541">
        <v>30798942.600000001</v>
      </c>
      <c r="G541">
        <v>0</v>
      </c>
      <c r="L541" t="s">
        <v>7</v>
      </c>
      <c r="M541" t="s">
        <v>8</v>
      </c>
      <c r="N541" t="s">
        <v>8</v>
      </c>
      <c r="P541">
        <f t="shared" si="984"/>
        <v>-0.4759615384615386</v>
      </c>
      <c r="Q541">
        <f t="shared" si="985"/>
        <v>-14659112.10288462</v>
      </c>
      <c r="R541">
        <f t="shared" si="986"/>
        <v>-268215824.46359274</v>
      </c>
      <c r="S541">
        <f t="shared" si="987"/>
        <v>-2682.1582446359275</v>
      </c>
      <c r="T541">
        <f t="shared" si="988"/>
        <v>-2.6821582446359273</v>
      </c>
    </row>
    <row r="542" spans="1:20" x14ac:dyDescent="0.25">
      <c r="A542" s="5">
        <v>44051</v>
      </c>
      <c r="B542">
        <v>3.0620000000000001E-2</v>
      </c>
      <c r="C542">
        <v>3.7999999999999999E-2</v>
      </c>
      <c r="D542">
        <v>3.0450000000000001E-2</v>
      </c>
      <c r="E542">
        <v>3.6580000000000001E-2</v>
      </c>
      <c r="F542">
        <v>40468892.399999999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0.62384105960264946</v>
      </c>
      <c r="Q542">
        <f t="shared" si="985"/>
        <v>25246156.715761606</v>
      </c>
      <c r="R542">
        <f t="shared" si="986"/>
        <v>-253556712.36070812</v>
      </c>
      <c r="S542">
        <f t="shared" si="987"/>
        <v>-2535.5671236070812</v>
      </c>
      <c r="T542">
        <f t="shared" si="988"/>
        <v>-2.5355671236070814</v>
      </c>
    </row>
    <row r="543" spans="1:20" x14ac:dyDescent="0.25">
      <c r="A543" s="5">
        <v>44050</v>
      </c>
      <c r="B543">
        <v>3.0439999999999998E-2</v>
      </c>
      <c r="C543">
        <v>3.3930000000000002E-2</v>
      </c>
      <c r="D543">
        <v>2.9479999999999999E-2</v>
      </c>
      <c r="E543">
        <v>3.0620000000000001E-2</v>
      </c>
      <c r="F543">
        <v>45505808.899999999</v>
      </c>
      <c r="G543">
        <v>0</v>
      </c>
      <c r="L543" t="s">
        <v>8</v>
      </c>
      <c r="M543" t="s">
        <v>7</v>
      </c>
      <c r="N543" t="s">
        <v>8</v>
      </c>
      <c r="P543">
        <f t="shared" si="984"/>
        <v>-0.48764044943820156</v>
      </c>
      <c r="Q543">
        <f t="shared" si="985"/>
        <v>-22190473.104044911</v>
      </c>
      <c r="R543">
        <f t="shared" si="986"/>
        <v>-278802869.07646972</v>
      </c>
      <c r="S543">
        <f t="shared" si="987"/>
        <v>-2788.0286907646973</v>
      </c>
      <c r="T543">
        <f t="shared" si="988"/>
        <v>-2.7880286907646972</v>
      </c>
    </row>
    <row r="544" spans="1:20" x14ac:dyDescent="0.25">
      <c r="A544" s="5">
        <v>44049</v>
      </c>
      <c r="B544">
        <v>2.5139999999999999E-2</v>
      </c>
      <c r="C544">
        <v>3.5619999999999999E-2</v>
      </c>
      <c r="D544">
        <v>2.4E-2</v>
      </c>
      <c r="E544">
        <v>3.0439999999999998E-2</v>
      </c>
      <c r="F544">
        <v>75858269.299999997</v>
      </c>
      <c r="G544">
        <v>0</v>
      </c>
      <c r="L544" t="s">
        <v>7</v>
      </c>
      <c r="M544" t="s">
        <v>8</v>
      </c>
      <c r="N544" t="s">
        <v>8</v>
      </c>
      <c r="P544">
        <f t="shared" si="984"/>
        <v>0.10843373493975882</v>
      </c>
      <c r="Q544">
        <f t="shared" si="985"/>
        <v>8225595.4662650432</v>
      </c>
      <c r="R544">
        <f t="shared" si="986"/>
        <v>-256612395.97242481</v>
      </c>
      <c r="S544">
        <f t="shared" si="987"/>
        <v>-2566.1239597242479</v>
      </c>
      <c r="T544">
        <f t="shared" si="988"/>
        <v>-2.5661239597242478</v>
      </c>
    </row>
    <row r="545" spans="1:20" x14ac:dyDescent="0.25">
      <c r="A545" s="5">
        <v>44048</v>
      </c>
      <c r="B545">
        <v>2.632E-2</v>
      </c>
      <c r="C545">
        <v>2.6890000000000001E-2</v>
      </c>
      <c r="D545">
        <v>2.4279999999999999E-2</v>
      </c>
      <c r="E545">
        <v>2.52E-2</v>
      </c>
      <c r="F545">
        <v>14415385.5</v>
      </c>
      <c r="G545">
        <v>0</v>
      </c>
      <c r="L545" t="s">
        <v>7</v>
      </c>
      <c r="M545" t="s">
        <v>8</v>
      </c>
      <c r="N545" t="s">
        <v>8</v>
      </c>
      <c r="P545">
        <f t="shared" si="984"/>
        <v>-0.29501915708812243</v>
      </c>
      <c r="Q545">
        <f t="shared" si="985"/>
        <v>-4252814.8793103425</v>
      </c>
      <c r="R545">
        <f t="shared" si="986"/>
        <v>-264837991.43868986</v>
      </c>
      <c r="S545">
        <f t="shared" si="987"/>
        <v>-2648.3799143868987</v>
      </c>
      <c r="T545">
        <f t="shared" si="988"/>
        <v>-2.6483799143868989</v>
      </c>
    </row>
    <row r="546" spans="1:20" x14ac:dyDescent="0.25">
      <c r="A546" s="5">
        <v>44047</v>
      </c>
      <c r="B546">
        <v>2.3009999999999999E-2</v>
      </c>
      <c r="C546">
        <v>2.7E-2</v>
      </c>
      <c r="D546">
        <v>2.3009999999999999E-2</v>
      </c>
      <c r="E546">
        <v>2.6370000000000001E-2</v>
      </c>
      <c r="F546">
        <v>19683436.5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0.68421052631579016</v>
      </c>
      <c r="Q546">
        <f t="shared" si="985"/>
        <v>13467614.447368434</v>
      </c>
      <c r="R546">
        <f t="shared" si="986"/>
        <v>-260585176.55937952</v>
      </c>
      <c r="S546">
        <f t="shared" si="987"/>
        <v>-2605.8517655937953</v>
      </c>
      <c r="T546">
        <f t="shared" si="988"/>
        <v>-2.6058517655937954</v>
      </c>
    </row>
    <row r="547" spans="1:20" x14ac:dyDescent="0.25">
      <c r="A547" s="5">
        <v>44046</v>
      </c>
      <c r="B547">
        <v>2.351E-2</v>
      </c>
      <c r="C547">
        <v>2.426E-2</v>
      </c>
      <c r="D547">
        <v>2.2859999999999998E-2</v>
      </c>
      <c r="E547">
        <v>2.3140000000000001E-2</v>
      </c>
      <c r="F547">
        <v>6880076.0999999996</v>
      </c>
      <c r="G547">
        <v>0</v>
      </c>
      <c r="L547" t="s">
        <v>8</v>
      </c>
      <c r="M547" t="s">
        <v>7</v>
      </c>
      <c r="N547" t="s">
        <v>8</v>
      </c>
      <c r="P547">
        <f t="shared" si="984"/>
        <v>-0.59999999999999698</v>
      </c>
      <c r="Q547">
        <f t="shared" si="985"/>
        <v>-4128045.6599999792</v>
      </c>
      <c r="R547">
        <f t="shared" si="986"/>
        <v>-274052791.00674796</v>
      </c>
      <c r="S547">
        <f t="shared" si="987"/>
        <v>-2740.5279100674798</v>
      </c>
      <c r="T547">
        <f t="shared" si="988"/>
        <v>-2.7405279100674798</v>
      </c>
    </row>
    <row r="548" spans="1:20" x14ac:dyDescent="0.25">
      <c r="A548" s="5">
        <v>44045</v>
      </c>
      <c r="B548">
        <v>2.3820000000000001E-2</v>
      </c>
      <c r="C548">
        <v>2.4160000000000001E-2</v>
      </c>
      <c r="D548">
        <v>2.1739999999999999E-2</v>
      </c>
      <c r="E548">
        <v>2.358E-2</v>
      </c>
      <c r="F548">
        <v>9221651.4000000004</v>
      </c>
      <c r="G548">
        <v>0</v>
      </c>
      <c r="L548" t="s">
        <v>7</v>
      </c>
      <c r="M548" t="s">
        <v>7</v>
      </c>
      <c r="N548" t="s">
        <v>8</v>
      </c>
      <c r="P548">
        <f t="shared" si="984"/>
        <v>0.52066115702479321</v>
      </c>
      <c r="Q548">
        <f t="shared" si="985"/>
        <v>4801355.6876033042</v>
      </c>
      <c r="R548">
        <f t="shared" si="986"/>
        <v>-269924745.34674799</v>
      </c>
      <c r="S548">
        <f t="shared" si="987"/>
        <v>-2699.2474534674798</v>
      </c>
      <c r="T548">
        <f t="shared" si="988"/>
        <v>-2.6992474534674797</v>
      </c>
    </row>
    <row r="549" spans="1:20" x14ac:dyDescent="0.25">
      <c r="A549" s="5">
        <v>44044</v>
      </c>
      <c r="B549">
        <v>2.3769999999999999E-2</v>
      </c>
      <c r="C549">
        <v>2.47E-2</v>
      </c>
      <c r="D549">
        <v>2.2759999999999999E-2</v>
      </c>
      <c r="E549">
        <v>2.367E-2</v>
      </c>
      <c r="F549">
        <v>13687799.699999999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-6.1855670103092029E-2</v>
      </c>
      <c r="Q549">
        <f t="shared" si="985"/>
        <v>-846668.02268040203</v>
      </c>
      <c r="R549">
        <f t="shared" si="986"/>
        <v>-274726101.03435129</v>
      </c>
      <c r="S549">
        <f t="shared" si="987"/>
        <v>-2747.2610103435127</v>
      </c>
      <c r="T549">
        <f t="shared" si="988"/>
        <v>-2.7472610103435127</v>
      </c>
    </row>
    <row r="550" spans="1:20" x14ac:dyDescent="0.25">
      <c r="A550" s="5">
        <v>44043</v>
      </c>
      <c r="B550">
        <v>2.5729999999999999E-2</v>
      </c>
      <c r="C550">
        <v>2.5999999999999999E-2</v>
      </c>
      <c r="D550">
        <v>2.2450000000000001E-2</v>
      </c>
      <c r="E550">
        <v>2.3630000000000002E-2</v>
      </c>
      <c r="F550">
        <v>18481462.800000001</v>
      </c>
      <c r="G550">
        <v>0</v>
      </c>
      <c r="L550" t="s">
        <v>7</v>
      </c>
      <c r="M550" t="s">
        <v>8</v>
      </c>
      <c r="N550" t="s">
        <v>8</v>
      </c>
      <c r="P550">
        <f t="shared" si="984"/>
        <v>-0.33521126760563308</v>
      </c>
      <c r="Q550">
        <f t="shared" si="985"/>
        <v>-6195194.5723943533</v>
      </c>
      <c r="R550">
        <f t="shared" si="986"/>
        <v>-273879433.01167089</v>
      </c>
      <c r="S550">
        <f t="shared" si="987"/>
        <v>-2738.7943301167088</v>
      </c>
      <c r="T550">
        <f t="shared" si="988"/>
        <v>-2.7387943301167086</v>
      </c>
    </row>
    <row r="551" spans="1:20" x14ac:dyDescent="0.25">
      <c r="A551" s="5">
        <v>44042</v>
      </c>
      <c r="B551">
        <v>2.384E-2</v>
      </c>
      <c r="C551">
        <v>2.6679999999999999E-2</v>
      </c>
      <c r="D551">
        <v>2.3550000000000001E-2</v>
      </c>
      <c r="E551">
        <v>2.5659999999999999E-2</v>
      </c>
      <c r="F551">
        <v>12683344.4</v>
      </c>
      <c r="G551">
        <v>0</v>
      </c>
      <c r="L551" t="s">
        <v>8</v>
      </c>
      <c r="M551" t="s">
        <v>8</v>
      </c>
      <c r="N551" t="s">
        <v>8</v>
      </c>
      <c r="P551">
        <f t="shared" si="984"/>
        <v>0.34824281150159686</v>
      </c>
      <c r="Q551">
        <f t="shared" si="985"/>
        <v>4416883.5130990343</v>
      </c>
      <c r="R551">
        <f t="shared" si="986"/>
        <v>-267684238.43927655</v>
      </c>
      <c r="S551">
        <f t="shared" si="987"/>
        <v>-2676.8423843927653</v>
      </c>
      <c r="T551">
        <f t="shared" si="988"/>
        <v>-2.6768423843927653</v>
      </c>
    </row>
    <row r="552" spans="1:20" x14ac:dyDescent="0.25">
      <c r="A552" s="5">
        <v>44041</v>
      </c>
      <c r="B552">
        <v>2.4150000000000001E-2</v>
      </c>
      <c r="C552">
        <v>2.5850000000000001E-2</v>
      </c>
      <c r="D552">
        <v>2.3390000000000001E-2</v>
      </c>
      <c r="E552">
        <v>2.3939999999999999E-2</v>
      </c>
      <c r="F552">
        <v>14152210.4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-0.5528455284552859</v>
      </c>
      <c r="Q552">
        <f t="shared" si="985"/>
        <v>-7823986.2373983935</v>
      </c>
      <c r="R552">
        <f t="shared" si="986"/>
        <v>-272101121.95237559</v>
      </c>
      <c r="S552">
        <f t="shared" si="987"/>
        <v>-2721.0112195237557</v>
      </c>
      <c r="T552">
        <f t="shared" si="988"/>
        <v>-2.7210112195237559</v>
      </c>
    </row>
    <row r="553" spans="1:20" x14ac:dyDescent="0.25">
      <c r="A553" s="5">
        <v>44040</v>
      </c>
      <c r="B553">
        <v>2.342E-2</v>
      </c>
      <c r="C553">
        <v>2.5190000000000001E-2</v>
      </c>
      <c r="D553">
        <v>2.298E-2</v>
      </c>
      <c r="E553">
        <v>2.4150000000000001E-2</v>
      </c>
      <c r="F553">
        <v>16137597.199999999</v>
      </c>
      <c r="G553">
        <v>0</v>
      </c>
      <c r="L553" t="s">
        <v>8</v>
      </c>
      <c r="M553" t="s">
        <v>8</v>
      </c>
      <c r="N553" t="s">
        <v>8</v>
      </c>
      <c r="P553">
        <f t="shared" si="984"/>
        <v>5.8823529411765448E-2</v>
      </c>
      <c r="Q553">
        <f t="shared" si="985"/>
        <v>949270.42352942366</v>
      </c>
      <c r="R553">
        <f t="shared" si="986"/>
        <v>-264277135.7149772</v>
      </c>
      <c r="S553">
        <f t="shared" si="987"/>
        <v>-2642.771357149772</v>
      </c>
      <c r="T553">
        <f t="shared" si="988"/>
        <v>-2.6427713571497722</v>
      </c>
    </row>
    <row r="554" spans="1:20" x14ac:dyDescent="0.25">
      <c r="A554" s="5">
        <v>44039</v>
      </c>
      <c r="B554">
        <v>2.52E-2</v>
      </c>
      <c r="C554">
        <v>2.588E-2</v>
      </c>
      <c r="D554">
        <v>2.0209999999999999E-2</v>
      </c>
      <c r="E554">
        <v>2.342E-2</v>
      </c>
      <c r="F554">
        <v>55523275.799999997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0.13227513227513235</v>
      </c>
      <c r="Q554">
        <f t="shared" si="985"/>
        <v>7344348.6507936548</v>
      </c>
      <c r="R554">
        <f t="shared" si="986"/>
        <v>-265226406.13850662</v>
      </c>
      <c r="S554">
        <f t="shared" si="987"/>
        <v>-2652.2640613850663</v>
      </c>
      <c r="T554">
        <f t="shared" si="988"/>
        <v>-2.6522640613850661</v>
      </c>
    </row>
    <row r="555" spans="1:20" x14ac:dyDescent="0.25">
      <c r="A555" s="5">
        <v>44038</v>
      </c>
      <c r="B555">
        <v>2.2079999999999999E-2</v>
      </c>
      <c r="C555">
        <v>2.588E-2</v>
      </c>
      <c r="D555">
        <v>2.196E-2</v>
      </c>
      <c r="E555">
        <v>2.5329999999999998E-2</v>
      </c>
      <c r="F555">
        <v>59749967.5</v>
      </c>
      <c r="G555">
        <v>0</v>
      </c>
      <c r="L555" t="s">
        <v>8</v>
      </c>
      <c r="M555" t="s">
        <v>8</v>
      </c>
      <c r="N555" t="s">
        <v>8</v>
      </c>
      <c r="P555">
        <f t="shared" si="984"/>
        <v>0.71938775510203989</v>
      </c>
      <c r="Q555">
        <f t="shared" si="985"/>
        <v>42983394.987244844</v>
      </c>
      <c r="R555">
        <f t="shared" si="986"/>
        <v>-272570754.78930026</v>
      </c>
      <c r="S555">
        <f t="shared" si="987"/>
        <v>-2725.7075478930028</v>
      </c>
      <c r="T555">
        <f t="shared" si="988"/>
        <v>-2.7257075478930028</v>
      </c>
    </row>
    <row r="556" spans="1:20" x14ac:dyDescent="0.25">
      <c r="A556" s="5">
        <v>44037</v>
      </c>
      <c r="B556">
        <v>1.9779999999999999E-2</v>
      </c>
      <c r="C556">
        <v>2.5590000000000002E-2</v>
      </c>
      <c r="D556">
        <v>1.9369999999999998E-2</v>
      </c>
      <c r="E556">
        <v>2.2079999999999999E-2</v>
      </c>
      <c r="F556">
        <v>57431468.899999999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-0.12861736334405172</v>
      </c>
      <c r="Q556">
        <f t="shared" si="985"/>
        <v>-7386684.1028939057</v>
      </c>
      <c r="R556">
        <f t="shared" si="986"/>
        <v>-315554149.77654511</v>
      </c>
      <c r="S556">
        <f t="shared" si="987"/>
        <v>-3155.5414977654509</v>
      </c>
      <c r="T556">
        <f t="shared" si="988"/>
        <v>-3.155541497765451</v>
      </c>
    </row>
    <row r="557" spans="1:20" x14ac:dyDescent="0.25">
      <c r="A557" s="5">
        <v>44036</v>
      </c>
      <c r="B557">
        <v>1.7440000000000001E-2</v>
      </c>
      <c r="C557">
        <v>2.2339999999999999E-2</v>
      </c>
      <c r="D557">
        <v>1.6789999999999999E-2</v>
      </c>
      <c r="E557">
        <v>1.975E-2</v>
      </c>
      <c r="F557">
        <v>60900949.700000003</v>
      </c>
      <c r="G557">
        <v>0</v>
      </c>
      <c r="L557" t="s">
        <v>7</v>
      </c>
      <c r="M557" t="s">
        <v>8</v>
      </c>
      <c r="N557" t="s">
        <v>8</v>
      </c>
      <c r="P557">
        <f t="shared" si="984"/>
        <v>6.6666666666667082E-2</v>
      </c>
      <c r="Q557">
        <f t="shared" si="985"/>
        <v>4060063.3133333586</v>
      </c>
      <c r="R557">
        <f t="shared" si="986"/>
        <v>-308167465.67365122</v>
      </c>
      <c r="S557">
        <f t="shared" si="987"/>
        <v>-3081.6746567365121</v>
      </c>
      <c r="T557">
        <f t="shared" si="988"/>
        <v>-3.0816746567365123</v>
      </c>
    </row>
    <row r="558" spans="1:20" x14ac:dyDescent="0.25">
      <c r="A558" s="5">
        <v>44035</v>
      </c>
      <c r="B558">
        <v>1.7850000000000001E-2</v>
      </c>
      <c r="C558">
        <v>2.0619999999999999E-2</v>
      </c>
      <c r="D558">
        <v>1.7309999999999999E-2</v>
      </c>
      <c r="E558">
        <v>1.7399999999999999E-2</v>
      </c>
      <c r="F558">
        <v>34832862.799999997</v>
      </c>
      <c r="G558">
        <v>0</v>
      </c>
      <c r="L558" t="s">
        <v>7</v>
      </c>
      <c r="M558" t="s">
        <v>7</v>
      </c>
      <c r="N558" t="s">
        <v>8</v>
      </c>
      <c r="P558">
        <f t="shared" si="984"/>
        <v>-0.94561933534743214</v>
      </c>
      <c r="Q558">
        <f t="shared" si="985"/>
        <v>-32938628.569184292</v>
      </c>
      <c r="R558">
        <f t="shared" si="986"/>
        <v>-312227528.98698455</v>
      </c>
      <c r="S558">
        <f t="shared" si="987"/>
        <v>-3122.2752898698454</v>
      </c>
      <c r="T558">
        <f t="shared" si="988"/>
        <v>-3.1222752898698456</v>
      </c>
    </row>
    <row r="559" spans="1:20" x14ac:dyDescent="0.25">
      <c r="A559" s="5">
        <v>44034</v>
      </c>
      <c r="B559">
        <v>1.6400000000000001E-2</v>
      </c>
      <c r="C559">
        <v>2.1999999999999999E-2</v>
      </c>
      <c r="D559">
        <v>1.6E-2</v>
      </c>
      <c r="E559">
        <v>1.7909999999999999E-2</v>
      </c>
      <c r="F559">
        <v>54139771.600000001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-0.36333333333333367</v>
      </c>
      <c r="Q559">
        <f t="shared" si="985"/>
        <v>-19670783.681333352</v>
      </c>
      <c r="R559">
        <f t="shared" si="986"/>
        <v>-279288900.41780025</v>
      </c>
      <c r="S559">
        <f t="shared" si="987"/>
        <v>-2792.8890041780023</v>
      </c>
      <c r="T559">
        <f t="shared" si="988"/>
        <v>-2.7928890041780021</v>
      </c>
    </row>
    <row r="560" spans="1:20" x14ac:dyDescent="0.25">
      <c r="A560" s="5">
        <v>44033</v>
      </c>
      <c r="B560">
        <v>1.525E-2</v>
      </c>
      <c r="C560">
        <v>1.6899999999999998E-2</v>
      </c>
      <c r="D560">
        <v>1.4930000000000001E-2</v>
      </c>
      <c r="E560">
        <v>1.6400000000000001E-2</v>
      </c>
      <c r="F560">
        <v>20579362.199999999</v>
      </c>
      <c r="G560">
        <v>0</v>
      </c>
      <c r="L560" t="s">
        <v>8</v>
      </c>
      <c r="M560" t="s">
        <v>8</v>
      </c>
      <c r="N560" t="s">
        <v>7</v>
      </c>
      <c r="P560">
        <f t="shared" si="984"/>
        <v>0.49238578680203299</v>
      </c>
      <c r="Q560">
        <f t="shared" si="985"/>
        <v>10132985.448731016</v>
      </c>
      <c r="R560">
        <f t="shared" si="986"/>
        <v>-259618116.73646688</v>
      </c>
      <c r="S560">
        <f t="shared" si="987"/>
        <v>-2596.1811673646689</v>
      </c>
      <c r="T560">
        <f t="shared" si="988"/>
        <v>-2.5961811673646689</v>
      </c>
    </row>
    <row r="561" spans="1:104" x14ac:dyDescent="0.25">
      <c r="A561" s="5">
        <v>44032</v>
      </c>
      <c r="B561">
        <v>1.4840000000000001E-2</v>
      </c>
      <c r="C561">
        <v>1.6289999999999999E-2</v>
      </c>
      <c r="D561">
        <v>1.4500000000000001E-2</v>
      </c>
      <c r="E561">
        <v>1.521E-2</v>
      </c>
      <c r="F561">
        <v>16206011.199999999</v>
      </c>
      <c r="G561">
        <v>0</v>
      </c>
      <c r="L561" t="s">
        <v>8</v>
      </c>
      <c r="M561" t="s">
        <v>8</v>
      </c>
      <c r="N561" t="s">
        <v>7</v>
      </c>
      <c r="P561">
        <f t="shared" si="984"/>
        <v>-0.20670391061452564</v>
      </c>
      <c r="Q561">
        <f t="shared" si="985"/>
        <v>-3349845.8905028012</v>
      </c>
      <c r="R561">
        <f t="shared" si="986"/>
        <v>-269751102.18519789</v>
      </c>
      <c r="S561">
        <f t="shared" si="987"/>
        <v>-2697.511021851979</v>
      </c>
      <c r="T561">
        <f t="shared" si="988"/>
        <v>-2.6975110218519789</v>
      </c>
      <c r="CZ561" t="s">
        <v>7</v>
      </c>
    </row>
    <row r="562" spans="1:104" x14ac:dyDescent="0.25">
      <c r="A562" s="5">
        <v>44031</v>
      </c>
      <c r="B562">
        <v>1.4710000000000001E-2</v>
      </c>
      <c r="C562">
        <v>1.504E-2</v>
      </c>
      <c r="D562">
        <v>1.435E-2</v>
      </c>
      <c r="E562">
        <v>1.485E-2</v>
      </c>
      <c r="F562">
        <v>5009779.5</v>
      </c>
      <c r="G562">
        <v>0</v>
      </c>
      <c r="L562" t="s">
        <v>7</v>
      </c>
      <c r="M562" t="s">
        <v>7</v>
      </c>
      <c r="N562" t="s">
        <v>7</v>
      </c>
      <c r="P562">
        <f t="shared" si="984"/>
        <v>0.44927536231884263</v>
      </c>
      <c r="Q562">
        <f t="shared" si="985"/>
        <v>2250770.5000000102</v>
      </c>
      <c r="R562">
        <f t="shared" si="986"/>
        <v>-266401256.29469508</v>
      </c>
      <c r="S562">
        <f t="shared" si="987"/>
        <v>-2664.0125629469508</v>
      </c>
      <c r="T562">
        <f t="shared" si="988"/>
        <v>-2.6640125629469509</v>
      </c>
      <c r="CZ562" t="s">
        <v>7</v>
      </c>
    </row>
    <row r="563" spans="1:104" x14ac:dyDescent="0.25">
      <c r="A563" s="5">
        <v>44030</v>
      </c>
      <c r="B563">
        <v>1.4200000000000001E-2</v>
      </c>
      <c r="C563">
        <v>1.5389999999999999E-2</v>
      </c>
      <c r="D563">
        <v>1.388E-2</v>
      </c>
      <c r="E563">
        <v>1.469E-2</v>
      </c>
      <c r="F563">
        <v>15702123.1</v>
      </c>
      <c r="G563">
        <v>0</v>
      </c>
      <c r="L563" t="s">
        <v>8</v>
      </c>
      <c r="M563" t="s">
        <v>7</v>
      </c>
      <c r="N563" t="s">
        <v>7</v>
      </c>
      <c r="P563">
        <f t="shared" si="984"/>
        <v>7.2847682119205809E-2</v>
      </c>
      <c r="Q563">
        <f t="shared" si="985"/>
        <v>1143863.2721854385</v>
      </c>
      <c r="R563">
        <f t="shared" si="986"/>
        <v>-268652026.79469508</v>
      </c>
      <c r="S563">
        <f t="shared" si="987"/>
        <v>-2686.5202679469508</v>
      </c>
      <c r="T563">
        <f t="shared" si="988"/>
        <v>-2.6865202679469506</v>
      </c>
      <c r="CZ563" t="s">
        <v>7</v>
      </c>
    </row>
    <row r="564" spans="1:104" x14ac:dyDescent="0.25">
      <c r="A564" s="5">
        <v>44029</v>
      </c>
      <c r="B564">
        <v>1.421E-2</v>
      </c>
      <c r="C564">
        <v>1.464E-2</v>
      </c>
      <c r="D564">
        <v>1.389E-2</v>
      </c>
      <c r="E564">
        <v>1.421E-2</v>
      </c>
      <c r="F564">
        <v>6653151.4000000004</v>
      </c>
      <c r="G564">
        <v>0</v>
      </c>
      <c r="L564" t="s">
        <v>7</v>
      </c>
      <c r="M564" t="s">
        <v>7</v>
      </c>
      <c r="N564" t="s">
        <v>7</v>
      </c>
      <c r="P564">
        <f t="shared" si="984"/>
        <v>-0.1466666666666652</v>
      </c>
      <c r="Q564">
        <f t="shared" si="985"/>
        <v>-975795.53866665694</v>
      </c>
      <c r="R564">
        <f t="shared" si="986"/>
        <v>-269795890.06688052</v>
      </c>
      <c r="S564">
        <f t="shared" si="987"/>
        <v>-2697.9589006688052</v>
      </c>
      <c r="T564">
        <f t="shared" si="988"/>
        <v>-2.6979589006688052</v>
      </c>
    </row>
    <row r="565" spans="1:104" x14ac:dyDescent="0.25">
      <c r="A565" s="5">
        <v>44028</v>
      </c>
      <c r="B565">
        <v>1.4670000000000001E-2</v>
      </c>
      <c r="C565">
        <v>1.499E-2</v>
      </c>
      <c r="D565">
        <v>1.3610000000000001E-2</v>
      </c>
      <c r="E565">
        <v>1.421E-2</v>
      </c>
      <c r="F565">
        <v>11244422.800000001</v>
      </c>
      <c r="G565">
        <v>0</v>
      </c>
      <c r="L565" t="s">
        <v>7</v>
      </c>
      <c r="M565" t="s">
        <v>7</v>
      </c>
      <c r="N565" t="s">
        <v>7</v>
      </c>
      <c r="P565">
        <f t="shared" si="984"/>
        <v>-0.13043478260869543</v>
      </c>
      <c r="Q565">
        <f t="shared" si="985"/>
        <v>-1466663.8434782585</v>
      </c>
      <c r="R565">
        <f t="shared" si="986"/>
        <v>-268820094.52821386</v>
      </c>
      <c r="S565">
        <f t="shared" si="987"/>
        <v>-2688.2009452821385</v>
      </c>
      <c r="T565">
        <f t="shared" si="988"/>
        <v>-2.6882009452821385</v>
      </c>
    </row>
    <row r="566" spans="1:104" x14ac:dyDescent="0.25">
      <c r="A566" s="5">
        <v>44027</v>
      </c>
      <c r="B566">
        <v>1.4919999999999999E-2</v>
      </c>
      <c r="C566">
        <v>1.503E-2</v>
      </c>
      <c r="D566">
        <v>1.455E-2</v>
      </c>
      <c r="E566">
        <v>1.4670000000000001E-2</v>
      </c>
      <c r="F566">
        <v>5114261.9000000004</v>
      </c>
      <c r="G566">
        <v>0</v>
      </c>
      <c r="L566" t="s">
        <v>7</v>
      </c>
      <c r="M566" t="s">
        <v>8</v>
      </c>
      <c r="N566" t="s">
        <v>7</v>
      </c>
      <c r="P566">
        <f t="shared" si="984"/>
        <v>-0.49999999999999817</v>
      </c>
      <c r="Q566">
        <f t="shared" si="985"/>
        <v>-2557130.9499999909</v>
      </c>
      <c r="R566">
        <f t="shared" si="986"/>
        <v>-267353430.6847356</v>
      </c>
      <c r="S566">
        <f t="shared" si="987"/>
        <v>-2673.5343068473558</v>
      </c>
      <c r="T566">
        <f t="shared" si="988"/>
        <v>-2.6735343068473556</v>
      </c>
    </row>
    <row r="567" spans="1:104" x14ac:dyDescent="0.25">
      <c r="A567" s="5">
        <v>44026</v>
      </c>
      <c r="B567">
        <v>1.5129999999999999E-2</v>
      </c>
      <c r="C567">
        <v>1.525E-2</v>
      </c>
      <c r="D567">
        <v>1.447E-2</v>
      </c>
      <c r="E567">
        <v>1.495E-2</v>
      </c>
      <c r="F567">
        <v>5524039</v>
      </c>
      <c r="G567">
        <v>0</v>
      </c>
      <c r="L567" t="s">
        <v>7</v>
      </c>
      <c r="M567" t="s">
        <v>8</v>
      </c>
      <c r="N567" t="s">
        <v>7</v>
      </c>
      <c r="P567">
        <f t="shared" si="984"/>
        <v>0.23076923076923042</v>
      </c>
      <c r="Q567">
        <f t="shared" si="985"/>
        <v>1274778.2307692289</v>
      </c>
      <c r="R567">
        <f t="shared" si="986"/>
        <v>-264796299.73473561</v>
      </c>
      <c r="S567">
        <f t="shared" si="987"/>
        <v>-2647.9629973473561</v>
      </c>
      <c r="T567">
        <f t="shared" si="988"/>
        <v>-2.647962997347356</v>
      </c>
    </row>
    <row r="568" spans="1:104" x14ac:dyDescent="0.25">
      <c r="A568" s="5">
        <v>44025</v>
      </c>
      <c r="B568">
        <v>1.5990000000000001E-2</v>
      </c>
      <c r="C568">
        <v>1.6E-2</v>
      </c>
      <c r="D568">
        <v>1.487E-2</v>
      </c>
      <c r="E568">
        <v>1.506E-2</v>
      </c>
      <c r="F568">
        <v>5756856.7000000002</v>
      </c>
      <c r="G568">
        <v>0</v>
      </c>
      <c r="L568" t="s">
        <v>7</v>
      </c>
      <c r="M568" t="s">
        <v>8</v>
      </c>
      <c r="N568" t="s">
        <v>7</v>
      </c>
      <c r="P568">
        <f t="shared" si="984"/>
        <v>-0.66371681415929062</v>
      </c>
      <c r="Q568">
        <f t="shared" si="985"/>
        <v>-3820922.5884955674</v>
      </c>
      <c r="R568">
        <f t="shared" si="986"/>
        <v>-266071077.96550483</v>
      </c>
      <c r="S568">
        <f t="shared" si="987"/>
        <v>-2660.7107796550481</v>
      </c>
      <c r="T568">
        <f t="shared" si="988"/>
        <v>-2.660710779655048</v>
      </c>
    </row>
    <row r="569" spans="1:104" x14ac:dyDescent="0.25">
      <c r="A569" s="5">
        <v>44024</v>
      </c>
      <c r="B569">
        <v>1.5910000000000001E-2</v>
      </c>
      <c r="C569">
        <v>1.644E-2</v>
      </c>
      <c r="D569">
        <v>1.5559999999999999E-2</v>
      </c>
      <c r="E569">
        <v>1.5910000000000001E-2</v>
      </c>
      <c r="F569">
        <v>6640530.4000000004</v>
      </c>
      <c r="G569">
        <v>0</v>
      </c>
      <c r="L569" t="s">
        <v>7</v>
      </c>
      <c r="M569" t="s">
        <v>8</v>
      </c>
      <c r="N569" t="s">
        <v>7</v>
      </c>
      <c r="P569">
        <f t="shared" si="984"/>
        <v>-0.204545454545452</v>
      </c>
      <c r="Q569">
        <f t="shared" si="985"/>
        <v>-1358290.3090908923</v>
      </c>
      <c r="R569">
        <f t="shared" si="986"/>
        <v>-262250155.37700927</v>
      </c>
      <c r="S569">
        <f t="shared" si="987"/>
        <v>-2622.5015537700929</v>
      </c>
      <c r="T569">
        <f t="shared" si="988"/>
        <v>-2.6225015537700931</v>
      </c>
    </row>
    <row r="570" spans="1:104" x14ac:dyDescent="0.25">
      <c r="A570" s="5">
        <v>44023</v>
      </c>
      <c r="B570">
        <v>1.536E-2</v>
      </c>
      <c r="C570">
        <v>1.6660000000000001E-2</v>
      </c>
      <c r="D570">
        <v>1.532E-2</v>
      </c>
      <c r="E570">
        <v>1.5900000000000001E-2</v>
      </c>
      <c r="F570">
        <v>12188056.199999999</v>
      </c>
      <c r="G570">
        <v>0</v>
      </c>
      <c r="L570" t="s">
        <v>8</v>
      </c>
      <c r="M570" t="s">
        <v>8</v>
      </c>
      <c r="N570" t="s">
        <v>7</v>
      </c>
      <c r="P570">
        <f t="shared" si="984"/>
        <v>-0.13432835820895483</v>
      </c>
      <c r="Q570">
        <f t="shared" si="985"/>
        <v>-1637201.5791044727</v>
      </c>
      <c r="R570">
        <f t="shared" si="986"/>
        <v>-260891865.06791839</v>
      </c>
      <c r="S570">
        <f t="shared" si="987"/>
        <v>-2608.9186506791839</v>
      </c>
      <c r="T570">
        <f t="shared" si="988"/>
        <v>-2.6089186506791839</v>
      </c>
    </row>
    <row r="571" spans="1:104" x14ac:dyDescent="0.25">
      <c r="A571" s="5">
        <v>44022</v>
      </c>
      <c r="B571">
        <v>1.52E-2</v>
      </c>
      <c r="C571">
        <v>1.562E-2</v>
      </c>
      <c r="D571">
        <v>1.5010000000000001E-2</v>
      </c>
      <c r="E571">
        <v>1.5299999999999999E-2</v>
      </c>
      <c r="F571">
        <v>5499710.7000000002</v>
      </c>
      <c r="G571">
        <v>0</v>
      </c>
      <c r="L571" t="s">
        <v>7</v>
      </c>
      <c r="M571" t="s">
        <v>8</v>
      </c>
      <c r="N571" t="s">
        <v>7</v>
      </c>
      <c r="P571">
        <f t="shared" si="984"/>
        <v>-4.9180327868856191E-2</v>
      </c>
      <c r="Q571">
        <f t="shared" si="985"/>
        <v>-270477.57540985662</v>
      </c>
      <c r="R571">
        <f t="shared" si="986"/>
        <v>-259254663.48881391</v>
      </c>
      <c r="S571">
        <f t="shared" si="987"/>
        <v>-2592.5466348881391</v>
      </c>
      <c r="T571">
        <f t="shared" si="988"/>
        <v>-2.592546634888139</v>
      </c>
    </row>
    <row r="572" spans="1:104" x14ac:dyDescent="0.25">
      <c r="A572" s="5">
        <v>44021</v>
      </c>
      <c r="B572">
        <v>1.5689999999999999E-2</v>
      </c>
      <c r="C572">
        <v>1.5970000000000002E-2</v>
      </c>
      <c r="D572">
        <v>1.4760000000000001E-2</v>
      </c>
      <c r="E572">
        <v>1.519E-2</v>
      </c>
      <c r="F572">
        <v>6768254.9000000004</v>
      </c>
      <c r="G572">
        <v>0</v>
      </c>
      <c r="L572" t="s">
        <v>8</v>
      </c>
      <c r="M572" t="s">
        <v>8</v>
      </c>
      <c r="N572" t="s">
        <v>7</v>
      </c>
      <c r="P572">
        <f t="shared" si="984"/>
        <v>-0.28925619834710831</v>
      </c>
      <c r="Q572">
        <f t="shared" si="985"/>
        <v>-1957759.6818181877</v>
      </c>
      <c r="R572">
        <f t="shared" si="986"/>
        <v>-258984185.91340405</v>
      </c>
      <c r="S572">
        <f t="shared" si="987"/>
        <v>-2589.8418591340405</v>
      </c>
      <c r="T572">
        <f t="shared" si="988"/>
        <v>-2.5898418591340406</v>
      </c>
    </row>
    <row r="573" spans="1:104" x14ac:dyDescent="0.25">
      <c r="A573" s="5">
        <v>44020</v>
      </c>
      <c r="B573">
        <v>1.4959999999999999E-2</v>
      </c>
      <c r="C573">
        <v>1.5789999999999998E-2</v>
      </c>
      <c r="D573">
        <v>1.486E-2</v>
      </c>
      <c r="E573">
        <v>1.576E-2</v>
      </c>
      <c r="F573">
        <v>4947263.3</v>
      </c>
      <c r="G573">
        <v>0</v>
      </c>
      <c r="L573" t="s">
        <v>8</v>
      </c>
      <c r="M573" t="s">
        <v>8</v>
      </c>
      <c r="N573" t="s">
        <v>7</v>
      </c>
      <c r="P573">
        <f t="shared" si="984"/>
        <v>0.93548387096774444</v>
      </c>
      <c r="Q573">
        <f t="shared" si="985"/>
        <v>4628085.0225806572</v>
      </c>
      <c r="R573">
        <f t="shared" si="986"/>
        <v>-257026426.23158586</v>
      </c>
      <c r="S573">
        <f t="shared" si="987"/>
        <v>-2570.2642623158586</v>
      </c>
      <c r="T573">
        <f t="shared" si="988"/>
        <v>-2.5702642623158587</v>
      </c>
    </row>
    <row r="574" spans="1:104" x14ac:dyDescent="0.25">
      <c r="A574" s="5">
        <v>44019</v>
      </c>
      <c r="B574">
        <v>1.4999999999999999E-2</v>
      </c>
      <c r="C574">
        <v>1.5089999999999999E-2</v>
      </c>
      <c r="D574">
        <v>1.456E-2</v>
      </c>
      <c r="E574">
        <v>1.489E-2</v>
      </c>
      <c r="F574">
        <v>4193811.4</v>
      </c>
      <c r="G574">
        <v>0</v>
      </c>
      <c r="L574" t="s">
        <v>8</v>
      </c>
      <c r="M574" t="s">
        <v>8</v>
      </c>
      <c r="N574" t="s">
        <v>7</v>
      </c>
      <c r="P574">
        <f t="shared" si="984"/>
        <v>0.245283018867928</v>
      </c>
      <c r="Q574">
        <f t="shared" si="985"/>
        <v>1028670.7207547316</v>
      </c>
      <c r="R574">
        <f t="shared" si="986"/>
        <v>-261654511.25416651</v>
      </c>
      <c r="S574">
        <f t="shared" si="987"/>
        <v>-2616.5451125416653</v>
      </c>
      <c r="T574">
        <f t="shared" si="988"/>
        <v>-2.6165451125416652</v>
      </c>
    </row>
    <row r="575" spans="1:104" x14ac:dyDescent="0.25">
      <c r="A575" s="5">
        <v>44018</v>
      </c>
      <c r="B575">
        <v>1.4449999999999999E-2</v>
      </c>
      <c r="C575">
        <v>1.525E-2</v>
      </c>
      <c r="D575">
        <v>1.444E-2</v>
      </c>
      <c r="E575">
        <v>1.5129999999999999E-2</v>
      </c>
      <c r="F575">
        <v>4218143</v>
      </c>
      <c r="G575">
        <v>0</v>
      </c>
      <c r="L575" t="s">
        <v>8</v>
      </c>
      <c r="M575" t="s">
        <v>8</v>
      </c>
      <c r="N575" t="s">
        <v>7</v>
      </c>
      <c r="P575">
        <f t="shared" si="984"/>
        <v>0.70370370370370294</v>
      </c>
      <c r="Q575">
        <f t="shared" si="985"/>
        <v>2968322.8518518484</v>
      </c>
      <c r="R575">
        <f t="shared" si="986"/>
        <v>-262683181.97492126</v>
      </c>
      <c r="S575">
        <f t="shared" si="987"/>
        <v>-2626.8318197492126</v>
      </c>
      <c r="T575">
        <f t="shared" si="988"/>
        <v>-2.6268318197492126</v>
      </c>
    </row>
    <row r="576" spans="1:104" x14ac:dyDescent="0.25">
      <c r="A576" s="5">
        <v>44017</v>
      </c>
      <c r="B576">
        <v>1.474E-2</v>
      </c>
      <c r="C576">
        <v>1.495E-2</v>
      </c>
      <c r="D576">
        <v>1.414E-2</v>
      </c>
      <c r="E576">
        <v>1.4460000000000001E-2</v>
      </c>
      <c r="F576">
        <v>4334509.4000000004</v>
      </c>
      <c r="G576">
        <v>0</v>
      </c>
      <c r="L576" t="s">
        <v>7</v>
      </c>
      <c r="M576" t="s">
        <v>8</v>
      </c>
      <c r="N576" t="s">
        <v>7</v>
      </c>
      <c r="P576">
        <f t="shared" si="984"/>
        <v>-0.20987654320987442</v>
      </c>
      <c r="Q576">
        <f t="shared" si="985"/>
        <v>-909711.84938270692</v>
      </c>
      <c r="R576">
        <f t="shared" si="986"/>
        <v>-265651504.82677311</v>
      </c>
      <c r="S576">
        <f t="shared" si="987"/>
        <v>-2656.5150482677309</v>
      </c>
      <c r="T576">
        <f t="shared" si="988"/>
        <v>-2.6565150482677309</v>
      </c>
    </row>
    <row r="577" spans="1:20" x14ac:dyDescent="0.25">
      <c r="A577" s="5">
        <v>44016</v>
      </c>
      <c r="B577">
        <v>1.481E-2</v>
      </c>
      <c r="C577">
        <v>1.482E-2</v>
      </c>
      <c r="D577">
        <v>1.44E-2</v>
      </c>
      <c r="E577">
        <v>1.4749999999999999E-2</v>
      </c>
      <c r="F577">
        <v>2844660.6</v>
      </c>
      <c r="G577">
        <v>0</v>
      </c>
      <c r="L577" t="s">
        <v>7</v>
      </c>
      <c r="M577" t="s">
        <v>8</v>
      </c>
      <c r="N577" t="s">
        <v>7</v>
      </c>
      <c r="P577">
        <f t="shared" si="984"/>
        <v>0.66666666666666397</v>
      </c>
      <c r="Q577">
        <f t="shared" si="985"/>
        <v>1896440.3999999925</v>
      </c>
      <c r="R577">
        <f t="shared" si="986"/>
        <v>-264741792.97739041</v>
      </c>
      <c r="S577">
        <f t="shared" si="987"/>
        <v>-2647.4179297739042</v>
      </c>
      <c r="T577">
        <f t="shared" si="988"/>
        <v>-2.6474179297739044</v>
      </c>
    </row>
    <row r="578" spans="1:20" x14ac:dyDescent="0.25">
      <c r="A578" s="5">
        <v>44015</v>
      </c>
      <c r="B578">
        <v>1.46E-2</v>
      </c>
      <c r="C578">
        <v>1.538E-2</v>
      </c>
      <c r="D578">
        <v>1.443E-2</v>
      </c>
      <c r="E578">
        <v>1.474E-2</v>
      </c>
      <c r="F578">
        <v>7770577.9000000004</v>
      </c>
      <c r="G578">
        <v>0</v>
      </c>
      <c r="L578" t="s">
        <v>7</v>
      </c>
      <c r="M578" t="s">
        <v>8</v>
      </c>
      <c r="N578" t="s">
        <v>7</v>
      </c>
      <c r="P578">
        <f t="shared" si="984"/>
        <v>-0.34736842105263221</v>
      </c>
      <c r="Q578">
        <f t="shared" si="985"/>
        <v>-2699253.3757894789</v>
      </c>
      <c r="R578">
        <f t="shared" si="986"/>
        <v>-266638233.37739041</v>
      </c>
      <c r="S578">
        <f t="shared" si="987"/>
        <v>-2666.3823337739041</v>
      </c>
      <c r="T578">
        <f t="shared" si="988"/>
        <v>-2.6663823337739041</v>
      </c>
    </row>
    <row r="579" spans="1:20" x14ac:dyDescent="0.25">
      <c r="A579" s="5">
        <v>44014</v>
      </c>
      <c r="B579">
        <v>1.4200000000000001E-2</v>
      </c>
      <c r="C579">
        <v>1.602E-2</v>
      </c>
      <c r="D579">
        <v>1.405E-2</v>
      </c>
      <c r="E579">
        <v>1.46E-2</v>
      </c>
      <c r="F579">
        <v>12627370.6</v>
      </c>
      <c r="G579">
        <v>0</v>
      </c>
      <c r="L579" t="s">
        <v>8</v>
      </c>
      <c r="M579" t="s">
        <v>8</v>
      </c>
      <c r="N579" t="s">
        <v>7</v>
      </c>
      <c r="P579">
        <f t="shared" si="984"/>
        <v>-0.44162436548223322</v>
      </c>
      <c r="Q579">
        <f t="shared" si="985"/>
        <v>-5576554.5289340066</v>
      </c>
      <c r="R579">
        <f t="shared" si="986"/>
        <v>-263938980.00160092</v>
      </c>
      <c r="S579">
        <f t="shared" si="987"/>
        <v>-2639.3898000160093</v>
      </c>
      <c r="T579">
        <f t="shared" si="988"/>
        <v>-2.6393898000160094</v>
      </c>
    </row>
    <row r="580" spans="1:20" x14ac:dyDescent="0.25">
      <c r="A580" s="5">
        <v>44013</v>
      </c>
      <c r="B580">
        <v>1.4540000000000001E-2</v>
      </c>
      <c r="C580">
        <v>1.4540000000000001E-2</v>
      </c>
      <c r="D580">
        <v>1.4069999999999999E-2</v>
      </c>
      <c r="E580">
        <v>1.421E-2</v>
      </c>
      <c r="F580">
        <v>2348624.2999999998</v>
      </c>
      <c r="G580">
        <v>0</v>
      </c>
      <c r="L580" t="s">
        <v>7</v>
      </c>
      <c r="M580" t="s">
        <v>8</v>
      </c>
      <c r="N580" t="s">
        <v>7</v>
      </c>
      <c r="P580">
        <f t="shared" si="984"/>
        <v>-0.40425531914893303</v>
      </c>
      <c r="Q580">
        <f t="shared" si="985"/>
        <v>-949443.86595743941</v>
      </c>
      <c r="R580">
        <f t="shared" si="986"/>
        <v>-258362425.47266692</v>
      </c>
      <c r="S580">
        <f t="shared" si="987"/>
        <v>-2583.6242547266693</v>
      </c>
      <c r="T580">
        <f t="shared" si="988"/>
        <v>-2.5836242547266695</v>
      </c>
    </row>
    <row r="581" spans="1:20" x14ac:dyDescent="0.25">
      <c r="A581" s="5">
        <v>44012</v>
      </c>
      <c r="B581">
        <v>1.481E-2</v>
      </c>
      <c r="C581">
        <v>1.516E-2</v>
      </c>
      <c r="D581">
        <v>1.4239999999999999E-2</v>
      </c>
      <c r="E581">
        <v>1.447E-2</v>
      </c>
      <c r="F581">
        <v>2521690.9</v>
      </c>
      <c r="G581">
        <v>0</v>
      </c>
      <c r="L581" t="s">
        <v>8</v>
      </c>
      <c r="M581" t="s">
        <v>8</v>
      </c>
      <c r="N581" t="s">
        <v>7</v>
      </c>
      <c r="P581">
        <f t="shared" si="984"/>
        <v>-0.49999999999999811</v>
      </c>
      <c r="Q581">
        <f t="shared" si="985"/>
        <v>-1260845.4499999953</v>
      </c>
      <c r="R581">
        <f t="shared" si="986"/>
        <v>-257412981.60670948</v>
      </c>
      <c r="S581">
        <f t="shared" si="987"/>
        <v>-2574.1298160670949</v>
      </c>
      <c r="T581">
        <f t="shared" si="988"/>
        <v>-2.5741298160670949</v>
      </c>
    </row>
    <row r="582" spans="1:20" x14ac:dyDescent="0.25">
      <c r="A582" s="5">
        <v>44011</v>
      </c>
      <c r="B582">
        <v>1.457E-2</v>
      </c>
      <c r="C582">
        <v>1.49E-2</v>
      </c>
      <c r="D582">
        <v>1.435E-2</v>
      </c>
      <c r="E582">
        <v>1.4760000000000001E-2</v>
      </c>
      <c r="F582">
        <v>2791218.1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0.49090909090909285</v>
      </c>
      <c r="Q582">
        <f t="shared" ref="Q582:Q645" si="990">F582*P582</f>
        <v>1370234.3400000054</v>
      </c>
      <c r="R582">
        <f t="shared" ref="R582:R645" si="991">R583+Q582</f>
        <v>-256152136.15670949</v>
      </c>
      <c r="S582">
        <f t="shared" ref="S582:S645" si="992">R582/100000</f>
        <v>-2561.521361567095</v>
      </c>
      <c r="T582">
        <f t="shared" ref="T582:T645" si="993">S582/1000</f>
        <v>-2.5615213615670949</v>
      </c>
    </row>
    <row r="583" spans="1:20" x14ac:dyDescent="0.25">
      <c r="A583" s="5">
        <v>44010</v>
      </c>
      <c r="B583">
        <v>1.43E-2</v>
      </c>
      <c r="C583">
        <v>1.494E-2</v>
      </c>
      <c r="D583">
        <v>1.389E-2</v>
      </c>
      <c r="E583">
        <v>1.452E-2</v>
      </c>
      <c r="F583">
        <v>3731865.2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0.2</v>
      </c>
      <c r="Q583">
        <f t="shared" si="990"/>
        <v>746373.04</v>
      </c>
      <c r="R583">
        <f t="shared" si="991"/>
        <v>-257522370.4967095</v>
      </c>
      <c r="S583">
        <f t="shared" si="992"/>
        <v>-2575.2237049670948</v>
      </c>
      <c r="T583">
        <f t="shared" si="993"/>
        <v>-2.5752237049670947</v>
      </c>
    </row>
    <row r="584" spans="1:20" x14ac:dyDescent="0.25">
      <c r="A584" s="5">
        <v>44009</v>
      </c>
      <c r="B584">
        <v>1.6199999999999999E-2</v>
      </c>
      <c r="C584">
        <v>1.6279999999999999E-2</v>
      </c>
      <c r="D584">
        <v>1.2800000000000001E-2</v>
      </c>
      <c r="E584">
        <v>1.43E-2</v>
      </c>
      <c r="F584">
        <v>13530677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-0.13793103448275854</v>
      </c>
      <c r="Q584">
        <f t="shared" si="990"/>
        <v>-1866300.2758620677</v>
      </c>
      <c r="R584">
        <f t="shared" si="991"/>
        <v>-258268743.53670949</v>
      </c>
      <c r="S584">
        <f t="shared" si="992"/>
        <v>-2582.6874353670951</v>
      </c>
      <c r="T584">
        <f t="shared" si="993"/>
        <v>-2.5826874353670952</v>
      </c>
    </row>
    <row r="585" spans="1:20" x14ac:dyDescent="0.25">
      <c r="A585" s="5">
        <v>44008</v>
      </c>
      <c r="B585">
        <v>1.736E-2</v>
      </c>
      <c r="C585">
        <v>1.736E-2</v>
      </c>
      <c r="D585">
        <v>1.554E-2</v>
      </c>
      <c r="E585">
        <v>1.6250000000000001E-2</v>
      </c>
      <c r="F585">
        <v>14010853.6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-0.21978021978021936</v>
      </c>
      <c r="Q585">
        <f t="shared" si="990"/>
        <v>-3079308.4835164775</v>
      </c>
      <c r="R585">
        <f t="shared" si="991"/>
        <v>-256402443.26084742</v>
      </c>
      <c r="S585">
        <f t="shared" si="992"/>
        <v>-2564.0244326084744</v>
      </c>
      <c r="T585">
        <f t="shared" si="993"/>
        <v>-2.5640244326084742</v>
      </c>
    </row>
    <row r="586" spans="1:20" x14ac:dyDescent="0.25">
      <c r="A586" s="5">
        <v>44007</v>
      </c>
      <c r="B586">
        <v>1.6879999999999999E-2</v>
      </c>
      <c r="C586">
        <v>1.8499999999999999E-2</v>
      </c>
      <c r="D586">
        <v>1.6840000000000001E-2</v>
      </c>
      <c r="E586">
        <v>1.7250000000000001E-2</v>
      </c>
      <c r="F586">
        <v>16749711.9</v>
      </c>
      <c r="G586">
        <v>0</v>
      </c>
      <c r="L586" t="s">
        <v>8</v>
      </c>
      <c r="M586" t="s">
        <v>8</v>
      </c>
      <c r="N586" t="s">
        <v>8</v>
      </c>
      <c r="P586">
        <f t="shared" si="989"/>
        <v>-0.50602409638554091</v>
      </c>
      <c r="Q586">
        <f t="shared" si="990"/>
        <v>-8475757.8289156426</v>
      </c>
      <c r="R586">
        <f t="shared" si="991"/>
        <v>-253323134.77733094</v>
      </c>
      <c r="S586">
        <f t="shared" si="992"/>
        <v>-2533.2313477733092</v>
      </c>
      <c r="T586">
        <f t="shared" si="993"/>
        <v>-2.5332313477733091</v>
      </c>
    </row>
    <row r="587" spans="1:20" x14ac:dyDescent="0.25">
      <c r="A587" s="5">
        <v>44006</v>
      </c>
      <c r="B587">
        <v>1.7409999999999998E-2</v>
      </c>
      <c r="C587">
        <v>1.771E-2</v>
      </c>
      <c r="D587">
        <v>1.5859999999999999E-2</v>
      </c>
      <c r="E587">
        <v>1.6889999999999999E-2</v>
      </c>
      <c r="F587">
        <v>8806370.9000000004</v>
      </c>
      <c r="G587">
        <v>0</v>
      </c>
      <c r="L587" t="s">
        <v>7</v>
      </c>
      <c r="M587" t="s">
        <v>8</v>
      </c>
      <c r="N587" t="s">
        <v>8</v>
      </c>
      <c r="P587">
        <f t="shared" si="989"/>
        <v>0.11351351351351258</v>
      </c>
      <c r="Q587">
        <f t="shared" si="990"/>
        <v>999642.10216215393</v>
      </c>
      <c r="R587">
        <f t="shared" si="991"/>
        <v>-244847376.94841528</v>
      </c>
      <c r="S587">
        <f t="shared" si="992"/>
        <v>-2448.4737694841529</v>
      </c>
      <c r="T587">
        <f t="shared" si="993"/>
        <v>-2.4484737694841527</v>
      </c>
    </row>
    <row r="588" spans="1:20" x14ac:dyDescent="0.25">
      <c r="A588" s="5">
        <v>44005</v>
      </c>
      <c r="B588">
        <v>1.6959999999999999E-2</v>
      </c>
      <c r="C588">
        <v>1.7770000000000001E-2</v>
      </c>
      <c r="D588">
        <v>1.6760000000000001E-2</v>
      </c>
      <c r="E588">
        <v>1.7409999999999998E-2</v>
      </c>
      <c r="F588">
        <v>5595432.4000000004</v>
      </c>
      <c r="G588">
        <v>0</v>
      </c>
      <c r="L588" t="s">
        <v>7</v>
      </c>
      <c r="M588" t="s">
        <v>8</v>
      </c>
      <c r="N588" t="s">
        <v>8</v>
      </c>
      <c r="P588">
        <f t="shared" si="989"/>
        <v>0.28712871287128217</v>
      </c>
      <c r="Q588">
        <f t="shared" si="990"/>
        <v>1606609.3029702695</v>
      </c>
      <c r="R588">
        <f t="shared" si="991"/>
        <v>-245847019.05057743</v>
      </c>
      <c r="S588">
        <f t="shared" si="992"/>
        <v>-2458.4701905057741</v>
      </c>
      <c r="T588">
        <f t="shared" si="993"/>
        <v>-2.458470190505774</v>
      </c>
    </row>
    <row r="589" spans="1:20" x14ac:dyDescent="0.25">
      <c r="A589" s="5">
        <v>44004</v>
      </c>
      <c r="B589">
        <v>1.7330000000000002E-2</v>
      </c>
      <c r="C589">
        <v>1.78E-2</v>
      </c>
      <c r="D589">
        <v>1.6629999999999999E-2</v>
      </c>
      <c r="E589">
        <v>1.685E-2</v>
      </c>
      <c r="F589">
        <v>6333850.9000000004</v>
      </c>
      <c r="G589">
        <v>0</v>
      </c>
      <c r="L589" t="s">
        <v>7</v>
      </c>
      <c r="M589" t="s">
        <v>8</v>
      </c>
      <c r="N589" t="s">
        <v>8</v>
      </c>
      <c r="P589">
        <f t="shared" si="989"/>
        <v>-0.62393162393162171</v>
      </c>
      <c r="Q589">
        <f t="shared" si="990"/>
        <v>-3951889.8777777641</v>
      </c>
      <c r="R589">
        <f t="shared" si="991"/>
        <v>-247453628.35354769</v>
      </c>
      <c r="S589">
        <f t="shared" si="992"/>
        <v>-2474.5362835354767</v>
      </c>
      <c r="T589">
        <f t="shared" si="993"/>
        <v>-2.4745362835354769</v>
      </c>
    </row>
    <row r="590" spans="1:20" x14ac:dyDescent="0.25">
      <c r="A590" s="5">
        <v>44003</v>
      </c>
      <c r="B590">
        <v>1.7139999999999999E-2</v>
      </c>
      <c r="C590">
        <v>1.797E-2</v>
      </c>
      <c r="D590">
        <v>1.712E-2</v>
      </c>
      <c r="E590">
        <v>1.7330000000000002E-2</v>
      </c>
      <c r="F590">
        <v>3909763.7</v>
      </c>
      <c r="G590">
        <v>0</v>
      </c>
      <c r="L590" t="s">
        <v>8</v>
      </c>
      <c r="M590" t="s">
        <v>8</v>
      </c>
      <c r="N590" t="s">
        <v>8</v>
      </c>
      <c r="P590">
        <f t="shared" si="989"/>
        <v>-0.50588235294117212</v>
      </c>
      <c r="Q590">
        <f t="shared" si="990"/>
        <v>-1977880.4599999832</v>
      </c>
      <c r="R590">
        <f t="shared" si="991"/>
        <v>-243501738.47576994</v>
      </c>
      <c r="S590">
        <f t="shared" si="992"/>
        <v>-2435.0173847576993</v>
      </c>
      <c r="T590">
        <f t="shared" si="993"/>
        <v>-2.4350173847576992</v>
      </c>
    </row>
    <row r="591" spans="1:20" x14ac:dyDescent="0.25">
      <c r="A591" s="5">
        <v>44002</v>
      </c>
      <c r="B591">
        <v>1.7500000000000002E-2</v>
      </c>
      <c r="C591">
        <v>1.814E-2</v>
      </c>
      <c r="D591">
        <v>1.6729999999999998E-2</v>
      </c>
      <c r="E591">
        <v>1.7100000000000001E-2</v>
      </c>
      <c r="F591">
        <v>4729281.5999999996</v>
      </c>
      <c r="G591">
        <v>0</v>
      </c>
      <c r="L591" t="s">
        <v>8</v>
      </c>
      <c r="M591" t="s">
        <v>8</v>
      </c>
      <c r="N591" t="s">
        <v>8</v>
      </c>
      <c r="P591">
        <f t="shared" si="989"/>
        <v>-0.47517730496453636</v>
      </c>
      <c r="Q591">
        <f t="shared" si="990"/>
        <v>-2247247.2851063702</v>
      </c>
      <c r="R591">
        <f t="shared" si="991"/>
        <v>-241523858.01576996</v>
      </c>
      <c r="S591">
        <f t="shared" si="992"/>
        <v>-2415.2385801576997</v>
      </c>
      <c r="T591">
        <f t="shared" si="993"/>
        <v>-2.4152385801576997</v>
      </c>
    </row>
    <row r="592" spans="1:20" x14ac:dyDescent="0.25">
      <c r="A592" s="5">
        <v>44001</v>
      </c>
      <c r="B592">
        <v>1.72E-2</v>
      </c>
      <c r="C592">
        <v>1.821E-2</v>
      </c>
      <c r="D592">
        <v>1.6060000000000001E-2</v>
      </c>
      <c r="E592">
        <v>1.755E-2</v>
      </c>
      <c r="F592">
        <v>14475147.699999999</v>
      </c>
      <c r="G592">
        <v>0</v>
      </c>
      <c r="L592" t="s">
        <v>7</v>
      </c>
      <c r="M592" t="s">
        <v>8</v>
      </c>
      <c r="N592" t="s">
        <v>8</v>
      </c>
      <c r="P592">
        <f t="shared" si="989"/>
        <v>0.38604651162790593</v>
      </c>
      <c r="Q592">
        <f t="shared" si="990"/>
        <v>5588080.2748837052</v>
      </c>
      <c r="R592">
        <f t="shared" si="991"/>
        <v>-239276610.7306636</v>
      </c>
      <c r="S592">
        <f t="shared" si="992"/>
        <v>-2392.7661073066361</v>
      </c>
      <c r="T592">
        <f t="shared" si="993"/>
        <v>-2.392766107306636</v>
      </c>
    </row>
    <row r="593" spans="1:20" x14ac:dyDescent="0.25">
      <c r="A593" s="5">
        <v>44000</v>
      </c>
      <c r="B593">
        <v>1.634E-2</v>
      </c>
      <c r="C593">
        <v>1.8790000000000001E-2</v>
      </c>
      <c r="D593">
        <v>1.617E-2</v>
      </c>
      <c r="E593">
        <v>1.7330000000000002E-2</v>
      </c>
      <c r="F593">
        <v>18307119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-0.1145038167938924</v>
      </c>
      <c r="Q593">
        <f t="shared" si="990"/>
        <v>-2096234.9999999867</v>
      </c>
      <c r="R593">
        <f t="shared" si="991"/>
        <v>-244864691.00554731</v>
      </c>
      <c r="S593">
        <f t="shared" si="992"/>
        <v>-2448.6469100554732</v>
      </c>
      <c r="T593">
        <f t="shared" si="993"/>
        <v>-2.4486469100554733</v>
      </c>
    </row>
    <row r="594" spans="1:20" x14ac:dyDescent="0.25">
      <c r="A594" s="5">
        <v>43999</v>
      </c>
      <c r="B594">
        <v>1.5769999999999999E-2</v>
      </c>
      <c r="C594">
        <v>1.6889999999999999E-2</v>
      </c>
      <c r="D594">
        <v>1.5559999999999999E-2</v>
      </c>
      <c r="E594">
        <v>1.634E-2</v>
      </c>
      <c r="F594">
        <v>9487109</v>
      </c>
      <c r="G594">
        <v>0</v>
      </c>
      <c r="L594" t="s">
        <v>8</v>
      </c>
      <c r="M594" t="s">
        <v>8</v>
      </c>
      <c r="N594" t="s">
        <v>8</v>
      </c>
      <c r="P594">
        <f t="shared" si="989"/>
        <v>0.1729323308270698</v>
      </c>
      <c r="Q594">
        <f t="shared" si="990"/>
        <v>1640627.8721804712</v>
      </c>
      <c r="R594">
        <f t="shared" si="991"/>
        <v>-242768456.00554731</v>
      </c>
      <c r="S594">
        <f t="shared" si="992"/>
        <v>-2427.684560055473</v>
      </c>
      <c r="T594">
        <f t="shared" si="993"/>
        <v>-2.4276845600554728</v>
      </c>
    </row>
    <row r="595" spans="1:20" x14ac:dyDescent="0.25">
      <c r="A595" s="5">
        <v>43998</v>
      </c>
      <c r="B595">
        <v>1.5640000000000001E-2</v>
      </c>
      <c r="C595">
        <v>1.5939999999999999E-2</v>
      </c>
      <c r="D595">
        <v>1.515E-2</v>
      </c>
      <c r="E595">
        <v>1.5769999999999999E-2</v>
      </c>
      <c r="F595">
        <v>5499478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0.56962025316455644</v>
      </c>
      <c r="Q595">
        <f t="shared" si="990"/>
        <v>3132614.0506329085</v>
      </c>
      <c r="R595">
        <f t="shared" si="991"/>
        <v>-244409083.87772778</v>
      </c>
      <c r="S595">
        <f t="shared" si="992"/>
        <v>-2444.0908387772779</v>
      </c>
      <c r="T595">
        <f t="shared" si="993"/>
        <v>-2.444090838777278</v>
      </c>
    </row>
    <row r="596" spans="1:20" x14ac:dyDescent="0.25">
      <c r="A596" s="5">
        <v>43997</v>
      </c>
      <c r="B596">
        <v>1.6150000000000001E-2</v>
      </c>
      <c r="C596">
        <v>1.6150000000000001E-2</v>
      </c>
      <c r="D596">
        <v>1.426E-2</v>
      </c>
      <c r="E596">
        <v>1.5789999999999998E-2</v>
      </c>
      <c r="F596">
        <v>11466052.699999999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0.6190476190476164</v>
      </c>
      <c r="Q596">
        <f t="shared" si="990"/>
        <v>7098032.6238094931</v>
      </c>
      <c r="R596">
        <f t="shared" si="991"/>
        <v>-247541697.92836067</v>
      </c>
      <c r="S596">
        <f t="shared" si="992"/>
        <v>-2475.4169792836069</v>
      </c>
      <c r="T596">
        <f t="shared" si="993"/>
        <v>-2.4754169792836067</v>
      </c>
    </row>
    <row r="597" spans="1:20" x14ac:dyDescent="0.25">
      <c r="A597" s="5">
        <v>43996</v>
      </c>
      <c r="B597">
        <v>1.6070000000000001E-2</v>
      </c>
      <c r="C597">
        <v>1.678E-2</v>
      </c>
      <c r="D597">
        <v>1.5779999999999999E-2</v>
      </c>
      <c r="E597">
        <v>1.6160000000000001E-2</v>
      </c>
      <c r="F597">
        <v>7655577.2999999998</v>
      </c>
      <c r="G597">
        <v>0</v>
      </c>
      <c r="L597" t="s">
        <v>8</v>
      </c>
      <c r="M597" t="s">
        <v>8</v>
      </c>
      <c r="N597" t="s">
        <v>8</v>
      </c>
      <c r="P597">
        <f t="shared" si="989"/>
        <v>-0.23999999999999694</v>
      </c>
      <c r="Q597">
        <f t="shared" si="990"/>
        <v>-1837338.5519999766</v>
      </c>
      <c r="R597">
        <f t="shared" si="991"/>
        <v>-254639730.55217016</v>
      </c>
      <c r="S597">
        <f t="shared" si="992"/>
        <v>-2546.3973055217016</v>
      </c>
      <c r="T597">
        <f t="shared" si="993"/>
        <v>-2.5463973055217015</v>
      </c>
    </row>
    <row r="598" spans="1:20" x14ac:dyDescent="0.25">
      <c r="A598" s="5">
        <v>43995</v>
      </c>
      <c r="B598">
        <v>1.575E-2</v>
      </c>
      <c r="C598">
        <v>1.67E-2</v>
      </c>
      <c r="D598">
        <v>1.5509999999999999E-2</v>
      </c>
      <c r="E598">
        <v>1.6150000000000001E-2</v>
      </c>
      <c r="F598">
        <v>10051353.5</v>
      </c>
      <c r="G598">
        <v>0</v>
      </c>
      <c r="L598" t="s">
        <v>7</v>
      </c>
      <c r="M598" t="s">
        <v>8</v>
      </c>
      <c r="N598" t="s">
        <v>8</v>
      </c>
      <c r="P598">
        <f t="shared" si="989"/>
        <v>7.5630252100843079E-2</v>
      </c>
      <c r="Q598">
        <f t="shared" si="990"/>
        <v>760186.39915969141</v>
      </c>
      <c r="R598">
        <f t="shared" si="991"/>
        <v>-252802392.00017017</v>
      </c>
      <c r="S598">
        <f t="shared" si="992"/>
        <v>-2528.0239200017018</v>
      </c>
      <c r="T598">
        <f t="shared" si="993"/>
        <v>-2.5280239200017016</v>
      </c>
    </row>
    <row r="599" spans="1:20" x14ac:dyDescent="0.25">
      <c r="A599" s="5">
        <v>43994</v>
      </c>
      <c r="B599">
        <v>1.4200000000000001E-2</v>
      </c>
      <c r="C599">
        <v>1.7069999999999998E-2</v>
      </c>
      <c r="D599">
        <v>1.4069999999999999E-2</v>
      </c>
      <c r="E599">
        <v>1.5789999999999998E-2</v>
      </c>
      <c r="F599">
        <v>10908903.300000001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0.1466666666666665</v>
      </c>
      <c r="Q599">
        <f t="shared" si="990"/>
        <v>1599972.4839999983</v>
      </c>
      <c r="R599">
        <f t="shared" si="991"/>
        <v>-253562578.39932987</v>
      </c>
      <c r="S599">
        <f t="shared" si="992"/>
        <v>-2535.6257839932987</v>
      </c>
      <c r="T599">
        <f t="shared" si="993"/>
        <v>-2.5356257839932987</v>
      </c>
    </row>
    <row r="600" spans="1:20" x14ac:dyDescent="0.25">
      <c r="A600" s="5">
        <v>43993</v>
      </c>
      <c r="B600">
        <v>1.5679999999999999E-2</v>
      </c>
      <c r="C600">
        <v>1.6650000000000002E-2</v>
      </c>
      <c r="D600">
        <v>1.137E-2</v>
      </c>
      <c r="E600">
        <v>1.4330000000000001E-2</v>
      </c>
      <c r="F600">
        <v>18017419.800000001</v>
      </c>
      <c r="G600">
        <v>0</v>
      </c>
      <c r="L600" t="s">
        <v>8</v>
      </c>
      <c r="M600" t="s">
        <v>8</v>
      </c>
      <c r="N600" t="s">
        <v>8</v>
      </c>
      <c r="P600">
        <f t="shared" si="989"/>
        <v>0.12121212121212116</v>
      </c>
      <c r="Q600">
        <f t="shared" si="990"/>
        <v>2183929.6727272719</v>
      </c>
      <c r="R600">
        <f t="shared" si="991"/>
        <v>-255162550.88332987</v>
      </c>
      <c r="S600">
        <f t="shared" si="992"/>
        <v>-2551.6255088332987</v>
      </c>
      <c r="T600">
        <f t="shared" si="993"/>
        <v>-2.5516255088332986</v>
      </c>
    </row>
    <row r="601" spans="1:20" x14ac:dyDescent="0.25">
      <c r="A601" s="5">
        <v>43992</v>
      </c>
      <c r="B601">
        <v>1.5310000000000001E-2</v>
      </c>
      <c r="C601">
        <v>1.5810000000000001E-2</v>
      </c>
      <c r="D601">
        <v>1.516E-2</v>
      </c>
      <c r="E601">
        <v>1.5679999999999999E-2</v>
      </c>
      <c r="F601">
        <v>4577875.5999999996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0.59999999999999576</v>
      </c>
      <c r="Q601">
        <f t="shared" si="990"/>
        <v>2746725.3599999803</v>
      </c>
      <c r="R601">
        <f t="shared" si="991"/>
        <v>-257346480.55605713</v>
      </c>
      <c r="S601">
        <f t="shared" si="992"/>
        <v>-2573.4648055605712</v>
      </c>
      <c r="T601">
        <f t="shared" si="993"/>
        <v>-2.5734648055605711</v>
      </c>
    </row>
    <row r="602" spans="1:20" x14ac:dyDescent="0.25">
      <c r="A602" s="5">
        <v>43991</v>
      </c>
      <c r="B602">
        <v>1.5429999999999999E-2</v>
      </c>
      <c r="C602">
        <v>1.5990000000000001E-2</v>
      </c>
      <c r="D602">
        <v>1.4999999999999999E-2</v>
      </c>
      <c r="E602">
        <v>1.524E-2</v>
      </c>
      <c r="F602">
        <v>9028240.3000000007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-0.51515151515151447</v>
      </c>
      <c r="Q602">
        <f t="shared" si="990"/>
        <v>-4650911.6696969643</v>
      </c>
      <c r="R602">
        <f t="shared" si="991"/>
        <v>-260093205.91605711</v>
      </c>
      <c r="S602">
        <f t="shared" si="992"/>
        <v>-2600.932059160571</v>
      </c>
      <c r="T602">
        <f t="shared" si="993"/>
        <v>-2.6009320591605709</v>
      </c>
    </row>
    <row r="603" spans="1:20" x14ac:dyDescent="0.25">
      <c r="A603" s="5">
        <v>43990</v>
      </c>
      <c r="B603">
        <v>1.4630000000000001E-2</v>
      </c>
      <c r="C603">
        <v>1.5800000000000002E-2</v>
      </c>
      <c r="D603">
        <v>1.4630000000000001E-2</v>
      </c>
      <c r="E603">
        <v>1.5350000000000001E-2</v>
      </c>
      <c r="F603">
        <v>7908362.7000000002</v>
      </c>
      <c r="G603">
        <v>0</v>
      </c>
      <c r="L603" t="s">
        <v>8</v>
      </c>
      <c r="M603" t="s">
        <v>7</v>
      </c>
      <c r="N603" t="s">
        <v>8</v>
      </c>
      <c r="P603">
        <f t="shared" si="989"/>
        <v>0.23076923076923009</v>
      </c>
      <c r="Q603">
        <f t="shared" si="990"/>
        <v>1825006.7769230716</v>
      </c>
      <c r="R603">
        <f t="shared" si="991"/>
        <v>-255442294.24636015</v>
      </c>
      <c r="S603">
        <f t="shared" si="992"/>
        <v>-2554.4229424636014</v>
      </c>
      <c r="T603">
        <f t="shared" si="993"/>
        <v>-2.5544229424636016</v>
      </c>
    </row>
    <row r="604" spans="1:20" x14ac:dyDescent="0.25">
      <c r="A604" s="5">
        <v>43989</v>
      </c>
      <c r="B604">
        <v>1.4749999999999999E-2</v>
      </c>
      <c r="C604">
        <v>1.5339999999999999E-2</v>
      </c>
      <c r="D604">
        <v>1.4109999999999999E-2</v>
      </c>
      <c r="E604">
        <v>1.47E-2</v>
      </c>
      <c r="F604">
        <v>7475380.9000000004</v>
      </c>
      <c r="G604">
        <v>0</v>
      </c>
      <c r="L604" t="s">
        <v>7</v>
      </c>
      <c r="M604" t="s">
        <v>7</v>
      </c>
      <c r="N604" t="s">
        <v>8</v>
      </c>
      <c r="P604">
        <f t="shared" si="989"/>
        <v>-4.065040650406479E-2</v>
      </c>
      <c r="Q604">
        <f t="shared" si="990"/>
        <v>-303877.2723577217</v>
      </c>
      <c r="R604">
        <f t="shared" si="991"/>
        <v>-257267301.02328321</v>
      </c>
      <c r="S604">
        <f t="shared" si="992"/>
        <v>-2572.673010232832</v>
      </c>
      <c r="T604">
        <f t="shared" si="993"/>
        <v>-2.5726730102328319</v>
      </c>
    </row>
    <row r="605" spans="1:20" x14ac:dyDescent="0.25">
      <c r="A605" s="5">
        <v>43988</v>
      </c>
      <c r="B605">
        <v>1.435E-2</v>
      </c>
      <c r="C605">
        <v>1.5429999999999999E-2</v>
      </c>
      <c r="D605">
        <v>1.435E-2</v>
      </c>
      <c r="E605">
        <v>1.4760000000000001E-2</v>
      </c>
      <c r="F605">
        <v>14774740.5</v>
      </c>
      <c r="G605">
        <v>0</v>
      </c>
      <c r="L605" t="s">
        <v>8</v>
      </c>
      <c r="M605" t="s">
        <v>7</v>
      </c>
      <c r="N605" t="s">
        <v>8</v>
      </c>
      <c r="P605">
        <f t="shared" si="989"/>
        <v>-0.24074074074073912</v>
      </c>
      <c r="Q605">
        <f t="shared" si="990"/>
        <v>-3556881.9722221983</v>
      </c>
      <c r="R605">
        <f t="shared" si="991"/>
        <v>-256963423.75092548</v>
      </c>
      <c r="S605">
        <f t="shared" si="992"/>
        <v>-2569.6342375092549</v>
      </c>
      <c r="T605">
        <f t="shared" si="993"/>
        <v>-2.5696342375092551</v>
      </c>
    </row>
    <row r="606" spans="1:20" x14ac:dyDescent="0.25">
      <c r="A606" s="5">
        <v>43987</v>
      </c>
      <c r="B606">
        <v>1.413E-2</v>
      </c>
      <c r="C606">
        <v>1.5339999999999999E-2</v>
      </c>
      <c r="D606">
        <v>1.35E-2</v>
      </c>
      <c r="E606">
        <v>1.444E-2</v>
      </c>
      <c r="F606">
        <v>21622633.800000001</v>
      </c>
      <c r="G606">
        <v>0</v>
      </c>
      <c r="L606" t="s">
        <v>7</v>
      </c>
      <c r="M606" t="s">
        <v>7</v>
      </c>
      <c r="N606" t="s">
        <v>8</v>
      </c>
      <c r="P606">
        <f t="shared" si="989"/>
        <v>2.1739130434782671E-2</v>
      </c>
      <c r="Q606">
        <f t="shared" si="990"/>
        <v>470057.25652174046</v>
      </c>
      <c r="R606">
        <f t="shared" si="991"/>
        <v>-253406541.77870327</v>
      </c>
      <c r="S606">
        <f t="shared" si="992"/>
        <v>-2534.0654177870329</v>
      </c>
      <c r="T606">
        <f t="shared" si="993"/>
        <v>-2.534065417787033</v>
      </c>
    </row>
    <row r="607" spans="1:20" x14ac:dyDescent="0.25">
      <c r="A607" s="5">
        <v>43986</v>
      </c>
      <c r="B607">
        <v>1.3520000000000001E-2</v>
      </c>
      <c r="C607">
        <v>1.609E-2</v>
      </c>
      <c r="D607">
        <v>1.3480000000000001E-2</v>
      </c>
      <c r="E607">
        <v>1.413E-2</v>
      </c>
      <c r="F607">
        <v>29738009.899999999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-0.50191570881226077</v>
      </c>
      <c r="Q607">
        <f t="shared" si="990"/>
        <v>-14925974.317624528</v>
      </c>
      <c r="R607">
        <f t="shared" si="991"/>
        <v>-253876599.035225</v>
      </c>
      <c r="S607">
        <f t="shared" si="992"/>
        <v>-2538.7659903522499</v>
      </c>
      <c r="T607">
        <f t="shared" si="993"/>
        <v>-2.5387659903522497</v>
      </c>
    </row>
    <row r="608" spans="1:20" x14ac:dyDescent="0.25">
      <c r="A608" s="5">
        <v>43985</v>
      </c>
      <c r="B608">
        <v>1.325E-2</v>
      </c>
      <c r="C608">
        <v>1.37E-2</v>
      </c>
      <c r="D608">
        <v>1.319E-2</v>
      </c>
      <c r="E608">
        <v>1.349E-2</v>
      </c>
      <c r="F608">
        <v>3307605.2</v>
      </c>
      <c r="G608">
        <v>0</v>
      </c>
      <c r="L608" t="s">
        <v>7</v>
      </c>
      <c r="M608" t="s">
        <v>7</v>
      </c>
      <c r="N608" t="s">
        <v>8</v>
      </c>
      <c r="P608">
        <f t="shared" si="989"/>
        <v>0.17647058823529371</v>
      </c>
      <c r="Q608">
        <f t="shared" si="990"/>
        <v>583695.03529411636</v>
      </c>
      <c r="R608">
        <f t="shared" si="991"/>
        <v>-238950624.71760046</v>
      </c>
      <c r="S608">
        <f t="shared" si="992"/>
        <v>-2389.5062471760048</v>
      </c>
      <c r="T608">
        <f t="shared" si="993"/>
        <v>-2.3895062471760049</v>
      </c>
    </row>
    <row r="609" spans="1:20" x14ac:dyDescent="0.25">
      <c r="A609" s="5">
        <v>43984</v>
      </c>
      <c r="B609">
        <v>1.3939999999999999E-2</v>
      </c>
      <c r="C609">
        <v>1.414E-2</v>
      </c>
      <c r="D609">
        <v>1.2999999999999999E-2</v>
      </c>
      <c r="E609">
        <v>1.3429999999999999E-2</v>
      </c>
      <c r="F609">
        <v>9139673.5</v>
      </c>
      <c r="G609">
        <v>0</v>
      </c>
      <c r="L609" t="s">
        <v>7</v>
      </c>
      <c r="M609" t="s">
        <v>7</v>
      </c>
      <c r="N609" t="s">
        <v>8</v>
      </c>
      <c r="P609">
        <f t="shared" si="989"/>
        <v>-0.24561403508771987</v>
      </c>
      <c r="Q609">
        <f t="shared" si="990"/>
        <v>-2244832.0877193036</v>
      </c>
      <c r="R609">
        <f t="shared" si="991"/>
        <v>-239534319.75289458</v>
      </c>
      <c r="S609">
        <f t="shared" si="992"/>
        <v>-2395.3431975289459</v>
      </c>
      <c r="T609">
        <f t="shared" si="993"/>
        <v>-2.3953431975289461</v>
      </c>
    </row>
    <row r="610" spans="1:20" x14ac:dyDescent="0.25">
      <c r="A610" s="5">
        <v>43983</v>
      </c>
      <c r="B610">
        <v>1.329E-2</v>
      </c>
      <c r="C610">
        <v>1.414E-2</v>
      </c>
      <c r="D610">
        <v>1.3259999999999999E-2</v>
      </c>
      <c r="E610">
        <v>1.3939999999999999E-2</v>
      </c>
      <c r="F610">
        <v>3885464.5</v>
      </c>
      <c r="G610">
        <v>0</v>
      </c>
      <c r="L610" t="s">
        <v>7</v>
      </c>
      <c r="M610" t="s">
        <v>7</v>
      </c>
      <c r="N610" t="s">
        <v>8</v>
      </c>
      <c r="P610">
        <f t="shared" si="989"/>
        <v>0.54545454545454453</v>
      </c>
      <c r="Q610">
        <f t="shared" si="990"/>
        <v>2119344.2727272692</v>
      </c>
      <c r="R610">
        <f t="shared" si="991"/>
        <v>-237289487.66517529</v>
      </c>
      <c r="S610">
        <f t="shared" si="992"/>
        <v>-2372.8948766517528</v>
      </c>
      <c r="T610">
        <f t="shared" si="993"/>
        <v>-2.372894876651753</v>
      </c>
    </row>
    <row r="611" spans="1:20" x14ac:dyDescent="0.25">
      <c r="A611" s="5">
        <v>43982</v>
      </c>
      <c r="B611">
        <v>1.358E-2</v>
      </c>
      <c r="C611">
        <v>1.4540000000000001E-2</v>
      </c>
      <c r="D611">
        <v>1.3169999999999999E-2</v>
      </c>
      <c r="E611">
        <v>1.3350000000000001E-2</v>
      </c>
      <c r="F611">
        <v>14001600.800000001</v>
      </c>
      <c r="G611">
        <v>0</v>
      </c>
      <c r="L611" t="s">
        <v>8</v>
      </c>
      <c r="M611" t="s">
        <v>7</v>
      </c>
      <c r="N611" t="s">
        <v>8</v>
      </c>
      <c r="P611">
        <f t="shared" si="989"/>
        <v>-0.7372262773722611</v>
      </c>
      <c r="Q611">
        <f t="shared" si="990"/>
        <v>-10322348.035036473</v>
      </c>
      <c r="R611">
        <f t="shared" si="991"/>
        <v>-239408831.93790257</v>
      </c>
      <c r="S611">
        <f t="shared" si="992"/>
        <v>-2394.0883193790255</v>
      </c>
      <c r="T611">
        <f t="shared" si="993"/>
        <v>-2.3940883193790254</v>
      </c>
    </row>
    <row r="612" spans="1:20" x14ac:dyDescent="0.25">
      <c r="A612" s="5">
        <v>43981</v>
      </c>
      <c r="B612">
        <v>1.337E-2</v>
      </c>
      <c r="C612">
        <v>1.3650000000000001E-2</v>
      </c>
      <c r="D612">
        <v>1.321E-2</v>
      </c>
      <c r="E612">
        <v>1.3610000000000001E-2</v>
      </c>
      <c r="F612">
        <v>3997936.1</v>
      </c>
      <c r="G612">
        <v>0</v>
      </c>
      <c r="L612" t="s">
        <v>8</v>
      </c>
      <c r="M612" t="s">
        <v>7</v>
      </c>
      <c r="N612" t="s">
        <v>8</v>
      </c>
      <c r="P612">
        <f t="shared" si="989"/>
        <v>0.81818181818181823</v>
      </c>
      <c r="Q612">
        <f t="shared" si="990"/>
        <v>3271038.6272727274</v>
      </c>
      <c r="R612">
        <f t="shared" si="991"/>
        <v>-229086483.9028661</v>
      </c>
      <c r="S612">
        <f t="shared" si="992"/>
        <v>-2290.8648390286608</v>
      </c>
      <c r="T612">
        <f t="shared" si="993"/>
        <v>-2.2908648390286608</v>
      </c>
    </row>
    <row r="613" spans="1:20" x14ac:dyDescent="0.25">
      <c r="A613" s="5">
        <v>43980</v>
      </c>
      <c r="B613">
        <v>1.325E-2</v>
      </c>
      <c r="C613">
        <v>1.3559999999999999E-2</v>
      </c>
      <c r="D613">
        <v>1.304E-2</v>
      </c>
      <c r="E613">
        <v>1.338E-2</v>
      </c>
      <c r="F613">
        <v>5795213</v>
      </c>
      <c r="G613">
        <v>0</v>
      </c>
      <c r="L613" t="s">
        <v>7</v>
      </c>
      <c r="M613" t="s">
        <v>7</v>
      </c>
      <c r="N613" t="s">
        <v>8</v>
      </c>
      <c r="P613">
        <f t="shared" si="989"/>
        <v>0.30769230769230871</v>
      </c>
      <c r="Q613">
        <f t="shared" si="990"/>
        <v>1783142.4615384673</v>
      </c>
      <c r="R613">
        <f t="shared" si="991"/>
        <v>-232357522.53013882</v>
      </c>
      <c r="S613">
        <f t="shared" si="992"/>
        <v>-2323.5752253013884</v>
      </c>
      <c r="T613">
        <f t="shared" si="993"/>
        <v>-2.3235752253013886</v>
      </c>
    </row>
    <row r="614" spans="1:20" x14ac:dyDescent="0.25">
      <c r="A614" s="5">
        <v>43979</v>
      </c>
      <c r="B614">
        <v>1.295E-2</v>
      </c>
      <c r="C614">
        <v>1.3299999999999999E-2</v>
      </c>
      <c r="D614">
        <v>1.2699999999999999E-2</v>
      </c>
      <c r="E614">
        <v>1.3259999999999999E-2</v>
      </c>
      <c r="F614">
        <v>4666773.3</v>
      </c>
      <c r="G614">
        <v>0</v>
      </c>
      <c r="L614" t="s">
        <v>7</v>
      </c>
      <c r="M614" t="s">
        <v>7</v>
      </c>
      <c r="N614" t="s">
        <v>8</v>
      </c>
      <c r="P614">
        <f t="shared" si="989"/>
        <v>0.86666666666666625</v>
      </c>
      <c r="Q614">
        <f t="shared" si="990"/>
        <v>4044536.859999998</v>
      </c>
      <c r="R614">
        <f t="shared" si="991"/>
        <v>-234140664.99167728</v>
      </c>
      <c r="S614">
        <f t="shared" si="992"/>
        <v>-2341.4066499167729</v>
      </c>
      <c r="T614">
        <f t="shared" si="993"/>
        <v>-2.3414066499167729</v>
      </c>
    </row>
    <row r="615" spans="1:20" x14ac:dyDescent="0.25">
      <c r="A615" s="5">
        <v>43978</v>
      </c>
      <c r="B615">
        <v>1.417E-2</v>
      </c>
      <c r="C615">
        <v>1.452E-2</v>
      </c>
      <c r="D615">
        <v>1.278E-2</v>
      </c>
      <c r="E615">
        <v>1.2970000000000001E-2</v>
      </c>
      <c r="F615">
        <v>16196223.199999999</v>
      </c>
      <c r="G615">
        <v>0</v>
      </c>
      <c r="L615" t="s">
        <v>7</v>
      </c>
      <c r="M615" t="s">
        <v>7</v>
      </c>
      <c r="N615" t="s">
        <v>8</v>
      </c>
      <c r="P615">
        <f t="shared" si="989"/>
        <v>-0.78160919540229779</v>
      </c>
      <c r="Q615">
        <f t="shared" si="990"/>
        <v>-12659116.983908027</v>
      </c>
      <c r="R615">
        <f t="shared" si="991"/>
        <v>-238185201.85167727</v>
      </c>
      <c r="S615">
        <f t="shared" si="992"/>
        <v>-2381.8520185167727</v>
      </c>
      <c r="T615">
        <f t="shared" si="993"/>
        <v>-2.3818520185167729</v>
      </c>
    </row>
    <row r="616" spans="1:20" x14ac:dyDescent="0.25">
      <c r="A616" s="5">
        <v>43977</v>
      </c>
      <c r="B616">
        <v>1.38E-2</v>
      </c>
      <c r="C616">
        <v>1.5599999999999999E-2</v>
      </c>
      <c r="D616">
        <v>1.37E-2</v>
      </c>
      <c r="E616">
        <v>1.421E-2</v>
      </c>
      <c r="F616">
        <v>19386766.800000001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-0.46315789473684177</v>
      </c>
      <c r="Q616">
        <f t="shared" si="990"/>
        <v>-8979134.096842099</v>
      </c>
      <c r="R616">
        <f t="shared" si="991"/>
        <v>-225526084.86776924</v>
      </c>
      <c r="S616">
        <f t="shared" si="992"/>
        <v>-2255.2608486776926</v>
      </c>
      <c r="T616">
        <f t="shared" si="993"/>
        <v>-2.2552608486776924</v>
      </c>
    </row>
    <row r="617" spans="1:20" x14ac:dyDescent="0.25">
      <c r="A617" s="5">
        <v>43976</v>
      </c>
      <c r="B617">
        <v>1.316E-2</v>
      </c>
      <c r="C617">
        <v>1.4189999999999999E-2</v>
      </c>
      <c r="D617">
        <v>1.285E-2</v>
      </c>
      <c r="E617">
        <v>1.38E-2</v>
      </c>
      <c r="F617">
        <v>12454150.300000001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0.41791044776119407</v>
      </c>
      <c r="Q617">
        <f t="shared" si="990"/>
        <v>5204719.5283582099</v>
      </c>
      <c r="R617">
        <f t="shared" si="991"/>
        <v>-216546950.77092713</v>
      </c>
      <c r="S617">
        <f t="shared" si="992"/>
        <v>-2165.4695077092715</v>
      </c>
      <c r="T617">
        <f t="shared" si="993"/>
        <v>-2.1654695077092714</v>
      </c>
    </row>
    <row r="618" spans="1:20" x14ac:dyDescent="0.25">
      <c r="A618" s="5">
        <v>43975</v>
      </c>
      <c r="B618">
        <v>1.2840000000000001E-2</v>
      </c>
      <c r="C618">
        <v>1.444E-2</v>
      </c>
      <c r="D618">
        <v>1.2840000000000001E-2</v>
      </c>
      <c r="E618">
        <v>1.316E-2</v>
      </c>
      <c r="F618">
        <v>20724447.5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-0.60000000000000087</v>
      </c>
      <c r="Q618">
        <f t="shared" si="990"/>
        <v>-12434668.500000019</v>
      </c>
      <c r="R618">
        <f t="shared" si="991"/>
        <v>-221751670.29928535</v>
      </c>
      <c r="S618">
        <f t="shared" si="992"/>
        <v>-2217.5167029928534</v>
      </c>
      <c r="T618">
        <f t="shared" si="993"/>
        <v>-2.2175167029928535</v>
      </c>
    </row>
    <row r="619" spans="1:20" x14ac:dyDescent="0.25">
      <c r="A619" s="5">
        <v>43974</v>
      </c>
      <c r="B619">
        <v>1.303E-2</v>
      </c>
      <c r="C619">
        <v>1.3180000000000001E-2</v>
      </c>
      <c r="D619">
        <v>1.2540000000000001E-2</v>
      </c>
      <c r="E619">
        <v>1.2840000000000001E-2</v>
      </c>
      <c r="F619">
        <v>3315048.9</v>
      </c>
      <c r="G619">
        <v>0</v>
      </c>
      <c r="L619" t="s">
        <v>8</v>
      </c>
      <c r="M619" t="s">
        <v>7</v>
      </c>
      <c r="N619" t="s">
        <v>8</v>
      </c>
      <c r="P619">
        <f t="shared" si="989"/>
        <v>-6.2500000000000167E-2</v>
      </c>
      <c r="Q619">
        <f t="shared" si="990"/>
        <v>-207190.55625000055</v>
      </c>
      <c r="R619">
        <f t="shared" si="991"/>
        <v>-209317001.79928532</v>
      </c>
      <c r="S619">
        <f t="shared" si="992"/>
        <v>-2093.1700179928534</v>
      </c>
      <c r="T619">
        <f t="shared" si="993"/>
        <v>-2.0931700179928536</v>
      </c>
    </row>
    <row r="620" spans="1:20" x14ac:dyDescent="0.25">
      <c r="A620" s="5">
        <v>43973</v>
      </c>
      <c r="B620">
        <v>1.3010000000000001E-2</v>
      </c>
      <c r="C620">
        <v>1.307E-2</v>
      </c>
      <c r="D620">
        <v>1.2120000000000001E-2</v>
      </c>
      <c r="E620">
        <v>1.303E-2</v>
      </c>
      <c r="F620">
        <v>6654888.2000000002</v>
      </c>
      <c r="G620">
        <v>0</v>
      </c>
      <c r="L620" t="s">
        <v>8</v>
      </c>
      <c r="M620" t="s">
        <v>7</v>
      </c>
      <c r="N620" t="s">
        <v>8</v>
      </c>
      <c r="P620">
        <f t="shared" si="989"/>
        <v>0.91578947368421026</v>
      </c>
      <c r="Q620">
        <f t="shared" si="990"/>
        <v>6094476.5621052617</v>
      </c>
      <c r="R620">
        <f t="shared" si="991"/>
        <v>-209109811.24303532</v>
      </c>
      <c r="S620">
        <f t="shared" si="992"/>
        <v>-2091.098112430353</v>
      </c>
      <c r="T620">
        <f t="shared" si="993"/>
        <v>-2.0910981124303532</v>
      </c>
    </row>
    <row r="621" spans="1:20" x14ac:dyDescent="0.25">
      <c r="A621" s="5">
        <v>43972</v>
      </c>
      <c r="B621">
        <v>1.315E-2</v>
      </c>
      <c r="C621">
        <v>1.3299999999999999E-2</v>
      </c>
      <c r="D621">
        <v>1.1769999999999999E-2</v>
      </c>
      <c r="E621">
        <v>1.311E-2</v>
      </c>
      <c r="F621">
        <v>8637218.4000000004</v>
      </c>
      <c r="G621">
        <v>0</v>
      </c>
      <c r="L621" t="s">
        <v>7</v>
      </c>
      <c r="M621" t="s">
        <v>7</v>
      </c>
      <c r="N621" t="s">
        <v>8</v>
      </c>
      <c r="P621">
        <f t="shared" si="989"/>
        <v>0.75163398692810568</v>
      </c>
      <c r="Q621">
        <f t="shared" si="990"/>
        <v>6492026.9019607939</v>
      </c>
      <c r="R621">
        <f t="shared" si="991"/>
        <v>-215204287.80514058</v>
      </c>
      <c r="S621">
        <f t="shared" si="992"/>
        <v>-2152.0428780514058</v>
      </c>
      <c r="T621">
        <f t="shared" si="993"/>
        <v>-2.1520428780514056</v>
      </c>
    </row>
    <row r="622" spans="1:20" x14ac:dyDescent="0.25">
      <c r="A622" s="5">
        <v>43971</v>
      </c>
      <c r="B622">
        <v>1.2970000000000001E-2</v>
      </c>
      <c r="C622">
        <v>1.3769999999999999E-2</v>
      </c>
      <c r="D622">
        <v>1.252E-2</v>
      </c>
      <c r="E622">
        <v>1.3129999999999999E-2</v>
      </c>
      <c r="F622">
        <v>10596028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-2.400000000000042E-2</v>
      </c>
      <c r="Q622">
        <f t="shared" si="990"/>
        <v>-254304.67200000444</v>
      </c>
      <c r="R622">
        <f t="shared" si="991"/>
        <v>-221696314.70710137</v>
      </c>
      <c r="S622">
        <f t="shared" si="992"/>
        <v>-2216.9631470710137</v>
      </c>
      <c r="T622">
        <f t="shared" si="993"/>
        <v>-2.2169631470710138</v>
      </c>
    </row>
    <row r="623" spans="1:20" x14ac:dyDescent="0.25">
      <c r="A623" s="5">
        <v>43970</v>
      </c>
      <c r="B623">
        <v>1.243E-2</v>
      </c>
      <c r="C623">
        <v>1.35E-2</v>
      </c>
      <c r="D623">
        <v>1.2160000000000001E-2</v>
      </c>
      <c r="E623">
        <v>1.2970000000000001E-2</v>
      </c>
      <c r="F623">
        <v>10732376.300000001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0.2089552238805977</v>
      </c>
      <c r="Q623">
        <f t="shared" si="990"/>
        <v>2242586.0925373212</v>
      </c>
      <c r="R623">
        <f t="shared" si="991"/>
        <v>-221442010.03510138</v>
      </c>
      <c r="S623">
        <f t="shared" si="992"/>
        <v>-2214.4201003510138</v>
      </c>
      <c r="T623">
        <f t="shared" si="993"/>
        <v>-2.2144201003510138</v>
      </c>
    </row>
    <row r="624" spans="1:20" x14ac:dyDescent="0.25">
      <c r="A624" s="5">
        <v>43969</v>
      </c>
      <c r="B624">
        <v>1.197E-2</v>
      </c>
      <c r="C624">
        <v>1.289E-2</v>
      </c>
      <c r="D624">
        <v>1.191E-2</v>
      </c>
      <c r="E624">
        <v>1.234E-2</v>
      </c>
      <c r="F624">
        <v>9015876.6999999993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-0.12244897959183706</v>
      </c>
      <c r="Q624">
        <f t="shared" si="990"/>
        <v>-1103984.9020408192</v>
      </c>
      <c r="R624">
        <f t="shared" si="991"/>
        <v>-223684596.1276387</v>
      </c>
      <c r="S624">
        <f t="shared" si="992"/>
        <v>-2236.8459612763868</v>
      </c>
      <c r="T624">
        <f t="shared" si="993"/>
        <v>-2.2368459612763867</v>
      </c>
    </row>
    <row r="625" spans="1:20" x14ac:dyDescent="0.25">
      <c r="A625" s="5">
        <v>43968</v>
      </c>
      <c r="B625">
        <v>1.2E-2</v>
      </c>
      <c r="C625">
        <v>1.235E-2</v>
      </c>
      <c r="D625">
        <v>1.17E-2</v>
      </c>
      <c r="E625">
        <v>1.1900000000000001E-2</v>
      </c>
      <c r="F625">
        <v>5501431.7999999998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-0.38461538461538258</v>
      </c>
      <c r="Q625">
        <f t="shared" si="990"/>
        <v>-2115935.3076922963</v>
      </c>
      <c r="R625">
        <f t="shared" si="991"/>
        <v>-222580611.22559789</v>
      </c>
      <c r="S625">
        <f t="shared" si="992"/>
        <v>-2225.8061122559789</v>
      </c>
      <c r="T625">
        <f t="shared" si="993"/>
        <v>-2.2258061122559787</v>
      </c>
    </row>
    <row r="626" spans="1:20" x14ac:dyDescent="0.25">
      <c r="A626" s="5">
        <v>43967</v>
      </c>
      <c r="B626">
        <v>1.137E-2</v>
      </c>
      <c r="C626">
        <v>1.227E-2</v>
      </c>
      <c r="D626">
        <v>1.132E-2</v>
      </c>
      <c r="E626">
        <v>1.2E-2</v>
      </c>
      <c r="F626">
        <v>3932134</v>
      </c>
      <c r="G626">
        <v>0</v>
      </c>
      <c r="L626" t="s">
        <v>7</v>
      </c>
      <c r="M626" t="s">
        <v>8</v>
      </c>
      <c r="N626" t="s">
        <v>8</v>
      </c>
      <c r="P626">
        <f t="shared" si="989"/>
        <v>0.43157894736842195</v>
      </c>
      <c r="Q626">
        <f t="shared" si="990"/>
        <v>1697026.2526315826</v>
      </c>
      <c r="R626">
        <f t="shared" si="991"/>
        <v>-220464675.9179056</v>
      </c>
      <c r="S626">
        <f t="shared" si="992"/>
        <v>-2204.6467591790561</v>
      </c>
      <c r="T626">
        <f t="shared" si="993"/>
        <v>-2.2046467591790559</v>
      </c>
    </row>
    <row r="627" spans="1:20" x14ac:dyDescent="0.25">
      <c r="A627" s="5">
        <v>43966</v>
      </c>
      <c r="B627">
        <v>1.1690000000000001E-2</v>
      </c>
      <c r="C627">
        <v>1.2200000000000001E-2</v>
      </c>
      <c r="D627">
        <v>1.1299999999999999E-2</v>
      </c>
      <c r="E627">
        <v>1.137E-2</v>
      </c>
      <c r="F627">
        <v>4361794.7</v>
      </c>
      <c r="G627">
        <v>0</v>
      </c>
      <c r="L627" t="s">
        <v>8</v>
      </c>
      <c r="M627" t="s">
        <v>8</v>
      </c>
      <c r="N627" t="s">
        <v>8</v>
      </c>
      <c r="P627">
        <f t="shared" si="989"/>
        <v>-0.84444444444444333</v>
      </c>
      <c r="Q627">
        <f t="shared" si="990"/>
        <v>-3683293.3022222174</v>
      </c>
      <c r="R627">
        <f t="shared" si="991"/>
        <v>-222161702.17053717</v>
      </c>
      <c r="S627">
        <f t="shared" si="992"/>
        <v>-2221.6170217053718</v>
      </c>
      <c r="T627">
        <f t="shared" si="993"/>
        <v>-2.2216170217053719</v>
      </c>
    </row>
    <row r="628" spans="1:20" x14ac:dyDescent="0.25">
      <c r="A628" s="5">
        <v>43965</v>
      </c>
      <c r="B628">
        <v>1.167E-2</v>
      </c>
      <c r="C628">
        <v>1.2E-2</v>
      </c>
      <c r="D628">
        <v>1.153E-2</v>
      </c>
      <c r="E628">
        <v>1.1690000000000001E-2</v>
      </c>
      <c r="F628">
        <v>4209374.4000000004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-0.3191489361702109</v>
      </c>
      <c r="Q628">
        <f t="shared" si="990"/>
        <v>-1343417.3617021199</v>
      </c>
      <c r="R628">
        <f t="shared" si="991"/>
        <v>-218478408.86831495</v>
      </c>
      <c r="S628">
        <f t="shared" si="992"/>
        <v>-2184.7840886831495</v>
      </c>
      <c r="T628">
        <f t="shared" si="993"/>
        <v>-2.1847840886831493</v>
      </c>
    </row>
    <row r="629" spans="1:20" x14ac:dyDescent="0.25">
      <c r="A629" s="5">
        <v>43964</v>
      </c>
      <c r="B629">
        <v>1.1769999999999999E-2</v>
      </c>
      <c r="C629">
        <v>1.189E-2</v>
      </c>
      <c r="D629">
        <v>1.1560000000000001E-2</v>
      </c>
      <c r="E629">
        <v>1.179E-2</v>
      </c>
      <c r="F629">
        <v>1635990.2</v>
      </c>
      <c r="G629">
        <v>0</v>
      </c>
      <c r="L629" t="s">
        <v>8</v>
      </c>
      <c r="M629" t="s">
        <v>8</v>
      </c>
      <c r="N629" t="s">
        <v>8</v>
      </c>
      <c r="P629">
        <f t="shared" si="989"/>
        <v>0.3939393939393952</v>
      </c>
      <c r="Q629">
        <f t="shared" si="990"/>
        <v>644480.98787878989</v>
      </c>
      <c r="R629">
        <f t="shared" si="991"/>
        <v>-217134991.50661284</v>
      </c>
      <c r="S629">
        <f t="shared" si="992"/>
        <v>-2171.3499150661282</v>
      </c>
      <c r="T629">
        <f t="shared" si="993"/>
        <v>-2.1713499150661284</v>
      </c>
    </row>
    <row r="630" spans="1:20" x14ac:dyDescent="0.25">
      <c r="A630" s="5">
        <v>43963</v>
      </c>
      <c r="B630">
        <v>1.1010000000000001E-2</v>
      </c>
      <c r="C630">
        <v>1.1939999999999999E-2</v>
      </c>
      <c r="D630">
        <v>1.093E-2</v>
      </c>
      <c r="E630">
        <v>1.176E-2</v>
      </c>
      <c r="F630">
        <v>3254545.4</v>
      </c>
      <c r="G630">
        <v>0</v>
      </c>
      <c r="L630" t="s">
        <v>8</v>
      </c>
      <c r="M630" t="s">
        <v>8</v>
      </c>
      <c r="N630" t="s">
        <v>8</v>
      </c>
      <c r="P630">
        <f t="shared" si="989"/>
        <v>0.64356435643564391</v>
      </c>
      <c r="Q630">
        <f t="shared" si="990"/>
        <v>2094509.4158415853</v>
      </c>
      <c r="R630">
        <f t="shared" si="991"/>
        <v>-217779472.49449164</v>
      </c>
      <c r="S630">
        <f t="shared" si="992"/>
        <v>-2177.7947249449162</v>
      </c>
      <c r="T630">
        <f t="shared" si="993"/>
        <v>-2.1777947249449161</v>
      </c>
    </row>
    <row r="631" spans="1:20" x14ac:dyDescent="0.25">
      <c r="A631" s="5">
        <v>43962</v>
      </c>
      <c r="B631">
        <v>1.119E-2</v>
      </c>
      <c r="C631">
        <v>1.179E-2</v>
      </c>
      <c r="D631">
        <v>1.072E-2</v>
      </c>
      <c r="E631">
        <v>1.103E-2</v>
      </c>
      <c r="F631">
        <v>4787324.4000000004</v>
      </c>
      <c r="G631">
        <v>0</v>
      </c>
      <c r="L631" t="s">
        <v>8</v>
      </c>
      <c r="M631" t="s">
        <v>8</v>
      </c>
      <c r="N631" t="s">
        <v>8</v>
      </c>
      <c r="P631">
        <f t="shared" si="989"/>
        <v>-0.42056074766355217</v>
      </c>
      <c r="Q631">
        <f t="shared" si="990"/>
        <v>-2013360.7289719665</v>
      </c>
      <c r="R631">
        <f t="shared" si="991"/>
        <v>-219873981.91033322</v>
      </c>
      <c r="S631">
        <f t="shared" si="992"/>
        <v>-2198.7398191033321</v>
      </c>
      <c r="T631">
        <f t="shared" si="993"/>
        <v>-2.198739819103332</v>
      </c>
    </row>
    <row r="632" spans="1:20" x14ac:dyDescent="0.25">
      <c r="A632" s="5">
        <v>43961</v>
      </c>
      <c r="B632">
        <v>1.158E-2</v>
      </c>
      <c r="C632">
        <v>1.158E-2</v>
      </c>
      <c r="D632">
        <v>9.6100000000000005E-3</v>
      </c>
      <c r="E632">
        <v>1.1129999999999999E-2</v>
      </c>
      <c r="F632">
        <v>4317179.2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0.5431472081218266</v>
      </c>
      <c r="Q632">
        <f t="shared" si="990"/>
        <v>2344863.829441621</v>
      </c>
      <c r="R632">
        <f t="shared" si="991"/>
        <v>-217860621.18136126</v>
      </c>
      <c r="S632">
        <f t="shared" si="992"/>
        <v>-2178.6062118136124</v>
      </c>
      <c r="T632">
        <f t="shared" si="993"/>
        <v>-2.1786062118136122</v>
      </c>
    </row>
    <row r="633" spans="1:20" x14ac:dyDescent="0.25">
      <c r="A633" s="5">
        <v>43960</v>
      </c>
      <c r="B633">
        <v>1.1780000000000001E-2</v>
      </c>
      <c r="C633">
        <v>1.2E-2</v>
      </c>
      <c r="D633">
        <v>1.1610000000000001E-2</v>
      </c>
      <c r="E633">
        <v>1.167E-2</v>
      </c>
      <c r="F633">
        <v>1666019.5</v>
      </c>
      <c r="G633">
        <v>0</v>
      </c>
      <c r="L633" t="s">
        <v>7</v>
      </c>
      <c r="M633" t="s">
        <v>7</v>
      </c>
      <c r="N633" t="s">
        <v>8</v>
      </c>
      <c r="P633">
        <f t="shared" si="989"/>
        <v>-0.69230769230769573</v>
      </c>
      <c r="Q633">
        <f t="shared" si="990"/>
        <v>-1153398.1153846211</v>
      </c>
      <c r="R633">
        <f t="shared" si="991"/>
        <v>-220205485.01080287</v>
      </c>
      <c r="S633">
        <f t="shared" si="992"/>
        <v>-2202.0548501080289</v>
      </c>
      <c r="T633">
        <f t="shared" si="993"/>
        <v>-2.2020548501080288</v>
      </c>
    </row>
    <row r="634" spans="1:20" x14ac:dyDescent="0.25">
      <c r="A634" s="5">
        <v>43959</v>
      </c>
      <c r="B634">
        <v>1.153E-2</v>
      </c>
      <c r="C634">
        <v>1.1950000000000001E-2</v>
      </c>
      <c r="D634">
        <v>1.146E-2</v>
      </c>
      <c r="E634">
        <v>1.1809999999999999E-2</v>
      </c>
      <c r="F634">
        <v>2379100</v>
      </c>
      <c r="G634">
        <v>0</v>
      </c>
      <c r="L634" t="s">
        <v>7</v>
      </c>
      <c r="M634" t="s">
        <v>7</v>
      </c>
      <c r="N634" t="s">
        <v>8</v>
      </c>
      <c r="P634">
        <f t="shared" si="989"/>
        <v>0.42857142857142455</v>
      </c>
      <c r="Q634">
        <f t="shared" si="990"/>
        <v>1019614.2857142761</v>
      </c>
      <c r="R634">
        <f t="shared" si="991"/>
        <v>-219052086.89541826</v>
      </c>
      <c r="S634">
        <f t="shared" si="992"/>
        <v>-2190.5208689541828</v>
      </c>
      <c r="T634">
        <f t="shared" si="993"/>
        <v>-2.1905208689541826</v>
      </c>
    </row>
    <row r="635" spans="1:20" x14ac:dyDescent="0.25">
      <c r="A635" s="5">
        <v>43958</v>
      </c>
      <c r="B635">
        <v>1.174E-2</v>
      </c>
      <c r="C635">
        <v>1.197E-2</v>
      </c>
      <c r="D635">
        <v>1.136E-2</v>
      </c>
      <c r="E635">
        <v>1.1610000000000001E-2</v>
      </c>
      <c r="F635">
        <v>3933089.2</v>
      </c>
      <c r="G635">
        <v>0</v>
      </c>
      <c r="L635" t="s">
        <v>7</v>
      </c>
      <c r="M635" t="s">
        <v>7</v>
      </c>
      <c r="N635" t="s">
        <v>8</v>
      </c>
      <c r="P635">
        <f t="shared" si="989"/>
        <v>-0.18032786885245752</v>
      </c>
      <c r="Q635">
        <f t="shared" si="990"/>
        <v>-709245.5934426171</v>
      </c>
      <c r="R635">
        <f t="shared" si="991"/>
        <v>-220071701.18113253</v>
      </c>
      <c r="S635">
        <f t="shared" si="992"/>
        <v>-2200.7170118113254</v>
      </c>
      <c r="T635">
        <f t="shared" si="993"/>
        <v>-2.2007170118113253</v>
      </c>
    </row>
    <row r="636" spans="1:20" x14ac:dyDescent="0.25">
      <c r="A636" s="5">
        <v>43957</v>
      </c>
      <c r="B636">
        <v>1.196E-2</v>
      </c>
      <c r="C636">
        <v>1.223E-2</v>
      </c>
      <c r="D636">
        <v>1.1690000000000001E-2</v>
      </c>
      <c r="E636">
        <v>1.174E-2</v>
      </c>
      <c r="F636">
        <v>4703679.7</v>
      </c>
      <c r="G636">
        <v>0</v>
      </c>
      <c r="L636" t="s">
        <v>8</v>
      </c>
      <c r="M636" t="s">
        <v>7</v>
      </c>
      <c r="N636" t="s">
        <v>8</v>
      </c>
      <c r="P636">
        <f t="shared" si="989"/>
        <v>-0.81481481481481555</v>
      </c>
      <c r="Q636">
        <f t="shared" si="990"/>
        <v>-3832627.9037037073</v>
      </c>
      <c r="R636">
        <f t="shared" si="991"/>
        <v>-219362455.58768991</v>
      </c>
      <c r="S636">
        <f t="shared" si="992"/>
        <v>-2193.6245558768992</v>
      </c>
      <c r="T636">
        <f t="shared" si="993"/>
        <v>-2.193624555876899</v>
      </c>
    </row>
    <row r="637" spans="1:20" x14ac:dyDescent="0.25">
      <c r="A637" s="5">
        <v>43956</v>
      </c>
      <c r="B637">
        <v>1.206E-2</v>
      </c>
      <c r="C637">
        <v>1.213E-2</v>
      </c>
      <c r="D637">
        <v>1.171E-2</v>
      </c>
      <c r="E637">
        <v>1.1950000000000001E-2</v>
      </c>
      <c r="F637">
        <v>3664872.2</v>
      </c>
      <c r="G637">
        <v>0</v>
      </c>
      <c r="L637" t="s">
        <v>8</v>
      </c>
      <c r="M637" t="s">
        <v>7</v>
      </c>
      <c r="N637" t="s">
        <v>8</v>
      </c>
      <c r="P637">
        <f t="shared" si="989"/>
        <v>0.14285714285714521</v>
      </c>
      <c r="Q637">
        <f t="shared" si="990"/>
        <v>523553.17142858007</v>
      </c>
      <c r="R637">
        <f t="shared" si="991"/>
        <v>-215529827.68398619</v>
      </c>
      <c r="S637">
        <f t="shared" si="992"/>
        <v>-2155.298276839862</v>
      </c>
      <c r="T637">
        <f t="shared" si="993"/>
        <v>-2.1552982768398619</v>
      </c>
    </row>
    <row r="638" spans="1:20" x14ac:dyDescent="0.25">
      <c r="A638" s="5">
        <v>43955</v>
      </c>
      <c r="B638">
        <v>1.193E-2</v>
      </c>
      <c r="C638">
        <v>1.214E-2</v>
      </c>
      <c r="D638">
        <v>1.1339999999999999E-2</v>
      </c>
      <c r="E638">
        <v>1.205E-2</v>
      </c>
      <c r="F638">
        <v>5151980.8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0.77500000000000058</v>
      </c>
      <c r="Q638">
        <f t="shared" si="990"/>
        <v>3992785.1200000029</v>
      </c>
      <c r="R638">
        <f t="shared" si="991"/>
        <v>-216053380.85541478</v>
      </c>
      <c r="S638">
        <f t="shared" si="992"/>
        <v>-2160.533808554148</v>
      </c>
      <c r="T638">
        <f t="shared" si="993"/>
        <v>-2.1605338085541481</v>
      </c>
    </row>
    <row r="639" spans="1:20" x14ac:dyDescent="0.25">
      <c r="A639" s="5">
        <v>43954</v>
      </c>
      <c r="B639">
        <v>1.2160000000000001E-2</v>
      </c>
      <c r="C639">
        <v>1.265E-2</v>
      </c>
      <c r="D639">
        <v>1.1650000000000001E-2</v>
      </c>
      <c r="E639">
        <v>1.187E-2</v>
      </c>
      <c r="F639">
        <v>5080235.7</v>
      </c>
      <c r="G639">
        <v>0</v>
      </c>
      <c r="L639" t="s">
        <v>8</v>
      </c>
      <c r="M639" t="s">
        <v>7</v>
      </c>
      <c r="N639" t="s">
        <v>8</v>
      </c>
      <c r="P639">
        <f t="shared" si="989"/>
        <v>-0.56000000000000016</v>
      </c>
      <c r="Q639">
        <f t="shared" si="990"/>
        <v>-2844931.992000001</v>
      </c>
      <c r="R639">
        <f t="shared" si="991"/>
        <v>-220046165.97541478</v>
      </c>
      <c r="S639">
        <f t="shared" si="992"/>
        <v>-2200.4616597541476</v>
      </c>
      <c r="T639">
        <f t="shared" si="993"/>
        <v>-2.2004616597541475</v>
      </c>
    </row>
    <row r="640" spans="1:20" x14ac:dyDescent="0.25">
      <c r="A640" s="5">
        <v>43953</v>
      </c>
      <c r="B640">
        <v>1.192E-2</v>
      </c>
      <c r="C640">
        <v>1.3429999999999999E-2</v>
      </c>
      <c r="D640">
        <v>1.1769999999999999E-2</v>
      </c>
      <c r="E640">
        <v>1.217E-2</v>
      </c>
      <c r="F640">
        <v>15424319.4</v>
      </c>
      <c r="G640">
        <v>0</v>
      </c>
      <c r="L640" t="s">
        <v>7</v>
      </c>
      <c r="M640" t="s">
        <v>7</v>
      </c>
      <c r="N640" t="s">
        <v>8</v>
      </c>
      <c r="P640">
        <f t="shared" si="989"/>
        <v>-0.51807228915662529</v>
      </c>
      <c r="Q640">
        <f t="shared" si="990"/>
        <v>-7990912.4602409452</v>
      </c>
      <c r="R640">
        <f t="shared" si="991"/>
        <v>-217201233.98341477</v>
      </c>
      <c r="S640">
        <f t="shared" si="992"/>
        <v>-2172.0123398341475</v>
      </c>
      <c r="T640">
        <f t="shared" si="993"/>
        <v>-2.1720123398341475</v>
      </c>
    </row>
    <row r="641" spans="1:20" x14ac:dyDescent="0.25">
      <c r="A641" s="5">
        <v>43952</v>
      </c>
      <c r="B641">
        <v>1.154E-2</v>
      </c>
      <c r="C641">
        <v>1.37E-2</v>
      </c>
      <c r="D641">
        <v>1.154E-2</v>
      </c>
      <c r="E641">
        <v>1.201E-2</v>
      </c>
      <c r="F641">
        <v>19653651.899999999</v>
      </c>
      <c r="G641">
        <v>0</v>
      </c>
      <c r="L641" t="s">
        <v>8</v>
      </c>
      <c r="M641" t="s">
        <v>8</v>
      </c>
      <c r="N641" t="s">
        <v>8</v>
      </c>
      <c r="P641">
        <f t="shared" si="989"/>
        <v>-0.56481481481481499</v>
      </c>
      <c r="Q641">
        <f t="shared" si="990"/>
        <v>-11100673.758333337</v>
      </c>
      <c r="R641">
        <f t="shared" si="991"/>
        <v>-209210321.52317384</v>
      </c>
      <c r="S641">
        <f t="shared" si="992"/>
        <v>-2092.1032152317384</v>
      </c>
      <c r="T641">
        <f t="shared" si="993"/>
        <v>-2.0921032152317385</v>
      </c>
    </row>
    <row r="642" spans="1:20" x14ac:dyDescent="0.25">
      <c r="A642" s="5">
        <v>43951</v>
      </c>
      <c r="B642">
        <v>1.1900000000000001E-2</v>
      </c>
      <c r="C642">
        <v>1.2500000000000001E-2</v>
      </c>
      <c r="D642">
        <v>1.1339999999999999E-2</v>
      </c>
      <c r="E642">
        <v>1.1480000000000001E-2</v>
      </c>
      <c r="F642">
        <v>6372286.7000000002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-0.7586206896551706</v>
      </c>
      <c r="Q642">
        <f t="shared" si="990"/>
        <v>-4834148.5310344715</v>
      </c>
      <c r="R642">
        <f t="shared" si="991"/>
        <v>-198109647.76484051</v>
      </c>
      <c r="S642">
        <f t="shared" si="992"/>
        <v>-1981.0964776484052</v>
      </c>
      <c r="T642">
        <f t="shared" si="993"/>
        <v>-1.9810964776484052</v>
      </c>
    </row>
    <row r="643" spans="1:20" x14ac:dyDescent="0.25">
      <c r="A643" s="5">
        <v>43950</v>
      </c>
      <c r="B643">
        <v>1.155E-2</v>
      </c>
      <c r="C643">
        <v>1.222E-2</v>
      </c>
      <c r="D643">
        <v>1.14E-2</v>
      </c>
      <c r="E643">
        <v>1.192E-2</v>
      </c>
      <c r="F643">
        <v>7488809.5</v>
      </c>
      <c r="G643">
        <v>0</v>
      </c>
      <c r="L643" t="s">
        <v>8</v>
      </c>
      <c r="M643" t="s">
        <v>8</v>
      </c>
      <c r="N643" t="s">
        <v>7</v>
      </c>
      <c r="P643">
        <f t="shared" si="989"/>
        <v>0.26829268292682906</v>
      </c>
      <c r="Q643">
        <f t="shared" si="990"/>
        <v>2009192.7926829252</v>
      </c>
      <c r="R643">
        <f t="shared" si="991"/>
        <v>-193275499.23380604</v>
      </c>
      <c r="S643">
        <f t="shared" si="992"/>
        <v>-1932.7549923380604</v>
      </c>
      <c r="T643">
        <f t="shared" si="993"/>
        <v>-1.9327549923380605</v>
      </c>
    </row>
    <row r="644" spans="1:20" x14ac:dyDescent="0.25">
      <c r="A644" s="5">
        <v>43949</v>
      </c>
      <c r="B644">
        <v>1.157E-2</v>
      </c>
      <c r="C644">
        <v>1.174E-2</v>
      </c>
      <c r="D644">
        <v>1.145E-2</v>
      </c>
      <c r="E644">
        <v>1.157E-2</v>
      </c>
      <c r="F644">
        <v>1048178.3</v>
      </c>
      <c r="G644">
        <v>0</v>
      </c>
      <c r="L644" t="s">
        <v>8</v>
      </c>
      <c r="M644" t="s">
        <v>8</v>
      </c>
      <c r="N644" t="s">
        <v>7</v>
      </c>
      <c r="P644">
        <f t="shared" si="989"/>
        <v>-0.17241379310344704</v>
      </c>
      <c r="Q644">
        <f t="shared" si="990"/>
        <v>-180720.39655172284</v>
      </c>
      <c r="R644">
        <f t="shared" si="991"/>
        <v>-195284692.02648896</v>
      </c>
      <c r="S644">
        <f t="shared" si="992"/>
        <v>-1952.8469202648896</v>
      </c>
      <c r="T644">
        <f t="shared" si="993"/>
        <v>-1.9528469202648897</v>
      </c>
    </row>
    <row r="645" spans="1:20" x14ac:dyDescent="0.25">
      <c r="A645" s="5">
        <v>43948</v>
      </c>
      <c r="B645">
        <v>1.1560000000000001E-2</v>
      </c>
      <c r="C645">
        <v>1.18E-2</v>
      </c>
      <c r="D645">
        <v>1.1390000000000001E-2</v>
      </c>
      <c r="E645">
        <v>1.158E-2</v>
      </c>
      <c r="F645">
        <v>2162953.1</v>
      </c>
      <c r="G645">
        <v>0</v>
      </c>
      <c r="L645" t="s">
        <v>8</v>
      </c>
      <c r="M645" t="s">
        <v>8</v>
      </c>
      <c r="N645" t="s">
        <v>7</v>
      </c>
      <c r="P645">
        <f t="shared" si="989"/>
        <v>-7.3170731707318512E-2</v>
      </c>
      <c r="Q645">
        <f t="shared" si="990"/>
        <v>-158264.86097561289</v>
      </c>
      <c r="R645">
        <f t="shared" si="991"/>
        <v>-195103971.62993723</v>
      </c>
      <c r="S645">
        <f t="shared" si="992"/>
        <v>-1951.0397162993722</v>
      </c>
      <c r="T645">
        <f t="shared" si="993"/>
        <v>-1.9510397162993722</v>
      </c>
    </row>
    <row r="646" spans="1:20" x14ac:dyDescent="0.25">
      <c r="A646" s="5">
        <v>43947</v>
      </c>
      <c r="B646">
        <v>1.158E-2</v>
      </c>
      <c r="C646">
        <v>1.183E-2</v>
      </c>
      <c r="D646">
        <v>1.1379999999999999E-2</v>
      </c>
      <c r="E646">
        <v>1.1560000000000001E-2</v>
      </c>
      <c r="F646">
        <v>2818164.5</v>
      </c>
      <c r="G646">
        <v>0</v>
      </c>
      <c r="L646" t="s">
        <v>8</v>
      </c>
      <c r="M646" t="s">
        <v>8</v>
      </c>
      <c r="N646" t="s">
        <v>7</v>
      </c>
      <c r="P646">
        <f t="shared" ref="P646:P709" si="994">IF(C646=D646,0,((E646-D646)-(C646-E646))/(C646-D646))</f>
        <v>-0.19999999999999538</v>
      </c>
      <c r="Q646">
        <f t="shared" ref="Q646:Q709" si="995">F646*P646</f>
        <v>-563632.89999998698</v>
      </c>
      <c r="R646">
        <f t="shared" ref="R646:R709" si="996">R647+Q646</f>
        <v>-194945706.76896161</v>
      </c>
      <c r="S646">
        <f t="shared" ref="S646:S709" si="997">R646/100000</f>
        <v>-1949.457067689616</v>
      </c>
      <c r="T646">
        <f t="shared" ref="T646:T709" si="998">S646/1000</f>
        <v>-1.9494570676896159</v>
      </c>
    </row>
    <row r="647" spans="1:20" x14ac:dyDescent="0.25">
      <c r="A647" s="5">
        <v>43946</v>
      </c>
      <c r="B647">
        <v>1.115E-2</v>
      </c>
      <c r="C647">
        <v>1.1849999999999999E-2</v>
      </c>
      <c r="D647">
        <v>1.11E-2</v>
      </c>
      <c r="E647">
        <v>1.167E-2</v>
      </c>
      <c r="F647">
        <v>3641048.9</v>
      </c>
      <c r="G647">
        <v>0</v>
      </c>
      <c r="L647" t="s">
        <v>8</v>
      </c>
      <c r="M647" t="s">
        <v>8</v>
      </c>
      <c r="N647" t="s">
        <v>7</v>
      </c>
      <c r="P647">
        <f t="shared" si="994"/>
        <v>0.52000000000000035</v>
      </c>
      <c r="Q647">
        <f t="shared" si="995"/>
        <v>1893345.4280000012</v>
      </c>
      <c r="R647">
        <f t="shared" si="996"/>
        <v>-194382073.86896163</v>
      </c>
      <c r="S647">
        <f t="shared" si="997"/>
        <v>-1943.8207386896163</v>
      </c>
      <c r="T647">
        <f t="shared" si="998"/>
        <v>-1.9438207386896162</v>
      </c>
    </row>
    <row r="648" spans="1:20" x14ac:dyDescent="0.25">
      <c r="A648" s="5">
        <v>43945</v>
      </c>
      <c r="B648">
        <v>1.1390000000000001E-2</v>
      </c>
      <c r="C648">
        <v>1.174E-2</v>
      </c>
      <c r="D648">
        <v>1.0959999999999999E-2</v>
      </c>
      <c r="E648">
        <v>1.125E-2</v>
      </c>
      <c r="F648">
        <v>4708737.2</v>
      </c>
      <c r="G648">
        <v>0</v>
      </c>
      <c r="L648" t="s">
        <v>7</v>
      </c>
      <c r="M648" t="s">
        <v>8</v>
      </c>
      <c r="N648" t="s">
        <v>7</v>
      </c>
      <c r="P648">
        <f t="shared" si="994"/>
        <v>-0.25641025641025672</v>
      </c>
      <c r="Q648">
        <f t="shared" si="995"/>
        <v>-1207368.5128205144</v>
      </c>
      <c r="R648">
        <f t="shared" si="996"/>
        <v>-196275419.29696164</v>
      </c>
      <c r="S648">
        <f t="shared" si="997"/>
        <v>-1962.7541929696163</v>
      </c>
      <c r="T648">
        <f t="shared" si="998"/>
        <v>-1.9627541929696162</v>
      </c>
    </row>
    <row r="649" spans="1:20" x14ac:dyDescent="0.25">
      <c r="A649" s="5">
        <v>43944</v>
      </c>
      <c r="B649">
        <v>1.073E-2</v>
      </c>
      <c r="C649">
        <v>1.189E-2</v>
      </c>
      <c r="D649">
        <v>1.0699999999999999E-2</v>
      </c>
      <c r="E649">
        <v>1.125E-2</v>
      </c>
      <c r="F649">
        <v>8446487.9000000004</v>
      </c>
      <c r="G649">
        <v>0</v>
      </c>
      <c r="L649" t="s">
        <v>8</v>
      </c>
      <c r="M649" t="s">
        <v>8</v>
      </c>
      <c r="N649" t="s">
        <v>7</v>
      </c>
      <c r="P649">
        <f t="shared" si="994"/>
        <v>-7.5630252100840165E-2</v>
      </c>
      <c r="Q649">
        <f t="shared" si="995"/>
        <v>-638810.00924369611</v>
      </c>
      <c r="R649">
        <f t="shared" si="996"/>
        <v>-195068050.78414112</v>
      </c>
      <c r="S649">
        <f t="shared" si="997"/>
        <v>-1950.6805078414113</v>
      </c>
      <c r="T649">
        <f t="shared" si="998"/>
        <v>-1.9506805078414113</v>
      </c>
    </row>
    <row r="650" spans="1:20" x14ac:dyDescent="0.25">
      <c r="A650" s="5">
        <v>43943</v>
      </c>
      <c r="B650">
        <v>1.014E-2</v>
      </c>
      <c r="C650">
        <v>1.0999999999999999E-2</v>
      </c>
      <c r="D650">
        <v>1.0109999999999999E-2</v>
      </c>
      <c r="E650">
        <v>1.078E-2</v>
      </c>
      <c r="F650">
        <v>2504450.1</v>
      </c>
      <c r="G650">
        <v>0</v>
      </c>
      <c r="L650" t="s">
        <v>8</v>
      </c>
      <c r="M650" t="s">
        <v>7</v>
      </c>
      <c r="N650" t="s">
        <v>7</v>
      </c>
      <c r="P650">
        <f t="shared" si="994"/>
        <v>0.50561797752809068</v>
      </c>
      <c r="Q650">
        <f t="shared" si="995"/>
        <v>1266294.9943820245</v>
      </c>
      <c r="R650">
        <f t="shared" si="996"/>
        <v>-194429240.77489743</v>
      </c>
      <c r="S650">
        <f t="shared" si="997"/>
        <v>-1944.2924077489743</v>
      </c>
      <c r="T650">
        <f t="shared" si="998"/>
        <v>-1.9442924077489743</v>
      </c>
    </row>
    <row r="651" spans="1:20" x14ac:dyDescent="0.25">
      <c r="A651" s="5">
        <v>43942</v>
      </c>
      <c r="B651">
        <v>1.0200000000000001E-2</v>
      </c>
      <c r="C651">
        <v>1.0370000000000001E-2</v>
      </c>
      <c r="D651">
        <v>0.01</v>
      </c>
      <c r="E651">
        <v>1.0370000000000001E-2</v>
      </c>
      <c r="F651">
        <v>783214.8</v>
      </c>
      <c r="G651">
        <v>0</v>
      </c>
      <c r="L651" t="s">
        <v>7</v>
      </c>
      <c r="M651" t="s">
        <v>7</v>
      </c>
      <c r="N651" t="s">
        <v>7</v>
      </c>
      <c r="P651">
        <f t="shared" si="994"/>
        <v>1</v>
      </c>
      <c r="Q651">
        <f t="shared" si="995"/>
        <v>783214.8</v>
      </c>
      <c r="R651">
        <f t="shared" si="996"/>
        <v>-195695535.76927945</v>
      </c>
      <c r="S651">
        <f t="shared" si="997"/>
        <v>-1956.9553576927945</v>
      </c>
      <c r="T651">
        <f t="shared" si="998"/>
        <v>-1.9569553576927945</v>
      </c>
    </row>
    <row r="652" spans="1:20" x14ac:dyDescent="0.25">
      <c r="A652" s="5">
        <v>43941</v>
      </c>
      <c r="B652">
        <v>1.056E-2</v>
      </c>
      <c r="C652">
        <v>1.074E-2</v>
      </c>
      <c r="D652">
        <v>1.0019999999999999E-2</v>
      </c>
      <c r="E652">
        <v>1.017E-2</v>
      </c>
      <c r="F652">
        <v>1696711.7</v>
      </c>
      <c r="G652">
        <v>0</v>
      </c>
      <c r="L652" t="s">
        <v>7</v>
      </c>
      <c r="M652" t="s">
        <v>7</v>
      </c>
      <c r="N652" t="s">
        <v>7</v>
      </c>
      <c r="P652">
        <f t="shared" si="994"/>
        <v>-0.58333333333333115</v>
      </c>
      <c r="Q652">
        <f t="shared" si="995"/>
        <v>-989748.49166666297</v>
      </c>
      <c r="R652">
        <f t="shared" si="996"/>
        <v>-196478750.56927946</v>
      </c>
      <c r="S652">
        <f t="shared" si="997"/>
        <v>-1964.7875056927946</v>
      </c>
      <c r="T652">
        <f t="shared" si="998"/>
        <v>-1.9647875056927946</v>
      </c>
    </row>
    <row r="653" spans="1:20" x14ac:dyDescent="0.25">
      <c r="A653" s="5">
        <v>43940</v>
      </c>
      <c r="B653">
        <v>1.077E-2</v>
      </c>
      <c r="C653">
        <v>1.0829999999999999E-2</v>
      </c>
      <c r="D653">
        <v>1.044E-2</v>
      </c>
      <c r="E653">
        <v>1.061E-2</v>
      </c>
      <c r="F653">
        <v>995005.9</v>
      </c>
      <c r="G653">
        <v>0</v>
      </c>
      <c r="L653" t="s">
        <v>7</v>
      </c>
      <c r="M653" t="s">
        <v>8</v>
      </c>
      <c r="N653" t="s">
        <v>7</v>
      </c>
      <c r="P653">
        <f t="shared" si="994"/>
        <v>-0.12820512820512753</v>
      </c>
      <c r="Q653">
        <f t="shared" si="995"/>
        <v>-127564.8589743583</v>
      </c>
      <c r="R653">
        <f t="shared" si="996"/>
        <v>-195489002.07761279</v>
      </c>
      <c r="S653">
        <f t="shared" si="997"/>
        <v>-1954.8900207761278</v>
      </c>
      <c r="T653">
        <f t="shared" si="998"/>
        <v>-1.9548900207761277</v>
      </c>
    </row>
    <row r="654" spans="1:20" x14ac:dyDescent="0.25">
      <c r="A654" s="5">
        <v>43939</v>
      </c>
      <c r="B654">
        <v>1.0540000000000001E-2</v>
      </c>
      <c r="C654">
        <v>1.0840000000000001E-2</v>
      </c>
      <c r="D654">
        <v>1.0489999999999999E-2</v>
      </c>
      <c r="E654">
        <v>1.076E-2</v>
      </c>
      <c r="F654">
        <v>1951913.6</v>
      </c>
      <c r="G654">
        <v>0</v>
      </c>
      <c r="L654" t="s">
        <v>7</v>
      </c>
      <c r="M654" t="s">
        <v>8</v>
      </c>
      <c r="N654" t="s">
        <v>7</v>
      </c>
      <c r="P654">
        <f t="shared" si="994"/>
        <v>0.54285714285714337</v>
      </c>
      <c r="Q654">
        <f t="shared" si="995"/>
        <v>1059610.2400000012</v>
      </c>
      <c r="R654">
        <f t="shared" si="996"/>
        <v>-195361437.21863842</v>
      </c>
      <c r="S654">
        <f t="shared" si="997"/>
        <v>-1953.6143721863841</v>
      </c>
      <c r="T654">
        <f t="shared" si="998"/>
        <v>-1.9536143721863841</v>
      </c>
    </row>
    <row r="655" spans="1:20" x14ac:dyDescent="0.25">
      <c r="A655" s="5">
        <v>43938</v>
      </c>
      <c r="B655">
        <v>1.0290000000000001E-2</v>
      </c>
      <c r="C655">
        <v>1.2330000000000001E-2</v>
      </c>
      <c r="D655">
        <v>1.026E-2</v>
      </c>
      <c r="E655">
        <v>1.0630000000000001E-2</v>
      </c>
      <c r="F655">
        <v>14624727</v>
      </c>
      <c r="G655">
        <v>0</v>
      </c>
      <c r="L655" t="s">
        <v>8</v>
      </c>
      <c r="M655" t="s">
        <v>8</v>
      </c>
      <c r="N655" t="s">
        <v>7</v>
      </c>
      <c r="P655">
        <f t="shared" si="994"/>
        <v>-0.64251207729468562</v>
      </c>
      <c r="Q655">
        <f t="shared" si="995"/>
        <v>-9396563.724637676</v>
      </c>
      <c r="R655">
        <f t="shared" si="996"/>
        <v>-196421047.45863843</v>
      </c>
      <c r="S655">
        <f t="shared" si="997"/>
        <v>-1964.2104745863844</v>
      </c>
      <c r="T655">
        <f t="shared" si="998"/>
        <v>-1.9642104745863844</v>
      </c>
    </row>
    <row r="656" spans="1:20" x14ac:dyDescent="0.25">
      <c r="A656" s="5">
        <v>43937</v>
      </c>
      <c r="B656">
        <v>9.5399999999999999E-3</v>
      </c>
      <c r="C656">
        <v>1.04E-2</v>
      </c>
      <c r="D656">
        <v>9.3699999999999999E-3</v>
      </c>
      <c r="E656">
        <v>1.0279999999999999E-2</v>
      </c>
      <c r="F656">
        <v>3809548.6</v>
      </c>
      <c r="G656">
        <v>0</v>
      </c>
      <c r="L656" t="s">
        <v>7</v>
      </c>
      <c r="M656" t="s">
        <v>7</v>
      </c>
      <c r="N656" t="s">
        <v>7</v>
      </c>
      <c r="P656">
        <f t="shared" si="994"/>
        <v>0.76699029126213525</v>
      </c>
      <c r="Q656">
        <f t="shared" si="995"/>
        <v>2921886.7902912595</v>
      </c>
      <c r="R656">
        <f t="shared" si="996"/>
        <v>-187024483.73400074</v>
      </c>
      <c r="S656">
        <f t="shared" si="997"/>
        <v>-1870.2448373400075</v>
      </c>
      <c r="T656">
        <f t="shared" si="998"/>
        <v>-1.8702448373400076</v>
      </c>
    </row>
    <row r="657" spans="1:20" x14ac:dyDescent="0.25">
      <c r="A657" s="5">
        <v>43936</v>
      </c>
      <c r="B657">
        <v>1.005E-2</v>
      </c>
      <c r="C657">
        <v>1.018E-2</v>
      </c>
      <c r="D657">
        <v>9.5600000000000008E-3</v>
      </c>
      <c r="E657">
        <v>9.5999999999999992E-3</v>
      </c>
      <c r="F657">
        <v>3194710.2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-0.87096774193548887</v>
      </c>
      <c r="Q657">
        <f t="shared" si="995"/>
        <v>-2782489.5290322741</v>
      </c>
      <c r="R657">
        <f t="shared" si="996"/>
        <v>-189946370.52429199</v>
      </c>
      <c r="S657">
        <f t="shared" si="997"/>
        <v>-1899.46370524292</v>
      </c>
      <c r="T657">
        <f t="shared" si="998"/>
        <v>-1.89946370524292</v>
      </c>
    </row>
    <row r="658" spans="1:20" x14ac:dyDescent="0.25">
      <c r="A658" s="5">
        <v>43935</v>
      </c>
      <c r="B658">
        <v>1.06E-2</v>
      </c>
      <c r="C658">
        <v>1.0699999999999999E-2</v>
      </c>
      <c r="D658">
        <v>9.9600000000000001E-3</v>
      </c>
      <c r="E658">
        <v>1.005E-2</v>
      </c>
      <c r="F658">
        <v>6619675.2999999998</v>
      </c>
      <c r="G658">
        <v>0</v>
      </c>
      <c r="L658" t="s">
        <v>7</v>
      </c>
      <c r="M658" t="s">
        <v>7</v>
      </c>
      <c r="N658" t="s">
        <v>8</v>
      </c>
      <c r="P658">
        <f t="shared" si="994"/>
        <v>-0.75675675675675702</v>
      </c>
      <c r="Q658">
        <f t="shared" si="995"/>
        <v>-5009484.010810812</v>
      </c>
      <c r="R658">
        <f t="shared" si="996"/>
        <v>-187163880.99525973</v>
      </c>
      <c r="S658">
        <f t="shared" si="997"/>
        <v>-1871.6388099525973</v>
      </c>
      <c r="T658">
        <f t="shared" si="998"/>
        <v>-1.8716388099525973</v>
      </c>
    </row>
    <row r="659" spans="1:20" x14ac:dyDescent="0.25">
      <c r="A659" s="5">
        <v>43934</v>
      </c>
      <c r="B659">
        <v>1.0279999999999999E-2</v>
      </c>
      <c r="C659">
        <v>1.2670000000000001E-2</v>
      </c>
      <c r="D659">
        <v>9.8300000000000002E-3</v>
      </c>
      <c r="E659">
        <v>1.06E-2</v>
      </c>
      <c r="F659">
        <v>18952195.600000001</v>
      </c>
      <c r="G659">
        <v>0</v>
      </c>
      <c r="L659" t="s">
        <v>8</v>
      </c>
      <c r="M659" t="s">
        <v>8</v>
      </c>
      <c r="N659" t="s">
        <v>8</v>
      </c>
      <c r="P659">
        <f t="shared" si="994"/>
        <v>-0.45774647887323966</v>
      </c>
      <c r="Q659">
        <f t="shared" si="995"/>
        <v>-8675300.8028169069</v>
      </c>
      <c r="R659">
        <f t="shared" si="996"/>
        <v>-182154396.98444891</v>
      </c>
      <c r="S659">
        <f t="shared" si="997"/>
        <v>-1821.5439698444891</v>
      </c>
      <c r="T659">
        <f t="shared" si="998"/>
        <v>-1.8215439698444891</v>
      </c>
    </row>
    <row r="660" spans="1:20" x14ac:dyDescent="0.25">
      <c r="A660" s="5">
        <v>43933</v>
      </c>
      <c r="B660">
        <v>1.039E-2</v>
      </c>
      <c r="C660">
        <v>1.0789999999999999E-2</v>
      </c>
      <c r="D660">
        <v>9.92E-3</v>
      </c>
      <c r="E660">
        <v>1.035E-2</v>
      </c>
      <c r="F660">
        <v>1895902.5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-1.149425287356276E-2</v>
      </c>
      <c r="Q660">
        <f t="shared" si="995"/>
        <v>-21791.982758619823</v>
      </c>
      <c r="R660">
        <f t="shared" si="996"/>
        <v>-173479096.18163201</v>
      </c>
      <c r="S660">
        <f t="shared" si="997"/>
        <v>-1734.7909618163201</v>
      </c>
      <c r="T660">
        <f t="shared" si="998"/>
        <v>-1.73479096181632</v>
      </c>
    </row>
    <row r="661" spans="1:20" x14ac:dyDescent="0.25">
      <c r="A661" s="5">
        <v>43932</v>
      </c>
      <c r="B661">
        <v>1.005E-2</v>
      </c>
      <c r="C661">
        <v>1.0659999999999999E-2</v>
      </c>
      <c r="D661">
        <v>9.92E-3</v>
      </c>
      <c r="E661">
        <v>1.0359999999999999E-2</v>
      </c>
      <c r="F661">
        <v>3302383.7</v>
      </c>
      <c r="G661">
        <v>0</v>
      </c>
      <c r="L661" t="s">
        <v>8</v>
      </c>
      <c r="M661" t="s">
        <v>7</v>
      </c>
      <c r="N661" t="s">
        <v>8</v>
      </c>
      <c r="P661">
        <f t="shared" si="994"/>
        <v>0.18918918918918867</v>
      </c>
      <c r="Q661">
        <f t="shared" si="995"/>
        <v>624775.29459459288</v>
      </c>
      <c r="R661">
        <f t="shared" si="996"/>
        <v>-173457304.1988734</v>
      </c>
      <c r="S661">
        <f t="shared" si="997"/>
        <v>-1734.5730419887341</v>
      </c>
      <c r="T661">
        <f t="shared" si="998"/>
        <v>-1.734573041988734</v>
      </c>
    </row>
    <row r="662" spans="1:20" x14ac:dyDescent="0.25">
      <c r="A662" s="5">
        <v>43931</v>
      </c>
      <c r="B662">
        <v>1.1050000000000001E-2</v>
      </c>
      <c r="C662">
        <v>1.1140000000000001E-2</v>
      </c>
      <c r="D662">
        <v>9.5999999999999992E-3</v>
      </c>
      <c r="E662">
        <v>9.9699999999999997E-3</v>
      </c>
      <c r="F662">
        <v>4031735.1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-0.51948051948051921</v>
      </c>
      <c r="Q662">
        <f t="shared" si="995"/>
        <v>-2094407.8441558431</v>
      </c>
      <c r="R662">
        <f t="shared" si="996"/>
        <v>-174082079.49346799</v>
      </c>
      <c r="S662">
        <f t="shared" si="997"/>
        <v>-1740.82079493468</v>
      </c>
      <c r="T662">
        <f t="shared" si="998"/>
        <v>-1.7408207949346799</v>
      </c>
    </row>
    <row r="663" spans="1:20" x14ac:dyDescent="0.25">
      <c r="A663" s="5">
        <v>43930</v>
      </c>
      <c r="B663">
        <v>1.0800000000000001E-2</v>
      </c>
      <c r="C663">
        <v>1.2999999999999999E-2</v>
      </c>
      <c r="D663">
        <v>1.052E-2</v>
      </c>
      <c r="E663">
        <v>1.1169999999999999E-2</v>
      </c>
      <c r="F663">
        <v>6740854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-0.47580645161290352</v>
      </c>
      <c r="Q663">
        <f t="shared" si="995"/>
        <v>-3207341.8225806472</v>
      </c>
      <c r="R663">
        <f t="shared" si="996"/>
        <v>-171987671.64931214</v>
      </c>
      <c r="S663">
        <f t="shared" si="997"/>
        <v>-1719.8767164931214</v>
      </c>
      <c r="T663">
        <f t="shared" si="998"/>
        <v>-1.7198767164931215</v>
      </c>
    </row>
    <row r="664" spans="1:20" x14ac:dyDescent="0.25">
      <c r="A664" s="5">
        <v>43929</v>
      </c>
      <c r="B664">
        <v>1.057E-2</v>
      </c>
      <c r="C664">
        <v>1.123E-2</v>
      </c>
      <c r="D664">
        <v>1.048E-2</v>
      </c>
      <c r="E664">
        <v>1.086E-2</v>
      </c>
      <c r="F664">
        <v>2929256.4</v>
      </c>
      <c r="G664">
        <v>0</v>
      </c>
      <c r="L664" t="s">
        <v>8</v>
      </c>
      <c r="M664" t="s">
        <v>8</v>
      </c>
      <c r="N664" t="s">
        <v>8</v>
      </c>
      <c r="P664">
        <f t="shared" si="994"/>
        <v>1.3333333333332779E-2</v>
      </c>
      <c r="Q664">
        <f t="shared" si="995"/>
        <v>39056.751999998378</v>
      </c>
      <c r="R664">
        <f t="shared" si="996"/>
        <v>-168780329.8267315</v>
      </c>
      <c r="S664">
        <f t="shared" si="997"/>
        <v>-1687.8032982673151</v>
      </c>
      <c r="T664">
        <f t="shared" si="998"/>
        <v>-1.687803298267315</v>
      </c>
    </row>
    <row r="665" spans="1:20" x14ac:dyDescent="0.25">
      <c r="A665" s="5">
        <v>43928</v>
      </c>
      <c r="B665">
        <v>1.09E-2</v>
      </c>
      <c r="C665">
        <v>1.129E-2</v>
      </c>
      <c r="D665">
        <v>1.009E-2</v>
      </c>
      <c r="E665">
        <v>1.057E-2</v>
      </c>
      <c r="F665">
        <v>8310810.9000000004</v>
      </c>
      <c r="G665">
        <v>0</v>
      </c>
      <c r="L665" t="s">
        <v>7</v>
      </c>
      <c r="M665" t="s">
        <v>8</v>
      </c>
      <c r="N665" t="s">
        <v>8</v>
      </c>
      <c r="P665">
        <f t="shared" si="994"/>
        <v>-0.20000000000000057</v>
      </c>
      <c r="Q665">
        <f t="shared" si="995"/>
        <v>-1662162.1800000048</v>
      </c>
      <c r="R665">
        <f t="shared" si="996"/>
        <v>-168819386.57873151</v>
      </c>
      <c r="S665">
        <f t="shared" si="997"/>
        <v>-1688.193865787315</v>
      </c>
      <c r="T665">
        <f t="shared" si="998"/>
        <v>-1.688193865787315</v>
      </c>
    </row>
    <row r="666" spans="1:20" x14ac:dyDescent="0.25">
      <c r="A666" s="5">
        <v>43927</v>
      </c>
      <c r="B666">
        <v>9.7199999999999995E-3</v>
      </c>
      <c r="C666">
        <v>1.149E-2</v>
      </c>
      <c r="D666">
        <v>9.7199999999999995E-3</v>
      </c>
      <c r="E666">
        <v>1.085E-2</v>
      </c>
      <c r="F666">
        <v>15610528.800000001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0.27683615819209079</v>
      </c>
      <c r="Q666">
        <f t="shared" si="995"/>
        <v>4321558.8203389896</v>
      </c>
      <c r="R666">
        <f t="shared" si="996"/>
        <v>-167157224.3987315</v>
      </c>
      <c r="S666">
        <f t="shared" si="997"/>
        <v>-1671.572243987315</v>
      </c>
      <c r="T666">
        <f t="shared" si="998"/>
        <v>-1.6715722439873151</v>
      </c>
    </row>
    <row r="667" spans="1:20" x14ac:dyDescent="0.25">
      <c r="A667" s="5">
        <v>43926</v>
      </c>
      <c r="B667">
        <v>1.0059999999999999E-2</v>
      </c>
      <c r="C667">
        <v>1.01E-2</v>
      </c>
      <c r="D667">
        <v>9.1599999999999997E-3</v>
      </c>
      <c r="E667">
        <v>9.7800000000000005E-3</v>
      </c>
      <c r="F667">
        <v>8063049.9000000004</v>
      </c>
      <c r="G667">
        <v>0</v>
      </c>
      <c r="L667" t="s">
        <v>8</v>
      </c>
      <c r="M667" t="s">
        <v>8</v>
      </c>
      <c r="N667" t="s">
        <v>8</v>
      </c>
      <c r="P667">
        <f t="shared" si="994"/>
        <v>0.31914893617021456</v>
      </c>
      <c r="Q667">
        <f t="shared" si="995"/>
        <v>2573313.7978723552</v>
      </c>
      <c r="R667">
        <f t="shared" si="996"/>
        <v>-171478783.21907049</v>
      </c>
      <c r="S667">
        <f t="shared" si="997"/>
        <v>-1714.7878321907049</v>
      </c>
      <c r="T667">
        <f t="shared" si="998"/>
        <v>-1.7147878321907049</v>
      </c>
    </row>
    <row r="668" spans="1:20" x14ac:dyDescent="0.25">
      <c r="A668" s="5">
        <v>43925</v>
      </c>
      <c r="B668">
        <v>9.3600000000000003E-3</v>
      </c>
      <c r="C668">
        <v>1.0500000000000001E-2</v>
      </c>
      <c r="D668">
        <v>9.0900000000000009E-3</v>
      </c>
      <c r="E668">
        <v>9.9000000000000008E-3</v>
      </c>
      <c r="F668">
        <v>9494721</v>
      </c>
      <c r="G668">
        <v>0</v>
      </c>
      <c r="L668" t="s">
        <v>7</v>
      </c>
      <c r="M668" t="s">
        <v>8</v>
      </c>
      <c r="N668" t="s">
        <v>8</v>
      </c>
      <c r="P668">
        <f t="shared" si="994"/>
        <v>0.14893617021276606</v>
      </c>
      <c r="Q668">
        <f t="shared" si="995"/>
        <v>1414107.3829787243</v>
      </c>
      <c r="R668">
        <f t="shared" si="996"/>
        <v>-174052097.01694286</v>
      </c>
      <c r="S668">
        <f t="shared" si="997"/>
        <v>-1740.5209701694287</v>
      </c>
      <c r="T668">
        <f t="shared" si="998"/>
        <v>-1.7405209701694286</v>
      </c>
    </row>
    <row r="669" spans="1:20" x14ac:dyDescent="0.25">
      <c r="A669" s="5">
        <v>43924</v>
      </c>
      <c r="B669">
        <v>9.4699999999999993E-3</v>
      </c>
      <c r="C669">
        <v>9.9299999999999996E-3</v>
      </c>
      <c r="D669">
        <v>9.2300000000000004E-3</v>
      </c>
      <c r="E669">
        <v>9.3600000000000003E-3</v>
      </c>
      <c r="F669">
        <v>2495778.7999999998</v>
      </c>
      <c r="G669">
        <v>0</v>
      </c>
      <c r="L669" t="s">
        <v>7</v>
      </c>
      <c r="M669" t="s">
        <v>8</v>
      </c>
      <c r="N669" t="s">
        <v>7</v>
      </c>
      <c r="P669">
        <f t="shared" si="994"/>
        <v>-0.62857142857142845</v>
      </c>
      <c r="Q669">
        <f t="shared" si="995"/>
        <v>-1568775.2457142852</v>
      </c>
      <c r="R669">
        <f t="shared" si="996"/>
        <v>-175466204.3999216</v>
      </c>
      <c r="S669">
        <f t="shared" si="997"/>
        <v>-1754.6620439992159</v>
      </c>
      <c r="T669">
        <f t="shared" si="998"/>
        <v>-1.754662043999216</v>
      </c>
    </row>
    <row r="670" spans="1:20" x14ac:dyDescent="0.25">
      <c r="A670" s="5">
        <v>43923</v>
      </c>
      <c r="B670">
        <v>9.3399999999999993E-3</v>
      </c>
      <c r="C670">
        <v>1.0149999999999999E-2</v>
      </c>
      <c r="D670">
        <v>9.1500000000000001E-3</v>
      </c>
      <c r="E670">
        <v>9.4900000000000002E-3</v>
      </c>
      <c r="F670">
        <v>10427363.699999999</v>
      </c>
      <c r="G670">
        <v>0</v>
      </c>
      <c r="L670" t="s">
        <v>8</v>
      </c>
      <c r="M670" t="s">
        <v>8</v>
      </c>
      <c r="N670" t="s">
        <v>7</v>
      </c>
      <c r="P670">
        <f t="shared" si="994"/>
        <v>-0.3199999999999994</v>
      </c>
      <c r="Q670">
        <f t="shared" si="995"/>
        <v>-3336756.3839999936</v>
      </c>
      <c r="R670">
        <f t="shared" si="996"/>
        <v>-173897429.15420732</v>
      </c>
      <c r="S670">
        <f t="shared" si="997"/>
        <v>-1738.9742915420732</v>
      </c>
      <c r="T670">
        <f t="shared" si="998"/>
        <v>-1.7389742915420732</v>
      </c>
    </row>
    <row r="671" spans="1:20" x14ac:dyDescent="0.25">
      <c r="A671" s="5">
        <v>43922</v>
      </c>
      <c r="B671">
        <v>9.0100000000000006E-3</v>
      </c>
      <c r="C671">
        <v>9.4299999999999991E-3</v>
      </c>
      <c r="D671">
        <v>8.7600000000000004E-3</v>
      </c>
      <c r="E671">
        <v>9.2200000000000008E-3</v>
      </c>
      <c r="F671">
        <v>3396489.1</v>
      </c>
      <c r="G671">
        <v>0</v>
      </c>
      <c r="L671" t="s">
        <v>8</v>
      </c>
      <c r="M671" t="s">
        <v>8</v>
      </c>
      <c r="N671" t="s">
        <v>7</v>
      </c>
      <c r="P671">
        <f t="shared" si="994"/>
        <v>0.37313432835821259</v>
      </c>
      <c r="Q671">
        <f t="shared" si="995"/>
        <v>1267346.67910449</v>
      </c>
      <c r="R671">
        <f t="shared" si="996"/>
        <v>-170560672.77020732</v>
      </c>
      <c r="S671">
        <f t="shared" si="997"/>
        <v>-1705.6067277020732</v>
      </c>
      <c r="T671">
        <f t="shared" si="998"/>
        <v>-1.7056067277020732</v>
      </c>
    </row>
    <row r="672" spans="1:20" x14ac:dyDescent="0.25">
      <c r="A672" s="5">
        <v>43921</v>
      </c>
      <c r="B672">
        <v>8.9999999999999993E-3</v>
      </c>
      <c r="C672">
        <v>9.2599999999999991E-3</v>
      </c>
      <c r="D672">
        <v>8.8299999999999993E-3</v>
      </c>
      <c r="E672">
        <v>8.9899999999999997E-3</v>
      </c>
      <c r="F672">
        <v>1229913.3999999999</v>
      </c>
      <c r="G672">
        <v>0</v>
      </c>
      <c r="L672" t="s">
        <v>8</v>
      </c>
      <c r="M672" t="s">
        <v>8</v>
      </c>
      <c r="N672" t="s">
        <v>7</v>
      </c>
      <c r="P672">
        <f t="shared" si="994"/>
        <v>-0.25581395348836983</v>
      </c>
      <c r="Q672">
        <f t="shared" si="995"/>
        <v>-314629.00930232275</v>
      </c>
      <c r="R672">
        <f t="shared" si="996"/>
        <v>-171828019.44931179</v>
      </c>
      <c r="S672">
        <f t="shared" si="997"/>
        <v>-1718.280194493118</v>
      </c>
      <c r="T672">
        <f t="shared" si="998"/>
        <v>-1.7182801944931179</v>
      </c>
    </row>
    <row r="673" spans="1:20" x14ac:dyDescent="0.25">
      <c r="A673" s="5">
        <v>43920</v>
      </c>
      <c r="B673">
        <v>8.1399999999999997E-3</v>
      </c>
      <c r="C673">
        <v>9.1199999999999996E-3</v>
      </c>
      <c r="D673">
        <v>8.1399999999999997E-3</v>
      </c>
      <c r="E673">
        <v>8.8500000000000002E-3</v>
      </c>
      <c r="F673">
        <v>2232565.9</v>
      </c>
      <c r="G673">
        <v>0</v>
      </c>
      <c r="L673" t="s">
        <v>8</v>
      </c>
      <c r="M673" t="s">
        <v>8</v>
      </c>
      <c r="N673" t="s">
        <v>7</v>
      </c>
      <c r="P673">
        <f t="shared" si="994"/>
        <v>0.44897959183673586</v>
      </c>
      <c r="Q673">
        <f t="shared" si="995"/>
        <v>1002376.5265306148</v>
      </c>
      <c r="R673">
        <f t="shared" si="996"/>
        <v>-171513390.44000947</v>
      </c>
      <c r="S673">
        <f t="shared" si="997"/>
        <v>-1715.1339044000947</v>
      </c>
      <c r="T673">
        <f t="shared" si="998"/>
        <v>-1.7151339044000946</v>
      </c>
    </row>
    <row r="674" spans="1:20" x14ac:dyDescent="0.25">
      <c r="A674" s="5">
        <v>43919</v>
      </c>
      <c r="B674">
        <v>9.1500000000000001E-3</v>
      </c>
      <c r="C674">
        <v>9.1500000000000001E-3</v>
      </c>
      <c r="D674">
        <v>8.1300000000000001E-3</v>
      </c>
      <c r="E674">
        <v>8.2199999999999999E-3</v>
      </c>
      <c r="F674">
        <v>5061863.0999999996</v>
      </c>
      <c r="G674">
        <v>0</v>
      </c>
      <c r="L674" t="s">
        <v>7</v>
      </c>
      <c r="M674" t="s">
        <v>8</v>
      </c>
      <c r="N674" t="s">
        <v>7</v>
      </c>
      <c r="P674">
        <f t="shared" si="994"/>
        <v>-0.82352941176470629</v>
      </c>
      <c r="Q674">
        <f t="shared" si="995"/>
        <v>-4168593.1411764724</v>
      </c>
      <c r="R674">
        <f t="shared" si="996"/>
        <v>-172515766.9665401</v>
      </c>
      <c r="S674">
        <f t="shared" si="997"/>
        <v>-1725.157669665401</v>
      </c>
      <c r="T674">
        <f t="shared" si="998"/>
        <v>-1.725157669665401</v>
      </c>
    </row>
    <row r="675" spans="1:20" x14ac:dyDescent="0.25">
      <c r="A675" s="5">
        <v>43918</v>
      </c>
      <c r="B675">
        <v>8.9999999999999993E-3</v>
      </c>
      <c r="C675">
        <v>9.2399999999999999E-3</v>
      </c>
      <c r="D675">
        <v>8.5400000000000007E-3</v>
      </c>
      <c r="E675">
        <v>9.1999999999999998E-3</v>
      </c>
      <c r="F675">
        <v>1979014.3</v>
      </c>
      <c r="G675">
        <v>0</v>
      </c>
      <c r="L675" t="s">
        <v>8</v>
      </c>
      <c r="M675" t="s">
        <v>8</v>
      </c>
      <c r="N675" t="s">
        <v>7</v>
      </c>
      <c r="P675">
        <f t="shared" si="994"/>
        <v>0.88571428571428534</v>
      </c>
      <c r="Q675">
        <f t="shared" si="995"/>
        <v>1752841.2371428565</v>
      </c>
      <c r="R675">
        <f t="shared" si="996"/>
        <v>-168347173.82536364</v>
      </c>
      <c r="S675">
        <f t="shared" si="997"/>
        <v>-1683.4717382536364</v>
      </c>
      <c r="T675">
        <f t="shared" si="998"/>
        <v>-1.6834717382536364</v>
      </c>
    </row>
    <row r="676" spans="1:20" x14ac:dyDescent="0.25">
      <c r="A676" s="5">
        <v>43917</v>
      </c>
      <c r="B676">
        <v>9.7099999999999999E-3</v>
      </c>
      <c r="C676">
        <v>9.9600000000000001E-3</v>
      </c>
      <c r="D676">
        <v>7.5100000000000002E-3</v>
      </c>
      <c r="E676">
        <v>8.9999999999999993E-3</v>
      </c>
      <c r="F676">
        <v>4706382.5</v>
      </c>
      <c r="G676">
        <v>0</v>
      </c>
      <c r="L676" t="s">
        <v>7</v>
      </c>
      <c r="M676" t="s">
        <v>7</v>
      </c>
      <c r="N676" t="s">
        <v>7</v>
      </c>
      <c r="P676">
        <f t="shared" si="994"/>
        <v>0.21632653061224424</v>
      </c>
      <c r="Q676">
        <f t="shared" si="995"/>
        <v>1018115.3979591806</v>
      </c>
      <c r="R676">
        <f t="shared" si="996"/>
        <v>-170100015.0625065</v>
      </c>
      <c r="S676">
        <f t="shared" si="997"/>
        <v>-1701.0001506250649</v>
      </c>
      <c r="T676">
        <f t="shared" si="998"/>
        <v>-1.7010001506250649</v>
      </c>
    </row>
    <row r="677" spans="1:20" x14ac:dyDescent="0.25">
      <c r="A677" s="5">
        <v>43916</v>
      </c>
      <c r="B677">
        <v>9.4599999999999997E-3</v>
      </c>
      <c r="C677">
        <v>9.8700000000000003E-3</v>
      </c>
      <c r="D677">
        <v>9.2099999999999994E-3</v>
      </c>
      <c r="E677">
        <v>9.6299999999999997E-3</v>
      </c>
      <c r="F677">
        <v>4121765.5</v>
      </c>
      <c r="G677">
        <v>0</v>
      </c>
      <c r="L677" t="s">
        <v>7</v>
      </c>
      <c r="M677" t="s">
        <v>8</v>
      </c>
      <c r="N677" t="s">
        <v>7</v>
      </c>
      <c r="P677">
        <f t="shared" si="994"/>
        <v>0.27272727272727176</v>
      </c>
      <c r="Q677">
        <f t="shared" si="995"/>
        <v>1124117.8636363596</v>
      </c>
      <c r="R677">
        <f t="shared" si="996"/>
        <v>-171118130.46046567</v>
      </c>
      <c r="S677">
        <f t="shared" si="997"/>
        <v>-1711.1813046046566</v>
      </c>
      <c r="T677">
        <f t="shared" si="998"/>
        <v>-1.7111813046046567</v>
      </c>
    </row>
    <row r="678" spans="1:20" x14ac:dyDescent="0.25">
      <c r="A678" s="5">
        <v>43915</v>
      </c>
      <c r="B678">
        <v>9.6299999999999997E-3</v>
      </c>
      <c r="C678">
        <v>1.0019999999999999E-2</v>
      </c>
      <c r="D678">
        <v>9.1900000000000003E-3</v>
      </c>
      <c r="E678">
        <v>9.3900000000000008E-3</v>
      </c>
      <c r="F678">
        <v>5281399.5</v>
      </c>
      <c r="G678">
        <v>0</v>
      </c>
      <c r="L678" t="s">
        <v>7</v>
      </c>
      <c r="M678" t="s">
        <v>8</v>
      </c>
      <c r="N678" t="s">
        <v>7</v>
      </c>
      <c r="P678">
        <f t="shared" si="994"/>
        <v>-0.51807228915662473</v>
      </c>
      <c r="Q678">
        <f t="shared" si="995"/>
        <v>-2736146.7289156532</v>
      </c>
      <c r="R678">
        <f t="shared" si="996"/>
        <v>-172242248.32410204</v>
      </c>
      <c r="S678">
        <f t="shared" si="997"/>
        <v>-1722.4224832410205</v>
      </c>
      <c r="T678">
        <f t="shared" si="998"/>
        <v>-1.7224224832410204</v>
      </c>
    </row>
    <row r="679" spans="1:20" x14ac:dyDescent="0.25">
      <c r="A679" s="5">
        <v>43914</v>
      </c>
      <c r="B679">
        <v>1.035E-2</v>
      </c>
      <c r="C679">
        <v>1.0699999999999999E-2</v>
      </c>
      <c r="D679">
        <v>9.4400000000000005E-3</v>
      </c>
      <c r="E679">
        <v>9.75E-3</v>
      </c>
      <c r="F679">
        <v>7896733</v>
      </c>
      <c r="G679">
        <v>0</v>
      </c>
      <c r="L679" t="s">
        <v>7</v>
      </c>
      <c r="M679" t="s">
        <v>8</v>
      </c>
      <c r="N679" t="s">
        <v>7</v>
      </c>
      <c r="P679">
        <f t="shared" si="994"/>
        <v>-0.50793650793650835</v>
      </c>
      <c r="Q679">
        <f t="shared" si="995"/>
        <v>-4011038.9841269874</v>
      </c>
      <c r="R679">
        <f t="shared" si="996"/>
        <v>-169506101.59518638</v>
      </c>
      <c r="S679">
        <f t="shared" si="997"/>
        <v>-1695.0610159518637</v>
      </c>
      <c r="T679">
        <f t="shared" si="998"/>
        <v>-1.6950610159518638</v>
      </c>
    </row>
    <row r="680" spans="1:20" x14ac:dyDescent="0.25">
      <c r="A680" s="5">
        <v>43913</v>
      </c>
      <c r="B680">
        <v>7.9500000000000005E-3</v>
      </c>
      <c r="C680">
        <v>1.069E-2</v>
      </c>
      <c r="D680">
        <v>7.9500000000000005E-3</v>
      </c>
      <c r="E680">
        <v>1.051E-2</v>
      </c>
      <c r="F680">
        <v>7493256.2999999998</v>
      </c>
      <c r="G680">
        <v>0</v>
      </c>
      <c r="L680" t="s">
        <v>8</v>
      </c>
      <c r="M680" t="s">
        <v>7</v>
      </c>
      <c r="N680" t="s">
        <v>7</v>
      </c>
      <c r="P680">
        <f t="shared" si="994"/>
        <v>0.86861313868613166</v>
      </c>
      <c r="Q680">
        <f t="shared" si="995"/>
        <v>6508740.8737226296</v>
      </c>
      <c r="R680">
        <f t="shared" si="996"/>
        <v>-165495062.6110594</v>
      </c>
      <c r="S680">
        <f t="shared" si="997"/>
        <v>-1654.9506261105939</v>
      </c>
      <c r="T680">
        <f t="shared" si="998"/>
        <v>-1.654950626110594</v>
      </c>
    </row>
    <row r="681" spans="1:20" x14ac:dyDescent="0.25">
      <c r="A681" s="5">
        <v>43912</v>
      </c>
      <c r="B681">
        <v>8.7899999999999992E-3</v>
      </c>
      <c r="C681">
        <v>8.9499999999999996E-3</v>
      </c>
      <c r="D681">
        <v>8.0099999999999998E-3</v>
      </c>
      <c r="E681">
        <v>8.0099999999999998E-3</v>
      </c>
      <c r="F681">
        <v>6107933.7999999998</v>
      </c>
      <c r="G681">
        <v>0</v>
      </c>
      <c r="L681" t="s">
        <v>8</v>
      </c>
      <c r="M681" t="s">
        <v>7</v>
      </c>
      <c r="N681" t="s">
        <v>7</v>
      </c>
      <c r="P681">
        <f t="shared" si="994"/>
        <v>-1</v>
      </c>
      <c r="Q681">
        <f t="shared" si="995"/>
        <v>-6107933.7999999998</v>
      </c>
      <c r="R681">
        <f t="shared" si="996"/>
        <v>-172003803.48478204</v>
      </c>
      <c r="S681">
        <f t="shared" si="997"/>
        <v>-1720.0380348478204</v>
      </c>
      <c r="T681">
        <f t="shared" si="998"/>
        <v>-1.7200380348478204</v>
      </c>
    </row>
    <row r="682" spans="1:20" x14ac:dyDescent="0.25">
      <c r="A682" s="5">
        <v>43911</v>
      </c>
      <c r="B682">
        <v>9.7999999999999997E-3</v>
      </c>
      <c r="C682">
        <v>1.0500000000000001E-2</v>
      </c>
      <c r="D682">
        <v>8.0499999999999999E-3</v>
      </c>
      <c r="E682">
        <v>8.8999999999999999E-3</v>
      </c>
      <c r="F682">
        <v>12224753.1</v>
      </c>
      <c r="G682">
        <v>0</v>
      </c>
      <c r="L682" t="s">
        <v>7</v>
      </c>
      <c r="M682" t="s">
        <v>7</v>
      </c>
      <c r="N682" t="s">
        <v>7</v>
      </c>
      <c r="P682">
        <f t="shared" si="994"/>
        <v>-0.30612244897959201</v>
      </c>
      <c r="Q682">
        <f t="shared" si="995"/>
        <v>-3742271.3571428591</v>
      </c>
      <c r="R682">
        <f t="shared" si="996"/>
        <v>-165895869.68478203</v>
      </c>
      <c r="S682">
        <f t="shared" si="997"/>
        <v>-1658.9586968478202</v>
      </c>
      <c r="T682">
        <f t="shared" si="998"/>
        <v>-1.6589586968478203</v>
      </c>
    </row>
    <row r="683" spans="1:20" x14ac:dyDescent="0.25">
      <c r="A683" s="5">
        <v>43910</v>
      </c>
      <c r="B683">
        <v>8.2199999999999999E-3</v>
      </c>
      <c r="C683">
        <v>1.1639999999999999E-2</v>
      </c>
      <c r="D683">
        <v>8.0099999999999998E-3</v>
      </c>
      <c r="E683">
        <v>9.7800000000000005E-3</v>
      </c>
      <c r="F683">
        <v>31867698.600000001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-2.4793388429751536E-2</v>
      </c>
      <c r="Q683">
        <f t="shared" si="995"/>
        <v>-790108.22975204932</v>
      </c>
      <c r="R683">
        <f t="shared" si="996"/>
        <v>-162153598.32763916</v>
      </c>
      <c r="S683">
        <f t="shared" si="997"/>
        <v>-1621.5359832763916</v>
      </c>
      <c r="T683">
        <f t="shared" si="998"/>
        <v>-1.6215359832763916</v>
      </c>
    </row>
    <row r="684" spans="1:20" x14ac:dyDescent="0.25">
      <c r="A684" s="5">
        <v>43909</v>
      </c>
      <c r="B684">
        <v>6.7400000000000003E-3</v>
      </c>
      <c r="C684">
        <v>8.5199999999999998E-3</v>
      </c>
      <c r="D684">
        <v>6.7000000000000002E-3</v>
      </c>
      <c r="E684">
        <v>8.2199999999999999E-3</v>
      </c>
      <c r="F684">
        <v>3729567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0.67032967032967039</v>
      </c>
      <c r="Q684">
        <f t="shared" si="995"/>
        <v>2500039.4175824178</v>
      </c>
      <c r="R684">
        <f t="shared" si="996"/>
        <v>-161363490.0978871</v>
      </c>
      <c r="S684">
        <f t="shared" si="997"/>
        <v>-1613.634900978871</v>
      </c>
      <c r="T684">
        <f t="shared" si="998"/>
        <v>-1.6136349009788711</v>
      </c>
    </row>
    <row r="685" spans="1:20" x14ac:dyDescent="0.25">
      <c r="A685" s="5">
        <v>43908</v>
      </c>
      <c r="B685">
        <v>6.7499999999999999E-3</v>
      </c>
      <c r="C685">
        <v>6.7999999999999996E-3</v>
      </c>
      <c r="D685">
        <v>6.2399999999999999E-3</v>
      </c>
      <c r="E685">
        <v>6.7200000000000003E-3</v>
      </c>
      <c r="F685">
        <v>1957552.2</v>
      </c>
      <c r="G685">
        <v>0</v>
      </c>
      <c r="L685" t="s">
        <v>7</v>
      </c>
      <c r="M685" t="s">
        <v>8</v>
      </c>
      <c r="N685" t="s">
        <v>7</v>
      </c>
      <c r="P685">
        <f t="shared" si="994"/>
        <v>0.71428571428571652</v>
      </c>
      <c r="Q685">
        <f t="shared" si="995"/>
        <v>1398251.5714285758</v>
      </c>
      <c r="R685">
        <f t="shared" si="996"/>
        <v>-163863529.51546952</v>
      </c>
      <c r="S685">
        <f t="shared" si="997"/>
        <v>-1638.6352951546953</v>
      </c>
      <c r="T685">
        <f t="shared" si="998"/>
        <v>-1.6386352951546954</v>
      </c>
    </row>
    <row r="686" spans="1:20" x14ac:dyDescent="0.25">
      <c r="A686" s="5">
        <v>43907</v>
      </c>
      <c r="B686">
        <v>6.6400000000000001E-3</v>
      </c>
      <c r="C686">
        <v>7.1599999999999997E-3</v>
      </c>
      <c r="D686">
        <v>6.4200000000000004E-3</v>
      </c>
      <c r="E686">
        <v>6.7499999999999999E-3</v>
      </c>
      <c r="F686">
        <v>1684034.6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-0.10810810810810849</v>
      </c>
      <c r="Q686">
        <f t="shared" si="995"/>
        <v>-182057.79459459524</v>
      </c>
      <c r="R686">
        <f t="shared" si="996"/>
        <v>-165261781.08689809</v>
      </c>
      <c r="S686">
        <f t="shared" si="997"/>
        <v>-1652.617810868981</v>
      </c>
      <c r="T686">
        <f t="shared" si="998"/>
        <v>-1.6526178108689811</v>
      </c>
    </row>
    <row r="687" spans="1:20" x14ac:dyDescent="0.25">
      <c r="A687" s="5">
        <v>43906</v>
      </c>
      <c r="B687">
        <v>7.2899999999999996E-3</v>
      </c>
      <c r="C687">
        <v>7.5900000000000004E-3</v>
      </c>
      <c r="D687">
        <v>5.5799999999999999E-3</v>
      </c>
      <c r="E687">
        <v>6.5300000000000002E-3</v>
      </c>
      <c r="F687">
        <v>2701689.8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-5.4726368159203898E-2</v>
      </c>
      <c r="Q687">
        <f t="shared" si="995"/>
        <v>-147853.67064676594</v>
      </c>
      <c r="R687">
        <f t="shared" si="996"/>
        <v>-165079723.2923035</v>
      </c>
      <c r="S687">
        <f t="shared" si="997"/>
        <v>-1650.7972329230349</v>
      </c>
      <c r="T687">
        <f t="shared" si="998"/>
        <v>-1.6507972329230349</v>
      </c>
    </row>
    <row r="688" spans="1:20" x14ac:dyDescent="0.25">
      <c r="A688" s="5">
        <v>43905</v>
      </c>
      <c r="B688">
        <v>7.8100000000000001E-3</v>
      </c>
      <c r="C688">
        <v>8.0300000000000007E-3</v>
      </c>
      <c r="D688">
        <v>7.0899999999999999E-3</v>
      </c>
      <c r="E688">
        <v>7.3499999999999998E-3</v>
      </c>
      <c r="F688">
        <v>4311573.4000000004</v>
      </c>
      <c r="G688">
        <v>0</v>
      </c>
      <c r="L688" t="s">
        <v>7</v>
      </c>
      <c r="M688" t="s">
        <v>7</v>
      </c>
      <c r="N688" t="s">
        <v>8</v>
      </c>
      <c r="P688">
        <f t="shared" si="994"/>
        <v>-0.44680851063829868</v>
      </c>
      <c r="Q688">
        <f t="shared" si="995"/>
        <v>-1926447.6893617057</v>
      </c>
      <c r="R688">
        <f t="shared" si="996"/>
        <v>-164931869.62165675</v>
      </c>
      <c r="S688">
        <f t="shared" si="997"/>
        <v>-1649.3186962165676</v>
      </c>
      <c r="T688">
        <f t="shared" si="998"/>
        <v>-1.6493186962165676</v>
      </c>
    </row>
    <row r="689" spans="1:20" x14ac:dyDescent="0.25">
      <c r="A689" s="5">
        <v>43904</v>
      </c>
      <c r="B689">
        <v>7.6600000000000001E-3</v>
      </c>
      <c r="C689">
        <v>8.43E-3</v>
      </c>
      <c r="D689">
        <v>7.5100000000000002E-3</v>
      </c>
      <c r="E689">
        <v>7.9000000000000008E-3</v>
      </c>
      <c r="F689">
        <v>2527970.1</v>
      </c>
      <c r="G689">
        <v>0</v>
      </c>
      <c r="L689" t="s">
        <v>7</v>
      </c>
      <c r="M689" t="s">
        <v>7</v>
      </c>
      <c r="N689" t="s">
        <v>8</v>
      </c>
      <c r="P689">
        <f t="shared" si="994"/>
        <v>-0.1521739130434768</v>
      </c>
      <c r="Q689">
        <f t="shared" si="995"/>
        <v>-384691.10217390937</v>
      </c>
      <c r="R689">
        <f t="shared" si="996"/>
        <v>-163005421.93229505</v>
      </c>
      <c r="S689">
        <f t="shared" si="997"/>
        <v>-1630.0542193229505</v>
      </c>
      <c r="T689">
        <f t="shared" si="998"/>
        <v>-1.6300542193229506</v>
      </c>
    </row>
    <row r="690" spans="1:20" x14ac:dyDescent="0.25">
      <c r="A690" s="5">
        <v>43903</v>
      </c>
      <c r="B690">
        <v>6.5799999999999999E-3</v>
      </c>
      <c r="C690">
        <v>9.3100000000000006E-3</v>
      </c>
      <c r="D690">
        <v>5.0800000000000003E-3</v>
      </c>
      <c r="E690">
        <v>7.7099999999999998E-3</v>
      </c>
      <c r="F690">
        <v>5792531.2000000002</v>
      </c>
      <c r="G690">
        <v>0</v>
      </c>
      <c r="L690" t="s">
        <v>8</v>
      </c>
      <c r="M690" t="s">
        <v>8</v>
      </c>
      <c r="N690" t="s">
        <v>8</v>
      </c>
      <c r="P690">
        <f t="shared" si="994"/>
        <v>0.24349881796690279</v>
      </c>
      <c r="Q690">
        <f t="shared" si="995"/>
        <v>1410474.5002364051</v>
      </c>
      <c r="R690">
        <f t="shared" si="996"/>
        <v>-162620730.83012116</v>
      </c>
      <c r="S690">
        <f t="shared" si="997"/>
        <v>-1626.2073083012117</v>
      </c>
      <c r="T690">
        <f t="shared" si="998"/>
        <v>-1.6262073083012116</v>
      </c>
    </row>
    <row r="691" spans="1:20" x14ac:dyDescent="0.25">
      <c r="A691" s="5">
        <v>43902</v>
      </c>
      <c r="B691">
        <v>1.325E-2</v>
      </c>
      <c r="C691">
        <v>1.325E-2</v>
      </c>
      <c r="D691">
        <v>4.3E-3</v>
      </c>
      <c r="E691">
        <v>6.5300000000000002E-3</v>
      </c>
      <c r="F691">
        <v>7826426.7000000002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-0.50167597765363126</v>
      </c>
      <c r="Q691">
        <f t="shared" si="995"/>
        <v>-3926330.2662569829</v>
      </c>
      <c r="R691">
        <f t="shared" si="996"/>
        <v>-164031205.33035755</v>
      </c>
      <c r="S691">
        <f t="shared" si="997"/>
        <v>-1640.3120533035756</v>
      </c>
      <c r="T691">
        <f t="shared" si="998"/>
        <v>-1.6403120533035755</v>
      </c>
    </row>
    <row r="692" spans="1:20" x14ac:dyDescent="0.25">
      <c r="A692" s="5">
        <v>43901</v>
      </c>
      <c r="B692">
        <v>1.323E-2</v>
      </c>
      <c r="C692">
        <v>1.3520000000000001E-2</v>
      </c>
      <c r="D692">
        <v>1.2449999999999999E-2</v>
      </c>
      <c r="E692">
        <v>1.323E-2</v>
      </c>
      <c r="F692">
        <v>1828780.8</v>
      </c>
      <c r="G692">
        <v>0</v>
      </c>
      <c r="L692" t="s">
        <v>8</v>
      </c>
      <c r="M692" t="s">
        <v>7</v>
      </c>
      <c r="N692" t="s">
        <v>7</v>
      </c>
      <c r="P692">
        <f t="shared" si="994"/>
        <v>0.45794392523364502</v>
      </c>
      <c r="Q692">
        <f t="shared" si="995"/>
        <v>837479.05794392549</v>
      </c>
      <c r="R692">
        <f t="shared" si="996"/>
        <v>-160104875.06410056</v>
      </c>
      <c r="S692">
        <f t="shared" si="997"/>
        <v>-1601.0487506410057</v>
      </c>
      <c r="T692">
        <f t="shared" si="998"/>
        <v>-1.6010487506410056</v>
      </c>
    </row>
    <row r="693" spans="1:20" x14ac:dyDescent="0.25">
      <c r="A693" s="5">
        <v>43900</v>
      </c>
      <c r="B693">
        <v>1.337E-2</v>
      </c>
      <c r="C693">
        <v>1.413E-2</v>
      </c>
      <c r="D693">
        <v>1.2409999999999999E-2</v>
      </c>
      <c r="E693">
        <v>1.3169999999999999E-2</v>
      </c>
      <c r="F693">
        <v>2909921.5</v>
      </c>
      <c r="G693">
        <v>0</v>
      </c>
      <c r="L693" t="s">
        <v>7</v>
      </c>
      <c r="M693" t="s">
        <v>7</v>
      </c>
      <c r="N693" t="s">
        <v>7</v>
      </c>
      <c r="P693">
        <f t="shared" si="994"/>
        <v>-0.11627906976744209</v>
      </c>
      <c r="Q693">
        <f t="shared" si="995"/>
        <v>-338362.96511627972</v>
      </c>
      <c r="R693">
        <f t="shared" si="996"/>
        <v>-160942354.1220445</v>
      </c>
      <c r="S693">
        <f t="shared" si="997"/>
        <v>-1609.423541220445</v>
      </c>
      <c r="T693">
        <f t="shared" si="998"/>
        <v>-1.609423541220445</v>
      </c>
    </row>
    <row r="694" spans="1:20" x14ac:dyDescent="0.25">
      <c r="A694" s="5">
        <v>43899</v>
      </c>
      <c r="B694">
        <v>1.4200000000000001E-2</v>
      </c>
      <c r="C694">
        <v>1.436E-2</v>
      </c>
      <c r="D694">
        <v>1.2749999999999999E-2</v>
      </c>
      <c r="E694">
        <v>1.337E-2</v>
      </c>
      <c r="F694">
        <v>5226385.5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-0.2298136645962725</v>
      </c>
      <c r="Q694">
        <f t="shared" si="995"/>
        <v>-1201094.804347822</v>
      </c>
      <c r="R694">
        <f t="shared" si="996"/>
        <v>-160603991.15692821</v>
      </c>
      <c r="S694">
        <f t="shared" si="997"/>
        <v>-1606.0399115692821</v>
      </c>
      <c r="T694">
        <f t="shared" si="998"/>
        <v>-1.6060399115692821</v>
      </c>
    </row>
    <row r="695" spans="1:20" x14ac:dyDescent="0.25">
      <c r="A695" s="5">
        <v>43898</v>
      </c>
      <c r="B695">
        <v>1.6420000000000001E-2</v>
      </c>
      <c r="C695">
        <v>1.6420000000000001E-2</v>
      </c>
      <c r="D695">
        <v>1.4239999999999999E-2</v>
      </c>
      <c r="E695">
        <v>1.4239999999999999E-2</v>
      </c>
      <c r="F695">
        <v>5414180</v>
      </c>
      <c r="G695">
        <v>0</v>
      </c>
      <c r="L695" t="s">
        <v>7</v>
      </c>
      <c r="M695" t="s">
        <v>7</v>
      </c>
      <c r="N695" t="s">
        <v>8</v>
      </c>
      <c r="P695">
        <f t="shared" si="994"/>
        <v>-1</v>
      </c>
      <c r="Q695">
        <f t="shared" si="995"/>
        <v>-5414180</v>
      </c>
      <c r="R695">
        <f t="shared" si="996"/>
        <v>-159402896.3525804</v>
      </c>
      <c r="S695">
        <f t="shared" si="997"/>
        <v>-1594.0289635258039</v>
      </c>
      <c r="T695">
        <f t="shared" si="998"/>
        <v>-1.5940289635258038</v>
      </c>
    </row>
    <row r="696" spans="1:20" x14ac:dyDescent="0.25">
      <c r="A696" s="5">
        <v>43897</v>
      </c>
      <c r="B696">
        <v>1.7850000000000001E-2</v>
      </c>
      <c r="C696">
        <v>1.8589999999999999E-2</v>
      </c>
      <c r="D696">
        <v>1.61E-2</v>
      </c>
      <c r="E696">
        <v>1.6570000000000001E-2</v>
      </c>
      <c r="F696">
        <v>6280528.7000000002</v>
      </c>
      <c r="G696">
        <v>0</v>
      </c>
      <c r="L696" t="s">
        <v>7</v>
      </c>
      <c r="M696" t="s">
        <v>8</v>
      </c>
      <c r="N696" t="s">
        <v>8</v>
      </c>
      <c r="P696">
        <f t="shared" si="994"/>
        <v>-0.62248995983935596</v>
      </c>
      <c r="Q696">
        <f t="shared" si="995"/>
        <v>-3909566.0582329226</v>
      </c>
      <c r="R696">
        <f t="shared" si="996"/>
        <v>-153988716.3525804</v>
      </c>
      <c r="S696">
        <f t="shared" si="997"/>
        <v>-1539.887163525804</v>
      </c>
      <c r="T696">
        <f t="shared" si="998"/>
        <v>-1.539887163525804</v>
      </c>
    </row>
    <row r="697" spans="1:20" x14ac:dyDescent="0.25">
      <c r="A697" s="5">
        <v>43896</v>
      </c>
      <c r="B697">
        <v>1.6469999999999999E-2</v>
      </c>
      <c r="C697">
        <v>1.899E-2</v>
      </c>
      <c r="D697">
        <v>1.627E-2</v>
      </c>
      <c r="E697">
        <v>1.7850000000000001E-2</v>
      </c>
      <c r="F697">
        <v>8558483.6999999993</v>
      </c>
      <c r="G697">
        <v>0</v>
      </c>
      <c r="L697" t="s">
        <v>8</v>
      </c>
      <c r="M697" t="s">
        <v>8</v>
      </c>
      <c r="N697" t="s">
        <v>8</v>
      </c>
      <c r="P697">
        <f t="shared" si="994"/>
        <v>0.161764705882354</v>
      </c>
      <c r="Q697">
        <f t="shared" si="995"/>
        <v>1384460.5985294208</v>
      </c>
      <c r="R697">
        <f t="shared" si="996"/>
        <v>-150079150.29434747</v>
      </c>
      <c r="S697">
        <f t="shared" si="997"/>
        <v>-1500.7915029434746</v>
      </c>
      <c r="T697">
        <f t="shared" si="998"/>
        <v>-1.5007915029434746</v>
      </c>
    </row>
    <row r="698" spans="1:20" x14ac:dyDescent="0.25">
      <c r="A698" s="5">
        <v>43895</v>
      </c>
      <c r="B698">
        <v>1.536E-2</v>
      </c>
      <c r="C698">
        <v>1.677E-2</v>
      </c>
      <c r="D698">
        <v>1.536E-2</v>
      </c>
      <c r="E698">
        <v>1.6449999999999999E-2</v>
      </c>
      <c r="F698">
        <v>4692047.5999999996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0.54609929078014063</v>
      </c>
      <c r="Q698">
        <f t="shared" si="995"/>
        <v>2562323.8666666606</v>
      </c>
      <c r="R698">
        <f t="shared" si="996"/>
        <v>-151463610.89287689</v>
      </c>
      <c r="S698">
        <f t="shared" si="997"/>
        <v>-1514.6361089287689</v>
      </c>
      <c r="T698">
        <f t="shared" si="998"/>
        <v>-1.5146361089287688</v>
      </c>
    </row>
    <row r="699" spans="1:20" x14ac:dyDescent="0.25">
      <c r="A699" s="5">
        <v>43894</v>
      </c>
      <c r="B699">
        <v>1.504E-2</v>
      </c>
      <c r="C699">
        <v>1.5689999999999999E-2</v>
      </c>
      <c r="D699">
        <v>1.49E-2</v>
      </c>
      <c r="E699">
        <v>1.55E-2</v>
      </c>
      <c r="F699">
        <v>1584207.8</v>
      </c>
      <c r="G699">
        <v>0</v>
      </c>
      <c r="L699" t="s">
        <v>8</v>
      </c>
      <c r="M699" t="s">
        <v>8</v>
      </c>
      <c r="N699" t="s">
        <v>7</v>
      </c>
      <c r="P699">
        <f t="shared" si="994"/>
        <v>0.51898734177215333</v>
      </c>
      <c r="Q699">
        <f t="shared" si="995"/>
        <v>822183.7949367112</v>
      </c>
      <c r="R699">
        <f t="shared" si="996"/>
        <v>-154025934.75954357</v>
      </c>
      <c r="S699">
        <f t="shared" si="997"/>
        <v>-1540.2593475954357</v>
      </c>
      <c r="T699">
        <f t="shared" si="998"/>
        <v>-1.5402593475954356</v>
      </c>
    </row>
    <row r="700" spans="1:20" x14ac:dyDescent="0.25">
      <c r="A700" s="5">
        <v>43893</v>
      </c>
      <c r="B700">
        <v>1.5310000000000001E-2</v>
      </c>
      <c r="C700">
        <v>1.554E-2</v>
      </c>
      <c r="D700">
        <v>1.4749999999999999E-2</v>
      </c>
      <c r="E700">
        <v>1.504E-2</v>
      </c>
      <c r="F700">
        <v>2004783</v>
      </c>
      <c r="G700">
        <v>0</v>
      </c>
      <c r="L700" t="s">
        <v>8</v>
      </c>
      <c r="M700" t="s">
        <v>8</v>
      </c>
      <c r="N700" t="s">
        <v>7</v>
      </c>
      <c r="P700">
        <f t="shared" si="994"/>
        <v>-0.26582278481012644</v>
      </c>
      <c r="Q700">
        <f t="shared" si="995"/>
        <v>-532916.99999999977</v>
      </c>
      <c r="R700">
        <f t="shared" si="996"/>
        <v>-154848118.55448028</v>
      </c>
      <c r="S700">
        <f t="shared" si="997"/>
        <v>-1548.4811855448029</v>
      </c>
      <c r="T700">
        <f t="shared" si="998"/>
        <v>-1.5484811855448029</v>
      </c>
    </row>
    <row r="701" spans="1:20" x14ac:dyDescent="0.25">
      <c r="A701" s="5">
        <v>43892</v>
      </c>
      <c r="B701">
        <v>1.435E-2</v>
      </c>
      <c r="C701">
        <v>1.5800000000000002E-2</v>
      </c>
      <c r="D701">
        <v>1.43E-2</v>
      </c>
      <c r="E701">
        <v>1.5299999999999999E-2</v>
      </c>
      <c r="F701">
        <v>2236929.7000000002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0.33333333333333104</v>
      </c>
      <c r="Q701">
        <f t="shared" si="995"/>
        <v>745643.23333332827</v>
      </c>
      <c r="R701">
        <f t="shared" si="996"/>
        <v>-154315201.55448028</v>
      </c>
      <c r="S701">
        <f t="shared" si="997"/>
        <v>-1543.1520155448029</v>
      </c>
      <c r="T701">
        <f t="shared" si="998"/>
        <v>-1.5431520155448029</v>
      </c>
    </row>
    <row r="702" spans="1:20" x14ac:dyDescent="0.25">
      <c r="A702" s="5">
        <v>43891</v>
      </c>
      <c r="B702">
        <v>1.4420000000000001E-2</v>
      </c>
      <c r="C702">
        <v>1.545E-2</v>
      </c>
      <c r="D702">
        <v>1.418E-2</v>
      </c>
      <c r="E702">
        <v>1.448E-2</v>
      </c>
      <c r="F702">
        <v>4316466.2</v>
      </c>
      <c r="G702">
        <v>0</v>
      </c>
      <c r="L702" t="s">
        <v>8</v>
      </c>
      <c r="M702" t="s">
        <v>8</v>
      </c>
      <c r="N702" t="s">
        <v>7</v>
      </c>
      <c r="P702">
        <f t="shared" si="994"/>
        <v>-0.52755905511811052</v>
      </c>
      <c r="Q702">
        <f t="shared" si="995"/>
        <v>-2277190.8299212609</v>
      </c>
      <c r="R702">
        <f t="shared" si="996"/>
        <v>-155060844.7878136</v>
      </c>
      <c r="S702">
        <f t="shared" si="997"/>
        <v>-1550.6084478781361</v>
      </c>
      <c r="T702">
        <f t="shared" si="998"/>
        <v>-1.5506084478781361</v>
      </c>
    </row>
    <row r="703" spans="1:20" x14ac:dyDescent="0.25">
      <c r="A703" s="5">
        <v>43890</v>
      </c>
      <c r="B703">
        <v>1.5140000000000001E-2</v>
      </c>
      <c r="C703">
        <v>1.6250000000000001E-2</v>
      </c>
      <c r="D703">
        <v>1.426E-2</v>
      </c>
      <c r="E703">
        <v>1.448E-2</v>
      </c>
      <c r="F703">
        <v>5339427.4000000004</v>
      </c>
      <c r="G703">
        <v>0</v>
      </c>
      <c r="L703" t="s">
        <v>7</v>
      </c>
      <c r="M703" t="s">
        <v>8</v>
      </c>
      <c r="N703" t="s">
        <v>7</v>
      </c>
      <c r="P703">
        <f t="shared" si="994"/>
        <v>-0.77889447236180942</v>
      </c>
      <c r="Q703">
        <f t="shared" si="995"/>
        <v>-4158850.4874371882</v>
      </c>
      <c r="R703">
        <f t="shared" si="996"/>
        <v>-152783653.95789233</v>
      </c>
      <c r="S703">
        <f t="shared" si="997"/>
        <v>-1527.8365395789233</v>
      </c>
      <c r="T703">
        <f t="shared" si="998"/>
        <v>-1.5278365395789233</v>
      </c>
    </row>
    <row r="704" spans="1:20" x14ac:dyDescent="0.25">
      <c r="A704" s="5">
        <v>43889</v>
      </c>
      <c r="B704">
        <v>1.393E-2</v>
      </c>
      <c r="C704">
        <v>1.6469999999999999E-2</v>
      </c>
      <c r="D704">
        <v>1.3440000000000001E-2</v>
      </c>
      <c r="E704">
        <v>1.5140000000000001E-2</v>
      </c>
      <c r="F704">
        <v>4219731.9000000004</v>
      </c>
      <c r="G704">
        <v>0</v>
      </c>
      <c r="L704" t="s">
        <v>8</v>
      </c>
      <c r="M704" t="s">
        <v>8</v>
      </c>
      <c r="N704" t="s">
        <v>7</v>
      </c>
      <c r="P704">
        <f t="shared" si="994"/>
        <v>0.12211221122112294</v>
      </c>
      <c r="Q704">
        <f t="shared" si="995"/>
        <v>515280.79306931049</v>
      </c>
      <c r="R704">
        <f t="shared" si="996"/>
        <v>-148624803.47045514</v>
      </c>
      <c r="S704">
        <f t="shared" si="997"/>
        <v>-1486.2480347045514</v>
      </c>
      <c r="T704">
        <f t="shared" si="998"/>
        <v>-1.4862480347045515</v>
      </c>
    </row>
    <row r="705" spans="1:20" x14ac:dyDescent="0.25">
      <c r="A705" s="5">
        <v>43888</v>
      </c>
      <c r="B705">
        <v>1.358E-2</v>
      </c>
      <c r="C705">
        <v>1.4880000000000001E-2</v>
      </c>
      <c r="D705">
        <v>1.324E-2</v>
      </c>
      <c r="E705">
        <v>1.3860000000000001E-2</v>
      </c>
      <c r="F705">
        <v>2757981.9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-0.24390243902438971</v>
      </c>
      <c r="Q705">
        <f t="shared" si="995"/>
        <v>-672678.51219512045</v>
      </c>
      <c r="R705">
        <f t="shared" si="996"/>
        <v>-149140084.26352444</v>
      </c>
      <c r="S705">
        <f t="shared" si="997"/>
        <v>-1491.4008426352443</v>
      </c>
      <c r="T705">
        <f t="shared" si="998"/>
        <v>-1.4914008426352443</v>
      </c>
    </row>
    <row r="706" spans="1:20" x14ac:dyDescent="0.25">
      <c r="A706" s="5">
        <v>43887</v>
      </c>
      <c r="B706">
        <v>1.545E-2</v>
      </c>
      <c r="C706">
        <v>1.562E-2</v>
      </c>
      <c r="D706">
        <v>1.3270000000000001E-2</v>
      </c>
      <c r="E706">
        <v>1.389E-2</v>
      </c>
      <c r="F706">
        <v>3401440.4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-0.47234042553191563</v>
      </c>
      <c r="Q706">
        <f t="shared" si="995"/>
        <v>-1606637.8059574494</v>
      </c>
      <c r="R706">
        <f t="shared" si="996"/>
        <v>-148467405.75132933</v>
      </c>
      <c r="S706">
        <f t="shared" si="997"/>
        <v>-1484.6740575132933</v>
      </c>
      <c r="T706">
        <f t="shared" si="998"/>
        <v>-1.4846740575132933</v>
      </c>
    </row>
    <row r="707" spans="1:20" x14ac:dyDescent="0.25">
      <c r="A707" s="5">
        <v>43886</v>
      </c>
      <c r="B707">
        <v>1.635E-2</v>
      </c>
      <c r="C707">
        <v>1.6559999999999998E-2</v>
      </c>
      <c r="D707">
        <v>1.5100000000000001E-2</v>
      </c>
      <c r="E707">
        <v>1.5469999999999999E-2</v>
      </c>
      <c r="F707">
        <v>1798778.3</v>
      </c>
      <c r="G707">
        <v>0</v>
      </c>
      <c r="L707" t="s">
        <v>7</v>
      </c>
      <c r="M707" t="s">
        <v>8</v>
      </c>
      <c r="N707" t="s">
        <v>7</v>
      </c>
      <c r="P707">
        <f t="shared" si="994"/>
        <v>-0.49315068493150771</v>
      </c>
      <c r="Q707">
        <f t="shared" si="995"/>
        <v>-887068.75068493304</v>
      </c>
      <c r="R707">
        <f t="shared" si="996"/>
        <v>-146860767.9453719</v>
      </c>
      <c r="S707">
        <f t="shared" si="997"/>
        <v>-1468.6076794537189</v>
      </c>
      <c r="T707">
        <f t="shared" si="998"/>
        <v>-1.4686076794537188</v>
      </c>
    </row>
    <row r="708" spans="1:20" x14ac:dyDescent="0.25">
      <c r="A708" s="5">
        <v>43885</v>
      </c>
      <c r="B708">
        <v>1.677E-2</v>
      </c>
      <c r="C708">
        <v>1.7250000000000001E-2</v>
      </c>
      <c r="D708">
        <v>1.5949999999999999E-2</v>
      </c>
      <c r="E708">
        <v>1.6490000000000001E-2</v>
      </c>
      <c r="F708">
        <v>2590339.5</v>
      </c>
      <c r="G708">
        <v>0</v>
      </c>
      <c r="L708" t="s">
        <v>7</v>
      </c>
      <c r="M708" t="s">
        <v>8</v>
      </c>
      <c r="N708" t="s">
        <v>7</v>
      </c>
      <c r="P708">
        <f t="shared" si="994"/>
        <v>-0.16923076923076735</v>
      </c>
      <c r="Q708">
        <f t="shared" si="995"/>
        <v>-438365.14615384128</v>
      </c>
      <c r="R708">
        <f t="shared" si="996"/>
        <v>-145973699.19468695</v>
      </c>
      <c r="S708">
        <f t="shared" si="997"/>
        <v>-1459.7369919468695</v>
      </c>
      <c r="T708">
        <f t="shared" si="998"/>
        <v>-1.4597369919468695</v>
      </c>
    </row>
    <row r="709" spans="1:20" x14ac:dyDescent="0.25">
      <c r="A709" s="5">
        <v>43884</v>
      </c>
      <c r="B709">
        <v>1.6930000000000001E-2</v>
      </c>
      <c r="C709">
        <v>1.7999999999999999E-2</v>
      </c>
      <c r="D709">
        <v>1.6330000000000001E-2</v>
      </c>
      <c r="E709">
        <v>1.678E-2</v>
      </c>
      <c r="F709">
        <v>6347524</v>
      </c>
      <c r="G709">
        <v>0</v>
      </c>
      <c r="L709" t="s">
        <v>8</v>
      </c>
      <c r="M709" t="s">
        <v>8</v>
      </c>
      <c r="N709" t="s">
        <v>7</v>
      </c>
      <c r="P709">
        <f t="shared" si="994"/>
        <v>-0.46107784431137772</v>
      </c>
      <c r="Q709">
        <f t="shared" si="995"/>
        <v>-2926702.6826347336</v>
      </c>
      <c r="R709">
        <f t="shared" si="996"/>
        <v>-145535334.04853311</v>
      </c>
      <c r="S709">
        <f t="shared" si="997"/>
        <v>-1455.353340485331</v>
      </c>
      <c r="T709">
        <f t="shared" si="998"/>
        <v>-1.4553533404853309</v>
      </c>
    </row>
    <row r="710" spans="1:20" x14ac:dyDescent="0.25">
      <c r="A710" s="5">
        <v>43883</v>
      </c>
      <c r="B710">
        <v>1.559E-2</v>
      </c>
      <c r="C710">
        <v>1.6990000000000002E-2</v>
      </c>
      <c r="D710">
        <v>1.523E-2</v>
      </c>
      <c r="E710">
        <v>1.6930000000000001E-2</v>
      </c>
      <c r="F710">
        <v>3445986.6</v>
      </c>
      <c r="G710">
        <v>0</v>
      </c>
      <c r="L710" t="s">
        <v>8</v>
      </c>
      <c r="M710" t="s">
        <v>7</v>
      </c>
      <c r="N710" t="s">
        <v>7</v>
      </c>
      <c r="P710">
        <f t="shared" ref="P710:P766" si="999">IF(C710=D710,0,((E710-D710)-(C710-E710))/(C710-D710))</f>
        <v>0.93181818181818066</v>
      </c>
      <c r="Q710">
        <f t="shared" ref="Q710:Q766" si="1000">F710*P710</f>
        <v>3211032.9681818141</v>
      </c>
      <c r="R710">
        <f t="shared" ref="R710:R766" si="1001">R711+Q710</f>
        <v>-142608631.36589837</v>
      </c>
      <c r="S710">
        <f t="shared" ref="S710:S766" si="1002">R710/100000</f>
        <v>-1426.0863136589837</v>
      </c>
      <c r="T710">
        <f t="shared" ref="T710:T766" si="1003">S710/1000</f>
        <v>-1.4260863136589836</v>
      </c>
    </row>
    <row r="711" spans="1:20" x14ac:dyDescent="0.25">
      <c r="A711" s="5">
        <v>43882</v>
      </c>
      <c r="B711">
        <v>1.5310000000000001E-2</v>
      </c>
      <c r="C711">
        <v>1.6140000000000002E-2</v>
      </c>
      <c r="D711">
        <v>1.5180000000000001E-2</v>
      </c>
      <c r="E711">
        <v>1.5570000000000001E-2</v>
      </c>
      <c r="F711">
        <v>3370454.3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-0.18750000000000125</v>
      </c>
      <c r="Q711">
        <f t="shared" si="1000"/>
        <v>-631960.18125000421</v>
      </c>
      <c r="R711">
        <f t="shared" si="1001"/>
        <v>-145819664.33408019</v>
      </c>
      <c r="S711">
        <f t="shared" si="1002"/>
        <v>-1458.196643340802</v>
      </c>
      <c r="T711">
        <f t="shared" si="1003"/>
        <v>-1.458196643340802</v>
      </c>
    </row>
    <row r="712" spans="1:20" x14ac:dyDescent="0.25">
      <c r="A712" s="5">
        <v>43881</v>
      </c>
      <c r="B712">
        <v>1.6109999999999999E-2</v>
      </c>
      <c r="C712">
        <v>1.6109999999999999E-2</v>
      </c>
      <c r="D712">
        <v>1.469E-2</v>
      </c>
      <c r="E712">
        <v>1.554E-2</v>
      </c>
      <c r="F712">
        <v>6448111.7999999998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0.19718309859154989</v>
      </c>
      <c r="Q712">
        <f t="shared" si="1000"/>
        <v>1271458.6647887363</v>
      </c>
      <c r="R712">
        <f t="shared" si="1001"/>
        <v>-145187704.15283018</v>
      </c>
      <c r="S712">
        <f t="shared" si="1002"/>
        <v>-1451.8770415283018</v>
      </c>
      <c r="T712">
        <f t="shared" si="1003"/>
        <v>-1.4518770415283018</v>
      </c>
    </row>
    <row r="713" spans="1:20" x14ac:dyDescent="0.25">
      <c r="A713" s="5">
        <v>43880</v>
      </c>
      <c r="B713">
        <v>1.728E-2</v>
      </c>
      <c r="C713">
        <v>1.7950000000000001E-2</v>
      </c>
      <c r="D713">
        <v>1.5820000000000001E-2</v>
      </c>
      <c r="E713">
        <v>1.6109999999999999E-2</v>
      </c>
      <c r="F713">
        <v>4555891.3</v>
      </c>
      <c r="G713">
        <v>0</v>
      </c>
      <c r="L713" t="s">
        <v>7</v>
      </c>
      <c r="M713" t="s">
        <v>7</v>
      </c>
      <c r="N713" t="s">
        <v>8</v>
      </c>
      <c r="P713">
        <f t="shared" si="999"/>
        <v>-0.72769953051643321</v>
      </c>
      <c r="Q713">
        <f t="shared" si="1000"/>
        <v>-3315319.9600939024</v>
      </c>
      <c r="R713">
        <f t="shared" si="1001"/>
        <v>-146459162.81761891</v>
      </c>
      <c r="S713">
        <f t="shared" si="1002"/>
        <v>-1464.591628176189</v>
      </c>
      <c r="T713">
        <f t="shared" si="1003"/>
        <v>-1.464591628176189</v>
      </c>
    </row>
    <row r="714" spans="1:20" x14ac:dyDescent="0.25">
      <c r="A714" s="5">
        <v>43879</v>
      </c>
      <c r="B714">
        <v>1.6879999999999999E-2</v>
      </c>
      <c r="C714">
        <v>1.746E-2</v>
      </c>
      <c r="D714">
        <v>1.6E-2</v>
      </c>
      <c r="E714">
        <v>1.7239999999999998E-2</v>
      </c>
      <c r="F714">
        <v>3598907.4</v>
      </c>
      <c r="G714">
        <v>0</v>
      </c>
      <c r="L714" t="s">
        <v>7</v>
      </c>
      <c r="M714" t="s">
        <v>7</v>
      </c>
      <c r="N714" t="s">
        <v>8</v>
      </c>
      <c r="P714">
        <f t="shared" si="999"/>
        <v>0.69863013698629928</v>
      </c>
      <c r="Q714">
        <f t="shared" si="1000"/>
        <v>2514305.1698630061</v>
      </c>
      <c r="R714">
        <f t="shared" si="1001"/>
        <v>-143143842.85752499</v>
      </c>
      <c r="S714">
        <f t="shared" si="1002"/>
        <v>-1431.4384285752499</v>
      </c>
      <c r="T714">
        <f t="shared" si="1003"/>
        <v>-1.4314384285752499</v>
      </c>
    </row>
    <row r="715" spans="1:20" x14ac:dyDescent="0.25">
      <c r="A715" s="5">
        <v>43878</v>
      </c>
      <c r="B715">
        <v>1.729E-2</v>
      </c>
      <c r="C715">
        <v>1.8440000000000002E-2</v>
      </c>
      <c r="D715">
        <v>1.5800000000000002E-2</v>
      </c>
      <c r="E715">
        <v>1.6930000000000001E-2</v>
      </c>
      <c r="F715">
        <v>5035350.5</v>
      </c>
      <c r="G715">
        <v>0</v>
      </c>
      <c r="L715" t="s">
        <v>8</v>
      </c>
      <c r="M715" t="s">
        <v>7</v>
      </c>
      <c r="N715" t="s">
        <v>8</v>
      </c>
      <c r="P715">
        <f t="shared" si="999"/>
        <v>-0.14393939393939464</v>
      </c>
      <c r="Q715">
        <f t="shared" si="1000"/>
        <v>-724785.29924242781</v>
      </c>
      <c r="R715">
        <f t="shared" si="1001"/>
        <v>-145658148.02738801</v>
      </c>
      <c r="S715">
        <f t="shared" si="1002"/>
        <v>-1456.5814802738801</v>
      </c>
      <c r="T715">
        <f t="shared" si="1003"/>
        <v>-1.4565814802738801</v>
      </c>
    </row>
    <row r="716" spans="1:20" x14ac:dyDescent="0.25">
      <c r="A716" s="5">
        <v>43877</v>
      </c>
      <c r="B716">
        <v>1.7569999999999999E-2</v>
      </c>
      <c r="C716">
        <v>1.8749999999999999E-2</v>
      </c>
      <c r="D716">
        <v>1.5890000000000001E-2</v>
      </c>
      <c r="E716">
        <v>1.729E-2</v>
      </c>
      <c r="F716">
        <v>5163856.5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-2.0979020979021351E-2</v>
      </c>
      <c r="Q716">
        <f t="shared" si="1000"/>
        <v>-108332.65384615576</v>
      </c>
      <c r="R716">
        <f t="shared" si="1001"/>
        <v>-144933362.72814557</v>
      </c>
      <c r="S716">
        <f t="shared" si="1002"/>
        <v>-1449.3336272814556</v>
      </c>
      <c r="T716">
        <f t="shared" si="1003"/>
        <v>-1.4493336272814556</v>
      </c>
    </row>
    <row r="717" spans="1:20" x14ac:dyDescent="0.25">
      <c r="A717" s="5">
        <v>43876</v>
      </c>
      <c r="B717">
        <v>1.9709999999999998E-2</v>
      </c>
      <c r="C717">
        <v>2.0490000000000001E-2</v>
      </c>
      <c r="D717">
        <v>1.7229999999999999E-2</v>
      </c>
      <c r="E717">
        <v>1.745E-2</v>
      </c>
      <c r="F717">
        <v>10012859.1</v>
      </c>
      <c r="G717">
        <v>0</v>
      </c>
      <c r="L717" t="s">
        <v>7</v>
      </c>
      <c r="M717" t="s">
        <v>7</v>
      </c>
      <c r="N717" t="s">
        <v>8</v>
      </c>
      <c r="P717">
        <f t="shared" si="999"/>
        <v>-0.86503067484662499</v>
      </c>
      <c r="Q717">
        <f t="shared" si="1000"/>
        <v>-8661430.2644171696</v>
      </c>
      <c r="R717">
        <f t="shared" si="1001"/>
        <v>-144825030.07429942</v>
      </c>
      <c r="S717">
        <f t="shared" si="1002"/>
        <v>-1448.2503007429943</v>
      </c>
      <c r="T717">
        <f t="shared" si="1003"/>
        <v>-1.4482503007429943</v>
      </c>
    </row>
    <row r="718" spans="1:20" x14ac:dyDescent="0.25">
      <c r="A718" s="5">
        <v>43875</v>
      </c>
      <c r="B718">
        <v>1.9560000000000001E-2</v>
      </c>
      <c r="C718">
        <v>2.1000000000000001E-2</v>
      </c>
      <c r="D718">
        <v>1.8749999999999999E-2</v>
      </c>
      <c r="E718">
        <v>1.9900000000000001E-2</v>
      </c>
      <c r="F718">
        <v>10593198.199999999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2.2222222222222841E-2</v>
      </c>
      <c r="Q718">
        <f t="shared" si="1000"/>
        <v>235404.40444445098</v>
      </c>
      <c r="R718">
        <f t="shared" si="1001"/>
        <v>-136163599.80988225</v>
      </c>
      <c r="S718">
        <f t="shared" si="1002"/>
        <v>-1361.6359980988225</v>
      </c>
      <c r="T718">
        <f t="shared" si="1003"/>
        <v>-1.3616359980988224</v>
      </c>
    </row>
    <row r="719" spans="1:20" x14ac:dyDescent="0.25">
      <c r="A719" s="5">
        <v>43874</v>
      </c>
      <c r="B719">
        <v>2.3900000000000001E-2</v>
      </c>
      <c r="C719">
        <v>2.5399999999999999E-2</v>
      </c>
      <c r="D719">
        <v>1.1220000000000001E-2</v>
      </c>
      <c r="E719">
        <v>1.9560000000000001E-2</v>
      </c>
      <c r="F719">
        <v>49576561.399999999</v>
      </c>
      <c r="G719">
        <v>0</v>
      </c>
      <c r="L719" t="s">
        <v>7</v>
      </c>
      <c r="M719" t="s">
        <v>7</v>
      </c>
      <c r="N719" t="s">
        <v>7</v>
      </c>
      <c r="P719">
        <f t="shared" si="999"/>
        <v>0.17630465444287746</v>
      </c>
      <c r="Q719">
        <f t="shared" si="1000"/>
        <v>8740578.5260930974</v>
      </c>
      <c r="R719">
        <f t="shared" si="1001"/>
        <v>-136399004.21432671</v>
      </c>
      <c r="S719">
        <f t="shared" si="1002"/>
        <v>-1363.9900421432671</v>
      </c>
      <c r="T719">
        <f t="shared" si="1003"/>
        <v>-1.3639900421432671</v>
      </c>
    </row>
    <row r="720" spans="1:20" x14ac:dyDescent="0.25">
      <c r="A720" s="5">
        <v>43873</v>
      </c>
      <c r="B720">
        <v>1.6639999999999999E-2</v>
      </c>
      <c r="C720">
        <v>3.5000000000000003E-2</v>
      </c>
      <c r="D720">
        <v>1.6570000000000001E-2</v>
      </c>
      <c r="E720">
        <v>2.3900000000000001E-2</v>
      </c>
      <c r="F720">
        <v>195915144.40000001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-0.20455778621812273</v>
      </c>
      <c r="Q720">
        <f t="shared" si="1000"/>
        <v>-40075968.225067846</v>
      </c>
      <c r="R720">
        <f t="shared" si="1001"/>
        <v>-145139582.74041981</v>
      </c>
      <c r="S720">
        <f t="shared" si="1002"/>
        <v>-1451.3958274041981</v>
      </c>
      <c r="T720">
        <f t="shared" si="1003"/>
        <v>-1.451395827404198</v>
      </c>
    </row>
    <row r="721" spans="1:20" x14ac:dyDescent="0.25">
      <c r="A721" s="5">
        <v>43872</v>
      </c>
      <c r="B721">
        <v>1.6109999999999999E-2</v>
      </c>
      <c r="C721">
        <v>1.6709999999999999E-2</v>
      </c>
      <c r="D721">
        <v>1.4999999999999999E-2</v>
      </c>
      <c r="E721">
        <v>1.6590000000000001E-2</v>
      </c>
      <c r="F721">
        <v>2787399.9</v>
      </c>
      <c r="G721">
        <v>0</v>
      </c>
      <c r="L721" t="s">
        <v>7</v>
      </c>
      <c r="M721" t="s">
        <v>8</v>
      </c>
      <c r="N721" t="s">
        <v>8</v>
      </c>
      <c r="P721">
        <f t="shared" si="999"/>
        <v>0.85964912280701922</v>
      </c>
      <c r="Q721">
        <f t="shared" si="1000"/>
        <v>2396185.878947373</v>
      </c>
      <c r="R721">
        <f t="shared" si="1001"/>
        <v>-105063614.51535195</v>
      </c>
      <c r="S721">
        <f t="shared" si="1002"/>
        <v>-1050.6361451535195</v>
      </c>
      <c r="T721">
        <f t="shared" si="1003"/>
        <v>-1.0506361451535196</v>
      </c>
    </row>
    <row r="722" spans="1:20" x14ac:dyDescent="0.25">
      <c r="A722" s="5">
        <v>43871</v>
      </c>
      <c r="B722">
        <v>1.6230000000000001E-2</v>
      </c>
      <c r="C722">
        <v>1.7000000000000001E-2</v>
      </c>
      <c r="D722">
        <v>1.5730000000000001E-2</v>
      </c>
      <c r="E722">
        <v>1.6119999999999999E-2</v>
      </c>
      <c r="F722">
        <v>4245315.9000000004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-0.38582677165354662</v>
      </c>
      <c r="Q722">
        <f t="shared" si="1000"/>
        <v>-1637956.5283464708</v>
      </c>
      <c r="R722">
        <f t="shared" si="1001"/>
        <v>-107459800.39429933</v>
      </c>
      <c r="S722">
        <f t="shared" si="1002"/>
        <v>-1074.5980039429933</v>
      </c>
      <c r="T722">
        <f t="shared" si="1003"/>
        <v>-1.0745980039429932</v>
      </c>
    </row>
    <row r="723" spans="1:20" x14ac:dyDescent="0.25">
      <c r="A723" s="5">
        <v>43870</v>
      </c>
      <c r="B723">
        <v>1.5310000000000001E-2</v>
      </c>
      <c r="C723">
        <v>1.6500000000000001E-2</v>
      </c>
      <c r="D723">
        <v>1.503E-2</v>
      </c>
      <c r="E723">
        <v>1.619E-2</v>
      </c>
      <c r="F723">
        <v>2716922.1</v>
      </c>
      <c r="G723">
        <v>0</v>
      </c>
      <c r="L723" t="s">
        <v>7</v>
      </c>
      <c r="M723" t="s">
        <v>8</v>
      </c>
      <c r="N723" t="s">
        <v>8</v>
      </c>
      <c r="P723">
        <f t="shared" si="999"/>
        <v>0.57823129251700534</v>
      </c>
      <c r="Q723">
        <f t="shared" si="1000"/>
        <v>1571009.3775510164</v>
      </c>
      <c r="R723">
        <f t="shared" si="1001"/>
        <v>-105821843.86595286</v>
      </c>
      <c r="S723">
        <f t="shared" si="1002"/>
        <v>-1058.2184386595286</v>
      </c>
      <c r="T723">
        <f t="shared" si="1003"/>
        <v>-1.0582184386595286</v>
      </c>
    </row>
    <row r="724" spans="1:20" x14ac:dyDescent="0.25">
      <c r="A724" s="5">
        <v>43869</v>
      </c>
      <c r="B724">
        <v>1.5890000000000001E-2</v>
      </c>
      <c r="C724">
        <v>1.6289999999999999E-2</v>
      </c>
      <c r="D724">
        <v>1.453E-2</v>
      </c>
      <c r="E724">
        <v>1.532E-2</v>
      </c>
      <c r="F724">
        <v>3809485</v>
      </c>
      <c r="G724">
        <v>0</v>
      </c>
      <c r="L724" t="s">
        <v>8</v>
      </c>
      <c r="M724" t="s">
        <v>8</v>
      </c>
      <c r="N724" t="s">
        <v>8</v>
      </c>
      <c r="P724">
        <f t="shared" si="999"/>
        <v>-0.1022727272727261</v>
      </c>
      <c r="Q724">
        <f t="shared" si="1000"/>
        <v>-389606.42045454099</v>
      </c>
      <c r="R724">
        <f t="shared" si="1001"/>
        <v>-107392853.24350388</v>
      </c>
      <c r="S724">
        <f t="shared" si="1002"/>
        <v>-1073.9285324350387</v>
      </c>
      <c r="T724">
        <f t="shared" si="1003"/>
        <v>-1.0739285324350387</v>
      </c>
    </row>
    <row r="725" spans="1:20" x14ac:dyDescent="0.25">
      <c r="A725" s="5">
        <v>43868</v>
      </c>
      <c r="B725">
        <v>1.4930000000000001E-2</v>
      </c>
      <c r="C725">
        <v>1.6490000000000001E-2</v>
      </c>
      <c r="D725">
        <v>1.341E-2</v>
      </c>
      <c r="E725">
        <v>1.5879999999999998E-2</v>
      </c>
      <c r="F725">
        <v>6900929.5999999996</v>
      </c>
      <c r="G725">
        <v>0</v>
      </c>
      <c r="L725" t="s">
        <v>7</v>
      </c>
      <c r="M725" t="s">
        <v>7</v>
      </c>
      <c r="N725" t="s">
        <v>8</v>
      </c>
      <c r="P725">
        <f t="shared" si="999"/>
        <v>0.60389610389610215</v>
      </c>
      <c r="Q725">
        <f t="shared" si="1000"/>
        <v>4167444.4987012865</v>
      </c>
      <c r="R725">
        <f t="shared" si="1001"/>
        <v>-107003246.82304934</v>
      </c>
      <c r="S725">
        <f t="shared" si="1002"/>
        <v>-1070.0324682304934</v>
      </c>
      <c r="T725">
        <f t="shared" si="1003"/>
        <v>-1.0700324682304934</v>
      </c>
    </row>
    <row r="726" spans="1:20" x14ac:dyDescent="0.25">
      <c r="A726" s="5">
        <v>43867</v>
      </c>
      <c r="B726">
        <v>1.306E-2</v>
      </c>
      <c r="C726">
        <v>1.6320000000000001E-2</v>
      </c>
      <c r="D726">
        <v>1.3050000000000001E-2</v>
      </c>
      <c r="E726">
        <v>1.507E-2</v>
      </c>
      <c r="F726">
        <v>8830513.1999999993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0.23547400611620736</v>
      </c>
      <c r="Q726">
        <f t="shared" si="1000"/>
        <v>2079356.3192660497</v>
      </c>
      <c r="R726">
        <f t="shared" si="1001"/>
        <v>-111170691.32175063</v>
      </c>
      <c r="S726">
        <f t="shared" si="1002"/>
        <v>-1111.7069132175063</v>
      </c>
      <c r="T726">
        <f t="shared" si="1003"/>
        <v>-1.1117069132175064</v>
      </c>
    </row>
    <row r="727" spans="1:20" x14ac:dyDescent="0.25">
      <c r="A727" s="5">
        <v>43866</v>
      </c>
      <c r="B727">
        <v>1.3169999999999999E-2</v>
      </c>
      <c r="C727">
        <v>1.367E-2</v>
      </c>
      <c r="D727">
        <v>1.269E-2</v>
      </c>
      <c r="E727">
        <v>1.3100000000000001E-2</v>
      </c>
      <c r="F727">
        <v>4465323.0999999996</v>
      </c>
      <c r="G727">
        <v>0</v>
      </c>
      <c r="L727" t="s">
        <v>7</v>
      </c>
      <c r="M727" t="s">
        <v>8</v>
      </c>
      <c r="N727" t="s">
        <v>8</v>
      </c>
      <c r="P727">
        <f t="shared" si="999"/>
        <v>-0.16326530612244763</v>
      </c>
      <c r="Q727">
        <f t="shared" si="1000"/>
        <v>-729032.34285713674</v>
      </c>
      <c r="R727">
        <f t="shared" si="1001"/>
        <v>-113250047.64101668</v>
      </c>
      <c r="S727">
        <f t="shared" si="1002"/>
        <v>-1132.5004764101668</v>
      </c>
      <c r="T727">
        <f t="shared" si="1003"/>
        <v>-1.1325004764101667</v>
      </c>
    </row>
    <row r="728" spans="1:20" x14ac:dyDescent="0.25">
      <c r="A728" s="5">
        <v>43865</v>
      </c>
      <c r="B728">
        <v>1.269E-2</v>
      </c>
      <c r="C728">
        <v>1.3679999999999999E-2</v>
      </c>
      <c r="D728">
        <v>1.2449999999999999E-2</v>
      </c>
      <c r="E728">
        <v>1.3169999999999999E-2</v>
      </c>
      <c r="F728">
        <v>3225478.2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0.17073170731707324</v>
      </c>
      <c r="Q728">
        <f t="shared" si="1000"/>
        <v>550691.40000000026</v>
      </c>
      <c r="R728">
        <f t="shared" si="1001"/>
        <v>-112521015.29815954</v>
      </c>
      <c r="S728">
        <f t="shared" si="1002"/>
        <v>-1125.2101529815955</v>
      </c>
      <c r="T728">
        <f t="shared" si="1003"/>
        <v>-1.1252101529815954</v>
      </c>
    </row>
    <row r="729" spans="1:20" x14ac:dyDescent="0.25">
      <c r="A729" s="5">
        <v>43864</v>
      </c>
      <c r="B729">
        <v>1.259E-2</v>
      </c>
      <c r="C729">
        <v>1.2800000000000001E-2</v>
      </c>
      <c r="D729">
        <v>1.238E-2</v>
      </c>
      <c r="E729">
        <v>1.251E-2</v>
      </c>
      <c r="F729">
        <v>1700736</v>
      </c>
      <c r="G729">
        <v>0</v>
      </c>
      <c r="L729" t="s">
        <v>7</v>
      </c>
      <c r="M729" t="s">
        <v>8</v>
      </c>
      <c r="N729" t="s">
        <v>8</v>
      </c>
      <c r="P729">
        <f t="shared" si="999"/>
        <v>-0.38095238095238176</v>
      </c>
      <c r="Q729">
        <f t="shared" si="1000"/>
        <v>-647899.42857142992</v>
      </c>
      <c r="R729">
        <f t="shared" si="1001"/>
        <v>-113071706.69815955</v>
      </c>
      <c r="S729">
        <f t="shared" si="1002"/>
        <v>-1130.7170669815955</v>
      </c>
      <c r="T729">
        <f t="shared" si="1003"/>
        <v>-1.1307170669815956</v>
      </c>
    </row>
    <row r="730" spans="1:20" x14ac:dyDescent="0.25">
      <c r="A730" s="5">
        <v>43863</v>
      </c>
      <c r="B730">
        <v>1.251E-2</v>
      </c>
      <c r="C730">
        <v>1.2789999999999999E-2</v>
      </c>
      <c r="D730">
        <v>1.221E-2</v>
      </c>
      <c r="E730">
        <v>1.259E-2</v>
      </c>
      <c r="F730">
        <v>801475.1</v>
      </c>
      <c r="G730">
        <v>0</v>
      </c>
      <c r="L730" t="s">
        <v>7</v>
      </c>
      <c r="M730" t="s">
        <v>8</v>
      </c>
      <c r="N730" t="s">
        <v>8</v>
      </c>
      <c r="P730">
        <f t="shared" si="999"/>
        <v>0.31034482758620979</v>
      </c>
      <c r="Q730">
        <f t="shared" si="1000"/>
        <v>248733.65172414025</v>
      </c>
      <c r="R730">
        <f t="shared" si="1001"/>
        <v>-112423807.26958811</v>
      </c>
      <c r="S730">
        <f t="shared" si="1002"/>
        <v>-1124.2380726958811</v>
      </c>
      <c r="T730">
        <f t="shared" si="1003"/>
        <v>-1.1242380726958812</v>
      </c>
    </row>
    <row r="731" spans="1:20" x14ac:dyDescent="0.25">
      <c r="A731" s="5">
        <v>43862</v>
      </c>
      <c r="B731">
        <v>1.2630000000000001E-2</v>
      </c>
      <c r="C731">
        <v>1.2970000000000001E-2</v>
      </c>
      <c r="D731">
        <v>1.2200000000000001E-2</v>
      </c>
      <c r="E731">
        <v>1.252E-2</v>
      </c>
      <c r="F731">
        <v>2196573.2999999998</v>
      </c>
      <c r="G731">
        <v>0</v>
      </c>
      <c r="L731" t="s">
        <v>7</v>
      </c>
      <c r="M731" t="s">
        <v>8</v>
      </c>
      <c r="N731" t="s">
        <v>8</v>
      </c>
      <c r="P731">
        <f t="shared" si="999"/>
        <v>-0.168831168831171</v>
      </c>
      <c r="Q731">
        <f t="shared" si="1000"/>
        <v>-370850.03766234237</v>
      </c>
      <c r="R731">
        <f t="shared" si="1001"/>
        <v>-112672540.92131226</v>
      </c>
      <c r="S731">
        <f t="shared" si="1002"/>
        <v>-1126.7254092131225</v>
      </c>
      <c r="T731">
        <f t="shared" si="1003"/>
        <v>-1.1267254092131225</v>
      </c>
    </row>
    <row r="732" spans="1:20" x14ac:dyDescent="0.25">
      <c r="A732" s="5">
        <v>43861</v>
      </c>
      <c r="B732">
        <v>1.2800000000000001E-2</v>
      </c>
      <c r="C732">
        <v>1.3729999999999999E-2</v>
      </c>
      <c r="D732">
        <v>1.218E-2</v>
      </c>
      <c r="E732">
        <v>1.264E-2</v>
      </c>
      <c r="F732">
        <v>4519694.7</v>
      </c>
      <c r="G732">
        <v>0</v>
      </c>
      <c r="L732" t="s">
        <v>8</v>
      </c>
      <c r="M732" t="s">
        <v>8</v>
      </c>
      <c r="N732" t="s">
        <v>8</v>
      </c>
      <c r="P732">
        <f t="shared" si="999"/>
        <v>-0.40645161290322512</v>
      </c>
      <c r="Q732">
        <f t="shared" si="1000"/>
        <v>-1837037.2006451583</v>
      </c>
      <c r="R732">
        <f t="shared" si="1001"/>
        <v>-112301690.88364992</v>
      </c>
      <c r="S732">
        <f t="shared" si="1002"/>
        <v>-1123.0169088364992</v>
      </c>
      <c r="T732">
        <f t="shared" si="1003"/>
        <v>-1.1230169088364992</v>
      </c>
    </row>
    <row r="733" spans="1:20" x14ac:dyDescent="0.25">
      <c r="A733" s="5">
        <v>43860</v>
      </c>
      <c r="B733">
        <v>1.2699999999999999E-2</v>
      </c>
      <c r="C733">
        <v>1.2869999999999999E-2</v>
      </c>
      <c r="D733">
        <v>1.23E-2</v>
      </c>
      <c r="E733">
        <v>1.273E-2</v>
      </c>
      <c r="F733">
        <v>2120839.9</v>
      </c>
      <c r="G733">
        <v>0</v>
      </c>
      <c r="L733" t="s">
        <v>8</v>
      </c>
      <c r="M733" t="s">
        <v>8</v>
      </c>
      <c r="N733" t="s">
        <v>7</v>
      </c>
      <c r="P733">
        <f t="shared" si="999"/>
        <v>0.50877192982456254</v>
      </c>
      <c r="Q733">
        <f t="shared" si="1000"/>
        <v>1079023.8087719323</v>
      </c>
      <c r="R733">
        <f t="shared" si="1001"/>
        <v>-110464653.68300475</v>
      </c>
      <c r="S733">
        <f t="shared" si="1002"/>
        <v>-1104.6465368300476</v>
      </c>
      <c r="T733">
        <f t="shared" si="1003"/>
        <v>-1.1046465368300475</v>
      </c>
    </row>
    <row r="734" spans="1:20" x14ac:dyDescent="0.25">
      <c r="A734" s="5">
        <v>43859</v>
      </c>
      <c r="B734">
        <v>1.265E-2</v>
      </c>
      <c r="C734">
        <v>1.295E-2</v>
      </c>
      <c r="D734">
        <v>1.2500000000000001E-2</v>
      </c>
      <c r="E734">
        <v>1.2749999999999999E-2</v>
      </c>
      <c r="F734">
        <v>724089.1</v>
      </c>
      <c r="G734">
        <v>0</v>
      </c>
      <c r="L734" t="s">
        <v>8</v>
      </c>
      <c r="M734" t="s">
        <v>8</v>
      </c>
      <c r="N734" t="s">
        <v>7</v>
      </c>
      <c r="P734">
        <f t="shared" si="999"/>
        <v>0.11111111111110683</v>
      </c>
      <c r="Q734">
        <f t="shared" si="1000"/>
        <v>80454.344444441347</v>
      </c>
      <c r="R734">
        <f t="shared" si="1001"/>
        <v>-111543677.49177669</v>
      </c>
      <c r="S734">
        <f t="shared" si="1002"/>
        <v>-1115.4367749177668</v>
      </c>
      <c r="T734">
        <f t="shared" si="1003"/>
        <v>-1.1154367749177667</v>
      </c>
    </row>
    <row r="735" spans="1:20" x14ac:dyDescent="0.25">
      <c r="A735" s="5">
        <v>43858</v>
      </c>
      <c r="B735">
        <v>1.2449999999999999E-2</v>
      </c>
      <c r="C735">
        <v>1.2800000000000001E-2</v>
      </c>
      <c r="D735">
        <v>1.187E-2</v>
      </c>
      <c r="E735">
        <v>1.265E-2</v>
      </c>
      <c r="F735">
        <v>1555529.3</v>
      </c>
      <c r="G735">
        <v>0</v>
      </c>
      <c r="L735" t="s">
        <v>7</v>
      </c>
      <c r="M735" t="s">
        <v>8</v>
      </c>
      <c r="N735" t="s">
        <v>7</v>
      </c>
      <c r="P735">
        <f t="shared" si="999"/>
        <v>0.67741935483870797</v>
      </c>
      <c r="Q735">
        <f t="shared" si="1000"/>
        <v>1053745.6548387071</v>
      </c>
      <c r="R735">
        <f t="shared" si="1001"/>
        <v>-111624131.83622113</v>
      </c>
      <c r="S735">
        <f t="shared" si="1002"/>
        <v>-1116.2413183622114</v>
      </c>
      <c r="T735">
        <f t="shared" si="1003"/>
        <v>-1.1162413183622113</v>
      </c>
    </row>
    <row r="736" spans="1:20" x14ac:dyDescent="0.25">
      <c r="A736" s="5">
        <v>43857</v>
      </c>
      <c r="B736">
        <v>1.214E-2</v>
      </c>
      <c r="C736">
        <v>1.2460000000000001E-2</v>
      </c>
      <c r="D736">
        <v>1.193E-2</v>
      </c>
      <c r="E736">
        <v>1.238E-2</v>
      </c>
      <c r="F736">
        <v>513915.4</v>
      </c>
      <c r="G736">
        <v>0</v>
      </c>
      <c r="L736" t="s">
        <v>7</v>
      </c>
      <c r="M736" t="s">
        <v>8</v>
      </c>
      <c r="N736" t="s">
        <v>7</v>
      </c>
      <c r="P736">
        <f t="shared" si="999"/>
        <v>0.69811320754716955</v>
      </c>
      <c r="Q736">
        <f t="shared" si="1000"/>
        <v>358771.12830188667</v>
      </c>
      <c r="R736">
        <f t="shared" si="1001"/>
        <v>-112677877.49105984</v>
      </c>
      <c r="S736">
        <f t="shared" si="1002"/>
        <v>-1126.7787749105985</v>
      </c>
      <c r="T736">
        <f t="shared" si="1003"/>
        <v>-1.1267787749105984</v>
      </c>
    </row>
    <row r="737" spans="1:20" x14ac:dyDescent="0.25">
      <c r="A737" s="5">
        <v>43856</v>
      </c>
      <c r="B737">
        <v>1.214E-2</v>
      </c>
      <c r="C737">
        <v>1.2359999999999999E-2</v>
      </c>
      <c r="D737">
        <v>1.1860000000000001E-2</v>
      </c>
      <c r="E737">
        <v>1.2160000000000001E-2</v>
      </c>
      <c r="F737">
        <v>329537.90000000002</v>
      </c>
      <c r="G737">
        <v>0</v>
      </c>
      <c r="L737" t="s">
        <v>7</v>
      </c>
      <c r="M737" t="s">
        <v>8</v>
      </c>
      <c r="N737" t="s">
        <v>7</v>
      </c>
      <c r="P737">
        <f t="shared" si="999"/>
        <v>0.20000000000000279</v>
      </c>
      <c r="Q737">
        <f t="shared" si="1000"/>
        <v>65907.580000000919</v>
      </c>
      <c r="R737">
        <f t="shared" si="1001"/>
        <v>-113036648.61936173</v>
      </c>
      <c r="S737">
        <f t="shared" si="1002"/>
        <v>-1130.3664861936172</v>
      </c>
      <c r="T737">
        <f t="shared" si="1003"/>
        <v>-1.1303664861936171</v>
      </c>
    </row>
    <row r="738" spans="1:20" x14ac:dyDescent="0.25">
      <c r="A738" s="5">
        <v>43855</v>
      </c>
      <c r="B738">
        <v>1.2019999999999999E-2</v>
      </c>
      <c r="C738">
        <v>1.285E-2</v>
      </c>
      <c r="D738">
        <v>1.141E-2</v>
      </c>
      <c r="E738">
        <v>1.2019999999999999E-2</v>
      </c>
      <c r="F738">
        <v>1513574.8</v>
      </c>
      <c r="G738">
        <v>0</v>
      </c>
      <c r="L738" t="s">
        <v>8</v>
      </c>
      <c r="M738" t="s">
        <v>8</v>
      </c>
      <c r="N738" t="s">
        <v>7</v>
      </c>
      <c r="P738">
        <f t="shared" si="999"/>
        <v>-0.15277777777777876</v>
      </c>
      <c r="Q738">
        <f t="shared" si="1000"/>
        <v>-231240.59444444595</v>
      </c>
      <c r="R738">
        <f t="shared" si="1001"/>
        <v>-113102556.19936173</v>
      </c>
      <c r="S738">
        <f t="shared" si="1002"/>
        <v>-1131.0255619936172</v>
      </c>
      <c r="T738">
        <f t="shared" si="1003"/>
        <v>-1.1310255619936171</v>
      </c>
    </row>
    <row r="739" spans="1:20" x14ac:dyDescent="0.25">
      <c r="A739" s="5">
        <v>43854</v>
      </c>
      <c r="B739">
        <v>1.187E-2</v>
      </c>
      <c r="C739">
        <v>1.2019999999999999E-2</v>
      </c>
      <c r="D739">
        <v>1.1509999999999999E-2</v>
      </c>
      <c r="E739">
        <v>1.196E-2</v>
      </c>
      <c r="F739">
        <v>1400183.8</v>
      </c>
      <c r="G739">
        <v>0</v>
      </c>
      <c r="L739" t="s">
        <v>7</v>
      </c>
      <c r="M739" t="s">
        <v>8</v>
      </c>
      <c r="N739" t="s">
        <v>7</v>
      </c>
      <c r="P739">
        <f t="shared" si="999"/>
        <v>0.76470588235294401</v>
      </c>
      <c r="Q739">
        <f t="shared" si="1000"/>
        <v>1070728.7882352981</v>
      </c>
      <c r="R739">
        <f t="shared" si="1001"/>
        <v>-112871315.60491729</v>
      </c>
      <c r="S739">
        <f t="shared" si="1002"/>
        <v>-1128.7131560491728</v>
      </c>
      <c r="T739">
        <f t="shared" si="1003"/>
        <v>-1.1287131560491728</v>
      </c>
    </row>
    <row r="740" spans="1:20" x14ac:dyDescent="0.25">
      <c r="A740" s="5">
        <v>43853</v>
      </c>
      <c r="B740">
        <v>1.268E-2</v>
      </c>
      <c r="C740">
        <v>1.295E-2</v>
      </c>
      <c r="D740">
        <v>1.174E-2</v>
      </c>
      <c r="E740">
        <v>1.196E-2</v>
      </c>
      <c r="F740">
        <v>2209826</v>
      </c>
      <c r="G740">
        <v>0</v>
      </c>
      <c r="L740" t="s">
        <v>7</v>
      </c>
      <c r="M740" t="s">
        <v>8</v>
      </c>
      <c r="N740" t="s">
        <v>7</v>
      </c>
      <c r="P740">
        <f t="shared" si="999"/>
        <v>-0.63636363636363658</v>
      </c>
      <c r="Q740">
        <f t="shared" si="1000"/>
        <v>-1406252.9090909096</v>
      </c>
      <c r="R740">
        <f t="shared" si="1001"/>
        <v>-113942044.39315258</v>
      </c>
      <c r="S740">
        <f t="shared" si="1002"/>
        <v>-1139.4204439315258</v>
      </c>
      <c r="T740">
        <f t="shared" si="1003"/>
        <v>-1.1394204439315259</v>
      </c>
    </row>
    <row r="741" spans="1:20" x14ac:dyDescent="0.25">
      <c r="A741" s="5">
        <v>43852</v>
      </c>
      <c r="B741">
        <v>1.29E-2</v>
      </c>
      <c r="C741">
        <v>1.35E-2</v>
      </c>
      <c r="D741">
        <v>1.257E-2</v>
      </c>
      <c r="E741">
        <v>1.268E-2</v>
      </c>
      <c r="F741">
        <v>4137540.5</v>
      </c>
      <c r="G741">
        <v>0</v>
      </c>
      <c r="L741" t="s">
        <v>8</v>
      </c>
      <c r="M741" t="s">
        <v>8</v>
      </c>
      <c r="N741" t="s">
        <v>7</v>
      </c>
      <c r="P741">
        <f t="shared" si="999"/>
        <v>-0.76344086021505231</v>
      </c>
      <c r="Q741">
        <f t="shared" si="1000"/>
        <v>-3158767.4784946176</v>
      </c>
      <c r="R741">
        <f t="shared" si="1001"/>
        <v>-112535791.48406167</v>
      </c>
      <c r="S741">
        <f t="shared" si="1002"/>
        <v>-1125.3579148406168</v>
      </c>
      <c r="T741">
        <f t="shared" si="1003"/>
        <v>-1.1253579148406168</v>
      </c>
    </row>
    <row r="742" spans="1:20" x14ac:dyDescent="0.25">
      <c r="A742" s="5">
        <v>43851</v>
      </c>
      <c r="B742">
        <v>1.243E-2</v>
      </c>
      <c r="C742">
        <v>1.323E-2</v>
      </c>
      <c r="D742">
        <v>1.238E-2</v>
      </c>
      <c r="E742">
        <v>1.2800000000000001E-2</v>
      </c>
      <c r="F742">
        <v>3095951.9</v>
      </c>
      <c r="G742">
        <v>0</v>
      </c>
      <c r="L742" t="s">
        <v>8</v>
      </c>
      <c r="M742" t="s">
        <v>8</v>
      </c>
      <c r="N742" t="s">
        <v>7</v>
      </c>
      <c r="P742">
        <f t="shared" si="999"/>
        <v>-1.176470588235246E-2</v>
      </c>
      <c r="Q742">
        <f t="shared" si="1000"/>
        <v>-36422.963529410277</v>
      </c>
      <c r="R742">
        <f t="shared" si="1001"/>
        <v>-109377024.00556706</v>
      </c>
      <c r="S742">
        <f t="shared" si="1002"/>
        <v>-1093.7702400556707</v>
      </c>
      <c r="T742">
        <f t="shared" si="1003"/>
        <v>-1.0937702400556706</v>
      </c>
    </row>
    <row r="743" spans="1:20" x14ac:dyDescent="0.25">
      <c r="A743" s="5">
        <v>43850</v>
      </c>
      <c r="B743">
        <v>1.2160000000000001E-2</v>
      </c>
      <c r="C743">
        <v>1.2840000000000001E-2</v>
      </c>
      <c r="D743">
        <v>1.2019999999999999E-2</v>
      </c>
      <c r="E743">
        <v>1.251E-2</v>
      </c>
      <c r="F743">
        <v>1806916.7</v>
      </c>
      <c r="G743">
        <v>0</v>
      </c>
      <c r="L743" t="s">
        <v>8</v>
      </c>
      <c r="M743" t="s">
        <v>8</v>
      </c>
      <c r="N743" t="s">
        <v>7</v>
      </c>
      <c r="P743">
        <f t="shared" si="999"/>
        <v>0.1951219512195124</v>
      </c>
      <c r="Q743">
        <f t="shared" si="1000"/>
        <v>352569.11219512229</v>
      </c>
      <c r="R743">
        <f t="shared" si="1001"/>
        <v>-109340601.04203765</v>
      </c>
      <c r="S743">
        <f t="shared" si="1002"/>
        <v>-1093.4060104203766</v>
      </c>
      <c r="T743">
        <f t="shared" si="1003"/>
        <v>-1.0934060104203767</v>
      </c>
    </row>
    <row r="744" spans="1:20" x14ac:dyDescent="0.25">
      <c r="A744" s="5">
        <v>43849</v>
      </c>
      <c r="B744">
        <v>1.265E-2</v>
      </c>
      <c r="C744">
        <v>1.289E-2</v>
      </c>
      <c r="D744">
        <v>1.172E-2</v>
      </c>
      <c r="E744">
        <v>1.2160000000000001E-2</v>
      </c>
      <c r="F744">
        <v>2353873.5</v>
      </c>
      <c r="G744">
        <v>0</v>
      </c>
      <c r="L744" t="s">
        <v>7</v>
      </c>
      <c r="M744" t="s">
        <v>8</v>
      </c>
      <c r="N744" t="s">
        <v>7</v>
      </c>
      <c r="P744">
        <f t="shared" si="999"/>
        <v>-0.24786324786324648</v>
      </c>
      <c r="Q744">
        <f t="shared" si="1000"/>
        <v>-583438.73076922749</v>
      </c>
      <c r="R744">
        <f t="shared" si="1001"/>
        <v>-109693170.15423277</v>
      </c>
      <c r="S744">
        <f t="shared" si="1002"/>
        <v>-1096.9317015423278</v>
      </c>
      <c r="T744">
        <f t="shared" si="1003"/>
        <v>-1.0969317015423279</v>
      </c>
    </row>
    <row r="745" spans="1:20" x14ac:dyDescent="0.25">
      <c r="A745" s="5">
        <v>43848</v>
      </c>
      <c r="B745">
        <v>1.2189999999999999E-2</v>
      </c>
      <c r="C745">
        <v>1.2970000000000001E-2</v>
      </c>
      <c r="D745">
        <v>1.197E-2</v>
      </c>
      <c r="E745">
        <v>1.251E-2</v>
      </c>
      <c r="F745">
        <v>2391352.6</v>
      </c>
      <c r="G745">
        <v>0</v>
      </c>
      <c r="L745" t="s">
        <v>7</v>
      </c>
      <c r="M745" t="s">
        <v>8</v>
      </c>
      <c r="N745" t="s">
        <v>7</v>
      </c>
      <c r="P745">
        <f t="shared" si="999"/>
        <v>8.000000000000014E-2</v>
      </c>
      <c r="Q745">
        <f t="shared" si="1000"/>
        <v>191308.20800000033</v>
      </c>
      <c r="R745">
        <f t="shared" si="1001"/>
        <v>-109109731.42346354</v>
      </c>
      <c r="S745">
        <f t="shared" si="1002"/>
        <v>-1091.0973142346354</v>
      </c>
      <c r="T745">
        <f t="shared" si="1003"/>
        <v>-1.0910973142346354</v>
      </c>
    </row>
    <row r="746" spans="1:20" x14ac:dyDescent="0.25">
      <c r="A746" s="5">
        <v>43847</v>
      </c>
      <c r="B746">
        <v>1.174E-2</v>
      </c>
      <c r="C746">
        <v>1.319E-2</v>
      </c>
      <c r="D746">
        <v>1.1599999999999999E-2</v>
      </c>
      <c r="E746">
        <v>1.2200000000000001E-2</v>
      </c>
      <c r="F746">
        <v>3463811.2</v>
      </c>
      <c r="G746">
        <v>0</v>
      </c>
      <c r="L746" t="s">
        <v>8</v>
      </c>
      <c r="M746" t="s">
        <v>8</v>
      </c>
      <c r="N746" t="s">
        <v>7</v>
      </c>
      <c r="P746">
        <f t="shared" si="999"/>
        <v>-0.24528301886792309</v>
      </c>
      <c r="Q746">
        <f t="shared" si="1000"/>
        <v>-849614.06792452338</v>
      </c>
      <c r="R746">
        <f t="shared" si="1001"/>
        <v>-109301039.63146354</v>
      </c>
      <c r="S746">
        <f t="shared" si="1002"/>
        <v>-1093.0103963146355</v>
      </c>
      <c r="T746">
        <f t="shared" si="1003"/>
        <v>-1.0930103963146356</v>
      </c>
    </row>
    <row r="747" spans="1:20" x14ac:dyDescent="0.25">
      <c r="A747" s="5">
        <v>43846</v>
      </c>
      <c r="B747">
        <v>1.188E-2</v>
      </c>
      <c r="C747">
        <v>1.269E-2</v>
      </c>
      <c r="D747">
        <v>1.1480000000000001E-2</v>
      </c>
      <c r="E747">
        <v>1.188E-2</v>
      </c>
      <c r="F747">
        <v>2212297.9</v>
      </c>
      <c r="G747">
        <v>0</v>
      </c>
      <c r="L747" t="s">
        <v>8</v>
      </c>
      <c r="M747" t="s">
        <v>8</v>
      </c>
      <c r="N747" t="s">
        <v>7</v>
      </c>
      <c r="P747">
        <f t="shared" si="999"/>
        <v>-0.33884297520661233</v>
      </c>
      <c r="Q747">
        <f t="shared" si="1000"/>
        <v>-749621.60247934051</v>
      </c>
      <c r="R747">
        <f t="shared" si="1001"/>
        <v>-108451425.56353901</v>
      </c>
      <c r="S747">
        <f t="shared" si="1002"/>
        <v>-1084.5142556353901</v>
      </c>
      <c r="T747">
        <f t="shared" si="1003"/>
        <v>-1.0845142556353902</v>
      </c>
    </row>
    <row r="748" spans="1:20" x14ac:dyDescent="0.25">
      <c r="A748" s="5">
        <v>43845</v>
      </c>
      <c r="B748">
        <v>1.1990000000000001E-2</v>
      </c>
      <c r="C748">
        <v>1.208E-2</v>
      </c>
      <c r="D748">
        <v>1.141E-2</v>
      </c>
      <c r="E748">
        <v>1.18E-2</v>
      </c>
      <c r="F748">
        <v>2480582.2000000002</v>
      </c>
      <c r="G748">
        <v>0</v>
      </c>
      <c r="L748" t="s">
        <v>8</v>
      </c>
      <c r="M748" t="s">
        <v>7</v>
      </c>
      <c r="N748" t="s">
        <v>7</v>
      </c>
      <c r="P748">
        <f t="shared" si="999"/>
        <v>0.1641791044776103</v>
      </c>
      <c r="Q748">
        <f t="shared" si="1000"/>
        <v>407259.76417910046</v>
      </c>
      <c r="R748">
        <f t="shared" si="1001"/>
        <v>-107701803.96105967</v>
      </c>
      <c r="S748">
        <f t="shared" si="1002"/>
        <v>-1077.0180396105968</v>
      </c>
      <c r="T748">
        <f t="shared" si="1003"/>
        <v>-1.0770180396105968</v>
      </c>
    </row>
    <row r="749" spans="1:20" x14ac:dyDescent="0.25">
      <c r="A749" s="5">
        <v>43844</v>
      </c>
      <c r="B749">
        <v>1.1390000000000001E-2</v>
      </c>
      <c r="C749">
        <v>1.2239999999999999E-2</v>
      </c>
      <c r="D749">
        <v>1.1350000000000001E-2</v>
      </c>
      <c r="E749">
        <v>1.1950000000000001E-2</v>
      </c>
      <c r="F749">
        <v>1779960.9</v>
      </c>
      <c r="G749">
        <v>0</v>
      </c>
      <c r="L749" t="s">
        <v>8</v>
      </c>
      <c r="M749" t="s">
        <v>7</v>
      </c>
      <c r="N749" t="s">
        <v>7</v>
      </c>
      <c r="P749">
        <f t="shared" si="999"/>
        <v>0.34831460674157505</v>
      </c>
      <c r="Q749">
        <f t="shared" si="1000"/>
        <v>619986.38089887996</v>
      </c>
      <c r="R749">
        <f t="shared" si="1001"/>
        <v>-108109063.72523877</v>
      </c>
      <c r="S749">
        <f t="shared" si="1002"/>
        <v>-1081.0906372523878</v>
      </c>
      <c r="T749">
        <f t="shared" si="1003"/>
        <v>-1.0810906372523879</v>
      </c>
    </row>
    <row r="750" spans="1:20" x14ac:dyDescent="0.25">
      <c r="A750" s="5">
        <v>43843</v>
      </c>
      <c r="B750">
        <v>1.1690000000000001E-2</v>
      </c>
      <c r="C750">
        <v>1.205E-2</v>
      </c>
      <c r="D750">
        <v>1.1140000000000001E-2</v>
      </c>
      <c r="E750">
        <v>1.1379999999999999E-2</v>
      </c>
      <c r="F750">
        <v>2499733.2000000002</v>
      </c>
      <c r="G750">
        <v>0</v>
      </c>
      <c r="L750" t="s">
        <v>8</v>
      </c>
      <c r="M750" t="s">
        <v>7</v>
      </c>
      <c r="N750" t="s">
        <v>7</v>
      </c>
      <c r="P750">
        <f t="shared" si="999"/>
        <v>-0.47252747252747457</v>
      </c>
      <c r="Q750">
        <f t="shared" si="1000"/>
        <v>-1181192.6109890162</v>
      </c>
      <c r="R750">
        <f t="shared" si="1001"/>
        <v>-108729050.10613765</v>
      </c>
      <c r="S750">
        <f t="shared" si="1002"/>
        <v>-1087.2905010613765</v>
      </c>
      <c r="T750">
        <f t="shared" si="1003"/>
        <v>-1.0872905010613765</v>
      </c>
    </row>
    <row r="751" spans="1:20" x14ac:dyDescent="0.25">
      <c r="A751" s="5">
        <v>43842</v>
      </c>
      <c r="B751">
        <v>1.111E-2</v>
      </c>
      <c r="C751">
        <v>1.17E-2</v>
      </c>
      <c r="D751">
        <v>1.107E-2</v>
      </c>
      <c r="E751">
        <v>1.17E-2</v>
      </c>
      <c r="F751">
        <v>1242324.7</v>
      </c>
      <c r="G751">
        <v>0</v>
      </c>
      <c r="L751" t="s">
        <v>7</v>
      </c>
      <c r="M751" t="s">
        <v>7</v>
      </c>
      <c r="N751" t="s">
        <v>7</v>
      </c>
      <c r="P751">
        <f t="shared" si="999"/>
        <v>1</v>
      </c>
      <c r="Q751">
        <f t="shared" si="1000"/>
        <v>1242324.7</v>
      </c>
      <c r="R751">
        <f t="shared" si="1001"/>
        <v>-107547857.49514863</v>
      </c>
      <c r="S751">
        <f t="shared" si="1002"/>
        <v>-1075.4785749514863</v>
      </c>
      <c r="T751">
        <f t="shared" si="1003"/>
        <v>-1.0754785749514864</v>
      </c>
    </row>
    <row r="752" spans="1:20" x14ac:dyDescent="0.25">
      <c r="A752" s="5">
        <v>43841</v>
      </c>
      <c r="B752">
        <v>1.1129999999999999E-2</v>
      </c>
      <c r="C752">
        <v>1.23E-2</v>
      </c>
      <c r="D752">
        <v>1.0710000000000001E-2</v>
      </c>
      <c r="E752">
        <v>1.11E-2</v>
      </c>
      <c r="F752">
        <v>5238149.2</v>
      </c>
      <c r="G752">
        <v>0</v>
      </c>
      <c r="L752" t="s">
        <v>8</v>
      </c>
      <c r="M752" t="s">
        <v>7</v>
      </c>
      <c r="N752" t="s">
        <v>7</v>
      </c>
      <c r="P752">
        <f t="shared" si="999"/>
        <v>-0.50943396226415116</v>
      </c>
      <c r="Q752">
        <f t="shared" si="1000"/>
        <v>-2668491.1018867935</v>
      </c>
      <c r="R752">
        <f t="shared" si="1001"/>
        <v>-108790182.19514863</v>
      </c>
      <c r="S752">
        <f t="shared" si="1002"/>
        <v>-1087.9018219514862</v>
      </c>
      <c r="T752">
        <f t="shared" si="1003"/>
        <v>-1.0879018219514862</v>
      </c>
    </row>
    <row r="753" spans="1:20" x14ac:dyDescent="0.25">
      <c r="A753" s="5">
        <v>43840</v>
      </c>
      <c r="B753">
        <v>1.089E-2</v>
      </c>
      <c r="C753">
        <v>1.1299999999999999E-2</v>
      </c>
      <c r="D753">
        <v>1.06E-2</v>
      </c>
      <c r="E753">
        <v>1.1140000000000001E-2</v>
      </c>
      <c r="F753">
        <v>1930820.4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0.54285714285714615</v>
      </c>
      <c r="Q753">
        <f t="shared" si="1000"/>
        <v>1048159.6457142921</v>
      </c>
      <c r="R753">
        <f t="shared" si="1001"/>
        <v>-106121691.09326184</v>
      </c>
      <c r="S753">
        <f t="shared" si="1002"/>
        <v>-1061.2169109326185</v>
      </c>
      <c r="T753">
        <f t="shared" si="1003"/>
        <v>-1.0612169109326184</v>
      </c>
    </row>
    <row r="754" spans="1:20" x14ac:dyDescent="0.25">
      <c r="A754" s="5">
        <v>43839</v>
      </c>
      <c r="B754">
        <v>1.102E-2</v>
      </c>
      <c r="C754">
        <v>1.129E-2</v>
      </c>
      <c r="D754">
        <v>1.081E-2</v>
      </c>
      <c r="E754">
        <v>1.081E-2</v>
      </c>
      <c r="F754">
        <v>2394844.2000000002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-1</v>
      </c>
      <c r="Q754">
        <f t="shared" si="1000"/>
        <v>-2394844.2000000002</v>
      </c>
      <c r="R754">
        <f t="shared" si="1001"/>
        <v>-107169850.73897614</v>
      </c>
      <c r="S754">
        <f t="shared" si="1002"/>
        <v>-1071.6985073897613</v>
      </c>
      <c r="T754">
        <f t="shared" si="1003"/>
        <v>-1.0716985073897614</v>
      </c>
    </row>
    <row r="755" spans="1:20" x14ac:dyDescent="0.25">
      <c r="A755" s="5">
        <v>43838</v>
      </c>
      <c r="B755">
        <v>1.128E-2</v>
      </c>
      <c r="C755">
        <v>1.1610000000000001E-2</v>
      </c>
      <c r="D755">
        <v>1.09E-2</v>
      </c>
      <c r="E755">
        <v>1.1180000000000001E-2</v>
      </c>
      <c r="F755">
        <v>3220940.3</v>
      </c>
      <c r="G755">
        <v>0</v>
      </c>
      <c r="L755" t="s">
        <v>7</v>
      </c>
      <c r="M755" t="s">
        <v>7</v>
      </c>
      <c r="N755" t="s">
        <v>7</v>
      </c>
      <c r="P755">
        <f t="shared" si="999"/>
        <v>-0.21126760563380137</v>
      </c>
      <c r="Q755">
        <f t="shared" si="1000"/>
        <v>-680480.34507041785</v>
      </c>
      <c r="R755">
        <f t="shared" si="1001"/>
        <v>-104775006.53897613</v>
      </c>
      <c r="S755">
        <f t="shared" si="1002"/>
        <v>-1047.7500653897614</v>
      </c>
      <c r="T755">
        <f t="shared" si="1003"/>
        <v>-1.0477500653897613</v>
      </c>
    </row>
    <row r="756" spans="1:20" x14ac:dyDescent="0.25">
      <c r="A756" s="5">
        <v>43837</v>
      </c>
      <c r="B756">
        <v>1.1440000000000001E-2</v>
      </c>
      <c r="C756">
        <v>1.226E-2</v>
      </c>
      <c r="D756">
        <v>1.0970000000000001E-2</v>
      </c>
      <c r="E756">
        <v>1.1220000000000001E-2</v>
      </c>
      <c r="F756">
        <v>4383108.8</v>
      </c>
      <c r="G756">
        <v>0</v>
      </c>
      <c r="L756" t="s">
        <v>8</v>
      </c>
      <c r="M756" t="s">
        <v>7</v>
      </c>
      <c r="N756" t="s">
        <v>7</v>
      </c>
      <c r="P756">
        <f t="shared" si="999"/>
        <v>-0.61240310077519333</v>
      </c>
      <c r="Q756">
        <f t="shared" si="1000"/>
        <v>-2684229.4201550367</v>
      </c>
      <c r="R756">
        <f t="shared" si="1001"/>
        <v>-104094526.19390571</v>
      </c>
      <c r="S756">
        <f t="shared" si="1002"/>
        <v>-1040.9452619390572</v>
      </c>
      <c r="T756">
        <f t="shared" si="1003"/>
        <v>-1.0409452619390571</v>
      </c>
    </row>
    <row r="757" spans="1:20" x14ac:dyDescent="0.25">
      <c r="A757" s="5">
        <v>43836</v>
      </c>
      <c r="B757">
        <v>1.115E-2</v>
      </c>
      <c r="C757">
        <v>1.145E-2</v>
      </c>
      <c r="D757">
        <v>1.0999999999999999E-2</v>
      </c>
      <c r="E757">
        <v>1.1440000000000001E-2</v>
      </c>
      <c r="F757">
        <v>2635750.7999999998</v>
      </c>
      <c r="G757">
        <v>0</v>
      </c>
      <c r="L757" t="s">
        <v>7</v>
      </c>
      <c r="M757" t="s">
        <v>7</v>
      </c>
      <c r="N757" t="s">
        <v>7</v>
      </c>
      <c r="P757">
        <f t="shared" si="999"/>
        <v>0.95555555555555749</v>
      </c>
      <c r="Q757">
        <f t="shared" si="1000"/>
        <v>2518606.320000005</v>
      </c>
      <c r="R757">
        <f t="shared" si="1001"/>
        <v>-101410296.77375068</v>
      </c>
      <c r="S757">
        <f t="shared" si="1002"/>
        <v>-1014.1029677375068</v>
      </c>
      <c r="T757">
        <f t="shared" si="1003"/>
        <v>-1.0141029677375069</v>
      </c>
    </row>
    <row r="758" spans="1:20" x14ac:dyDescent="0.25">
      <c r="A758" s="5">
        <v>43835</v>
      </c>
      <c r="B758">
        <v>1.17E-2</v>
      </c>
      <c r="C758">
        <v>1.205E-2</v>
      </c>
      <c r="D758">
        <v>1.095E-2</v>
      </c>
      <c r="E758">
        <v>1.1089999999999999E-2</v>
      </c>
      <c r="F758">
        <v>4147954.8</v>
      </c>
      <c r="G758">
        <v>0</v>
      </c>
      <c r="L758" t="s">
        <v>7</v>
      </c>
      <c r="M758" t="s">
        <v>7</v>
      </c>
      <c r="N758" t="s">
        <v>7</v>
      </c>
      <c r="P758">
        <f t="shared" si="999"/>
        <v>-0.74545454545454648</v>
      </c>
      <c r="Q758">
        <f t="shared" si="1000"/>
        <v>-3092111.760000004</v>
      </c>
      <c r="R758">
        <f t="shared" si="1001"/>
        <v>-103928903.09375069</v>
      </c>
      <c r="S758">
        <f t="shared" si="1002"/>
        <v>-1039.2890309375068</v>
      </c>
      <c r="T758">
        <f t="shared" si="1003"/>
        <v>-1.0392890309375069</v>
      </c>
    </row>
    <row r="759" spans="1:20" x14ac:dyDescent="0.25">
      <c r="A759" s="5">
        <v>43834</v>
      </c>
      <c r="B759">
        <v>1.14E-2</v>
      </c>
      <c r="C759">
        <v>1.3639999999999999E-2</v>
      </c>
      <c r="D759">
        <v>1.112E-2</v>
      </c>
      <c r="E759">
        <v>1.17E-2</v>
      </c>
      <c r="F759">
        <v>10043186.1</v>
      </c>
      <c r="G759">
        <v>0</v>
      </c>
      <c r="L759" t="s">
        <v>8</v>
      </c>
      <c r="M759" t="s">
        <v>8</v>
      </c>
      <c r="N759" t="s">
        <v>7</v>
      </c>
      <c r="P759">
        <f t="shared" si="999"/>
        <v>-0.5396825396825391</v>
      </c>
      <c r="Q759">
        <f t="shared" si="1000"/>
        <v>-5420132.1809523748</v>
      </c>
      <c r="R759">
        <f t="shared" si="1001"/>
        <v>-100836791.33375068</v>
      </c>
      <c r="S759">
        <f t="shared" si="1002"/>
        <v>-1008.3679133375068</v>
      </c>
      <c r="T759">
        <f t="shared" si="1003"/>
        <v>-1.0083679133375067</v>
      </c>
    </row>
    <row r="760" spans="1:20" x14ac:dyDescent="0.25">
      <c r="A760" s="5">
        <v>43833</v>
      </c>
      <c r="B760">
        <v>1.0540000000000001E-2</v>
      </c>
      <c r="C760">
        <v>1.136E-2</v>
      </c>
      <c r="D760">
        <v>1.0200000000000001E-2</v>
      </c>
      <c r="E760">
        <v>1.123E-2</v>
      </c>
      <c r="F760">
        <v>4717078.9000000004</v>
      </c>
      <c r="G760">
        <v>0</v>
      </c>
      <c r="L760" t="s">
        <v>8</v>
      </c>
      <c r="M760" t="s">
        <v>7</v>
      </c>
      <c r="N760" t="s">
        <v>7</v>
      </c>
      <c r="P760">
        <f t="shared" si="999"/>
        <v>0.77586206896551735</v>
      </c>
      <c r="Q760">
        <f t="shared" si="1000"/>
        <v>3659802.5948275868</v>
      </c>
      <c r="R760">
        <f t="shared" si="1001"/>
        <v>-95416659.15279831</v>
      </c>
      <c r="S760">
        <f t="shared" si="1002"/>
        <v>-954.16659152798309</v>
      </c>
      <c r="T760">
        <f t="shared" si="1003"/>
        <v>-0.95416659152798311</v>
      </c>
    </row>
    <row r="761" spans="1:20" x14ac:dyDescent="0.25">
      <c r="A761" s="5">
        <v>43832</v>
      </c>
      <c r="B761">
        <v>1.1039999999999999E-2</v>
      </c>
      <c r="C761">
        <v>1.106E-2</v>
      </c>
      <c r="D761">
        <v>1.017E-2</v>
      </c>
      <c r="E761">
        <v>1.042E-2</v>
      </c>
      <c r="F761">
        <v>2676037.6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-0.43820224719101086</v>
      </c>
      <c r="Q761">
        <f t="shared" si="1000"/>
        <v>-1172645.6898876396</v>
      </c>
      <c r="R761">
        <f t="shared" si="1001"/>
        <v>-99076461.747625902</v>
      </c>
      <c r="S761">
        <f t="shared" si="1002"/>
        <v>-990.76461747625899</v>
      </c>
      <c r="T761">
        <f t="shared" si="1003"/>
        <v>-0.99076461747625899</v>
      </c>
    </row>
    <row r="762" spans="1:20" x14ac:dyDescent="0.25">
      <c r="A762" s="5">
        <v>43831</v>
      </c>
      <c r="B762">
        <v>1.0869999999999999E-2</v>
      </c>
      <c r="C762">
        <v>1.145E-2</v>
      </c>
      <c r="D762">
        <v>1.059E-2</v>
      </c>
      <c r="E762">
        <v>1.1039999999999999E-2</v>
      </c>
      <c r="F762">
        <v>1934661</v>
      </c>
      <c r="G762">
        <v>0</v>
      </c>
      <c r="L762" t="s">
        <v>8</v>
      </c>
      <c r="M762" t="s">
        <v>7</v>
      </c>
      <c r="N762" t="s">
        <v>7</v>
      </c>
      <c r="P762">
        <f t="shared" si="999"/>
        <v>4.651162790697487E-2</v>
      </c>
      <c r="Q762">
        <f t="shared" si="1000"/>
        <v>89984.232558135904</v>
      </c>
      <c r="R762">
        <f t="shared" si="1001"/>
        <v>-97903816.057738259</v>
      </c>
      <c r="S762">
        <f t="shared" si="1002"/>
        <v>-979.03816057738254</v>
      </c>
      <c r="T762">
        <f t="shared" si="1003"/>
        <v>-0.97903816057738258</v>
      </c>
    </row>
    <row r="763" spans="1:20" x14ac:dyDescent="0.25">
      <c r="A763" s="5">
        <v>43830</v>
      </c>
      <c r="B763">
        <v>1.129E-2</v>
      </c>
      <c r="C763">
        <v>1.1900000000000001E-2</v>
      </c>
      <c r="D763">
        <v>1.0540000000000001E-2</v>
      </c>
      <c r="E763">
        <v>1.0869999999999999E-2</v>
      </c>
      <c r="F763">
        <v>5840970.7000000002</v>
      </c>
      <c r="G763">
        <v>0</v>
      </c>
      <c r="L763" t="s">
        <v>7</v>
      </c>
      <c r="M763" t="s">
        <v>7</v>
      </c>
      <c r="N763" t="s">
        <v>7</v>
      </c>
      <c r="P763">
        <f t="shared" si="999"/>
        <v>-0.51470588235294312</v>
      </c>
      <c r="Q763">
        <f t="shared" si="1000"/>
        <v>-3006381.977941188</v>
      </c>
      <c r="R763">
        <f t="shared" si="1001"/>
        <v>-97993800.290296391</v>
      </c>
      <c r="S763">
        <f t="shared" si="1002"/>
        <v>-979.93800290296394</v>
      </c>
      <c r="T763">
        <f t="shared" si="1003"/>
        <v>-0.97993800290296396</v>
      </c>
    </row>
    <row r="764" spans="1:20" x14ac:dyDescent="0.25">
      <c r="A764" s="5">
        <v>43829</v>
      </c>
      <c r="B764">
        <v>1.129E-2</v>
      </c>
      <c r="C764">
        <v>1.154E-2</v>
      </c>
      <c r="D764">
        <v>1.0999999999999999E-2</v>
      </c>
      <c r="E764">
        <v>1.128E-2</v>
      </c>
      <c r="F764">
        <v>4471260.8</v>
      </c>
      <c r="G764">
        <v>0</v>
      </c>
      <c r="L764" t="s">
        <v>7</v>
      </c>
      <c r="M764" t="s">
        <v>7</v>
      </c>
      <c r="N764" t="s">
        <v>7</v>
      </c>
      <c r="P764">
        <f t="shared" si="999"/>
        <v>3.70370370370387E-2</v>
      </c>
      <c r="Q764">
        <f t="shared" si="1000"/>
        <v>165602.25185185927</v>
      </c>
      <c r="R764">
        <f t="shared" si="1001"/>
        <v>-94987418.312355205</v>
      </c>
      <c r="S764">
        <f t="shared" si="1002"/>
        <v>-949.87418312355203</v>
      </c>
      <c r="T764">
        <f t="shared" si="1003"/>
        <v>-0.94987418312355199</v>
      </c>
    </row>
    <row r="765" spans="1:20" x14ac:dyDescent="0.25">
      <c r="A765" s="5">
        <v>43828</v>
      </c>
      <c r="B765">
        <v>1.162E-2</v>
      </c>
      <c r="C765">
        <v>1.175E-2</v>
      </c>
      <c r="D765">
        <v>1.1089999999999999E-2</v>
      </c>
      <c r="E765">
        <v>1.1299999999999999E-2</v>
      </c>
      <c r="F765">
        <v>5096860.9000000004</v>
      </c>
      <c r="G765">
        <v>0</v>
      </c>
      <c r="L765" t="s">
        <v>7</v>
      </c>
      <c r="M765" t="s">
        <v>7</v>
      </c>
      <c r="N765" t="s">
        <v>7</v>
      </c>
      <c r="P765">
        <f t="shared" si="999"/>
        <v>-0.36363636363636409</v>
      </c>
      <c r="Q765">
        <f t="shared" si="1000"/>
        <v>-1853403.9636363662</v>
      </c>
      <c r="R765">
        <f t="shared" si="1001"/>
        <v>-95153020.564207062</v>
      </c>
      <c r="S765">
        <f t="shared" si="1002"/>
        <v>-951.53020564207065</v>
      </c>
      <c r="T765">
        <f t="shared" si="1003"/>
        <v>-0.95153020564207069</v>
      </c>
    </row>
    <row r="766" spans="1:20" x14ac:dyDescent="0.25">
      <c r="A766" s="5">
        <v>43827</v>
      </c>
      <c r="B766">
        <v>1.1769999999999999E-2</v>
      </c>
      <c r="C766">
        <v>1.2449999999999999E-2</v>
      </c>
      <c r="D766">
        <v>1.133E-2</v>
      </c>
      <c r="E766">
        <v>1.1469999999999999E-2</v>
      </c>
      <c r="F766">
        <v>11165657</v>
      </c>
      <c r="G766">
        <v>0</v>
      </c>
      <c r="L766" t="s">
        <v>8</v>
      </c>
      <c r="M766" t="s">
        <v>8</v>
      </c>
      <c r="N766" t="s">
        <v>7</v>
      </c>
      <c r="P766">
        <f t="shared" si="999"/>
        <v>-0.75000000000000078</v>
      </c>
      <c r="Q766">
        <f t="shared" si="1000"/>
        <v>-8374242.7500000084</v>
      </c>
      <c r="R766">
        <f t="shared" si="1001"/>
        <v>-93299616.600570694</v>
      </c>
      <c r="S766">
        <f t="shared" si="1002"/>
        <v>-932.99616600570698</v>
      </c>
      <c r="T766">
        <f t="shared" si="1003"/>
        <v>-0.93299616600570701</v>
      </c>
    </row>
    <row r="767" spans="1:20" x14ac:dyDescent="0.25">
      <c r="A767" s="5">
        <v>43826</v>
      </c>
      <c r="B767">
        <v>1.295E-2</v>
      </c>
      <c r="C767">
        <v>1.332E-2</v>
      </c>
      <c r="D767">
        <v>1.1299999999999999E-2</v>
      </c>
      <c r="E767">
        <v>1.1769999999999999E-2</v>
      </c>
      <c r="F767">
        <v>15782826</v>
      </c>
      <c r="G767">
        <v>0</v>
      </c>
      <c r="L767" t="s">
        <v>7</v>
      </c>
      <c r="M767" t="s">
        <v>8</v>
      </c>
      <c r="N767" t="s">
        <v>7</v>
      </c>
      <c r="P767">
        <f t="shared" ref="P767:P781" si="1004">IF(C767=D767,0,((E767-D767)-(C767-E767))/(C767-D767))</f>
        <v>-0.53465346534653491</v>
      </c>
      <c r="Q767">
        <f t="shared" ref="Q767:Q781" si="1005">F767*P767</f>
        <v>-8438342.6138613895</v>
      </c>
      <c r="R767">
        <f t="shared" ref="R767:R781" si="1006">R768+Q767</f>
        <v>-84925373.850570679</v>
      </c>
      <c r="S767">
        <f t="shared" ref="S767:S781" si="1007">R767/100000</f>
        <v>-849.25373850570679</v>
      </c>
      <c r="T767">
        <f t="shared" ref="T767:T781" si="1008">S767/1000</f>
        <v>-0.84925373850570685</v>
      </c>
    </row>
    <row r="768" spans="1:20" x14ac:dyDescent="0.25">
      <c r="A768" s="5">
        <v>43825</v>
      </c>
      <c r="B768">
        <v>1.12E-2</v>
      </c>
      <c r="C768">
        <v>1.35E-2</v>
      </c>
      <c r="D768">
        <v>1.12E-2</v>
      </c>
      <c r="E768">
        <v>1.295E-2</v>
      </c>
      <c r="F768">
        <v>31896669.800000001</v>
      </c>
      <c r="G768">
        <v>0</v>
      </c>
      <c r="L768" t="s">
        <v>8</v>
      </c>
      <c r="M768" t="s">
        <v>8</v>
      </c>
      <c r="N768" t="s">
        <v>7</v>
      </c>
      <c r="P768">
        <f t="shared" si="1004"/>
        <v>0.52173913043478248</v>
      </c>
      <c r="Q768">
        <f t="shared" si="1005"/>
        <v>16641740.765217388</v>
      </c>
      <c r="R768">
        <f t="shared" si="1006"/>
        <v>-76487031.236709282</v>
      </c>
      <c r="S768">
        <f t="shared" si="1007"/>
        <v>-764.87031236709277</v>
      </c>
      <c r="T768">
        <f t="shared" si="1008"/>
        <v>-0.7648703123670928</v>
      </c>
    </row>
    <row r="769" spans="1:20" x14ac:dyDescent="0.25">
      <c r="A769" s="5">
        <v>43824</v>
      </c>
      <c r="B769">
        <v>1.0370000000000001E-2</v>
      </c>
      <c r="C769">
        <v>1.153E-2</v>
      </c>
      <c r="D769">
        <v>1.034E-2</v>
      </c>
      <c r="E769">
        <v>1.12E-2</v>
      </c>
      <c r="F769">
        <v>4145111.7</v>
      </c>
      <c r="G769">
        <v>0</v>
      </c>
      <c r="L769" t="s">
        <v>8</v>
      </c>
      <c r="M769" t="s">
        <v>7</v>
      </c>
      <c r="N769" t="s">
        <v>7</v>
      </c>
      <c r="P769">
        <f t="shared" si="1004"/>
        <v>0.44537815126050351</v>
      </c>
      <c r="Q769">
        <f t="shared" si="1005"/>
        <v>1846142.185714283</v>
      </c>
      <c r="R769">
        <f t="shared" si="1006"/>
        <v>-93128772.001926675</v>
      </c>
      <c r="S769">
        <f t="shared" si="1007"/>
        <v>-931.28772001926677</v>
      </c>
      <c r="T769">
        <f t="shared" si="1008"/>
        <v>-0.93128772001926674</v>
      </c>
    </row>
    <row r="770" spans="1:20" x14ac:dyDescent="0.25">
      <c r="A770" s="5">
        <v>43823</v>
      </c>
      <c r="B770">
        <v>1.0529999999999999E-2</v>
      </c>
      <c r="C770">
        <v>1.0999999999999999E-2</v>
      </c>
      <c r="D770">
        <v>1.0240000000000001E-2</v>
      </c>
      <c r="E770">
        <v>1.065E-2</v>
      </c>
      <c r="F770">
        <v>3203800.3</v>
      </c>
      <c r="G770">
        <v>0</v>
      </c>
      <c r="L770" t="s">
        <v>8</v>
      </c>
      <c r="M770" t="s">
        <v>7</v>
      </c>
      <c r="N770" t="s">
        <v>7</v>
      </c>
      <c r="P770">
        <f t="shared" si="1004"/>
        <v>7.894736842105185E-2</v>
      </c>
      <c r="Q770">
        <f t="shared" si="1005"/>
        <v>252931.60263157642</v>
      </c>
      <c r="R770">
        <f t="shared" si="1006"/>
        <v>-94974914.187640965</v>
      </c>
      <c r="S770">
        <f t="shared" si="1007"/>
        <v>-949.74914187640968</v>
      </c>
      <c r="T770">
        <f t="shared" si="1008"/>
        <v>-0.94974914187640969</v>
      </c>
    </row>
    <row r="771" spans="1:20" x14ac:dyDescent="0.25">
      <c r="A771" s="5">
        <v>43822</v>
      </c>
      <c r="B771">
        <v>1.129E-2</v>
      </c>
      <c r="C771">
        <v>1.14E-2</v>
      </c>
      <c r="D771">
        <v>1.018E-2</v>
      </c>
      <c r="E771">
        <v>1.0540000000000001E-2</v>
      </c>
      <c r="F771">
        <v>8717675.8000000007</v>
      </c>
      <c r="G771">
        <v>0</v>
      </c>
      <c r="L771" t="s">
        <v>7</v>
      </c>
      <c r="M771" t="s">
        <v>7</v>
      </c>
      <c r="N771" t="s">
        <v>7</v>
      </c>
      <c r="P771">
        <f t="shared" si="1004"/>
        <v>-0.40983606557376923</v>
      </c>
      <c r="Q771">
        <f t="shared" si="1005"/>
        <v>-3572817.9508196614</v>
      </c>
      <c r="R771">
        <f t="shared" si="1006"/>
        <v>-95227845.790272549</v>
      </c>
      <c r="S771">
        <f t="shared" si="1007"/>
        <v>-952.27845790272545</v>
      </c>
      <c r="T771">
        <f t="shared" si="1008"/>
        <v>-0.95227845790272547</v>
      </c>
    </row>
    <row r="772" spans="1:20" x14ac:dyDescent="0.25">
      <c r="A772" s="5">
        <v>43821</v>
      </c>
      <c r="B772">
        <v>1.1599999999999999E-2</v>
      </c>
      <c r="C772">
        <v>1.162E-2</v>
      </c>
      <c r="D772">
        <v>1.1050000000000001E-2</v>
      </c>
      <c r="E772">
        <v>1.1209999999999999E-2</v>
      </c>
      <c r="F772">
        <v>3009607.4</v>
      </c>
      <c r="G772">
        <v>0</v>
      </c>
      <c r="L772" t="s">
        <v>7</v>
      </c>
      <c r="M772" t="s">
        <v>7</v>
      </c>
      <c r="N772" t="s">
        <v>7</v>
      </c>
      <c r="P772">
        <f t="shared" si="1004"/>
        <v>-0.43859649122807415</v>
      </c>
      <c r="Q772">
        <f t="shared" si="1005"/>
        <v>-1320003.2456140469</v>
      </c>
      <c r="R772">
        <f t="shared" si="1006"/>
        <v>-91655027.839452893</v>
      </c>
      <c r="S772">
        <f t="shared" si="1007"/>
        <v>-916.55027839452896</v>
      </c>
      <c r="T772">
        <f t="shared" si="1008"/>
        <v>-0.91655027839452896</v>
      </c>
    </row>
    <row r="773" spans="1:20" x14ac:dyDescent="0.25">
      <c r="A773" s="5">
        <v>43820</v>
      </c>
      <c r="B773">
        <v>1.162E-2</v>
      </c>
      <c r="C773">
        <v>1.1950000000000001E-2</v>
      </c>
      <c r="D773">
        <v>1.124E-2</v>
      </c>
      <c r="E773">
        <v>1.1610000000000001E-2</v>
      </c>
      <c r="F773">
        <v>5420602.0999999996</v>
      </c>
      <c r="G773">
        <v>0</v>
      </c>
      <c r="L773" t="s">
        <v>7</v>
      </c>
      <c r="M773" t="s">
        <v>7</v>
      </c>
      <c r="N773" t="s">
        <v>7</v>
      </c>
      <c r="P773">
        <f t="shared" si="1004"/>
        <v>4.225352112676125E-2</v>
      </c>
      <c r="Q773">
        <f t="shared" si="1005"/>
        <v>229039.52535211638</v>
      </c>
      <c r="R773">
        <f t="shared" si="1006"/>
        <v>-90335024.593838841</v>
      </c>
      <c r="S773">
        <f t="shared" si="1007"/>
        <v>-903.35024593838841</v>
      </c>
      <c r="T773">
        <f t="shared" si="1008"/>
        <v>-0.90335024593838842</v>
      </c>
    </row>
    <row r="774" spans="1:20" x14ac:dyDescent="0.25">
      <c r="A774" s="5">
        <v>43819</v>
      </c>
      <c r="B774">
        <v>1.2579999999999999E-2</v>
      </c>
      <c r="C774">
        <v>1.2670000000000001E-2</v>
      </c>
      <c r="D774">
        <v>1.154E-2</v>
      </c>
      <c r="E774">
        <v>1.1599999999999999E-2</v>
      </c>
      <c r="F774">
        <v>4814677.5999999996</v>
      </c>
      <c r="G774">
        <v>0</v>
      </c>
      <c r="L774" t="s">
        <v>7</v>
      </c>
      <c r="M774" t="s">
        <v>7</v>
      </c>
      <c r="N774" t="s">
        <v>7</v>
      </c>
      <c r="P774">
        <f t="shared" si="1004"/>
        <v>-0.89380530973451455</v>
      </c>
      <c r="Q774">
        <f t="shared" si="1005"/>
        <v>-4303384.403539829</v>
      </c>
      <c r="R774">
        <f t="shared" si="1006"/>
        <v>-90564064.119190961</v>
      </c>
      <c r="S774">
        <f t="shared" si="1007"/>
        <v>-905.64064119190959</v>
      </c>
      <c r="T774">
        <f t="shared" si="1008"/>
        <v>-0.90564064119190957</v>
      </c>
    </row>
    <row r="775" spans="1:20" x14ac:dyDescent="0.25">
      <c r="A775" s="5">
        <v>43818</v>
      </c>
      <c r="B775">
        <v>1.189E-2</v>
      </c>
      <c r="C775">
        <v>1.259E-2</v>
      </c>
      <c r="D775">
        <v>1.0999999999999999E-2</v>
      </c>
      <c r="E775">
        <v>1.2579999999999999E-2</v>
      </c>
      <c r="F775">
        <v>10365136.1</v>
      </c>
      <c r="G775">
        <v>0</v>
      </c>
      <c r="L775" t="s">
        <v>8</v>
      </c>
      <c r="M775" t="s">
        <v>7</v>
      </c>
      <c r="N775" t="s">
        <v>7</v>
      </c>
      <c r="P775">
        <f t="shared" si="1004"/>
        <v>0.98742138364779708</v>
      </c>
      <c r="Q775">
        <f t="shared" si="1005"/>
        <v>10234757.029559731</v>
      </c>
      <c r="R775">
        <f t="shared" si="1006"/>
        <v>-86260679.71565114</v>
      </c>
      <c r="S775">
        <f t="shared" si="1007"/>
        <v>-862.60679715651145</v>
      </c>
      <c r="T775">
        <f t="shared" si="1008"/>
        <v>-0.86260679715651145</v>
      </c>
    </row>
    <row r="776" spans="1:20" x14ac:dyDescent="0.25">
      <c r="A776" s="5">
        <v>43817</v>
      </c>
      <c r="B776">
        <v>1.179E-2</v>
      </c>
      <c r="C776">
        <v>1.225E-2</v>
      </c>
      <c r="D776">
        <v>1.0800000000000001E-2</v>
      </c>
      <c r="E776">
        <v>1.193E-2</v>
      </c>
      <c r="F776">
        <v>7590800.4000000004</v>
      </c>
      <c r="G776">
        <v>0</v>
      </c>
      <c r="L776" t="s">
        <v>7</v>
      </c>
      <c r="M776" t="s">
        <v>7</v>
      </c>
      <c r="N776" t="s">
        <v>7</v>
      </c>
      <c r="P776">
        <f t="shared" si="1004"/>
        <v>0.5586206896551712</v>
      </c>
      <c r="Q776">
        <f t="shared" si="1005"/>
        <v>4240378.1544827493</v>
      </c>
      <c r="R776">
        <f t="shared" si="1006"/>
        <v>-96495436.745210871</v>
      </c>
      <c r="S776">
        <f t="shared" si="1007"/>
        <v>-964.95436745210873</v>
      </c>
      <c r="T776">
        <f t="shared" si="1008"/>
        <v>-0.96495436745210872</v>
      </c>
    </row>
    <row r="777" spans="1:20" x14ac:dyDescent="0.25">
      <c r="A777" s="5">
        <v>43816</v>
      </c>
      <c r="B777">
        <v>1.345E-2</v>
      </c>
      <c r="C777">
        <v>1.3559999999999999E-2</v>
      </c>
      <c r="D777">
        <v>1.1209999999999999E-2</v>
      </c>
      <c r="E777">
        <v>1.17E-2</v>
      </c>
      <c r="F777">
        <v>13421220.5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-0.5829787234042545</v>
      </c>
      <c r="Q777">
        <f t="shared" si="1005"/>
        <v>-7824285.9936170103</v>
      </c>
      <c r="R777">
        <f t="shared" si="1006"/>
        <v>-100735814.89969362</v>
      </c>
      <c r="S777">
        <f t="shared" si="1007"/>
        <v>-1007.3581489969363</v>
      </c>
      <c r="T777">
        <f t="shared" si="1008"/>
        <v>-1.0073581489969363</v>
      </c>
    </row>
    <row r="778" spans="1:20" x14ac:dyDescent="0.25">
      <c r="A778" s="5">
        <v>43815</v>
      </c>
      <c r="B778">
        <v>1.349E-2</v>
      </c>
      <c r="C778">
        <v>1.7489999999999999E-2</v>
      </c>
      <c r="D778">
        <v>1.2880000000000001E-2</v>
      </c>
      <c r="E778">
        <v>1.3520000000000001E-2</v>
      </c>
      <c r="F778">
        <v>38802727.899999999</v>
      </c>
      <c r="G778">
        <v>0</v>
      </c>
      <c r="L778" t="s">
        <v>8</v>
      </c>
      <c r="M778" t="s">
        <v>8</v>
      </c>
      <c r="N778" t="s">
        <v>7</v>
      </c>
      <c r="P778">
        <f t="shared" si="1004"/>
        <v>-0.72234273318872011</v>
      </c>
      <c r="Q778">
        <f t="shared" si="1005"/>
        <v>-28028868.526464205</v>
      </c>
      <c r="R778">
        <f t="shared" si="1006"/>
        <v>-92911528.90607661</v>
      </c>
      <c r="S778">
        <f t="shared" si="1007"/>
        <v>-929.11528906076614</v>
      </c>
      <c r="T778">
        <f t="shared" si="1008"/>
        <v>-0.92911528906076613</v>
      </c>
    </row>
    <row r="779" spans="1:20" x14ac:dyDescent="0.25">
      <c r="A779" s="5">
        <v>43814</v>
      </c>
      <c r="B779">
        <v>1.345E-2</v>
      </c>
      <c r="C779">
        <v>1.4970000000000001E-2</v>
      </c>
      <c r="D779">
        <v>1.2670000000000001E-2</v>
      </c>
      <c r="E779">
        <v>1.35E-2</v>
      </c>
      <c r="F779">
        <v>12741177.6</v>
      </c>
      <c r="G779">
        <v>0</v>
      </c>
      <c r="L779" t="s">
        <v>7</v>
      </c>
      <c r="M779" t="s">
        <v>7</v>
      </c>
      <c r="N779" t="s">
        <v>7</v>
      </c>
      <c r="P779">
        <f t="shared" si="1004"/>
        <v>-0.27826086956521812</v>
      </c>
      <c r="Q779">
        <f t="shared" si="1005"/>
        <v>-3545371.1582608786</v>
      </c>
      <c r="R779">
        <f t="shared" si="1006"/>
        <v>-64882660.379612401</v>
      </c>
      <c r="S779">
        <f t="shared" si="1007"/>
        <v>-648.826603796124</v>
      </c>
      <c r="T779">
        <f t="shared" si="1008"/>
        <v>-0.648826603796124</v>
      </c>
    </row>
    <row r="780" spans="1:20" x14ac:dyDescent="0.25">
      <c r="A780" s="5">
        <v>43813</v>
      </c>
      <c r="B780">
        <v>1.6580000000000001E-2</v>
      </c>
      <c r="C780">
        <v>1.67E-2</v>
      </c>
      <c r="D780">
        <v>1.295E-2</v>
      </c>
      <c r="E780">
        <v>1.345E-2</v>
      </c>
      <c r="F780">
        <v>27481942.899999999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-0.73333333333333306</v>
      </c>
      <c r="Q780">
        <f t="shared" si="1005"/>
        <v>-20153424.793333326</v>
      </c>
      <c r="R780">
        <f t="shared" si="1006"/>
        <v>-61337289.221351519</v>
      </c>
      <c r="S780">
        <f t="shared" si="1007"/>
        <v>-613.37289221351523</v>
      </c>
      <c r="T780">
        <f t="shared" si="1008"/>
        <v>-0.61337289221351521</v>
      </c>
    </row>
    <row r="781" spans="1:20" x14ac:dyDescent="0.25">
      <c r="A781" s="5">
        <v>43812</v>
      </c>
      <c r="B781">
        <v>2.0830000000000001E-2</v>
      </c>
      <c r="C781">
        <v>2.4E-2</v>
      </c>
      <c r="D781">
        <v>1.5219999999999999E-2</v>
      </c>
      <c r="E781">
        <v>1.6580000000000001E-2</v>
      </c>
      <c r="F781">
        <v>59669031.299999997</v>
      </c>
      <c r="G781">
        <v>0</v>
      </c>
      <c r="P781">
        <f t="shared" si="1004"/>
        <v>-0.69020501138952128</v>
      </c>
      <c r="Q781">
        <f t="shared" si="1005"/>
        <v>-41183864.428018197</v>
      </c>
      <c r="R781">
        <f t="shared" si="1006"/>
        <v>-41183864.428018197</v>
      </c>
      <c r="S781">
        <f t="shared" si="1007"/>
        <v>-411.838644280182</v>
      </c>
      <c r="T781">
        <f t="shared" si="1008"/>
        <v>-0.41183864428018202</v>
      </c>
    </row>
    <row r="782" spans="1:20" x14ac:dyDescent="0.25">
      <c r="A782" s="5"/>
      <c r="C782" s="4"/>
      <c r="D782" s="4"/>
    </row>
    <row r="783" spans="1:20" x14ac:dyDescent="0.25">
      <c r="A783" s="5"/>
      <c r="C783" s="4"/>
      <c r="D783" s="4"/>
    </row>
    <row r="784" spans="1:20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OR739" sqref="OR73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$A$738</v>
      </c>
      <c r="D111" s="1" t="str">
        <f>ADDRESS(C121-1,D121,1,1)</f>
        <v>$OR$738</v>
      </c>
      <c r="E111"/>
    </row>
    <row r="112" spans="1:5" x14ac:dyDescent="0.25">
      <c r="A112" s="7">
        <v>12164.144957890772</v>
      </c>
      <c r="C112" s="1" t="str">
        <f>ADDRESS(C121,1,1,1)</f>
        <v>$A$739</v>
      </c>
      <c r="D112" s="1" t="str">
        <f>ADDRESS(C121,D121-1,1,1)</f>
        <v>$OQ$739</v>
      </c>
      <c r="E112"/>
    </row>
    <row r="113" spans="1:5" x14ac:dyDescent="0.25">
      <c r="A113" s="7">
        <v>11925.63231165762</v>
      </c>
      <c r="C113" s="1" t="str">
        <f>ADDRESS(C121+1,1,1,1)</f>
        <v>$A$740</v>
      </c>
      <c r="D113" s="1" t="str">
        <f>ADDRESS(C121-1,D121+1,1,1)</f>
        <v>$OS$738</v>
      </c>
    </row>
    <row r="114" spans="1:5" x14ac:dyDescent="0.25">
      <c r="A114" s="7">
        <v>11691.796383978059</v>
      </c>
      <c r="C114" s="1" t="str">
        <f>ADDRESS(C121,D121,1,1)</f>
        <v>$OR$739</v>
      </c>
      <c r="D114" s="1" t="str">
        <f>ADDRESS(C121+1,D121+1,1,1)</f>
        <v>$OS$740</v>
      </c>
    </row>
    <row r="115" spans="1:5" x14ac:dyDescent="0.25">
      <c r="A115" s="7">
        <v>11462.545474488292</v>
      </c>
      <c r="C115" s="1" t="str">
        <f>ADDRESS(C121+1,D121,1,1)</f>
        <v>$OR$740</v>
      </c>
    </row>
    <row r="116" spans="1:5" x14ac:dyDescent="0.25">
      <c r="A116" s="7">
        <v>11237.789680870874</v>
      </c>
      <c r="C116" s="1">
        <f>C117-1</f>
        <v>738</v>
      </c>
    </row>
    <row r="117" spans="1:5" x14ac:dyDescent="0.25">
      <c r="A117" s="7">
        <v>11017.440863598895</v>
      </c>
      <c r="C117" s="1">
        <f>C121</f>
        <v>739</v>
      </c>
      <c r="D117" s="1">
        <f>D121</f>
        <v>408</v>
      </c>
    </row>
    <row r="118" spans="1:5" x14ac:dyDescent="0.25">
      <c r="A118" s="7">
        <v>10801.412611371465</v>
      </c>
      <c r="C118" s="1">
        <f>C117+1</f>
        <v>740</v>
      </c>
      <c r="D118" s="1">
        <f>D117+1</f>
        <v>409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739</v>
      </c>
      <c r="D121" s="19">
        <v>408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R739</v>
      </c>
      <c r="D123" s="1" t="str">
        <f>"C"&amp;D121</f>
        <v>C408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4.9291710848403378E-2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262" x14ac:dyDescent="0.25">
      <c r="A641" s="7">
        <v>0.34323433454431179</v>
      </c>
      <c r="B641"/>
      <c r="C641"/>
      <c r="D641"/>
      <c r="E641"/>
      <c r="F641" s="27" t="s">
        <v>7</v>
      </c>
      <c r="IO641" s="27" t="s">
        <v>8</v>
      </c>
    </row>
    <row r="642" spans="1:262" x14ac:dyDescent="0.25">
      <c r="A642" s="7">
        <v>0.33650424955324681</v>
      </c>
      <c r="B642"/>
      <c r="C642"/>
      <c r="D642"/>
      <c r="E642"/>
      <c r="F642" s="27" t="s">
        <v>7</v>
      </c>
      <c r="IO642" s="27" t="s">
        <v>8</v>
      </c>
      <c r="IP642" s="27" t="s">
        <v>7</v>
      </c>
    </row>
    <row r="643" spans="1:262" x14ac:dyDescent="0.25">
      <c r="A643" s="7">
        <v>0.3299061270129871</v>
      </c>
      <c r="B643"/>
      <c r="C643"/>
      <c r="D643"/>
      <c r="E643"/>
      <c r="F643" s="27" t="s">
        <v>7</v>
      </c>
      <c r="IO643" s="27" t="s">
        <v>8</v>
      </c>
      <c r="IP643" s="27" t="s">
        <v>7</v>
      </c>
    </row>
    <row r="644" spans="1:262" x14ac:dyDescent="0.25">
      <c r="A644" s="7">
        <v>0.32343737942449713</v>
      </c>
      <c r="B644"/>
      <c r="C644"/>
      <c r="D644"/>
      <c r="E644"/>
      <c r="F644" s="27" t="s">
        <v>7</v>
      </c>
      <c r="IM644" s="27" t="s">
        <v>8</v>
      </c>
      <c r="IO644" s="27" t="s">
        <v>8</v>
      </c>
      <c r="IP644" s="27" t="s">
        <v>7</v>
      </c>
    </row>
    <row r="645" spans="1:262" x14ac:dyDescent="0.25">
      <c r="A645" s="7">
        <v>0.31709547002401678</v>
      </c>
      <c r="B645"/>
      <c r="C645"/>
      <c r="D645"/>
      <c r="E645"/>
      <c r="F645" s="27" t="s">
        <v>7</v>
      </c>
      <c r="IM645" s="27" t="s">
        <v>8</v>
      </c>
      <c r="IN645" s="27" t="s">
        <v>7</v>
      </c>
      <c r="IO645" s="27" t="s">
        <v>8</v>
      </c>
      <c r="IP645" s="27" t="s">
        <v>7</v>
      </c>
    </row>
    <row r="646" spans="1:262" x14ac:dyDescent="0.25">
      <c r="A646" s="7">
        <v>0.31087791178825175</v>
      </c>
      <c r="B646"/>
      <c r="C646"/>
      <c r="D646"/>
      <c r="E646"/>
      <c r="F646" s="27" t="s">
        <v>7</v>
      </c>
      <c r="IM646" s="27" t="s">
        <v>8</v>
      </c>
      <c r="IN646" s="27" t="s">
        <v>7</v>
      </c>
      <c r="IO646" s="27" t="s">
        <v>8</v>
      </c>
      <c r="IP646" s="27" t="s">
        <v>7</v>
      </c>
    </row>
    <row r="647" spans="1:262" x14ac:dyDescent="0.25">
      <c r="A647" s="7">
        <v>0.30478226645907036</v>
      </c>
      <c r="B647"/>
      <c r="C647"/>
      <c r="D647"/>
      <c r="E647"/>
      <c r="F647" s="27" t="s">
        <v>7</v>
      </c>
      <c r="IM647" s="27" t="s">
        <v>8</v>
      </c>
      <c r="IN647" s="27" t="s">
        <v>7</v>
      </c>
      <c r="IO647" s="27" t="s">
        <v>8</v>
      </c>
      <c r="IP647" s="27" t="s">
        <v>7</v>
      </c>
    </row>
    <row r="648" spans="1:262" x14ac:dyDescent="0.25">
      <c r="A648" s="7">
        <v>0.29880614358732388</v>
      </c>
      <c r="B648"/>
      <c r="C648"/>
      <c r="D648"/>
      <c r="E648"/>
      <c r="F648" s="27" t="s">
        <v>7</v>
      </c>
      <c r="IM648" s="27" t="s">
        <v>8</v>
      </c>
      <c r="IN648" s="27" t="s">
        <v>7</v>
      </c>
      <c r="IO648" s="27" t="s">
        <v>8</v>
      </c>
      <c r="IP648" s="27" t="s">
        <v>7</v>
      </c>
    </row>
    <row r="649" spans="1:262" x14ac:dyDescent="0.25">
      <c r="A649" s="7">
        <v>0.2929471995954156</v>
      </c>
      <c r="B649"/>
      <c r="C649"/>
      <c r="D649"/>
      <c r="E649"/>
      <c r="F649" s="27" t="s">
        <v>7</v>
      </c>
      <c r="IM649" s="27" t="s">
        <v>8</v>
      </c>
      <c r="IN649" s="27" t="s">
        <v>7</v>
      </c>
      <c r="IO649" s="27" t="s">
        <v>8</v>
      </c>
      <c r="IP649" s="27" t="s">
        <v>7</v>
      </c>
    </row>
    <row r="650" spans="1:262" x14ac:dyDescent="0.25">
      <c r="A650" s="7">
        <v>0.28720313685825055</v>
      </c>
      <c r="B650"/>
      <c r="C650"/>
      <c r="D650"/>
      <c r="E650"/>
      <c r="F650" s="27" t="s">
        <v>7</v>
      </c>
      <c r="IM650" s="27" t="s">
        <v>8</v>
      </c>
      <c r="IN650" s="27" t="s">
        <v>7</v>
      </c>
      <c r="IO650" s="27" t="s">
        <v>8</v>
      </c>
      <c r="IP650" s="27" t="s">
        <v>7</v>
      </c>
    </row>
    <row r="651" spans="1:262" x14ac:dyDescent="0.25">
      <c r="A651" s="7">
        <v>0.28157170280220645</v>
      </c>
      <c r="B651"/>
      <c r="C651"/>
      <c r="D651"/>
      <c r="E651"/>
      <c r="F651" s="27" t="s">
        <v>7</v>
      </c>
      <c r="IM651" s="27" t="s">
        <v>8</v>
      </c>
      <c r="IN651" s="27" t="s">
        <v>7</v>
      </c>
      <c r="IO651" s="27" t="s">
        <v>8</v>
      </c>
      <c r="IP651" s="27" t="s">
        <v>7</v>
      </c>
    </row>
    <row r="652" spans="1:262" x14ac:dyDescent="0.25">
      <c r="A652" s="7">
        <v>0.27605068902177105</v>
      </c>
      <c r="B652"/>
      <c r="C652"/>
      <c r="D652"/>
      <c r="E652"/>
      <c r="F652" s="27" t="s">
        <v>7</v>
      </c>
      <c r="IM652" s="27" t="s">
        <v>8</v>
      </c>
      <c r="IN652" s="27" t="s">
        <v>7</v>
      </c>
      <c r="IO652" s="27" t="s">
        <v>8</v>
      </c>
      <c r="IP652" s="27" t="s">
        <v>7</v>
      </c>
    </row>
    <row r="653" spans="1:262" x14ac:dyDescent="0.25">
      <c r="A653" s="7">
        <v>0.27063793041350104</v>
      </c>
      <c r="B653"/>
      <c r="C653"/>
      <c r="D653"/>
      <c r="E653"/>
      <c r="F653" s="27" t="s">
        <v>7</v>
      </c>
      <c r="IM653" s="27" t="s">
        <v>8</v>
      </c>
      <c r="IN653" s="27" t="s">
        <v>7</v>
      </c>
      <c r="IO653" s="27" t="s">
        <v>8</v>
      </c>
      <c r="IP653" s="27" t="s">
        <v>7</v>
      </c>
      <c r="JA653" s="27" t="s">
        <v>8</v>
      </c>
    </row>
    <row r="654" spans="1:262" x14ac:dyDescent="0.25">
      <c r="A654" s="7">
        <v>0.26533130432696184</v>
      </c>
      <c r="B654"/>
      <c r="C654"/>
      <c r="D654"/>
      <c r="E654"/>
      <c r="F654" s="27" t="s">
        <v>7</v>
      </c>
      <c r="IM654" s="27" t="s">
        <v>8</v>
      </c>
      <c r="IN654" s="27" t="s">
        <v>7</v>
      </c>
      <c r="IO654" s="27" t="s">
        <v>8</v>
      </c>
      <c r="IP654" s="27" t="s">
        <v>7</v>
      </c>
      <c r="JA654" s="27" t="s">
        <v>8</v>
      </c>
      <c r="JB654" s="27" t="s">
        <v>7</v>
      </c>
    </row>
    <row r="655" spans="1:262" x14ac:dyDescent="0.25">
      <c r="A655" s="7">
        <v>0.26012872973231554</v>
      </c>
      <c r="B655"/>
      <c r="C655"/>
      <c r="D655"/>
      <c r="E655"/>
      <c r="F655" s="27" t="s">
        <v>7</v>
      </c>
      <c r="IM655" s="27" t="s">
        <v>8</v>
      </c>
      <c r="IN655" s="27" t="s">
        <v>7</v>
      </c>
      <c r="IO655" s="27" t="s">
        <v>8</v>
      </c>
      <c r="IP655" s="27" t="s">
        <v>7</v>
      </c>
      <c r="JA655" s="27" t="s">
        <v>8</v>
      </c>
      <c r="JB655" s="27" t="s">
        <v>7</v>
      </c>
    </row>
    <row r="656" spans="1:262" x14ac:dyDescent="0.25">
      <c r="A656" s="7">
        <v>0.25502816640423093</v>
      </c>
      <c r="B656"/>
      <c r="C656"/>
      <c r="D656"/>
      <c r="E656"/>
      <c r="F656" s="27" t="s">
        <v>7</v>
      </c>
      <c r="IM656" s="27" t="s">
        <v>8</v>
      </c>
      <c r="IN656" s="27" t="s">
        <v>7</v>
      </c>
      <c r="IO656" s="27" t="s">
        <v>8</v>
      </c>
      <c r="IP656" s="27" t="s">
        <v>7</v>
      </c>
      <c r="IQ656" s="27" t="s">
        <v>8</v>
      </c>
      <c r="JA656" s="27" t="s">
        <v>8</v>
      </c>
      <c r="JB656" s="27" t="s">
        <v>7</v>
      </c>
    </row>
    <row r="657" spans="1:272" x14ac:dyDescent="0.25">
      <c r="A657" s="7">
        <v>0.25002761412179503</v>
      </c>
      <c r="B657"/>
      <c r="C657"/>
      <c r="D657"/>
      <c r="E657"/>
      <c r="F657" s="27" t="s">
        <v>7</v>
      </c>
      <c r="IM657" s="27" t="s">
        <v>8</v>
      </c>
      <c r="IN657" s="27" t="s">
        <v>7</v>
      </c>
      <c r="IO657" s="27" t="s">
        <v>8</v>
      </c>
      <c r="IP657" s="27" t="s">
        <v>7</v>
      </c>
      <c r="IQ657" s="27" t="s">
        <v>8</v>
      </c>
      <c r="IR657" s="27" t="s">
        <v>7</v>
      </c>
      <c r="JA657" s="27" t="s">
        <v>8</v>
      </c>
      <c r="JB657" s="27" t="s">
        <v>7</v>
      </c>
    </row>
    <row r="658" spans="1:272" x14ac:dyDescent="0.25">
      <c r="A658" s="7">
        <v>0.24512511188411276</v>
      </c>
      <c r="B658"/>
      <c r="C658"/>
      <c r="D658"/>
      <c r="E658"/>
      <c r="F658" s="27" t="s">
        <v>7</v>
      </c>
      <c r="IK658" s="27" t="s">
        <v>8</v>
      </c>
      <c r="IM658" s="27" t="s">
        <v>8</v>
      </c>
      <c r="IN658" s="27" t="s">
        <v>7</v>
      </c>
      <c r="IP658" s="27" t="s">
        <v>7</v>
      </c>
      <c r="IQ658" s="27" t="s">
        <v>8</v>
      </c>
      <c r="IR658" s="27" t="s">
        <v>7</v>
      </c>
      <c r="JA658" s="27" t="s">
        <v>8</v>
      </c>
      <c r="JB658" s="27" t="s">
        <v>7</v>
      </c>
      <c r="JC658" s="27" t="s">
        <v>8</v>
      </c>
    </row>
    <row r="659" spans="1:272" x14ac:dyDescent="0.25">
      <c r="A659" s="7">
        <v>0.24031873714128701</v>
      </c>
      <c r="B659"/>
      <c r="C659"/>
      <c r="D659"/>
      <c r="E659"/>
      <c r="F659" s="27" t="s">
        <v>7</v>
      </c>
      <c r="IK659" s="27" t="s">
        <v>8</v>
      </c>
      <c r="IL659" s="27" t="s">
        <v>7</v>
      </c>
      <c r="IM659" s="27" t="s">
        <v>8</v>
      </c>
      <c r="IP659" s="27" t="s">
        <v>7</v>
      </c>
      <c r="IQ659" s="27" t="s">
        <v>8</v>
      </c>
      <c r="IR659" s="27" t="s">
        <v>7</v>
      </c>
      <c r="JA659" s="27" t="s">
        <v>8</v>
      </c>
      <c r="JB659" s="27" t="s">
        <v>7</v>
      </c>
      <c r="JC659" s="27" t="s">
        <v>8</v>
      </c>
      <c r="JD659" s="27" t="s">
        <v>7</v>
      </c>
    </row>
    <row r="660" spans="1:272" x14ac:dyDescent="0.25">
      <c r="A660" s="7">
        <v>0.23560660504047748</v>
      </c>
      <c r="B660"/>
      <c r="C660"/>
      <c r="D660"/>
      <c r="E660"/>
      <c r="F660" s="27" t="s">
        <v>7</v>
      </c>
      <c r="IK660" s="27" t="s">
        <v>8</v>
      </c>
      <c r="IL660" s="27" t="s">
        <v>7</v>
      </c>
      <c r="IM660" s="27" t="s">
        <v>8</v>
      </c>
      <c r="IP660" s="27" t="s">
        <v>7</v>
      </c>
      <c r="IQ660" s="27" t="s">
        <v>8</v>
      </c>
      <c r="IR660" s="27" t="s">
        <v>7</v>
      </c>
      <c r="JA660" s="27" t="s">
        <v>8</v>
      </c>
      <c r="JB660" s="27" t="s">
        <v>7</v>
      </c>
      <c r="JC660" s="27" t="s">
        <v>8</v>
      </c>
      <c r="JD660" s="27" t="s">
        <v>7</v>
      </c>
    </row>
    <row r="661" spans="1:272" x14ac:dyDescent="0.25">
      <c r="A661" s="7">
        <v>0.23098686768674265</v>
      </c>
      <c r="B661"/>
      <c r="C661"/>
      <c r="D661"/>
      <c r="E661"/>
      <c r="F661" s="27" t="s">
        <v>7</v>
      </c>
      <c r="IK661" s="27" t="s">
        <v>8</v>
      </c>
      <c r="IL661" s="27" t="s">
        <v>7</v>
      </c>
      <c r="IM661" s="27" t="s">
        <v>8</v>
      </c>
      <c r="IP661" s="27" t="s">
        <v>7</v>
      </c>
      <c r="IQ661" s="27" t="s">
        <v>8</v>
      </c>
      <c r="IR661" s="27" t="s">
        <v>7</v>
      </c>
      <c r="JA661" s="27" t="s">
        <v>8</v>
      </c>
      <c r="JB661" s="27" t="s">
        <v>7</v>
      </c>
      <c r="JC661" s="27" t="s">
        <v>8</v>
      </c>
      <c r="JD661" s="27" t="s">
        <v>7</v>
      </c>
    </row>
    <row r="662" spans="1:272" x14ac:dyDescent="0.25">
      <c r="A662" s="7">
        <v>0.22645771341837515</v>
      </c>
      <c r="B662"/>
      <c r="C662"/>
      <c r="D662"/>
      <c r="E662"/>
      <c r="F662" s="27" t="s">
        <v>7</v>
      </c>
      <c r="IK662" s="27" t="s">
        <v>8</v>
      </c>
      <c r="IL662" s="27" t="s">
        <v>7</v>
      </c>
      <c r="IM662" s="27" t="s">
        <v>8</v>
      </c>
      <c r="IP662" s="27" t="s">
        <v>7</v>
      </c>
      <c r="IQ662" s="27" t="s">
        <v>8</v>
      </c>
      <c r="IR662" s="27" t="s">
        <v>7</v>
      </c>
      <c r="JA662" s="27" t="s">
        <v>8</v>
      </c>
      <c r="JB662" s="27" t="s">
        <v>7</v>
      </c>
      <c r="JC662" s="27" t="s">
        <v>8</v>
      </c>
      <c r="JD662" s="27" t="s">
        <v>7</v>
      </c>
    </row>
    <row r="663" spans="1:272" x14ac:dyDescent="0.25">
      <c r="A663" s="7">
        <v>0.22201736609644623</v>
      </c>
      <c r="B663"/>
      <c r="C663"/>
      <c r="D663"/>
      <c r="E663"/>
      <c r="F663" s="27" t="s">
        <v>7</v>
      </c>
      <c r="IK663" s="27" t="s">
        <v>8</v>
      </c>
      <c r="IL663" s="27" t="s">
        <v>7</v>
      </c>
      <c r="IM663" s="27" t="s">
        <v>8</v>
      </c>
      <c r="IP663" s="27" t="s">
        <v>7</v>
      </c>
      <c r="IQ663" s="27" t="s">
        <v>8</v>
      </c>
      <c r="IR663" s="27" t="s">
        <v>7</v>
      </c>
      <c r="JA663" s="27" t="s">
        <v>8</v>
      </c>
      <c r="JB663" s="27" t="s">
        <v>7</v>
      </c>
      <c r="JC663" s="27" t="s">
        <v>8</v>
      </c>
      <c r="JD663" s="27" t="s">
        <v>7</v>
      </c>
    </row>
    <row r="664" spans="1:272" x14ac:dyDescent="0.25">
      <c r="A664" s="7">
        <v>0.21766408440828061</v>
      </c>
      <c r="B664"/>
      <c r="C664"/>
      <c r="D664"/>
      <c r="E664"/>
      <c r="F664" s="27" t="s">
        <v>7</v>
      </c>
      <c r="IK664" s="27" t="s">
        <v>8</v>
      </c>
      <c r="IL664" s="27" t="s">
        <v>7</v>
      </c>
      <c r="IM664" s="27" t="s">
        <v>8</v>
      </c>
      <c r="IP664" s="27" t="s">
        <v>7</v>
      </c>
      <c r="IQ664" s="27" t="s">
        <v>8</v>
      </c>
      <c r="IR664" s="27" t="s">
        <v>7</v>
      </c>
      <c r="IS664" s="27" t="s">
        <v>8</v>
      </c>
      <c r="JA664" s="27" t="s">
        <v>8</v>
      </c>
      <c r="JB664" s="27" t="s">
        <v>7</v>
      </c>
      <c r="JC664" s="27" t="s">
        <v>8</v>
      </c>
      <c r="JD664" s="27" t="s">
        <v>7</v>
      </c>
    </row>
    <row r="665" spans="1:272" x14ac:dyDescent="0.25">
      <c r="A665" s="7">
        <v>0.21339616118458882</v>
      </c>
      <c r="B665"/>
      <c r="C665"/>
      <c r="D665"/>
      <c r="E665"/>
      <c r="F665" s="27" t="s">
        <v>7</v>
      </c>
      <c r="IK665" s="27" t="s">
        <v>8</v>
      </c>
      <c r="IL665" s="27" t="s">
        <v>7</v>
      </c>
      <c r="IM665" s="27" t="s">
        <v>8</v>
      </c>
      <c r="IP665" s="27" t="s">
        <v>7</v>
      </c>
      <c r="IQ665" s="27" t="s">
        <v>8</v>
      </c>
      <c r="IR665" s="27" t="s">
        <v>7</v>
      </c>
      <c r="IS665" s="27" t="s">
        <v>8</v>
      </c>
      <c r="IT665" s="27" t="s">
        <v>7</v>
      </c>
      <c r="IU665" s="27" t="s">
        <v>8</v>
      </c>
      <c r="JA665" s="27" t="s">
        <v>8</v>
      </c>
      <c r="JB665" s="27" t="s">
        <v>7</v>
      </c>
      <c r="JD665" s="27" t="s">
        <v>7</v>
      </c>
    </row>
    <row r="666" spans="1:272" x14ac:dyDescent="0.25">
      <c r="A666" s="7">
        <v>0.20921192272998904</v>
      </c>
      <c r="B666"/>
      <c r="C666"/>
      <c r="D666"/>
      <c r="E666"/>
      <c r="F666" s="27" t="s">
        <v>7</v>
      </c>
      <c r="IK666" s="27" t="s">
        <v>8</v>
      </c>
      <c r="IL666" s="27" t="s">
        <v>7</v>
      </c>
      <c r="IM666" s="27" t="s">
        <v>8</v>
      </c>
      <c r="IP666" s="27" t="s">
        <v>7</v>
      </c>
      <c r="IQ666" s="27" t="s">
        <v>8</v>
      </c>
      <c r="IR666" s="27" t="s">
        <v>7</v>
      </c>
      <c r="IS666" s="27" t="s">
        <v>8</v>
      </c>
      <c r="IT666" s="27" t="s">
        <v>7</v>
      </c>
      <c r="IU666" s="27" t="s">
        <v>8</v>
      </c>
      <c r="IV666" s="27" t="s">
        <v>7</v>
      </c>
      <c r="JA666" s="27" t="s">
        <v>8</v>
      </c>
      <c r="JD666" s="27" t="s">
        <v>7</v>
      </c>
      <c r="JI666" s="27" t="s">
        <v>8</v>
      </c>
      <c r="JK666" s="27" t="s">
        <v>8</v>
      </c>
    </row>
    <row r="667" spans="1:272" x14ac:dyDescent="0.25">
      <c r="A667" s="7">
        <v>0.20510972816665593</v>
      </c>
      <c r="B667"/>
      <c r="C667"/>
      <c r="D667"/>
      <c r="E667"/>
      <c r="F667" s="27" t="s">
        <v>7</v>
      </c>
      <c r="IK667" s="27" t="s">
        <v>8</v>
      </c>
      <c r="IL667" s="27" t="s">
        <v>7</v>
      </c>
      <c r="IM667" s="27" t="s">
        <v>8</v>
      </c>
      <c r="IP667" s="27" t="s">
        <v>7</v>
      </c>
      <c r="IQ667" s="27" t="s">
        <v>8</v>
      </c>
      <c r="IR667" s="27" t="s">
        <v>7</v>
      </c>
      <c r="IS667" s="27" t="s">
        <v>8</v>
      </c>
      <c r="IT667" s="27" t="s">
        <v>7</v>
      </c>
      <c r="IU667" s="27" t="s">
        <v>8</v>
      </c>
      <c r="IV667" s="27" t="s">
        <v>7</v>
      </c>
      <c r="JA667" s="27" t="s">
        <v>8</v>
      </c>
      <c r="JD667" s="27" t="s">
        <v>7</v>
      </c>
      <c r="JE667" s="27" t="s">
        <v>8</v>
      </c>
      <c r="JI667" s="27" t="s">
        <v>8</v>
      </c>
      <c r="JJ667" s="27" t="s">
        <v>7</v>
      </c>
      <c r="JK667" s="27" t="s">
        <v>8</v>
      </c>
      <c r="JL667" s="27" t="s">
        <v>7</v>
      </c>
    </row>
    <row r="668" spans="1:272" x14ac:dyDescent="0.25">
      <c r="A668" s="7">
        <v>0.20108796879083912</v>
      </c>
      <c r="B668"/>
      <c r="C668"/>
      <c r="D668"/>
      <c r="E668"/>
      <c r="F668" s="27" t="s">
        <v>7</v>
      </c>
      <c r="IK668" s="27" t="s">
        <v>8</v>
      </c>
      <c r="IL668" s="27" t="s">
        <v>7</v>
      </c>
      <c r="IM668" s="27" t="s">
        <v>8</v>
      </c>
      <c r="IP668" s="27" t="s">
        <v>7</v>
      </c>
      <c r="IQ668" s="27" t="s">
        <v>8</v>
      </c>
      <c r="IR668" s="27" t="s">
        <v>7</v>
      </c>
      <c r="IS668" s="27" t="s">
        <v>8</v>
      </c>
      <c r="IT668" s="27" t="s">
        <v>7</v>
      </c>
      <c r="IU668" s="27" t="s">
        <v>8</v>
      </c>
      <c r="IV668" s="27" t="s">
        <v>7</v>
      </c>
      <c r="IW668" s="27" t="s">
        <v>8</v>
      </c>
      <c r="JA668" s="27" t="s">
        <v>8</v>
      </c>
      <c r="JD668" s="27" t="s">
        <v>7</v>
      </c>
      <c r="JE668" s="27" t="s">
        <v>8</v>
      </c>
      <c r="JF668" s="27" t="s">
        <v>7</v>
      </c>
      <c r="JI668" s="27" t="s">
        <v>8</v>
      </c>
      <c r="JJ668" s="27" t="s">
        <v>7</v>
      </c>
      <c r="JK668" s="27" t="s">
        <v>8</v>
      </c>
      <c r="JL668" s="27" t="s">
        <v>7</v>
      </c>
    </row>
    <row r="669" spans="1:272" x14ac:dyDescent="0.25">
      <c r="A669" s="7">
        <v>0.19714506744199917</v>
      </c>
      <c r="B669"/>
      <c r="C669"/>
      <c r="D669"/>
      <c r="E669"/>
      <c r="F669" s="27" t="s">
        <v>7</v>
      </c>
      <c r="IK669" s="27" t="s">
        <v>8</v>
      </c>
      <c r="IL669" s="27" t="s">
        <v>7</v>
      </c>
      <c r="IM669" s="27" t="s">
        <v>8</v>
      </c>
      <c r="IP669" s="27" t="s">
        <v>7</v>
      </c>
      <c r="IR669" s="27" t="s">
        <v>7</v>
      </c>
      <c r="IS669" s="27" t="s">
        <v>8</v>
      </c>
      <c r="IT669" s="27" t="s">
        <v>7</v>
      </c>
      <c r="IU669" s="27" t="s">
        <v>8</v>
      </c>
      <c r="IV669" s="27" t="s">
        <v>7</v>
      </c>
      <c r="IW669" s="27" t="s">
        <v>8</v>
      </c>
      <c r="IX669" s="27" t="s">
        <v>7</v>
      </c>
      <c r="JA669" s="27" t="s">
        <v>8</v>
      </c>
      <c r="JD669" s="27" t="s">
        <v>7</v>
      </c>
      <c r="JE669" s="27" t="s">
        <v>8</v>
      </c>
      <c r="JF669" s="27" t="s">
        <v>7</v>
      </c>
      <c r="JI669" s="27" t="s">
        <v>8</v>
      </c>
      <c r="JJ669" s="27" t="s">
        <v>7</v>
      </c>
      <c r="JK669" s="27" t="s">
        <v>8</v>
      </c>
      <c r="JL669" s="27" t="s">
        <v>7</v>
      </c>
    </row>
    <row r="670" spans="1:272" x14ac:dyDescent="0.25">
      <c r="A670" s="7">
        <v>0.19327947788431293</v>
      </c>
      <c r="B670"/>
      <c r="C670"/>
      <c r="D670"/>
      <c r="E670"/>
      <c r="F670" s="27" t="s">
        <v>7</v>
      </c>
      <c r="HW670" s="27" t="s">
        <v>8</v>
      </c>
      <c r="IK670" s="27" t="s">
        <v>8</v>
      </c>
      <c r="IL670" s="27" t="s">
        <v>7</v>
      </c>
      <c r="IM670" s="27" t="s">
        <v>8</v>
      </c>
      <c r="IR670" s="27" t="s">
        <v>7</v>
      </c>
      <c r="IT670" s="27" t="s">
        <v>7</v>
      </c>
      <c r="IU670" s="27" t="s">
        <v>8</v>
      </c>
      <c r="IV670" s="27" t="s">
        <v>7</v>
      </c>
      <c r="IW670" s="27" t="s">
        <v>8</v>
      </c>
      <c r="IX670" s="27" t="s">
        <v>7</v>
      </c>
      <c r="JA670" s="27" t="s">
        <v>8</v>
      </c>
      <c r="JD670" s="27" t="s">
        <v>7</v>
      </c>
      <c r="JE670" s="27" t="s">
        <v>8</v>
      </c>
      <c r="JF670" s="27" t="s">
        <v>7</v>
      </c>
      <c r="JG670" s="27" t="s">
        <v>8</v>
      </c>
      <c r="JI670" s="27" t="s">
        <v>8</v>
      </c>
      <c r="JJ670" s="27" t="s">
        <v>7</v>
      </c>
      <c r="JK670" s="27" t="s">
        <v>8</v>
      </c>
      <c r="JL670" s="27" t="s">
        <v>7</v>
      </c>
    </row>
    <row r="671" spans="1:272" x14ac:dyDescent="0.25">
      <c r="A671" s="7">
        <v>0.18948968420030682</v>
      </c>
      <c r="B671"/>
      <c r="C671"/>
      <c r="D671"/>
      <c r="E671"/>
      <c r="F671" s="27" t="s">
        <v>7</v>
      </c>
      <c r="HW671" s="27" t="s">
        <v>8</v>
      </c>
      <c r="HX671" s="27" t="s">
        <v>7</v>
      </c>
      <c r="IK671" s="27" t="s">
        <v>8</v>
      </c>
      <c r="IL671" s="27" t="s">
        <v>7</v>
      </c>
      <c r="IT671" s="27" t="s">
        <v>7</v>
      </c>
      <c r="IU671" s="27" t="s">
        <v>8</v>
      </c>
      <c r="IV671" s="27" t="s">
        <v>7</v>
      </c>
      <c r="IW671" s="27" t="s">
        <v>8</v>
      </c>
      <c r="IX671" s="27" t="s">
        <v>7</v>
      </c>
      <c r="JA671" s="27" t="s">
        <v>8</v>
      </c>
      <c r="JD671" s="27" t="s">
        <v>7</v>
      </c>
      <c r="JE671" s="27" t="s">
        <v>8</v>
      </c>
      <c r="JF671" s="27" t="s">
        <v>7</v>
      </c>
      <c r="JG671" s="27" t="s">
        <v>8</v>
      </c>
      <c r="JH671" s="27" t="s">
        <v>7</v>
      </c>
      <c r="JI671" s="27" t="s">
        <v>8</v>
      </c>
      <c r="JJ671" s="27" t="s">
        <v>7</v>
      </c>
      <c r="JK671" s="27" t="s">
        <v>8</v>
      </c>
      <c r="JL671" s="27" t="s">
        <v>7</v>
      </c>
    </row>
    <row r="672" spans="1:272" x14ac:dyDescent="0.25">
      <c r="A672" s="7">
        <v>0.18577420019637925</v>
      </c>
      <c r="B672"/>
      <c r="C672"/>
      <c r="D672"/>
      <c r="E672"/>
      <c r="F672" s="27" t="s">
        <v>7</v>
      </c>
      <c r="HW672" s="27" t="s">
        <v>8</v>
      </c>
      <c r="HX672" s="27" t="s">
        <v>7</v>
      </c>
      <c r="II672" s="27" t="s">
        <v>8</v>
      </c>
      <c r="IK672" s="27" t="s">
        <v>8</v>
      </c>
      <c r="IT672" s="27" t="s">
        <v>7</v>
      </c>
      <c r="IU672" s="27" t="s">
        <v>8</v>
      </c>
      <c r="IV672" s="27" t="s">
        <v>7</v>
      </c>
      <c r="IW672" s="27" t="s">
        <v>8</v>
      </c>
      <c r="IX672" s="27" t="s">
        <v>7</v>
      </c>
      <c r="JA672" s="27" t="s">
        <v>8</v>
      </c>
      <c r="JD672" s="27" t="s">
        <v>7</v>
      </c>
      <c r="JE672" s="27" t="s">
        <v>8</v>
      </c>
      <c r="JF672" s="27" t="s">
        <v>7</v>
      </c>
      <c r="JG672" s="27" t="s">
        <v>8</v>
      </c>
      <c r="JH672" s="27" t="s">
        <v>7</v>
      </c>
      <c r="JI672" s="27" t="s">
        <v>8</v>
      </c>
      <c r="JJ672" s="27" t="s">
        <v>7</v>
      </c>
      <c r="JK672" s="27" t="s">
        <v>8</v>
      </c>
      <c r="JL672" s="27" t="s">
        <v>7</v>
      </c>
    </row>
    <row r="673" spans="1:382" x14ac:dyDescent="0.25">
      <c r="A673" s="7">
        <v>0.18213156881997963</v>
      </c>
      <c r="B673"/>
      <c r="C673"/>
      <c r="D673"/>
      <c r="E673"/>
      <c r="F673" s="27" t="s">
        <v>7</v>
      </c>
      <c r="HW673" s="27" t="s">
        <v>8</v>
      </c>
      <c r="HX673" s="27" t="s">
        <v>7</v>
      </c>
      <c r="II673" s="27" t="s">
        <v>8</v>
      </c>
      <c r="IJ673" s="27" t="s">
        <v>7</v>
      </c>
      <c r="IK673" s="27" t="s">
        <v>8</v>
      </c>
      <c r="IT673" s="27" t="s">
        <v>7</v>
      </c>
      <c r="IU673" s="27" t="s">
        <v>8</v>
      </c>
      <c r="IV673" s="27" t="s">
        <v>7</v>
      </c>
      <c r="IW673" s="27" t="s">
        <v>8</v>
      </c>
      <c r="IX673" s="27" t="s">
        <v>7</v>
      </c>
      <c r="JA673" s="27" t="s">
        <v>8</v>
      </c>
      <c r="JD673" s="27" t="s">
        <v>7</v>
      </c>
      <c r="JE673" s="27" t="s">
        <v>8</v>
      </c>
      <c r="JF673" s="27" t="s">
        <v>7</v>
      </c>
      <c r="JG673" s="27" t="s">
        <v>8</v>
      </c>
      <c r="JH673" s="27" t="s">
        <v>7</v>
      </c>
      <c r="JI673" s="27" t="s">
        <v>8</v>
      </c>
      <c r="JJ673" s="27" t="s">
        <v>7</v>
      </c>
      <c r="JK673" s="27" t="s">
        <v>8</v>
      </c>
      <c r="JL673" s="27" t="s">
        <v>7</v>
      </c>
    </row>
    <row r="674" spans="1:382" x14ac:dyDescent="0.25">
      <c r="A674" s="7">
        <v>0.17856036158821534</v>
      </c>
      <c r="B674"/>
      <c r="C674"/>
      <c r="D674"/>
      <c r="E674"/>
      <c r="F674" s="27" t="s">
        <v>7</v>
      </c>
      <c r="HW674" s="27" t="s">
        <v>8</v>
      </c>
      <c r="HX674" s="27" t="s">
        <v>7</v>
      </c>
      <c r="II674" s="27" t="s">
        <v>8</v>
      </c>
      <c r="IJ674" s="27" t="s">
        <v>7</v>
      </c>
      <c r="IK674" s="27" t="s">
        <v>8</v>
      </c>
      <c r="IT674" s="27" t="s">
        <v>7</v>
      </c>
      <c r="IU674" s="27" t="s">
        <v>8</v>
      </c>
      <c r="IV674" s="27" t="s">
        <v>7</v>
      </c>
      <c r="IW674" s="27" t="s">
        <v>8</v>
      </c>
      <c r="IX674" s="27" t="s">
        <v>7</v>
      </c>
      <c r="JA674" s="27" t="s">
        <v>8</v>
      </c>
      <c r="JD674" s="27" t="s">
        <v>7</v>
      </c>
      <c r="JF674" s="27" t="s">
        <v>7</v>
      </c>
      <c r="JG674" s="27" t="s">
        <v>8</v>
      </c>
      <c r="JH674" s="27" t="s">
        <v>7</v>
      </c>
      <c r="JI674" s="27" t="s">
        <v>8</v>
      </c>
      <c r="JJ674" s="27" t="s">
        <v>7</v>
      </c>
      <c r="JK674" s="27" t="s">
        <v>8</v>
      </c>
      <c r="JL674" s="27" t="s">
        <v>7</v>
      </c>
    </row>
    <row r="675" spans="1:382" x14ac:dyDescent="0.25">
      <c r="A675" s="7">
        <v>0.17505917802766208</v>
      </c>
      <c r="B675"/>
      <c r="C675"/>
      <c r="D675"/>
      <c r="E675"/>
      <c r="F675" s="27" t="s">
        <v>7</v>
      </c>
      <c r="HW675" s="27" t="s">
        <v>8</v>
      </c>
      <c r="HX675" s="27" t="s">
        <v>7</v>
      </c>
      <c r="II675" s="27" t="s">
        <v>8</v>
      </c>
      <c r="IJ675" s="27" t="s">
        <v>7</v>
      </c>
      <c r="IK675" s="27" t="s">
        <v>8</v>
      </c>
      <c r="IT675" s="27" t="s">
        <v>7</v>
      </c>
      <c r="IU675" s="27" t="s">
        <v>8</v>
      </c>
      <c r="IV675" s="27" t="s">
        <v>7</v>
      </c>
      <c r="IW675" s="27" t="s">
        <v>8</v>
      </c>
      <c r="IX675" s="27" t="s">
        <v>7</v>
      </c>
      <c r="IY675" s="27" t="s">
        <v>8</v>
      </c>
      <c r="JA675" s="27" t="s">
        <v>8</v>
      </c>
      <c r="JF675" s="27" t="s">
        <v>7</v>
      </c>
      <c r="JG675" s="27" t="s">
        <v>8</v>
      </c>
      <c r="JH675" s="27" t="s">
        <v>7</v>
      </c>
      <c r="JI675" s="27" t="s">
        <v>8</v>
      </c>
      <c r="JJ675" s="27" t="s">
        <v>7</v>
      </c>
      <c r="JK675" s="27" t="s">
        <v>8</v>
      </c>
      <c r="JL675" s="27" t="s">
        <v>7</v>
      </c>
    </row>
    <row r="676" spans="1:382" x14ac:dyDescent="0.25">
      <c r="A676" s="7">
        <v>0.17162664512515888</v>
      </c>
      <c r="B676"/>
      <c r="C676"/>
      <c r="D676"/>
      <c r="E676"/>
      <c r="F676" s="27" t="s">
        <v>7</v>
      </c>
      <c r="HW676" s="27" t="s">
        <v>8</v>
      </c>
      <c r="HX676" s="27" t="s">
        <v>7</v>
      </c>
      <c r="IE676" s="27" t="s">
        <v>8</v>
      </c>
      <c r="II676" s="27" t="s">
        <v>8</v>
      </c>
      <c r="IJ676" s="27" t="s">
        <v>7</v>
      </c>
      <c r="IK676" s="27" t="s">
        <v>8</v>
      </c>
      <c r="IT676" s="27" t="s">
        <v>7</v>
      </c>
      <c r="IU676" s="27" t="s">
        <v>8</v>
      </c>
      <c r="IV676" s="27" t="s">
        <v>7</v>
      </c>
      <c r="IW676" s="27" t="s">
        <v>8</v>
      </c>
      <c r="IX676" s="27" t="s">
        <v>7</v>
      </c>
      <c r="IY676" s="27" t="s">
        <v>8</v>
      </c>
      <c r="IZ676" s="27" t="s">
        <v>7</v>
      </c>
      <c r="JA676" s="27" t="s">
        <v>8</v>
      </c>
      <c r="JF676" s="27" t="s">
        <v>7</v>
      </c>
      <c r="JG676" s="27" t="s">
        <v>8</v>
      </c>
      <c r="JH676" s="27" t="s">
        <v>7</v>
      </c>
      <c r="JI676" s="27" t="s">
        <v>8</v>
      </c>
      <c r="JJ676" s="27" t="s">
        <v>7</v>
      </c>
      <c r="JK676" s="27" t="s">
        <v>8</v>
      </c>
      <c r="JL676" s="27" t="s">
        <v>7</v>
      </c>
    </row>
    <row r="677" spans="1:382" x14ac:dyDescent="0.25">
      <c r="A677" s="7">
        <v>0.16826141678937145</v>
      </c>
      <c r="B677"/>
      <c r="C677"/>
      <c r="D677"/>
      <c r="E677"/>
      <c r="F677" s="27" t="s">
        <v>7</v>
      </c>
      <c r="HW677" s="27" t="s">
        <v>8</v>
      </c>
      <c r="HX677" s="27" t="s">
        <v>7</v>
      </c>
      <c r="IE677" s="27" t="s">
        <v>8</v>
      </c>
      <c r="IF677" s="27" t="s">
        <v>7</v>
      </c>
      <c r="II677" s="27" t="s">
        <v>8</v>
      </c>
      <c r="IJ677" s="27" t="s">
        <v>7</v>
      </c>
      <c r="IK677" s="27" t="s">
        <v>8</v>
      </c>
      <c r="IT677" s="27" t="s">
        <v>7</v>
      </c>
      <c r="IU677" s="27" t="s">
        <v>8</v>
      </c>
      <c r="IV677" s="27" t="s">
        <v>7</v>
      </c>
      <c r="IW677" s="27" t="s">
        <v>8</v>
      </c>
      <c r="IX677" s="27" t="s">
        <v>7</v>
      </c>
      <c r="IY677" s="27" t="s">
        <v>8</v>
      </c>
      <c r="IZ677" s="27" t="s">
        <v>7</v>
      </c>
      <c r="JA677" s="27" t="s">
        <v>8</v>
      </c>
      <c r="JF677" s="27" t="s">
        <v>7</v>
      </c>
      <c r="JH677" s="27" t="s">
        <v>7</v>
      </c>
      <c r="JI677" s="27" t="s">
        <v>8</v>
      </c>
      <c r="JJ677" s="27" t="s">
        <v>7</v>
      </c>
      <c r="JK677" s="27" t="s">
        <v>8</v>
      </c>
      <c r="JL677" s="27" t="s">
        <v>7</v>
      </c>
      <c r="JM677" s="27" t="s">
        <v>8</v>
      </c>
    </row>
    <row r="678" spans="1:382" x14ac:dyDescent="0.25">
      <c r="A678" s="7">
        <v>0.16496217332291319</v>
      </c>
      <c r="B678"/>
      <c r="C678"/>
      <c r="D678"/>
      <c r="E678"/>
      <c r="F678" s="27" t="s">
        <v>7</v>
      </c>
      <c r="HW678" s="27" t="s">
        <v>8</v>
      </c>
      <c r="HX678" s="27" t="s">
        <v>7</v>
      </c>
      <c r="IE678" s="27" t="s">
        <v>8</v>
      </c>
      <c r="IF678" s="27" t="s">
        <v>7</v>
      </c>
      <c r="II678" s="27" t="s">
        <v>8</v>
      </c>
      <c r="IJ678" s="27" t="s">
        <v>7</v>
      </c>
      <c r="IK678" s="27" t="s">
        <v>8</v>
      </c>
      <c r="IT678" s="27" t="s">
        <v>7</v>
      </c>
      <c r="IU678" s="27" t="s">
        <v>8</v>
      </c>
      <c r="IV678" s="27" t="s">
        <v>7</v>
      </c>
      <c r="IW678" s="27" t="s">
        <v>8</v>
      </c>
      <c r="IX678" s="27" t="s">
        <v>7</v>
      </c>
      <c r="IY678" s="27" t="s">
        <v>8</v>
      </c>
      <c r="IZ678" s="27" t="s">
        <v>7</v>
      </c>
      <c r="JA678" s="27" t="s">
        <v>8</v>
      </c>
      <c r="JH678" s="27" t="s">
        <v>7</v>
      </c>
      <c r="JI678" s="27" t="s">
        <v>8</v>
      </c>
      <c r="JJ678" s="27" t="s">
        <v>7</v>
      </c>
      <c r="JK678" s="27" t="s">
        <v>8</v>
      </c>
      <c r="JL678" s="27" t="s">
        <v>7</v>
      </c>
      <c r="JM678" s="27" t="s">
        <v>8</v>
      </c>
      <c r="JN678" s="27" t="s">
        <v>7</v>
      </c>
    </row>
    <row r="679" spans="1:382" x14ac:dyDescent="0.25">
      <c r="A679" s="7">
        <v>0.16172762090481685</v>
      </c>
      <c r="B679"/>
      <c r="C679"/>
      <c r="D679"/>
      <c r="E679"/>
      <c r="F679" s="27" t="s">
        <v>7</v>
      </c>
      <c r="HW679" s="27" t="s">
        <v>8</v>
      </c>
      <c r="HX679" s="27" t="s">
        <v>7</v>
      </c>
      <c r="IE679" s="27" t="s">
        <v>8</v>
      </c>
      <c r="IF679" s="27" t="s">
        <v>7</v>
      </c>
      <c r="II679" s="27" t="s">
        <v>8</v>
      </c>
      <c r="IJ679" s="27" t="s">
        <v>7</v>
      </c>
      <c r="IK679" s="27" t="s">
        <v>8</v>
      </c>
      <c r="IT679" s="27" t="s">
        <v>7</v>
      </c>
      <c r="IU679" s="27" t="s">
        <v>8</v>
      </c>
      <c r="IV679" s="27" t="s">
        <v>7</v>
      </c>
      <c r="IW679" s="27" t="s">
        <v>8</v>
      </c>
      <c r="IX679" s="27" t="s">
        <v>7</v>
      </c>
      <c r="IY679" s="27" t="s">
        <v>8</v>
      </c>
      <c r="IZ679" s="27" t="s">
        <v>7</v>
      </c>
      <c r="JA679" s="27" t="s">
        <v>8</v>
      </c>
      <c r="JH679" s="27" t="s">
        <v>7</v>
      </c>
      <c r="JJ679" s="27" t="s">
        <v>7</v>
      </c>
      <c r="JK679" s="27" t="s">
        <v>8</v>
      </c>
      <c r="JL679" s="27" t="s">
        <v>7</v>
      </c>
      <c r="JM679" s="27" t="s">
        <v>8</v>
      </c>
      <c r="JN679" s="27" t="s">
        <v>7</v>
      </c>
    </row>
    <row r="680" spans="1:382" x14ac:dyDescent="0.25">
      <c r="A680" s="7">
        <v>0.15855649108315376</v>
      </c>
      <c r="B680"/>
      <c r="C680"/>
      <c r="D680"/>
      <c r="E680"/>
      <c r="F680" s="27" t="s">
        <v>7</v>
      </c>
      <c r="HW680" s="27" t="s">
        <v>8</v>
      </c>
      <c r="HX680" s="27" t="s">
        <v>7</v>
      </c>
      <c r="IE680" s="27" t="s">
        <v>8</v>
      </c>
      <c r="IF680" s="27" t="s">
        <v>7</v>
      </c>
      <c r="II680" s="27" t="s">
        <v>8</v>
      </c>
      <c r="IJ680" s="27" t="s">
        <v>7</v>
      </c>
      <c r="IK680" s="27" t="s">
        <v>8</v>
      </c>
      <c r="IT680" s="27" t="s">
        <v>7</v>
      </c>
      <c r="IU680" s="27" t="s">
        <v>8</v>
      </c>
      <c r="IV680" s="27" t="s">
        <v>7</v>
      </c>
      <c r="IW680" s="27" t="s">
        <v>8</v>
      </c>
      <c r="IX680" s="27" t="s">
        <v>7</v>
      </c>
      <c r="IY680" s="27" t="s">
        <v>8</v>
      </c>
      <c r="IZ680" s="27" t="s">
        <v>7</v>
      </c>
      <c r="JA680" s="27" t="s">
        <v>8</v>
      </c>
      <c r="JJ680" s="27" t="s">
        <v>7</v>
      </c>
      <c r="JK680" s="27" t="s">
        <v>8</v>
      </c>
      <c r="JL680" s="27" t="s">
        <v>7</v>
      </c>
      <c r="JM680" s="27" t="s">
        <v>8</v>
      </c>
      <c r="JN680" s="27" t="s">
        <v>7</v>
      </c>
    </row>
    <row r="681" spans="1:382" x14ac:dyDescent="0.25">
      <c r="A681" s="7">
        <v>0.15544754027760171</v>
      </c>
      <c r="B681"/>
      <c r="C681"/>
      <c r="D681"/>
      <c r="E681"/>
      <c r="F681" s="27" t="s">
        <v>7</v>
      </c>
      <c r="HW681" s="27" t="s">
        <v>8</v>
      </c>
      <c r="HX681" s="27" t="s">
        <v>7</v>
      </c>
      <c r="IE681" s="27" t="s">
        <v>8</v>
      </c>
      <c r="IF681" s="27" t="s">
        <v>7</v>
      </c>
      <c r="II681" s="27" t="s">
        <v>8</v>
      </c>
      <c r="IJ681" s="27" t="s">
        <v>7</v>
      </c>
      <c r="IK681" s="27" t="s">
        <v>8</v>
      </c>
      <c r="IT681" s="27" t="s">
        <v>7</v>
      </c>
      <c r="IV681" s="27" t="s">
        <v>7</v>
      </c>
      <c r="IX681" s="27" t="s">
        <v>7</v>
      </c>
      <c r="IY681" s="27" t="s">
        <v>8</v>
      </c>
      <c r="IZ681" s="27" t="s">
        <v>7</v>
      </c>
      <c r="JA681" s="27" t="s">
        <v>8</v>
      </c>
      <c r="JJ681" s="27" t="s">
        <v>7</v>
      </c>
      <c r="JK681" s="27" t="s">
        <v>8</v>
      </c>
      <c r="JL681" s="27" t="s">
        <v>7</v>
      </c>
      <c r="JM681" s="27" t="s">
        <v>8</v>
      </c>
      <c r="JN681" s="27" t="s">
        <v>7</v>
      </c>
      <c r="MW681" s="27" t="s">
        <v>8</v>
      </c>
      <c r="MY681" s="27" t="s">
        <v>8</v>
      </c>
    </row>
    <row r="682" spans="1:382" x14ac:dyDescent="0.25">
      <c r="A682" s="7">
        <v>0.15239954929176638</v>
      </c>
      <c r="B682"/>
      <c r="C682"/>
      <c r="D682"/>
      <c r="E682"/>
      <c r="F682" s="27" t="s">
        <v>7</v>
      </c>
      <c r="HW682" s="27" t="s">
        <v>8</v>
      </c>
      <c r="HX682" s="27" t="s">
        <v>7</v>
      </c>
      <c r="IE682" s="27" t="s">
        <v>8</v>
      </c>
      <c r="IF682" s="27" t="s">
        <v>7</v>
      </c>
      <c r="II682" s="27" t="s">
        <v>8</v>
      </c>
      <c r="IJ682" s="27" t="s">
        <v>7</v>
      </c>
      <c r="IK682" s="27" t="s">
        <v>8</v>
      </c>
      <c r="IX682" s="27" t="s">
        <v>7</v>
      </c>
      <c r="IY682" s="27" t="s">
        <v>8</v>
      </c>
      <c r="IZ682" s="27" t="s">
        <v>7</v>
      </c>
      <c r="JJ682" s="27" t="s">
        <v>7</v>
      </c>
      <c r="JK682" s="27" t="s">
        <v>8</v>
      </c>
      <c r="JL682" s="27" t="s">
        <v>7</v>
      </c>
      <c r="JN682" s="27" t="s">
        <v>7</v>
      </c>
      <c r="MW682" s="27" t="s">
        <v>8</v>
      </c>
      <c r="MX682" s="27" t="s">
        <v>7</v>
      </c>
      <c r="MY682" s="27" t="s">
        <v>8</v>
      </c>
      <c r="MZ682" s="27" t="s">
        <v>7</v>
      </c>
    </row>
    <row r="683" spans="1:382" x14ac:dyDescent="0.25">
      <c r="A683" s="7">
        <v>0.14941132283506509</v>
      </c>
      <c r="B683"/>
      <c r="C683"/>
      <c r="D683"/>
      <c r="E683"/>
      <c r="F683" s="27" t="s">
        <v>7</v>
      </c>
      <c r="HW683" s="27" t="s">
        <v>8</v>
      </c>
      <c r="HX683" s="27" t="s">
        <v>7</v>
      </c>
      <c r="HY683" s="27" t="s">
        <v>8</v>
      </c>
      <c r="IE683" s="27" t="s">
        <v>8</v>
      </c>
      <c r="IF683" s="27" t="s">
        <v>7</v>
      </c>
      <c r="II683" s="27" t="s">
        <v>8</v>
      </c>
      <c r="IJ683" s="27" t="s">
        <v>7</v>
      </c>
      <c r="IK683" s="27" t="s">
        <v>8</v>
      </c>
      <c r="IX683" s="27" t="s">
        <v>7</v>
      </c>
      <c r="IY683" s="27" t="s">
        <v>8</v>
      </c>
      <c r="JJ683" s="27" t="s">
        <v>7</v>
      </c>
      <c r="JN683" s="27" t="s">
        <v>7</v>
      </c>
      <c r="MW683" s="27" t="s">
        <v>8</v>
      </c>
      <c r="MX683" s="27" t="s">
        <v>7</v>
      </c>
      <c r="MY683" s="27" t="s">
        <v>8</v>
      </c>
      <c r="MZ683" s="27" t="s">
        <v>7</v>
      </c>
      <c r="NQ683" s="27" t="s">
        <v>8</v>
      </c>
    </row>
    <row r="684" spans="1:382" x14ac:dyDescent="0.25">
      <c r="A684" s="7">
        <v>0.14648168905398537</v>
      </c>
      <c r="B684"/>
      <c r="C684"/>
      <c r="D684"/>
      <c r="E684"/>
      <c r="F684" s="27" t="s">
        <v>7</v>
      </c>
      <c r="HW684" s="27" t="s">
        <v>8</v>
      </c>
      <c r="HX684" s="27" t="s">
        <v>7</v>
      </c>
      <c r="HY684" s="27" t="s">
        <v>8</v>
      </c>
      <c r="HZ684" s="27" t="s">
        <v>7</v>
      </c>
      <c r="IE684" s="27" t="s">
        <v>8</v>
      </c>
      <c r="IF684" s="27" t="s">
        <v>7</v>
      </c>
      <c r="II684" s="27" t="s">
        <v>8</v>
      </c>
      <c r="IJ684" s="27" t="s">
        <v>7</v>
      </c>
      <c r="IK684" s="27" t="s">
        <v>8</v>
      </c>
      <c r="IX684" s="27" t="s">
        <v>7</v>
      </c>
      <c r="IY684" s="27" t="s">
        <v>8</v>
      </c>
      <c r="JN684" s="27" t="s">
        <v>7</v>
      </c>
      <c r="MW684" s="27" t="s">
        <v>8</v>
      </c>
      <c r="MX684" s="27" t="s">
        <v>7</v>
      </c>
      <c r="MY684" s="27" t="s">
        <v>8</v>
      </c>
      <c r="MZ684" s="27" t="s">
        <v>7</v>
      </c>
      <c r="NQ684" s="27" t="s">
        <v>8</v>
      </c>
      <c r="NR684" s="27" t="s">
        <v>7</v>
      </c>
    </row>
    <row r="685" spans="1:382" x14ac:dyDescent="0.25">
      <c r="A685" s="7">
        <v>0.14360949907253467</v>
      </c>
      <c r="B685"/>
      <c r="C685"/>
      <c r="D685"/>
      <c r="E685"/>
      <c r="F685" s="27" t="s">
        <v>7</v>
      </c>
      <c r="HW685" s="27" t="s">
        <v>8</v>
      </c>
      <c r="HX685" s="27" t="s">
        <v>7</v>
      </c>
      <c r="HY685" s="27" t="s">
        <v>8</v>
      </c>
      <c r="HZ685" s="27" t="s">
        <v>7</v>
      </c>
      <c r="IE685" s="27" t="s">
        <v>8</v>
      </c>
      <c r="IF685" s="27" t="s">
        <v>7</v>
      </c>
      <c r="II685" s="27" t="s">
        <v>8</v>
      </c>
      <c r="IJ685" s="27" t="s">
        <v>7</v>
      </c>
      <c r="IK685" s="27" t="s">
        <v>8</v>
      </c>
      <c r="IX685" s="27" t="s">
        <v>7</v>
      </c>
      <c r="IY685" s="27" t="s">
        <v>8</v>
      </c>
      <c r="JN685" s="27" t="s">
        <v>7</v>
      </c>
      <c r="JO685" s="27" t="s">
        <v>8</v>
      </c>
      <c r="MW685" s="27" t="s">
        <v>8</v>
      </c>
      <c r="MX685" s="27" t="s">
        <v>7</v>
      </c>
      <c r="MY685" s="27" t="s">
        <v>8</v>
      </c>
      <c r="MZ685" s="27" t="s">
        <v>7</v>
      </c>
      <c r="NA685" s="27" t="s">
        <v>8</v>
      </c>
      <c r="NQ685" s="27" t="s">
        <v>8</v>
      </c>
      <c r="NR685" s="27" t="s">
        <v>7</v>
      </c>
    </row>
    <row r="686" spans="1:382" x14ac:dyDescent="0.25">
      <c r="A686" s="7">
        <v>0.14079362654170066</v>
      </c>
      <c r="B686"/>
      <c r="C686"/>
      <c r="D686"/>
      <c r="E686"/>
      <c r="F686" s="27" t="s">
        <v>7</v>
      </c>
      <c r="HW686" s="27" t="s">
        <v>8</v>
      </c>
      <c r="HX686" s="27" t="s">
        <v>7</v>
      </c>
      <c r="HY686" s="27" t="s">
        <v>8</v>
      </c>
      <c r="HZ686" s="27" t="s">
        <v>7</v>
      </c>
      <c r="IE686" s="27" t="s">
        <v>8</v>
      </c>
      <c r="IF686" s="27" t="s">
        <v>7</v>
      </c>
      <c r="II686" s="27" t="s">
        <v>8</v>
      </c>
      <c r="IJ686" s="27" t="s">
        <v>7</v>
      </c>
      <c r="IK686" s="27" t="s">
        <v>8</v>
      </c>
      <c r="IX686" s="27" t="s">
        <v>7</v>
      </c>
      <c r="IY686" s="27" t="s">
        <v>8</v>
      </c>
      <c r="JN686" s="27" t="s">
        <v>7</v>
      </c>
      <c r="JO686" s="27" t="s">
        <v>8</v>
      </c>
      <c r="JP686" s="27" t="s">
        <v>7</v>
      </c>
      <c r="MW686" s="27" t="s">
        <v>8</v>
      </c>
      <c r="MX686" s="27" t="s">
        <v>7</v>
      </c>
      <c r="MY686" s="27" t="s">
        <v>8</v>
      </c>
      <c r="MZ686" s="27" t="s">
        <v>7</v>
      </c>
      <c r="NA686" s="27" t="s">
        <v>8</v>
      </c>
      <c r="NB686" s="27" t="s">
        <v>7</v>
      </c>
      <c r="NQ686" s="27" t="s">
        <v>8</v>
      </c>
      <c r="NR686" s="27" t="s">
        <v>7</v>
      </c>
    </row>
    <row r="687" spans="1:382" x14ac:dyDescent="0.25">
      <c r="A687" s="7">
        <v>0.13803296719774574</v>
      </c>
      <c r="B687"/>
      <c r="C687"/>
      <c r="D687"/>
      <c r="E687"/>
      <c r="F687" s="27" t="s">
        <v>7</v>
      </c>
      <c r="HW687" s="27" t="s">
        <v>8</v>
      </c>
      <c r="HX687" s="27" t="s">
        <v>7</v>
      </c>
      <c r="HY687" s="27" t="s">
        <v>8</v>
      </c>
      <c r="HZ687" s="27" t="s">
        <v>7</v>
      </c>
      <c r="IC687" s="27" t="s">
        <v>8</v>
      </c>
      <c r="IE687" s="27" t="s">
        <v>8</v>
      </c>
      <c r="IF687" s="27" t="s">
        <v>7</v>
      </c>
      <c r="II687" s="27" t="s">
        <v>8</v>
      </c>
      <c r="IJ687" s="27" t="s">
        <v>7</v>
      </c>
      <c r="IK687" s="27" t="s">
        <v>8</v>
      </c>
      <c r="IX687" s="27" t="s">
        <v>7</v>
      </c>
      <c r="IY687" s="27" t="s">
        <v>8</v>
      </c>
      <c r="JN687" s="27" t="s">
        <v>7</v>
      </c>
      <c r="JO687" s="27" t="s">
        <v>8</v>
      </c>
      <c r="JP687" s="27" t="s">
        <v>7</v>
      </c>
      <c r="MW687" s="27" t="s">
        <v>8</v>
      </c>
      <c r="MX687" s="27" t="s">
        <v>7</v>
      </c>
      <c r="MY687" s="27" t="s">
        <v>8</v>
      </c>
      <c r="MZ687" s="27" t="s">
        <v>7</v>
      </c>
      <c r="NA687" s="27" t="s">
        <v>8</v>
      </c>
      <c r="NB687" s="27" t="s">
        <v>7</v>
      </c>
      <c r="NC687" s="27" t="s">
        <v>8</v>
      </c>
      <c r="NQ687" s="27" t="s">
        <v>8</v>
      </c>
      <c r="NR687" s="27" t="s">
        <v>7</v>
      </c>
    </row>
    <row r="688" spans="1:382" x14ac:dyDescent="0.25">
      <c r="A688" s="7">
        <v>0.1353264384291625</v>
      </c>
      <c r="B688"/>
      <c r="C688"/>
      <c r="D688"/>
      <c r="E688"/>
      <c r="F688" s="27" t="s">
        <v>7</v>
      </c>
      <c r="HW688" s="27" t="s">
        <v>8</v>
      </c>
      <c r="HX688" s="27" t="s">
        <v>7</v>
      </c>
      <c r="HY688" s="27" t="s">
        <v>8</v>
      </c>
      <c r="HZ688" s="27" t="s">
        <v>7</v>
      </c>
      <c r="IC688" s="27" t="s">
        <v>8</v>
      </c>
      <c r="ID688" s="27" t="s">
        <v>7</v>
      </c>
      <c r="IE688" s="27" t="s">
        <v>8</v>
      </c>
      <c r="IF688" s="27" t="s">
        <v>7</v>
      </c>
      <c r="IG688" s="27" t="s">
        <v>8</v>
      </c>
      <c r="II688" s="27" t="s">
        <v>8</v>
      </c>
      <c r="IJ688" s="27" t="s">
        <v>7</v>
      </c>
      <c r="IX688" s="27" t="s">
        <v>7</v>
      </c>
      <c r="IY688" s="27" t="s">
        <v>8</v>
      </c>
      <c r="JN688" s="27" t="s">
        <v>7</v>
      </c>
      <c r="JO688" s="27" t="s">
        <v>8</v>
      </c>
      <c r="JP688" s="27" t="s">
        <v>7</v>
      </c>
      <c r="MW688" s="27" t="s">
        <v>8</v>
      </c>
      <c r="MX688" s="27" t="s">
        <v>7</v>
      </c>
      <c r="MY688" s="27" t="s">
        <v>8</v>
      </c>
      <c r="MZ688" s="27" t="s">
        <v>7</v>
      </c>
      <c r="NA688" s="27" t="s">
        <v>8</v>
      </c>
      <c r="NB688" s="27" t="s">
        <v>7</v>
      </c>
      <c r="NC688" s="27" t="s">
        <v>8</v>
      </c>
      <c r="ND688" s="27" t="s">
        <v>7</v>
      </c>
      <c r="NQ688" s="27" t="s">
        <v>8</v>
      </c>
      <c r="NR688" s="27" t="s">
        <v>7</v>
      </c>
    </row>
    <row r="689" spans="1:386" x14ac:dyDescent="0.25">
      <c r="A689" s="7">
        <v>0.13267297885212009</v>
      </c>
      <c r="B689"/>
      <c r="C689"/>
      <c r="D689"/>
      <c r="E689"/>
      <c r="F689" s="27" t="s">
        <v>7</v>
      </c>
      <c r="HW689" s="27" t="s">
        <v>8</v>
      </c>
      <c r="HX689" s="27" t="s">
        <v>7</v>
      </c>
      <c r="HY689" s="27" t="s">
        <v>8</v>
      </c>
      <c r="HZ689" s="27" t="s">
        <v>7</v>
      </c>
      <c r="IC689" s="27" t="s">
        <v>8</v>
      </c>
      <c r="ID689" s="27" t="s">
        <v>7</v>
      </c>
      <c r="IE689" s="27" t="s">
        <v>8</v>
      </c>
      <c r="IF689" s="27" t="s">
        <v>7</v>
      </c>
      <c r="IG689" s="27" t="s">
        <v>8</v>
      </c>
      <c r="IH689" s="27" t="s">
        <v>7</v>
      </c>
      <c r="II689" s="27" t="s">
        <v>8</v>
      </c>
      <c r="IX689" s="27" t="s">
        <v>7</v>
      </c>
      <c r="IY689" s="27" t="s">
        <v>8</v>
      </c>
      <c r="JN689" s="27" t="s">
        <v>7</v>
      </c>
      <c r="JO689" s="27" t="s">
        <v>8</v>
      </c>
      <c r="JP689" s="27" t="s">
        <v>7</v>
      </c>
      <c r="MW689" s="27" t="s">
        <v>8</v>
      </c>
      <c r="MX689" s="27" t="s">
        <v>7</v>
      </c>
      <c r="MY689" s="27" t="s">
        <v>8</v>
      </c>
      <c r="MZ689" s="27" t="s">
        <v>7</v>
      </c>
      <c r="NA689" s="27" t="s">
        <v>8</v>
      </c>
      <c r="NB689" s="27" t="s">
        <v>7</v>
      </c>
      <c r="NC689" s="27" t="s">
        <v>8</v>
      </c>
      <c r="ND689" s="27" t="s">
        <v>7</v>
      </c>
      <c r="NE689" s="27" t="s">
        <v>8</v>
      </c>
      <c r="NQ689" s="27" t="s">
        <v>8</v>
      </c>
      <c r="NR689" s="27" t="s">
        <v>7</v>
      </c>
    </row>
    <row r="690" spans="1:386" x14ac:dyDescent="0.25">
      <c r="A690" s="7">
        <v>0.13007154789423539</v>
      </c>
      <c r="B690"/>
      <c r="C690"/>
      <c r="D690"/>
      <c r="E690"/>
      <c r="F690" s="27" t="s">
        <v>7</v>
      </c>
      <c r="HW690" s="27" t="s">
        <v>8</v>
      </c>
      <c r="HX690" s="27" t="s">
        <v>7</v>
      </c>
      <c r="HY690" s="27" t="s">
        <v>8</v>
      </c>
      <c r="HZ690" s="27" t="s">
        <v>7</v>
      </c>
      <c r="IC690" s="27" t="s">
        <v>8</v>
      </c>
      <c r="ID690" s="27" t="s">
        <v>7</v>
      </c>
      <c r="IE690" s="27" t="s">
        <v>8</v>
      </c>
      <c r="IF690" s="27" t="s">
        <v>7</v>
      </c>
      <c r="IG690" s="27" t="s">
        <v>8</v>
      </c>
      <c r="IH690" s="27" t="s">
        <v>7</v>
      </c>
      <c r="II690" s="27" t="s">
        <v>8</v>
      </c>
      <c r="IX690" s="27" t="s">
        <v>7</v>
      </c>
      <c r="IY690" s="27" t="s">
        <v>8</v>
      </c>
      <c r="JN690" s="27" t="s">
        <v>7</v>
      </c>
      <c r="JO690" s="27" t="s">
        <v>8</v>
      </c>
      <c r="JP690" s="27" t="s">
        <v>7</v>
      </c>
      <c r="MW690" s="27" t="s">
        <v>8</v>
      </c>
      <c r="MX690" s="27" t="s">
        <v>7</v>
      </c>
      <c r="MY690" s="27" t="s">
        <v>8</v>
      </c>
      <c r="MZ690" s="27" t="s">
        <v>7</v>
      </c>
      <c r="NA690" s="27" t="s">
        <v>8</v>
      </c>
      <c r="NB690" s="27" t="s">
        <v>7</v>
      </c>
      <c r="NC690" s="27" t="s">
        <v>8</v>
      </c>
      <c r="ND690" s="27" t="s">
        <v>7</v>
      </c>
      <c r="NE690" s="27" t="s">
        <v>8</v>
      </c>
      <c r="NF690" s="27" t="s">
        <v>7</v>
      </c>
      <c r="NI690" s="27" t="s">
        <v>8</v>
      </c>
      <c r="NQ690" s="27" t="s">
        <v>8</v>
      </c>
      <c r="NR690" s="27" t="s">
        <v>7</v>
      </c>
    </row>
    <row r="691" spans="1:386" x14ac:dyDescent="0.25">
      <c r="A691" s="7">
        <v>0.12752112538650529</v>
      </c>
      <c r="B691"/>
      <c r="C691"/>
      <c r="D691"/>
      <c r="E691"/>
      <c r="F691" s="27" t="s">
        <v>7</v>
      </c>
      <c r="HW691" s="27" t="s">
        <v>8</v>
      </c>
      <c r="HX691" s="27" t="s">
        <v>7</v>
      </c>
      <c r="HY691" s="27" t="s">
        <v>8</v>
      </c>
      <c r="HZ691" s="27" t="s">
        <v>7</v>
      </c>
      <c r="IC691" s="27" t="s">
        <v>8</v>
      </c>
      <c r="ID691" s="27" t="s">
        <v>7</v>
      </c>
      <c r="IE691" s="27" t="s">
        <v>8</v>
      </c>
      <c r="IF691" s="27" t="s">
        <v>7</v>
      </c>
      <c r="IG691" s="27" t="s">
        <v>8</v>
      </c>
      <c r="IH691" s="27" t="s">
        <v>7</v>
      </c>
      <c r="II691" s="27" t="s">
        <v>8</v>
      </c>
      <c r="IX691" s="27" t="s">
        <v>7</v>
      </c>
      <c r="IY691" s="27" t="s">
        <v>8</v>
      </c>
      <c r="JN691" s="27" t="s">
        <v>7</v>
      </c>
      <c r="JO691" s="27" t="s">
        <v>8</v>
      </c>
      <c r="JP691" s="27" t="s">
        <v>7</v>
      </c>
      <c r="MW691" s="27" t="s">
        <v>8</v>
      </c>
      <c r="MX691" s="27" t="s">
        <v>7</v>
      </c>
      <c r="MY691" s="27" t="s">
        <v>8</v>
      </c>
      <c r="MZ691" s="27" t="s">
        <v>7</v>
      </c>
      <c r="NA691" s="27" t="s">
        <v>8</v>
      </c>
      <c r="NB691" s="27" t="s">
        <v>7</v>
      </c>
      <c r="NC691" s="27" t="s">
        <v>8</v>
      </c>
      <c r="ND691" s="27" t="s">
        <v>7</v>
      </c>
      <c r="NE691" s="27" t="s">
        <v>8</v>
      </c>
      <c r="NF691" s="27" t="s">
        <v>7</v>
      </c>
      <c r="NI691" s="27" t="s">
        <v>8</v>
      </c>
      <c r="NJ691" s="27" t="s">
        <v>7</v>
      </c>
      <c r="NQ691" s="27" t="s">
        <v>8</v>
      </c>
      <c r="NR691" s="27" t="s">
        <v>7</v>
      </c>
    </row>
    <row r="692" spans="1:386" x14ac:dyDescent="0.25">
      <c r="A692" s="7">
        <v>0.12502071116324048</v>
      </c>
      <c r="B692"/>
      <c r="C692"/>
      <c r="D692"/>
      <c r="E692"/>
      <c r="F692" s="27" t="s">
        <v>7</v>
      </c>
      <c r="HW692" s="27" t="s">
        <v>8</v>
      </c>
      <c r="HX692" s="27" t="s">
        <v>7</v>
      </c>
      <c r="HY692" s="27" t="s">
        <v>8</v>
      </c>
      <c r="HZ692" s="27" t="s">
        <v>7</v>
      </c>
      <c r="IC692" s="27" t="s">
        <v>8</v>
      </c>
      <c r="ID692" s="27" t="s">
        <v>7</v>
      </c>
      <c r="IE692" s="27" t="s">
        <v>8</v>
      </c>
      <c r="IF692" s="27" t="s">
        <v>7</v>
      </c>
      <c r="IG692" s="27" t="s">
        <v>8</v>
      </c>
      <c r="IH692" s="27" t="s">
        <v>7</v>
      </c>
      <c r="II692" s="27" t="s">
        <v>8</v>
      </c>
      <c r="IX692" s="27" t="s">
        <v>7</v>
      </c>
      <c r="IY692" s="27" t="s">
        <v>8</v>
      </c>
      <c r="JN692" s="27" t="s">
        <v>7</v>
      </c>
      <c r="JO692" s="27" t="s">
        <v>8</v>
      </c>
      <c r="JP692" s="27" t="s">
        <v>7</v>
      </c>
      <c r="MW692" s="27" t="s">
        <v>8</v>
      </c>
      <c r="MX692" s="27" t="s">
        <v>7</v>
      </c>
      <c r="MY692" s="27" t="s">
        <v>8</v>
      </c>
      <c r="MZ692" s="27" t="s">
        <v>7</v>
      </c>
      <c r="NA692" s="27" t="s">
        <v>8</v>
      </c>
      <c r="NB692" s="27" t="s">
        <v>7</v>
      </c>
      <c r="NC692" s="27" t="s">
        <v>8</v>
      </c>
      <c r="ND692" s="27" t="s">
        <v>7</v>
      </c>
      <c r="NF692" s="27" t="s">
        <v>7</v>
      </c>
      <c r="NI692" s="27" t="s">
        <v>8</v>
      </c>
      <c r="NJ692" s="27" t="s">
        <v>7</v>
      </c>
      <c r="NO692" s="27" t="s">
        <v>8</v>
      </c>
      <c r="NQ692" s="27" t="s">
        <v>8</v>
      </c>
      <c r="NR692" s="27" t="s">
        <v>7</v>
      </c>
    </row>
    <row r="693" spans="1:386" x14ac:dyDescent="0.25">
      <c r="A693" s="7">
        <v>0.1225693246698436</v>
      </c>
      <c r="B693"/>
      <c r="C693"/>
      <c r="D693"/>
      <c r="E693"/>
      <c r="F693" s="27" t="s">
        <v>7</v>
      </c>
      <c r="HW693" s="27" t="s">
        <v>8</v>
      </c>
      <c r="HX693" s="27" t="s">
        <v>7</v>
      </c>
      <c r="HY693" s="27" t="s">
        <v>8</v>
      </c>
      <c r="HZ693" s="27" t="s">
        <v>7</v>
      </c>
      <c r="IC693" s="27" t="s">
        <v>8</v>
      </c>
      <c r="ID693" s="27" t="s">
        <v>7</v>
      </c>
      <c r="IE693" s="27" t="s">
        <v>8</v>
      </c>
      <c r="IF693" s="27" t="s">
        <v>7</v>
      </c>
      <c r="IG693" s="27" t="s">
        <v>8</v>
      </c>
      <c r="IH693" s="27" t="s">
        <v>7</v>
      </c>
      <c r="II693" s="27" t="s">
        <v>8</v>
      </c>
      <c r="IX693" s="27" t="s">
        <v>7</v>
      </c>
      <c r="IY693" s="27" t="s">
        <v>8</v>
      </c>
      <c r="JN693" s="27" t="s">
        <v>7</v>
      </c>
      <c r="JO693" s="27" t="s">
        <v>8</v>
      </c>
      <c r="JP693" s="27" t="s">
        <v>7</v>
      </c>
      <c r="MS693" s="27" t="s">
        <v>8</v>
      </c>
      <c r="MW693" s="27" t="s">
        <v>8</v>
      </c>
      <c r="MX693" s="27" t="s">
        <v>7</v>
      </c>
      <c r="MY693" s="27" t="s">
        <v>8</v>
      </c>
      <c r="MZ693" s="27" t="s">
        <v>7</v>
      </c>
      <c r="NB693" s="27" t="s">
        <v>7</v>
      </c>
      <c r="NC693" s="27" t="s">
        <v>8</v>
      </c>
      <c r="NF693" s="27" t="s">
        <v>7</v>
      </c>
      <c r="NI693" s="27" t="s">
        <v>8</v>
      </c>
      <c r="NJ693" s="27" t="s">
        <v>7</v>
      </c>
      <c r="NK693" s="27" t="s">
        <v>8</v>
      </c>
      <c r="NO693" s="27" t="s">
        <v>8</v>
      </c>
      <c r="NP693" s="27" t="s">
        <v>7</v>
      </c>
      <c r="NQ693" s="27" t="s">
        <v>8</v>
      </c>
      <c r="NR693" s="27" t="s">
        <v>7</v>
      </c>
    </row>
    <row r="694" spans="1:386" x14ac:dyDescent="0.25">
      <c r="A694" s="7">
        <v>0.12016600457827803</v>
      </c>
      <c r="B694"/>
      <c r="C694"/>
      <c r="D694"/>
      <c r="E694"/>
      <c r="F694" s="27" t="s">
        <v>7</v>
      </c>
      <c r="HW694" s="27" t="s">
        <v>8</v>
      </c>
      <c r="HX694" s="27" t="s">
        <v>7</v>
      </c>
      <c r="HY694" s="27" t="s">
        <v>8</v>
      </c>
      <c r="HZ694" s="27" t="s">
        <v>7</v>
      </c>
      <c r="IC694" s="27" t="s">
        <v>8</v>
      </c>
      <c r="ID694" s="27" t="s">
        <v>7</v>
      </c>
      <c r="IE694" s="27" t="s">
        <v>8</v>
      </c>
      <c r="IF694" s="27" t="s">
        <v>7</v>
      </c>
      <c r="IG694" s="27" t="s">
        <v>8</v>
      </c>
      <c r="IH694" s="27" t="s">
        <v>7</v>
      </c>
      <c r="IX694" s="27" t="s">
        <v>7</v>
      </c>
      <c r="IY694" s="27" t="s">
        <v>8</v>
      </c>
      <c r="JN694" s="27" t="s">
        <v>7</v>
      </c>
      <c r="JO694" s="27" t="s">
        <v>8</v>
      </c>
      <c r="JP694" s="27" t="s">
        <v>7</v>
      </c>
      <c r="JY694" s="27" t="s">
        <v>8</v>
      </c>
      <c r="MO694" s="27" t="s">
        <v>8</v>
      </c>
      <c r="MS694" s="27" t="s">
        <v>8</v>
      </c>
      <c r="MT694" s="27" t="s">
        <v>7</v>
      </c>
      <c r="MW694" s="27" t="s">
        <v>8</v>
      </c>
      <c r="MX694" s="27" t="s">
        <v>7</v>
      </c>
      <c r="MY694" s="27" t="s">
        <v>8</v>
      </c>
      <c r="NB694" s="27" t="s">
        <v>7</v>
      </c>
      <c r="NC694" s="27" t="s">
        <v>8</v>
      </c>
      <c r="NF694" s="27" t="s">
        <v>7</v>
      </c>
      <c r="NI694" s="27" t="s">
        <v>8</v>
      </c>
      <c r="NJ694" s="27" t="s">
        <v>7</v>
      </c>
      <c r="NK694" s="27" t="s">
        <v>8</v>
      </c>
      <c r="NL694" s="27" t="s">
        <v>7</v>
      </c>
      <c r="NO694" s="27" t="s">
        <v>8</v>
      </c>
      <c r="NP694" s="27" t="s">
        <v>7</v>
      </c>
      <c r="NQ694" s="27" t="s">
        <v>8</v>
      </c>
      <c r="NR694" s="27" t="s">
        <v>7</v>
      </c>
    </row>
    <row r="695" spans="1:386" x14ac:dyDescent="0.25">
      <c r="A695" s="7">
        <v>0.1178098084100765</v>
      </c>
      <c r="B695"/>
      <c r="C695"/>
      <c r="D695"/>
      <c r="E695"/>
      <c r="F695" s="27" t="s">
        <v>7</v>
      </c>
      <c r="HW695" s="27" t="s">
        <v>8</v>
      </c>
      <c r="HX695" s="27" t="s">
        <v>7</v>
      </c>
      <c r="HY695" s="27" t="s">
        <v>8</v>
      </c>
      <c r="HZ695" s="27" t="s">
        <v>7</v>
      </c>
      <c r="IC695" s="27" t="s">
        <v>8</v>
      </c>
      <c r="ID695" s="27" t="s">
        <v>7</v>
      </c>
      <c r="IE695" s="27" t="s">
        <v>8</v>
      </c>
      <c r="IF695" s="27" t="s">
        <v>7</v>
      </c>
      <c r="IG695" s="27" t="s">
        <v>8</v>
      </c>
      <c r="IX695" s="27" t="s">
        <v>7</v>
      </c>
      <c r="IY695" s="27" t="s">
        <v>8</v>
      </c>
      <c r="JN695" s="27" t="s">
        <v>7</v>
      </c>
      <c r="JO695" s="27" t="s">
        <v>8</v>
      </c>
      <c r="JP695" s="27" t="s">
        <v>7</v>
      </c>
      <c r="JY695" s="27" t="s">
        <v>8</v>
      </c>
      <c r="JZ695" s="27" t="s">
        <v>7</v>
      </c>
      <c r="MO695" s="27" t="s">
        <v>8</v>
      </c>
      <c r="MP695" s="27" t="s">
        <v>7</v>
      </c>
      <c r="MS695" s="27" t="s">
        <v>8</v>
      </c>
      <c r="MT695" s="27" t="s">
        <v>7</v>
      </c>
      <c r="MW695" s="27" t="s">
        <v>8</v>
      </c>
      <c r="MX695" s="27" t="s">
        <v>7</v>
      </c>
      <c r="MY695" s="27" t="s">
        <v>8</v>
      </c>
      <c r="NB695" s="27" t="s">
        <v>7</v>
      </c>
      <c r="NC695" s="27" t="s">
        <v>8</v>
      </c>
      <c r="NF695" s="27" t="s">
        <v>7</v>
      </c>
      <c r="NG695" s="27" t="s">
        <v>8</v>
      </c>
      <c r="NI695" s="27" t="s">
        <v>8</v>
      </c>
      <c r="NJ695" s="27" t="s">
        <v>7</v>
      </c>
      <c r="NK695" s="27" t="s">
        <v>8</v>
      </c>
      <c r="NL695" s="27" t="s">
        <v>7</v>
      </c>
      <c r="NO695" s="27" t="s">
        <v>8</v>
      </c>
      <c r="NP695" s="27" t="s">
        <v>7</v>
      </c>
      <c r="NQ695" s="27" t="s">
        <v>8</v>
      </c>
      <c r="NR695" s="27" t="s">
        <v>7</v>
      </c>
    </row>
    <row r="696" spans="1:386" x14ac:dyDescent="0.25">
      <c r="A696" s="7">
        <v>0.11549981216674166</v>
      </c>
      <c r="B696"/>
      <c r="C696"/>
      <c r="D696"/>
      <c r="E696"/>
      <c r="F696" s="27" t="s">
        <v>7</v>
      </c>
      <c r="HW696" s="27" t="s">
        <v>8</v>
      </c>
      <c r="HX696" s="27" t="s">
        <v>7</v>
      </c>
      <c r="HY696" s="27" t="s">
        <v>8</v>
      </c>
      <c r="HZ696" s="27" t="s">
        <v>7</v>
      </c>
      <c r="IC696" s="27" t="s">
        <v>8</v>
      </c>
      <c r="ID696" s="27" t="s">
        <v>7</v>
      </c>
      <c r="IE696" s="27" t="s">
        <v>8</v>
      </c>
      <c r="IF696" s="27" t="s">
        <v>7</v>
      </c>
      <c r="IG696" s="27" t="s">
        <v>8</v>
      </c>
      <c r="IX696" s="27" t="s">
        <v>7</v>
      </c>
      <c r="JN696" s="27" t="s">
        <v>7</v>
      </c>
      <c r="JO696" s="27" t="s">
        <v>8</v>
      </c>
      <c r="JP696" s="27" t="s">
        <v>7</v>
      </c>
      <c r="JY696" s="27" t="s">
        <v>8</v>
      </c>
      <c r="JZ696" s="27" t="s">
        <v>7</v>
      </c>
      <c r="LW696" s="27" t="s">
        <v>8</v>
      </c>
      <c r="MO696" s="27" t="s">
        <v>8</v>
      </c>
      <c r="MP696" s="27" t="s">
        <v>7</v>
      </c>
      <c r="MS696" s="27" t="s">
        <v>8</v>
      </c>
      <c r="MT696" s="27" t="s">
        <v>7</v>
      </c>
      <c r="MW696" s="27" t="s">
        <v>8</v>
      </c>
      <c r="MX696" s="27" t="s">
        <v>7</v>
      </c>
      <c r="MY696" s="27" t="s">
        <v>8</v>
      </c>
      <c r="NB696" s="27" t="s">
        <v>7</v>
      </c>
      <c r="NC696" s="27" t="s">
        <v>8</v>
      </c>
      <c r="NF696" s="27" t="s">
        <v>7</v>
      </c>
      <c r="NG696" s="27" t="s">
        <v>8</v>
      </c>
      <c r="NH696" s="27" t="s">
        <v>7</v>
      </c>
      <c r="NI696" s="27" t="s">
        <v>8</v>
      </c>
      <c r="NJ696" s="27" t="s">
        <v>7</v>
      </c>
      <c r="NK696" s="27" t="s">
        <v>8</v>
      </c>
      <c r="NL696" s="27" t="s">
        <v>7</v>
      </c>
      <c r="NM696" s="27" t="s">
        <v>8</v>
      </c>
      <c r="NO696" s="27" t="s">
        <v>8</v>
      </c>
      <c r="NP696" s="27" t="s">
        <v>7</v>
      </c>
      <c r="NQ696" s="27" t="s">
        <v>8</v>
      </c>
      <c r="NR696" s="27" t="s">
        <v>7</v>
      </c>
    </row>
    <row r="697" spans="1:386" x14ac:dyDescent="0.25">
      <c r="A697" s="7">
        <v>0.11323510996739378</v>
      </c>
      <c r="B697"/>
      <c r="C697"/>
      <c r="D697"/>
      <c r="E697"/>
      <c r="F697" s="27" t="s">
        <v>7</v>
      </c>
      <c r="HW697" s="27" t="s">
        <v>8</v>
      </c>
      <c r="HX697" s="27" t="s">
        <v>7</v>
      </c>
      <c r="HY697" s="27" t="s">
        <v>8</v>
      </c>
      <c r="HZ697" s="27" t="s">
        <v>7</v>
      </c>
      <c r="IC697" s="27" t="s">
        <v>8</v>
      </c>
      <c r="ID697" s="27" t="s">
        <v>7</v>
      </c>
      <c r="IE697" s="27" t="s">
        <v>8</v>
      </c>
      <c r="IF697" s="27" t="s">
        <v>7</v>
      </c>
      <c r="IG697" s="27" t="s">
        <v>8</v>
      </c>
      <c r="JN697" s="27" t="s">
        <v>7</v>
      </c>
      <c r="JO697" s="27" t="s">
        <v>8</v>
      </c>
      <c r="JP697" s="27" t="s">
        <v>7</v>
      </c>
      <c r="JY697" s="27" t="s">
        <v>8</v>
      </c>
      <c r="JZ697" s="27" t="s">
        <v>7</v>
      </c>
      <c r="LW697" s="27" t="s">
        <v>8</v>
      </c>
      <c r="LX697" s="27" t="s">
        <v>7</v>
      </c>
      <c r="MO697" s="27" t="s">
        <v>8</v>
      </c>
      <c r="MP697" s="27" t="s">
        <v>7</v>
      </c>
      <c r="MS697" s="27" t="s">
        <v>8</v>
      </c>
      <c r="MT697" s="27" t="s">
        <v>7</v>
      </c>
      <c r="MU697" s="27" t="s">
        <v>8</v>
      </c>
      <c r="MW697" s="27" t="s">
        <v>8</v>
      </c>
      <c r="MX697" s="27" t="s">
        <v>7</v>
      </c>
      <c r="MY697" s="27" t="s">
        <v>8</v>
      </c>
      <c r="NB697" s="27" t="s">
        <v>7</v>
      </c>
      <c r="NF697" s="27" t="s">
        <v>7</v>
      </c>
      <c r="NG697" s="27" t="s">
        <v>8</v>
      </c>
      <c r="NH697" s="27" t="s">
        <v>7</v>
      </c>
      <c r="NI697" s="27" t="s">
        <v>8</v>
      </c>
      <c r="NJ697" s="27" t="s">
        <v>7</v>
      </c>
      <c r="NK697" s="27" t="s">
        <v>8</v>
      </c>
      <c r="NL697" s="27" t="s">
        <v>7</v>
      </c>
      <c r="NM697" s="27" t="s">
        <v>8</v>
      </c>
      <c r="NN697" s="27" t="s">
        <v>7</v>
      </c>
      <c r="NO697" s="27" t="s">
        <v>8</v>
      </c>
      <c r="NP697" s="27" t="s">
        <v>7</v>
      </c>
      <c r="NQ697" s="27" t="s">
        <v>8</v>
      </c>
      <c r="NR697" s="27" t="s">
        <v>7</v>
      </c>
    </row>
    <row r="698" spans="1:386" x14ac:dyDescent="0.25">
      <c r="A698" s="7">
        <v>0.11101481369352331</v>
      </c>
      <c r="B698"/>
      <c r="C698"/>
      <c r="D698"/>
      <c r="E698"/>
      <c r="F698" s="27" t="s">
        <v>7</v>
      </c>
      <c r="HW698" s="27" t="s">
        <v>8</v>
      </c>
      <c r="HX698" s="27" t="s">
        <v>7</v>
      </c>
      <c r="HY698" s="27" t="s">
        <v>8</v>
      </c>
      <c r="HZ698" s="27" t="s">
        <v>7</v>
      </c>
      <c r="IA698" s="27" t="s">
        <v>8</v>
      </c>
      <c r="IC698" s="27" t="s">
        <v>8</v>
      </c>
      <c r="ID698" s="27" t="s">
        <v>7</v>
      </c>
      <c r="IE698" s="27" t="s">
        <v>8</v>
      </c>
      <c r="IF698" s="27" t="s">
        <v>7</v>
      </c>
      <c r="IG698" s="27" t="s">
        <v>8</v>
      </c>
      <c r="JN698" s="27" t="s">
        <v>7</v>
      </c>
      <c r="JO698" s="27" t="s">
        <v>8</v>
      </c>
      <c r="JP698" s="27" t="s">
        <v>7</v>
      </c>
      <c r="JQ698" s="27" t="s">
        <v>8</v>
      </c>
      <c r="JY698" s="27" t="s">
        <v>8</v>
      </c>
      <c r="JZ698" s="27" t="s">
        <v>7</v>
      </c>
      <c r="LW698" s="27" t="s">
        <v>8</v>
      </c>
      <c r="LX698" s="27" t="s">
        <v>7</v>
      </c>
      <c r="MO698" s="27" t="s">
        <v>8</v>
      </c>
      <c r="MP698" s="27" t="s">
        <v>7</v>
      </c>
      <c r="MS698" s="27" t="s">
        <v>8</v>
      </c>
      <c r="MT698" s="27" t="s">
        <v>7</v>
      </c>
      <c r="MU698" s="27" t="s">
        <v>8</v>
      </c>
      <c r="MV698" s="27" t="s">
        <v>7</v>
      </c>
      <c r="MW698" s="27" t="s">
        <v>8</v>
      </c>
      <c r="MX698" s="27" t="s">
        <v>7</v>
      </c>
      <c r="MY698" s="27" t="s">
        <v>8</v>
      </c>
      <c r="NF698" s="27" t="s">
        <v>7</v>
      </c>
      <c r="NG698" s="27" t="s">
        <v>8</v>
      </c>
      <c r="NH698" s="27" t="s">
        <v>7</v>
      </c>
      <c r="NI698" s="27" t="s">
        <v>8</v>
      </c>
      <c r="NJ698" s="27" t="s">
        <v>7</v>
      </c>
      <c r="NK698" s="27" t="s">
        <v>8</v>
      </c>
      <c r="NL698" s="27" t="s">
        <v>7</v>
      </c>
      <c r="NM698" s="27" t="s">
        <v>8</v>
      </c>
      <c r="NN698" s="27" t="s">
        <v>7</v>
      </c>
      <c r="NO698" s="27" t="s">
        <v>8</v>
      </c>
      <c r="NP698" s="27" t="s">
        <v>7</v>
      </c>
      <c r="NR698" s="27" t="s">
        <v>7</v>
      </c>
    </row>
    <row r="699" spans="1:386" x14ac:dyDescent="0.25">
      <c r="A699" s="7">
        <v>0.10883805264070913</v>
      </c>
      <c r="B699"/>
      <c r="C699"/>
      <c r="D699"/>
      <c r="E699"/>
      <c r="F699" s="27" t="s">
        <v>7</v>
      </c>
      <c r="HW699" s="27" t="s">
        <v>8</v>
      </c>
      <c r="HX699" s="27" t="s">
        <v>7</v>
      </c>
      <c r="HY699" s="27" t="s">
        <v>8</v>
      </c>
      <c r="HZ699" s="27" t="s">
        <v>7</v>
      </c>
      <c r="IA699" s="27" t="s">
        <v>8</v>
      </c>
      <c r="IB699" s="27" t="s">
        <v>7</v>
      </c>
      <c r="IC699" s="27" t="s">
        <v>8</v>
      </c>
      <c r="ID699" s="27" t="s">
        <v>7</v>
      </c>
      <c r="IE699" s="27" t="s">
        <v>8</v>
      </c>
      <c r="IF699" s="27" t="s">
        <v>7</v>
      </c>
      <c r="JN699" s="27" t="s">
        <v>7</v>
      </c>
      <c r="JO699" s="27" t="s">
        <v>8</v>
      </c>
      <c r="JP699" s="27" t="s">
        <v>7</v>
      </c>
      <c r="JQ699" s="27" t="s">
        <v>8</v>
      </c>
      <c r="JR699" s="27" t="s">
        <v>7</v>
      </c>
      <c r="JY699" s="27" t="s">
        <v>8</v>
      </c>
      <c r="JZ699" s="27" t="s">
        <v>7</v>
      </c>
      <c r="LM699" s="27" t="s">
        <v>8</v>
      </c>
      <c r="LW699" s="27" t="s">
        <v>8</v>
      </c>
      <c r="LX699" s="27" t="s">
        <v>7</v>
      </c>
      <c r="MM699" s="27" t="s">
        <v>8</v>
      </c>
      <c r="MO699" s="27" t="s">
        <v>8</v>
      </c>
      <c r="MP699" s="27" t="s">
        <v>7</v>
      </c>
      <c r="MS699" s="27" t="s">
        <v>8</v>
      </c>
      <c r="MT699" s="27" t="s">
        <v>7</v>
      </c>
      <c r="MU699" s="27" t="s">
        <v>8</v>
      </c>
      <c r="MV699" s="27" t="s">
        <v>7</v>
      </c>
      <c r="MW699" s="27" t="s">
        <v>8</v>
      </c>
      <c r="MX699" s="27" t="s">
        <v>7</v>
      </c>
      <c r="MY699" s="27" t="s">
        <v>8</v>
      </c>
      <c r="NF699" s="27" t="s">
        <v>7</v>
      </c>
      <c r="NH699" s="27" t="s">
        <v>7</v>
      </c>
      <c r="NI699" s="27" t="s">
        <v>8</v>
      </c>
      <c r="NJ699" s="27" t="s">
        <v>7</v>
      </c>
      <c r="NL699" s="27" t="s">
        <v>7</v>
      </c>
      <c r="NM699" s="27" t="s">
        <v>8</v>
      </c>
      <c r="NN699" s="27" t="s">
        <v>7</v>
      </c>
      <c r="NO699" s="27" t="s">
        <v>8</v>
      </c>
      <c r="NR699" s="27" t="s">
        <v>7</v>
      </c>
      <c r="NS699" s="27" t="s">
        <v>8</v>
      </c>
    </row>
    <row r="700" spans="1:386" x14ac:dyDescent="0.25">
      <c r="A700" s="7">
        <v>0.10670397317716582</v>
      </c>
      <c r="B700"/>
      <c r="C700"/>
      <c r="D700"/>
      <c r="E700"/>
      <c r="F700" s="27" t="s">
        <v>7</v>
      </c>
      <c r="HW700" s="27" t="s">
        <v>8</v>
      </c>
      <c r="HX700" s="27" t="s">
        <v>7</v>
      </c>
      <c r="HY700" s="27" t="s">
        <v>8</v>
      </c>
      <c r="HZ700" s="27" t="s">
        <v>7</v>
      </c>
      <c r="IA700" s="27" t="s">
        <v>8</v>
      </c>
      <c r="IB700" s="27" t="s">
        <v>7</v>
      </c>
      <c r="IC700" s="27" t="s">
        <v>8</v>
      </c>
      <c r="ID700" s="27" t="s">
        <v>7</v>
      </c>
      <c r="JN700" s="27" t="s">
        <v>7</v>
      </c>
      <c r="JO700" s="27" t="s">
        <v>8</v>
      </c>
      <c r="JP700" s="27" t="s">
        <v>7</v>
      </c>
      <c r="JQ700" s="27" t="s">
        <v>8</v>
      </c>
      <c r="JR700" s="27" t="s">
        <v>7</v>
      </c>
      <c r="JY700" s="27" t="s">
        <v>8</v>
      </c>
      <c r="JZ700" s="27" t="s">
        <v>7</v>
      </c>
      <c r="LM700" s="27" t="s">
        <v>8</v>
      </c>
      <c r="LN700" s="27" t="s">
        <v>7</v>
      </c>
      <c r="LQ700" s="27" t="s">
        <v>8</v>
      </c>
      <c r="LW700" s="27" t="s">
        <v>8</v>
      </c>
      <c r="LX700" s="27" t="s">
        <v>7</v>
      </c>
      <c r="MC700" s="27" t="s">
        <v>8</v>
      </c>
      <c r="MM700" s="27" t="s">
        <v>8</v>
      </c>
      <c r="MN700" s="27" t="s">
        <v>7</v>
      </c>
      <c r="MO700" s="27" t="s">
        <v>8</v>
      </c>
      <c r="MP700" s="27" t="s">
        <v>7</v>
      </c>
      <c r="MQ700" s="27" t="s">
        <v>8</v>
      </c>
      <c r="MS700" s="27" t="s">
        <v>8</v>
      </c>
      <c r="MT700" s="27" t="s">
        <v>7</v>
      </c>
      <c r="MV700" s="27" t="s">
        <v>7</v>
      </c>
      <c r="MW700" s="27" t="s">
        <v>8</v>
      </c>
      <c r="MX700" s="27" t="s">
        <v>7</v>
      </c>
      <c r="MY700" s="27" t="s">
        <v>8</v>
      </c>
      <c r="NH700" s="27" t="s">
        <v>7</v>
      </c>
      <c r="NI700" s="27" t="s">
        <v>8</v>
      </c>
      <c r="NL700" s="27" t="s">
        <v>7</v>
      </c>
      <c r="NM700" s="27" t="s">
        <v>8</v>
      </c>
      <c r="NN700" s="27" t="s">
        <v>7</v>
      </c>
      <c r="NO700" s="27" t="s">
        <v>8</v>
      </c>
      <c r="NR700" s="27" t="s">
        <v>7</v>
      </c>
      <c r="NS700" s="27" t="s">
        <v>8</v>
      </c>
      <c r="NT700" s="27" t="s">
        <v>7</v>
      </c>
    </row>
    <row r="701" spans="1:386" x14ac:dyDescent="0.25">
      <c r="A701" s="7">
        <v>0.1046117384089861</v>
      </c>
      <c r="B701"/>
      <c r="C701"/>
      <c r="D701"/>
      <c r="E701"/>
      <c r="F701" s="27" t="s">
        <v>7</v>
      </c>
      <c r="HW701" s="27" t="s">
        <v>8</v>
      </c>
      <c r="HX701" s="27" t="s">
        <v>7</v>
      </c>
      <c r="HY701" s="27" t="s">
        <v>8</v>
      </c>
      <c r="HZ701" s="27" t="s">
        <v>7</v>
      </c>
      <c r="IA701" s="27" t="s">
        <v>8</v>
      </c>
      <c r="IB701" s="27" t="s">
        <v>7</v>
      </c>
      <c r="IC701" s="27" t="s">
        <v>8</v>
      </c>
      <c r="JN701" s="27" t="s">
        <v>7</v>
      </c>
      <c r="JO701" s="27" t="s">
        <v>8</v>
      </c>
      <c r="JP701" s="27" t="s">
        <v>7</v>
      </c>
      <c r="JQ701" s="27" t="s">
        <v>8</v>
      </c>
      <c r="JR701" s="27" t="s">
        <v>7</v>
      </c>
      <c r="JY701" s="27" t="s">
        <v>8</v>
      </c>
      <c r="JZ701" s="27" t="s">
        <v>7</v>
      </c>
      <c r="LM701" s="27" t="s">
        <v>8</v>
      </c>
      <c r="LN701" s="27" t="s">
        <v>7</v>
      </c>
      <c r="LQ701" s="27" t="s">
        <v>8</v>
      </c>
      <c r="LR701" s="27" t="s">
        <v>7</v>
      </c>
      <c r="LW701" s="27" t="s">
        <v>8</v>
      </c>
      <c r="LX701" s="27" t="s">
        <v>7</v>
      </c>
      <c r="MC701" s="27" t="s">
        <v>8</v>
      </c>
      <c r="MD701" s="27" t="s">
        <v>7</v>
      </c>
      <c r="MM701" s="27" t="s">
        <v>8</v>
      </c>
      <c r="MN701" s="27" t="s">
        <v>7</v>
      </c>
      <c r="MO701" s="27" t="s">
        <v>8</v>
      </c>
      <c r="MP701" s="27" t="s">
        <v>7</v>
      </c>
      <c r="MQ701" s="27" t="s">
        <v>8</v>
      </c>
      <c r="MR701" s="27" t="s">
        <v>7</v>
      </c>
      <c r="MS701" s="27" t="s">
        <v>8</v>
      </c>
      <c r="MV701" s="27" t="s">
        <v>7</v>
      </c>
      <c r="MW701" s="27" t="s">
        <v>8</v>
      </c>
      <c r="MX701" s="27" t="s">
        <v>7</v>
      </c>
      <c r="NH701" s="27" t="s">
        <v>7</v>
      </c>
      <c r="NI701" s="27" t="s">
        <v>8</v>
      </c>
      <c r="NL701" s="27" t="s">
        <v>7</v>
      </c>
      <c r="NM701" s="27" t="s">
        <v>8</v>
      </c>
      <c r="NN701" s="27" t="s">
        <v>7</v>
      </c>
      <c r="NR701" s="27" t="s">
        <v>7</v>
      </c>
      <c r="NS701" s="27" t="s">
        <v>8</v>
      </c>
      <c r="NT701" s="27" t="s">
        <v>7</v>
      </c>
    </row>
    <row r="702" spans="1:386" x14ac:dyDescent="0.25">
      <c r="A702" s="7">
        <v>0.10256052785194716</v>
      </c>
      <c r="B702"/>
      <c r="C702"/>
      <c r="D702"/>
      <c r="E702"/>
      <c r="F702" s="27" t="s">
        <v>7</v>
      </c>
      <c r="HW702" s="27" t="s">
        <v>8</v>
      </c>
      <c r="HX702" s="27" t="s">
        <v>7</v>
      </c>
      <c r="HY702" s="27" t="s">
        <v>8</v>
      </c>
      <c r="HZ702" s="27" t="s">
        <v>7</v>
      </c>
      <c r="IA702" s="27" t="s">
        <v>8</v>
      </c>
      <c r="IB702" s="27" t="s">
        <v>7</v>
      </c>
      <c r="IC702" s="27" t="s">
        <v>8</v>
      </c>
      <c r="JN702" s="27" t="s">
        <v>7</v>
      </c>
      <c r="JO702" s="27" t="s">
        <v>8</v>
      </c>
      <c r="JP702" s="27" t="s">
        <v>7</v>
      </c>
      <c r="JQ702" s="27" t="s">
        <v>8</v>
      </c>
      <c r="JR702" s="27" t="s">
        <v>7</v>
      </c>
      <c r="JY702" s="27" t="s">
        <v>8</v>
      </c>
      <c r="JZ702" s="27" t="s">
        <v>7</v>
      </c>
      <c r="LM702" s="27" t="s">
        <v>8</v>
      </c>
      <c r="LN702" s="27" t="s">
        <v>7</v>
      </c>
      <c r="LQ702" s="27" t="s">
        <v>8</v>
      </c>
      <c r="LR702" s="27" t="s">
        <v>7</v>
      </c>
      <c r="LW702" s="27" t="s">
        <v>8</v>
      </c>
      <c r="LX702" s="27" t="s">
        <v>7</v>
      </c>
      <c r="MC702" s="27" t="s">
        <v>8</v>
      </c>
      <c r="MD702" s="27" t="s">
        <v>7</v>
      </c>
      <c r="MM702" s="27" t="s">
        <v>8</v>
      </c>
      <c r="MN702" s="27" t="s">
        <v>7</v>
      </c>
      <c r="MO702" s="27" t="s">
        <v>8</v>
      </c>
      <c r="MP702" s="27" t="s">
        <v>7</v>
      </c>
      <c r="MQ702" s="27" t="s">
        <v>8</v>
      </c>
      <c r="MR702" s="27" t="s">
        <v>7</v>
      </c>
      <c r="MS702" s="27" t="s">
        <v>8</v>
      </c>
      <c r="MV702" s="27" t="s">
        <v>7</v>
      </c>
      <c r="MW702" s="27" t="s">
        <v>8</v>
      </c>
      <c r="NH702" s="27" t="s">
        <v>7</v>
      </c>
      <c r="NI702" s="27" t="s">
        <v>8</v>
      </c>
      <c r="NL702" s="27" t="s">
        <v>7</v>
      </c>
      <c r="NR702" s="27" t="s">
        <v>7</v>
      </c>
      <c r="NS702" s="27" t="s">
        <v>8</v>
      </c>
      <c r="NT702" s="27" t="s">
        <v>7</v>
      </c>
      <c r="NU702" s="27" t="s">
        <v>8</v>
      </c>
    </row>
    <row r="703" spans="1:386" x14ac:dyDescent="0.25">
      <c r="A703" s="7">
        <v>0.10054953710975212</v>
      </c>
      <c r="B703"/>
      <c r="C703"/>
      <c r="D703"/>
      <c r="E703"/>
      <c r="F703" s="27" t="s">
        <v>7</v>
      </c>
      <c r="HW703" s="27" t="s">
        <v>8</v>
      </c>
      <c r="HX703" s="27" t="s">
        <v>7</v>
      </c>
      <c r="HY703" s="27" t="s">
        <v>8</v>
      </c>
      <c r="HZ703" s="27" t="s">
        <v>7</v>
      </c>
      <c r="IB703" s="27" t="s">
        <v>7</v>
      </c>
      <c r="IC703" s="27" t="s">
        <v>8</v>
      </c>
      <c r="JN703" s="27" t="s">
        <v>7</v>
      </c>
      <c r="JO703" s="27" t="s">
        <v>8</v>
      </c>
      <c r="JP703" s="27" t="s">
        <v>7</v>
      </c>
      <c r="JQ703" s="27" t="s">
        <v>8</v>
      </c>
      <c r="JR703" s="27" t="s">
        <v>7</v>
      </c>
      <c r="JY703" s="27" t="s">
        <v>8</v>
      </c>
      <c r="JZ703" s="27" t="s">
        <v>7</v>
      </c>
      <c r="LM703" s="27" t="s">
        <v>8</v>
      </c>
      <c r="LN703" s="27" t="s">
        <v>7</v>
      </c>
      <c r="LQ703" s="27" t="s">
        <v>8</v>
      </c>
      <c r="LR703" s="27" t="s">
        <v>7</v>
      </c>
      <c r="LW703" s="27" t="s">
        <v>8</v>
      </c>
      <c r="LX703" s="27" t="s">
        <v>7</v>
      </c>
      <c r="MC703" s="27" t="s">
        <v>8</v>
      </c>
      <c r="MD703" s="27" t="s">
        <v>7</v>
      </c>
      <c r="MM703" s="27" t="s">
        <v>8</v>
      </c>
      <c r="MN703" s="27" t="s">
        <v>7</v>
      </c>
      <c r="MO703" s="27" t="s">
        <v>8</v>
      </c>
      <c r="MP703" s="27" t="s">
        <v>7</v>
      </c>
      <c r="MQ703" s="27" t="s">
        <v>8</v>
      </c>
      <c r="MR703" s="27" t="s">
        <v>7</v>
      </c>
      <c r="MS703" s="27" t="s">
        <v>8</v>
      </c>
      <c r="MV703" s="27" t="s">
        <v>7</v>
      </c>
      <c r="MW703" s="27" t="s">
        <v>8</v>
      </c>
      <c r="NH703" s="27" t="s">
        <v>7</v>
      </c>
      <c r="NI703" s="27" t="s">
        <v>8</v>
      </c>
      <c r="NR703" s="27" t="s">
        <v>7</v>
      </c>
      <c r="NS703" s="27" t="s">
        <v>8</v>
      </c>
      <c r="NT703" s="27" t="s">
        <v>7</v>
      </c>
      <c r="NU703" s="27" t="s">
        <v>8</v>
      </c>
      <c r="NV703" s="27" t="s">
        <v>7</v>
      </c>
    </row>
    <row r="704" spans="1:386" x14ac:dyDescent="0.25">
      <c r="A704" s="7">
        <v>9.8577977558580512E-2</v>
      </c>
      <c r="B704"/>
      <c r="C704"/>
      <c r="D704"/>
      <c r="E704"/>
      <c r="F704" s="27" t="s">
        <v>7</v>
      </c>
      <c r="HW704" s="27" t="s">
        <v>8</v>
      </c>
      <c r="HX704" s="27" t="s">
        <v>7</v>
      </c>
      <c r="HY704" s="27" t="s">
        <v>8</v>
      </c>
      <c r="IB704" s="27" t="s">
        <v>7</v>
      </c>
      <c r="JN704" s="27" t="s">
        <v>7</v>
      </c>
      <c r="JO704" s="27" t="s">
        <v>8</v>
      </c>
      <c r="JP704" s="27" t="s">
        <v>7</v>
      </c>
      <c r="JQ704" s="27" t="s">
        <v>8</v>
      </c>
      <c r="JR704" s="27" t="s">
        <v>7</v>
      </c>
      <c r="JU704" s="27" t="s">
        <v>8</v>
      </c>
      <c r="JY704" s="27" t="s">
        <v>8</v>
      </c>
      <c r="JZ704" s="27" t="s">
        <v>7</v>
      </c>
      <c r="LK704" s="27" t="s">
        <v>8</v>
      </c>
      <c r="LM704" s="27" t="s">
        <v>8</v>
      </c>
      <c r="LN704" s="27" t="s">
        <v>7</v>
      </c>
      <c r="LQ704" s="27" t="s">
        <v>8</v>
      </c>
      <c r="LR704" s="27" t="s">
        <v>7</v>
      </c>
      <c r="LS704" s="27" t="s">
        <v>8</v>
      </c>
      <c r="LW704" s="27" t="s">
        <v>8</v>
      </c>
      <c r="LX704" s="27" t="s">
        <v>7</v>
      </c>
      <c r="MC704" s="27" t="s">
        <v>8</v>
      </c>
      <c r="MD704" s="27" t="s">
        <v>7</v>
      </c>
      <c r="MM704" s="27" t="s">
        <v>8</v>
      </c>
      <c r="MN704" s="27" t="s">
        <v>7</v>
      </c>
      <c r="MO704" s="27" t="s">
        <v>8</v>
      </c>
      <c r="MP704" s="27" t="s">
        <v>7</v>
      </c>
      <c r="MQ704" s="27" t="s">
        <v>8</v>
      </c>
      <c r="MR704" s="27" t="s">
        <v>7</v>
      </c>
      <c r="MS704" s="27" t="s">
        <v>8</v>
      </c>
      <c r="MV704" s="27" t="s">
        <v>7</v>
      </c>
      <c r="MW704" s="27" t="s">
        <v>8</v>
      </c>
      <c r="NH704" s="27" t="s">
        <v>7</v>
      </c>
      <c r="NR704" s="27" t="s">
        <v>7</v>
      </c>
      <c r="NS704" s="27" t="s">
        <v>8</v>
      </c>
      <c r="NT704" s="27" t="s">
        <v>7</v>
      </c>
      <c r="NU704" s="27" t="s">
        <v>8</v>
      </c>
      <c r="NV704" s="27" t="s">
        <v>7</v>
      </c>
    </row>
    <row r="705" spans="1:403" x14ac:dyDescent="0.25">
      <c r="A705" s="7">
        <v>9.6645076037824032E-2</v>
      </c>
      <c r="B705"/>
      <c r="C705"/>
      <c r="D705"/>
      <c r="E705"/>
      <c r="F705" s="27" t="s">
        <v>7</v>
      </c>
      <c r="HW705" s="27" t="s">
        <v>8</v>
      </c>
      <c r="HX705" s="27" t="s">
        <v>7</v>
      </c>
      <c r="HY705" s="27" t="s">
        <v>8</v>
      </c>
      <c r="JN705" s="27" t="s">
        <v>7</v>
      </c>
      <c r="JO705" s="27" t="s">
        <v>8</v>
      </c>
      <c r="JP705" s="27" t="s">
        <v>7</v>
      </c>
      <c r="JQ705" s="27" t="s">
        <v>8</v>
      </c>
      <c r="JR705" s="27" t="s">
        <v>7</v>
      </c>
      <c r="JS705" s="27" t="s">
        <v>8</v>
      </c>
      <c r="JU705" s="27" t="s">
        <v>8</v>
      </c>
      <c r="JV705" s="27" t="s">
        <v>7</v>
      </c>
      <c r="JW705" s="27" t="s">
        <v>8</v>
      </c>
      <c r="JY705" s="27" t="s">
        <v>8</v>
      </c>
      <c r="JZ705" s="27" t="s">
        <v>7</v>
      </c>
      <c r="LI705" s="27" t="s">
        <v>8</v>
      </c>
      <c r="LK705" s="27" t="s">
        <v>8</v>
      </c>
      <c r="LL705" s="27" t="s">
        <v>7</v>
      </c>
      <c r="LM705" s="27" t="s">
        <v>8</v>
      </c>
      <c r="LN705" s="27" t="s">
        <v>7</v>
      </c>
      <c r="LO705" s="27" t="s">
        <v>8</v>
      </c>
      <c r="LQ705" s="27" t="s">
        <v>8</v>
      </c>
      <c r="LR705" s="27" t="s">
        <v>7</v>
      </c>
      <c r="LS705" s="27" t="s">
        <v>8</v>
      </c>
      <c r="LT705" s="27" t="s">
        <v>7</v>
      </c>
      <c r="LW705" s="27" t="s">
        <v>8</v>
      </c>
      <c r="LX705" s="27" t="s">
        <v>7</v>
      </c>
      <c r="MC705" s="27" t="s">
        <v>8</v>
      </c>
      <c r="MD705" s="27" t="s">
        <v>7</v>
      </c>
      <c r="MM705" s="27" t="s">
        <v>8</v>
      </c>
      <c r="MN705" s="27" t="s">
        <v>7</v>
      </c>
      <c r="MO705" s="27" t="s">
        <v>8</v>
      </c>
      <c r="MP705" s="27" t="s">
        <v>7</v>
      </c>
      <c r="MQ705" s="27" t="s">
        <v>8</v>
      </c>
      <c r="MR705" s="27" t="s">
        <v>7</v>
      </c>
      <c r="MS705" s="27" t="s">
        <v>8</v>
      </c>
      <c r="MV705" s="27" t="s">
        <v>7</v>
      </c>
      <c r="MW705" s="27" t="s">
        <v>8</v>
      </c>
      <c r="NR705" s="27" t="s">
        <v>7</v>
      </c>
      <c r="NS705" s="27" t="s">
        <v>8</v>
      </c>
      <c r="NT705" s="27" t="s">
        <v>7</v>
      </c>
      <c r="NU705" s="27" t="s">
        <v>8</v>
      </c>
      <c r="NV705" s="27" t="s">
        <v>7</v>
      </c>
      <c r="OE705" s="27" t="s">
        <v>8</v>
      </c>
    </row>
    <row r="706" spans="1:403" x14ac:dyDescent="0.25">
      <c r="A706" s="7">
        <v>9.4750074546886304E-2</v>
      </c>
      <c r="B706"/>
      <c r="C706"/>
      <c r="D706"/>
      <c r="E706"/>
      <c r="F706" s="27" t="s">
        <v>7</v>
      </c>
      <c r="HW706" s="27" t="s">
        <v>8</v>
      </c>
      <c r="HX706" s="27" t="s">
        <v>7</v>
      </c>
      <c r="HY706" s="27" t="s">
        <v>8</v>
      </c>
      <c r="JN706" s="27" t="s">
        <v>7</v>
      </c>
      <c r="JO706" s="27" t="s">
        <v>8</v>
      </c>
      <c r="JP706" s="27" t="s">
        <v>7</v>
      </c>
      <c r="JQ706" s="27" t="s">
        <v>8</v>
      </c>
      <c r="JR706" s="27" t="s">
        <v>7</v>
      </c>
      <c r="JS706" s="27" t="s">
        <v>8</v>
      </c>
      <c r="JT706" s="27" t="s">
        <v>7</v>
      </c>
      <c r="JU706" s="27" t="s">
        <v>8</v>
      </c>
      <c r="JV706" s="27" t="s">
        <v>7</v>
      </c>
      <c r="JW706" s="27" t="s">
        <v>8</v>
      </c>
      <c r="JX706" s="27" t="s">
        <v>7</v>
      </c>
      <c r="JY706" s="27" t="s">
        <v>8</v>
      </c>
      <c r="JZ706" s="27" t="s">
        <v>7</v>
      </c>
      <c r="LI706" s="27" t="s">
        <v>8</v>
      </c>
      <c r="LJ706" s="27" t="s">
        <v>7</v>
      </c>
      <c r="LK706" s="27" t="s">
        <v>8</v>
      </c>
      <c r="LL706" s="27" t="s">
        <v>7</v>
      </c>
      <c r="LM706" s="27" t="s">
        <v>8</v>
      </c>
      <c r="LN706" s="27" t="s">
        <v>7</v>
      </c>
      <c r="LO706" s="27" t="s">
        <v>8</v>
      </c>
      <c r="LP706" s="27" t="s">
        <v>7</v>
      </c>
      <c r="LQ706" s="27" t="s">
        <v>8</v>
      </c>
      <c r="LR706" s="27" t="s">
        <v>7</v>
      </c>
      <c r="LS706" s="27" t="s">
        <v>8</v>
      </c>
      <c r="LT706" s="27" t="s">
        <v>7</v>
      </c>
      <c r="LU706" s="27" t="s">
        <v>8</v>
      </c>
      <c r="LW706" s="27" t="s">
        <v>8</v>
      </c>
      <c r="LX706" s="27" t="s">
        <v>7</v>
      </c>
      <c r="MC706" s="27" t="s">
        <v>8</v>
      </c>
      <c r="MD706" s="27" t="s">
        <v>7</v>
      </c>
      <c r="MM706" s="27" t="s">
        <v>8</v>
      </c>
      <c r="MN706" s="27" t="s">
        <v>7</v>
      </c>
      <c r="MO706" s="27" t="s">
        <v>8</v>
      </c>
      <c r="MP706" s="27" t="s">
        <v>7</v>
      </c>
      <c r="MQ706" s="27" t="s">
        <v>8</v>
      </c>
      <c r="MR706" s="27" t="s">
        <v>7</v>
      </c>
      <c r="MS706" s="27" t="s">
        <v>8</v>
      </c>
      <c r="MV706" s="27" t="s">
        <v>7</v>
      </c>
      <c r="MW706" s="27" t="s">
        <v>8</v>
      </c>
      <c r="NR706" s="27" t="s">
        <v>7</v>
      </c>
      <c r="NS706" s="27" t="s">
        <v>8</v>
      </c>
      <c r="NT706" s="27" t="s">
        <v>7</v>
      </c>
      <c r="NU706" s="27" t="s">
        <v>8</v>
      </c>
      <c r="NV706" s="27" t="s">
        <v>7</v>
      </c>
      <c r="NW706" s="27" t="s">
        <v>8</v>
      </c>
      <c r="OE706" s="27" t="s">
        <v>8</v>
      </c>
      <c r="OF706" s="27" t="s">
        <v>7</v>
      </c>
    </row>
    <row r="707" spans="1:403" x14ac:dyDescent="0.25">
      <c r="A707" s="7">
        <v>9.2892229947927743E-2</v>
      </c>
      <c r="B707"/>
      <c r="C707"/>
      <c r="D707"/>
      <c r="E707"/>
      <c r="F707" s="27" t="s">
        <v>7</v>
      </c>
      <c r="HW707" s="27" t="s">
        <v>8</v>
      </c>
      <c r="HX707" s="27" t="s">
        <v>7</v>
      </c>
      <c r="JN707" s="27" t="s">
        <v>7</v>
      </c>
      <c r="JO707" s="27" t="s">
        <v>8</v>
      </c>
      <c r="JP707" s="27" t="s">
        <v>7</v>
      </c>
      <c r="JQ707" s="27" t="s">
        <v>8</v>
      </c>
      <c r="JR707" s="27" t="s">
        <v>7</v>
      </c>
      <c r="JS707" s="27" t="s">
        <v>8</v>
      </c>
      <c r="JT707" s="27" t="s">
        <v>7</v>
      </c>
      <c r="JU707" s="27" t="s">
        <v>8</v>
      </c>
      <c r="JV707" s="27" t="s">
        <v>7</v>
      </c>
      <c r="JW707" s="27" t="s">
        <v>8</v>
      </c>
      <c r="JX707" s="27" t="s">
        <v>7</v>
      </c>
      <c r="JY707" s="27" t="s">
        <v>8</v>
      </c>
      <c r="JZ707" s="27" t="s">
        <v>7</v>
      </c>
      <c r="LE707" s="27" t="s">
        <v>8</v>
      </c>
      <c r="LI707" s="27" t="s">
        <v>8</v>
      </c>
      <c r="LJ707" s="27" t="s">
        <v>7</v>
      </c>
      <c r="LK707" s="27" t="s">
        <v>8</v>
      </c>
      <c r="LL707" s="27" t="s">
        <v>7</v>
      </c>
      <c r="LM707" s="27" t="s">
        <v>8</v>
      </c>
      <c r="LN707" s="27" t="s">
        <v>7</v>
      </c>
      <c r="LO707" s="27" t="s">
        <v>8</v>
      </c>
      <c r="LP707" s="27" t="s">
        <v>7</v>
      </c>
      <c r="LQ707" s="27" t="s">
        <v>8</v>
      </c>
      <c r="LR707" s="27" t="s">
        <v>7</v>
      </c>
      <c r="LS707" s="27" t="s">
        <v>8</v>
      </c>
      <c r="LT707" s="27" t="s">
        <v>7</v>
      </c>
      <c r="LU707" s="27" t="s">
        <v>8</v>
      </c>
      <c r="LV707" s="27" t="s">
        <v>7</v>
      </c>
      <c r="LW707" s="27" t="s">
        <v>8</v>
      </c>
      <c r="LX707" s="27" t="s">
        <v>7</v>
      </c>
      <c r="LY707" s="27" t="s">
        <v>8</v>
      </c>
      <c r="MA707" s="27" t="s">
        <v>8</v>
      </c>
      <c r="MC707" s="27" t="s">
        <v>8</v>
      </c>
      <c r="MD707" s="27" t="s">
        <v>7</v>
      </c>
      <c r="MM707" s="27" t="s">
        <v>8</v>
      </c>
      <c r="MN707" s="27" t="s">
        <v>7</v>
      </c>
      <c r="MO707" s="27" t="s">
        <v>8</v>
      </c>
      <c r="MP707" s="27" t="s">
        <v>7</v>
      </c>
      <c r="MQ707" s="27" t="s">
        <v>8</v>
      </c>
      <c r="MR707" s="27" t="s">
        <v>7</v>
      </c>
      <c r="MV707" s="27" t="s">
        <v>7</v>
      </c>
      <c r="MW707" s="27" t="s">
        <v>8</v>
      </c>
      <c r="NR707" s="27" t="s">
        <v>7</v>
      </c>
      <c r="NS707" s="27" t="s">
        <v>8</v>
      </c>
      <c r="NT707" s="27" t="s">
        <v>7</v>
      </c>
      <c r="NU707" s="27" t="s">
        <v>8</v>
      </c>
      <c r="NV707" s="27" t="s">
        <v>7</v>
      </c>
      <c r="NW707" s="27" t="s">
        <v>8</v>
      </c>
      <c r="NX707" s="27" t="s">
        <v>7</v>
      </c>
      <c r="OE707" s="27" t="s">
        <v>8</v>
      </c>
      <c r="OF707" s="27" t="s">
        <v>7</v>
      </c>
    </row>
    <row r="708" spans="1:403" x14ac:dyDescent="0.25">
      <c r="A708" s="7">
        <v>9.1070813674438963E-2</v>
      </c>
      <c r="B708"/>
      <c r="C708"/>
      <c r="D708"/>
      <c r="E708"/>
      <c r="F708" s="27" t="s">
        <v>7</v>
      </c>
      <c r="HW708" s="27" t="s">
        <v>8</v>
      </c>
      <c r="JN708" s="27" t="s">
        <v>7</v>
      </c>
      <c r="JO708" s="27" t="s">
        <v>8</v>
      </c>
      <c r="JP708" s="27" t="s">
        <v>7</v>
      </c>
      <c r="JQ708" s="27" t="s">
        <v>8</v>
      </c>
      <c r="JR708" s="27" t="s">
        <v>7</v>
      </c>
      <c r="JS708" s="27" t="s">
        <v>8</v>
      </c>
      <c r="JT708" s="27" t="s">
        <v>7</v>
      </c>
      <c r="JV708" s="27" t="s">
        <v>7</v>
      </c>
      <c r="JW708" s="27" t="s">
        <v>8</v>
      </c>
      <c r="JX708" s="27" t="s">
        <v>7</v>
      </c>
      <c r="JY708" s="27" t="s">
        <v>8</v>
      </c>
      <c r="JZ708" s="27" t="s">
        <v>7</v>
      </c>
      <c r="LE708" s="27" t="s">
        <v>8</v>
      </c>
      <c r="LF708" s="27" t="s">
        <v>7</v>
      </c>
      <c r="LG708" s="27" t="s">
        <v>8</v>
      </c>
      <c r="LI708" s="27" t="s">
        <v>8</v>
      </c>
      <c r="LJ708" s="27" t="s">
        <v>7</v>
      </c>
      <c r="LK708" s="27" t="s">
        <v>8</v>
      </c>
      <c r="LL708" s="27" t="s">
        <v>7</v>
      </c>
      <c r="LN708" s="27" t="s">
        <v>7</v>
      </c>
      <c r="LO708" s="27" t="s">
        <v>8</v>
      </c>
      <c r="LP708" s="27" t="s">
        <v>7</v>
      </c>
      <c r="LR708" s="27" t="s">
        <v>7</v>
      </c>
      <c r="LS708" s="27" t="s">
        <v>8</v>
      </c>
      <c r="LT708" s="27" t="s">
        <v>7</v>
      </c>
      <c r="LU708" s="27" t="s">
        <v>8</v>
      </c>
      <c r="LV708" s="27" t="s">
        <v>7</v>
      </c>
      <c r="LW708" s="27" t="s">
        <v>8</v>
      </c>
      <c r="LX708" s="27" t="s">
        <v>7</v>
      </c>
      <c r="LY708" s="27" t="s">
        <v>8</v>
      </c>
      <c r="LZ708" s="27" t="s">
        <v>7</v>
      </c>
      <c r="MA708" s="27" t="s">
        <v>8</v>
      </c>
      <c r="MB708" s="27" t="s">
        <v>7</v>
      </c>
      <c r="MC708" s="27" t="s">
        <v>8</v>
      </c>
      <c r="MD708" s="27" t="s">
        <v>7</v>
      </c>
      <c r="MM708" s="27" t="s">
        <v>8</v>
      </c>
      <c r="MN708" s="27" t="s">
        <v>7</v>
      </c>
      <c r="MO708" s="27" t="s">
        <v>8</v>
      </c>
      <c r="MP708" s="27" t="s">
        <v>7</v>
      </c>
      <c r="MQ708" s="27" t="s">
        <v>8</v>
      </c>
      <c r="MV708" s="27" t="s">
        <v>7</v>
      </c>
      <c r="NR708" s="27" t="s">
        <v>7</v>
      </c>
      <c r="NS708" s="27" t="s">
        <v>8</v>
      </c>
      <c r="NT708" s="27" t="s">
        <v>7</v>
      </c>
      <c r="NU708" s="27" t="s">
        <v>8</v>
      </c>
      <c r="NV708" s="27" t="s">
        <v>7</v>
      </c>
      <c r="NW708" s="27" t="s">
        <v>8</v>
      </c>
      <c r="NX708" s="27" t="s">
        <v>7</v>
      </c>
      <c r="OE708" s="27" t="s">
        <v>8</v>
      </c>
      <c r="OF708" s="27" t="s">
        <v>7</v>
      </c>
    </row>
    <row r="709" spans="1:403" x14ac:dyDescent="0.25">
      <c r="A709" s="7">
        <v>8.9285111445528392E-2</v>
      </c>
      <c r="B709"/>
      <c r="C709"/>
      <c r="D709"/>
      <c r="E709"/>
      <c r="F709" s="27" t="s">
        <v>7</v>
      </c>
      <c r="HW709" s="27" t="s">
        <v>8</v>
      </c>
      <c r="JN709" s="27" t="s">
        <v>7</v>
      </c>
      <c r="JO709" s="27" t="s">
        <v>8</v>
      </c>
      <c r="JP709" s="27" t="s">
        <v>7</v>
      </c>
      <c r="JQ709" s="27" t="s">
        <v>8</v>
      </c>
      <c r="JR709" s="27" t="s">
        <v>7</v>
      </c>
      <c r="JS709" s="27" t="s">
        <v>8</v>
      </c>
      <c r="JV709" s="27" t="s">
        <v>7</v>
      </c>
      <c r="JW709" s="27" t="s">
        <v>8</v>
      </c>
      <c r="JX709" s="27" t="s">
        <v>7</v>
      </c>
      <c r="JY709" s="27" t="s">
        <v>8</v>
      </c>
      <c r="JZ709" s="27" t="s">
        <v>7</v>
      </c>
      <c r="LE709" s="27" t="s">
        <v>8</v>
      </c>
      <c r="LF709" s="27" t="s">
        <v>7</v>
      </c>
      <c r="LG709" s="27" t="s">
        <v>8</v>
      </c>
      <c r="LH709" s="27" t="s">
        <v>7</v>
      </c>
      <c r="LI709" s="27" t="s">
        <v>8</v>
      </c>
      <c r="LJ709" s="27" t="s">
        <v>7</v>
      </c>
      <c r="LK709" s="27" t="s">
        <v>8</v>
      </c>
      <c r="LN709" s="27" t="s">
        <v>7</v>
      </c>
      <c r="LO709" s="27" t="s">
        <v>8</v>
      </c>
      <c r="LR709" s="27" t="s">
        <v>7</v>
      </c>
      <c r="LT709" s="27" t="s">
        <v>7</v>
      </c>
      <c r="LU709" s="27" t="s">
        <v>8</v>
      </c>
      <c r="LV709" s="27" t="s">
        <v>7</v>
      </c>
      <c r="LW709" s="27" t="s">
        <v>8</v>
      </c>
      <c r="LX709" s="27" t="s">
        <v>7</v>
      </c>
      <c r="LY709" s="27" t="s">
        <v>8</v>
      </c>
      <c r="LZ709" s="27" t="s">
        <v>7</v>
      </c>
      <c r="MA709" s="27" t="s">
        <v>8</v>
      </c>
      <c r="MB709" s="27" t="s">
        <v>7</v>
      </c>
      <c r="MC709" s="27" t="s">
        <v>8</v>
      </c>
      <c r="MD709" s="27" t="s">
        <v>7</v>
      </c>
      <c r="MM709" s="27" t="s">
        <v>8</v>
      </c>
      <c r="MN709" s="27" t="s">
        <v>7</v>
      </c>
      <c r="MO709" s="27" t="s">
        <v>8</v>
      </c>
      <c r="MP709" s="27" t="s">
        <v>7</v>
      </c>
      <c r="NR709" s="27" t="s">
        <v>7</v>
      </c>
      <c r="NS709" s="27" t="s">
        <v>8</v>
      </c>
      <c r="NT709" s="27" t="s">
        <v>7</v>
      </c>
      <c r="NU709" s="27" t="s">
        <v>8</v>
      </c>
      <c r="NV709" s="27" t="s">
        <v>7</v>
      </c>
      <c r="NW709" s="27" t="s">
        <v>8</v>
      </c>
      <c r="NX709" s="27" t="s">
        <v>7</v>
      </c>
      <c r="OA709" s="27" t="s">
        <v>8</v>
      </c>
      <c r="OC709" s="27" t="s">
        <v>8</v>
      </c>
      <c r="OE709" s="27" t="s">
        <v>8</v>
      </c>
      <c r="OF709" s="27" t="s">
        <v>7</v>
      </c>
    </row>
    <row r="710" spans="1:403" x14ac:dyDescent="0.25">
      <c r="A710" s="7">
        <v>8.7534422985812155E-2</v>
      </c>
      <c r="B710"/>
      <c r="C710"/>
      <c r="D710"/>
      <c r="E710"/>
      <c r="F710" s="27" t="s">
        <v>7</v>
      </c>
      <c r="HW710" s="27" t="s">
        <v>8</v>
      </c>
      <c r="JN710" s="27" t="s">
        <v>7</v>
      </c>
      <c r="JO710" s="27" t="s">
        <v>8</v>
      </c>
      <c r="JP710" s="27" t="s">
        <v>7</v>
      </c>
      <c r="JQ710" s="27" t="s">
        <v>8</v>
      </c>
      <c r="JR710" s="27" t="s">
        <v>7</v>
      </c>
      <c r="JS710" s="27" t="s">
        <v>8</v>
      </c>
      <c r="JV710" s="27" t="s">
        <v>7</v>
      </c>
      <c r="JW710" s="27" t="s">
        <v>8</v>
      </c>
      <c r="JX710" s="27" t="s">
        <v>7</v>
      </c>
      <c r="JY710" s="27" t="s">
        <v>8</v>
      </c>
      <c r="JZ710" s="27" t="s">
        <v>7</v>
      </c>
      <c r="LE710" s="27" t="s">
        <v>8</v>
      </c>
      <c r="LF710" s="27" t="s">
        <v>7</v>
      </c>
      <c r="LG710" s="27" t="s">
        <v>8</v>
      </c>
      <c r="LH710" s="27" t="s">
        <v>7</v>
      </c>
      <c r="LI710" s="27" t="s">
        <v>8</v>
      </c>
      <c r="LJ710" s="27" t="s">
        <v>7</v>
      </c>
      <c r="LK710" s="27" t="s">
        <v>8</v>
      </c>
      <c r="LN710" s="27" t="s">
        <v>7</v>
      </c>
      <c r="LO710" s="27" t="s">
        <v>8</v>
      </c>
      <c r="LT710" s="27" t="s">
        <v>7</v>
      </c>
      <c r="LU710" s="27" t="s">
        <v>8</v>
      </c>
      <c r="LV710" s="27" t="s">
        <v>7</v>
      </c>
      <c r="LW710" s="27" t="s">
        <v>8</v>
      </c>
      <c r="LX710" s="27" t="s">
        <v>7</v>
      </c>
      <c r="LY710" s="27" t="s">
        <v>8</v>
      </c>
      <c r="LZ710" s="27" t="s">
        <v>7</v>
      </c>
      <c r="MA710" s="27" t="s">
        <v>8</v>
      </c>
      <c r="MB710" s="27" t="s">
        <v>7</v>
      </c>
      <c r="MC710" s="27" t="s">
        <v>8</v>
      </c>
      <c r="MD710" s="27" t="s">
        <v>7</v>
      </c>
      <c r="MG710" s="27" t="s">
        <v>8</v>
      </c>
      <c r="MM710" s="27" t="s">
        <v>8</v>
      </c>
      <c r="MN710" s="27" t="s">
        <v>7</v>
      </c>
      <c r="MO710" s="27" t="s">
        <v>8</v>
      </c>
      <c r="NR710" s="27" t="s">
        <v>7</v>
      </c>
      <c r="NS710" s="27" t="s">
        <v>8</v>
      </c>
      <c r="NT710" s="27" t="s">
        <v>7</v>
      </c>
      <c r="NU710" s="27" t="s">
        <v>8</v>
      </c>
      <c r="NV710" s="27" t="s">
        <v>7</v>
      </c>
      <c r="NW710" s="27" t="s">
        <v>8</v>
      </c>
      <c r="NX710" s="27" t="s">
        <v>7</v>
      </c>
      <c r="OA710" s="27" t="s">
        <v>8</v>
      </c>
      <c r="OB710" s="27" t="s">
        <v>7</v>
      </c>
      <c r="OC710" s="27" t="s">
        <v>8</v>
      </c>
      <c r="OD710" s="27" t="s">
        <v>7</v>
      </c>
      <c r="OE710" s="27" t="s">
        <v>8</v>
      </c>
      <c r="OF710" s="27" t="s">
        <v>7</v>
      </c>
      <c r="OG710" s="27" t="s">
        <v>8</v>
      </c>
    </row>
    <row r="711" spans="1:403" x14ac:dyDescent="0.25">
      <c r="A711" s="7">
        <v>8.5818061750796232E-2</v>
      </c>
      <c r="B711"/>
      <c r="C711"/>
      <c r="D711"/>
      <c r="E711"/>
      <c r="F711" s="27" t="s">
        <v>7</v>
      </c>
      <c r="HW711" s="27" t="s">
        <v>8</v>
      </c>
      <c r="JN711" s="27" t="s">
        <v>7</v>
      </c>
      <c r="JO711" s="27" t="s">
        <v>8</v>
      </c>
      <c r="JP711" s="27" t="s">
        <v>7</v>
      </c>
      <c r="JQ711" s="27" t="s">
        <v>8</v>
      </c>
      <c r="JR711" s="27" t="s">
        <v>7</v>
      </c>
      <c r="JS711" s="27" t="s">
        <v>8</v>
      </c>
      <c r="JV711" s="27" t="s">
        <v>7</v>
      </c>
      <c r="JW711" s="27" t="s">
        <v>8</v>
      </c>
      <c r="JX711" s="27" t="s">
        <v>7</v>
      </c>
      <c r="JY711" s="27" t="s">
        <v>8</v>
      </c>
      <c r="JZ711" s="27" t="s">
        <v>7</v>
      </c>
      <c r="KA711" s="27" t="s">
        <v>8</v>
      </c>
      <c r="KC711" s="27" t="s">
        <v>8</v>
      </c>
      <c r="LE711" s="27" t="s">
        <v>8</v>
      </c>
      <c r="LF711" s="27" t="s">
        <v>7</v>
      </c>
      <c r="LG711" s="27" t="s">
        <v>8</v>
      </c>
      <c r="LH711" s="27" t="s">
        <v>7</v>
      </c>
      <c r="LI711" s="27" t="s">
        <v>8</v>
      </c>
      <c r="LJ711" s="27" t="s">
        <v>7</v>
      </c>
      <c r="LK711" s="27" t="s">
        <v>8</v>
      </c>
      <c r="LN711" s="27" t="s">
        <v>7</v>
      </c>
      <c r="LO711" s="27" t="s">
        <v>8</v>
      </c>
      <c r="LT711" s="27" t="s">
        <v>7</v>
      </c>
      <c r="LU711" s="27" t="s">
        <v>8</v>
      </c>
      <c r="LV711" s="27" t="s">
        <v>7</v>
      </c>
      <c r="LX711" s="27" t="s">
        <v>7</v>
      </c>
      <c r="LY711" s="27" t="s">
        <v>8</v>
      </c>
      <c r="LZ711" s="27" t="s">
        <v>7</v>
      </c>
      <c r="MA711" s="27" t="s">
        <v>8</v>
      </c>
      <c r="MB711" s="27" t="s">
        <v>7</v>
      </c>
      <c r="MC711" s="27" t="s">
        <v>8</v>
      </c>
      <c r="MD711" s="27" t="s">
        <v>7</v>
      </c>
      <c r="MG711" s="27" t="s">
        <v>8</v>
      </c>
      <c r="MH711" s="27" t="s">
        <v>7</v>
      </c>
      <c r="MI711" s="27" t="s">
        <v>8</v>
      </c>
      <c r="MK711" s="27" t="s">
        <v>8</v>
      </c>
      <c r="MM711" s="27" t="s">
        <v>8</v>
      </c>
      <c r="MN711" s="27" t="s">
        <v>7</v>
      </c>
      <c r="MO711" s="27" t="s">
        <v>8</v>
      </c>
      <c r="NR711" s="27" t="s">
        <v>7</v>
      </c>
      <c r="NS711" s="27" t="s">
        <v>8</v>
      </c>
      <c r="NT711" s="27" t="s">
        <v>7</v>
      </c>
      <c r="NU711" s="27" t="s">
        <v>8</v>
      </c>
      <c r="NV711" s="27" t="s">
        <v>7</v>
      </c>
      <c r="NW711" s="27" t="s">
        <v>8</v>
      </c>
      <c r="NX711" s="27" t="s">
        <v>7</v>
      </c>
      <c r="OA711" s="27" t="s">
        <v>8</v>
      </c>
      <c r="OB711" s="27" t="s">
        <v>7</v>
      </c>
      <c r="OC711" s="27" t="s">
        <v>8</v>
      </c>
      <c r="OD711" s="27" t="s">
        <v>7</v>
      </c>
      <c r="OE711" s="27" t="s">
        <v>8</v>
      </c>
      <c r="OF711" s="27" t="s">
        <v>7</v>
      </c>
      <c r="OG711" s="27" t="s">
        <v>8</v>
      </c>
      <c r="OH711" s="27" t="s">
        <v>7</v>
      </c>
    </row>
    <row r="712" spans="1:403" x14ac:dyDescent="0.25">
      <c r="A712" s="7">
        <v>8.4135354657643366E-2</v>
      </c>
      <c r="B712"/>
      <c r="C712"/>
      <c r="D712"/>
      <c r="E712"/>
      <c r="F712" s="27" t="s">
        <v>7</v>
      </c>
      <c r="HW712" s="27" t="s">
        <v>8</v>
      </c>
      <c r="JN712" s="27" t="s">
        <v>7</v>
      </c>
      <c r="JO712" s="27" t="s">
        <v>8</v>
      </c>
      <c r="JP712" s="27" t="s">
        <v>7</v>
      </c>
      <c r="JQ712" s="27" t="s">
        <v>8</v>
      </c>
      <c r="JR712" s="27" t="s">
        <v>7</v>
      </c>
      <c r="JS712" s="27" t="s">
        <v>8</v>
      </c>
      <c r="JV712" s="27" t="s">
        <v>7</v>
      </c>
      <c r="JW712" s="27" t="s">
        <v>8</v>
      </c>
      <c r="JX712" s="27" t="s">
        <v>7</v>
      </c>
      <c r="JY712" s="27" t="s">
        <v>8</v>
      </c>
      <c r="JZ712" s="27" t="s">
        <v>7</v>
      </c>
      <c r="KA712" s="27" t="s">
        <v>8</v>
      </c>
      <c r="KB712" s="27" t="s">
        <v>7</v>
      </c>
      <c r="KC712" s="27" t="s">
        <v>8</v>
      </c>
      <c r="KD712" s="27" t="s">
        <v>7</v>
      </c>
      <c r="LE712" s="27" t="s">
        <v>8</v>
      </c>
      <c r="LF712" s="27" t="s">
        <v>7</v>
      </c>
      <c r="LG712" s="27" t="s">
        <v>8</v>
      </c>
      <c r="LH712" s="27" t="s">
        <v>7</v>
      </c>
      <c r="LI712" s="27" t="s">
        <v>8</v>
      </c>
      <c r="LJ712" s="27" t="s">
        <v>7</v>
      </c>
      <c r="LK712" s="27" t="s">
        <v>8</v>
      </c>
      <c r="LN712" s="27" t="s">
        <v>7</v>
      </c>
      <c r="LT712" s="27" t="s">
        <v>7</v>
      </c>
      <c r="LX712" s="27" t="s">
        <v>7</v>
      </c>
      <c r="LY712" s="27" t="s">
        <v>8</v>
      </c>
      <c r="LZ712" s="27" t="s">
        <v>7</v>
      </c>
      <c r="MA712" s="27" t="s">
        <v>8</v>
      </c>
      <c r="MB712" s="27" t="s">
        <v>7</v>
      </c>
      <c r="MC712" s="27" t="s">
        <v>8</v>
      </c>
      <c r="MD712" s="27" t="s">
        <v>7</v>
      </c>
      <c r="MG712" s="27" t="s">
        <v>8</v>
      </c>
      <c r="MH712" s="27" t="s">
        <v>7</v>
      </c>
      <c r="MI712" s="27" t="s">
        <v>8</v>
      </c>
      <c r="MJ712" s="27" t="s">
        <v>7</v>
      </c>
      <c r="MK712" s="27" t="s">
        <v>8</v>
      </c>
      <c r="ML712" s="27" t="s">
        <v>7</v>
      </c>
      <c r="MM712" s="27" t="s">
        <v>8</v>
      </c>
      <c r="MN712" s="27" t="s">
        <v>7</v>
      </c>
      <c r="MO712" s="27" t="s">
        <v>8</v>
      </c>
      <c r="NR712" s="27" t="s">
        <v>7</v>
      </c>
      <c r="NS712" s="27" t="s">
        <v>8</v>
      </c>
      <c r="NT712" s="27" t="s">
        <v>7</v>
      </c>
      <c r="NU712" s="27" t="s">
        <v>8</v>
      </c>
      <c r="NV712" s="27" t="s">
        <v>7</v>
      </c>
      <c r="NW712" s="27" t="s">
        <v>8</v>
      </c>
      <c r="NX712" s="27" t="s">
        <v>7</v>
      </c>
      <c r="NY712" s="27" t="s">
        <v>8</v>
      </c>
      <c r="OA712" s="27" t="s">
        <v>8</v>
      </c>
      <c r="OB712" s="27" t="s">
        <v>7</v>
      </c>
      <c r="OC712" s="27" t="s">
        <v>8</v>
      </c>
      <c r="OD712" s="27" t="s">
        <v>7</v>
      </c>
      <c r="OF712" s="27" t="s">
        <v>7</v>
      </c>
      <c r="OG712" s="27" t="s">
        <v>8</v>
      </c>
      <c r="OH712" s="27" t="s">
        <v>7</v>
      </c>
    </row>
    <row r="713" spans="1:403" x14ac:dyDescent="0.25">
      <c r="A713" s="7">
        <v>8.248564182121898E-2</v>
      </c>
      <c r="B713"/>
      <c r="C713"/>
      <c r="D713"/>
      <c r="E713"/>
      <c r="F713" s="27" t="s">
        <v>7</v>
      </c>
      <c r="HW713" s="27" t="s">
        <v>8</v>
      </c>
      <c r="JN713" s="27" t="s">
        <v>7</v>
      </c>
      <c r="JO713" s="27" t="s">
        <v>8</v>
      </c>
      <c r="JP713" s="27" t="s">
        <v>7</v>
      </c>
      <c r="JQ713" s="27" t="s">
        <v>8</v>
      </c>
      <c r="JR713" s="27" t="s">
        <v>7</v>
      </c>
      <c r="JS713" s="27" t="s">
        <v>8</v>
      </c>
      <c r="JV713" s="27" t="s">
        <v>7</v>
      </c>
      <c r="JW713" s="27" t="s">
        <v>8</v>
      </c>
      <c r="JX713" s="27" t="s">
        <v>7</v>
      </c>
      <c r="JY713" s="27" t="s">
        <v>8</v>
      </c>
      <c r="JZ713" s="27" t="s">
        <v>7</v>
      </c>
      <c r="KA713" s="27" t="s">
        <v>8</v>
      </c>
      <c r="KB713" s="27" t="s">
        <v>7</v>
      </c>
      <c r="KC713" s="27" t="s">
        <v>8</v>
      </c>
      <c r="KD713" s="27" t="s">
        <v>7</v>
      </c>
      <c r="LE713" s="27" t="s">
        <v>8</v>
      </c>
      <c r="LF713" s="27" t="s">
        <v>7</v>
      </c>
      <c r="LG713" s="27" t="s">
        <v>8</v>
      </c>
      <c r="LH713" s="27" t="s">
        <v>7</v>
      </c>
      <c r="LI713" s="27" t="s">
        <v>8</v>
      </c>
      <c r="LJ713" s="27" t="s">
        <v>7</v>
      </c>
      <c r="LK713" s="27" t="s">
        <v>8</v>
      </c>
      <c r="LX713" s="27" t="s">
        <v>7</v>
      </c>
      <c r="LY713" s="27" t="s">
        <v>8</v>
      </c>
      <c r="LZ713" s="27" t="s">
        <v>7</v>
      </c>
      <c r="MA713" s="27" t="s">
        <v>8</v>
      </c>
      <c r="MB713" s="27" t="s">
        <v>7</v>
      </c>
      <c r="MC713" s="27" t="s">
        <v>8</v>
      </c>
      <c r="MD713" s="27" t="s">
        <v>7</v>
      </c>
      <c r="MG713" s="27" t="s">
        <v>8</v>
      </c>
      <c r="MH713" s="27" t="s">
        <v>7</v>
      </c>
      <c r="MI713" s="27" t="s">
        <v>8</v>
      </c>
      <c r="MJ713" s="27" t="s">
        <v>7</v>
      </c>
      <c r="MK713" s="27" t="s">
        <v>8</v>
      </c>
      <c r="ML713" s="27" t="s">
        <v>7</v>
      </c>
      <c r="MM713" s="27" t="s">
        <v>8</v>
      </c>
      <c r="MN713" s="27" t="s">
        <v>7</v>
      </c>
      <c r="MO713" s="27" t="s">
        <v>8</v>
      </c>
      <c r="NR713" s="27" t="s">
        <v>7</v>
      </c>
      <c r="NS713" s="27" t="s">
        <v>8</v>
      </c>
      <c r="NT713" s="27" t="s">
        <v>7</v>
      </c>
      <c r="NU713" s="27" t="s">
        <v>8</v>
      </c>
      <c r="NV713" s="27" t="s">
        <v>7</v>
      </c>
      <c r="NX713" s="27" t="s">
        <v>7</v>
      </c>
      <c r="NY713" s="27" t="s">
        <v>8</v>
      </c>
      <c r="NZ713" s="27" t="s">
        <v>7</v>
      </c>
      <c r="OA713" s="27" t="s">
        <v>8</v>
      </c>
      <c r="OB713" s="27" t="s">
        <v>7</v>
      </c>
      <c r="OC713" s="27" t="s">
        <v>8</v>
      </c>
      <c r="OF713" s="27" t="s">
        <v>7</v>
      </c>
      <c r="OG713" s="27" t="s">
        <v>8</v>
      </c>
      <c r="OH713" s="27" t="s">
        <v>7</v>
      </c>
    </row>
    <row r="714" spans="1:403" x14ac:dyDescent="0.25">
      <c r="A714" s="7">
        <v>8.0868276295312735E-2</v>
      </c>
      <c r="B714"/>
      <c r="C714"/>
      <c r="D714"/>
      <c r="E714"/>
      <c r="F714" s="27" t="s">
        <v>7</v>
      </c>
      <c r="HW714" s="27" t="s">
        <v>8</v>
      </c>
      <c r="JN714" s="27" t="s">
        <v>7</v>
      </c>
      <c r="JP714" s="27" t="s">
        <v>7</v>
      </c>
      <c r="JQ714" s="27" t="s">
        <v>8</v>
      </c>
      <c r="JR714" s="27" t="s">
        <v>7</v>
      </c>
      <c r="JV714" s="27" t="s">
        <v>7</v>
      </c>
      <c r="JW714" s="27" t="s">
        <v>8</v>
      </c>
      <c r="JX714" s="27" t="s">
        <v>7</v>
      </c>
      <c r="JY714" s="27" t="s">
        <v>8</v>
      </c>
      <c r="JZ714" s="27" t="s">
        <v>7</v>
      </c>
      <c r="KA714" s="27" t="s">
        <v>8</v>
      </c>
      <c r="KB714" s="27" t="s">
        <v>7</v>
      </c>
      <c r="KC714" s="27" t="s">
        <v>8</v>
      </c>
      <c r="KD714" s="27" t="s">
        <v>7</v>
      </c>
      <c r="LE714" s="27" t="s">
        <v>8</v>
      </c>
      <c r="LF714" s="27" t="s">
        <v>7</v>
      </c>
      <c r="LG714" s="27" t="s">
        <v>8</v>
      </c>
      <c r="LH714" s="27" t="s">
        <v>7</v>
      </c>
      <c r="LI714" s="27" t="s">
        <v>8</v>
      </c>
      <c r="LJ714" s="27" t="s">
        <v>7</v>
      </c>
      <c r="LX714" s="27" t="s">
        <v>7</v>
      </c>
      <c r="LY714" s="27" t="s">
        <v>8</v>
      </c>
      <c r="LZ714" s="27" t="s">
        <v>7</v>
      </c>
      <c r="MA714" s="27" t="s">
        <v>8</v>
      </c>
      <c r="MB714" s="27" t="s">
        <v>7</v>
      </c>
      <c r="MC714" s="27" t="s">
        <v>8</v>
      </c>
      <c r="MD714" s="27" t="s">
        <v>7</v>
      </c>
      <c r="ME714" s="27" t="s">
        <v>8</v>
      </c>
      <c r="MG714" s="27" t="s">
        <v>8</v>
      </c>
      <c r="MH714" s="27" t="s">
        <v>7</v>
      </c>
      <c r="MI714" s="27" t="s">
        <v>8</v>
      </c>
      <c r="MJ714" s="27" t="s">
        <v>7</v>
      </c>
      <c r="MK714" s="27" t="s">
        <v>8</v>
      </c>
      <c r="ML714" s="27" t="s">
        <v>7</v>
      </c>
      <c r="MM714" s="27" t="s">
        <v>8</v>
      </c>
      <c r="MN714" s="27" t="s">
        <v>7</v>
      </c>
      <c r="MO714" s="27" t="s">
        <v>8</v>
      </c>
      <c r="NR714" s="27" t="s">
        <v>7</v>
      </c>
      <c r="NS714" s="27" t="s">
        <v>8</v>
      </c>
      <c r="NT714" s="27" t="s">
        <v>7</v>
      </c>
      <c r="NX714" s="27" t="s">
        <v>7</v>
      </c>
      <c r="NY714" s="27" t="s">
        <v>8</v>
      </c>
      <c r="NZ714" s="27" t="s">
        <v>7</v>
      </c>
      <c r="OA714" s="27" t="s">
        <v>8</v>
      </c>
      <c r="OB714" s="27" t="s">
        <v>7</v>
      </c>
      <c r="OC714" s="27" t="s">
        <v>8</v>
      </c>
      <c r="OF714" s="27" t="s">
        <v>7</v>
      </c>
      <c r="OG714" s="27" t="s">
        <v>8</v>
      </c>
      <c r="OH714" s="27" t="s">
        <v>7</v>
      </c>
    </row>
    <row r="715" spans="1:403" x14ac:dyDescent="0.25">
      <c r="A715" s="7">
        <v>7.9282623818934056E-2</v>
      </c>
      <c r="B715"/>
      <c r="C715"/>
      <c r="D715"/>
      <c r="E715"/>
      <c r="F715" s="27" t="s">
        <v>7</v>
      </c>
      <c r="HW715" s="27" t="s">
        <v>8</v>
      </c>
      <c r="JP715" s="27" t="s">
        <v>7</v>
      </c>
      <c r="JQ715" s="27" t="s">
        <v>8</v>
      </c>
      <c r="JV715" s="27" t="s">
        <v>7</v>
      </c>
      <c r="JX715" s="27" t="s">
        <v>7</v>
      </c>
      <c r="JY715" s="27" t="s">
        <v>8</v>
      </c>
      <c r="JZ715" s="27" t="s">
        <v>7</v>
      </c>
      <c r="KA715" s="27" t="s">
        <v>8</v>
      </c>
      <c r="KB715" s="27" t="s">
        <v>7</v>
      </c>
      <c r="KD715" s="27" t="s">
        <v>7</v>
      </c>
      <c r="LE715" s="27" t="s">
        <v>8</v>
      </c>
      <c r="LF715" s="27" t="s">
        <v>7</v>
      </c>
      <c r="LG715" s="27" t="s">
        <v>8</v>
      </c>
      <c r="LH715" s="27" t="s">
        <v>7</v>
      </c>
      <c r="LX715" s="27" t="s">
        <v>7</v>
      </c>
      <c r="LY715" s="27" t="s">
        <v>8</v>
      </c>
      <c r="LZ715" s="27" t="s">
        <v>7</v>
      </c>
      <c r="MB715" s="27" t="s">
        <v>7</v>
      </c>
      <c r="MC715" s="27" t="s">
        <v>8</v>
      </c>
      <c r="MD715" s="27" t="s">
        <v>7</v>
      </c>
      <c r="ME715" s="27" t="s">
        <v>8</v>
      </c>
      <c r="MF715" s="27" t="s">
        <v>7</v>
      </c>
      <c r="MG715" s="27" t="s">
        <v>8</v>
      </c>
      <c r="MH715" s="27" t="s">
        <v>7</v>
      </c>
      <c r="MI715" s="27" t="s">
        <v>8</v>
      </c>
      <c r="MJ715" s="27" t="s">
        <v>7</v>
      </c>
      <c r="MK715" s="27" t="s">
        <v>8</v>
      </c>
      <c r="ML715" s="27" t="s">
        <v>7</v>
      </c>
      <c r="MM715" s="27" t="s">
        <v>8</v>
      </c>
      <c r="MN715" s="27" t="s">
        <v>7</v>
      </c>
      <c r="NR715" s="27" t="s">
        <v>7</v>
      </c>
      <c r="NS715" s="27" t="s">
        <v>8</v>
      </c>
      <c r="NX715" s="27" t="s">
        <v>7</v>
      </c>
      <c r="NY715" s="27" t="s">
        <v>8</v>
      </c>
      <c r="NZ715" s="27" t="s">
        <v>7</v>
      </c>
      <c r="OA715" s="27" t="s">
        <v>8</v>
      </c>
      <c r="OB715" s="27" t="s">
        <v>7</v>
      </c>
      <c r="OC715" s="27" t="s">
        <v>8</v>
      </c>
      <c r="OF715" s="27" t="s">
        <v>7</v>
      </c>
      <c r="OG715" s="27" t="s">
        <v>8</v>
      </c>
      <c r="OH715" s="27" t="s">
        <v>7</v>
      </c>
    </row>
    <row r="716" spans="1:403" x14ac:dyDescent="0.25">
      <c r="A716" s="7">
        <v>7.7728062567582412E-2</v>
      </c>
      <c r="B716"/>
      <c r="C716"/>
      <c r="D716"/>
      <c r="E716"/>
      <c r="F716" s="27" t="s">
        <v>7</v>
      </c>
      <c r="HW716" s="27" t="s">
        <v>8</v>
      </c>
      <c r="JP716" s="27" t="s">
        <v>7</v>
      </c>
      <c r="JQ716" s="27" t="s">
        <v>8</v>
      </c>
      <c r="JX716" s="27" t="s">
        <v>7</v>
      </c>
      <c r="JY716" s="27" t="s">
        <v>8</v>
      </c>
      <c r="JZ716" s="27" t="s">
        <v>7</v>
      </c>
      <c r="KA716" s="27" t="s">
        <v>8</v>
      </c>
      <c r="KD716" s="27" t="s">
        <v>7</v>
      </c>
      <c r="LE716" s="27" t="s">
        <v>8</v>
      </c>
      <c r="LF716" s="27" t="s">
        <v>7</v>
      </c>
      <c r="LG716" s="27" t="s">
        <v>8</v>
      </c>
      <c r="LX716" s="27" t="s">
        <v>7</v>
      </c>
      <c r="LY716" s="27" t="s">
        <v>8</v>
      </c>
      <c r="MB716" s="27" t="s">
        <v>7</v>
      </c>
      <c r="MC716" s="27" t="s">
        <v>8</v>
      </c>
      <c r="MD716" s="27" t="s">
        <v>7</v>
      </c>
      <c r="ME716" s="27" t="s">
        <v>8</v>
      </c>
      <c r="MF716" s="27" t="s">
        <v>7</v>
      </c>
      <c r="MG716" s="27" t="s">
        <v>8</v>
      </c>
      <c r="MH716" s="27" t="s">
        <v>7</v>
      </c>
      <c r="MI716" s="27" t="s">
        <v>8</v>
      </c>
      <c r="MJ716" s="27" t="s">
        <v>7</v>
      </c>
      <c r="MK716" s="27" t="s">
        <v>8</v>
      </c>
      <c r="ML716" s="27" t="s">
        <v>7</v>
      </c>
      <c r="MM716" s="27" t="s">
        <v>8</v>
      </c>
      <c r="NR716" s="27" t="s">
        <v>7</v>
      </c>
      <c r="NX716" s="27" t="s">
        <v>7</v>
      </c>
      <c r="NY716" s="27" t="s">
        <v>8</v>
      </c>
      <c r="NZ716" s="27" t="s">
        <v>7</v>
      </c>
      <c r="OA716" s="27" t="s">
        <v>8</v>
      </c>
      <c r="OB716" s="27" t="s">
        <v>7</v>
      </c>
      <c r="OC716" s="27" t="s">
        <v>8</v>
      </c>
      <c r="OF716" s="27" t="s">
        <v>7</v>
      </c>
      <c r="OH716" s="27" t="s">
        <v>7</v>
      </c>
    </row>
    <row r="717" spans="1:403" x14ac:dyDescent="0.25">
      <c r="A717" s="7">
        <v>7.6203982909394521E-2</v>
      </c>
      <c r="B717"/>
      <c r="C717"/>
      <c r="D717"/>
      <c r="E717"/>
      <c r="F717" s="27" t="s">
        <v>7</v>
      </c>
      <c r="HW717" s="27" t="s">
        <v>8</v>
      </c>
      <c r="JP717" s="27" t="s">
        <v>7</v>
      </c>
      <c r="JQ717" s="27" t="s">
        <v>8</v>
      </c>
      <c r="JX717" s="27" t="s">
        <v>7</v>
      </c>
      <c r="JY717" s="27" t="s">
        <v>8</v>
      </c>
      <c r="JZ717" s="27" t="s">
        <v>7</v>
      </c>
      <c r="KA717" s="27" t="s">
        <v>8</v>
      </c>
      <c r="KD717" s="27" t="s">
        <v>7</v>
      </c>
      <c r="LE717" s="27" t="s">
        <v>8</v>
      </c>
      <c r="LF717" s="27" t="s">
        <v>7</v>
      </c>
      <c r="LG717" s="27" t="s">
        <v>8</v>
      </c>
      <c r="LX717" s="27" t="s">
        <v>7</v>
      </c>
      <c r="LY717" s="27" t="s">
        <v>8</v>
      </c>
      <c r="MB717" s="27" t="s">
        <v>7</v>
      </c>
      <c r="MC717" s="27" t="s">
        <v>8</v>
      </c>
      <c r="MD717" s="27" t="s">
        <v>7</v>
      </c>
      <c r="ME717" s="27" t="s">
        <v>8</v>
      </c>
      <c r="MF717" s="27" t="s">
        <v>7</v>
      </c>
      <c r="MG717" s="27" t="s">
        <v>8</v>
      </c>
      <c r="MH717" s="27" t="s">
        <v>7</v>
      </c>
      <c r="MI717" s="27" t="s">
        <v>8</v>
      </c>
      <c r="MJ717" s="27" t="s">
        <v>7</v>
      </c>
      <c r="MK717" s="27" t="s">
        <v>8</v>
      </c>
      <c r="ML717" s="27" t="s">
        <v>7</v>
      </c>
      <c r="NX717" s="27" t="s">
        <v>7</v>
      </c>
      <c r="NY717" s="27" t="s">
        <v>8</v>
      </c>
      <c r="NZ717" s="27" t="s">
        <v>7</v>
      </c>
      <c r="OB717" s="27" t="s">
        <v>7</v>
      </c>
      <c r="OC717" s="27" t="s">
        <v>8</v>
      </c>
      <c r="OH717" s="27" t="s">
        <v>7</v>
      </c>
      <c r="OI717" s="27" t="s">
        <v>8</v>
      </c>
    </row>
    <row r="718" spans="1:403" x14ac:dyDescent="0.25">
      <c r="A718" s="7">
        <v>7.4709787166073058E-2</v>
      </c>
      <c r="B718"/>
      <c r="C718"/>
      <c r="D718"/>
      <c r="E718"/>
      <c r="F718" s="27" t="s">
        <v>7</v>
      </c>
      <c r="HW718" s="27" t="s">
        <v>8</v>
      </c>
      <c r="JP718" s="27" t="s">
        <v>7</v>
      </c>
      <c r="JQ718" s="27" t="s">
        <v>8</v>
      </c>
      <c r="JX718" s="27" t="s">
        <v>7</v>
      </c>
      <c r="JY718" s="27" t="s">
        <v>8</v>
      </c>
      <c r="JZ718" s="27" t="s">
        <v>7</v>
      </c>
      <c r="KA718" s="27" t="s">
        <v>8</v>
      </c>
      <c r="KD718" s="27" t="s">
        <v>7</v>
      </c>
      <c r="LE718" s="27" t="s">
        <v>8</v>
      </c>
      <c r="LF718" s="27" t="s">
        <v>7</v>
      </c>
      <c r="LG718" s="27" t="s">
        <v>8</v>
      </c>
      <c r="LX718" s="27" t="s">
        <v>7</v>
      </c>
      <c r="LY718" s="27" t="s">
        <v>8</v>
      </c>
      <c r="MB718" s="27" t="s">
        <v>7</v>
      </c>
      <c r="MD718" s="27" t="s">
        <v>7</v>
      </c>
      <c r="ME718" s="27" t="s">
        <v>8</v>
      </c>
      <c r="MF718" s="27" t="s">
        <v>7</v>
      </c>
      <c r="MG718" s="27" t="s">
        <v>8</v>
      </c>
      <c r="MH718" s="27" t="s">
        <v>7</v>
      </c>
      <c r="MJ718" s="27" t="s">
        <v>7</v>
      </c>
      <c r="MK718" s="27" t="s">
        <v>8</v>
      </c>
      <c r="NX718" s="27" t="s">
        <v>7</v>
      </c>
      <c r="NY718" s="27" t="s">
        <v>8</v>
      </c>
      <c r="OB718" s="27" t="s">
        <v>7</v>
      </c>
      <c r="OH718" s="27" t="s">
        <v>7</v>
      </c>
      <c r="OI718" s="27" t="s">
        <v>8</v>
      </c>
      <c r="OJ718" s="27" t="s">
        <v>7</v>
      </c>
    </row>
    <row r="719" spans="1:403" x14ac:dyDescent="0.25">
      <c r="A719" s="7">
        <v>7.3244889378503E-2</v>
      </c>
      <c r="B719"/>
      <c r="C719"/>
      <c r="D719"/>
      <c r="E719"/>
      <c r="F719" s="27" t="s">
        <v>7</v>
      </c>
      <c r="HW719" s="27" t="s">
        <v>8</v>
      </c>
      <c r="JP719" s="27" t="s">
        <v>7</v>
      </c>
      <c r="JQ719" s="27" t="s">
        <v>8</v>
      </c>
      <c r="JX719" s="27" t="s">
        <v>7</v>
      </c>
      <c r="JY719" s="27" t="s">
        <v>8</v>
      </c>
      <c r="JZ719" s="27" t="s">
        <v>7</v>
      </c>
      <c r="KD719" s="27" t="s">
        <v>7</v>
      </c>
      <c r="LE719" s="27" t="s">
        <v>8</v>
      </c>
      <c r="LF719" s="27" t="s">
        <v>7</v>
      </c>
      <c r="LX719" s="27" t="s">
        <v>7</v>
      </c>
      <c r="LY719" s="27" t="s">
        <v>8</v>
      </c>
      <c r="MD719" s="27" t="s">
        <v>7</v>
      </c>
      <c r="ME719" s="27" t="s">
        <v>8</v>
      </c>
      <c r="MF719" s="27" t="s">
        <v>7</v>
      </c>
      <c r="MG719" s="27" t="s">
        <v>8</v>
      </c>
      <c r="MJ719" s="27" t="s">
        <v>7</v>
      </c>
      <c r="NX719" s="27" t="s">
        <v>7</v>
      </c>
      <c r="NY719" s="27" t="s">
        <v>8</v>
      </c>
      <c r="OH719" s="27" t="s">
        <v>7</v>
      </c>
      <c r="OI719" s="27" t="s">
        <v>8</v>
      </c>
      <c r="OJ719" s="27" t="s">
        <v>7</v>
      </c>
    </row>
    <row r="720" spans="1:403" x14ac:dyDescent="0.25">
      <c r="A720" s="7">
        <v>7.1808715076963722E-2</v>
      </c>
      <c r="B720"/>
      <c r="C720"/>
      <c r="D720"/>
      <c r="E720"/>
      <c r="F720" s="27" t="s">
        <v>7</v>
      </c>
      <c r="HW720" s="27" t="s">
        <v>8</v>
      </c>
      <c r="JP720" s="27" t="s">
        <v>7</v>
      </c>
      <c r="JQ720" s="27" t="s">
        <v>8</v>
      </c>
      <c r="JX720" s="27" t="s">
        <v>7</v>
      </c>
      <c r="KD720" s="27" t="s">
        <v>7</v>
      </c>
      <c r="LE720" s="27" t="s">
        <v>8</v>
      </c>
      <c r="LX720" s="27" t="s">
        <v>7</v>
      </c>
      <c r="LY720" s="27" t="s">
        <v>8</v>
      </c>
      <c r="MD720" s="27" t="s">
        <v>7</v>
      </c>
      <c r="ME720" s="27" t="s">
        <v>8</v>
      </c>
      <c r="MF720" s="27" t="s">
        <v>7</v>
      </c>
      <c r="MG720" s="27" t="s">
        <v>8</v>
      </c>
      <c r="NX720" s="27" t="s">
        <v>7</v>
      </c>
      <c r="OH720" s="27" t="s">
        <v>7</v>
      </c>
      <c r="OI720" s="27" t="s">
        <v>8</v>
      </c>
      <c r="OJ720" s="27" t="s">
        <v>7</v>
      </c>
      <c r="OK720" s="27" t="s">
        <v>8</v>
      </c>
      <c r="OM720" s="27" t="s">
        <v>8</v>
      </c>
    </row>
    <row r="721" spans="1:407" x14ac:dyDescent="0.25">
      <c r="A721" s="7">
        <v>7.0400701055846782E-2</v>
      </c>
      <c r="B721"/>
      <c r="C721"/>
      <c r="D721"/>
      <c r="E721"/>
      <c r="F721" s="27" t="s">
        <v>7</v>
      </c>
      <c r="HW721" s="27" t="s">
        <v>8</v>
      </c>
      <c r="JP721" s="27" t="s">
        <v>7</v>
      </c>
      <c r="JQ721" s="27" t="s">
        <v>8</v>
      </c>
      <c r="KD721" s="27" t="s">
        <v>7</v>
      </c>
      <c r="LE721" s="27" t="s">
        <v>8</v>
      </c>
      <c r="LX721" s="27" t="s">
        <v>7</v>
      </c>
      <c r="MD721" s="27" t="s">
        <v>7</v>
      </c>
      <c r="ME721" s="27" t="s">
        <v>8</v>
      </c>
      <c r="MF721" s="27" t="s">
        <v>7</v>
      </c>
      <c r="MG721" s="27" t="s">
        <v>8</v>
      </c>
      <c r="OH721" s="27" t="s">
        <v>7</v>
      </c>
      <c r="OI721" s="27" t="s">
        <v>8</v>
      </c>
      <c r="OJ721" s="27" t="s">
        <v>7</v>
      </c>
      <c r="OK721" s="27" t="s">
        <v>8</v>
      </c>
      <c r="OL721" s="27" t="s">
        <v>7</v>
      </c>
      <c r="OM721" s="27" t="s">
        <v>8</v>
      </c>
      <c r="ON721" s="27" t="s">
        <v>7</v>
      </c>
    </row>
    <row r="722" spans="1:407" x14ac:dyDescent="0.25">
      <c r="A722" s="7">
        <v>6.9020295152790956E-2</v>
      </c>
      <c r="B722"/>
      <c r="C722"/>
      <c r="D722"/>
      <c r="E722"/>
      <c r="F722" s="27" t="s">
        <v>7</v>
      </c>
      <c r="HW722" s="27" t="s">
        <v>8</v>
      </c>
      <c r="JP722" s="27" t="s">
        <v>7</v>
      </c>
      <c r="KD722" s="27" t="s">
        <v>7</v>
      </c>
      <c r="LE722" s="27" t="s">
        <v>8</v>
      </c>
      <c r="MD722" s="27" t="s">
        <v>7</v>
      </c>
      <c r="MF722" s="27" t="s">
        <v>7</v>
      </c>
      <c r="OH722" s="27" t="s">
        <v>7</v>
      </c>
      <c r="OI722" s="27" t="s">
        <v>8</v>
      </c>
      <c r="OJ722" s="27" t="s">
        <v>7</v>
      </c>
      <c r="OK722" s="27" t="s">
        <v>8</v>
      </c>
      <c r="OL722" s="27" t="s">
        <v>7</v>
      </c>
      <c r="OM722" s="27" t="s">
        <v>8</v>
      </c>
      <c r="ON722" s="27" t="s">
        <v>7</v>
      </c>
    </row>
    <row r="723" spans="1:407" x14ac:dyDescent="0.25">
      <c r="A723" s="7">
        <v>6.7666956032147993E-2</v>
      </c>
      <c r="B723"/>
      <c r="C723"/>
      <c r="D723"/>
      <c r="E723"/>
      <c r="F723" s="27" t="s">
        <v>7</v>
      </c>
      <c r="HW723" s="27" t="s">
        <v>8</v>
      </c>
      <c r="KD723" s="27" t="s">
        <v>7</v>
      </c>
      <c r="KE723" s="27" t="s">
        <v>8</v>
      </c>
      <c r="LE723" s="27" t="s">
        <v>8</v>
      </c>
      <c r="OH723" s="27" t="s">
        <v>7</v>
      </c>
      <c r="OI723" s="27" t="s">
        <v>8</v>
      </c>
      <c r="OJ723" s="27" t="s">
        <v>7</v>
      </c>
      <c r="OK723" s="27" t="s">
        <v>8</v>
      </c>
      <c r="OL723" s="27" t="s">
        <v>7</v>
      </c>
      <c r="OM723" s="27" t="s">
        <v>8</v>
      </c>
      <c r="ON723" s="27" t="s">
        <v>7</v>
      </c>
    </row>
    <row r="724" spans="1:407" x14ac:dyDescent="0.25">
      <c r="A724" s="7">
        <v>6.6340152972694105E-2</v>
      </c>
      <c r="B724"/>
      <c r="C724"/>
      <c r="D724"/>
      <c r="E724"/>
      <c r="F724" s="27" t="s">
        <v>7</v>
      </c>
      <c r="HW724" s="27" t="s">
        <v>8</v>
      </c>
      <c r="KD724" s="27" t="s">
        <v>7</v>
      </c>
      <c r="KE724" s="27" t="s">
        <v>8</v>
      </c>
      <c r="KF724" s="27" t="s">
        <v>7</v>
      </c>
      <c r="LE724" s="27" t="s">
        <v>8</v>
      </c>
      <c r="OH724" s="27" t="s">
        <v>7</v>
      </c>
      <c r="OI724" s="27" t="s">
        <v>8</v>
      </c>
      <c r="OJ724" s="27" t="s">
        <v>7</v>
      </c>
      <c r="OL724" s="27" t="s">
        <v>7</v>
      </c>
      <c r="OM724" s="27" t="s">
        <v>8</v>
      </c>
      <c r="ON724" s="27" t="s">
        <v>7</v>
      </c>
    </row>
    <row r="725" spans="1:407" x14ac:dyDescent="0.25">
      <c r="A725" s="7">
        <v>6.5039365659504023E-2</v>
      </c>
      <c r="B725"/>
      <c r="C725"/>
      <c r="D725"/>
      <c r="E725"/>
      <c r="F725" s="27" t="s">
        <v>7</v>
      </c>
      <c r="HW725" s="27" t="s">
        <v>8</v>
      </c>
      <c r="KD725" s="27" t="s">
        <v>7</v>
      </c>
      <c r="KE725" s="27" t="s">
        <v>8</v>
      </c>
      <c r="KF725" s="27" t="s">
        <v>7</v>
      </c>
      <c r="KY725" s="27" t="s">
        <v>8</v>
      </c>
      <c r="LE725" s="27" t="s">
        <v>8</v>
      </c>
      <c r="OH725" s="27" t="s">
        <v>7</v>
      </c>
      <c r="OI725" s="27" t="s">
        <v>8</v>
      </c>
      <c r="OL725" s="27" t="s">
        <v>7</v>
      </c>
      <c r="OM725" s="27" t="s">
        <v>8</v>
      </c>
      <c r="ON725" s="27" t="s">
        <v>7</v>
      </c>
    </row>
    <row r="726" spans="1:407" x14ac:dyDescent="0.25">
      <c r="A726" s="7">
        <v>6.3764083979905906E-2</v>
      </c>
      <c r="B726"/>
      <c r="C726"/>
      <c r="D726"/>
      <c r="E726"/>
      <c r="F726" s="27" t="s">
        <v>7</v>
      </c>
      <c r="HW726" s="27" t="s">
        <v>8</v>
      </c>
      <c r="KD726" s="27" t="s">
        <v>7</v>
      </c>
      <c r="KF726" s="27" t="s">
        <v>7</v>
      </c>
      <c r="KY726" s="27" t="s">
        <v>8</v>
      </c>
      <c r="KZ726" s="27" t="s">
        <v>7</v>
      </c>
      <c r="LA726" s="27" t="s">
        <v>8</v>
      </c>
      <c r="LE726" s="27" t="s">
        <v>8</v>
      </c>
      <c r="OH726" s="27" t="s">
        <v>7</v>
      </c>
      <c r="OI726" s="27" t="s">
        <v>8</v>
      </c>
      <c r="OL726" s="27" t="s">
        <v>7</v>
      </c>
      <c r="ON726" s="27" t="s">
        <v>7</v>
      </c>
    </row>
    <row r="727" spans="1:407" x14ac:dyDescent="0.25">
      <c r="A727" s="7">
        <v>6.251380782343717E-2</v>
      </c>
      <c r="B727"/>
      <c r="C727"/>
      <c r="D727"/>
      <c r="E727"/>
      <c r="F727" s="27" t="s">
        <v>7</v>
      </c>
      <c r="HW727" s="27" t="s">
        <v>8</v>
      </c>
      <c r="KF727" s="27" t="s">
        <v>7</v>
      </c>
      <c r="KS727" s="27" t="s">
        <v>8</v>
      </c>
      <c r="KY727" s="27" t="s">
        <v>8</v>
      </c>
      <c r="KZ727" s="27" t="s">
        <v>7</v>
      </c>
      <c r="LA727" s="27" t="s">
        <v>8</v>
      </c>
      <c r="LB727" s="27" t="s">
        <v>7</v>
      </c>
      <c r="LE727" s="27" t="s">
        <v>8</v>
      </c>
      <c r="OH727" s="27" t="s">
        <v>7</v>
      </c>
      <c r="ON727" s="27" t="s">
        <v>7</v>
      </c>
    </row>
    <row r="728" spans="1:407" x14ac:dyDescent="0.25">
      <c r="A728" s="7">
        <v>6.1288046885722716E-2</v>
      </c>
      <c r="B728"/>
      <c r="C728"/>
      <c r="D728"/>
      <c r="E728"/>
      <c r="F728" s="27" t="s">
        <v>7</v>
      </c>
      <c r="HW728" s="27" t="s">
        <v>8</v>
      </c>
      <c r="KF728" s="27" t="s">
        <v>7</v>
      </c>
      <c r="KS728" s="27" t="s">
        <v>8</v>
      </c>
      <c r="KT728" s="27" t="s">
        <v>7</v>
      </c>
      <c r="KY728" s="27" t="s">
        <v>8</v>
      </c>
      <c r="KZ728" s="27" t="s">
        <v>7</v>
      </c>
      <c r="LA728" s="27" t="s">
        <v>8</v>
      </c>
      <c r="LB728" s="27" t="s">
        <v>7</v>
      </c>
      <c r="LC728" s="27" t="s">
        <v>8</v>
      </c>
      <c r="LE728" s="27" t="s">
        <v>8</v>
      </c>
      <c r="ON728" s="27" t="s">
        <v>7</v>
      </c>
    </row>
    <row r="729" spans="1:407" x14ac:dyDescent="0.25">
      <c r="A729" s="7">
        <v>6.0086320476198739E-2</v>
      </c>
      <c r="B729"/>
      <c r="C729"/>
      <c r="D729"/>
      <c r="E729"/>
      <c r="F729" s="27" t="s">
        <v>7</v>
      </c>
      <c r="HW729" s="27" t="s">
        <v>8</v>
      </c>
      <c r="KF729" s="27" t="s">
        <v>7</v>
      </c>
      <c r="KS729" s="27" t="s">
        <v>8</v>
      </c>
      <c r="KT729" s="27" t="s">
        <v>7</v>
      </c>
      <c r="KY729" s="27" t="s">
        <v>8</v>
      </c>
      <c r="KZ729" s="27" t="s">
        <v>7</v>
      </c>
      <c r="LA729" s="27" t="s">
        <v>8</v>
      </c>
      <c r="LB729" s="27" t="s">
        <v>7</v>
      </c>
      <c r="LC729" s="27" t="s">
        <v>8</v>
      </c>
      <c r="LD729" s="27" t="s">
        <v>7</v>
      </c>
      <c r="LE729" s="27" t="s">
        <v>8</v>
      </c>
      <c r="ON729" s="27" t="s">
        <v>7</v>
      </c>
    </row>
    <row r="730" spans="1:407" x14ac:dyDescent="0.25">
      <c r="A730" s="7">
        <v>5.8908157329606609E-2</v>
      </c>
      <c r="B730"/>
      <c r="C730"/>
      <c r="D730"/>
      <c r="E730"/>
      <c r="F730" s="27" t="s">
        <v>7</v>
      </c>
      <c r="HW730" s="27" t="s">
        <v>8</v>
      </c>
      <c r="KF730" s="27" t="s">
        <v>7</v>
      </c>
      <c r="KS730" s="27" t="s">
        <v>8</v>
      </c>
      <c r="KT730" s="27" t="s">
        <v>7</v>
      </c>
      <c r="KY730" s="27" t="s">
        <v>8</v>
      </c>
      <c r="KZ730" s="27" t="s">
        <v>7</v>
      </c>
      <c r="LA730" s="27" t="s">
        <v>8</v>
      </c>
      <c r="LB730" s="27" t="s">
        <v>7</v>
      </c>
      <c r="LC730" s="27" t="s">
        <v>8</v>
      </c>
      <c r="LD730" s="27" t="s">
        <v>7</v>
      </c>
      <c r="LE730" s="27" t="s">
        <v>8</v>
      </c>
      <c r="ON730" s="27" t="s">
        <v>7</v>
      </c>
    </row>
    <row r="731" spans="1:407" x14ac:dyDescent="0.25">
      <c r="A731" s="7">
        <v>5.7753095421182947E-2</v>
      </c>
      <c r="B731"/>
      <c r="C731"/>
      <c r="D731"/>
      <c r="E731"/>
      <c r="F731" s="27" t="s">
        <v>7</v>
      </c>
      <c r="HW731" s="27" t="s">
        <v>8</v>
      </c>
      <c r="KF731" s="27" t="s">
        <v>7</v>
      </c>
      <c r="KS731" s="27" t="s">
        <v>8</v>
      </c>
      <c r="KT731" s="27" t="s">
        <v>7</v>
      </c>
      <c r="KU731" s="27" t="s">
        <v>8</v>
      </c>
      <c r="KW731" s="27" t="s">
        <v>8</v>
      </c>
      <c r="KY731" s="27" t="s">
        <v>8</v>
      </c>
      <c r="KZ731" s="27" t="s">
        <v>7</v>
      </c>
      <c r="LA731" s="27" t="s">
        <v>8</v>
      </c>
      <c r="LB731" s="27" t="s">
        <v>7</v>
      </c>
      <c r="LC731" s="27" t="s">
        <v>8</v>
      </c>
      <c r="LD731" s="27" t="s">
        <v>7</v>
      </c>
      <c r="LE731" s="27" t="s">
        <v>8</v>
      </c>
      <c r="ON731" s="27" t="s">
        <v>7</v>
      </c>
    </row>
    <row r="732" spans="1:407" x14ac:dyDescent="0.25">
      <c r="A732" s="7">
        <v>5.6620681785473484E-2</v>
      </c>
      <c r="B732"/>
      <c r="C732"/>
      <c r="D732"/>
      <c r="E732"/>
      <c r="F732" s="27" t="s">
        <v>7</v>
      </c>
      <c r="HW732" s="27" t="s">
        <v>8</v>
      </c>
      <c r="KF732" s="27" t="s">
        <v>7</v>
      </c>
      <c r="KS732" s="27" t="s">
        <v>8</v>
      </c>
      <c r="KT732" s="27" t="s">
        <v>7</v>
      </c>
      <c r="KU732" s="27" t="s">
        <v>8</v>
      </c>
      <c r="KV732" s="27" t="s">
        <v>7</v>
      </c>
      <c r="KW732" s="27" t="s">
        <v>8</v>
      </c>
      <c r="KX732" s="27" t="s">
        <v>7</v>
      </c>
      <c r="KY732" s="27" t="s">
        <v>8</v>
      </c>
      <c r="KZ732" s="27" t="s">
        <v>7</v>
      </c>
      <c r="LB732" s="27" t="s">
        <v>7</v>
      </c>
      <c r="LD732" s="27" t="s">
        <v>7</v>
      </c>
      <c r="LE732" s="27" t="s">
        <v>8</v>
      </c>
      <c r="ON732" s="27" t="s">
        <v>7</v>
      </c>
    </row>
    <row r="733" spans="1:407" x14ac:dyDescent="0.25">
      <c r="A733" s="7">
        <v>5.5510472338699497E-2</v>
      </c>
      <c r="B733"/>
      <c r="C733"/>
      <c r="D733"/>
      <c r="E733"/>
      <c r="F733" s="27" t="s">
        <v>7</v>
      </c>
      <c r="HW733" s="27" t="s">
        <v>8</v>
      </c>
      <c r="KF733" s="27" t="s">
        <v>7</v>
      </c>
      <c r="KS733" s="27" t="s">
        <v>8</v>
      </c>
      <c r="KT733" s="27" t="s">
        <v>7</v>
      </c>
      <c r="KU733" s="27" t="s">
        <v>8</v>
      </c>
      <c r="KV733" s="27" t="s">
        <v>7</v>
      </c>
      <c r="KW733" s="27" t="s">
        <v>8</v>
      </c>
      <c r="KX733" s="27" t="s">
        <v>7</v>
      </c>
      <c r="KY733" s="27" t="s">
        <v>8</v>
      </c>
      <c r="LD733" s="27" t="s">
        <v>7</v>
      </c>
      <c r="LE733" s="27" t="s">
        <v>8</v>
      </c>
      <c r="ON733" s="27" t="s">
        <v>7</v>
      </c>
    </row>
    <row r="734" spans="1:407" x14ac:dyDescent="0.25">
      <c r="A734" s="7">
        <v>5.4422031704607354E-2</v>
      </c>
      <c r="B734"/>
      <c r="C734"/>
      <c r="D734"/>
      <c r="E734"/>
      <c r="F734" s="27" t="s">
        <v>7</v>
      </c>
      <c r="HW734" s="27" t="s">
        <v>8</v>
      </c>
      <c r="KF734" s="27" t="s">
        <v>7</v>
      </c>
      <c r="KG734" s="27" t="s">
        <v>8</v>
      </c>
      <c r="KI734" s="27" t="s">
        <v>8</v>
      </c>
      <c r="KO734" s="27" t="s">
        <v>8</v>
      </c>
      <c r="KS734" s="27" t="s">
        <v>8</v>
      </c>
      <c r="KT734" s="27" t="s">
        <v>7</v>
      </c>
      <c r="KU734" s="27" t="s">
        <v>8</v>
      </c>
      <c r="KV734" s="27" t="s">
        <v>7</v>
      </c>
      <c r="KW734" s="27" t="s">
        <v>8</v>
      </c>
      <c r="KX734" s="27" t="s">
        <v>7</v>
      </c>
      <c r="KY734" s="27" t="s">
        <v>8</v>
      </c>
      <c r="LD734" s="27" t="s">
        <v>7</v>
      </c>
      <c r="LE734" s="27" t="s">
        <v>8</v>
      </c>
      <c r="ON734" s="27" t="s">
        <v>7</v>
      </c>
    </row>
    <row r="735" spans="1:407" x14ac:dyDescent="0.25">
      <c r="A735" s="7">
        <v>5.3354933043732705E-2</v>
      </c>
      <c r="B735"/>
      <c r="C735"/>
      <c r="D735"/>
      <c r="E735"/>
      <c r="F735" s="27" t="s">
        <v>7</v>
      </c>
      <c r="HW735" s="27" t="s">
        <v>8</v>
      </c>
      <c r="KF735" s="27" t="s">
        <v>7</v>
      </c>
      <c r="KG735" s="27" t="s">
        <v>8</v>
      </c>
      <c r="KH735" s="27" t="s">
        <v>7</v>
      </c>
      <c r="KI735" s="27" t="s">
        <v>8</v>
      </c>
      <c r="KJ735" s="27" t="s">
        <v>7</v>
      </c>
      <c r="KK735" s="27" t="s">
        <v>8</v>
      </c>
      <c r="KM735" s="27" t="s">
        <v>8</v>
      </c>
      <c r="KO735" s="27" t="s">
        <v>8</v>
      </c>
      <c r="KP735" s="27" t="s">
        <v>7</v>
      </c>
      <c r="KS735" s="27" t="s">
        <v>8</v>
      </c>
      <c r="KT735" s="27" t="s">
        <v>7</v>
      </c>
      <c r="KU735" s="27" t="s">
        <v>8</v>
      </c>
      <c r="KV735" s="27" t="s">
        <v>7</v>
      </c>
      <c r="KW735" s="27" t="s">
        <v>8</v>
      </c>
      <c r="KX735" s="27" t="s">
        <v>7</v>
      </c>
      <c r="KY735" s="27" t="s">
        <v>8</v>
      </c>
      <c r="LD735" s="27" t="s">
        <v>7</v>
      </c>
      <c r="ON735" s="27" t="s">
        <v>7</v>
      </c>
    </row>
    <row r="736" spans="1:407" x14ac:dyDescent="0.25">
      <c r="A736" s="7">
        <v>5.2308757886012455E-2</v>
      </c>
      <c r="B736"/>
      <c r="C736"/>
      <c r="D736"/>
      <c r="E736"/>
      <c r="F736" s="27" t="s">
        <v>7</v>
      </c>
      <c r="HW736" s="27" t="s">
        <v>8</v>
      </c>
      <c r="KF736" s="27" t="s">
        <v>7</v>
      </c>
      <c r="KG736" s="27" t="s">
        <v>8</v>
      </c>
      <c r="KH736" s="27" t="s">
        <v>7</v>
      </c>
      <c r="KI736" s="27" t="s">
        <v>8</v>
      </c>
      <c r="KJ736" s="27" t="s">
        <v>7</v>
      </c>
      <c r="KK736" s="27" t="s">
        <v>8</v>
      </c>
      <c r="KL736" s="27" t="s">
        <v>7</v>
      </c>
      <c r="KM736" s="27" t="s">
        <v>8</v>
      </c>
      <c r="KN736" s="27" t="s">
        <v>7</v>
      </c>
      <c r="KO736" s="27" t="s">
        <v>8</v>
      </c>
      <c r="KP736" s="27" t="s">
        <v>7</v>
      </c>
      <c r="KS736" s="27" t="s">
        <v>8</v>
      </c>
      <c r="KT736" s="27" t="s">
        <v>7</v>
      </c>
      <c r="KU736" s="27" t="s">
        <v>8</v>
      </c>
      <c r="KV736" s="27" t="s">
        <v>7</v>
      </c>
      <c r="KW736" s="27" t="s">
        <v>8</v>
      </c>
      <c r="KX736" s="27" t="s">
        <v>7</v>
      </c>
      <c r="ON736" s="27" t="s">
        <v>7</v>
      </c>
      <c r="OO736" s="27" t="s">
        <v>8</v>
      </c>
      <c r="OQ736" s="27" t="s">
        <v>8</v>
      </c>
    </row>
    <row r="737" spans="1:408" x14ac:dyDescent="0.25">
      <c r="A737" s="7">
        <v>5.1283095966678877E-2</v>
      </c>
      <c r="B737"/>
      <c r="C737"/>
      <c r="D737"/>
      <c r="E737"/>
      <c r="F737" s="27" t="s">
        <v>7</v>
      </c>
      <c r="HW737" s="27" t="s">
        <v>8</v>
      </c>
      <c r="KF737" s="27" t="s">
        <v>7</v>
      </c>
      <c r="KG737" s="27" t="s">
        <v>8</v>
      </c>
      <c r="KH737" s="27" t="s">
        <v>7</v>
      </c>
      <c r="KI737" s="27" t="s">
        <v>8</v>
      </c>
      <c r="KJ737" s="27" t="s">
        <v>7</v>
      </c>
      <c r="KK737" s="27" t="s">
        <v>8</v>
      </c>
      <c r="KL737" s="27" t="s">
        <v>7</v>
      </c>
      <c r="KM737" s="27" t="s">
        <v>8</v>
      </c>
      <c r="KN737" s="27" t="s">
        <v>7</v>
      </c>
      <c r="KO737" s="27" t="s">
        <v>8</v>
      </c>
      <c r="KP737" s="27" t="s">
        <v>7</v>
      </c>
      <c r="KS737" s="27" t="s">
        <v>8</v>
      </c>
      <c r="KT737" s="27" t="s">
        <v>7</v>
      </c>
      <c r="KU737" s="27" t="s">
        <v>8</v>
      </c>
      <c r="KV737" s="27" t="s">
        <v>7</v>
      </c>
      <c r="KW737" s="27" t="s">
        <v>8</v>
      </c>
      <c r="ON737" s="27" t="s">
        <v>7</v>
      </c>
      <c r="OO737" s="27" t="s">
        <v>8</v>
      </c>
      <c r="OP737" s="27" t="s">
        <v>7</v>
      </c>
      <c r="OQ737" s="27" t="s">
        <v>8</v>
      </c>
      <c r="OR737" s="27" t="s">
        <v>7</v>
      </c>
    </row>
    <row r="738" spans="1:408" x14ac:dyDescent="0.25">
      <c r="A738" s="7">
        <v>5.0277545065371444E-2</v>
      </c>
      <c r="B738"/>
      <c r="C738"/>
      <c r="D738"/>
      <c r="E738"/>
      <c r="F738" s="27" t="s">
        <v>7</v>
      </c>
      <c r="HW738" s="27" t="s">
        <v>8</v>
      </c>
      <c r="KF738" s="27" t="s">
        <v>7</v>
      </c>
      <c r="KG738" s="27" t="s">
        <v>8</v>
      </c>
      <c r="KH738" s="27" t="s">
        <v>7</v>
      </c>
      <c r="KI738" s="27" t="s">
        <v>8</v>
      </c>
      <c r="KJ738" s="27" t="s">
        <v>7</v>
      </c>
      <c r="KK738" s="27" t="s">
        <v>8</v>
      </c>
      <c r="KL738" s="27" t="s">
        <v>7</v>
      </c>
      <c r="KM738" s="27" t="s">
        <v>8</v>
      </c>
      <c r="KN738" s="27" t="s">
        <v>7</v>
      </c>
      <c r="KO738" s="27" t="s">
        <v>8</v>
      </c>
      <c r="KP738" s="27" t="s">
        <v>7</v>
      </c>
      <c r="KQ738" s="27" t="s">
        <v>8</v>
      </c>
      <c r="KS738" s="27" t="s">
        <v>8</v>
      </c>
      <c r="KT738" s="27" t="s">
        <v>7</v>
      </c>
      <c r="KU738" s="27" t="s">
        <v>8</v>
      </c>
      <c r="KV738" s="18" t="s">
        <v>7</v>
      </c>
      <c r="KW738" s="27" t="s">
        <v>8</v>
      </c>
      <c r="ON738" s="27" t="s">
        <v>7</v>
      </c>
      <c r="OO738" s="27" t="s">
        <v>8</v>
      </c>
      <c r="OP738" s="27" t="s">
        <v>7</v>
      </c>
      <c r="OQ738" s="27" t="s">
        <v>8</v>
      </c>
      <c r="OR738" s="27" t="s">
        <v>7</v>
      </c>
    </row>
    <row r="739" spans="1:408" x14ac:dyDescent="0.25">
      <c r="A739" s="7">
        <v>4.9291710848403378E-2</v>
      </c>
      <c r="B739"/>
      <c r="C739"/>
      <c r="D739"/>
      <c r="E739"/>
      <c r="F739" s="27" t="s">
        <v>7</v>
      </c>
      <c r="HW739" s="27" t="s">
        <v>8</v>
      </c>
      <c r="KF739" s="27" t="s">
        <v>7</v>
      </c>
      <c r="KG739" s="27" t="s">
        <v>8</v>
      </c>
      <c r="KH739" s="27" t="s">
        <v>7</v>
      </c>
      <c r="KI739" s="27" t="s">
        <v>8</v>
      </c>
      <c r="KJ739" s="27" t="s">
        <v>7</v>
      </c>
      <c r="KK739" s="27" t="s">
        <v>8</v>
      </c>
      <c r="KL739" s="27" t="s">
        <v>7</v>
      </c>
      <c r="KM739" s="27" t="s">
        <v>8</v>
      </c>
      <c r="KN739" s="27" t="s">
        <v>7</v>
      </c>
      <c r="KO739" s="27" t="s">
        <v>8</v>
      </c>
      <c r="KP739" s="27" t="s">
        <v>7</v>
      </c>
      <c r="KQ739" s="27" t="s">
        <v>8</v>
      </c>
      <c r="KR739" s="27" t="s">
        <v>7</v>
      </c>
      <c r="KS739" s="27" t="s">
        <v>8</v>
      </c>
      <c r="KT739" s="27" t="s">
        <v>7</v>
      </c>
      <c r="KU739" s="27" t="s">
        <v>8</v>
      </c>
      <c r="KV739" s="27" t="s">
        <v>7</v>
      </c>
      <c r="KW739" s="27" t="s">
        <v>8</v>
      </c>
      <c r="ON739" s="27" t="s">
        <v>7</v>
      </c>
      <c r="OO739" s="27" t="s">
        <v>8</v>
      </c>
      <c r="OP739" s="27" t="s">
        <v>7</v>
      </c>
      <c r="OQ739" s="27" t="s">
        <v>8</v>
      </c>
      <c r="OR739" s="27" t="s">
        <v>7</v>
      </c>
    </row>
    <row r="740" spans="1:408" x14ac:dyDescent="0.25">
      <c r="A740" s="7">
        <v>4.8325206714120959E-2</v>
      </c>
      <c r="B740"/>
      <c r="C740"/>
      <c r="D740"/>
      <c r="E740"/>
      <c r="F740" s="27" t="s">
        <v>7</v>
      </c>
      <c r="HW740" s="27" t="s">
        <v>8</v>
      </c>
      <c r="KF740" s="27" t="s">
        <v>7</v>
      </c>
      <c r="KG740" s="27" t="s">
        <v>8</v>
      </c>
      <c r="KH740" s="27" t="s">
        <v>7</v>
      </c>
      <c r="KJ740" s="27" t="s">
        <v>7</v>
      </c>
      <c r="KK740" s="27" t="s">
        <v>8</v>
      </c>
      <c r="KL740" s="27" t="s">
        <v>7</v>
      </c>
      <c r="KM740" s="27" t="s">
        <v>8</v>
      </c>
      <c r="KN740" s="27" t="s">
        <v>7</v>
      </c>
      <c r="KO740" s="27" t="s">
        <v>8</v>
      </c>
      <c r="KP740" s="27" t="s">
        <v>7</v>
      </c>
      <c r="KQ740" s="27" t="s">
        <v>8</v>
      </c>
      <c r="KR740" s="27" t="s">
        <v>7</v>
      </c>
      <c r="KS740" s="27" t="s">
        <v>8</v>
      </c>
      <c r="KT740" s="27" t="s">
        <v>7</v>
      </c>
      <c r="KV740" s="27" t="s">
        <v>7</v>
      </c>
      <c r="KW740" s="27" t="s">
        <v>8</v>
      </c>
      <c r="ON740" s="27" t="s">
        <v>7</v>
      </c>
      <c r="OO740" s="27" t="s">
        <v>8</v>
      </c>
      <c r="OP740" s="27" t="s">
        <v>7</v>
      </c>
      <c r="OQ740" s="27" t="s">
        <v>8</v>
      </c>
    </row>
    <row r="741" spans="1:408" x14ac:dyDescent="0.25">
      <c r="A741" s="7">
        <v>4.7377653641295057E-2</v>
      </c>
      <c r="B741"/>
      <c r="C741"/>
      <c r="D741"/>
      <c r="E741"/>
      <c r="F741" s="27" t="s">
        <v>7</v>
      </c>
      <c r="HW741" s="27" t="s">
        <v>8</v>
      </c>
      <c r="KF741" s="27" t="s">
        <v>7</v>
      </c>
      <c r="KG741" s="27" t="s">
        <v>8</v>
      </c>
      <c r="KJ741" s="27" t="s">
        <v>7</v>
      </c>
      <c r="KK741" s="27" t="s">
        <v>8</v>
      </c>
      <c r="KL741" s="27" t="s">
        <v>7</v>
      </c>
      <c r="KM741" s="27" t="s">
        <v>8</v>
      </c>
      <c r="KN741" s="27" t="s">
        <v>7</v>
      </c>
      <c r="KO741" s="27" t="s">
        <v>8</v>
      </c>
      <c r="KP741" s="27" t="s">
        <v>7</v>
      </c>
      <c r="KQ741" s="27" t="s">
        <v>8</v>
      </c>
      <c r="KR741" s="27" t="s">
        <v>7</v>
      </c>
      <c r="KS741" s="27" t="s">
        <v>8</v>
      </c>
      <c r="KV741" s="27" t="s">
        <v>7</v>
      </c>
      <c r="KW741" s="27" t="s">
        <v>8</v>
      </c>
      <c r="ON741" s="27" t="s">
        <v>7</v>
      </c>
      <c r="OO741" s="27" t="s">
        <v>8</v>
      </c>
      <c r="OP741" s="27" t="s">
        <v>7</v>
      </c>
      <c r="OQ741" s="27" t="s">
        <v>8</v>
      </c>
    </row>
    <row r="742" spans="1:408" x14ac:dyDescent="0.25">
      <c r="A742" s="7">
        <v>4.644868004048535E-2</v>
      </c>
      <c r="B742"/>
      <c r="C742"/>
      <c r="D742"/>
      <c r="E742"/>
      <c r="F742" s="27" t="s">
        <v>7</v>
      </c>
      <c r="HW742" s="27" t="s">
        <v>8</v>
      </c>
      <c r="KF742" s="27" t="s">
        <v>7</v>
      </c>
      <c r="KG742" s="27" t="s">
        <v>8</v>
      </c>
      <c r="KJ742" s="27" t="s">
        <v>7</v>
      </c>
      <c r="KK742" s="27" t="s">
        <v>8</v>
      </c>
      <c r="KL742" s="27" t="s">
        <v>7</v>
      </c>
      <c r="KM742" s="27" t="s">
        <v>8</v>
      </c>
      <c r="KN742" s="27" t="s">
        <v>7</v>
      </c>
      <c r="KO742" s="27" t="s">
        <v>8</v>
      </c>
      <c r="KP742" s="27" t="s">
        <v>7</v>
      </c>
      <c r="KQ742" s="27" t="s">
        <v>8</v>
      </c>
      <c r="KR742" s="27" t="s">
        <v>7</v>
      </c>
      <c r="KS742" s="27" t="s">
        <v>8</v>
      </c>
      <c r="KV742" s="27" t="s">
        <v>7</v>
      </c>
      <c r="KW742" s="27" t="s">
        <v>8</v>
      </c>
      <c r="ON742" s="27" t="s">
        <v>7</v>
      </c>
      <c r="OP742" s="27" t="s">
        <v>7</v>
      </c>
      <c r="OQ742" s="27" t="s">
        <v>8</v>
      </c>
    </row>
    <row r="743" spans="1:408" x14ac:dyDescent="0.25">
      <c r="A743" s="7">
        <v>4.5537921608318974E-2</v>
      </c>
      <c r="B743"/>
      <c r="C743"/>
      <c r="D743"/>
      <c r="E743"/>
      <c r="F743" s="27" t="s">
        <v>7</v>
      </c>
      <c r="HW743" s="27" t="s">
        <v>8</v>
      </c>
      <c r="KF743" s="27" t="s">
        <v>7</v>
      </c>
      <c r="KG743" s="27" t="s">
        <v>8</v>
      </c>
      <c r="KJ743" s="27" t="s">
        <v>7</v>
      </c>
      <c r="KK743" s="27" t="s">
        <v>8</v>
      </c>
      <c r="KL743" s="27" t="s">
        <v>7</v>
      </c>
      <c r="KM743" s="27" t="s">
        <v>8</v>
      </c>
      <c r="KN743" s="27" t="s">
        <v>7</v>
      </c>
      <c r="KP743" s="27" t="s">
        <v>7</v>
      </c>
      <c r="KQ743" s="27" t="s">
        <v>8</v>
      </c>
      <c r="KR743" s="27" t="s">
        <v>7</v>
      </c>
      <c r="KS743" s="27" t="s">
        <v>8</v>
      </c>
      <c r="KV743" s="27" t="s">
        <v>7</v>
      </c>
      <c r="KW743" s="27" t="s">
        <v>8</v>
      </c>
      <c r="OP743" s="27" t="s">
        <v>7</v>
      </c>
      <c r="OQ743" s="27" t="s">
        <v>8</v>
      </c>
    </row>
    <row r="744" spans="1:408" x14ac:dyDescent="0.25">
      <c r="A744" s="7">
        <v>4.4645021184626446E-2</v>
      </c>
      <c r="B744"/>
      <c r="C744"/>
      <c r="D744"/>
      <c r="E744"/>
      <c r="F744" s="27" t="s">
        <v>7</v>
      </c>
      <c r="HW744" s="27" t="s">
        <v>8</v>
      </c>
      <c r="KF744" s="27" t="s">
        <v>7</v>
      </c>
      <c r="KG744" s="27" t="s">
        <v>8</v>
      </c>
      <c r="KJ744" s="27" t="s">
        <v>7</v>
      </c>
      <c r="KK744" s="27" t="s">
        <v>8</v>
      </c>
      <c r="KL744" s="27" t="s">
        <v>7</v>
      </c>
      <c r="KP744" s="27" t="s">
        <v>7</v>
      </c>
      <c r="KQ744" s="27" t="s">
        <v>8</v>
      </c>
      <c r="KR744" s="27" t="s">
        <v>7</v>
      </c>
      <c r="KV744" s="27" t="s">
        <v>7</v>
      </c>
      <c r="KW744" s="27" t="s">
        <v>8</v>
      </c>
      <c r="OP744" s="27" t="s">
        <v>7</v>
      </c>
      <c r="OQ744" s="27" t="s">
        <v>8</v>
      </c>
    </row>
    <row r="745" spans="1:408" x14ac:dyDescent="0.25">
      <c r="A745" s="7">
        <v>4.3769628612378868E-2</v>
      </c>
      <c r="B745"/>
      <c r="C745"/>
      <c r="D745"/>
      <c r="E745"/>
      <c r="F745" s="27" t="s">
        <v>7</v>
      </c>
      <c r="HW745" s="27" t="s">
        <v>8</v>
      </c>
      <c r="KF745" s="27" t="s">
        <v>7</v>
      </c>
      <c r="KG745" s="27" t="s">
        <v>8</v>
      </c>
      <c r="KJ745" s="27" t="s">
        <v>7</v>
      </c>
      <c r="KP745" s="27" t="s">
        <v>7</v>
      </c>
      <c r="KV745" s="27" t="s">
        <v>7</v>
      </c>
      <c r="OP745" s="27" t="s">
        <v>7</v>
      </c>
    </row>
    <row r="746" spans="1:408" x14ac:dyDescent="0.25">
      <c r="A746" s="7">
        <v>4.2911400600371442E-2</v>
      </c>
      <c r="B746"/>
      <c r="C746"/>
      <c r="D746"/>
      <c r="E746"/>
      <c r="F746" s="27" t="s">
        <v>7</v>
      </c>
      <c r="HW746" s="27" t="s">
        <v>8</v>
      </c>
      <c r="KF746" s="27" t="s">
        <v>7</v>
      </c>
      <c r="KG746" s="27" t="s">
        <v>8</v>
      </c>
    </row>
    <row r="747" spans="1:408" x14ac:dyDescent="0.25">
      <c r="A747" s="7">
        <v>4.2070000588599457E-2</v>
      </c>
      <c r="B747"/>
      <c r="C747"/>
      <c r="D747"/>
      <c r="E747"/>
      <c r="F747" s="27" t="s">
        <v>7</v>
      </c>
      <c r="HK747" s="27" t="s">
        <v>8</v>
      </c>
      <c r="HM747" s="27" t="s">
        <v>8</v>
      </c>
      <c r="HW747" s="27" t="s">
        <v>8</v>
      </c>
      <c r="KF747" s="27" t="s">
        <v>7</v>
      </c>
    </row>
    <row r="748" spans="1:408" x14ac:dyDescent="0.25">
      <c r="A748" s="7">
        <v>4.1245098616273977E-2</v>
      </c>
      <c r="B748"/>
      <c r="C748"/>
      <c r="D748"/>
      <c r="E748"/>
      <c r="F748" s="27" t="s">
        <v>7</v>
      </c>
      <c r="HK748" s="27" t="s">
        <v>8</v>
      </c>
      <c r="HL748" s="27" t="s">
        <v>7</v>
      </c>
      <c r="HM748" s="27" t="s">
        <v>8</v>
      </c>
      <c r="HN748" s="27" t="s">
        <v>7</v>
      </c>
      <c r="HW748" s="27" t="s">
        <v>8</v>
      </c>
    </row>
    <row r="749" spans="1:408" x14ac:dyDescent="0.25">
      <c r="A749" s="7">
        <v>4.043637119242547E-2</v>
      </c>
      <c r="B749"/>
      <c r="C749"/>
      <c r="D749"/>
      <c r="E749"/>
      <c r="F749" s="27" t="s">
        <v>7</v>
      </c>
      <c r="HG749" s="27" t="s">
        <v>8</v>
      </c>
      <c r="HK749" s="27" t="s">
        <v>8</v>
      </c>
      <c r="HL749" s="27" t="s">
        <v>7</v>
      </c>
      <c r="HM749" s="27" t="s">
        <v>8</v>
      </c>
      <c r="HN749" s="27" t="s">
        <v>7</v>
      </c>
      <c r="HW749" s="27" t="s">
        <v>8</v>
      </c>
    </row>
    <row r="750" spans="1:408" x14ac:dyDescent="0.25">
      <c r="A750" s="7">
        <v>3.9643501169044582E-2</v>
      </c>
      <c r="B750"/>
      <c r="C750"/>
      <c r="D750"/>
      <c r="E750"/>
      <c r="F750" s="27" t="s">
        <v>7</v>
      </c>
      <c r="HG750" s="27" t="s">
        <v>8</v>
      </c>
      <c r="HH750" s="27" t="s">
        <v>7</v>
      </c>
      <c r="HK750" s="27" t="s">
        <v>8</v>
      </c>
      <c r="HL750" s="27" t="s">
        <v>7</v>
      </c>
      <c r="HM750" s="27" t="s">
        <v>8</v>
      </c>
      <c r="HN750" s="27" t="s">
        <v>7</v>
      </c>
      <c r="HW750" s="27" t="s">
        <v>8</v>
      </c>
    </row>
    <row r="751" spans="1:408" x14ac:dyDescent="0.25">
      <c r="A751" s="7">
        <v>3.8866177616710372E-2</v>
      </c>
      <c r="B751"/>
      <c r="C751"/>
      <c r="D751"/>
      <c r="E751"/>
      <c r="F751" s="27" t="s">
        <v>7</v>
      </c>
      <c r="HG751" s="27" t="s">
        <v>8</v>
      </c>
      <c r="HH751" s="27" t="s">
        <v>7</v>
      </c>
      <c r="HK751" s="27" t="s">
        <v>8</v>
      </c>
      <c r="HL751" s="27" t="s">
        <v>7</v>
      </c>
      <c r="HM751" s="27" t="s">
        <v>8</v>
      </c>
      <c r="HN751" s="27" t="s">
        <v>7</v>
      </c>
      <c r="HW751" s="27" t="s">
        <v>8</v>
      </c>
    </row>
    <row r="752" spans="1:408" x14ac:dyDescent="0.25">
      <c r="A752" s="7">
        <v>3.8104095702657229E-2</v>
      </c>
      <c r="B752"/>
      <c r="C752"/>
      <c r="D752"/>
      <c r="E752"/>
      <c r="F752" s="27" t="s">
        <v>7</v>
      </c>
      <c r="HG752" s="27" t="s">
        <v>8</v>
      </c>
      <c r="HH752" s="27" t="s">
        <v>7</v>
      </c>
      <c r="HI752" s="27" t="s">
        <v>8</v>
      </c>
      <c r="HK752" s="27" t="s">
        <v>8</v>
      </c>
      <c r="HL752" s="27" t="s">
        <v>7</v>
      </c>
      <c r="HM752" s="27" t="s">
        <v>8</v>
      </c>
      <c r="HN752" s="27" t="s">
        <v>7</v>
      </c>
      <c r="HW752" s="27" t="s">
        <v>8</v>
      </c>
    </row>
    <row r="753" spans="1:231" x14ac:dyDescent="0.25">
      <c r="A753" s="7">
        <v>3.7356956571232579E-2</v>
      </c>
      <c r="B753"/>
      <c r="C753"/>
      <c r="D753"/>
      <c r="E753"/>
      <c r="F753" s="27" t="s">
        <v>7</v>
      </c>
      <c r="DU753" s="27" t="s">
        <v>8</v>
      </c>
      <c r="DW753" s="27" t="s">
        <v>8</v>
      </c>
      <c r="HG753" s="27" t="s">
        <v>8</v>
      </c>
      <c r="HH753" s="27" t="s">
        <v>7</v>
      </c>
      <c r="HI753" s="27" t="s">
        <v>8</v>
      </c>
      <c r="HJ753" s="27" t="s">
        <v>7</v>
      </c>
      <c r="HK753" s="27" t="s">
        <v>8</v>
      </c>
      <c r="HL753" s="27" t="s">
        <v>7</v>
      </c>
      <c r="HM753" s="27" t="s">
        <v>8</v>
      </c>
      <c r="HN753" s="27" t="s">
        <v>7</v>
      </c>
      <c r="HW753" s="27" t="s">
        <v>8</v>
      </c>
    </row>
    <row r="754" spans="1:231" x14ac:dyDescent="0.25">
      <c r="A754" s="7">
        <v>3.6624467226698605E-2</v>
      </c>
      <c r="B754"/>
      <c r="C754"/>
      <c r="D754"/>
      <c r="E754"/>
      <c r="F754" s="27" t="s">
        <v>7</v>
      </c>
      <c r="DU754" s="27" t="s">
        <v>8</v>
      </c>
      <c r="DV754" s="27" t="s">
        <v>7</v>
      </c>
      <c r="DW754" s="27" t="s">
        <v>8</v>
      </c>
      <c r="DX754" s="27" t="s">
        <v>7</v>
      </c>
      <c r="HG754" s="27" t="s">
        <v>8</v>
      </c>
      <c r="HH754" s="27" t="s">
        <v>7</v>
      </c>
      <c r="HI754" s="27" t="s">
        <v>8</v>
      </c>
      <c r="HJ754" s="27" t="s">
        <v>7</v>
      </c>
      <c r="HK754" s="27" t="s">
        <v>8</v>
      </c>
      <c r="HL754" s="27" t="s">
        <v>7</v>
      </c>
      <c r="HM754" s="27" t="s">
        <v>8</v>
      </c>
      <c r="HN754" s="27" t="s">
        <v>7</v>
      </c>
      <c r="HW754" s="27" t="s">
        <v>8</v>
      </c>
    </row>
    <row r="755" spans="1:231" x14ac:dyDescent="0.25">
      <c r="A755" s="7">
        <v>3.5906340418331961E-2</v>
      </c>
      <c r="B755"/>
      <c r="C755"/>
      <c r="D755"/>
      <c r="E755"/>
      <c r="F755" s="27" t="s">
        <v>7</v>
      </c>
      <c r="DU755" s="27" t="s">
        <v>8</v>
      </c>
      <c r="DV755" s="27" t="s">
        <v>7</v>
      </c>
      <c r="DW755" s="27" t="s">
        <v>8</v>
      </c>
      <c r="DX755" s="27" t="s">
        <v>7</v>
      </c>
      <c r="HG755" s="27" t="s">
        <v>8</v>
      </c>
      <c r="HH755" s="27" t="s">
        <v>7</v>
      </c>
      <c r="HI755" s="27" t="s">
        <v>8</v>
      </c>
      <c r="HJ755" s="27" t="s">
        <v>7</v>
      </c>
      <c r="HK755" s="27" t="s">
        <v>8</v>
      </c>
      <c r="HL755" s="27" t="s">
        <v>7</v>
      </c>
      <c r="HM755" s="27" t="s">
        <v>8</v>
      </c>
      <c r="HN755" s="27" t="s">
        <v>7</v>
      </c>
      <c r="HO755" s="27" t="s">
        <v>8</v>
      </c>
      <c r="HS755" s="27" t="s">
        <v>8</v>
      </c>
      <c r="HW755" s="27" t="s">
        <v>8</v>
      </c>
    </row>
    <row r="756" spans="1:231" x14ac:dyDescent="0.25">
      <c r="A756" s="7">
        <v>3.5202294527776436E-2</v>
      </c>
      <c r="B756"/>
      <c r="C756"/>
      <c r="D756"/>
      <c r="E756"/>
      <c r="F756" s="27" t="s">
        <v>7</v>
      </c>
      <c r="DU756" s="27" t="s">
        <v>8</v>
      </c>
      <c r="DV756" s="27" t="s">
        <v>7</v>
      </c>
      <c r="DW756" s="27" t="s">
        <v>8</v>
      </c>
      <c r="DX756" s="27" t="s">
        <v>7</v>
      </c>
      <c r="EA756" s="27" t="s">
        <v>8</v>
      </c>
      <c r="EI756" s="27" t="s">
        <v>8</v>
      </c>
      <c r="HG756" s="27" t="s">
        <v>8</v>
      </c>
      <c r="HH756" s="27" t="s">
        <v>7</v>
      </c>
      <c r="HI756" s="27" t="s">
        <v>8</v>
      </c>
      <c r="HJ756" s="27" t="s">
        <v>7</v>
      </c>
      <c r="HK756" s="27" t="s">
        <v>8</v>
      </c>
      <c r="HL756" s="27" t="s">
        <v>7</v>
      </c>
      <c r="HN756" s="27" t="s">
        <v>7</v>
      </c>
      <c r="HO756" s="27" t="s">
        <v>8</v>
      </c>
      <c r="HP756" s="27" t="s">
        <v>7</v>
      </c>
      <c r="HS756" s="27" t="s">
        <v>8</v>
      </c>
      <c r="HT756" s="27" t="s">
        <v>7</v>
      </c>
      <c r="HU756" s="27" t="s">
        <v>8</v>
      </c>
      <c r="HW756" s="27" t="s">
        <v>8</v>
      </c>
    </row>
    <row r="757" spans="1:231" x14ac:dyDescent="0.25">
      <c r="A757" s="7">
        <v>3.451205345860435E-2</v>
      </c>
      <c r="B757"/>
      <c r="C757"/>
      <c r="D757"/>
      <c r="E757"/>
      <c r="F757" s="27" t="s">
        <v>7</v>
      </c>
      <c r="AM757" s="27" t="s">
        <v>8</v>
      </c>
      <c r="DU757" s="27" t="s">
        <v>8</v>
      </c>
      <c r="DV757" s="27" t="s">
        <v>7</v>
      </c>
      <c r="DW757" s="27" t="s">
        <v>8</v>
      </c>
      <c r="DX757" s="27" t="s">
        <v>7</v>
      </c>
      <c r="DY757" s="27" t="s">
        <v>8</v>
      </c>
      <c r="EA757" s="27" t="s">
        <v>8</v>
      </c>
      <c r="EB757" s="27" t="s">
        <v>7</v>
      </c>
      <c r="EI757" s="27" t="s">
        <v>8</v>
      </c>
      <c r="EJ757" s="27" t="s">
        <v>7</v>
      </c>
      <c r="HG757" s="27" t="s">
        <v>8</v>
      </c>
      <c r="HH757" s="27" t="s">
        <v>7</v>
      </c>
      <c r="HI757" s="27" t="s">
        <v>8</v>
      </c>
      <c r="HJ757" s="27" t="s">
        <v>7</v>
      </c>
      <c r="HK757" s="27" t="s">
        <v>8</v>
      </c>
      <c r="HN757" s="27" t="s">
        <v>7</v>
      </c>
      <c r="HO757" s="27" t="s">
        <v>8</v>
      </c>
      <c r="HP757" s="27" t="s">
        <v>7</v>
      </c>
      <c r="HS757" s="27" t="s">
        <v>8</v>
      </c>
      <c r="HT757" s="27" t="s">
        <v>7</v>
      </c>
      <c r="HU757" s="27" t="s">
        <v>8</v>
      </c>
      <c r="HV757" s="27" t="s">
        <v>7</v>
      </c>
      <c r="HW757" s="27" t="s">
        <v>8</v>
      </c>
    </row>
    <row r="758" spans="1:231" x14ac:dyDescent="0.25">
      <c r="A758" s="7">
        <v>3.3835346528043479E-2</v>
      </c>
      <c r="B758"/>
      <c r="C758"/>
      <c r="D758"/>
      <c r="E758"/>
      <c r="F758" s="27" t="s">
        <v>7</v>
      </c>
      <c r="AM758" s="27" t="s">
        <v>8</v>
      </c>
      <c r="AN758" s="27" t="s">
        <v>7</v>
      </c>
      <c r="DU758" s="27" t="s">
        <v>8</v>
      </c>
      <c r="DV758" s="27" t="s">
        <v>7</v>
      </c>
      <c r="DW758" s="27" t="s">
        <v>8</v>
      </c>
      <c r="DX758" s="27" t="s">
        <v>7</v>
      </c>
      <c r="DY758" s="27" t="s">
        <v>8</v>
      </c>
      <c r="DZ758" s="27" t="s">
        <v>7</v>
      </c>
      <c r="EA758" s="27" t="s">
        <v>8</v>
      </c>
      <c r="EB758" s="27" t="s">
        <v>7</v>
      </c>
      <c r="EI758" s="27" t="s">
        <v>8</v>
      </c>
      <c r="EJ758" s="27" t="s">
        <v>7</v>
      </c>
      <c r="HG758" s="27" t="s">
        <v>8</v>
      </c>
      <c r="HH758" s="27" t="s">
        <v>7</v>
      </c>
      <c r="HI758" s="27" t="s">
        <v>8</v>
      </c>
      <c r="HJ758" s="27" t="s">
        <v>7</v>
      </c>
      <c r="HN758" s="27" t="s">
        <v>7</v>
      </c>
      <c r="HO758" s="27" t="s">
        <v>8</v>
      </c>
      <c r="HP758" s="27" t="s">
        <v>7</v>
      </c>
      <c r="HS758" s="27" t="s">
        <v>8</v>
      </c>
      <c r="HT758" s="27" t="s">
        <v>7</v>
      </c>
      <c r="HU758" s="27" t="s">
        <v>8</v>
      </c>
      <c r="HV758" s="27" t="s">
        <v>7</v>
      </c>
      <c r="HW758" s="27" t="s">
        <v>8</v>
      </c>
    </row>
    <row r="759" spans="1:231" x14ac:dyDescent="0.25">
      <c r="A759" s="7">
        <v>3.3171908360826938E-2</v>
      </c>
      <c r="B759"/>
      <c r="C759"/>
      <c r="D759"/>
      <c r="E759"/>
      <c r="F759" s="27" t="s">
        <v>7</v>
      </c>
      <c r="AM759" s="27" t="s">
        <v>8</v>
      </c>
      <c r="AN759" s="27" t="s">
        <v>7</v>
      </c>
      <c r="DU759" s="27" t="s">
        <v>8</v>
      </c>
      <c r="DV759" s="27" t="s">
        <v>7</v>
      </c>
      <c r="DW759" s="27" t="s">
        <v>8</v>
      </c>
      <c r="DX759" s="27" t="s">
        <v>7</v>
      </c>
      <c r="DY759" s="27" t="s">
        <v>8</v>
      </c>
      <c r="DZ759" s="27" t="s">
        <v>7</v>
      </c>
      <c r="EA759" s="27" t="s">
        <v>8</v>
      </c>
      <c r="EB759" s="27" t="s">
        <v>7</v>
      </c>
      <c r="EC759" s="27" t="s">
        <v>8</v>
      </c>
      <c r="EE759" s="27" t="s">
        <v>8</v>
      </c>
      <c r="EI759" s="27" t="s">
        <v>8</v>
      </c>
      <c r="EJ759" s="27" t="s">
        <v>7</v>
      </c>
      <c r="HG759" s="27" t="s">
        <v>8</v>
      </c>
      <c r="HH759" s="27" t="s">
        <v>7</v>
      </c>
      <c r="HN759" s="27" t="s">
        <v>7</v>
      </c>
      <c r="HO759" s="27" t="s">
        <v>8</v>
      </c>
      <c r="HP759" s="27" t="s">
        <v>7</v>
      </c>
      <c r="HS759" s="27" t="s">
        <v>8</v>
      </c>
      <c r="HT759" s="27" t="s">
        <v>7</v>
      </c>
      <c r="HU759" s="27" t="s">
        <v>8</v>
      </c>
      <c r="HV759" s="27" t="s">
        <v>7</v>
      </c>
      <c r="HW759" s="27" t="s">
        <v>8</v>
      </c>
    </row>
    <row r="760" spans="1:231" x14ac:dyDescent="0.25">
      <c r="A760" s="7">
        <v>3.2521478785124451E-2</v>
      </c>
      <c r="B760"/>
      <c r="C760"/>
      <c r="D760"/>
      <c r="E760"/>
      <c r="F760" s="27" t="s">
        <v>7</v>
      </c>
      <c r="AM760" s="27" t="s">
        <v>8</v>
      </c>
      <c r="AN760" s="27" t="s">
        <v>7</v>
      </c>
      <c r="DU760" s="27" t="s">
        <v>8</v>
      </c>
      <c r="DV760" s="27" t="s">
        <v>7</v>
      </c>
      <c r="DW760" s="27" t="s">
        <v>8</v>
      </c>
      <c r="DX760" s="27" t="s">
        <v>7</v>
      </c>
      <c r="DY760" s="27" t="s">
        <v>8</v>
      </c>
      <c r="DZ760" s="27" t="s">
        <v>7</v>
      </c>
      <c r="EA760" s="27" t="s">
        <v>8</v>
      </c>
      <c r="EB760" s="27" t="s">
        <v>7</v>
      </c>
      <c r="EC760" s="27" t="s">
        <v>8</v>
      </c>
      <c r="ED760" s="27" t="s">
        <v>7</v>
      </c>
      <c r="EE760" s="27" t="s">
        <v>8</v>
      </c>
      <c r="EF760" s="27" t="s">
        <v>7</v>
      </c>
      <c r="EI760" s="27" t="s">
        <v>8</v>
      </c>
      <c r="EJ760" s="27" t="s">
        <v>7</v>
      </c>
      <c r="HG760" s="27" t="s">
        <v>8</v>
      </c>
      <c r="HN760" s="27" t="s">
        <v>7</v>
      </c>
      <c r="HO760" s="27" t="s">
        <v>8</v>
      </c>
      <c r="HP760" s="27" t="s">
        <v>7</v>
      </c>
      <c r="HQ760" s="27" t="s">
        <v>8</v>
      </c>
      <c r="HS760" s="27" t="s">
        <v>8</v>
      </c>
      <c r="HT760" s="27" t="s">
        <v>7</v>
      </c>
      <c r="HU760" s="27" t="s">
        <v>8</v>
      </c>
      <c r="HV760" s="27" t="s">
        <v>7</v>
      </c>
      <c r="HW760" s="27" t="s">
        <v>8</v>
      </c>
    </row>
    <row r="761" spans="1:231" x14ac:dyDescent="0.25">
      <c r="A761" s="7">
        <v>3.1883802730514173E-2</v>
      </c>
      <c r="B761"/>
      <c r="C761"/>
      <c r="D761"/>
      <c r="E761"/>
      <c r="F761" s="27" t="s">
        <v>7</v>
      </c>
      <c r="AM761" s="27" t="s">
        <v>8</v>
      </c>
      <c r="AN761" s="27" t="s">
        <v>7</v>
      </c>
      <c r="DU761" s="27" t="s">
        <v>8</v>
      </c>
      <c r="DV761" s="27" t="s">
        <v>7</v>
      </c>
      <c r="DX761" s="27" t="s">
        <v>7</v>
      </c>
      <c r="DZ761" s="27" t="s">
        <v>7</v>
      </c>
      <c r="EA761" s="27" t="s">
        <v>8</v>
      </c>
      <c r="EB761" s="27" t="s">
        <v>7</v>
      </c>
      <c r="EC761" s="27" t="s">
        <v>8</v>
      </c>
      <c r="ED761" s="27" t="s">
        <v>7</v>
      </c>
      <c r="EE761" s="27" t="s">
        <v>8</v>
      </c>
      <c r="EF761" s="27" t="s">
        <v>7</v>
      </c>
      <c r="EI761" s="27" t="s">
        <v>8</v>
      </c>
      <c r="EJ761" s="27" t="s">
        <v>7</v>
      </c>
      <c r="HG761" s="27" t="s">
        <v>8</v>
      </c>
      <c r="HN761" s="27" t="s">
        <v>7</v>
      </c>
      <c r="HO761" s="27" t="s">
        <v>8</v>
      </c>
      <c r="HP761" s="27" t="s">
        <v>7</v>
      </c>
      <c r="HQ761" s="27" t="s">
        <v>8</v>
      </c>
      <c r="HR761" s="27" t="s">
        <v>7</v>
      </c>
      <c r="HS761" s="27" t="s">
        <v>8</v>
      </c>
      <c r="HT761" s="27" t="s">
        <v>7</v>
      </c>
      <c r="HU761" s="27" t="s">
        <v>8</v>
      </c>
      <c r="HV761" s="27" t="s">
        <v>7</v>
      </c>
      <c r="HW761" s="27" t="s">
        <v>8</v>
      </c>
    </row>
    <row r="762" spans="1:231" x14ac:dyDescent="0.25">
      <c r="A762" s="7">
        <v>3.1258630127955073E-2</v>
      </c>
      <c r="B762"/>
      <c r="C762"/>
      <c r="D762"/>
      <c r="E762"/>
      <c r="F762" s="27" t="s">
        <v>7</v>
      </c>
      <c r="AM762" s="27" t="s">
        <v>8</v>
      </c>
      <c r="AN762" s="27" t="s">
        <v>7</v>
      </c>
      <c r="DU762" s="27" t="s">
        <v>8</v>
      </c>
      <c r="DZ762" s="27" t="s">
        <v>7</v>
      </c>
      <c r="EB762" s="27" t="s">
        <v>7</v>
      </c>
      <c r="EC762" s="27" t="s">
        <v>8</v>
      </c>
      <c r="ED762" s="27" t="s">
        <v>7</v>
      </c>
      <c r="EE762" s="27" t="s">
        <v>8</v>
      </c>
      <c r="EF762" s="27" t="s">
        <v>7</v>
      </c>
      <c r="EI762" s="27" t="s">
        <v>8</v>
      </c>
      <c r="EJ762" s="27" t="s">
        <v>7</v>
      </c>
      <c r="HG762" s="27" t="s">
        <v>8</v>
      </c>
      <c r="HN762" s="27" t="s">
        <v>7</v>
      </c>
      <c r="HO762" s="27" t="s">
        <v>8</v>
      </c>
      <c r="HP762" s="27" t="s">
        <v>7</v>
      </c>
      <c r="HQ762" s="27" t="s">
        <v>8</v>
      </c>
      <c r="HR762" s="27" t="s">
        <v>7</v>
      </c>
      <c r="HS762" s="27" t="s">
        <v>8</v>
      </c>
      <c r="HT762" s="27" t="s">
        <v>7</v>
      </c>
      <c r="HV762" s="27" t="s">
        <v>7</v>
      </c>
      <c r="HW762" s="27" t="s">
        <v>8</v>
      </c>
    </row>
    <row r="763" spans="1:231" x14ac:dyDescent="0.25">
      <c r="A763" s="7">
        <v>3.064571581172066E-2</v>
      </c>
      <c r="B763"/>
      <c r="C763"/>
      <c r="D763"/>
      <c r="E763"/>
      <c r="F763" s="27" t="s">
        <v>7</v>
      </c>
      <c r="AM763" s="27" t="s">
        <v>8</v>
      </c>
      <c r="AN763" s="27" t="s">
        <v>7</v>
      </c>
      <c r="DU763" s="27" t="s">
        <v>8</v>
      </c>
      <c r="EB763" s="27" t="s">
        <v>7</v>
      </c>
      <c r="EC763" s="27" t="s">
        <v>8</v>
      </c>
      <c r="ED763" s="27" t="s">
        <v>7</v>
      </c>
      <c r="EE763" s="27" t="s">
        <v>8</v>
      </c>
      <c r="EF763" s="27" t="s">
        <v>7</v>
      </c>
      <c r="EI763" s="27" t="s">
        <v>8</v>
      </c>
      <c r="EJ763" s="27" t="s">
        <v>7</v>
      </c>
      <c r="GY763" s="27" t="s">
        <v>8</v>
      </c>
      <c r="HE763" s="27" t="s">
        <v>8</v>
      </c>
      <c r="HG763" s="27" t="s">
        <v>8</v>
      </c>
      <c r="HN763" s="27" t="s">
        <v>7</v>
      </c>
      <c r="HO763" s="27" t="s">
        <v>8</v>
      </c>
      <c r="HP763" s="27" t="s">
        <v>7</v>
      </c>
      <c r="HQ763" s="27" t="s">
        <v>8</v>
      </c>
      <c r="HR763" s="27" t="s">
        <v>7</v>
      </c>
      <c r="HS763" s="27" t="s">
        <v>8</v>
      </c>
      <c r="HV763" s="27" t="s">
        <v>7</v>
      </c>
    </row>
    <row r="764" spans="1:231" x14ac:dyDescent="0.25">
      <c r="A764" s="7">
        <v>3.0044819423255549E-2</v>
      </c>
      <c r="B764"/>
      <c r="C764"/>
      <c r="D764"/>
      <c r="E764"/>
      <c r="F764" s="27" t="s">
        <v>7</v>
      </c>
      <c r="AM764" s="27" t="s">
        <v>8</v>
      </c>
      <c r="AN764" s="27" t="s">
        <v>7</v>
      </c>
      <c r="DU764" s="27" t="s">
        <v>8</v>
      </c>
      <c r="EB764" s="27" t="s">
        <v>7</v>
      </c>
      <c r="ED764" s="27" t="s">
        <v>7</v>
      </c>
      <c r="EE764" s="27" t="s">
        <v>8</v>
      </c>
      <c r="EF764" s="27" t="s">
        <v>7</v>
      </c>
      <c r="EG764" s="27" t="s">
        <v>8</v>
      </c>
      <c r="EI764" s="27" t="s">
        <v>8</v>
      </c>
      <c r="EJ764" s="27" t="s">
        <v>7</v>
      </c>
      <c r="GY764" s="27" t="s">
        <v>8</v>
      </c>
      <c r="GZ764" s="27" t="s">
        <v>7</v>
      </c>
      <c r="HE764" s="27" t="s">
        <v>8</v>
      </c>
      <c r="HF764" s="27" t="s">
        <v>7</v>
      </c>
      <c r="HG764" s="27" t="s">
        <v>8</v>
      </c>
      <c r="HN764" s="27" t="s">
        <v>7</v>
      </c>
      <c r="HO764" s="27" t="s">
        <v>8</v>
      </c>
      <c r="HP764" s="27" t="s">
        <v>7</v>
      </c>
      <c r="HQ764" s="27" t="s">
        <v>8</v>
      </c>
      <c r="HR764" s="27" t="s">
        <v>7</v>
      </c>
      <c r="HS764" s="27" t="s">
        <v>8</v>
      </c>
    </row>
    <row r="765" spans="1:231" x14ac:dyDescent="0.25">
      <c r="A765" s="7">
        <v>2.9455705316917203E-2</v>
      </c>
      <c r="B765"/>
      <c r="C765"/>
      <c r="D765"/>
      <c r="E765"/>
      <c r="F765" s="27" t="s">
        <v>7</v>
      </c>
      <c r="AM765" s="27" t="s">
        <v>8</v>
      </c>
      <c r="AN765" s="27" t="s">
        <v>7</v>
      </c>
      <c r="DU765" s="27" t="s">
        <v>8</v>
      </c>
      <c r="ED765" s="27" t="s">
        <v>7</v>
      </c>
      <c r="EE765" s="27" t="s">
        <v>8</v>
      </c>
      <c r="EF765" s="27" t="s">
        <v>7</v>
      </c>
      <c r="EG765" s="27" t="s">
        <v>8</v>
      </c>
      <c r="EH765" s="27" t="s">
        <v>7</v>
      </c>
      <c r="EI765" s="27" t="s">
        <v>8</v>
      </c>
      <c r="EJ765" s="27" t="s">
        <v>7</v>
      </c>
      <c r="GY765" s="27" t="s">
        <v>8</v>
      </c>
      <c r="GZ765" s="27" t="s">
        <v>7</v>
      </c>
      <c r="HE765" s="27" t="s">
        <v>8</v>
      </c>
      <c r="HF765" s="27" t="s">
        <v>7</v>
      </c>
      <c r="HG765" s="27" t="s">
        <v>8</v>
      </c>
      <c r="HN765" s="27" t="s">
        <v>7</v>
      </c>
      <c r="HO765" s="27" t="s">
        <v>8</v>
      </c>
      <c r="HP765" s="27" t="s">
        <v>7</v>
      </c>
      <c r="HQ765" s="27" t="s">
        <v>8</v>
      </c>
      <c r="HR765" s="27" t="s">
        <v>7</v>
      </c>
      <c r="HS765" s="27" t="s">
        <v>8</v>
      </c>
    </row>
    <row r="766" spans="1:231" x14ac:dyDescent="0.25">
      <c r="A766" s="7">
        <v>2.8878142467565884E-2</v>
      </c>
      <c r="B766"/>
      <c r="C766"/>
      <c r="D766"/>
      <c r="E766"/>
      <c r="F766" s="27" t="s">
        <v>7</v>
      </c>
      <c r="AM766" s="27" t="s">
        <v>8</v>
      </c>
      <c r="AN766" s="27" t="s">
        <v>7</v>
      </c>
      <c r="DU766" s="27" t="s">
        <v>8</v>
      </c>
      <c r="ED766" s="27" t="s">
        <v>7</v>
      </c>
      <c r="EE766" s="27" t="s">
        <v>8</v>
      </c>
      <c r="EF766" s="27" t="s">
        <v>7</v>
      </c>
      <c r="EG766" s="27" t="s">
        <v>8</v>
      </c>
      <c r="EH766" s="27" t="s">
        <v>7</v>
      </c>
      <c r="EI766" s="27" t="s">
        <v>8</v>
      </c>
      <c r="EJ766" s="27" t="s">
        <v>7</v>
      </c>
      <c r="GU766" s="27" t="s">
        <v>8</v>
      </c>
      <c r="GY766" s="27" t="s">
        <v>8</v>
      </c>
      <c r="GZ766" s="27" t="s">
        <v>7</v>
      </c>
      <c r="HA766" s="27" t="s">
        <v>8</v>
      </c>
      <c r="HC766" s="27" t="s">
        <v>8</v>
      </c>
      <c r="HE766" s="27" t="s">
        <v>8</v>
      </c>
      <c r="HF766" s="27" t="s">
        <v>7</v>
      </c>
      <c r="HG766" s="27" t="s">
        <v>8</v>
      </c>
      <c r="HN766" s="27" t="s">
        <v>7</v>
      </c>
      <c r="HO766" s="27" t="s">
        <v>8</v>
      </c>
      <c r="HP766" s="27" t="s">
        <v>7</v>
      </c>
      <c r="HQ766" s="27" t="s">
        <v>8</v>
      </c>
      <c r="HR766" s="27" t="s">
        <v>7</v>
      </c>
      <c r="HS766" s="27" t="s">
        <v>8</v>
      </c>
    </row>
    <row r="767" spans="1:231" x14ac:dyDescent="0.25">
      <c r="A767" s="7">
        <v>2.8311904379966554E-2</v>
      </c>
      <c r="B767"/>
      <c r="C767"/>
      <c r="D767"/>
      <c r="E767"/>
      <c r="F767" s="27" t="s">
        <v>7</v>
      </c>
      <c r="AM767" s="27" t="s">
        <v>8</v>
      </c>
      <c r="AN767" s="27" t="s">
        <v>7</v>
      </c>
      <c r="DU767" s="27" t="s">
        <v>8</v>
      </c>
      <c r="ED767" s="27" t="s">
        <v>7</v>
      </c>
      <c r="EE767" s="27" t="s">
        <v>8</v>
      </c>
      <c r="EF767" s="27" t="s">
        <v>7</v>
      </c>
      <c r="EG767" s="27" t="s">
        <v>8</v>
      </c>
      <c r="EH767" s="27" t="s">
        <v>7</v>
      </c>
      <c r="EI767" s="27" t="s">
        <v>8</v>
      </c>
      <c r="EJ767" s="27" t="s">
        <v>7</v>
      </c>
      <c r="GU767" s="27" t="s">
        <v>8</v>
      </c>
      <c r="GV767" s="27" t="s">
        <v>7</v>
      </c>
      <c r="GY767" s="27" t="s">
        <v>8</v>
      </c>
      <c r="GZ767" s="27" t="s">
        <v>7</v>
      </c>
      <c r="HA767" s="27" t="s">
        <v>8</v>
      </c>
      <c r="HB767" s="27" t="s">
        <v>7</v>
      </c>
      <c r="HC767" s="27" t="s">
        <v>8</v>
      </c>
      <c r="HD767" s="27" t="s">
        <v>7</v>
      </c>
      <c r="HE767" s="27" t="s">
        <v>8</v>
      </c>
      <c r="HF767" s="27" t="s">
        <v>7</v>
      </c>
      <c r="HG767" s="27" t="s">
        <v>8</v>
      </c>
      <c r="HN767" s="27" t="s">
        <v>7</v>
      </c>
      <c r="HO767" s="27" t="s">
        <v>8</v>
      </c>
      <c r="HP767" s="27" t="s">
        <v>7</v>
      </c>
      <c r="HQ767" s="27" t="s">
        <v>8</v>
      </c>
      <c r="HR767" s="27" t="s">
        <v>7</v>
      </c>
      <c r="HS767" s="27" t="s">
        <v>8</v>
      </c>
    </row>
    <row r="768" spans="1:231" x14ac:dyDescent="0.25">
      <c r="A768" s="7">
        <v>2.7756768999967207E-2</v>
      </c>
      <c r="B768"/>
      <c r="C768"/>
      <c r="D768"/>
      <c r="E768"/>
      <c r="F768" s="27" t="s">
        <v>7</v>
      </c>
      <c r="AM768" s="27" t="s">
        <v>8</v>
      </c>
      <c r="AN768" s="27" t="s">
        <v>7</v>
      </c>
      <c r="DU768" s="27" t="s">
        <v>8</v>
      </c>
      <c r="ED768" s="27" t="s">
        <v>7</v>
      </c>
      <c r="EE768" s="27" t="s">
        <v>8</v>
      </c>
      <c r="EF768" s="27" t="s">
        <v>7</v>
      </c>
      <c r="EG768" s="27" t="s">
        <v>8</v>
      </c>
      <c r="EH768" s="27" t="s">
        <v>7</v>
      </c>
      <c r="EI768" s="27" t="s">
        <v>8</v>
      </c>
      <c r="EJ768" s="27" t="s">
        <v>7</v>
      </c>
      <c r="GU768" s="27" t="s">
        <v>8</v>
      </c>
      <c r="GV768" s="27" t="s">
        <v>7</v>
      </c>
      <c r="GY768" s="27" t="s">
        <v>8</v>
      </c>
      <c r="GZ768" s="27" t="s">
        <v>7</v>
      </c>
      <c r="HA768" s="27" t="s">
        <v>8</v>
      </c>
      <c r="HB768" s="27" t="s">
        <v>7</v>
      </c>
      <c r="HC768" s="27" t="s">
        <v>8</v>
      </c>
      <c r="HD768" s="27" t="s">
        <v>7</v>
      </c>
      <c r="HE768" s="27" t="s">
        <v>8</v>
      </c>
      <c r="HF768" s="27" t="s">
        <v>7</v>
      </c>
      <c r="HG768" s="27" t="s">
        <v>8</v>
      </c>
      <c r="HN768" s="27" t="s">
        <v>7</v>
      </c>
      <c r="HO768" s="27" t="s">
        <v>8</v>
      </c>
      <c r="HP768" s="27" t="s">
        <v>7</v>
      </c>
      <c r="HQ768" s="27" t="s">
        <v>8</v>
      </c>
      <c r="HR768" s="27" t="s">
        <v>7</v>
      </c>
      <c r="HS768" s="27" t="s">
        <v>8</v>
      </c>
    </row>
    <row r="769" spans="1:227" x14ac:dyDescent="0.25">
      <c r="A769" s="7">
        <v>2.7212518627418834E-2</v>
      </c>
      <c r="B769"/>
      <c r="C769"/>
      <c r="D769"/>
      <c r="E769"/>
      <c r="F769" s="27" t="s">
        <v>7</v>
      </c>
      <c r="AM769" s="27" t="s">
        <v>8</v>
      </c>
      <c r="AN769" s="27" t="s">
        <v>7</v>
      </c>
      <c r="DU769" s="27" t="s">
        <v>8</v>
      </c>
      <c r="ED769" s="27" t="s">
        <v>7</v>
      </c>
      <c r="EE769" s="27" t="s">
        <v>8</v>
      </c>
      <c r="EF769" s="27" t="s">
        <v>7</v>
      </c>
      <c r="EG769" s="27" t="s">
        <v>8</v>
      </c>
      <c r="EH769" s="27" t="s">
        <v>7</v>
      </c>
      <c r="EI769" s="27" t="s">
        <v>8</v>
      </c>
      <c r="EJ769" s="27" t="s">
        <v>7</v>
      </c>
      <c r="GU769" s="27" t="s">
        <v>8</v>
      </c>
      <c r="GV769" s="27" t="s">
        <v>7</v>
      </c>
      <c r="GY769" s="27" t="s">
        <v>8</v>
      </c>
      <c r="GZ769" s="27" t="s">
        <v>7</v>
      </c>
      <c r="HA769" s="27" t="s">
        <v>8</v>
      </c>
      <c r="HB769" s="27" t="s">
        <v>7</v>
      </c>
      <c r="HC769" s="27" t="s">
        <v>8</v>
      </c>
      <c r="HD769" s="27" t="s">
        <v>7</v>
      </c>
      <c r="HE769" s="27" t="s">
        <v>8</v>
      </c>
      <c r="HF769" s="27" t="s">
        <v>7</v>
      </c>
      <c r="HN769" s="27" t="s">
        <v>7</v>
      </c>
      <c r="HO769" s="27" t="s">
        <v>8</v>
      </c>
      <c r="HP769" s="27" t="s">
        <v>7</v>
      </c>
      <c r="HR769" s="27" t="s">
        <v>7</v>
      </c>
      <c r="HS769" s="27" t="s">
        <v>8</v>
      </c>
    </row>
    <row r="770" spans="1:227" x14ac:dyDescent="0.25">
      <c r="A770" s="7">
        <v>2.6678939830802779E-2</v>
      </c>
      <c r="B770"/>
      <c r="C770"/>
      <c r="D770"/>
      <c r="E770"/>
      <c r="F770" s="27" t="s">
        <v>7</v>
      </c>
      <c r="AM770" s="27" t="s">
        <v>8</v>
      </c>
      <c r="AN770" s="27" t="s">
        <v>7</v>
      </c>
      <c r="DO770" s="27" t="s">
        <v>8</v>
      </c>
      <c r="DS770" s="27" t="s">
        <v>8</v>
      </c>
      <c r="DU770" s="27" t="s">
        <v>8</v>
      </c>
      <c r="ED770" s="27" t="s">
        <v>7</v>
      </c>
      <c r="EE770" s="27" t="s">
        <v>8</v>
      </c>
      <c r="EF770" s="27" t="s">
        <v>7</v>
      </c>
      <c r="EH770" s="27" t="s">
        <v>7</v>
      </c>
      <c r="EJ770" s="27" t="s">
        <v>7</v>
      </c>
      <c r="GU770" s="27" t="s">
        <v>8</v>
      </c>
      <c r="GV770" s="27" t="s">
        <v>7</v>
      </c>
      <c r="GY770" s="27" t="s">
        <v>8</v>
      </c>
      <c r="GZ770" s="27" t="s">
        <v>7</v>
      </c>
      <c r="HA770" s="27" t="s">
        <v>8</v>
      </c>
      <c r="HB770" s="27" t="s">
        <v>7</v>
      </c>
      <c r="HC770" s="27" t="s">
        <v>8</v>
      </c>
      <c r="HD770" s="27" t="s">
        <v>7</v>
      </c>
      <c r="HE770" s="27" t="s">
        <v>8</v>
      </c>
      <c r="HN770" s="27" t="s">
        <v>7</v>
      </c>
      <c r="HO770" s="27" t="s">
        <v>8</v>
      </c>
      <c r="HR770" s="27" t="s">
        <v>7</v>
      </c>
      <c r="HS770" s="27" t="s">
        <v>8</v>
      </c>
    </row>
    <row r="771" spans="1:227" x14ac:dyDescent="0.25">
      <c r="A771" s="7">
        <v>2.615582336353214E-2</v>
      </c>
      <c r="B771"/>
      <c r="C771"/>
      <c r="D771"/>
      <c r="E771"/>
      <c r="F771" s="27" t="s">
        <v>7</v>
      </c>
      <c r="AM771" s="27" t="s">
        <v>8</v>
      </c>
      <c r="AN771" s="27" t="s">
        <v>7</v>
      </c>
      <c r="DO771" s="27" t="s">
        <v>8</v>
      </c>
      <c r="DP771" s="27" t="s">
        <v>7</v>
      </c>
      <c r="DS771" s="27" t="s">
        <v>8</v>
      </c>
      <c r="DT771" s="27" t="s">
        <v>7</v>
      </c>
      <c r="DU771" s="27" t="s">
        <v>8</v>
      </c>
      <c r="ED771" s="27" t="s">
        <v>7</v>
      </c>
      <c r="EJ771" s="27" t="s">
        <v>7</v>
      </c>
      <c r="GU771" s="27" t="s">
        <v>8</v>
      </c>
      <c r="GV771" s="27" t="s">
        <v>7</v>
      </c>
      <c r="GY771" s="27" t="s">
        <v>8</v>
      </c>
      <c r="GZ771" s="27" t="s">
        <v>7</v>
      </c>
      <c r="HA771" s="27" t="s">
        <v>8</v>
      </c>
      <c r="HB771" s="27" t="s">
        <v>7</v>
      </c>
      <c r="HC771" s="27" t="s">
        <v>8</v>
      </c>
      <c r="HD771" s="27" t="s">
        <v>7</v>
      </c>
      <c r="HE771" s="27" t="s">
        <v>8</v>
      </c>
      <c r="HN771" s="27" t="s">
        <v>7</v>
      </c>
      <c r="HO771" s="27" t="s">
        <v>8</v>
      </c>
      <c r="HR771" s="27" t="s">
        <v>7</v>
      </c>
    </row>
    <row r="772" spans="1:227" x14ac:dyDescent="0.25">
      <c r="A772" s="7">
        <v>2.5642964081894253E-2</v>
      </c>
      <c r="B772"/>
      <c r="C772"/>
      <c r="D772"/>
      <c r="E772"/>
      <c r="F772" s="27" t="s">
        <v>7</v>
      </c>
      <c r="AM772" s="27" t="s">
        <v>8</v>
      </c>
      <c r="AN772" s="27" t="s">
        <v>7</v>
      </c>
      <c r="DM772" s="27" t="s">
        <v>8</v>
      </c>
      <c r="DO772" s="27" t="s">
        <v>8</v>
      </c>
      <c r="DP772" s="27" t="s">
        <v>7</v>
      </c>
      <c r="DS772" s="27" t="s">
        <v>8</v>
      </c>
      <c r="DT772" s="27" t="s">
        <v>7</v>
      </c>
      <c r="DU772" s="27" t="s">
        <v>8</v>
      </c>
      <c r="EJ772" s="27" t="s">
        <v>7</v>
      </c>
      <c r="GU772" s="27" t="s">
        <v>8</v>
      </c>
      <c r="GV772" s="27" t="s">
        <v>7</v>
      </c>
      <c r="GY772" s="27" t="s">
        <v>8</v>
      </c>
      <c r="GZ772" s="27" t="s">
        <v>7</v>
      </c>
      <c r="HA772" s="27" t="s">
        <v>8</v>
      </c>
      <c r="HB772" s="27" t="s">
        <v>7</v>
      </c>
      <c r="HC772" s="27" t="s">
        <v>8</v>
      </c>
      <c r="HD772" s="27" t="s">
        <v>7</v>
      </c>
      <c r="HE772" s="27" t="s">
        <v>8</v>
      </c>
      <c r="HN772" s="27" t="s">
        <v>7</v>
      </c>
      <c r="HO772" s="27" t="s">
        <v>8</v>
      </c>
    </row>
    <row r="773" spans="1:227" x14ac:dyDescent="0.25">
      <c r="A773" s="7">
        <v>2.5140160864602207E-2</v>
      </c>
      <c r="B773"/>
      <c r="C773"/>
      <c r="D773"/>
      <c r="E773"/>
      <c r="F773" s="27" t="s">
        <v>7</v>
      </c>
      <c r="AM773" s="27" t="s">
        <v>8</v>
      </c>
      <c r="AN773" s="27" t="s">
        <v>7</v>
      </c>
      <c r="DM773" s="27" t="s">
        <v>8</v>
      </c>
      <c r="DN773" s="27" t="s">
        <v>7</v>
      </c>
      <c r="DO773" s="27" t="s">
        <v>8</v>
      </c>
      <c r="DP773" s="27" t="s">
        <v>7</v>
      </c>
      <c r="DS773" s="27" t="s">
        <v>8</v>
      </c>
      <c r="DT773" s="27" t="s">
        <v>7</v>
      </c>
      <c r="DU773" s="27" t="s">
        <v>8</v>
      </c>
      <c r="EJ773" s="27" t="s">
        <v>7</v>
      </c>
      <c r="GU773" s="27" t="s">
        <v>8</v>
      </c>
      <c r="GV773" s="27" t="s">
        <v>7</v>
      </c>
      <c r="GW773" s="27" t="s">
        <v>8</v>
      </c>
      <c r="GY773" s="27" t="s">
        <v>8</v>
      </c>
      <c r="GZ773" s="27" t="s">
        <v>7</v>
      </c>
      <c r="HA773" s="27" t="s">
        <v>8</v>
      </c>
      <c r="HB773" s="27" t="s">
        <v>7</v>
      </c>
      <c r="HC773" s="27" t="s">
        <v>8</v>
      </c>
      <c r="HD773" s="27" t="s">
        <v>7</v>
      </c>
      <c r="HE773" s="27" t="s">
        <v>8</v>
      </c>
      <c r="HN773" s="27" t="s">
        <v>7</v>
      </c>
      <c r="HO773" s="27" t="s">
        <v>8</v>
      </c>
    </row>
    <row r="774" spans="1:227" x14ac:dyDescent="0.25">
      <c r="A774" s="7">
        <v>2.4647216533923735E-2</v>
      </c>
      <c r="B774"/>
      <c r="C774"/>
      <c r="D774"/>
      <c r="E774"/>
      <c r="F774" s="27" t="s">
        <v>7</v>
      </c>
      <c r="AM774" s="27" t="s">
        <v>8</v>
      </c>
      <c r="AN774" s="27" t="s">
        <v>7</v>
      </c>
      <c r="DM774" s="27" t="s">
        <v>8</v>
      </c>
      <c r="DN774" s="27" t="s">
        <v>7</v>
      </c>
      <c r="DO774" s="27" t="s">
        <v>8</v>
      </c>
      <c r="DP774" s="27" t="s">
        <v>7</v>
      </c>
      <c r="DQ774" s="27" t="s">
        <v>8</v>
      </c>
      <c r="DS774" s="27" t="s">
        <v>8</v>
      </c>
      <c r="DT774" s="27" t="s">
        <v>7</v>
      </c>
      <c r="DU774" s="27" t="s">
        <v>8</v>
      </c>
      <c r="EJ774" s="27" t="s">
        <v>7</v>
      </c>
      <c r="GU774" s="27" t="s">
        <v>8</v>
      </c>
      <c r="GV774" s="27" t="s">
        <v>7</v>
      </c>
      <c r="GW774" s="27" t="s">
        <v>8</v>
      </c>
      <c r="GX774" s="27" t="s">
        <v>7</v>
      </c>
      <c r="GY774" s="27" t="s">
        <v>8</v>
      </c>
      <c r="GZ774" s="27" t="s">
        <v>7</v>
      </c>
      <c r="HA774" s="27" t="s">
        <v>8</v>
      </c>
      <c r="HB774" s="27" t="s">
        <v>7</v>
      </c>
      <c r="HC774" s="27" t="s">
        <v>8</v>
      </c>
      <c r="HD774" s="27" t="s">
        <v>7</v>
      </c>
      <c r="HE774" s="27" t="s">
        <v>8</v>
      </c>
      <c r="HN774" s="27" t="s">
        <v>7</v>
      </c>
      <c r="HO774" s="27" t="s">
        <v>8</v>
      </c>
    </row>
    <row r="775" spans="1:227" x14ac:dyDescent="0.25">
      <c r="A775" s="7">
        <v>2.4163937778356601E-2</v>
      </c>
      <c r="B775"/>
      <c r="C775"/>
      <c r="D775"/>
      <c r="E775"/>
      <c r="F775" s="27" t="s">
        <v>7</v>
      </c>
      <c r="AM775" s="27" t="s">
        <v>8</v>
      </c>
      <c r="AN775" s="27" t="s">
        <v>7</v>
      </c>
      <c r="DM775" s="27" t="s">
        <v>8</v>
      </c>
      <c r="DN775" s="27" t="s">
        <v>7</v>
      </c>
      <c r="DO775" s="27" t="s">
        <v>8</v>
      </c>
      <c r="DP775" s="27" t="s">
        <v>7</v>
      </c>
      <c r="DQ775" s="27" t="s">
        <v>8</v>
      </c>
      <c r="DR775" s="27" t="s">
        <v>7</v>
      </c>
      <c r="DS775" s="27" t="s">
        <v>8</v>
      </c>
      <c r="DT775" s="27" t="s">
        <v>7</v>
      </c>
      <c r="EJ775" s="27" t="s">
        <v>7</v>
      </c>
      <c r="GU775" s="27" t="s">
        <v>8</v>
      </c>
      <c r="GV775" s="27" t="s">
        <v>7</v>
      </c>
      <c r="GW775" s="27" t="s">
        <v>8</v>
      </c>
      <c r="GX775" s="27" t="s">
        <v>7</v>
      </c>
      <c r="GY775" s="27" t="s">
        <v>8</v>
      </c>
      <c r="GZ775" s="27" t="s">
        <v>7</v>
      </c>
      <c r="HA775" s="27" t="s">
        <v>8</v>
      </c>
      <c r="HB775" s="27" t="s">
        <v>7</v>
      </c>
      <c r="HC775" s="27" t="s">
        <v>8</v>
      </c>
      <c r="HD775" s="27" t="s">
        <v>7</v>
      </c>
      <c r="HN775" s="27" t="s">
        <v>7</v>
      </c>
      <c r="HO775" s="27" t="s">
        <v>8</v>
      </c>
    </row>
    <row r="776" spans="1:227" x14ac:dyDescent="0.25">
      <c r="A776" s="7">
        <v>2.3690135076820197E-2</v>
      </c>
      <c r="B776"/>
      <c r="C776"/>
      <c r="D776"/>
      <c r="E776"/>
      <c r="F776" s="27" t="s">
        <v>7</v>
      </c>
      <c r="AM776" s="27" t="s">
        <v>8</v>
      </c>
      <c r="AN776" s="27" t="s">
        <v>7</v>
      </c>
      <c r="DM776" s="27" t="s">
        <v>8</v>
      </c>
      <c r="DN776" s="27" t="s">
        <v>7</v>
      </c>
      <c r="DO776" s="27" t="s">
        <v>8</v>
      </c>
      <c r="DP776" s="27" t="s">
        <v>7</v>
      </c>
      <c r="DQ776" s="27" t="s">
        <v>8</v>
      </c>
      <c r="DR776" s="27" t="s">
        <v>7</v>
      </c>
      <c r="DS776" s="27" t="s">
        <v>8</v>
      </c>
      <c r="EJ776" s="27" t="s">
        <v>7</v>
      </c>
      <c r="GU776" s="27" t="s">
        <v>8</v>
      </c>
      <c r="GV776" s="27" t="s">
        <v>7</v>
      </c>
      <c r="GW776" s="27" t="s">
        <v>8</v>
      </c>
      <c r="GX776" s="27" t="s">
        <v>7</v>
      </c>
      <c r="GY776" s="27" t="s">
        <v>8</v>
      </c>
      <c r="GZ776" s="27" t="s">
        <v>7</v>
      </c>
      <c r="HA776" s="27" t="s">
        <v>8</v>
      </c>
      <c r="HB776" s="27" t="s">
        <v>7</v>
      </c>
      <c r="HC776" s="27" t="s">
        <v>8</v>
      </c>
      <c r="HN776" s="27" t="s">
        <v>7</v>
      </c>
      <c r="HO776" s="27" t="s">
        <v>8</v>
      </c>
    </row>
    <row r="777" spans="1:227" x14ac:dyDescent="0.25">
      <c r="A777" s="7">
        <v>2.3225622624333527E-2</v>
      </c>
      <c r="B777"/>
      <c r="C777"/>
      <c r="D777"/>
      <c r="E777"/>
      <c r="F777" s="27" t="s">
        <v>7</v>
      </c>
      <c r="AM777" s="27" t="s">
        <v>8</v>
      </c>
      <c r="AN777" s="27" t="s">
        <v>7</v>
      </c>
      <c r="DM777" s="27" t="s">
        <v>8</v>
      </c>
      <c r="DN777" s="27" t="s">
        <v>7</v>
      </c>
      <c r="DO777" s="27" t="s">
        <v>8</v>
      </c>
      <c r="DP777" s="27" t="s">
        <v>7</v>
      </c>
      <c r="DQ777" s="27" t="s">
        <v>8</v>
      </c>
      <c r="DR777" s="27" t="s">
        <v>7</v>
      </c>
      <c r="DS777" s="27" t="s">
        <v>8</v>
      </c>
      <c r="EJ777" s="27" t="s">
        <v>7</v>
      </c>
      <c r="EQ777" s="27" t="s">
        <v>8</v>
      </c>
      <c r="GU777" s="27" t="s">
        <v>8</v>
      </c>
      <c r="GV777" s="27" t="s">
        <v>7</v>
      </c>
      <c r="GW777" s="27" t="s">
        <v>8</v>
      </c>
      <c r="GX777" s="27" t="s">
        <v>7</v>
      </c>
      <c r="GY777" s="27" t="s">
        <v>8</v>
      </c>
      <c r="GZ777" s="27" t="s">
        <v>7</v>
      </c>
      <c r="HA777" s="27" t="s">
        <v>8</v>
      </c>
      <c r="HB777" s="27" t="s">
        <v>7</v>
      </c>
      <c r="HC777" s="27" t="s">
        <v>8</v>
      </c>
      <c r="HN777" s="27" t="s">
        <v>7</v>
      </c>
      <c r="HO777" s="27" t="s">
        <v>8</v>
      </c>
    </row>
    <row r="778" spans="1:227" x14ac:dyDescent="0.25">
      <c r="A778" s="7">
        <v>2.2770218259150519E-2</v>
      </c>
      <c r="B778"/>
      <c r="C778"/>
      <c r="D778"/>
      <c r="E778"/>
      <c r="F778" s="27" t="s">
        <v>7</v>
      </c>
      <c r="AM778" s="27" t="s">
        <v>8</v>
      </c>
      <c r="AN778" s="27" t="s">
        <v>7</v>
      </c>
      <c r="DM778" s="27" t="s">
        <v>8</v>
      </c>
      <c r="DN778" s="27" t="s">
        <v>7</v>
      </c>
      <c r="DO778" s="27" t="s">
        <v>8</v>
      </c>
      <c r="DP778" s="27" t="s">
        <v>7</v>
      </c>
      <c r="DR778" s="27" t="s">
        <v>7</v>
      </c>
      <c r="DS778" s="27" t="s">
        <v>8</v>
      </c>
      <c r="EJ778" s="27" t="s">
        <v>7</v>
      </c>
      <c r="EQ778" s="27" t="s">
        <v>8</v>
      </c>
      <c r="ER778" s="27" t="s">
        <v>7</v>
      </c>
      <c r="GU778" s="27" t="s">
        <v>8</v>
      </c>
      <c r="GV778" s="27" t="s">
        <v>7</v>
      </c>
      <c r="GW778" s="27" t="s">
        <v>8</v>
      </c>
      <c r="GX778" s="27" t="s">
        <v>7</v>
      </c>
      <c r="GY778" s="27" t="s">
        <v>8</v>
      </c>
      <c r="GZ778" s="27" t="s">
        <v>7</v>
      </c>
      <c r="HA778" s="27" t="s">
        <v>8</v>
      </c>
      <c r="HB778" s="27" t="s">
        <v>7</v>
      </c>
      <c r="HN778" s="27" t="s">
        <v>7</v>
      </c>
      <c r="HO778" s="27" t="s">
        <v>8</v>
      </c>
    </row>
    <row r="779" spans="1:227" x14ac:dyDescent="0.25">
      <c r="A779" s="7">
        <v>2.2323743391324039E-2</v>
      </c>
      <c r="B779"/>
      <c r="C779"/>
      <c r="D779"/>
      <c r="E779"/>
      <c r="F779" s="27" t="s">
        <v>7</v>
      </c>
      <c r="AM779" s="27" t="s">
        <v>8</v>
      </c>
      <c r="AN779" s="27" t="s">
        <v>7</v>
      </c>
      <c r="DM779" s="27" t="s">
        <v>8</v>
      </c>
      <c r="DN779" s="27" t="s">
        <v>7</v>
      </c>
      <c r="DO779" s="27" t="s">
        <v>8</v>
      </c>
      <c r="DR779" s="27" t="s">
        <v>7</v>
      </c>
      <c r="DS779" s="27" t="s">
        <v>8</v>
      </c>
      <c r="EJ779" s="27" t="s">
        <v>7</v>
      </c>
      <c r="EQ779" s="27" t="s">
        <v>8</v>
      </c>
      <c r="ER779" s="27" t="s">
        <v>7</v>
      </c>
      <c r="GU779" s="27" t="s">
        <v>8</v>
      </c>
      <c r="GV779" s="27" t="s">
        <v>7</v>
      </c>
      <c r="GW779" s="27" t="s">
        <v>8</v>
      </c>
      <c r="GX779" s="27" t="s">
        <v>7</v>
      </c>
      <c r="GY779" s="27" t="s">
        <v>8</v>
      </c>
      <c r="GZ779" s="27" t="s">
        <v>7</v>
      </c>
      <c r="HN779" s="27" t="s">
        <v>7</v>
      </c>
      <c r="HO779" s="27" t="s">
        <v>8</v>
      </c>
    </row>
    <row r="780" spans="1:227" x14ac:dyDescent="0.25">
      <c r="A780" s="7">
        <v>2.188602293267063E-2</v>
      </c>
      <c r="B780"/>
      <c r="C780"/>
      <c r="D780"/>
      <c r="E780"/>
      <c r="F780" s="27" t="s">
        <v>7</v>
      </c>
      <c r="AM780" s="27" t="s">
        <v>8</v>
      </c>
      <c r="AN780" s="27" t="s">
        <v>7</v>
      </c>
      <c r="DK780" s="27" t="s">
        <v>8</v>
      </c>
      <c r="DM780" s="27" t="s">
        <v>8</v>
      </c>
      <c r="DN780" s="27" t="s">
        <v>7</v>
      </c>
      <c r="DO780" s="27" t="s">
        <v>8</v>
      </c>
      <c r="DR780" s="27" t="s">
        <v>7</v>
      </c>
      <c r="EJ780" s="27" t="s">
        <v>7</v>
      </c>
      <c r="EO780" s="27" t="s">
        <v>8</v>
      </c>
      <c r="EQ780" s="27" t="s">
        <v>8</v>
      </c>
      <c r="ER780" s="27" t="s">
        <v>7</v>
      </c>
      <c r="GU780" s="27" t="s">
        <v>8</v>
      </c>
      <c r="GV780" s="27" t="s">
        <v>7</v>
      </c>
      <c r="GW780" s="27" t="s">
        <v>8</v>
      </c>
      <c r="GX780" s="27" t="s">
        <v>7</v>
      </c>
      <c r="GY780" s="27" t="s">
        <v>8</v>
      </c>
      <c r="HN780" s="27" t="s">
        <v>7</v>
      </c>
    </row>
    <row r="781" spans="1:227" x14ac:dyDescent="0.25">
      <c r="A781" s="7">
        <v>2.1456885228108461E-2</v>
      </c>
      <c r="B781"/>
      <c r="C781"/>
      <c r="D781"/>
      <c r="E781"/>
      <c r="F781" s="27" t="s">
        <v>7</v>
      </c>
      <c r="AM781" s="27" t="s">
        <v>8</v>
      </c>
      <c r="AN781" s="27" t="s">
        <v>7</v>
      </c>
      <c r="DK781" s="27" t="s">
        <v>8</v>
      </c>
      <c r="DL781" s="27" t="s">
        <v>7</v>
      </c>
      <c r="DM781" s="27" t="s">
        <v>8</v>
      </c>
      <c r="DN781" s="27" t="s">
        <v>7</v>
      </c>
      <c r="DO781" s="27" t="s">
        <v>8</v>
      </c>
      <c r="EJ781" s="27" t="s">
        <v>7</v>
      </c>
      <c r="EM781" s="27" t="s">
        <v>8</v>
      </c>
      <c r="EO781" s="27" t="s">
        <v>8</v>
      </c>
      <c r="EP781" s="27" t="s">
        <v>7</v>
      </c>
      <c r="EQ781" s="27" t="s">
        <v>8</v>
      </c>
      <c r="ER781" s="27" t="s">
        <v>7</v>
      </c>
      <c r="GU781" s="27" t="s">
        <v>8</v>
      </c>
      <c r="GV781" s="27" t="s">
        <v>7</v>
      </c>
      <c r="GW781" s="27" t="s">
        <v>8</v>
      </c>
      <c r="GX781" s="27" t="s">
        <v>7</v>
      </c>
      <c r="GY781" s="27" t="s">
        <v>8</v>
      </c>
    </row>
    <row r="782" spans="1:227" x14ac:dyDescent="0.25">
      <c r="A782" s="7">
        <v>2.1036161988341632E-2</v>
      </c>
      <c r="B782"/>
      <c r="C782"/>
      <c r="D782"/>
      <c r="E782"/>
      <c r="F782" s="27" t="s">
        <v>7</v>
      </c>
      <c r="AM782" s="27" t="s">
        <v>8</v>
      </c>
      <c r="AN782" s="27" t="s">
        <v>7</v>
      </c>
      <c r="DK782" s="27" t="s">
        <v>8</v>
      </c>
      <c r="DL782" s="27" t="s">
        <v>7</v>
      </c>
      <c r="DM782" s="27" t="s">
        <v>8</v>
      </c>
      <c r="DN782" s="27" t="s">
        <v>7</v>
      </c>
      <c r="DO782" s="27" t="s">
        <v>8</v>
      </c>
      <c r="EJ782" s="27" t="s">
        <v>7</v>
      </c>
      <c r="EM782" s="27" t="s">
        <v>8</v>
      </c>
      <c r="EN782" s="27" t="s">
        <v>7</v>
      </c>
      <c r="EO782" s="27" t="s">
        <v>8</v>
      </c>
      <c r="EP782" s="27" t="s">
        <v>7</v>
      </c>
      <c r="EQ782" s="27" t="s">
        <v>8</v>
      </c>
      <c r="ER782" s="27" t="s">
        <v>7</v>
      </c>
      <c r="FK782" s="27" t="s">
        <v>8</v>
      </c>
      <c r="GU782" s="27" t="s">
        <v>8</v>
      </c>
      <c r="GV782" s="27" t="s">
        <v>7</v>
      </c>
      <c r="GW782" s="27" t="s">
        <v>8</v>
      </c>
      <c r="GX782" s="27" t="s">
        <v>7</v>
      </c>
      <c r="GY782" s="27" t="s">
        <v>8</v>
      </c>
    </row>
    <row r="783" spans="1:227" x14ac:dyDescent="0.25">
      <c r="A783" s="7">
        <v>2.0623688223864345E-2</v>
      </c>
      <c r="B783"/>
      <c r="C783"/>
      <c r="D783"/>
      <c r="E783"/>
      <c r="F783" s="27" t="s">
        <v>7</v>
      </c>
      <c r="AM783" s="27" t="s">
        <v>8</v>
      </c>
      <c r="AN783" s="27" t="s">
        <v>7</v>
      </c>
      <c r="AO783" s="27" t="s">
        <v>8</v>
      </c>
      <c r="DK783" s="27" t="s">
        <v>8</v>
      </c>
      <c r="DL783" s="27" t="s">
        <v>7</v>
      </c>
      <c r="DM783" s="27" t="s">
        <v>8</v>
      </c>
      <c r="DN783" s="27" t="s">
        <v>7</v>
      </c>
      <c r="DO783" s="27" t="s">
        <v>8</v>
      </c>
      <c r="EJ783" s="27" t="s">
        <v>7</v>
      </c>
      <c r="EM783" s="27" t="s">
        <v>8</v>
      </c>
      <c r="EN783" s="27" t="s">
        <v>7</v>
      </c>
      <c r="EO783" s="27" t="s">
        <v>8</v>
      </c>
      <c r="EP783" s="27" t="s">
        <v>7</v>
      </c>
      <c r="EQ783" s="27" t="s">
        <v>8</v>
      </c>
      <c r="ER783" s="27" t="s">
        <v>7</v>
      </c>
      <c r="FK783" s="27" t="s">
        <v>8</v>
      </c>
      <c r="FL783" s="27" t="s">
        <v>7</v>
      </c>
      <c r="GU783" s="27" t="s">
        <v>8</v>
      </c>
      <c r="GV783" s="27" t="s">
        <v>7</v>
      </c>
      <c r="GW783" s="27" t="s">
        <v>8</v>
      </c>
      <c r="GX783" s="27" t="s">
        <v>7</v>
      </c>
      <c r="GY783" s="27" t="s">
        <v>8</v>
      </c>
    </row>
    <row r="784" spans="1:227" x14ac:dyDescent="0.25">
      <c r="A784" s="7">
        <v>2.021930218025916E-2</v>
      </c>
      <c r="B784"/>
      <c r="C784"/>
      <c r="D784"/>
      <c r="E784"/>
      <c r="F784" s="27" t="s">
        <v>7</v>
      </c>
      <c r="AM784" s="27" t="s">
        <v>8</v>
      </c>
      <c r="AN784" s="27" t="s">
        <v>7</v>
      </c>
      <c r="AO784" s="27" t="s">
        <v>8</v>
      </c>
      <c r="AP784" s="27" t="s">
        <v>7</v>
      </c>
      <c r="DK784" s="27" t="s">
        <v>8</v>
      </c>
      <c r="DL784" s="27" t="s">
        <v>7</v>
      </c>
      <c r="DM784" s="27" t="s">
        <v>8</v>
      </c>
      <c r="DN784" s="27" t="s">
        <v>7</v>
      </c>
      <c r="EJ784" s="27" t="s">
        <v>7</v>
      </c>
      <c r="EM784" s="27" t="s">
        <v>8</v>
      </c>
      <c r="EN784" s="27" t="s">
        <v>7</v>
      </c>
      <c r="EO784" s="27" t="s">
        <v>8</v>
      </c>
      <c r="EP784" s="27" t="s">
        <v>7</v>
      </c>
      <c r="EQ784" s="27" t="s">
        <v>8</v>
      </c>
      <c r="ER784" s="27" t="s">
        <v>7</v>
      </c>
      <c r="FK784" s="27" t="s">
        <v>8</v>
      </c>
      <c r="FL784" s="27" t="s">
        <v>7</v>
      </c>
      <c r="GU784" s="27" t="s">
        <v>8</v>
      </c>
      <c r="GV784" s="27" t="s">
        <v>7</v>
      </c>
      <c r="GW784" s="27" t="s">
        <v>8</v>
      </c>
      <c r="GX784" s="27" t="s">
        <v>7</v>
      </c>
      <c r="GY784" s="27" t="s">
        <v>8</v>
      </c>
    </row>
    <row r="785" spans="1:207" x14ac:dyDescent="0.25">
      <c r="A785" s="7">
        <v>1.9822845274763884E-2</v>
      </c>
      <c r="B785"/>
      <c r="C785"/>
      <c r="D785"/>
      <c r="E785"/>
      <c r="F785" s="27" t="s">
        <v>7</v>
      </c>
      <c r="AM785" s="27" t="s">
        <v>8</v>
      </c>
      <c r="AN785" s="27" t="s">
        <v>7</v>
      </c>
      <c r="AO785" s="27" t="s">
        <v>8</v>
      </c>
      <c r="AP785" s="27" t="s">
        <v>7</v>
      </c>
      <c r="DK785" s="27" t="s">
        <v>8</v>
      </c>
      <c r="DL785" s="27" t="s">
        <v>7</v>
      </c>
      <c r="DM785" s="27" t="s">
        <v>8</v>
      </c>
      <c r="EJ785" s="27" t="s">
        <v>7</v>
      </c>
      <c r="EM785" s="27" t="s">
        <v>8</v>
      </c>
      <c r="EN785" s="27" t="s">
        <v>7</v>
      </c>
      <c r="EO785" s="27" t="s">
        <v>8</v>
      </c>
      <c r="EP785" s="27" t="s">
        <v>7</v>
      </c>
      <c r="EQ785" s="27" t="s">
        <v>8</v>
      </c>
      <c r="ER785" s="27" t="s">
        <v>7</v>
      </c>
      <c r="FK785" s="27" t="s">
        <v>8</v>
      </c>
      <c r="FL785" s="27" t="s">
        <v>7</v>
      </c>
      <c r="GU785" s="27" t="s">
        <v>8</v>
      </c>
      <c r="GV785" s="27" t="s">
        <v>7</v>
      </c>
      <c r="GW785" s="27" t="s">
        <v>8</v>
      </c>
      <c r="GX785" s="27" t="s">
        <v>7</v>
      </c>
      <c r="GY785" s="27" t="s">
        <v>8</v>
      </c>
    </row>
    <row r="786" spans="1:207" x14ac:dyDescent="0.25">
      <c r="A786" s="7">
        <v>1.9434162034082238E-2</v>
      </c>
      <c r="B786"/>
      <c r="C786"/>
      <c r="D786"/>
      <c r="E786"/>
      <c r="F786" s="27" t="s">
        <v>7</v>
      </c>
      <c r="AM786" s="27" t="s">
        <v>8</v>
      </c>
      <c r="AN786" s="27" t="s">
        <v>7</v>
      </c>
      <c r="AO786" s="27" t="s">
        <v>8</v>
      </c>
      <c r="AP786" s="27" t="s">
        <v>7</v>
      </c>
      <c r="DK786" s="27" t="s">
        <v>8</v>
      </c>
      <c r="DL786" s="27" t="s">
        <v>7</v>
      </c>
      <c r="DM786" s="27" t="s">
        <v>8</v>
      </c>
      <c r="EJ786" s="27" t="s">
        <v>7</v>
      </c>
      <c r="EM786" s="27" t="s">
        <v>8</v>
      </c>
      <c r="EN786" s="27" t="s">
        <v>7</v>
      </c>
      <c r="EP786" s="27" t="s">
        <v>7</v>
      </c>
      <c r="EQ786" s="27" t="s">
        <v>8</v>
      </c>
      <c r="ER786" s="27" t="s">
        <v>7</v>
      </c>
      <c r="FK786" s="27" t="s">
        <v>8</v>
      </c>
      <c r="FL786" s="27" t="s">
        <v>7</v>
      </c>
      <c r="GU786" s="27" t="s">
        <v>8</v>
      </c>
      <c r="GV786" s="27" t="s">
        <v>7</v>
      </c>
      <c r="GW786" s="27" t="s">
        <v>8</v>
      </c>
      <c r="GX786" s="27" t="s">
        <v>7</v>
      </c>
      <c r="GY786" s="27" t="s">
        <v>8</v>
      </c>
    </row>
    <row r="787" spans="1:207" x14ac:dyDescent="0.25">
      <c r="A787" s="7">
        <v>1.9053100033413959E-2</v>
      </c>
      <c r="B787"/>
      <c r="C787"/>
      <c r="D787"/>
      <c r="E787"/>
      <c r="F787" s="27" t="s">
        <v>7</v>
      </c>
      <c r="AM787" s="27" t="s">
        <v>8</v>
      </c>
      <c r="AN787" s="27" t="s">
        <v>7</v>
      </c>
      <c r="AO787" s="27" t="s">
        <v>8</v>
      </c>
      <c r="AP787" s="27" t="s">
        <v>7</v>
      </c>
      <c r="DK787" s="27" t="s">
        <v>8</v>
      </c>
      <c r="DL787" s="27" t="s">
        <v>7</v>
      </c>
      <c r="DM787" s="27" t="s">
        <v>8</v>
      </c>
      <c r="EJ787" s="27" t="s">
        <v>7</v>
      </c>
      <c r="EM787" s="27" t="s">
        <v>8</v>
      </c>
      <c r="EP787" s="27" t="s">
        <v>7</v>
      </c>
      <c r="EQ787" s="27" t="s">
        <v>8</v>
      </c>
      <c r="ER787" s="27" t="s">
        <v>7</v>
      </c>
      <c r="FK787" s="27" t="s">
        <v>8</v>
      </c>
      <c r="FL787" s="27" t="s">
        <v>7</v>
      </c>
      <c r="GU787" s="27" t="s">
        <v>8</v>
      </c>
      <c r="GV787" s="27" t="s">
        <v>7</v>
      </c>
      <c r="GW787" s="27" t="s">
        <v>8</v>
      </c>
      <c r="GX787" s="27" t="s">
        <v>7</v>
      </c>
      <c r="GY787" s="27" t="s">
        <v>8</v>
      </c>
    </row>
    <row r="788" spans="1:207" x14ac:dyDescent="0.25">
      <c r="A788" s="7">
        <v>1.867950983668035E-2</v>
      </c>
      <c r="B788"/>
      <c r="C788"/>
      <c r="D788"/>
      <c r="E788"/>
      <c r="F788" s="27" t="s">
        <v>7</v>
      </c>
      <c r="AM788" s="27" t="s">
        <v>8</v>
      </c>
      <c r="AN788" s="27" t="s">
        <v>7</v>
      </c>
      <c r="AO788" s="27" t="s">
        <v>8</v>
      </c>
      <c r="AP788" s="27" t="s">
        <v>7</v>
      </c>
      <c r="AW788" s="27" t="s">
        <v>8</v>
      </c>
      <c r="CU788" s="27" t="s">
        <v>8</v>
      </c>
      <c r="DK788" s="27" t="s">
        <v>8</v>
      </c>
      <c r="DL788" s="27" t="s">
        <v>7</v>
      </c>
      <c r="DM788" s="27" t="s">
        <v>8</v>
      </c>
      <c r="EJ788" s="27" t="s">
        <v>7</v>
      </c>
      <c r="EK788" s="27" t="s">
        <v>8</v>
      </c>
      <c r="EM788" s="27" t="s">
        <v>8</v>
      </c>
      <c r="EP788" s="27" t="s">
        <v>7</v>
      </c>
      <c r="EQ788" s="27" t="s">
        <v>8</v>
      </c>
      <c r="ER788" s="27" t="s">
        <v>7</v>
      </c>
      <c r="FI788" s="27" t="s">
        <v>8</v>
      </c>
      <c r="FK788" s="27" t="s">
        <v>8</v>
      </c>
      <c r="FL788" s="27" t="s">
        <v>7</v>
      </c>
      <c r="GU788" s="27" t="s">
        <v>8</v>
      </c>
      <c r="GV788" s="27" t="s">
        <v>7</v>
      </c>
      <c r="GW788" s="27" t="s">
        <v>8</v>
      </c>
      <c r="GX788" s="27" t="s">
        <v>7</v>
      </c>
      <c r="GY788" s="27" t="s">
        <v>8</v>
      </c>
    </row>
    <row r="789" spans="1:207" x14ac:dyDescent="0.25">
      <c r="A789" s="7">
        <v>1.8313244937921913E-2</v>
      </c>
      <c r="B789"/>
      <c r="C789"/>
      <c r="D789"/>
      <c r="E789"/>
      <c r="F789" s="27" t="s">
        <v>7</v>
      </c>
      <c r="AM789" s="27" t="s">
        <v>8</v>
      </c>
      <c r="AN789" s="27" t="s">
        <v>7</v>
      </c>
      <c r="AO789" s="27" t="s">
        <v>8</v>
      </c>
      <c r="AP789" s="27" t="s">
        <v>7</v>
      </c>
      <c r="AQ789" s="27" t="s">
        <v>8</v>
      </c>
      <c r="AW789" s="27" t="s">
        <v>8</v>
      </c>
      <c r="AX789" s="27" t="s">
        <v>7</v>
      </c>
      <c r="CU789" s="27" t="s">
        <v>8</v>
      </c>
      <c r="CV789" s="27" t="s">
        <v>7</v>
      </c>
      <c r="CY789" s="27" t="s">
        <v>8</v>
      </c>
      <c r="DK789" s="27" t="s">
        <v>8</v>
      </c>
      <c r="DL789" s="27" t="s">
        <v>7</v>
      </c>
      <c r="DM789" s="27" t="s">
        <v>8</v>
      </c>
      <c r="EJ789" s="27" t="s">
        <v>7</v>
      </c>
      <c r="EK789" s="27" t="s">
        <v>8</v>
      </c>
      <c r="EL789" s="27" t="s">
        <v>7</v>
      </c>
      <c r="EM789" s="27" t="s">
        <v>8</v>
      </c>
      <c r="EP789" s="27" t="s">
        <v>7</v>
      </c>
      <c r="EQ789" s="27" t="s">
        <v>8</v>
      </c>
      <c r="ER789" s="27" t="s">
        <v>7</v>
      </c>
      <c r="EU789" s="27" t="s">
        <v>8</v>
      </c>
      <c r="FA789" s="27" t="s">
        <v>8</v>
      </c>
      <c r="FI789" s="27" t="s">
        <v>8</v>
      </c>
      <c r="FJ789" s="27" t="s">
        <v>7</v>
      </c>
      <c r="FK789" s="27" t="s">
        <v>8</v>
      </c>
      <c r="FL789" s="27" t="s">
        <v>7</v>
      </c>
      <c r="FS789" s="27" t="s">
        <v>8</v>
      </c>
      <c r="GU789" s="27" t="s">
        <v>8</v>
      </c>
      <c r="GV789" s="27" t="s">
        <v>7</v>
      </c>
      <c r="GW789" s="27" t="s">
        <v>8</v>
      </c>
      <c r="GX789" s="27" t="s">
        <v>7</v>
      </c>
      <c r="GY789" s="27" t="s">
        <v>8</v>
      </c>
    </row>
    <row r="790" spans="1:207" x14ac:dyDescent="0.25">
      <c r="A790" s="7">
        <v>1.7954161703845013E-2</v>
      </c>
      <c r="B790"/>
      <c r="C790"/>
      <c r="D790"/>
      <c r="E790"/>
      <c r="F790" s="27" t="s">
        <v>7</v>
      </c>
      <c r="AM790" s="27" t="s">
        <v>8</v>
      </c>
      <c r="AN790" s="27" t="s">
        <v>7</v>
      </c>
      <c r="AO790" s="27" t="s">
        <v>8</v>
      </c>
      <c r="AP790" s="27" t="s">
        <v>7</v>
      </c>
      <c r="AQ790" s="27" t="s">
        <v>8</v>
      </c>
      <c r="AR790" s="27" t="s">
        <v>7</v>
      </c>
      <c r="AS790" s="27" t="s">
        <v>8</v>
      </c>
      <c r="AW790" s="27" t="s">
        <v>8</v>
      </c>
      <c r="AX790" s="27" t="s">
        <v>7</v>
      </c>
      <c r="CU790" s="27" t="s">
        <v>8</v>
      </c>
      <c r="CV790" s="27" t="s">
        <v>7</v>
      </c>
      <c r="CW790" s="27" t="s">
        <v>8</v>
      </c>
      <c r="CY790" s="27" t="s">
        <v>8</v>
      </c>
      <c r="CZ790" s="27" t="s">
        <v>7</v>
      </c>
      <c r="DK790" s="27" t="s">
        <v>8</v>
      </c>
      <c r="DL790" s="27" t="s">
        <v>7</v>
      </c>
      <c r="DM790" s="27" t="s">
        <v>8</v>
      </c>
      <c r="EJ790" s="27" t="s">
        <v>7</v>
      </c>
      <c r="EK790" s="27" t="s">
        <v>8</v>
      </c>
      <c r="EL790" s="27" t="s">
        <v>7</v>
      </c>
      <c r="EM790" s="27" t="s">
        <v>8</v>
      </c>
      <c r="EP790" s="27" t="s">
        <v>7</v>
      </c>
      <c r="EQ790" s="27" t="s">
        <v>8</v>
      </c>
      <c r="ER790" s="27" t="s">
        <v>7</v>
      </c>
      <c r="EU790" s="27" t="s">
        <v>8</v>
      </c>
      <c r="EV790" s="27" t="s">
        <v>7</v>
      </c>
      <c r="FA790" s="27" t="s">
        <v>8</v>
      </c>
      <c r="FB790" s="27" t="s">
        <v>7</v>
      </c>
      <c r="FC790" s="27" t="s">
        <v>8</v>
      </c>
      <c r="FI790" s="27" t="s">
        <v>8</v>
      </c>
      <c r="FJ790" s="27" t="s">
        <v>7</v>
      </c>
      <c r="FK790" s="27" t="s">
        <v>8</v>
      </c>
      <c r="FL790" s="27" t="s">
        <v>7</v>
      </c>
      <c r="FQ790" s="27" t="s">
        <v>8</v>
      </c>
      <c r="FS790" s="27" t="s">
        <v>8</v>
      </c>
      <c r="FT790" s="27" t="s">
        <v>7</v>
      </c>
      <c r="GA790" s="27" t="s">
        <v>8</v>
      </c>
      <c r="GM790" s="27" t="s">
        <v>8</v>
      </c>
      <c r="GU790" s="27" t="s">
        <v>8</v>
      </c>
      <c r="GV790" s="27" t="s">
        <v>7</v>
      </c>
      <c r="GW790" s="27" t="s">
        <v>8</v>
      </c>
      <c r="GX790" s="27" t="s">
        <v>7</v>
      </c>
    </row>
    <row r="791" spans="1:207" x14ac:dyDescent="0.25">
      <c r="A791" s="7">
        <v>1.7602119317495109E-2</v>
      </c>
      <c r="B791"/>
      <c r="C791"/>
      <c r="D791"/>
      <c r="E791"/>
      <c r="F791" s="27" t="s">
        <v>7</v>
      </c>
      <c r="AM791" s="27" t="s">
        <v>8</v>
      </c>
      <c r="AN791" s="27" t="s">
        <v>7</v>
      </c>
      <c r="AO791" s="27" t="s">
        <v>8</v>
      </c>
      <c r="AP791" s="27" t="s">
        <v>7</v>
      </c>
      <c r="AQ791" s="27" t="s">
        <v>8</v>
      </c>
      <c r="AR791" s="27" t="s">
        <v>7</v>
      </c>
      <c r="AS791" s="27" t="s">
        <v>8</v>
      </c>
      <c r="AT791" s="27" t="s">
        <v>7</v>
      </c>
      <c r="AW791" s="27" t="s">
        <v>8</v>
      </c>
      <c r="AX791" s="27" t="s">
        <v>7</v>
      </c>
      <c r="CU791" s="27" t="s">
        <v>8</v>
      </c>
      <c r="CV791" s="27" t="s">
        <v>7</v>
      </c>
      <c r="CW791" s="27" t="s">
        <v>8</v>
      </c>
      <c r="CX791" s="27" t="s">
        <v>7</v>
      </c>
      <c r="CY791" s="27" t="s">
        <v>8</v>
      </c>
      <c r="CZ791" s="27" t="s">
        <v>7</v>
      </c>
      <c r="DK791" s="27" t="s">
        <v>8</v>
      </c>
      <c r="DL791" s="27" t="s">
        <v>7</v>
      </c>
      <c r="DM791" s="27" t="s">
        <v>8</v>
      </c>
      <c r="EJ791" s="27" t="s">
        <v>7</v>
      </c>
      <c r="EK791" s="27" t="s">
        <v>8</v>
      </c>
      <c r="EL791" s="27" t="s">
        <v>7</v>
      </c>
      <c r="EM791" s="27" t="s">
        <v>8</v>
      </c>
      <c r="EP791" s="27" t="s">
        <v>7</v>
      </c>
      <c r="EQ791" s="27" t="s">
        <v>8</v>
      </c>
      <c r="ER791" s="27" t="s">
        <v>7</v>
      </c>
      <c r="EU791" s="27" t="s">
        <v>8</v>
      </c>
      <c r="EV791" s="27" t="s">
        <v>7</v>
      </c>
      <c r="EY791" s="27" t="s">
        <v>8</v>
      </c>
      <c r="FA791" s="27" t="s">
        <v>8</v>
      </c>
      <c r="FB791" s="27" t="s">
        <v>7</v>
      </c>
      <c r="FC791" s="27" t="s">
        <v>8</v>
      </c>
      <c r="FD791" s="27" t="s">
        <v>7</v>
      </c>
      <c r="FE791" s="27" t="s">
        <v>8</v>
      </c>
      <c r="FI791" s="27" t="s">
        <v>8</v>
      </c>
      <c r="FJ791" s="27" t="s">
        <v>7</v>
      </c>
      <c r="FK791" s="27" t="s">
        <v>8</v>
      </c>
      <c r="FL791" s="27" t="s">
        <v>7</v>
      </c>
      <c r="FQ791" s="27" t="s">
        <v>8</v>
      </c>
      <c r="FR791" s="27" t="s">
        <v>7</v>
      </c>
      <c r="FS791" s="27" t="s">
        <v>8</v>
      </c>
      <c r="FT791" s="27" t="s">
        <v>7</v>
      </c>
      <c r="GA791" s="27" t="s">
        <v>8</v>
      </c>
      <c r="GB791" s="27" t="s">
        <v>7</v>
      </c>
      <c r="GM791" s="27" t="s">
        <v>8</v>
      </c>
      <c r="GN791" s="27" t="s">
        <v>7</v>
      </c>
      <c r="GU791" s="27" t="s">
        <v>8</v>
      </c>
      <c r="GV791" s="27" t="s">
        <v>7</v>
      </c>
      <c r="GW791" s="27" t="s">
        <v>8</v>
      </c>
    </row>
    <row r="792" spans="1:207" x14ac:dyDescent="0.25">
      <c r="A792" s="7">
        <v>1.7256979723034419E-2</v>
      </c>
      <c r="B792"/>
      <c r="C792"/>
      <c r="D792"/>
      <c r="E792"/>
      <c r="F792" s="27" t="s">
        <v>7</v>
      </c>
      <c r="G792" s="27" t="s">
        <v>8</v>
      </c>
      <c r="AM792" s="27" t="s">
        <v>8</v>
      </c>
      <c r="AN792" s="27" t="s">
        <v>7</v>
      </c>
      <c r="AO792" s="27" t="s">
        <v>8</v>
      </c>
      <c r="AP792" s="27" t="s">
        <v>7</v>
      </c>
      <c r="AQ792" s="27" t="s">
        <v>8</v>
      </c>
      <c r="AR792" s="27" t="s">
        <v>7</v>
      </c>
      <c r="AS792" s="27" t="s">
        <v>8</v>
      </c>
      <c r="AT792" s="27" t="s">
        <v>7</v>
      </c>
      <c r="AW792" s="27" t="s">
        <v>8</v>
      </c>
      <c r="AX792" s="27" t="s">
        <v>7</v>
      </c>
      <c r="CU792" s="27" t="s">
        <v>8</v>
      </c>
      <c r="CV792" s="27" t="s">
        <v>7</v>
      </c>
      <c r="CW792" s="27" t="s">
        <v>8</v>
      </c>
      <c r="CX792" s="27" t="s">
        <v>7</v>
      </c>
      <c r="CY792" s="27" t="s">
        <v>8</v>
      </c>
      <c r="CZ792" s="27" t="s">
        <v>7</v>
      </c>
      <c r="DK792" s="27" t="s">
        <v>8</v>
      </c>
      <c r="DL792" s="27" t="s">
        <v>7</v>
      </c>
      <c r="DM792" s="27" t="s">
        <v>8</v>
      </c>
      <c r="EJ792" s="27" t="s">
        <v>7</v>
      </c>
      <c r="EK792" s="27" t="s">
        <v>8</v>
      </c>
      <c r="EL792" s="27" t="s">
        <v>7</v>
      </c>
      <c r="EM792" s="27" t="s">
        <v>8</v>
      </c>
      <c r="EP792" s="27" t="s">
        <v>7</v>
      </c>
      <c r="ER792" s="27" t="s">
        <v>7</v>
      </c>
      <c r="ES792" s="27" t="s">
        <v>8</v>
      </c>
      <c r="EU792" s="27" t="s">
        <v>8</v>
      </c>
      <c r="EV792" s="27" t="s">
        <v>7</v>
      </c>
      <c r="EY792" s="27" t="s">
        <v>8</v>
      </c>
      <c r="EZ792" s="27" t="s">
        <v>7</v>
      </c>
      <c r="FA792" s="27" t="s">
        <v>8</v>
      </c>
      <c r="FB792" s="27" t="s">
        <v>7</v>
      </c>
      <c r="FC792" s="27" t="s">
        <v>8</v>
      </c>
      <c r="FD792" s="27" t="s">
        <v>7</v>
      </c>
      <c r="FE792" s="27" t="s">
        <v>8</v>
      </c>
      <c r="FF792" s="27" t="s">
        <v>7</v>
      </c>
      <c r="FG792" s="27" t="s">
        <v>8</v>
      </c>
      <c r="FI792" s="27" t="s">
        <v>8</v>
      </c>
      <c r="FJ792" s="27" t="s">
        <v>7</v>
      </c>
      <c r="FK792" s="27" t="s">
        <v>8</v>
      </c>
      <c r="FL792" s="27" t="s">
        <v>7</v>
      </c>
      <c r="FM792" s="27" t="s">
        <v>8</v>
      </c>
      <c r="FQ792" s="27" t="s">
        <v>8</v>
      </c>
      <c r="FR792" s="27" t="s">
        <v>7</v>
      </c>
      <c r="FS792" s="27" t="s">
        <v>8</v>
      </c>
      <c r="FT792" s="27" t="s">
        <v>7</v>
      </c>
      <c r="GA792" s="27" t="s">
        <v>8</v>
      </c>
      <c r="GB792" s="27" t="s">
        <v>7</v>
      </c>
      <c r="GM792" s="27" t="s">
        <v>8</v>
      </c>
      <c r="GN792" s="27" t="s">
        <v>7</v>
      </c>
      <c r="GU792" s="27" t="s">
        <v>8</v>
      </c>
      <c r="GV792" s="27" t="s">
        <v>7</v>
      </c>
      <c r="GW792" s="27" t="s">
        <v>8</v>
      </c>
    </row>
    <row r="793" spans="1:207" x14ac:dyDescent="0.25">
      <c r="A793" s="7">
        <v>1.6918607571602372E-2</v>
      </c>
      <c r="B793"/>
      <c r="C793"/>
      <c r="D793"/>
      <c r="E793"/>
      <c r="F793" s="27" t="s">
        <v>7</v>
      </c>
      <c r="G793" s="27" t="s">
        <v>8</v>
      </c>
      <c r="H793" s="27" t="s">
        <v>7</v>
      </c>
      <c r="AK793" s="27" t="s">
        <v>8</v>
      </c>
      <c r="AM793" s="27" t="s">
        <v>8</v>
      </c>
      <c r="AN793" s="27" t="s">
        <v>7</v>
      </c>
      <c r="AO793" s="27" t="s">
        <v>8</v>
      </c>
      <c r="AP793" s="27" t="s">
        <v>7</v>
      </c>
      <c r="AQ793" s="27" t="s">
        <v>8</v>
      </c>
      <c r="AR793" s="27" t="s">
        <v>7</v>
      </c>
      <c r="AS793" s="27" t="s">
        <v>8</v>
      </c>
      <c r="AT793" s="27" t="s">
        <v>7</v>
      </c>
      <c r="AW793" s="27" t="s">
        <v>8</v>
      </c>
      <c r="AX793" s="27" t="s">
        <v>7</v>
      </c>
      <c r="CQ793" s="27" t="s">
        <v>8</v>
      </c>
      <c r="CU793" s="27" t="s">
        <v>8</v>
      </c>
      <c r="CV793" s="27" t="s">
        <v>7</v>
      </c>
      <c r="CW793" s="27" t="s">
        <v>8</v>
      </c>
      <c r="CX793" s="27" t="s">
        <v>7</v>
      </c>
      <c r="CY793" s="27" t="s">
        <v>8</v>
      </c>
      <c r="CZ793" s="27" t="s">
        <v>7</v>
      </c>
      <c r="DK793" s="27" t="s">
        <v>8</v>
      </c>
      <c r="DL793" s="27" t="s">
        <v>7</v>
      </c>
      <c r="EJ793" s="27" t="s">
        <v>7</v>
      </c>
      <c r="EK793" s="27" t="s">
        <v>8</v>
      </c>
      <c r="EL793" s="27" t="s">
        <v>7</v>
      </c>
      <c r="ER793" s="27" t="s">
        <v>7</v>
      </c>
      <c r="ES793" s="27" t="s">
        <v>8</v>
      </c>
      <c r="ET793" s="27" t="s">
        <v>7</v>
      </c>
      <c r="EU793" s="27" t="s">
        <v>8</v>
      </c>
      <c r="EV793" s="27" t="s">
        <v>7</v>
      </c>
      <c r="EY793" s="27" t="s">
        <v>8</v>
      </c>
      <c r="EZ793" s="27" t="s">
        <v>7</v>
      </c>
      <c r="FA793" s="27" t="s">
        <v>8</v>
      </c>
      <c r="FB793" s="27" t="s">
        <v>7</v>
      </c>
      <c r="FC793" s="27" t="s">
        <v>8</v>
      </c>
      <c r="FD793" s="27" t="s">
        <v>7</v>
      </c>
      <c r="FE793" s="27" t="s">
        <v>8</v>
      </c>
      <c r="FF793" s="27" t="s">
        <v>7</v>
      </c>
      <c r="FG793" s="27" t="s">
        <v>8</v>
      </c>
      <c r="FH793" s="27" t="s">
        <v>7</v>
      </c>
      <c r="FI793" s="27" t="s">
        <v>8</v>
      </c>
      <c r="FJ793" s="27" t="s">
        <v>7</v>
      </c>
      <c r="FK793" s="27" t="s">
        <v>8</v>
      </c>
      <c r="FL793" s="27" t="s">
        <v>7</v>
      </c>
      <c r="FM793" s="27" t="s">
        <v>8</v>
      </c>
      <c r="FN793" s="27" t="s">
        <v>7</v>
      </c>
      <c r="FO793" s="27" t="s">
        <v>8</v>
      </c>
      <c r="FQ793" s="27" t="s">
        <v>8</v>
      </c>
      <c r="FR793" s="27" t="s">
        <v>7</v>
      </c>
      <c r="FS793" s="27" t="s">
        <v>8</v>
      </c>
      <c r="FT793" s="27" t="s">
        <v>7</v>
      </c>
      <c r="FU793" s="27" t="s">
        <v>8</v>
      </c>
      <c r="GA793" s="27" t="s">
        <v>8</v>
      </c>
      <c r="GB793" s="27" t="s">
        <v>7</v>
      </c>
      <c r="GM793" s="27" t="s">
        <v>8</v>
      </c>
      <c r="GN793" s="27" t="s">
        <v>7</v>
      </c>
      <c r="GU793" s="27" t="s">
        <v>8</v>
      </c>
      <c r="GV793" s="27" t="s">
        <v>7</v>
      </c>
    </row>
    <row r="794" spans="1:207" x14ac:dyDescent="0.25">
      <c r="A794" s="7">
        <v>1.6586870168237622E-2</v>
      </c>
      <c r="B794"/>
      <c r="C794"/>
      <c r="D794"/>
      <c r="E794"/>
      <c r="F794" s="27" t="s">
        <v>7</v>
      </c>
      <c r="G794" s="27" t="s">
        <v>8</v>
      </c>
      <c r="H794" s="27" t="s">
        <v>7</v>
      </c>
      <c r="AK794" s="27" t="s">
        <v>8</v>
      </c>
      <c r="AL794" s="27" t="s">
        <v>7</v>
      </c>
      <c r="AM794" s="27" t="s">
        <v>8</v>
      </c>
      <c r="AN794" s="27" t="s">
        <v>7</v>
      </c>
      <c r="AO794" s="27" t="s">
        <v>8</v>
      </c>
      <c r="AP794" s="27" t="s">
        <v>7</v>
      </c>
      <c r="AQ794" s="27" t="s">
        <v>8</v>
      </c>
      <c r="AR794" s="27" t="s">
        <v>7</v>
      </c>
      <c r="AS794" s="27" t="s">
        <v>8</v>
      </c>
      <c r="AT794" s="27" t="s">
        <v>7</v>
      </c>
      <c r="AW794" s="27" t="s">
        <v>8</v>
      </c>
      <c r="AX794" s="27" t="s">
        <v>7</v>
      </c>
      <c r="CQ794" s="27" t="s">
        <v>8</v>
      </c>
      <c r="CR794" s="27" t="s">
        <v>7</v>
      </c>
      <c r="CS794" s="27" t="s">
        <v>8</v>
      </c>
      <c r="CU794" s="27" t="s">
        <v>8</v>
      </c>
      <c r="CV794" s="27" t="s">
        <v>7</v>
      </c>
      <c r="CW794" s="27" t="s">
        <v>8</v>
      </c>
      <c r="CX794" s="27" t="s">
        <v>7</v>
      </c>
      <c r="CY794" s="27" t="s">
        <v>8</v>
      </c>
      <c r="CZ794" s="27" t="s">
        <v>7</v>
      </c>
      <c r="DG794" s="27" t="s">
        <v>8</v>
      </c>
      <c r="DK794" s="27" t="s">
        <v>8</v>
      </c>
      <c r="EJ794" s="27" t="s">
        <v>7</v>
      </c>
      <c r="EK794" s="27" t="s">
        <v>8</v>
      </c>
      <c r="ER794" s="27" t="s">
        <v>7</v>
      </c>
      <c r="ES794" s="27" t="s">
        <v>8</v>
      </c>
      <c r="ET794" s="27" t="s">
        <v>7</v>
      </c>
      <c r="EU794" s="27" t="s">
        <v>8</v>
      </c>
      <c r="EV794" s="27" t="s">
        <v>7</v>
      </c>
      <c r="EW794" s="27" t="s">
        <v>8</v>
      </c>
      <c r="EY794" s="27" t="s">
        <v>8</v>
      </c>
      <c r="EZ794" s="27" t="s">
        <v>7</v>
      </c>
      <c r="FB794" s="27" t="s">
        <v>7</v>
      </c>
      <c r="FD794" s="27" t="s">
        <v>7</v>
      </c>
      <c r="FF794" s="27" t="s">
        <v>7</v>
      </c>
      <c r="FG794" s="27" t="s">
        <v>8</v>
      </c>
      <c r="FH794" s="27" t="s">
        <v>7</v>
      </c>
      <c r="FI794" s="27" t="s">
        <v>8</v>
      </c>
      <c r="FJ794" s="27" t="s">
        <v>7</v>
      </c>
      <c r="FK794" s="27" t="s">
        <v>8</v>
      </c>
      <c r="FL794" s="27" t="s">
        <v>7</v>
      </c>
      <c r="FM794" s="27" t="s">
        <v>8</v>
      </c>
      <c r="FN794" s="27" t="s">
        <v>7</v>
      </c>
      <c r="FO794" s="27" t="s">
        <v>8</v>
      </c>
      <c r="FP794" s="27" t="s">
        <v>7</v>
      </c>
      <c r="FQ794" s="27" t="s">
        <v>8</v>
      </c>
      <c r="FR794" s="27" t="s">
        <v>7</v>
      </c>
      <c r="FS794" s="27" t="s">
        <v>8</v>
      </c>
      <c r="FT794" s="27" t="s">
        <v>7</v>
      </c>
      <c r="FU794" s="27" t="s">
        <v>8</v>
      </c>
      <c r="FV794" s="27" t="s">
        <v>7</v>
      </c>
      <c r="FW794" s="27" t="s">
        <v>8</v>
      </c>
      <c r="GA794" s="27" t="s">
        <v>8</v>
      </c>
      <c r="GB794" s="27" t="s">
        <v>7</v>
      </c>
      <c r="GK794" s="27" t="s">
        <v>8</v>
      </c>
      <c r="GM794" s="27" t="s">
        <v>8</v>
      </c>
      <c r="GN794" s="27" t="s">
        <v>7</v>
      </c>
      <c r="GU794" s="27" t="s">
        <v>8</v>
      </c>
    </row>
    <row r="795" spans="1:207" x14ac:dyDescent="0.25">
      <c r="A795" s="7">
        <v>1.6261637419840807E-2</v>
      </c>
      <c r="B795"/>
      <c r="C795"/>
      <c r="D795"/>
      <c r="E795"/>
      <c r="F795" s="27" t="s">
        <v>7</v>
      </c>
      <c r="G795" s="27" t="s">
        <v>8</v>
      </c>
      <c r="H795" s="27" t="s">
        <v>7</v>
      </c>
      <c r="AG795" s="27" t="s">
        <v>8</v>
      </c>
      <c r="AI795" s="27" t="s">
        <v>8</v>
      </c>
      <c r="AK795" s="27" t="s">
        <v>8</v>
      </c>
      <c r="AL795" s="27" t="s">
        <v>7</v>
      </c>
      <c r="AM795" s="27" t="s">
        <v>8</v>
      </c>
      <c r="AN795" s="27" t="s">
        <v>7</v>
      </c>
      <c r="AO795" s="27" t="s">
        <v>8</v>
      </c>
      <c r="AP795" s="27" t="s">
        <v>7</v>
      </c>
      <c r="AQ795" s="27" t="s">
        <v>8</v>
      </c>
      <c r="AR795" s="27" t="s">
        <v>7</v>
      </c>
      <c r="AS795" s="27" t="s">
        <v>8</v>
      </c>
      <c r="AT795" s="27" t="s">
        <v>7</v>
      </c>
      <c r="AU795" s="27" t="s">
        <v>8</v>
      </c>
      <c r="AW795" s="27" t="s">
        <v>8</v>
      </c>
      <c r="AX795" s="27" t="s">
        <v>7</v>
      </c>
      <c r="CQ795" s="27" t="s">
        <v>8</v>
      </c>
      <c r="CR795" s="27" t="s">
        <v>7</v>
      </c>
      <c r="CS795" s="27" t="s">
        <v>8</v>
      </c>
      <c r="CT795" s="27" t="s">
        <v>7</v>
      </c>
      <c r="CU795" s="27" t="s">
        <v>8</v>
      </c>
      <c r="CV795" s="27" t="s">
        <v>7</v>
      </c>
      <c r="CX795" s="27" t="s">
        <v>7</v>
      </c>
      <c r="CY795" s="27" t="s">
        <v>8</v>
      </c>
      <c r="CZ795" s="27" t="s">
        <v>7</v>
      </c>
      <c r="DG795" s="27" t="s">
        <v>8</v>
      </c>
      <c r="DH795" s="27" t="s">
        <v>7</v>
      </c>
      <c r="DK795" s="27" t="s">
        <v>8</v>
      </c>
      <c r="EJ795" s="27" t="s">
        <v>7</v>
      </c>
      <c r="ER795" s="27" t="s">
        <v>7</v>
      </c>
      <c r="ES795" s="27" t="s">
        <v>8</v>
      </c>
      <c r="ET795" s="27" t="s">
        <v>7</v>
      </c>
      <c r="EU795" s="27" t="s">
        <v>8</v>
      </c>
      <c r="EV795" s="27" t="s">
        <v>7</v>
      </c>
      <c r="EW795" s="27" t="s">
        <v>8</v>
      </c>
      <c r="EX795" s="27" t="s">
        <v>7</v>
      </c>
      <c r="EY795" s="27" t="s">
        <v>8</v>
      </c>
      <c r="FF795" s="27" t="s">
        <v>7</v>
      </c>
      <c r="FG795" s="27" t="s">
        <v>8</v>
      </c>
      <c r="FH795" s="27" t="s">
        <v>7</v>
      </c>
      <c r="FI795" s="27" t="s">
        <v>8</v>
      </c>
      <c r="FJ795" s="27" t="s">
        <v>7</v>
      </c>
      <c r="FK795" s="27" t="s">
        <v>8</v>
      </c>
      <c r="FL795" s="27" t="s">
        <v>7</v>
      </c>
      <c r="FM795" s="27" t="s">
        <v>8</v>
      </c>
      <c r="FN795" s="27" t="s">
        <v>7</v>
      </c>
      <c r="FO795" s="27" t="s">
        <v>8</v>
      </c>
      <c r="FP795" s="27" t="s">
        <v>7</v>
      </c>
      <c r="FQ795" s="27" t="s">
        <v>8</v>
      </c>
      <c r="FR795" s="27" t="s">
        <v>7</v>
      </c>
      <c r="FT795" s="27" t="s">
        <v>7</v>
      </c>
      <c r="FU795" s="27" t="s">
        <v>8</v>
      </c>
      <c r="FV795" s="27" t="s">
        <v>7</v>
      </c>
      <c r="FW795" s="27" t="s">
        <v>8</v>
      </c>
      <c r="FX795" s="27" t="s">
        <v>7</v>
      </c>
      <c r="FY795" s="27" t="s">
        <v>8</v>
      </c>
      <c r="GA795" s="27" t="s">
        <v>8</v>
      </c>
      <c r="GB795" s="27" t="s">
        <v>7</v>
      </c>
      <c r="GK795" s="27" t="s">
        <v>8</v>
      </c>
      <c r="GL795" s="27" t="s">
        <v>7</v>
      </c>
      <c r="GM795" s="27" t="s">
        <v>8</v>
      </c>
      <c r="GN795" s="27" t="s">
        <v>7</v>
      </c>
      <c r="GU795" s="27" t="s">
        <v>8</v>
      </c>
    </row>
    <row r="796" spans="1:207" x14ac:dyDescent="0.25">
      <c r="A796" s="7">
        <v>1.5942781784157655E-2</v>
      </c>
      <c r="B796"/>
      <c r="C796"/>
      <c r="D796"/>
      <c r="E796"/>
      <c r="F796" s="27" t="s">
        <v>7</v>
      </c>
      <c r="G796" s="27" t="s">
        <v>8</v>
      </c>
      <c r="H796" s="27" t="s">
        <v>7</v>
      </c>
      <c r="AG796" s="27" t="s">
        <v>8</v>
      </c>
      <c r="AH796" s="27" t="s">
        <v>7</v>
      </c>
      <c r="AI796" s="27" t="s">
        <v>8</v>
      </c>
      <c r="AJ796" s="27" t="s">
        <v>7</v>
      </c>
      <c r="AK796" s="27" t="s">
        <v>8</v>
      </c>
      <c r="AL796" s="27" t="s">
        <v>7</v>
      </c>
      <c r="AM796" s="27" t="s">
        <v>8</v>
      </c>
      <c r="AN796" s="27" t="s">
        <v>7</v>
      </c>
      <c r="AO796" s="27" t="s">
        <v>8</v>
      </c>
      <c r="AP796" s="27" t="s">
        <v>7</v>
      </c>
      <c r="AR796" s="27" t="s">
        <v>7</v>
      </c>
      <c r="AS796" s="27" t="s">
        <v>8</v>
      </c>
      <c r="AT796" s="27" t="s">
        <v>7</v>
      </c>
      <c r="AU796" s="27" t="s">
        <v>8</v>
      </c>
      <c r="AV796" s="27" t="s">
        <v>7</v>
      </c>
      <c r="AW796" s="27" t="s">
        <v>8</v>
      </c>
      <c r="AX796" s="27" t="s">
        <v>7</v>
      </c>
      <c r="CM796" s="27" t="s">
        <v>8</v>
      </c>
      <c r="CQ796" s="27" t="s">
        <v>8</v>
      </c>
      <c r="CR796" s="27" t="s">
        <v>7</v>
      </c>
      <c r="CS796" s="27" t="s">
        <v>8</v>
      </c>
      <c r="CT796" s="27" t="s">
        <v>7</v>
      </c>
      <c r="CU796" s="27" t="s">
        <v>8</v>
      </c>
      <c r="CX796" s="27" t="s">
        <v>7</v>
      </c>
      <c r="CZ796" s="27" t="s">
        <v>7</v>
      </c>
      <c r="DC796" s="27" t="s">
        <v>8</v>
      </c>
      <c r="DE796" s="27" t="s">
        <v>8</v>
      </c>
      <c r="DG796" s="27" t="s">
        <v>8</v>
      </c>
      <c r="DH796" s="27" t="s">
        <v>7</v>
      </c>
      <c r="DK796" s="27" t="s">
        <v>8</v>
      </c>
      <c r="ER796" s="27" t="s">
        <v>7</v>
      </c>
      <c r="ES796" s="27" t="s">
        <v>8</v>
      </c>
      <c r="ET796" s="27" t="s">
        <v>7</v>
      </c>
      <c r="EU796" s="27" t="s">
        <v>8</v>
      </c>
      <c r="EV796" s="27" t="s">
        <v>7</v>
      </c>
      <c r="EW796" s="27" t="s">
        <v>8</v>
      </c>
      <c r="EX796" s="27" t="s">
        <v>7</v>
      </c>
      <c r="EY796" s="27" t="s">
        <v>8</v>
      </c>
      <c r="FF796" s="27" t="s">
        <v>7</v>
      </c>
      <c r="FG796" s="27" t="s">
        <v>8</v>
      </c>
      <c r="FH796" s="27" t="s">
        <v>7</v>
      </c>
      <c r="FI796" s="27" t="s">
        <v>8</v>
      </c>
      <c r="FJ796" s="27" t="s">
        <v>7</v>
      </c>
      <c r="FK796" s="27" t="s">
        <v>8</v>
      </c>
      <c r="FL796" s="27" t="s">
        <v>7</v>
      </c>
      <c r="FN796" s="27" t="s">
        <v>7</v>
      </c>
      <c r="FP796" s="27" t="s">
        <v>7</v>
      </c>
      <c r="FQ796" s="27" t="s">
        <v>8</v>
      </c>
      <c r="FT796" s="27" t="s">
        <v>7</v>
      </c>
      <c r="FU796" s="27" t="s">
        <v>8</v>
      </c>
      <c r="FV796" s="27" t="s">
        <v>7</v>
      </c>
      <c r="FW796" s="27" t="s">
        <v>8</v>
      </c>
      <c r="FX796" s="27" t="s">
        <v>7</v>
      </c>
      <c r="FY796" s="27" t="s">
        <v>8</v>
      </c>
      <c r="FZ796" s="27" t="s">
        <v>7</v>
      </c>
      <c r="GA796" s="27" t="s">
        <v>8</v>
      </c>
      <c r="GB796" s="27" t="s">
        <v>7</v>
      </c>
      <c r="GK796" s="27" t="s">
        <v>8</v>
      </c>
      <c r="GL796" s="27" t="s">
        <v>7</v>
      </c>
      <c r="GM796" s="27" t="s">
        <v>8</v>
      </c>
      <c r="GN796" s="27" t="s">
        <v>7</v>
      </c>
      <c r="GU796" s="27" t="s">
        <v>8</v>
      </c>
    </row>
    <row r="797" spans="1:207" x14ac:dyDescent="0.25">
      <c r="A797" s="7">
        <v>1.5630178219762408E-2</v>
      </c>
      <c r="B797"/>
      <c r="C797"/>
      <c r="D797"/>
      <c r="E797"/>
      <c r="F797" s="27" t="s">
        <v>7</v>
      </c>
      <c r="G797" s="27" t="s">
        <v>8</v>
      </c>
      <c r="H797" s="27" t="s">
        <v>7</v>
      </c>
      <c r="AG797" s="27" t="s">
        <v>8</v>
      </c>
      <c r="AH797" s="27" t="s">
        <v>7</v>
      </c>
      <c r="AI797" s="27" t="s">
        <v>8</v>
      </c>
      <c r="AJ797" s="27" t="s">
        <v>7</v>
      </c>
      <c r="AK797" s="27" t="s">
        <v>8</v>
      </c>
      <c r="AL797" s="27" t="s">
        <v>7</v>
      </c>
      <c r="AM797" s="27" t="s">
        <v>8</v>
      </c>
      <c r="AN797" s="27" t="s">
        <v>7</v>
      </c>
      <c r="AO797" s="27" t="s">
        <v>8</v>
      </c>
      <c r="AR797" s="27" t="s">
        <v>7</v>
      </c>
      <c r="AS797" s="27" t="s">
        <v>8</v>
      </c>
      <c r="AT797" s="27" t="s">
        <v>7</v>
      </c>
      <c r="AU797" s="27" t="s">
        <v>8</v>
      </c>
      <c r="AV797" s="27" t="s">
        <v>7</v>
      </c>
      <c r="AW797" s="27" t="s">
        <v>8</v>
      </c>
      <c r="AX797" s="27" t="s">
        <v>7</v>
      </c>
      <c r="CM797" s="27" t="s">
        <v>8</v>
      </c>
      <c r="CN797" s="27" t="s">
        <v>7</v>
      </c>
      <c r="CQ797" s="27" t="s">
        <v>8</v>
      </c>
      <c r="CR797" s="27" t="s">
        <v>7</v>
      </c>
      <c r="CT797" s="27" t="s">
        <v>7</v>
      </c>
      <c r="CU797" s="27" t="s">
        <v>8</v>
      </c>
      <c r="CZ797" s="27" t="s">
        <v>7</v>
      </c>
      <c r="DC797" s="27" t="s">
        <v>8</v>
      </c>
      <c r="DD797" s="27" t="s">
        <v>7</v>
      </c>
      <c r="DE797" s="27" t="s">
        <v>8</v>
      </c>
      <c r="DF797" s="27" t="s">
        <v>7</v>
      </c>
      <c r="DG797" s="27" t="s">
        <v>8</v>
      </c>
      <c r="DH797" s="27" t="s">
        <v>7</v>
      </c>
      <c r="DK797" s="27" t="s">
        <v>8</v>
      </c>
      <c r="ER797" s="27" t="s">
        <v>7</v>
      </c>
      <c r="ET797" s="27" t="s">
        <v>7</v>
      </c>
      <c r="EU797" s="27" t="s">
        <v>8</v>
      </c>
      <c r="EV797" s="27" t="s">
        <v>7</v>
      </c>
      <c r="EX797" s="27" t="s">
        <v>7</v>
      </c>
      <c r="EY797" s="27" t="s">
        <v>8</v>
      </c>
      <c r="FF797" s="27" t="s">
        <v>7</v>
      </c>
      <c r="FG797" s="27" t="s">
        <v>8</v>
      </c>
      <c r="FH797" s="27" t="s">
        <v>7</v>
      </c>
      <c r="FI797" s="27" t="s">
        <v>8</v>
      </c>
      <c r="FJ797" s="27" t="s">
        <v>7</v>
      </c>
      <c r="FP797" s="27" t="s">
        <v>7</v>
      </c>
      <c r="FQ797" s="27" t="s">
        <v>8</v>
      </c>
      <c r="FT797" s="27" t="s">
        <v>7</v>
      </c>
      <c r="FU797" s="27" t="s">
        <v>8</v>
      </c>
      <c r="FV797" s="27" t="s">
        <v>7</v>
      </c>
      <c r="FW797" s="27" t="s">
        <v>8</v>
      </c>
      <c r="FX797" s="27" t="s">
        <v>7</v>
      </c>
      <c r="FY797" s="27" t="s">
        <v>8</v>
      </c>
      <c r="FZ797" s="27" t="s">
        <v>7</v>
      </c>
      <c r="GA797" s="27" t="s">
        <v>8</v>
      </c>
      <c r="GB797" s="27" t="s">
        <v>7</v>
      </c>
      <c r="GE797" s="27" t="s">
        <v>8</v>
      </c>
      <c r="GK797" s="27" t="s">
        <v>8</v>
      </c>
      <c r="GL797" s="27" t="s">
        <v>7</v>
      </c>
      <c r="GM797" s="27" t="s">
        <v>8</v>
      </c>
      <c r="GN797" s="27" t="s">
        <v>7</v>
      </c>
      <c r="GU797" s="27" t="s">
        <v>8</v>
      </c>
    </row>
    <row r="798" spans="1:207" x14ac:dyDescent="0.25">
      <c r="A798" s="7">
        <v>1.5323704137021967E-2</v>
      </c>
      <c r="B798"/>
      <c r="C798"/>
      <c r="D798"/>
      <c r="E798"/>
      <c r="F798" s="27" t="s">
        <v>7</v>
      </c>
      <c r="G798" s="27" t="s">
        <v>8</v>
      </c>
      <c r="H798" s="27" t="s">
        <v>7</v>
      </c>
      <c r="AG798" s="27" t="s">
        <v>8</v>
      </c>
      <c r="AH798" s="27" t="s">
        <v>7</v>
      </c>
      <c r="AI798" s="27" t="s">
        <v>8</v>
      </c>
      <c r="AJ798" s="27" t="s">
        <v>7</v>
      </c>
      <c r="AL798" s="27" t="s">
        <v>7</v>
      </c>
      <c r="AM798" s="27" t="s">
        <v>8</v>
      </c>
      <c r="AN798" s="27" t="s">
        <v>7</v>
      </c>
      <c r="AO798" s="27" t="s">
        <v>8</v>
      </c>
      <c r="AR798" s="27" t="s">
        <v>7</v>
      </c>
      <c r="AS798" s="27" t="s">
        <v>8</v>
      </c>
      <c r="AT798" s="27" t="s">
        <v>7</v>
      </c>
      <c r="AU798" s="27" t="s">
        <v>8</v>
      </c>
      <c r="AV798" s="27" t="s">
        <v>7</v>
      </c>
      <c r="AW798" s="27" t="s">
        <v>8</v>
      </c>
      <c r="AX798" s="27" t="s">
        <v>7</v>
      </c>
      <c r="CI798" s="27" t="s">
        <v>8</v>
      </c>
      <c r="CM798" s="27" t="s">
        <v>8</v>
      </c>
      <c r="CN798" s="27" t="s">
        <v>7</v>
      </c>
      <c r="CO798" s="27" t="s">
        <v>8</v>
      </c>
      <c r="CQ798" s="27" t="s">
        <v>8</v>
      </c>
      <c r="CT798" s="27" t="s">
        <v>7</v>
      </c>
      <c r="CU798" s="27" t="s">
        <v>8</v>
      </c>
      <c r="CZ798" s="27" t="s">
        <v>7</v>
      </c>
      <c r="DC798" s="27" t="s">
        <v>8</v>
      </c>
      <c r="DD798" s="27" t="s">
        <v>7</v>
      </c>
      <c r="DE798" s="27" t="s">
        <v>8</v>
      </c>
      <c r="DF798" s="27" t="s">
        <v>7</v>
      </c>
      <c r="DG798" s="27" t="s">
        <v>8</v>
      </c>
      <c r="DH798" s="27" t="s">
        <v>7</v>
      </c>
      <c r="DI798" s="27" t="s">
        <v>8</v>
      </c>
      <c r="DK798" s="27" t="s">
        <v>8</v>
      </c>
      <c r="ET798" s="27" t="s">
        <v>7</v>
      </c>
      <c r="EX798" s="27" t="s">
        <v>7</v>
      </c>
      <c r="EY798" s="27" t="s">
        <v>8</v>
      </c>
      <c r="FF798" s="27" t="s">
        <v>7</v>
      </c>
      <c r="FG798" s="27" t="s">
        <v>8</v>
      </c>
      <c r="FH798" s="27" t="s">
        <v>7</v>
      </c>
      <c r="FP798" s="27" t="s">
        <v>7</v>
      </c>
      <c r="FQ798" s="27" t="s">
        <v>8</v>
      </c>
      <c r="FT798" s="27" t="s">
        <v>7</v>
      </c>
      <c r="FU798" s="27" t="s">
        <v>8</v>
      </c>
      <c r="FV798" s="27" t="s">
        <v>7</v>
      </c>
      <c r="FX798" s="27" t="s">
        <v>7</v>
      </c>
      <c r="FY798" s="27" t="s">
        <v>8</v>
      </c>
      <c r="FZ798" s="27" t="s">
        <v>7</v>
      </c>
      <c r="GA798" s="27" t="s">
        <v>8</v>
      </c>
      <c r="GB798" s="27" t="s">
        <v>7</v>
      </c>
      <c r="GE798" s="27" t="s">
        <v>8</v>
      </c>
      <c r="GF798" s="27" t="s">
        <v>7</v>
      </c>
      <c r="GK798" s="27" t="s">
        <v>8</v>
      </c>
      <c r="GL798" s="27" t="s">
        <v>7</v>
      </c>
      <c r="GM798" s="27" t="s">
        <v>8</v>
      </c>
      <c r="GN798" s="27" t="s">
        <v>7</v>
      </c>
      <c r="GS798" s="27" t="s">
        <v>8</v>
      </c>
      <c r="GU798" s="27" t="s">
        <v>8</v>
      </c>
    </row>
    <row r="799" spans="1:207" x14ac:dyDescent="0.25">
      <c r="A799" s="7">
        <v>1.5023239350021535E-2</v>
      </c>
      <c r="B799"/>
      <c r="C799"/>
      <c r="D799"/>
      <c r="E799"/>
      <c r="F799" s="27" t="s">
        <v>7</v>
      </c>
      <c r="G799" s="27" t="s">
        <v>8</v>
      </c>
      <c r="H799" s="27" t="s">
        <v>7</v>
      </c>
      <c r="AG799" s="27" t="s">
        <v>8</v>
      </c>
      <c r="AH799" s="27" t="s">
        <v>7</v>
      </c>
      <c r="AI799" s="27" t="s">
        <v>8</v>
      </c>
      <c r="AL799" s="27" t="s">
        <v>7</v>
      </c>
      <c r="AN799" s="27" t="s">
        <v>7</v>
      </c>
      <c r="AO799" s="27" t="s">
        <v>8</v>
      </c>
      <c r="AR799" s="27" t="s">
        <v>7</v>
      </c>
      <c r="AS799" s="27" t="s">
        <v>8</v>
      </c>
      <c r="AT799" s="27" t="s">
        <v>7</v>
      </c>
      <c r="AU799" s="27" t="s">
        <v>8</v>
      </c>
      <c r="AV799" s="27" t="s">
        <v>7</v>
      </c>
      <c r="AW799" s="27" t="s">
        <v>8</v>
      </c>
      <c r="AX799" s="27" t="s">
        <v>7</v>
      </c>
      <c r="CI799" s="27" t="s">
        <v>8</v>
      </c>
      <c r="CJ799" s="27" t="s">
        <v>7</v>
      </c>
      <c r="CM799" s="27" t="s">
        <v>8</v>
      </c>
      <c r="CN799" s="27" t="s">
        <v>7</v>
      </c>
      <c r="CO799" s="27" t="s">
        <v>8</v>
      </c>
      <c r="CP799" s="27" t="s">
        <v>7</v>
      </c>
      <c r="CQ799" s="27" t="s">
        <v>8</v>
      </c>
      <c r="CT799" s="27" t="s">
        <v>7</v>
      </c>
      <c r="CU799" s="27" t="s">
        <v>8</v>
      </c>
      <c r="CZ799" s="27" t="s">
        <v>7</v>
      </c>
      <c r="DA799" s="27" t="s">
        <v>8</v>
      </c>
      <c r="DC799" s="27" t="s">
        <v>8</v>
      </c>
      <c r="DD799" s="27" t="s">
        <v>7</v>
      </c>
      <c r="DE799" s="27" t="s">
        <v>8</v>
      </c>
      <c r="DF799" s="27" t="s">
        <v>7</v>
      </c>
      <c r="DH799" s="27" t="s">
        <v>7</v>
      </c>
      <c r="DI799" s="27" t="s">
        <v>8</v>
      </c>
      <c r="DJ799" s="27" t="s">
        <v>7</v>
      </c>
      <c r="DK799" s="27" t="s">
        <v>8</v>
      </c>
      <c r="EX799" s="27" t="s">
        <v>7</v>
      </c>
      <c r="FF799" s="27" t="s">
        <v>7</v>
      </c>
      <c r="FG799" s="27" t="s">
        <v>8</v>
      </c>
      <c r="FP799" s="27" t="s">
        <v>7</v>
      </c>
      <c r="FT799" s="27" t="s">
        <v>7</v>
      </c>
      <c r="FU799" s="27" t="s">
        <v>8</v>
      </c>
      <c r="FX799" s="27" t="s">
        <v>7</v>
      </c>
      <c r="FY799" s="27" t="s">
        <v>8</v>
      </c>
      <c r="FZ799" s="27" t="s">
        <v>7</v>
      </c>
      <c r="GA799" s="27" t="s">
        <v>8</v>
      </c>
      <c r="GB799" s="27" t="s">
        <v>7</v>
      </c>
      <c r="GE799" s="27" t="s">
        <v>8</v>
      </c>
      <c r="GF799" s="27" t="s">
        <v>7</v>
      </c>
      <c r="GK799" s="27" t="s">
        <v>8</v>
      </c>
      <c r="GL799" s="27" t="s">
        <v>7</v>
      </c>
      <c r="GM799" s="27" t="s">
        <v>8</v>
      </c>
      <c r="GN799" s="27" t="s">
        <v>7</v>
      </c>
      <c r="GS799" s="27" t="s">
        <v>8</v>
      </c>
      <c r="GT799" s="27" t="s">
        <v>7</v>
      </c>
      <c r="GU799" s="27" t="s">
        <v>8</v>
      </c>
    </row>
    <row r="800" spans="1:207" x14ac:dyDescent="0.25">
      <c r="A800" s="7">
        <v>1.4728666029432878E-2</v>
      </c>
      <c r="B800"/>
      <c r="C800"/>
      <c r="D800"/>
      <c r="E800"/>
      <c r="F800" s="27" t="s">
        <v>7</v>
      </c>
      <c r="G800" s="27" t="s">
        <v>8</v>
      </c>
      <c r="H800" s="27" t="s">
        <v>7</v>
      </c>
      <c r="AG800" s="27" t="s">
        <v>8</v>
      </c>
      <c r="AH800" s="27" t="s">
        <v>7</v>
      </c>
      <c r="AI800" s="27" t="s">
        <v>8</v>
      </c>
      <c r="AN800" s="27" t="s">
        <v>7</v>
      </c>
      <c r="AO800" s="27" t="s">
        <v>8</v>
      </c>
      <c r="AR800" s="27" t="s">
        <v>7</v>
      </c>
      <c r="AT800" s="27" t="s">
        <v>7</v>
      </c>
      <c r="AU800" s="27" t="s">
        <v>8</v>
      </c>
      <c r="AV800" s="27" t="s">
        <v>7</v>
      </c>
      <c r="AW800" s="27" t="s">
        <v>8</v>
      </c>
      <c r="AX800" s="27" t="s">
        <v>7</v>
      </c>
      <c r="CI800" s="27" t="s">
        <v>8</v>
      </c>
      <c r="CJ800" s="27" t="s">
        <v>7</v>
      </c>
      <c r="CM800" s="27" t="s">
        <v>8</v>
      </c>
      <c r="CN800" s="27" t="s">
        <v>7</v>
      </c>
      <c r="CO800" s="27" t="s">
        <v>8</v>
      </c>
      <c r="CP800" s="27" t="s">
        <v>7</v>
      </c>
      <c r="CQ800" s="27" t="s">
        <v>8</v>
      </c>
      <c r="CT800" s="27" t="s">
        <v>7</v>
      </c>
      <c r="CU800" s="27" t="s">
        <v>8</v>
      </c>
      <c r="CZ800" s="27" t="s">
        <v>7</v>
      </c>
      <c r="DA800" s="27" t="s">
        <v>8</v>
      </c>
      <c r="DB800" s="27" t="s">
        <v>7</v>
      </c>
      <c r="DC800" s="27" t="s">
        <v>8</v>
      </c>
      <c r="DD800" s="27" t="s">
        <v>7</v>
      </c>
      <c r="DE800" s="27" t="s">
        <v>8</v>
      </c>
      <c r="DH800" s="27" t="s">
        <v>7</v>
      </c>
      <c r="DI800" s="27" t="s">
        <v>8</v>
      </c>
      <c r="DJ800" s="27" t="s">
        <v>7</v>
      </c>
      <c r="DK800" s="27" t="s">
        <v>8</v>
      </c>
      <c r="FF800" s="27" t="s">
        <v>7</v>
      </c>
      <c r="FT800" s="27" t="s">
        <v>7</v>
      </c>
      <c r="FX800" s="27" t="s">
        <v>7</v>
      </c>
      <c r="FY800" s="27" t="s">
        <v>8</v>
      </c>
      <c r="FZ800" s="27" t="s">
        <v>7</v>
      </c>
      <c r="GA800" s="27" t="s">
        <v>8</v>
      </c>
      <c r="GB800" s="27" t="s">
        <v>7</v>
      </c>
      <c r="GC800" s="27" t="s">
        <v>8</v>
      </c>
      <c r="GE800" s="27" t="s">
        <v>8</v>
      </c>
      <c r="GF800" s="27" t="s">
        <v>7</v>
      </c>
      <c r="GK800" s="27" t="s">
        <v>8</v>
      </c>
      <c r="GL800" s="27" t="s">
        <v>7</v>
      </c>
      <c r="GM800" s="27" t="s">
        <v>8</v>
      </c>
      <c r="GN800" s="27" t="s">
        <v>7</v>
      </c>
      <c r="GQ800" s="27" t="s">
        <v>8</v>
      </c>
      <c r="GS800" s="27" t="s">
        <v>8</v>
      </c>
      <c r="GT800" s="27" t="s">
        <v>7</v>
      </c>
      <c r="GU800" s="27" t="s">
        <v>8</v>
      </c>
    </row>
    <row r="801" spans="1:203" x14ac:dyDescent="0.25">
      <c r="A801" s="7">
        <v>1.4439868656306743E-2</v>
      </c>
      <c r="B801"/>
      <c r="C801"/>
      <c r="D801"/>
      <c r="E801"/>
      <c r="F801" s="27" t="s">
        <v>7</v>
      </c>
      <c r="G801" s="27" t="s">
        <v>8</v>
      </c>
      <c r="H801" s="27" t="s">
        <v>7</v>
      </c>
      <c r="AG801" s="27" t="s">
        <v>8</v>
      </c>
      <c r="AH801" s="27" t="s">
        <v>7</v>
      </c>
      <c r="AI801" s="27" t="s">
        <v>8</v>
      </c>
      <c r="AN801" s="27" t="s">
        <v>7</v>
      </c>
      <c r="AO801" s="27" t="s">
        <v>8</v>
      </c>
      <c r="AT801" s="27" t="s">
        <v>7</v>
      </c>
      <c r="AU801" s="27" t="s">
        <v>8</v>
      </c>
      <c r="AV801" s="27" t="s">
        <v>7</v>
      </c>
      <c r="AX801" s="27" t="s">
        <v>7</v>
      </c>
      <c r="CG801" s="27" t="s">
        <v>8</v>
      </c>
      <c r="CI801" s="27" t="s">
        <v>8</v>
      </c>
      <c r="CJ801" s="27" t="s">
        <v>7</v>
      </c>
      <c r="CK801" s="27" t="s">
        <v>8</v>
      </c>
      <c r="CM801" s="27" t="s">
        <v>8</v>
      </c>
      <c r="CN801" s="27" t="s">
        <v>7</v>
      </c>
      <c r="CO801" s="27" t="s">
        <v>8</v>
      </c>
      <c r="CP801" s="27" t="s">
        <v>7</v>
      </c>
      <c r="CQ801" s="27" t="s">
        <v>8</v>
      </c>
      <c r="CT801" s="27" t="s">
        <v>7</v>
      </c>
      <c r="CZ801" s="27" t="s">
        <v>7</v>
      </c>
      <c r="DA801" s="27" t="s">
        <v>8</v>
      </c>
      <c r="DB801" s="27" t="s">
        <v>7</v>
      </c>
      <c r="DC801" s="27" t="s">
        <v>8</v>
      </c>
      <c r="DD801" s="27" t="s">
        <v>7</v>
      </c>
      <c r="DE801" s="27" t="s">
        <v>8</v>
      </c>
      <c r="DH801" s="27" t="s">
        <v>7</v>
      </c>
      <c r="DI801" s="27" t="s">
        <v>8</v>
      </c>
      <c r="DJ801" s="27" t="s">
        <v>7</v>
      </c>
      <c r="FX801" s="27" t="s">
        <v>7</v>
      </c>
      <c r="FY801" s="27" t="s">
        <v>8</v>
      </c>
      <c r="FZ801" s="27" t="s">
        <v>7</v>
      </c>
      <c r="GA801" s="27" t="s">
        <v>8</v>
      </c>
      <c r="GB801" s="27" t="s">
        <v>7</v>
      </c>
      <c r="GC801" s="27" t="s">
        <v>8</v>
      </c>
      <c r="GD801" s="27" t="s">
        <v>7</v>
      </c>
      <c r="GE801" s="27" t="s">
        <v>8</v>
      </c>
      <c r="GF801" s="27" t="s">
        <v>7</v>
      </c>
      <c r="GK801" s="27" t="s">
        <v>8</v>
      </c>
      <c r="GL801" s="27" t="s">
        <v>7</v>
      </c>
      <c r="GM801" s="27" t="s">
        <v>8</v>
      </c>
      <c r="GN801" s="27" t="s">
        <v>7</v>
      </c>
      <c r="GO801" s="27" t="s">
        <v>8</v>
      </c>
      <c r="GQ801" s="27" t="s">
        <v>8</v>
      </c>
      <c r="GR801" s="27" t="s">
        <v>7</v>
      </c>
      <c r="GS801" s="27" t="s">
        <v>8</v>
      </c>
      <c r="GT801" s="27" t="s">
        <v>7</v>
      </c>
      <c r="GU801" s="27" t="s">
        <v>8</v>
      </c>
    </row>
    <row r="802" spans="1:203" x14ac:dyDescent="0.25">
      <c r="A802" s="7">
        <v>1.4156733976771318E-2</v>
      </c>
      <c r="B802"/>
      <c r="C802"/>
      <c r="D802"/>
      <c r="E802"/>
      <c r="F802" s="27" t="s">
        <v>7</v>
      </c>
      <c r="G802" s="27" t="s">
        <v>8</v>
      </c>
      <c r="H802" s="27" t="s">
        <v>7</v>
      </c>
      <c r="AG802" s="27" t="s">
        <v>8</v>
      </c>
      <c r="AH802" s="27" t="s">
        <v>7</v>
      </c>
      <c r="AI802" s="27" t="s">
        <v>8</v>
      </c>
      <c r="AN802" s="27" t="s">
        <v>7</v>
      </c>
      <c r="AO802" s="27" t="s">
        <v>8</v>
      </c>
      <c r="AT802" s="27" t="s">
        <v>7</v>
      </c>
      <c r="AU802" s="27" t="s">
        <v>8</v>
      </c>
      <c r="AX802" s="27" t="s">
        <v>7</v>
      </c>
      <c r="CG802" s="27" t="s">
        <v>8</v>
      </c>
      <c r="CH802" s="27" t="s">
        <v>7</v>
      </c>
      <c r="CI802" s="27" t="s">
        <v>8</v>
      </c>
      <c r="CJ802" s="27" t="s">
        <v>7</v>
      </c>
      <c r="CK802" s="27" t="s">
        <v>8</v>
      </c>
      <c r="CL802" s="27" t="s">
        <v>7</v>
      </c>
      <c r="CM802" s="27" t="s">
        <v>8</v>
      </c>
      <c r="CN802" s="27" t="s">
        <v>7</v>
      </c>
      <c r="CO802" s="27" t="s">
        <v>8</v>
      </c>
      <c r="CP802" s="27" t="s">
        <v>7</v>
      </c>
      <c r="CZ802" s="27" t="s">
        <v>7</v>
      </c>
      <c r="DA802" s="27" t="s">
        <v>8</v>
      </c>
      <c r="DB802" s="27" t="s">
        <v>7</v>
      </c>
      <c r="DD802" s="27" t="s">
        <v>7</v>
      </c>
      <c r="DH802" s="27" t="s">
        <v>7</v>
      </c>
      <c r="DI802" s="27" t="s">
        <v>8</v>
      </c>
      <c r="FX802" s="27" t="s">
        <v>7</v>
      </c>
      <c r="FY802" s="27" t="s">
        <v>8</v>
      </c>
      <c r="FZ802" s="27" t="s">
        <v>7</v>
      </c>
      <c r="GA802" s="27" t="s">
        <v>8</v>
      </c>
      <c r="GB802" s="27" t="s">
        <v>7</v>
      </c>
      <c r="GC802" s="27" t="s">
        <v>8</v>
      </c>
      <c r="GD802" s="27" t="s">
        <v>7</v>
      </c>
      <c r="GE802" s="27" t="s">
        <v>8</v>
      </c>
      <c r="GF802" s="27" t="s">
        <v>7</v>
      </c>
      <c r="GK802" s="27" t="s">
        <v>8</v>
      </c>
      <c r="GL802" s="27" t="s">
        <v>7</v>
      </c>
      <c r="GM802" s="27" t="s">
        <v>8</v>
      </c>
      <c r="GN802" s="27" t="s">
        <v>7</v>
      </c>
      <c r="GO802" s="27" t="s">
        <v>8</v>
      </c>
      <c r="GP802" s="27" t="s">
        <v>7</v>
      </c>
      <c r="GQ802" s="27" t="s">
        <v>8</v>
      </c>
      <c r="GR802" s="27" t="s">
        <v>7</v>
      </c>
      <c r="GS802" s="27" t="s">
        <v>8</v>
      </c>
      <c r="GT802" s="27" t="s">
        <v>7</v>
      </c>
    </row>
    <row r="803" spans="1:203" x14ac:dyDescent="0.25">
      <c r="A803" s="7">
        <v>1.3879150957618939E-2</v>
      </c>
      <c r="B803"/>
      <c r="C803"/>
      <c r="D803"/>
      <c r="E803"/>
      <c r="F803" s="27" t="s">
        <v>7</v>
      </c>
      <c r="G803" s="27" t="s">
        <v>8</v>
      </c>
      <c r="H803" s="27" t="s">
        <v>7</v>
      </c>
      <c r="AG803" s="27" t="s">
        <v>8</v>
      </c>
      <c r="AH803" s="27" t="s">
        <v>7</v>
      </c>
      <c r="AI803" s="27" t="s">
        <v>8</v>
      </c>
      <c r="AN803" s="27" t="s">
        <v>7</v>
      </c>
      <c r="AO803" s="27" t="s">
        <v>8</v>
      </c>
      <c r="AT803" s="27" t="s">
        <v>7</v>
      </c>
      <c r="AU803" s="27" t="s">
        <v>8</v>
      </c>
      <c r="AX803" s="27" t="s">
        <v>7</v>
      </c>
      <c r="CG803" s="27" t="s">
        <v>8</v>
      </c>
      <c r="CH803" s="27" t="s">
        <v>7</v>
      </c>
      <c r="CI803" s="27" t="s">
        <v>8</v>
      </c>
      <c r="CJ803" s="27" t="s">
        <v>7</v>
      </c>
      <c r="CK803" s="27" t="s">
        <v>8</v>
      </c>
      <c r="CL803" s="27" t="s">
        <v>7</v>
      </c>
      <c r="CM803" s="27" t="s">
        <v>8</v>
      </c>
      <c r="CN803" s="27" t="s">
        <v>7</v>
      </c>
      <c r="CO803" s="27" t="s">
        <v>8</v>
      </c>
      <c r="CZ803" s="27" t="s">
        <v>7</v>
      </c>
      <c r="DA803" s="27" t="s">
        <v>8</v>
      </c>
      <c r="DH803" s="27" t="s">
        <v>7</v>
      </c>
      <c r="FX803" s="27" t="s">
        <v>7</v>
      </c>
      <c r="FY803" s="27" t="s">
        <v>8</v>
      </c>
      <c r="FZ803" s="27" t="s">
        <v>7</v>
      </c>
      <c r="GA803" s="27" t="s">
        <v>8</v>
      </c>
      <c r="GB803" s="27" t="s">
        <v>7</v>
      </c>
      <c r="GC803" s="27" t="s">
        <v>8</v>
      </c>
      <c r="GD803" s="27" t="s">
        <v>7</v>
      </c>
      <c r="GE803" s="27" t="s">
        <v>8</v>
      </c>
      <c r="GF803" s="27" t="s">
        <v>7</v>
      </c>
      <c r="GG803" s="27" t="s">
        <v>8</v>
      </c>
      <c r="GK803" s="27" t="s">
        <v>8</v>
      </c>
      <c r="GL803" s="27" t="s">
        <v>7</v>
      </c>
      <c r="GM803" s="27" t="s">
        <v>8</v>
      </c>
      <c r="GN803" s="27" t="s">
        <v>7</v>
      </c>
      <c r="GO803" s="27" t="s">
        <v>8</v>
      </c>
      <c r="GP803" s="27" t="s">
        <v>7</v>
      </c>
      <c r="GQ803" s="27" t="s">
        <v>8</v>
      </c>
      <c r="GR803" s="27" t="s">
        <v>7</v>
      </c>
      <c r="GS803" s="27" t="s">
        <v>8</v>
      </c>
    </row>
    <row r="804" spans="1:203" x14ac:dyDescent="0.25">
      <c r="A804" s="7">
        <v>1.3607010742763666E-2</v>
      </c>
      <c r="B804"/>
      <c r="C804"/>
      <c r="D804"/>
      <c r="E804"/>
      <c r="F804" s="27" t="s">
        <v>7</v>
      </c>
      <c r="G804" s="27" t="s">
        <v>8</v>
      </c>
      <c r="H804" s="27" t="s">
        <v>7</v>
      </c>
      <c r="Q804" s="27" t="s">
        <v>8</v>
      </c>
      <c r="AC804" s="27" t="s">
        <v>8</v>
      </c>
      <c r="AE804" s="27" t="s">
        <v>8</v>
      </c>
      <c r="AG804" s="27" t="s">
        <v>8</v>
      </c>
      <c r="AH804" s="27" t="s">
        <v>7</v>
      </c>
      <c r="AN804" s="27" t="s">
        <v>7</v>
      </c>
      <c r="AO804" s="27" t="s">
        <v>8</v>
      </c>
      <c r="AT804" s="27" t="s">
        <v>7</v>
      </c>
      <c r="AU804" s="27" t="s">
        <v>8</v>
      </c>
      <c r="AX804" s="27" t="s">
        <v>7</v>
      </c>
      <c r="BW804" s="27" t="s">
        <v>8</v>
      </c>
      <c r="CE804" s="27" t="s">
        <v>8</v>
      </c>
      <c r="CG804" s="27" t="s">
        <v>8</v>
      </c>
      <c r="CH804" s="27" t="s">
        <v>7</v>
      </c>
      <c r="CI804" s="27" t="s">
        <v>8</v>
      </c>
      <c r="CJ804" s="27" t="s">
        <v>7</v>
      </c>
      <c r="CK804" s="27" t="s">
        <v>8</v>
      </c>
      <c r="CL804" s="27" t="s">
        <v>7</v>
      </c>
      <c r="CM804" s="27" t="s">
        <v>8</v>
      </c>
      <c r="CN804" s="27" t="s">
        <v>7</v>
      </c>
      <c r="CZ804" s="27" t="s">
        <v>7</v>
      </c>
      <c r="DA804" s="27" t="s">
        <v>8</v>
      </c>
      <c r="FX804" s="27" t="s">
        <v>7</v>
      </c>
      <c r="FY804" s="27" t="s">
        <v>8</v>
      </c>
      <c r="FZ804" s="27" t="s">
        <v>7</v>
      </c>
      <c r="GA804" s="27" t="s">
        <v>8</v>
      </c>
      <c r="GB804" s="27" t="s">
        <v>7</v>
      </c>
      <c r="GC804" s="27" t="s">
        <v>8</v>
      </c>
      <c r="GD804" s="27" t="s">
        <v>7</v>
      </c>
      <c r="GE804" s="27" t="s">
        <v>8</v>
      </c>
      <c r="GF804" s="27" t="s">
        <v>7</v>
      </c>
      <c r="GG804" s="27" t="s">
        <v>8</v>
      </c>
      <c r="GH804" s="27" t="s">
        <v>7</v>
      </c>
      <c r="GI804" s="27" t="s">
        <v>8</v>
      </c>
      <c r="GK804" s="27" t="s">
        <v>8</v>
      </c>
      <c r="GL804" s="27" t="s">
        <v>7</v>
      </c>
      <c r="GN804" s="27" t="s">
        <v>7</v>
      </c>
      <c r="GO804" s="27" t="s">
        <v>8</v>
      </c>
      <c r="GP804" s="27" t="s">
        <v>7</v>
      </c>
      <c r="GQ804" s="27" t="s">
        <v>8</v>
      </c>
      <c r="GR804" s="27" t="s">
        <v>7</v>
      </c>
      <c r="GS804" s="27" t="s">
        <v>8</v>
      </c>
    </row>
    <row r="805" spans="1:203" x14ac:dyDescent="0.25">
      <c r="A805" s="7">
        <v>1.3340206610552614E-2</v>
      </c>
      <c r="B805"/>
      <c r="C805"/>
      <c r="D805"/>
      <c r="E805"/>
      <c r="F805" s="27" t="s">
        <v>7</v>
      </c>
      <c r="G805" s="27" t="s">
        <v>8</v>
      </c>
      <c r="H805" s="27" t="s">
        <v>7</v>
      </c>
      <c r="K805" s="27" t="s">
        <v>8</v>
      </c>
      <c r="Q805" s="27" t="s">
        <v>8</v>
      </c>
      <c r="R805" s="27" t="s">
        <v>7</v>
      </c>
      <c r="Y805" s="27" t="s">
        <v>8</v>
      </c>
      <c r="AC805" s="27" t="s">
        <v>8</v>
      </c>
      <c r="AD805" s="27" t="s">
        <v>7</v>
      </c>
      <c r="AE805" s="27" t="s">
        <v>8</v>
      </c>
      <c r="AF805" s="27" t="s">
        <v>7</v>
      </c>
      <c r="AG805" s="27" t="s">
        <v>8</v>
      </c>
      <c r="AN805" s="27" t="s">
        <v>7</v>
      </c>
      <c r="AO805" s="27" t="s">
        <v>8</v>
      </c>
      <c r="AT805" s="27" t="s">
        <v>7</v>
      </c>
      <c r="AX805" s="27" t="s">
        <v>7</v>
      </c>
      <c r="AY805" s="27" t="s">
        <v>8</v>
      </c>
      <c r="BW805" s="27" t="s">
        <v>8</v>
      </c>
      <c r="BX805" s="27" t="s">
        <v>7</v>
      </c>
      <c r="CE805" s="27" t="s">
        <v>8</v>
      </c>
      <c r="CF805" s="27" t="s">
        <v>7</v>
      </c>
      <c r="CG805" s="27" t="s">
        <v>8</v>
      </c>
      <c r="CH805" s="27" t="s">
        <v>7</v>
      </c>
      <c r="CI805" s="27" t="s">
        <v>8</v>
      </c>
      <c r="CJ805" s="27" t="s">
        <v>7</v>
      </c>
      <c r="CK805" s="27" t="s">
        <v>8</v>
      </c>
      <c r="CL805" s="27" t="s">
        <v>7</v>
      </c>
      <c r="CM805" s="27" t="s">
        <v>8</v>
      </c>
      <c r="CZ805" s="27" t="s">
        <v>7</v>
      </c>
      <c r="DA805" s="27" t="s">
        <v>8</v>
      </c>
      <c r="FX805" s="27" t="s">
        <v>7</v>
      </c>
      <c r="FZ805" s="27" t="s">
        <v>7</v>
      </c>
      <c r="GA805" s="27" t="s">
        <v>8</v>
      </c>
      <c r="GB805" s="27" t="s">
        <v>7</v>
      </c>
      <c r="GC805" s="27" t="s">
        <v>8</v>
      </c>
      <c r="GD805" s="27" t="s">
        <v>7</v>
      </c>
      <c r="GE805" s="27" t="s">
        <v>8</v>
      </c>
      <c r="GF805" s="27" t="s">
        <v>7</v>
      </c>
      <c r="GG805" s="27" t="s">
        <v>8</v>
      </c>
      <c r="GH805" s="27" t="s">
        <v>7</v>
      </c>
      <c r="GI805" s="27" t="s">
        <v>8</v>
      </c>
      <c r="GJ805" s="27" t="s">
        <v>7</v>
      </c>
      <c r="GK805" s="27" t="s">
        <v>8</v>
      </c>
      <c r="GN805" s="27" t="s">
        <v>7</v>
      </c>
      <c r="GO805" s="27" t="s">
        <v>8</v>
      </c>
      <c r="GP805" s="27" t="s">
        <v>7</v>
      </c>
      <c r="GR805" s="27" t="s">
        <v>7</v>
      </c>
    </row>
    <row r="806" spans="1:203" x14ac:dyDescent="0.25">
      <c r="A806" s="7">
        <v>1.3078633931914328E-2</v>
      </c>
      <c r="B806"/>
      <c r="C806"/>
      <c r="D806"/>
      <c r="E806"/>
      <c r="F806" s="27" t="s">
        <v>7</v>
      </c>
      <c r="G806" s="27" t="s">
        <v>8</v>
      </c>
      <c r="H806" s="27" t="s">
        <v>7</v>
      </c>
      <c r="K806" s="27" t="s">
        <v>8</v>
      </c>
      <c r="L806" s="27" t="s">
        <v>7</v>
      </c>
      <c r="Q806" s="27" t="s">
        <v>8</v>
      </c>
      <c r="R806" s="27" t="s">
        <v>7</v>
      </c>
      <c r="W806" s="27" t="s">
        <v>8</v>
      </c>
      <c r="Y806" s="27" t="s">
        <v>8</v>
      </c>
      <c r="Z806" s="27" t="s">
        <v>7</v>
      </c>
      <c r="AC806" s="27" t="s">
        <v>8</v>
      </c>
      <c r="AD806" s="27" t="s">
        <v>7</v>
      </c>
      <c r="AE806" s="27" t="s">
        <v>8</v>
      </c>
      <c r="AF806" s="27" t="s">
        <v>7</v>
      </c>
      <c r="AG806" s="27" t="s">
        <v>8</v>
      </c>
      <c r="AN806" s="27" t="s">
        <v>7</v>
      </c>
      <c r="AO806" s="27" t="s">
        <v>8</v>
      </c>
      <c r="AX806" s="27" t="s">
        <v>7</v>
      </c>
      <c r="AY806" s="27" t="s">
        <v>8</v>
      </c>
      <c r="AZ806" s="27" t="s">
        <v>7</v>
      </c>
      <c r="BW806" s="27" t="s">
        <v>8</v>
      </c>
      <c r="BX806" s="27" t="s">
        <v>7</v>
      </c>
      <c r="CE806" s="27" t="s">
        <v>8</v>
      </c>
      <c r="CF806" s="27" t="s">
        <v>7</v>
      </c>
      <c r="CG806" s="27" t="s">
        <v>8</v>
      </c>
      <c r="CH806" s="27" t="s">
        <v>7</v>
      </c>
      <c r="CJ806" s="27" t="s">
        <v>7</v>
      </c>
      <c r="CK806" s="27" t="s">
        <v>8</v>
      </c>
      <c r="CL806" s="27" t="s">
        <v>7</v>
      </c>
      <c r="CZ806" s="27" t="s">
        <v>7</v>
      </c>
      <c r="DA806" s="27" t="s">
        <v>8</v>
      </c>
      <c r="FZ806" s="27" t="s">
        <v>7</v>
      </c>
      <c r="GB806" s="27" t="s">
        <v>7</v>
      </c>
      <c r="GC806" s="27" t="s">
        <v>8</v>
      </c>
      <c r="GD806" s="27" t="s">
        <v>7</v>
      </c>
      <c r="GF806" s="27" t="s">
        <v>7</v>
      </c>
      <c r="GG806" s="27" t="s">
        <v>8</v>
      </c>
      <c r="GH806" s="27" t="s">
        <v>7</v>
      </c>
      <c r="GI806" s="27" t="s">
        <v>8</v>
      </c>
      <c r="GJ806" s="27" t="s">
        <v>7</v>
      </c>
      <c r="GK806" s="27" t="s">
        <v>8</v>
      </c>
      <c r="GN806" s="27" t="s">
        <v>7</v>
      </c>
      <c r="GO806" s="27" t="s">
        <v>8</v>
      </c>
    </row>
    <row r="807" spans="1:203" x14ac:dyDescent="0.25">
      <c r="A807" s="7">
        <v>1.2822190129327771E-2</v>
      </c>
      <c r="B807"/>
      <c r="C807"/>
      <c r="D807"/>
      <c r="E807"/>
      <c r="F807" s="27" t="s">
        <v>7</v>
      </c>
      <c r="H807" s="27" t="s">
        <v>7</v>
      </c>
      <c r="K807" s="27" t="s">
        <v>8</v>
      </c>
      <c r="L807" s="27" t="s">
        <v>7</v>
      </c>
      <c r="Q807" s="27" t="s">
        <v>8</v>
      </c>
      <c r="R807" s="27" t="s">
        <v>7</v>
      </c>
      <c r="W807" s="27" t="s">
        <v>8</v>
      </c>
      <c r="X807" s="27" t="s">
        <v>7</v>
      </c>
      <c r="Y807" s="27" t="s">
        <v>8</v>
      </c>
      <c r="Z807" s="27" t="s">
        <v>7</v>
      </c>
      <c r="AA807" s="27" t="s">
        <v>8</v>
      </c>
      <c r="AC807" s="27" t="s">
        <v>8</v>
      </c>
      <c r="AD807" s="27" t="s">
        <v>7</v>
      </c>
      <c r="AE807" s="27" t="s">
        <v>8</v>
      </c>
      <c r="AF807" s="27" t="s">
        <v>7</v>
      </c>
      <c r="AN807" s="27" t="s">
        <v>7</v>
      </c>
      <c r="AO807" s="27" t="s">
        <v>8</v>
      </c>
      <c r="AX807" s="27" t="s">
        <v>7</v>
      </c>
      <c r="AY807" s="27" t="s">
        <v>8</v>
      </c>
      <c r="AZ807" s="27" t="s">
        <v>7</v>
      </c>
      <c r="BO807" s="27" t="s">
        <v>8</v>
      </c>
      <c r="BW807" s="27" t="s">
        <v>8</v>
      </c>
      <c r="BX807" s="27" t="s">
        <v>7</v>
      </c>
      <c r="CE807" s="27" t="s">
        <v>8</v>
      </c>
      <c r="CF807" s="27" t="s">
        <v>7</v>
      </c>
      <c r="CG807" s="27" t="s">
        <v>8</v>
      </c>
      <c r="CJ807" s="27" t="s">
        <v>7</v>
      </c>
      <c r="CZ807" s="27" t="s">
        <v>7</v>
      </c>
      <c r="GB807" s="27" t="s">
        <v>7</v>
      </c>
      <c r="GC807" s="27" t="s">
        <v>8</v>
      </c>
      <c r="GF807" s="27" t="s">
        <v>7</v>
      </c>
      <c r="GG807" s="27" t="s">
        <v>8</v>
      </c>
      <c r="GH807" s="27" t="s">
        <v>7</v>
      </c>
      <c r="GJ807" s="27" t="s">
        <v>7</v>
      </c>
      <c r="GK807" s="27" t="s">
        <v>8</v>
      </c>
      <c r="GN807" s="27" t="s">
        <v>7</v>
      </c>
      <c r="GO807" s="27" t="s">
        <v>8</v>
      </c>
    </row>
    <row r="808" spans="1:203" x14ac:dyDescent="0.25">
      <c r="A808" s="7">
        <v>1.2570774636595854E-2</v>
      </c>
      <c r="B808"/>
      <c r="C808"/>
      <c r="D808"/>
      <c r="E808"/>
      <c r="H808" s="27" t="s">
        <v>7</v>
      </c>
      <c r="I808" s="27" t="s">
        <v>8</v>
      </c>
      <c r="K808" s="27" t="s">
        <v>8</v>
      </c>
      <c r="L808" s="27" t="s">
        <v>7</v>
      </c>
      <c r="Q808" s="27" t="s">
        <v>8</v>
      </c>
      <c r="R808" s="27" t="s">
        <v>7</v>
      </c>
      <c r="W808" s="27" t="s">
        <v>8</v>
      </c>
      <c r="X808" s="27" t="s">
        <v>7</v>
      </c>
      <c r="Y808" s="27" t="s">
        <v>8</v>
      </c>
      <c r="Z808" s="27" t="s">
        <v>7</v>
      </c>
      <c r="AA808" s="27" t="s">
        <v>8</v>
      </c>
      <c r="AB808" s="27" t="s">
        <v>7</v>
      </c>
      <c r="AC808" s="27" t="s">
        <v>8</v>
      </c>
      <c r="AD808" s="27" t="s">
        <v>7</v>
      </c>
      <c r="AE808" s="27" t="s">
        <v>8</v>
      </c>
      <c r="AN808" s="27" t="s">
        <v>7</v>
      </c>
      <c r="AO808" s="27" t="s">
        <v>8</v>
      </c>
      <c r="AX808" s="27" t="s">
        <v>7</v>
      </c>
      <c r="AZ808" s="27" t="s">
        <v>7</v>
      </c>
      <c r="BO808" s="27" t="s">
        <v>8</v>
      </c>
      <c r="BP808" s="27" t="s">
        <v>7</v>
      </c>
      <c r="BQ808" s="27" t="s">
        <v>8</v>
      </c>
      <c r="BW808" s="27" t="s">
        <v>8</v>
      </c>
      <c r="BX808" s="27" t="s">
        <v>7</v>
      </c>
      <c r="BY808" s="27" t="s">
        <v>8</v>
      </c>
      <c r="CE808" s="27" t="s">
        <v>8</v>
      </c>
      <c r="CF808" s="27" t="s">
        <v>7</v>
      </c>
      <c r="CG808" s="27" t="s">
        <v>8</v>
      </c>
      <c r="GB808" s="27" t="s">
        <v>7</v>
      </c>
      <c r="GC808" s="27" t="s">
        <v>8</v>
      </c>
      <c r="GF808" s="27" t="s">
        <v>7</v>
      </c>
      <c r="GJ808" s="27" t="s">
        <v>7</v>
      </c>
      <c r="GK808" s="27" t="s">
        <v>8</v>
      </c>
      <c r="GN808" s="27" t="s">
        <v>7</v>
      </c>
      <c r="GO808" s="27" t="s">
        <v>8</v>
      </c>
    </row>
    <row r="809" spans="1:203" x14ac:dyDescent="0.25">
      <c r="A809" s="7">
        <v>1.23242888594077E-2</v>
      </c>
      <c r="B809"/>
      <c r="C809"/>
      <c r="D809"/>
      <c r="E809"/>
      <c r="H809" s="27" t="s">
        <v>7</v>
      </c>
      <c r="I809" s="27" t="s">
        <v>8</v>
      </c>
      <c r="J809" s="27" t="s">
        <v>7</v>
      </c>
      <c r="K809" s="27" t="s">
        <v>8</v>
      </c>
      <c r="L809" s="27" t="s">
        <v>7</v>
      </c>
      <c r="M809" s="27" t="s">
        <v>8</v>
      </c>
      <c r="Q809" s="27" t="s">
        <v>8</v>
      </c>
      <c r="R809" s="27" t="s">
        <v>7</v>
      </c>
      <c r="W809" s="27" t="s">
        <v>8</v>
      </c>
      <c r="X809" s="27" t="s">
        <v>7</v>
      </c>
      <c r="Y809" s="27" t="s">
        <v>8</v>
      </c>
      <c r="Z809" s="27" t="s">
        <v>7</v>
      </c>
      <c r="AA809" s="27" t="s">
        <v>8</v>
      </c>
      <c r="AB809" s="27" t="s">
        <v>7</v>
      </c>
      <c r="AC809" s="27" t="s">
        <v>8</v>
      </c>
      <c r="AD809" s="27" t="s">
        <v>7</v>
      </c>
      <c r="AN809" s="27" t="s">
        <v>7</v>
      </c>
      <c r="AO809" s="27" t="s">
        <v>8</v>
      </c>
      <c r="AZ809" s="27" t="s">
        <v>7</v>
      </c>
      <c r="BO809" s="27" t="s">
        <v>8</v>
      </c>
      <c r="BP809" s="27" t="s">
        <v>7</v>
      </c>
      <c r="BQ809" s="27" t="s">
        <v>8</v>
      </c>
      <c r="BR809" s="27" t="s">
        <v>7</v>
      </c>
      <c r="BS809" s="27" t="s">
        <v>8</v>
      </c>
      <c r="BW809" s="27" t="s">
        <v>8</v>
      </c>
      <c r="BX809" s="27" t="s">
        <v>7</v>
      </c>
      <c r="BY809" s="27" t="s">
        <v>8</v>
      </c>
      <c r="BZ809" s="27" t="s">
        <v>7</v>
      </c>
      <c r="CE809" s="27" t="s">
        <v>8</v>
      </c>
      <c r="CF809" s="27" t="s">
        <v>7</v>
      </c>
      <c r="CG809" s="27" t="s">
        <v>8</v>
      </c>
      <c r="GB809" s="27" t="s">
        <v>7</v>
      </c>
      <c r="GC809" s="27" t="s">
        <v>8</v>
      </c>
      <c r="GJ809" s="27" t="s">
        <v>7</v>
      </c>
      <c r="GN809" s="27" t="s">
        <v>7</v>
      </c>
    </row>
    <row r="810" spans="1:203" x14ac:dyDescent="0.25">
      <c r="A810" s="7">
        <v>1.2082636136674216E-2</v>
      </c>
      <c r="B810"/>
      <c r="C810"/>
      <c r="D810"/>
      <c r="E810"/>
      <c r="H810" s="27" t="s">
        <v>7</v>
      </c>
      <c r="I810" s="27" t="s">
        <v>8</v>
      </c>
      <c r="J810" s="27" t="s">
        <v>7</v>
      </c>
      <c r="K810" s="27" t="s">
        <v>8</v>
      </c>
      <c r="L810" s="27" t="s">
        <v>7</v>
      </c>
      <c r="M810" s="27" t="s">
        <v>8</v>
      </c>
      <c r="N810" s="27" t="s">
        <v>7</v>
      </c>
      <c r="Q810" s="27" t="s">
        <v>8</v>
      </c>
      <c r="R810" s="27" t="s">
        <v>7</v>
      </c>
      <c r="S810" s="27" t="s">
        <v>8</v>
      </c>
      <c r="U810" s="27" t="s">
        <v>8</v>
      </c>
      <c r="W810" s="27" t="s">
        <v>8</v>
      </c>
      <c r="X810" s="27" t="s">
        <v>7</v>
      </c>
      <c r="Y810" s="27" t="s">
        <v>8</v>
      </c>
      <c r="Z810" s="27" t="s">
        <v>7</v>
      </c>
      <c r="AA810" s="27" t="s">
        <v>8</v>
      </c>
      <c r="AB810" s="27" t="s">
        <v>7</v>
      </c>
      <c r="AN810" s="27" t="s">
        <v>7</v>
      </c>
      <c r="AO810" s="27" t="s">
        <v>8</v>
      </c>
      <c r="AZ810" s="27" t="s">
        <v>7</v>
      </c>
      <c r="BO810" s="27" t="s">
        <v>8</v>
      </c>
      <c r="BP810" s="27" t="s">
        <v>7</v>
      </c>
      <c r="BQ810" s="27" t="s">
        <v>8</v>
      </c>
      <c r="BR810" s="27" t="s">
        <v>7</v>
      </c>
      <c r="BS810" s="27" t="s">
        <v>8</v>
      </c>
      <c r="BT810" s="27" t="s">
        <v>7</v>
      </c>
      <c r="BW810" s="27" t="s">
        <v>8</v>
      </c>
      <c r="BX810" s="27" t="s">
        <v>7</v>
      </c>
      <c r="BY810" s="27" t="s">
        <v>8</v>
      </c>
      <c r="BZ810" s="27" t="s">
        <v>7</v>
      </c>
      <c r="CA810" s="27" t="s">
        <v>8</v>
      </c>
      <c r="CC810" s="27" t="s">
        <v>8</v>
      </c>
      <c r="CE810" s="27" t="s">
        <v>8</v>
      </c>
      <c r="CF810" s="27" t="s">
        <v>7</v>
      </c>
      <c r="CG810" s="27" t="s">
        <v>8</v>
      </c>
      <c r="GB810" s="27" t="s">
        <v>7</v>
      </c>
      <c r="GC810" s="27" t="s">
        <v>8</v>
      </c>
    </row>
    <row r="811" spans="1:203" x14ac:dyDescent="0.25">
      <c r="A811" s="7">
        <v>1.184572170262178E-2</v>
      </c>
      <c r="B811"/>
      <c r="C811"/>
      <c r="D811"/>
      <c r="E811"/>
      <c r="H811" s="27" t="s">
        <v>7</v>
      </c>
      <c r="I811" s="27" t="s">
        <v>8</v>
      </c>
      <c r="J811" s="27" t="s">
        <v>7</v>
      </c>
      <c r="K811" s="27" t="s">
        <v>8</v>
      </c>
      <c r="L811" s="27" t="s">
        <v>7</v>
      </c>
      <c r="M811" s="27" t="s">
        <v>8</v>
      </c>
      <c r="N811" s="27" t="s">
        <v>7</v>
      </c>
      <c r="Q811" s="27" t="s">
        <v>8</v>
      </c>
      <c r="R811" s="27" t="s">
        <v>7</v>
      </c>
      <c r="S811" s="27" t="s">
        <v>8</v>
      </c>
      <c r="T811" s="27" t="s">
        <v>7</v>
      </c>
      <c r="U811" s="27" t="s">
        <v>8</v>
      </c>
      <c r="V811" s="27" t="s">
        <v>7</v>
      </c>
      <c r="W811" s="27" t="s">
        <v>8</v>
      </c>
      <c r="X811" s="27" t="s">
        <v>7</v>
      </c>
      <c r="Z811" s="27" t="s">
        <v>7</v>
      </c>
      <c r="AA811" s="27" t="s">
        <v>8</v>
      </c>
      <c r="AN811" s="27" t="s">
        <v>7</v>
      </c>
      <c r="AO811" s="27" t="s">
        <v>8</v>
      </c>
      <c r="AZ811" s="27" t="s">
        <v>7</v>
      </c>
      <c r="BO811" s="27" t="s">
        <v>8</v>
      </c>
      <c r="BP811" s="27" t="s">
        <v>7</v>
      </c>
      <c r="BQ811" s="27" t="s">
        <v>8</v>
      </c>
      <c r="BR811" s="27" t="s">
        <v>7</v>
      </c>
      <c r="BS811" s="27" t="s">
        <v>8</v>
      </c>
      <c r="BT811" s="27" t="s">
        <v>7</v>
      </c>
      <c r="BU811" s="27" t="s">
        <v>8</v>
      </c>
      <c r="BW811" s="27" t="s">
        <v>8</v>
      </c>
      <c r="BX811" s="27" t="s">
        <v>7</v>
      </c>
      <c r="BZ811" s="27" t="s">
        <v>7</v>
      </c>
      <c r="CA811" s="27" t="s">
        <v>8</v>
      </c>
      <c r="CB811" s="27" t="s">
        <v>7</v>
      </c>
      <c r="CC811" s="27" t="s">
        <v>8</v>
      </c>
      <c r="CD811" s="27" t="s">
        <v>7</v>
      </c>
      <c r="CE811" s="27" t="s">
        <v>8</v>
      </c>
      <c r="CF811" s="27" t="s">
        <v>7</v>
      </c>
      <c r="GB811" s="27" t="s">
        <v>7</v>
      </c>
      <c r="GC811" s="27" t="s">
        <v>8</v>
      </c>
    </row>
    <row r="812" spans="1:203" x14ac:dyDescent="0.25">
      <c r="A812" s="7">
        <v>1.1613452649629196E-2</v>
      </c>
      <c r="B812"/>
      <c r="C812"/>
      <c r="D812"/>
      <c r="E812"/>
      <c r="H812" s="27" t="s">
        <v>7</v>
      </c>
      <c r="I812" s="27" t="s">
        <v>8</v>
      </c>
      <c r="J812" s="27" t="s">
        <v>7</v>
      </c>
      <c r="K812" s="27" t="s">
        <v>8</v>
      </c>
      <c r="L812" s="27" t="s">
        <v>7</v>
      </c>
      <c r="M812" s="27" t="s">
        <v>8</v>
      </c>
      <c r="N812" s="27" t="s">
        <v>7</v>
      </c>
      <c r="Q812" s="27" t="s">
        <v>8</v>
      </c>
      <c r="R812" s="27" t="s">
        <v>7</v>
      </c>
      <c r="S812" s="27" t="s">
        <v>8</v>
      </c>
      <c r="T812" s="27" t="s">
        <v>7</v>
      </c>
      <c r="U812" s="27" t="s">
        <v>8</v>
      </c>
      <c r="V812" s="27" t="s">
        <v>7</v>
      </c>
      <c r="W812" s="27" t="s">
        <v>8</v>
      </c>
      <c r="Z812" s="27" t="s">
        <v>7</v>
      </c>
      <c r="AN812" s="27" t="s">
        <v>7</v>
      </c>
      <c r="AO812" s="27" t="s">
        <v>8</v>
      </c>
      <c r="AZ812" s="27" t="s">
        <v>7</v>
      </c>
      <c r="BE812" s="27" t="s">
        <v>8</v>
      </c>
      <c r="BO812" s="27" t="s">
        <v>8</v>
      </c>
      <c r="BP812" s="27" t="s">
        <v>7</v>
      </c>
      <c r="BQ812" s="27" t="s">
        <v>8</v>
      </c>
      <c r="BR812" s="27" t="s">
        <v>7</v>
      </c>
      <c r="BS812" s="27" t="s">
        <v>8</v>
      </c>
      <c r="BT812" s="27" t="s">
        <v>7</v>
      </c>
      <c r="BU812" s="27" t="s">
        <v>8</v>
      </c>
      <c r="BV812" s="27" t="s">
        <v>7</v>
      </c>
      <c r="BW812" s="27" t="s">
        <v>8</v>
      </c>
      <c r="BZ812" s="27" t="s">
        <v>7</v>
      </c>
      <c r="CA812" s="27" t="s">
        <v>8</v>
      </c>
      <c r="CB812" s="27" t="s">
        <v>7</v>
      </c>
      <c r="CC812" s="27" t="s">
        <v>8</v>
      </c>
      <c r="CD812" s="27" t="s">
        <v>7</v>
      </c>
      <c r="CE812" s="27" t="s">
        <v>8</v>
      </c>
      <c r="GB812" s="27" t="s">
        <v>7</v>
      </c>
    </row>
    <row r="813" spans="1:203" x14ac:dyDescent="0.25">
      <c r="A813" s="7">
        <v>1.138573789179333E-2</v>
      </c>
      <c r="B813"/>
      <c r="C813"/>
      <c r="D813"/>
      <c r="E813"/>
      <c r="H813" s="27" t="s">
        <v>7</v>
      </c>
      <c r="I813" s="27" t="s">
        <v>8</v>
      </c>
      <c r="J813" s="27" t="s">
        <v>7</v>
      </c>
      <c r="K813" s="27" t="s">
        <v>8</v>
      </c>
      <c r="L813" s="27" t="s">
        <v>7</v>
      </c>
      <c r="N813" s="27" t="s">
        <v>7</v>
      </c>
      <c r="O813" s="27" t="s">
        <v>8</v>
      </c>
      <c r="Q813" s="27" t="s">
        <v>8</v>
      </c>
      <c r="R813" s="27" t="s">
        <v>7</v>
      </c>
      <c r="S813" s="27" t="s">
        <v>8</v>
      </c>
      <c r="T813" s="27" t="s">
        <v>7</v>
      </c>
      <c r="U813" s="27" t="s">
        <v>8</v>
      </c>
      <c r="V813" s="27" t="s">
        <v>7</v>
      </c>
      <c r="W813" s="27" t="s">
        <v>8</v>
      </c>
      <c r="AN813" s="27" t="s">
        <v>7</v>
      </c>
      <c r="AZ813" s="27" t="s">
        <v>7</v>
      </c>
      <c r="BE813" s="27" t="s">
        <v>8</v>
      </c>
      <c r="BF813" s="27" t="s">
        <v>7</v>
      </c>
      <c r="BM813" s="27" t="s">
        <v>8</v>
      </c>
      <c r="BO813" s="27" t="s">
        <v>8</v>
      </c>
      <c r="BP813" s="27" t="s">
        <v>7</v>
      </c>
      <c r="BQ813" s="27" t="s">
        <v>8</v>
      </c>
      <c r="BR813" s="27" t="s">
        <v>7</v>
      </c>
      <c r="BS813" s="27" t="s">
        <v>8</v>
      </c>
      <c r="BT813" s="27" t="s">
        <v>7</v>
      </c>
      <c r="BU813" s="27" t="s">
        <v>8</v>
      </c>
      <c r="BV813" s="27" t="s">
        <v>7</v>
      </c>
      <c r="BW813" s="27" t="s">
        <v>8</v>
      </c>
      <c r="BZ813" s="27" t="s">
        <v>7</v>
      </c>
      <c r="CB813" s="27" t="s">
        <v>7</v>
      </c>
      <c r="CC813" s="27" t="s">
        <v>8</v>
      </c>
      <c r="CD813" s="27" t="s">
        <v>7</v>
      </c>
    </row>
    <row r="814" spans="1:203" x14ac:dyDescent="0.25">
      <c r="A814" s="7">
        <v>1.1162488129209149E-2</v>
      </c>
      <c r="B814"/>
      <c r="C814"/>
      <c r="D814"/>
      <c r="E814"/>
      <c r="H814" s="27" t="s">
        <v>7</v>
      </c>
      <c r="I814" s="27" t="s">
        <v>8</v>
      </c>
      <c r="J814" s="27" t="s">
        <v>7</v>
      </c>
      <c r="K814" s="27" t="s">
        <v>8</v>
      </c>
      <c r="N814" s="27" t="s">
        <v>7</v>
      </c>
      <c r="O814" s="27" t="s">
        <v>8</v>
      </c>
      <c r="P814" s="27" t="s">
        <v>7</v>
      </c>
      <c r="Q814" s="27" t="s">
        <v>8</v>
      </c>
      <c r="R814" s="27" t="s">
        <v>7</v>
      </c>
      <c r="T814" s="27" t="s">
        <v>7</v>
      </c>
      <c r="U814" s="27" t="s">
        <v>8</v>
      </c>
      <c r="V814" s="27" t="s">
        <v>7</v>
      </c>
      <c r="AZ814" s="27" t="s">
        <v>7</v>
      </c>
      <c r="BE814" s="27" t="s">
        <v>8</v>
      </c>
      <c r="BF814" s="27" t="s">
        <v>7</v>
      </c>
      <c r="BM814" s="27" t="s">
        <v>8</v>
      </c>
      <c r="BN814" s="27" t="s">
        <v>7</v>
      </c>
      <c r="BO814" s="27" t="s">
        <v>8</v>
      </c>
      <c r="BP814" s="27" t="s">
        <v>7</v>
      </c>
      <c r="BQ814" s="27" t="s">
        <v>8</v>
      </c>
      <c r="BR814" s="27" t="s">
        <v>7</v>
      </c>
      <c r="BS814" s="27" t="s">
        <v>8</v>
      </c>
      <c r="BT814" s="27" t="s">
        <v>7</v>
      </c>
      <c r="BU814" s="27" t="s">
        <v>8</v>
      </c>
      <c r="BV814" s="27" t="s">
        <v>7</v>
      </c>
      <c r="CB814" s="27" t="s">
        <v>7</v>
      </c>
      <c r="CC814" s="27" t="s">
        <v>8</v>
      </c>
    </row>
    <row r="815" spans="1:203" x14ac:dyDescent="0.25">
      <c r="A815" s="7">
        <v>1.0943615812950145E-2</v>
      </c>
      <c r="B815"/>
      <c r="C815"/>
      <c r="D815"/>
      <c r="E815"/>
      <c r="H815" s="27" t="s">
        <v>7</v>
      </c>
      <c r="J815" s="27" t="s">
        <v>7</v>
      </c>
      <c r="K815" s="27" t="s">
        <v>8</v>
      </c>
      <c r="N815" s="27" t="s">
        <v>7</v>
      </c>
      <c r="O815" s="27" t="s">
        <v>8</v>
      </c>
      <c r="P815" s="27" t="s">
        <v>7</v>
      </c>
      <c r="Q815" s="27" t="s">
        <v>8</v>
      </c>
      <c r="T815" s="27" t="s">
        <v>7</v>
      </c>
      <c r="U815" s="27" t="s">
        <v>8</v>
      </c>
      <c r="AZ815" s="27" t="s">
        <v>7</v>
      </c>
      <c r="BE815" s="27" t="s">
        <v>8</v>
      </c>
      <c r="BF815" s="27" t="s">
        <v>7</v>
      </c>
      <c r="BM815" s="27" t="s">
        <v>8</v>
      </c>
      <c r="BN815" s="27" t="s">
        <v>7</v>
      </c>
      <c r="BO815" s="27" t="s">
        <v>8</v>
      </c>
      <c r="BP815" s="27" t="s">
        <v>7</v>
      </c>
      <c r="BQ815" s="27" t="s">
        <v>8</v>
      </c>
      <c r="BR815" s="27" t="s">
        <v>7</v>
      </c>
      <c r="BS815" s="27" t="s">
        <v>8</v>
      </c>
      <c r="BT815" s="27" t="s">
        <v>7</v>
      </c>
      <c r="BU815" s="27" t="s">
        <v>8</v>
      </c>
      <c r="CB815" s="27" t="s">
        <v>7</v>
      </c>
      <c r="CC815" s="27" t="s">
        <v>8</v>
      </c>
    </row>
    <row r="816" spans="1:203" x14ac:dyDescent="0.25">
      <c r="A816" s="7">
        <v>1.0729035110735436E-2</v>
      </c>
      <c r="B816"/>
      <c r="C816"/>
      <c r="D816"/>
      <c r="E816"/>
      <c r="J816" s="27" t="s">
        <v>7</v>
      </c>
      <c r="K816" s="27" t="s">
        <v>8</v>
      </c>
      <c r="N816" s="27" t="s">
        <v>7</v>
      </c>
      <c r="P816" s="27" t="s">
        <v>7</v>
      </c>
      <c r="Q816" s="27" t="s">
        <v>8</v>
      </c>
      <c r="T816" s="27" t="s">
        <v>7</v>
      </c>
      <c r="AZ816" s="27" t="s">
        <v>7</v>
      </c>
      <c r="BE816" s="27" t="s">
        <v>8</v>
      </c>
      <c r="BF816" s="27" t="s">
        <v>7</v>
      </c>
      <c r="BM816" s="27" t="s">
        <v>8</v>
      </c>
      <c r="BN816" s="27" t="s">
        <v>7</v>
      </c>
      <c r="BO816" s="27" t="s">
        <v>8</v>
      </c>
      <c r="BP816" s="27" t="s">
        <v>7</v>
      </c>
      <c r="BQ816" s="27" t="s">
        <v>8</v>
      </c>
      <c r="BR816" s="27" t="s">
        <v>7</v>
      </c>
      <c r="BS816" s="27" t="s">
        <v>8</v>
      </c>
      <c r="BT816" s="27" t="s">
        <v>7</v>
      </c>
      <c r="BU816" s="27" t="s">
        <v>8</v>
      </c>
      <c r="CB816" s="27" t="s">
        <v>7</v>
      </c>
      <c r="CC816" s="27" t="s">
        <v>8</v>
      </c>
    </row>
    <row r="817" spans="1:81" x14ac:dyDescent="0.25">
      <c r="A817" s="7">
        <v>1.0518661873270036E-2</v>
      </c>
      <c r="B817"/>
      <c r="C817"/>
      <c r="D817"/>
      <c r="E817"/>
      <c r="J817" s="27" t="s">
        <v>7</v>
      </c>
      <c r="K817" s="27" t="s">
        <v>8</v>
      </c>
      <c r="P817" s="27" t="s">
        <v>7</v>
      </c>
      <c r="Q817" s="27" t="s">
        <v>8</v>
      </c>
      <c r="AZ817" s="27" t="s">
        <v>7</v>
      </c>
      <c r="BE817" s="27" t="s">
        <v>8</v>
      </c>
      <c r="BF817" s="27" t="s">
        <v>7</v>
      </c>
      <c r="BG817" s="27" t="s">
        <v>8</v>
      </c>
      <c r="BM817" s="27" t="s">
        <v>8</v>
      </c>
      <c r="BN817" s="27" t="s">
        <v>7</v>
      </c>
      <c r="BO817" s="27" t="s">
        <v>8</v>
      </c>
      <c r="BP817" s="27" t="s">
        <v>7</v>
      </c>
      <c r="BQ817" s="27" t="s">
        <v>8</v>
      </c>
      <c r="BR817" s="27" t="s">
        <v>7</v>
      </c>
      <c r="BS817" s="27" t="s">
        <v>8</v>
      </c>
      <c r="BT817" s="27" t="s">
        <v>7</v>
      </c>
      <c r="BU817" s="27" t="s">
        <v>8</v>
      </c>
      <c r="CB817" s="27" t="s">
        <v>7</v>
      </c>
      <c r="CC817" s="27" t="s">
        <v>8</v>
      </c>
    </row>
    <row r="818" spans="1:81" x14ac:dyDescent="0.25">
      <c r="A818" s="7">
        <v>1.0312413601245135E-2</v>
      </c>
      <c r="B818"/>
      <c r="C818"/>
      <c r="D818"/>
      <c r="E818"/>
      <c r="J818" s="27" t="s">
        <v>7</v>
      </c>
      <c r="P818" s="27" t="s">
        <v>7</v>
      </c>
      <c r="AZ818" s="27" t="s">
        <v>7</v>
      </c>
      <c r="BE818" s="27" t="s">
        <v>8</v>
      </c>
      <c r="BF818" s="27" t="s">
        <v>7</v>
      </c>
      <c r="BG818" s="27" t="s">
        <v>8</v>
      </c>
      <c r="BH818" s="27" t="s">
        <v>7</v>
      </c>
      <c r="BM818" s="27" t="s">
        <v>8</v>
      </c>
      <c r="BN818" s="27" t="s">
        <v>7</v>
      </c>
      <c r="BO818" s="27" t="s">
        <v>8</v>
      </c>
      <c r="BP818" s="27" t="s">
        <v>7</v>
      </c>
      <c r="BQ818" s="27" t="s">
        <v>8</v>
      </c>
      <c r="BR818" s="27" t="s">
        <v>7</v>
      </c>
      <c r="BS818" s="27" t="s">
        <v>8</v>
      </c>
      <c r="BT818" s="27" t="s">
        <v>7</v>
      </c>
      <c r="BU818" s="27" t="s">
        <v>8</v>
      </c>
      <c r="CB818" s="27" t="s">
        <v>7</v>
      </c>
      <c r="CC818" s="27" t="s">
        <v>8</v>
      </c>
    </row>
    <row r="819" spans="1:81" x14ac:dyDescent="0.25">
      <c r="A819" s="7">
        <v>1.0110209412985426E-2</v>
      </c>
      <c r="B819"/>
      <c r="C819"/>
      <c r="D819"/>
      <c r="E819"/>
      <c r="AZ819" s="27" t="s">
        <v>7</v>
      </c>
      <c r="BE819" s="27" t="s">
        <v>8</v>
      </c>
      <c r="BF819" s="27" t="s">
        <v>7</v>
      </c>
      <c r="BG819" s="27" t="s">
        <v>8</v>
      </c>
      <c r="BH819" s="27" t="s">
        <v>7</v>
      </c>
      <c r="BK819" s="27" t="s">
        <v>8</v>
      </c>
      <c r="BM819" s="27" t="s">
        <v>8</v>
      </c>
      <c r="BN819" s="27" t="s">
        <v>7</v>
      </c>
      <c r="BP819" s="27" t="s">
        <v>7</v>
      </c>
      <c r="BQ819" s="27" t="s">
        <v>8</v>
      </c>
      <c r="BR819" s="27" t="s">
        <v>7</v>
      </c>
      <c r="BS819" s="27" t="s">
        <v>8</v>
      </c>
      <c r="BT819" s="27" t="s">
        <v>7</v>
      </c>
      <c r="CB819" s="27" t="s">
        <v>7</v>
      </c>
      <c r="CC819" s="27" t="s">
        <v>8</v>
      </c>
    </row>
    <row r="820" spans="1:81" x14ac:dyDescent="0.25">
      <c r="A820" s="7">
        <v>9.9119700127308103E-3</v>
      </c>
      <c r="B820"/>
      <c r="C820"/>
      <c r="D820"/>
      <c r="E820"/>
      <c r="AZ820" s="27" t="s">
        <v>7</v>
      </c>
      <c r="BE820" s="27" t="s">
        <v>8</v>
      </c>
      <c r="BF820" s="27" t="s">
        <v>7</v>
      </c>
      <c r="BG820" s="27" t="s">
        <v>8</v>
      </c>
      <c r="BH820" s="27" t="s">
        <v>7</v>
      </c>
      <c r="BK820" s="27" t="s">
        <v>8</v>
      </c>
      <c r="BL820" s="27" t="s">
        <v>7</v>
      </c>
      <c r="BM820" s="27" t="s">
        <v>8</v>
      </c>
      <c r="BP820" s="27" t="s">
        <v>7</v>
      </c>
      <c r="BQ820" s="27" t="s">
        <v>8</v>
      </c>
      <c r="BR820" s="27" t="s">
        <v>7</v>
      </c>
      <c r="BS820" s="27" t="s">
        <v>8</v>
      </c>
      <c r="CB820" s="27" t="s">
        <v>7</v>
      </c>
      <c r="CC820" s="27" t="s">
        <v>8</v>
      </c>
    </row>
    <row r="821" spans="1:81" x14ac:dyDescent="0.25">
      <c r="A821" s="7">
        <v>9.717617659540009E-3</v>
      </c>
      <c r="B821"/>
      <c r="C821"/>
      <c r="D821"/>
      <c r="E821"/>
      <c r="AZ821" s="27" t="s">
        <v>7</v>
      </c>
      <c r="BE821" s="27" t="s">
        <v>8</v>
      </c>
      <c r="BF821" s="27" t="s">
        <v>7</v>
      </c>
      <c r="BG821" s="27" t="s">
        <v>8</v>
      </c>
      <c r="BH821" s="27" t="s">
        <v>7</v>
      </c>
      <c r="BK821" s="27" t="s">
        <v>8</v>
      </c>
      <c r="BL821" s="27" t="s">
        <v>7</v>
      </c>
      <c r="BM821" s="27" t="s">
        <v>8</v>
      </c>
      <c r="BP821" s="27" t="s">
        <v>7</v>
      </c>
      <c r="BR821" s="27" t="s">
        <v>7</v>
      </c>
      <c r="BS821" s="27" t="s">
        <v>8</v>
      </c>
      <c r="CB821" s="27" t="s">
        <v>7</v>
      </c>
    </row>
    <row r="822" spans="1:81" x14ac:dyDescent="0.25">
      <c r="A822" s="7">
        <v>9.5270761368039299E-3</v>
      </c>
      <c r="B822"/>
      <c r="C822"/>
      <c r="D822"/>
      <c r="E822"/>
      <c r="AZ822" s="27" t="s">
        <v>7</v>
      </c>
      <c r="BE822" s="27" t="s">
        <v>8</v>
      </c>
      <c r="BF822" s="27" t="s">
        <v>7</v>
      </c>
      <c r="BG822" s="27" t="s">
        <v>8</v>
      </c>
      <c r="BH822" s="27" t="s">
        <v>7</v>
      </c>
      <c r="BK822" s="27" t="s">
        <v>8</v>
      </c>
      <c r="BL822" s="27" t="s">
        <v>7</v>
      </c>
      <c r="BM822" s="27" t="s">
        <v>8</v>
      </c>
      <c r="BR822" s="27" t="s">
        <v>7</v>
      </c>
    </row>
    <row r="823" spans="1:81" x14ac:dyDescent="0.25">
      <c r="A823" s="7">
        <v>9.3402707223567936E-3</v>
      </c>
      <c r="B823"/>
      <c r="C823"/>
      <c r="D823"/>
      <c r="E823"/>
      <c r="AZ823" s="27" t="s">
        <v>7</v>
      </c>
      <c r="BE823" s="27" t="s">
        <v>8</v>
      </c>
      <c r="BF823" s="27" t="s">
        <v>7</v>
      </c>
      <c r="BG823" s="27" t="s">
        <v>8</v>
      </c>
      <c r="BH823" s="27" t="s">
        <v>7</v>
      </c>
      <c r="BK823" s="27" t="s">
        <v>8</v>
      </c>
      <c r="BL823" s="27" t="s">
        <v>7</v>
      </c>
      <c r="BM823" s="27" t="s">
        <v>8</v>
      </c>
    </row>
    <row r="824" spans="1:81" x14ac:dyDescent="0.25">
      <c r="A824" s="7">
        <v>9.1571281591733261E-3</v>
      </c>
      <c r="B824"/>
      <c r="C824"/>
      <c r="D824"/>
      <c r="E824"/>
      <c r="AZ824" s="27" t="s">
        <v>7</v>
      </c>
      <c r="BA824" s="27" t="s">
        <v>8</v>
      </c>
      <c r="BE824" s="27" t="s">
        <v>8</v>
      </c>
      <c r="BF824" s="27" t="s">
        <v>7</v>
      </c>
      <c r="BG824" s="27" t="s">
        <v>8</v>
      </c>
      <c r="BH824" s="27" t="s">
        <v>7</v>
      </c>
      <c r="BI824" s="27" t="s">
        <v>8</v>
      </c>
      <c r="BK824" s="27" t="s">
        <v>8</v>
      </c>
      <c r="BL824" s="27" t="s">
        <v>7</v>
      </c>
    </row>
    <row r="825" spans="1:81" x14ac:dyDescent="0.25">
      <c r="A825" s="7">
        <v>8.9775766266405148E-3</v>
      </c>
      <c r="B825"/>
      <c r="C825"/>
      <c r="D825"/>
      <c r="E825"/>
      <c r="AZ825" s="27" t="s">
        <v>7</v>
      </c>
      <c r="BA825" s="27" t="s">
        <v>8</v>
      </c>
      <c r="BB825" s="27" t="s">
        <v>7</v>
      </c>
      <c r="BE825" s="27" t="s">
        <v>8</v>
      </c>
      <c r="BF825" s="27" t="s">
        <v>7</v>
      </c>
      <c r="BG825" s="27" t="s">
        <v>8</v>
      </c>
      <c r="BH825" s="27" t="s">
        <v>7</v>
      </c>
      <c r="BI825" s="27" t="s">
        <v>8</v>
      </c>
      <c r="BJ825" s="27" t="s">
        <v>7</v>
      </c>
      <c r="BK825" s="27" t="s">
        <v>8</v>
      </c>
    </row>
    <row r="826" spans="1:81" x14ac:dyDescent="0.25">
      <c r="A826" s="7">
        <v>8.8015457123926614E-3</v>
      </c>
      <c r="B826"/>
      <c r="C826"/>
      <c r="D826"/>
      <c r="E826"/>
      <c r="AZ826" s="27" t="s">
        <v>7</v>
      </c>
      <c r="BA826" s="27" t="s">
        <v>8</v>
      </c>
      <c r="BB826" s="27" t="s">
        <v>7</v>
      </c>
      <c r="BE826" s="27" t="s">
        <v>8</v>
      </c>
      <c r="BF826" s="27" t="s">
        <v>7</v>
      </c>
      <c r="BG826" s="27" t="s">
        <v>8</v>
      </c>
      <c r="BH826" s="27" t="s">
        <v>7</v>
      </c>
      <c r="BI826" s="27" t="s">
        <v>8</v>
      </c>
      <c r="BJ826" s="27" t="s">
        <v>7</v>
      </c>
      <c r="BK826" s="27" t="s">
        <v>8</v>
      </c>
    </row>
    <row r="827" spans="1:81" x14ac:dyDescent="0.25">
      <c r="A827" s="7">
        <v>8.6289663846986879E-3</v>
      </c>
      <c r="B827"/>
      <c r="C827"/>
      <c r="D827"/>
      <c r="E827"/>
      <c r="AZ827" s="27" t="s">
        <v>7</v>
      </c>
      <c r="BA827" s="27" t="s">
        <v>8</v>
      </c>
      <c r="BB827" s="27" t="s">
        <v>7</v>
      </c>
      <c r="BE827" s="27" t="s">
        <v>8</v>
      </c>
      <c r="BF827" s="27" t="s">
        <v>7</v>
      </c>
      <c r="BG827" s="27" t="s">
        <v>8</v>
      </c>
      <c r="BH827" s="27" t="s">
        <v>7</v>
      </c>
      <c r="BI827" s="27" t="s">
        <v>8</v>
      </c>
      <c r="BJ827" s="27" t="s">
        <v>7</v>
      </c>
      <c r="BK827" s="27" t="s">
        <v>8</v>
      </c>
    </row>
    <row r="828" spans="1:81" x14ac:dyDescent="0.25">
      <c r="A828" s="7">
        <v>8.4597709653908715E-3</v>
      </c>
      <c r="B828"/>
      <c r="C828"/>
      <c r="D828"/>
      <c r="E828"/>
      <c r="AZ828" s="27" t="s">
        <v>7</v>
      </c>
      <c r="BA828" s="27" t="s">
        <v>8</v>
      </c>
      <c r="BB828" s="27" t="s">
        <v>7</v>
      </c>
      <c r="BE828" s="27" t="s">
        <v>8</v>
      </c>
      <c r="BF828" s="27" t="s">
        <v>7</v>
      </c>
      <c r="BG828" s="27" t="s">
        <v>8</v>
      </c>
      <c r="BH828" s="27" t="s">
        <v>7</v>
      </c>
      <c r="BI828" s="27" t="s">
        <v>8</v>
      </c>
      <c r="BJ828" s="27" t="s">
        <v>7</v>
      </c>
      <c r="BK828" s="27" t="s">
        <v>8</v>
      </c>
    </row>
    <row r="829" spans="1:81" x14ac:dyDescent="0.25">
      <c r="A829" s="7">
        <v>8.2938931033243839E-3</v>
      </c>
      <c r="B829"/>
      <c r="C829"/>
      <c r="D829"/>
      <c r="E829"/>
      <c r="AZ829" s="27" t="s">
        <v>7</v>
      </c>
      <c r="BA829" s="27" t="s">
        <v>8</v>
      </c>
      <c r="BB829" s="27" t="s">
        <v>7</v>
      </c>
      <c r="BE829" s="27" t="s">
        <v>8</v>
      </c>
      <c r="BF829" s="27" t="s">
        <v>7</v>
      </c>
      <c r="BG829" s="27" t="s">
        <v>8</v>
      </c>
      <c r="BH829" s="27" t="s">
        <v>7</v>
      </c>
      <c r="BI829" s="27" t="s">
        <v>8</v>
      </c>
      <c r="BJ829" s="27" t="s">
        <v>7</v>
      </c>
      <c r="BK829" s="27" t="s">
        <v>8</v>
      </c>
    </row>
    <row r="830" spans="1:81" x14ac:dyDescent="0.25">
      <c r="A830" s="7">
        <v>8.1312677483572383E-3</v>
      </c>
      <c r="B830"/>
      <c r="C830"/>
      <c r="D830"/>
      <c r="E830"/>
      <c r="AZ830" s="27" t="s">
        <v>7</v>
      </c>
      <c r="BA830" s="27" t="s">
        <v>8</v>
      </c>
      <c r="BB830" s="27" t="s">
        <v>7</v>
      </c>
      <c r="BE830" s="27" t="s">
        <v>8</v>
      </c>
      <c r="BF830" s="27" t="s">
        <v>7</v>
      </c>
      <c r="BH830" s="27" t="s">
        <v>7</v>
      </c>
      <c r="BI830" s="27" t="s">
        <v>8</v>
      </c>
      <c r="BJ830" s="27" t="s">
        <v>7</v>
      </c>
    </row>
    <row r="831" spans="1:81" x14ac:dyDescent="0.25">
      <c r="A831" s="7">
        <v>7.9718311258404305E-3</v>
      </c>
      <c r="B831"/>
      <c r="C831"/>
      <c r="D831"/>
      <c r="E831"/>
      <c r="AZ831" s="27" t="s">
        <v>7</v>
      </c>
      <c r="BA831" s="27" t="s">
        <v>8</v>
      </c>
      <c r="BB831" s="27" t="s">
        <v>7</v>
      </c>
      <c r="BE831" s="27" t="s">
        <v>8</v>
      </c>
      <c r="BH831" s="27" t="s">
        <v>7</v>
      </c>
      <c r="BI831" s="27" t="s">
        <v>8</v>
      </c>
    </row>
    <row r="832" spans="1:81" x14ac:dyDescent="0.25">
      <c r="A832" s="7">
        <v>7.8155207116082648E-3</v>
      </c>
      <c r="B832"/>
      <c r="C832"/>
      <c r="D832"/>
      <c r="E832"/>
      <c r="AZ832" s="27" t="s">
        <v>7</v>
      </c>
      <c r="BA832" s="27" t="s">
        <v>8</v>
      </c>
      <c r="BB832" s="27" t="s">
        <v>7</v>
      </c>
      <c r="BE832" s="27" t="s">
        <v>8</v>
      </c>
      <c r="BH832" s="27" t="s">
        <v>7</v>
      </c>
      <c r="BI832" s="27" t="s">
        <v>8</v>
      </c>
    </row>
    <row r="833" spans="1:61" x14ac:dyDescent="0.25">
      <c r="A833" s="7">
        <v>7.6622752074590825E-3</v>
      </c>
      <c r="B833"/>
      <c r="C833"/>
      <c r="D833"/>
      <c r="E833"/>
      <c r="AZ833" s="27" t="s">
        <v>7</v>
      </c>
      <c r="BA833" s="27" t="s">
        <v>8</v>
      </c>
      <c r="BB833" s="27" t="s">
        <v>7</v>
      </c>
      <c r="BE833" s="27" t="s">
        <v>8</v>
      </c>
      <c r="BH833" s="27" t="s">
        <v>7</v>
      </c>
      <c r="BI833" s="27" t="s">
        <v>8</v>
      </c>
    </row>
    <row r="834" spans="1:61" x14ac:dyDescent="0.25">
      <c r="A834" s="7">
        <v>7.5120345171167469E-3</v>
      </c>
      <c r="B834"/>
      <c r="C834"/>
      <c r="D834"/>
      <c r="E834"/>
      <c r="AZ834" s="27" t="s">
        <v>7</v>
      </c>
      <c r="BA834" s="27" t="s">
        <v>8</v>
      </c>
      <c r="BB834" s="27" t="s">
        <v>7</v>
      </c>
      <c r="BE834" s="27" t="s">
        <v>8</v>
      </c>
      <c r="BH834" s="27" t="s">
        <v>7</v>
      </c>
    </row>
    <row r="835" spans="1:61" x14ac:dyDescent="0.25">
      <c r="A835" s="7">
        <v>7.3647397226634772E-3</v>
      </c>
      <c r="B835"/>
      <c r="C835"/>
      <c r="D835"/>
      <c r="E835"/>
      <c r="AZ835" s="27" t="s">
        <v>7</v>
      </c>
      <c r="BA835" s="27" t="s">
        <v>8</v>
      </c>
      <c r="BB835" s="27" t="s">
        <v>7</v>
      </c>
      <c r="BE835" s="27" t="s">
        <v>8</v>
      </c>
    </row>
    <row r="836" spans="1:61" x14ac:dyDescent="0.25">
      <c r="A836" s="7">
        <v>7.2203330614347815E-3</v>
      </c>
      <c r="B836"/>
      <c r="C836"/>
      <c r="D836"/>
      <c r="E836"/>
      <c r="AZ836" s="27" t="s">
        <v>7</v>
      </c>
      <c r="BA836" s="27" t="s">
        <v>8</v>
      </c>
      <c r="BB836" s="27" t="s">
        <v>7</v>
      </c>
      <c r="BE836" s="27" t="s">
        <v>8</v>
      </c>
    </row>
    <row r="837" spans="1:61" x14ac:dyDescent="0.25">
      <c r="A837" s="7">
        <v>7.0787579033674327E-3</v>
      </c>
      <c r="B837"/>
      <c r="C837"/>
      <c r="D837"/>
      <c r="E837"/>
      <c r="AZ837" s="27" t="s">
        <v>7</v>
      </c>
      <c r="BA837" s="27" t="s">
        <v>8</v>
      </c>
      <c r="BB837" s="27" t="s">
        <v>7</v>
      </c>
      <c r="BC837" s="27" t="s">
        <v>8</v>
      </c>
      <c r="BE837" s="27" t="s">
        <v>8</v>
      </c>
    </row>
    <row r="838" spans="1:61" x14ac:dyDescent="0.25">
      <c r="A838" s="7">
        <v>6.9399587287916013E-3</v>
      </c>
      <c r="B838"/>
      <c r="C838"/>
      <c r="D838"/>
      <c r="E838"/>
      <c r="AZ838" s="27" t="s">
        <v>7</v>
      </c>
      <c r="BA838" s="27" t="s">
        <v>8</v>
      </c>
      <c r="BB838" s="27" t="s">
        <v>7</v>
      </c>
      <c r="BC838" s="27" t="s">
        <v>8</v>
      </c>
      <c r="BD838" s="27" t="s">
        <v>7</v>
      </c>
      <c r="BE838" s="27" t="s">
        <v>8</v>
      </c>
    </row>
    <row r="839" spans="1:61" x14ac:dyDescent="0.25">
      <c r="A839" s="7">
        <v>6.8038811066584333E-3</v>
      </c>
      <c r="B839"/>
      <c r="C839"/>
      <c r="D839"/>
      <c r="E839"/>
      <c r="AZ839" s="27" t="s">
        <v>7</v>
      </c>
      <c r="BA839" s="27" t="s">
        <v>8</v>
      </c>
      <c r="BB839" s="27" t="s">
        <v>7</v>
      </c>
      <c r="BC839" s="27" t="s">
        <v>8</v>
      </c>
      <c r="BD839" s="27" t="s">
        <v>7</v>
      </c>
      <c r="BE839" s="27" t="s">
        <v>8</v>
      </c>
    </row>
    <row r="840" spans="1:61" x14ac:dyDescent="0.25">
      <c r="A840" s="7">
        <v>6.6704716731945425E-3</v>
      </c>
      <c r="B840"/>
      <c r="C840"/>
      <c r="D840"/>
      <c r="E840"/>
      <c r="AZ840" s="27" t="s">
        <v>7</v>
      </c>
      <c r="BA840" s="27" t="s">
        <v>8</v>
      </c>
      <c r="BB840" s="27" t="s">
        <v>7</v>
      </c>
      <c r="BC840" s="27" t="s">
        <v>8</v>
      </c>
      <c r="BD840" s="27" t="s">
        <v>7</v>
      </c>
      <c r="BE840" s="27" t="s">
        <v>8</v>
      </c>
    </row>
    <row r="841" spans="1:61" x14ac:dyDescent="0.25">
      <c r="A841" s="7">
        <v>6.5396781109750427E-3</v>
      </c>
      <c r="B841"/>
      <c r="C841"/>
      <c r="D841"/>
      <c r="E841"/>
      <c r="AZ841" s="27" t="s">
        <v>7</v>
      </c>
      <c r="BA841" s="27" t="s">
        <v>8</v>
      </c>
      <c r="BB841" s="27" t="s">
        <v>7</v>
      </c>
      <c r="BC841" s="27" t="s">
        <v>8</v>
      </c>
      <c r="BD841" s="27" t="s">
        <v>7</v>
      </c>
      <c r="BE841" s="27" t="s">
        <v>8</v>
      </c>
    </row>
    <row r="842" spans="1:61" x14ac:dyDescent="0.25">
      <c r="A842" s="7">
        <v>6.4114491284069045E-3</v>
      </c>
      <c r="B842"/>
      <c r="C842"/>
      <c r="D842"/>
      <c r="E842"/>
      <c r="AZ842" s="27" t="s">
        <v>7</v>
      </c>
      <c r="BA842" s="27" t="s">
        <v>8</v>
      </c>
      <c r="BB842" s="27" t="s">
        <v>7</v>
      </c>
      <c r="BC842" s="27" t="s">
        <v>8</v>
      </c>
      <c r="BD842" s="27" t="s">
        <v>7</v>
      </c>
      <c r="BE842" s="27" t="s">
        <v>8</v>
      </c>
    </row>
    <row r="843" spans="1:61" x14ac:dyDescent="0.25">
      <c r="A843" s="7">
        <v>6.2857344396146115E-3</v>
      </c>
      <c r="B843"/>
      <c r="C843"/>
      <c r="D843"/>
      <c r="E843"/>
      <c r="AZ843" s="27" t="s">
        <v>7</v>
      </c>
      <c r="BA843" s="27" t="s">
        <v>8</v>
      </c>
      <c r="BB843" s="27" t="s">
        <v>7</v>
      </c>
      <c r="BC843" s="27" t="s">
        <v>8</v>
      </c>
      <c r="BD843" s="27" t="s">
        <v>7</v>
      </c>
    </row>
    <row r="844" spans="1:61" x14ac:dyDescent="0.25">
      <c r="A844" s="7">
        <v>6.1624847447202076E-3</v>
      </c>
      <c r="B844"/>
      <c r="C844"/>
      <c r="D844"/>
      <c r="E844"/>
      <c r="AZ844" s="27" t="s">
        <v>7</v>
      </c>
      <c r="BA844" s="27" t="s">
        <v>8</v>
      </c>
      <c r="BB844" s="27" t="s">
        <v>7</v>
      </c>
      <c r="BC844" s="27" t="s">
        <v>8</v>
      </c>
    </row>
    <row r="845" spans="1:61" x14ac:dyDescent="0.25">
      <c r="A845" s="7">
        <v>6.0416517105100079E-3</v>
      </c>
      <c r="B845"/>
      <c r="C845"/>
      <c r="D845"/>
      <c r="E845"/>
      <c r="AZ845" s="27" t="s">
        <v>7</v>
      </c>
      <c r="BA845" s="27" t="s">
        <v>8</v>
      </c>
      <c r="BB845" s="27" t="s">
        <v>7</v>
      </c>
      <c r="BC845" s="27" t="s">
        <v>8</v>
      </c>
    </row>
    <row r="846" spans="1:61" x14ac:dyDescent="0.25">
      <c r="A846" s="7">
        <v>5.9231879514803996E-3</v>
      </c>
      <c r="B846"/>
      <c r="C846"/>
      <c r="D846"/>
      <c r="E846"/>
      <c r="AZ846" s="27" t="s">
        <v>7</v>
      </c>
      <c r="BA846" s="27" t="s">
        <v>8</v>
      </c>
      <c r="BB846" s="27" t="s">
        <v>7</v>
      </c>
      <c r="BC846" s="27" t="s">
        <v>8</v>
      </c>
    </row>
    <row r="847" spans="1:61" x14ac:dyDescent="0.25">
      <c r="A847" s="7">
        <v>5.8070470112552936E-3</v>
      </c>
      <c r="B847"/>
      <c r="C847"/>
      <c r="D847"/>
      <c r="E847"/>
      <c r="AZ847" s="27" t="s">
        <v>7</v>
      </c>
      <c r="BA847" s="27" t="s">
        <v>8</v>
      </c>
      <c r="BB847" s="27" t="s">
        <v>7</v>
      </c>
      <c r="BC847" s="27" t="s">
        <v>8</v>
      </c>
    </row>
    <row r="848" spans="1:61" x14ac:dyDescent="0.25">
      <c r="A848" s="7">
        <v>5.6931833443679353E-3</v>
      </c>
      <c r="B848"/>
      <c r="C848"/>
      <c r="D848"/>
      <c r="E848"/>
      <c r="AZ848" s="27" t="s">
        <v>7</v>
      </c>
      <c r="BA848" s="27" t="s">
        <v>8</v>
      </c>
      <c r="BB848" s="27" t="s">
        <v>7</v>
      </c>
      <c r="BC848" s="27" t="s">
        <v>8</v>
      </c>
    </row>
    <row r="849" spans="1:54" x14ac:dyDescent="0.25">
      <c r="A849" s="7">
        <v>5.5815522983999367E-3</v>
      </c>
      <c r="B849"/>
      <c r="C849"/>
      <c r="D849"/>
      <c r="E849"/>
      <c r="AZ849" s="27" t="s">
        <v>7</v>
      </c>
      <c r="BA849" s="27" t="s">
        <v>8</v>
      </c>
      <c r="BB849" s="27" t="s">
        <v>7</v>
      </c>
    </row>
    <row r="850" spans="1:54" x14ac:dyDescent="0.25">
      <c r="A850" s="7">
        <v>5.4721100964705257E-3</v>
      </c>
      <c r="B850"/>
      <c r="C850"/>
      <c r="D850"/>
      <c r="E850"/>
      <c r="AZ850" s="27" t="s">
        <v>7</v>
      </c>
      <c r="BA850" s="27" t="s">
        <v>8</v>
      </c>
    </row>
    <row r="851" spans="1:54" x14ac:dyDescent="0.25">
      <c r="A851" s="7">
        <v>5.3648138200691423E-3</v>
      </c>
      <c r="B851"/>
      <c r="C851"/>
      <c r="D851"/>
      <c r="E851"/>
      <c r="AZ851" s="27" t="s">
        <v>7</v>
      </c>
      <c r="BA851" s="27" t="s">
        <v>8</v>
      </c>
    </row>
    <row r="852" spans="1:54" x14ac:dyDescent="0.25">
      <c r="A852" s="7">
        <v>5.2596213922246494E-3</v>
      </c>
      <c r="B852"/>
      <c r="C852"/>
      <c r="D852"/>
      <c r="E852"/>
      <c r="AZ852" s="27" t="s">
        <v>7</v>
      </c>
      <c r="BA852" s="27" t="s">
        <v>8</v>
      </c>
    </row>
    <row r="853" spans="1:54" x14ac:dyDescent="0.25">
      <c r="A853" s="7">
        <v>5.1564915610045588E-3</v>
      </c>
      <c r="B853"/>
      <c r="C853"/>
      <c r="D853"/>
      <c r="E853"/>
      <c r="AZ853" s="27" t="s">
        <v>7</v>
      </c>
      <c r="BA853" s="27" t="s">
        <v>8</v>
      </c>
    </row>
    <row r="854" spans="1:54" x14ac:dyDescent="0.25">
      <c r="A854" s="7">
        <v>5.0553838833378023E-3</v>
      </c>
      <c r="B854"/>
      <c r="C854"/>
      <c r="D854"/>
      <c r="E854"/>
      <c r="AZ854" s="27" t="s">
        <v>7</v>
      </c>
      <c r="BA854" s="27" t="s">
        <v>8</v>
      </c>
    </row>
    <row r="855" spans="1:54" x14ac:dyDescent="0.25">
      <c r="A855" s="7">
        <v>4.9562587091547079E-3</v>
      </c>
      <c r="B855"/>
      <c r="C855"/>
      <c r="D855"/>
      <c r="E855"/>
      <c r="AZ855" s="27" t="s">
        <v>7</v>
      </c>
      <c r="BA855" s="27" t="s">
        <v>8</v>
      </c>
    </row>
    <row r="856" spans="1:54" x14ac:dyDescent="0.25">
      <c r="A856" s="7">
        <v>4.8590771658379491E-3</v>
      </c>
      <c r="B856"/>
      <c r="C856"/>
      <c r="D856"/>
      <c r="E856"/>
      <c r="AZ856" s="27" t="s">
        <v>7</v>
      </c>
      <c r="BA856" s="27" t="s">
        <v>8</v>
      </c>
    </row>
    <row r="857" spans="1:54" x14ac:dyDescent="0.25">
      <c r="A857" s="7">
        <v>4.7638011429783815E-3</v>
      </c>
      <c r="B857"/>
      <c r="C857"/>
      <c r="D857"/>
      <c r="E857"/>
      <c r="AZ857" s="27" t="s">
        <v>7</v>
      </c>
      <c r="BA857" s="27" t="s">
        <v>8</v>
      </c>
    </row>
    <row r="858" spans="1:54" x14ac:dyDescent="0.25">
      <c r="A858" s="7">
        <v>4.6703932774297859E-3</v>
      </c>
      <c r="B858"/>
      <c r="C858"/>
      <c r="D858"/>
      <c r="E858"/>
      <c r="AZ858" s="27" t="s">
        <v>7</v>
      </c>
      <c r="BA858" s="27" t="s">
        <v>8</v>
      </c>
    </row>
    <row r="859" spans="1:54" x14ac:dyDescent="0.25">
      <c r="A859" s="7">
        <v>4.5788169386566527E-3</v>
      </c>
      <c r="B859"/>
      <c r="C859"/>
      <c r="D859"/>
      <c r="E859"/>
      <c r="AZ859" s="27" t="s">
        <v>7</v>
      </c>
      <c r="BA859" s="27" t="s">
        <v>8</v>
      </c>
    </row>
    <row r="860" spans="1:54" x14ac:dyDescent="0.25">
      <c r="A860" s="7">
        <v>4.4890362143692672E-3</v>
      </c>
      <c r="B860"/>
      <c r="C860"/>
      <c r="D860"/>
      <c r="E860"/>
      <c r="AZ860" s="27" t="s">
        <v>7</v>
      </c>
      <c r="BA860" s="27" t="s">
        <v>8</v>
      </c>
    </row>
    <row r="861" spans="1:54" x14ac:dyDescent="0.25">
      <c r="A861" s="7">
        <v>4.4010158964404578E-3</v>
      </c>
      <c r="B861"/>
      <c r="C861"/>
      <c r="D861"/>
      <c r="E861"/>
      <c r="AZ861" s="27" t="s">
        <v>7</v>
      </c>
      <c r="BA861" s="27" t="s">
        <v>8</v>
      </c>
    </row>
    <row r="862" spans="1:54" x14ac:dyDescent="0.25">
      <c r="A862" s="7">
        <v>4.314721467098488E-3</v>
      </c>
      <c r="B862"/>
      <c r="C862"/>
      <c r="D862"/>
      <c r="E862"/>
      <c r="AZ862" s="27" t="s">
        <v>7</v>
      </c>
    </row>
    <row r="863" spans="1:54" x14ac:dyDescent="0.25">
      <c r="A863" s="7">
        <v>4.2301190853906746E-3</v>
      </c>
      <c r="B863"/>
      <c r="C863"/>
      <c r="D863"/>
      <c r="E863"/>
    </row>
    <row r="864" spans="1:54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82" operator="equal">
      <formula>$U$1</formula>
    </cfRule>
    <cfRule type="cellIs" dxfId="89" priority="1183" operator="equal">
      <formula>$S$1</formula>
    </cfRule>
  </conditionalFormatting>
  <conditionalFormatting sqref="D27">
    <cfRule type="cellIs" dxfId="88" priority="1180" operator="equal">
      <formula>$S$1</formula>
    </cfRule>
    <cfRule type="cellIs" dxfId="87" priority="1181" operator="equal">
      <formula>$U$1</formula>
    </cfRule>
  </conditionalFormatting>
  <conditionalFormatting sqref="C164">
    <cfRule type="cellIs" dxfId="86" priority="1178" operator="equal">
      <formula>$U$1</formula>
    </cfRule>
    <cfRule type="cellIs" dxfId="85" priority="1179" operator="equal">
      <formula>$S$1</formula>
    </cfRule>
  </conditionalFormatting>
  <conditionalFormatting sqref="D164">
    <cfRule type="cellIs" dxfId="84" priority="1176" operator="equal">
      <formula>$S$1</formula>
    </cfRule>
    <cfRule type="cellIs" dxfId="83" priority="1177" operator="equal">
      <formula>$U$1</formula>
    </cfRule>
  </conditionalFormatting>
  <conditionalFormatting sqref="C55">
    <cfRule type="cellIs" dxfId="82" priority="1174" operator="equal">
      <formula>$U$1</formula>
    </cfRule>
    <cfRule type="cellIs" dxfId="81" priority="1175" operator="equal">
      <formula>$S$1</formula>
    </cfRule>
  </conditionalFormatting>
  <conditionalFormatting sqref="D55">
    <cfRule type="cellIs" dxfId="80" priority="1172" operator="equal">
      <formula>$S$1</formula>
    </cfRule>
    <cfRule type="cellIs" dxfId="79" priority="1173" operator="equal">
      <formula>$U$1</formula>
    </cfRule>
  </conditionalFormatting>
  <conditionalFormatting sqref="C89">
    <cfRule type="cellIs" dxfId="78" priority="1170" operator="equal">
      <formula>$U$1</formula>
    </cfRule>
    <cfRule type="cellIs" dxfId="77" priority="1171" operator="equal">
      <formula>$S$1</formula>
    </cfRule>
  </conditionalFormatting>
  <conditionalFormatting sqref="D89">
    <cfRule type="cellIs" dxfId="76" priority="1168" operator="equal">
      <formula>$S$1</formula>
    </cfRule>
    <cfRule type="cellIs" dxfId="75" priority="1169" operator="equal">
      <formula>$U$1</formula>
    </cfRule>
  </conditionalFormatting>
  <conditionalFormatting sqref="C136">
    <cfRule type="cellIs" dxfId="74" priority="1166" operator="equal">
      <formula>$U$1</formula>
    </cfRule>
    <cfRule type="cellIs" dxfId="73" priority="1167" operator="equal">
      <formula>$S$1</formula>
    </cfRule>
  </conditionalFormatting>
  <conditionalFormatting sqref="D136">
    <cfRule type="cellIs" dxfId="72" priority="1164" operator="equal">
      <formula>$S$1</formula>
    </cfRule>
    <cfRule type="cellIs" dxfId="71" priority="1165" operator="equal">
      <formula>$U$1</formula>
    </cfRule>
  </conditionalFormatting>
  <conditionalFormatting sqref="C1">
    <cfRule type="cellIs" dxfId="70" priority="1163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HC301" sqref="HC301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$A$300</v>
      </c>
      <c r="D111" s="1" t="str">
        <f>ADDRESS(C121-1,D121,1,1)</f>
        <v>$HC$300</v>
      </c>
      <c r="E111"/>
    </row>
    <row r="112" spans="1:5" x14ac:dyDescent="0.25">
      <c r="A112" s="30">
        <v>515.50191262726139</v>
      </c>
      <c r="C112" s="1" t="str">
        <f>ADDRESS(C121,1,1,1)</f>
        <v>$A$301</v>
      </c>
      <c r="D112" s="1" t="str">
        <f>ADDRESS(C121,D121-1,1,1)</f>
        <v>$HB$301</v>
      </c>
      <c r="E112"/>
    </row>
    <row r="113" spans="1:5" x14ac:dyDescent="0.25">
      <c r="A113" s="30">
        <v>490.95420250215363</v>
      </c>
      <c r="C113" s="1" t="str">
        <f>ADDRESS(C121+1,1,1,1)</f>
        <v>$A$302</v>
      </c>
      <c r="D113" s="1" t="str">
        <f>ADDRESS(C121-1,D121+1,1,1)</f>
        <v>$HD$300</v>
      </c>
    </row>
    <row r="114" spans="1:5" x14ac:dyDescent="0.25">
      <c r="A114" s="30">
        <v>467.57543095443202</v>
      </c>
      <c r="C114" s="1" t="str">
        <f>ADDRESS(C121,D121,1,1)</f>
        <v>$HC$301</v>
      </c>
      <c r="D114" s="1" t="str">
        <f>ADDRESS(C121+1,D121+1,1,1)</f>
        <v>$HD$302</v>
      </c>
    </row>
    <row r="115" spans="1:5" x14ac:dyDescent="0.25">
      <c r="A115" s="30">
        <v>445.30993424231622</v>
      </c>
      <c r="C115" s="1" t="str">
        <f>ADDRESS(C121+1,D121,1,1)</f>
        <v>$HC$302</v>
      </c>
    </row>
    <row r="116" spans="1:5" x14ac:dyDescent="0.25">
      <c r="A116" s="30">
        <v>424.10469927839637</v>
      </c>
      <c r="C116" s="1">
        <f>C117-1</f>
        <v>300</v>
      </c>
    </row>
    <row r="117" spans="1:5" x14ac:dyDescent="0.25">
      <c r="A117" s="30">
        <v>403.9092374079965</v>
      </c>
      <c r="C117" s="1">
        <f>C121</f>
        <v>301</v>
      </c>
      <c r="D117" s="1">
        <f>D121</f>
        <v>211</v>
      </c>
    </row>
    <row r="118" spans="1:5" x14ac:dyDescent="0.25">
      <c r="A118" s="30">
        <v>384.6754641980919</v>
      </c>
      <c r="C118" s="1">
        <f>C117+1</f>
        <v>302</v>
      </c>
      <c r="D118" s="1">
        <f>D117+1</f>
        <v>212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301</v>
      </c>
      <c r="D121" s="19">
        <v>211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R301</v>
      </c>
      <c r="D123" s="1" t="str">
        <f>"C"&amp;D121</f>
        <v>C211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5.0986213091898068E-2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137" x14ac:dyDescent="0.25">
      <c r="A257" s="30">
        <v>0.43629668761085438</v>
      </c>
      <c r="B257"/>
      <c r="C257"/>
      <c r="D257"/>
      <c r="E257"/>
      <c r="F257" s="27" t="s">
        <v>7</v>
      </c>
    </row>
    <row r="258" spans="1:137" x14ac:dyDescent="0.25">
      <c r="A258" s="30">
        <v>0.41552065486748019</v>
      </c>
      <c r="B258"/>
      <c r="C258"/>
      <c r="D258"/>
      <c r="E258"/>
      <c r="F258" s="27" t="s">
        <v>7</v>
      </c>
    </row>
    <row r="259" spans="1:137" x14ac:dyDescent="0.25">
      <c r="A259" s="30">
        <v>0.39573395701664765</v>
      </c>
      <c r="B259"/>
      <c r="C259"/>
      <c r="D259"/>
      <c r="E259"/>
      <c r="F259" s="27" t="s">
        <v>7</v>
      </c>
    </row>
    <row r="260" spans="1:137" x14ac:dyDescent="0.25">
      <c r="A260" s="30">
        <v>0.37688948287299762</v>
      </c>
      <c r="B260"/>
      <c r="C260"/>
      <c r="D260"/>
      <c r="E260"/>
      <c r="F260" s="27" t="s">
        <v>7</v>
      </c>
    </row>
    <row r="261" spans="1:137" x14ac:dyDescent="0.25">
      <c r="A261" s="30">
        <v>0.35894236464094997</v>
      </c>
      <c r="B261"/>
      <c r="C261"/>
      <c r="D261"/>
      <c r="E261"/>
      <c r="F261" s="27" t="s">
        <v>7</v>
      </c>
    </row>
    <row r="262" spans="1:137" x14ac:dyDescent="0.25">
      <c r="A262" s="30">
        <v>0.34184987108661891</v>
      </c>
      <c r="B262"/>
      <c r="C262"/>
      <c r="D262"/>
      <c r="E262"/>
      <c r="F262" s="27" t="s">
        <v>7</v>
      </c>
      <c r="DU262" s="27" t="s">
        <v>8</v>
      </c>
    </row>
    <row r="263" spans="1:137" x14ac:dyDescent="0.25">
      <c r="A263" s="30">
        <v>0.32557130579677979</v>
      </c>
      <c r="B263"/>
      <c r="C263"/>
      <c r="D263"/>
      <c r="E263"/>
      <c r="F263" s="27" t="s">
        <v>7</v>
      </c>
      <c r="DS263" s="27" t="s">
        <v>8</v>
      </c>
      <c r="DU263" s="27" t="s">
        <v>8</v>
      </c>
      <c r="DV263" s="27" t="s">
        <v>7</v>
      </c>
    </row>
    <row r="264" spans="1:137" x14ac:dyDescent="0.25">
      <c r="A264" s="30">
        <v>0.3100679102826473</v>
      </c>
      <c r="B264"/>
      <c r="C264"/>
      <c r="D264"/>
      <c r="E264"/>
      <c r="F264" s="27" t="s">
        <v>7</v>
      </c>
      <c r="DS264" s="27" t="s">
        <v>8</v>
      </c>
      <c r="DT264" s="27" t="s">
        <v>7</v>
      </c>
      <c r="DU264" s="27" t="s">
        <v>8</v>
      </c>
      <c r="DV264" s="27" t="s">
        <v>7</v>
      </c>
    </row>
    <row r="265" spans="1:137" x14ac:dyDescent="0.25">
      <c r="A265" s="30">
        <v>0.2953027716977592</v>
      </c>
      <c r="B265"/>
      <c r="C265"/>
      <c r="D265"/>
      <c r="E265"/>
      <c r="F265" s="27" t="s">
        <v>7</v>
      </c>
      <c r="DS265" s="27" t="s">
        <v>8</v>
      </c>
      <c r="DT265" s="27" t="s">
        <v>7</v>
      </c>
      <c r="DU265" s="27" t="s">
        <v>8</v>
      </c>
      <c r="DV265" s="27" t="s">
        <v>7</v>
      </c>
    </row>
    <row r="266" spans="1:137" x14ac:dyDescent="0.25">
      <c r="A266" s="30">
        <v>0.28124073495024676</v>
      </c>
      <c r="B266"/>
      <c r="C266"/>
      <c r="D266"/>
      <c r="E266"/>
      <c r="F266" s="27" t="s">
        <v>7</v>
      </c>
      <c r="DS266" s="27" t="s">
        <v>8</v>
      </c>
      <c r="DT266" s="27" t="s">
        <v>7</v>
      </c>
      <c r="DU266" s="27" t="s">
        <v>8</v>
      </c>
      <c r="DV266" s="27" t="s">
        <v>7</v>
      </c>
    </row>
    <row r="267" spans="1:137" x14ac:dyDescent="0.25">
      <c r="A267" s="30">
        <v>0.26784831900023492</v>
      </c>
      <c r="B267"/>
      <c r="C267"/>
      <c r="D267"/>
      <c r="E267"/>
      <c r="F267" s="27" t="s">
        <v>7</v>
      </c>
      <c r="DS267" s="27" t="s">
        <v>8</v>
      </c>
      <c r="DT267" s="27" t="s">
        <v>7</v>
      </c>
      <c r="DU267" s="27" t="s">
        <v>8</v>
      </c>
      <c r="DV267" s="27" t="s">
        <v>7</v>
      </c>
      <c r="EC267" s="27" t="s">
        <v>8</v>
      </c>
    </row>
    <row r="268" spans="1:137" x14ac:dyDescent="0.25">
      <c r="A268" s="30">
        <v>0.25509363714308075</v>
      </c>
      <c r="B268"/>
      <c r="C268"/>
      <c r="D268"/>
      <c r="E268"/>
      <c r="F268" s="27" t="s">
        <v>7</v>
      </c>
      <c r="DS268" s="27" t="s">
        <v>8</v>
      </c>
      <c r="DT268" s="27" t="s">
        <v>7</v>
      </c>
      <c r="DU268" s="27" t="s">
        <v>8</v>
      </c>
      <c r="DV268" s="27" t="s">
        <v>7</v>
      </c>
      <c r="DW268" s="27" t="s">
        <v>8</v>
      </c>
      <c r="EC268" s="27" t="s">
        <v>8</v>
      </c>
      <c r="ED268" s="27" t="s">
        <v>7</v>
      </c>
    </row>
    <row r="269" spans="1:137" x14ac:dyDescent="0.25">
      <c r="A269" s="30">
        <v>0.24294632108864825</v>
      </c>
      <c r="B269"/>
      <c r="C269"/>
      <c r="D269"/>
      <c r="E269"/>
      <c r="F269" s="27" t="s">
        <v>7</v>
      </c>
      <c r="DQ269" s="27" t="s">
        <v>8</v>
      </c>
      <c r="DS269" s="27" t="s">
        <v>8</v>
      </c>
      <c r="DT269" s="27" t="s">
        <v>7</v>
      </c>
      <c r="DV269" s="27" t="s">
        <v>7</v>
      </c>
      <c r="DW269" s="27" t="s">
        <v>8</v>
      </c>
      <c r="DX269" s="27" t="s">
        <v>7</v>
      </c>
      <c r="EC269" s="27" t="s">
        <v>8</v>
      </c>
      <c r="ED269" s="27" t="s">
        <v>7</v>
      </c>
    </row>
    <row r="270" spans="1:137" x14ac:dyDescent="0.25">
      <c r="A270" s="30">
        <v>0.23137744865585538</v>
      </c>
      <c r="B270"/>
      <c r="C270"/>
      <c r="D270"/>
      <c r="E270"/>
      <c r="F270" s="27" t="s">
        <v>7</v>
      </c>
      <c r="DQ270" s="27" t="s">
        <v>8</v>
      </c>
      <c r="DR270" s="27" t="s">
        <v>7</v>
      </c>
      <c r="DS270" s="27" t="s">
        <v>8</v>
      </c>
      <c r="DV270" s="27" t="s">
        <v>7</v>
      </c>
      <c r="DW270" s="27" t="s">
        <v>8</v>
      </c>
      <c r="DX270" s="27" t="s">
        <v>7</v>
      </c>
      <c r="EC270" s="27" t="s">
        <v>8</v>
      </c>
      <c r="ED270" s="27" t="s">
        <v>7</v>
      </c>
    </row>
    <row r="271" spans="1:137" x14ac:dyDescent="0.25">
      <c r="A271" s="30">
        <v>0.22035947491033836</v>
      </c>
      <c r="B271"/>
      <c r="C271"/>
      <c r="D271"/>
      <c r="E271"/>
      <c r="F271" s="27" t="s">
        <v>7</v>
      </c>
      <c r="DQ271" s="27" t="s">
        <v>8</v>
      </c>
      <c r="DR271" s="27" t="s">
        <v>7</v>
      </c>
      <c r="DS271" s="27" t="s">
        <v>8</v>
      </c>
      <c r="DV271" s="27" t="s">
        <v>7</v>
      </c>
      <c r="DW271" s="27" t="s">
        <v>8</v>
      </c>
      <c r="DX271" s="27" t="s">
        <v>7</v>
      </c>
      <c r="EC271" s="27" t="s">
        <v>8</v>
      </c>
      <c r="ED271" s="27" t="s">
        <v>7</v>
      </c>
    </row>
    <row r="272" spans="1:137" x14ac:dyDescent="0.25">
      <c r="A272" s="30">
        <v>0.20986616658127455</v>
      </c>
      <c r="B272"/>
      <c r="C272"/>
      <c r="D272"/>
      <c r="E272"/>
      <c r="F272" s="27" t="s">
        <v>7</v>
      </c>
      <c r="DQ272" s="27" t="s">
        <v>8</v>
      </c>
      <c r="DR272" s="27" t="s">
        <v>7</v>
      </c>
      <c r="DS272" s="27" t="s">
        <v>8</v>
      </c>
      <c r="DV272" s="27" t="s">
        <v>7</v>
      </c>
      <c r="DW272" s="27" t="s">
        <v>8</v>
      </c>
      <c r="DX272" s="27" t="s">
        <v>7</v>
      </c>
      <c r="DY272" s="27" t="s">
        <v>8</v>
      </c>
      <c r="EC272" s="27" t="s">
        <v>8</v>
      </c>
      <c r="ED272" s="27" t="s">
        <v>7</v>
      </c>
      <c r="EE272" s="27" t="s">
        <v>8</v>
      </c>
      <c r="EG272" s="27" t="s">
        <v>8</v>
      </c>
    </row>
    <row r="273" spans="1:207" x14ac:dyDescent="0.25">
      <c r="A273" s="30">
        <v>0.19987253960121379</v>
      </c>
      <c r="B273"/>
      <c r="C273"/>
      <c r="D273"/>
      <c r="E273"/>
      <c r="F273" s="27" t="s">
        <v>7</v>
      </c>
      <c r="DQ273" s="27" t="s">
        <v>8</v>
      </c>
      <c r="DR273" s="27" t="s">
        <v>7</v>
      </c>
      <c r="DS273" s="27" t="s">
        <v>8</v>
      </c>
      <c r="DV273" s="27" t="s">
        <v>7</v>
      </c>
      <c r="DX273" s="27" t="s">
        <v>7</v>
      </c>
      <c r="DY273" s="27" t="s">
        <v>8</v>
      </c>
      <c r="DZ273" s="27" t="s">
        <v>7</v>
      </c>
      <c r="EA273" s="27" t="s">
        <v>8</v>
      </c>
      <c r="EC273" s="27" t="s">
        <v>8</v>
      </c>
      <c r="ED273" s="27" t="s">
        <v>7</v>
      </c>
      <c r="EE273" s="27" t="s">
        <v>8</v>
      </c>
      <c r="EF273" s="27" t="s">
        <v>7</v>
      </c>
      <c r="EG273" s="27" t="s">
        <v>8</v>
      </c>
      <c r="EH273" s="27" t="s">
        <v>7</v>
      </c>
    </row>
    <row r="274" spans="1:207" x14ac:dyDescent="0.25">
      <c r="A274" s="30">
        <v>0.19035479962020352</v>
      </c>
      <c r="B274"/>
      <c r="C274"/>
      <c r="D274"/>
      <c r="E274"/>
      <c r="F274" s="27" t="s">
        <v>7</v>
      </c>
      <c r="DG274" s="27" t="s">
        <v>8</v>
      </c>
      <c r="DQ274" s="27" t="s">
        <v>8</v>
      </c>
      <c r="DR274" s="27" t="s">
        <v>7</v>
      </c>
      <c r="DX274" s="27" t="s">
        <v>7</v>
      </c>
      <c r="DY274" s="27" t="s">
        <v>8</v>
      </c>
      <c r="DZ274" s="27" t="s">
        <v>7</v>
      </c>
      <c r="EA274" s="27" t="s">
        <v>8</v>
      </c>
      <c r="EB274" s="27" t="s">
        <v>7</v>
      </c>
      <c r="EC274" s="27" t="s">
        <v>8</v>
      </c>
      <c r="ED274" s="27" t="s">
        <v>7</v>
      </c>
      <c r="EE274" s="27" t="s">
        <v>8</v>
      </c>
      <c r="EF274" s="27" t="s">
        <v>7</v>
      </c>
      <c r="EG274" s="27" t="s">
        <v>8</v>
      </c>
      <c r="EH274" s="27" t="s">
        <v>7</v>
      </c>
    </row>
    <row r="275" spans="1:207" x14ac:dyDescent="0.25">
      <c r="A275" s="30">
        <v>0.18129028535257471</v>
      </c>
      <c r="B275"/>
      <c r="C275"/>
      <c r="D275"/>
      <c r="E275"/>
      <c r="F275" s="27" t="s">
        <v>7</v>
      </c>
      <c r="DG275" s="27" t="s">
        <v>8</v>
      </c>
      <c r="DH275" s="27" t="s">
        <v>7</v>
      </c>
      <c r="DO275" s="27" t="s">
        <v>8</v>
      </c>
      <c r="DQ275" s="27" t="s">
        <v>8</v>
      </c>
      <c r="DX275" s="27" t="s">
        <v>7</v>
      </c>
      <c r="DY275" s="27" t="s">
        <v>8</v>
      </c>
      <c r="DZ275" s="27" t="s">
        <v>7</v>
      </c>
      <c r="EA275" s="27" t="s">
        <v>8</v>
      </c>
      <c r="EB275" s="27" t="s">
        <v>7</v>
      </c>
      <c r="EC275" s="27" t="s">
        <v>8</v>
      </c>
      <c r="ED275" s="27" t="s">
        <v>7</v>
      </c>
      <c r="EE275" s="27" t="s">
        <v>8</v>
      </c>
      <c r="EF275" s="27" t="s">
        <v>7</v>
      </c>
      <c r="EG275" s="27" t="s">
        <v>8</v>
      </c>
      <c r="EH275" s="27" t="s">
        <v>7</v>
      </c>
    </row>
    <row r="276" spans="1:207" x14ac:dyDescent="0.25">
      <c r="A276" s="30">
        <v>0.17265741462149967</v>
      </c>
      <c r="B276"/>
      <c r="C276"/>
      <c r="D276"/>
      <c r="E276"/>
      <c r="F276" s="27" t="s">
        <v>7</v>
      </c>
      <c r="DG276" s="27" t="s">
        <v>8</v>
      </c>
      <c r="DH276" s="27" t="s">
        <v>7</v>
      </c>
      <c r="DM276" s="27" t="s">
        <v>8</v>
      </c>
      <c r="DO276" s="27" t="s">
        <v>8</v>
      </c>
      <c r="DP276" s="27" t="s">
        <v>7</v>
      </c>
      <c r="DQ276" s="27" t="s">
        <v>8</v>
      </c>
      <c r="DX276" s="27" t="s">
        <v>7</v>
      </c>
      <c r="DY276" s="27" t="s">
        <v>8</v>
      </c>
      <c r="DZ276" s="27" t="s">
        <v>7</v>
      </c>
      <c r="EA276" s="27" t="s">
        <v>8</v>
      </c>
      <c r="EB276" s="27" t="s">
        <v>7</v>
      </c>
      <c r="EC276" s="27" t="s">
        <v>8</v>
      </c>
      <c r="ED276" s="27" t="s">
        <v>7</v>
      </c>
      <c r="EE276" s="27" t="s">
        <v>8</v>
      </c>
      <c r="EF276" s="27" t="s">
        <v>7</v>
      </c>
      <c r="EG276" s="27" t="s">
        <v>8</v>
      </c>
      <c r="EH276" s="27" t="s">
        <v>7</v>
      </c>
    </row>
    <row r="277" spans="1:207" x14ac:dyDescent="0.25">
      <c r="A277" s="30">
        <v>0.16443563297285677</v>
      </c>
      <c r="B277"/>
      <c r="C277"/>
      <c r="D277"/>
      <c r="E277"/>
      <c r="F277" s="27" t="s">
        <v>7</v>
      </c>
      <c r="DG277" s="27" t="s">
        <v>8</v>
      </c>
      <c r="DH277" s="27" t="s">
        <v>7</v>
      </c>
      <c r="DM277" s="27" t="s">
        <v>8</v>
      </c>
      <c r="DN277" s="27" t="s">
        <v>7</v>
      </c>
      <c r="DO277" s="27" t="s">
        <v>8</v>
      </c>
      <c r="DP277" s="27" t="s">
        <v>7</v>
      </c>
      <c r="DQ277" s="27" t="s">
        <v>8</v>
      </c>
      <c r="DX277" s="27" t="s">
        <v>7</v>
      </c>
      <c r="DY277" s="27" t="s">
        <v>8</v>
      </c>
      <c r="DZ277" s="27" t="s">
        <v>7</v>
      </c>
      <c r="EA277" s="27" t="s">
        <v>8</v>
      </c>
      <c r="EB277" s="27" t="s">
        <v>7</v>
      </c>
      <c r="EC277" s="27" t="s">
        <v>8</v>
      </c>
      <c r="ED277" s="27" t="s">
        <v>7</v>
      </c>
      <c r="EF277" s="27" t="s">
        <v>7</v>
      </c>
      <c r="EG277" s="27" t="s">
        <v>8</v>
      </c>
      <c r="EH277" s="27" t="s">
        <v>7</v>
      </c>
    </row>
    <row r="278" spans="1:207" x14ac:dyDescent="0.25">
      <c r="A278" s="30">
        <v>0.15660536473605399</v>
      </c>
      <c r="B278"/>
      <c r="C278"/>
      <c r="D278"/>
      <c r="E278"/>
      <c r="F278" s="27" t="s">
        <v>7</v>
      </c>
      <c r="DG278" s="27" t="s">
        <v>8</v>
      </c>
      <c r="DH278" s="27" t="s">
        <v>7</v>
      </c>
      <c r="DM278" s="27" t="s">
        <v>8</v>
      </c>
      <c r="DN278" s="27" t="s">
        <v>7</v>
      </c>
      <c r="DO278" s="27" t="s">
        <v>8</v>
      </c>
      <c r="DP278" s="27" t="s">
        <v>7</v>
      </c>
      <c r="DQ278" s="27" t="s">
        <v>8</v>
      </c>
      <c r="DX278" s="27" t="s">
        <v>7</v>
      </c>
      <c r="DZ278" s="27" t="s">
        <v>7</v>
      </c>
      <c r="EB278" s="27" t="s">
        <v>7</v>
      </c>
      <c r="EC278" s="27" t="s">
        <v>8</v>
      </c>
      <c r="EF278" s="27" t="s">
        <v>7</v>
      </c>
      <c r="EG278" s="27" t="s">
        <v>8</v>
      </c>
      <c r="EH278" s="27" t="s">
        <v>7</v>
      </c>
      <c r="GG278" s="27" t="s">
        <v>8</v>
      </c>
      <c r="GI278" s="27" t="s">
        <v>8</v>
      </c>
    </row>
    <row r="279" spans="1:207" x14ac:dyDescent="0.25">
      <c r="A279" s="30">
        <v>0.14914796641528946</v>
      </c>
      <c r="B279"/>
      <c r="C279"/>
      <c r="D279"/>
      <c r="E279"/>
      <c r="F279" s="27" t="s">
        <v>7</v>
      </c>
      <c r="DG279" s="27" t="s">
        <v>8</v>
      </c>
      <c r="DH279" s="27" t="s">
        <v>7</v>
      </c>
      <c r="DI279" s="27" t="s">
        <v>8</v>
      </c>
      <c r="DM279" s="27" t="s">
        <v>8</v>
      </c>
      <c r="DN279" s="27" t="s">
        <v>7</v>
      </c>
      <c r="DO279" s="27" t="s">
        <v>8</v>
      </c>
      <c r="DP279" s="27" t="s">
        <v>7</v>
      </c>
      <c r="DQ279" s="27" t="s">
        <v>8</v>
      </c>
      <c r="EB279" s="27" t="s">
        <v>7</v>
      </c>
      <c r="EC279" s="27" t="s">
        <v>8</v>
      </c>
      <c r="EF279" s="27" t="s">
        <v>7</v>
      </c>
      <c r="EH279" s="27" t="s">
        <v>7</v>
      </c>
      <c r="GG279" s="27" t="s">
        <v>8</v>
      </c>
      <c r="GH279" s="27" t="s">
        <v>7</v>
      </c>
      <c r="GI279" s="27" t="s">
        <v>8</v>
      </c>
      <c r="GJ279" s="27" t="s">
        <v>7</v>
      </c>
      <c r="GQ279" s="27" t="s">
        <v>8</v>
      </c>
    </row>
    <row r="280" spans="1:207" x14ac:dyDescent="0.25">
      <c r="A280" s="30">
        <v>0.14204568230027562</v>
      </c>
      <c r="B280"/>
      <c r="C280"/>
      <c r="D280"/>
      <c r="E280"/>
      <c r="F280" s="27" t="s">
        <v>7</v>
      </c>
      <c r="DG280" s="27" t="s">
        <v>8</v>
      </c>
      <c r="DH280" s="27" t="s">
        <v>7</v>
      </c>
      <c r="DI280" s="27" t="s">
        <v>8</v>
      </c>
      <c r="DJ280" s="27" t="s">
        <v>7</v>
      </c>
      <c r="DM280" s="27" t="s">
        <v>8</v>
      </c>
      <c r="DN280" s="27" t="s">
        <v>7</v>
      </c>
      <c r="DO280" s="27" t="s">
        <v>8</v>
      </c>
      <c r="DP280" s="27" t="s">
        <v>7</v>
      </c>
      <c r="DQ280" s="27" t="s">
        <v>8</v>
      </c>
      <c r="EB280" s="27" t="s">
        <v>7</v>
      </c>
      <c r="EC280" s="27" t="s">
        <v>8</v>
      </c>
      <c r="EH280" s="27" t="s">
        <v>7</v>
      </c>
      <c r="EI280" s="27" t="s">
        <v>8</v>
      </c>
      <c r="GG280" s="27" t="s">
        <v>8</v>
      </c>
      <c r="GH280" s="27" t="s">
        <v>7</v>
      </c>
      <c r="GI280" s="27" t="s">
        <v>8</v>
      </c>
      <c r="GJ280" s="27" t="s">
        <v>7</v>
      </c>
      <c r="GK280" s="27" t="s">
        <v>8</v>
      </c>
      <c r="GQ280" s="27" t="s">
        <v>8</v>
      </c>
      <c r="GR280" s="27" t="s">
        <v>7</v>
      </c>
    </row>
    <row r="281" spans="1:207" x14ac:dyDescent="0.25">
      <c r="A281" s="30">
        <v>0.13528160219073862</v>
      </c>
      <c r="B281"/>
      <c r="C281"/>
      <c r="D281"/>
      <c r="E281"/>
      <c r="F281" s="27" t="s">
        <v>7</v>
      </c>
      <c r="DG281" s="27" t="s">
        <v>8</v>
      </c>
      <c r="DH281" s="27" t="s">
        <v>7</v>
      </c>
      <c r="DI281" s="27" t="s">
        <v>8</v>
      </c>
      <c r="DJ281" s="27" t="s">
        <v>7</v>
      </c>
      <c r="DK281" s="27" t="s">
        <v>8</v>
      </c>
      <c r="DM281" s="27" t="s">
        <v>8</v>
      </c>
      <c r="DN281" s="27" t="s">
        <v>7</v>
      </c>
      <c r="DO281" s="27" t="s">
        <v>8</v>
      </c>
      <c r="DP281" s="27" t="s">
        <v>7</v>
      </c>
      <c r="EB281" s="27" t="s">
        <v>7</v>
      </c>
      <c r="EC281" s="27" t="s">
        <v>8</v>
      </c>
      <c r="EH281" s="27" t="s">
        <v>7</v>
      </c>
      <c r="EI281" s="27" t="s">
        <v>8</v>
      </c>
      <c r="EJ281" s="27" t="s">
        <v>7</v>
      </c>
      <c r="GG281" s="27" t="s">
        <v>8</v>
      </c>
      <c r="GH281" s="27" t="s">
        <v>7</v>
      </c>
      <c r="GI281" s="27" t="s">
        <v>8</v>
      </c>
      <c r="GJ281" s="27" t="s">
        <v>7</v>
      </c>
      <c r="GK281" s="27" t="s">
        <v>8</v>
      </c>
      <c r="GL281" s="27" t="s">
        <v>7</v>
      </c>
      <c r="GM281" s="27" t="s">
        <v>8</v>
      </c>
      <c r="GQ281" s="27" t="s">
        <v>8</v>
      </c>
      <c r="GR281" s="27" t="s">
        <v>7</v>
      </c>
    </row>
    <row r="282" spans="1:207" x14ac:dyDescent="0.25">
      <c r="A282" s="30">
        <v>0.12883962113403674</v>
      </c>
      <c r="B282"/>
      <c r="C282"/>
      <c r="D282"/>
      <c r="E282"/>
      <c r="F282" s="27" t="s">
        <v>7</v>
      </c>
      <c r="DG282" s="27" t="s">
        <v>8</v>
      </c>
      <c r="DH282" s="27" t="s">
        <v>7</v>
      </c>
      <c r="DI282" s="27" t="s">
        <v>8</v>
      </c>
      <c r="DJ282" s="27" t="s">
        <v>7</v>
      </c>
      <c r="DK282" s="27" t="s">
        <v>8</v>
      </c>
      <c r="DL282" s="27" t="s">
        <v>7</v>
      </c>
      <c r="DM282" s="27" t="s">
        <v>8</v>
      </c>
      <c r="DN282" s="27" t="s">
        <v>7</v>
      </c>
      <c r="DO282" s="27" t="s">
        <v>8</v>
      </c>
      <c r="EB282" s="27" t="s">
        <v>7</v>
      </c>
      <c r="EC282" s="27" t="s">
        <v>8</v>
      </c>
      <c r="EH282" s="27" t="s">
        <v>7</v>
      </c>
      <c r="EI282" s="27" t="s">
        <v>8</v>
      </c>
      <c r="EJ282" s="27" t="s">
        <v>7</v>
      </c>
      <c r="GG282" s="27" t="s">
        <v>8</v>
      </c>
      <c r="GH282" s="27" t="s">
        <v>7</v>
      </c>
      <c r="GI282" s="27" t="s">
        <v>8</v>
      </c>
      <c r="GJ282" s="27" t="s">
        <v>7</v>
      </c>
      <c r="GK282" s="27" t="s">
        <v>8</v>
      </c>
      <c r="GL282" s="27" t="s">
        <v>7</v>
      </c>
      <c r="GM282" s="27" t="s">
        <v>8</v>
      </c>
      <c r="GN282" s="27" t="s">
        <v>7</v>
      </c>
      <c r="GO282" s="27" t="s">
        <v>8</v>
      </c>
      <c r="GQ282" s="27" t="s">
        <v>8</v>
      </c>
      <c r="GR282" s="27" t="s">
        <v>7</v>
      </c>
    </row>
    <row r="283" spans="1:207" x14ac:dyDescent="0.25">
      <c r="A283" s="30">
        <v>0.12270440108003494</v>
      </c>
      <c r="B283"/>
      <c r="C283"/>
      <c r="D283"/>
      <c r="E283"/>
      <c r="F283" s="27" t="s">
        <v>7</v>
      </c>
      <c r="DG283" s="27" t="s">
        <v>8</v>
      </c>
      <c r="DH283" s="27" t="s">
        <v>7</v>
      </c>
      <c r="DI283" s="27" t="s">
        <v>8</v>
      </c>
      <c r="DJ283" s="27" t="s">
        <v>7</v>
      </c>
      <c r="DK283" s="27" t="s">
        <v>8</v>
      </c>
      <c r="DL283" s="27" t="s">
        <v>7</v>
      </c>
      <c r="DM283" s="27" t="s">
        <v>8</v>
      </c>
      <c r="DN283" s="27" t="s">
        <v>7</v>
      </c>
      <c r="DO283" s="27" t="s">
        <v>8</v>
      </c>
      <c r="EB283" s="27" t="s">
        <v>7</v>
      </c>
      <c r="EC283" s="27" t="s">
        <v>8</v>
      </c>
      <c r="EH283" s="27" t="s">
        <v>7</v>
      </c>
      <c r="EI283" s="27" t="s">
        <v>8</v>
      </c>
      <c r="EJ283" s="27" t="s">
        <v>7</v>
      </c>
      <c r="GE283" s="27" t="s">
        <v>8</v>
      </c>
      <c r="GG283" s="27" t="s">
        <v>8</v>
      </c>
      <c r="GH283" s="27" t="s">
        <v>7</v>
      </c>
      <c r="GI283" s="27" t="s">
        <v>8</v>
      </c>
      <c r="GJ283" s="27" t="s">
        <v>7</v>
      </c>
      <c r="GL283" s="27" t="s">
        <v>7</v>
      </c>
      <c r="GM283" s="27" t="s">
        <v>8</v>
      </c>
      <c r="GN283" s="27" t="s">
        <v>7</v>
      </c>
      <c r="GO283" s="27" t="s">
        <v>8</v>
      </c>
      <c r="GP283" s="27" t="s">
        <v>7</v>
      </c>
      <c r="GQ283" s="27" t="s">
        <v>8</v>
      </c>
      <c r="GR283" s="27" t="s">
        <v>7</v>
      </c>
    </row>
    <row r="284" spans="1:207" x14ac:dyDescent="0.25">
      <c r="A284" s="30">
        <v>0.11686133436193799</v>
      </c>
      <c r="B284"/>
      <c r="C284"/>
      <c r="D284"/>
      <c r="E284"/>
      <c r="F284" s="27" t="s">
        <v>7</v>
      </c>
      <c r="DG284" s="27" t="s">
        <v>8</v>
      </c>
      <c r="DH284" s="27" t="s">
        <v>7</v>
      </c>
      <c r="DI284" s="27" t="s">
        <v>8</v>
      </c>
      <c r="DJ284" s="27" t="s">
        <v>7</v>
      </c>
      <c r="DK284" s="27" t="s">
        <v>8</v>
      </c>
      <c r="DL284" s="27" t="s">
        <v>7</v>
      </c>
      <c r="DM284" s="27" t="s">
        <v>8</v>
      </c>
      <c r="DN284" s="27" t="s">
        <v>7</v>
      </c>
      <c r="DO284" s="27" t="s">
        <v>8</v>
      </c>
      <c r="EB284" s="27" t="s">
        <v>7</v>
      </c>
      <c r="EH284" s="27" t="s">
        <v>7</v>
      </c>
      <c r="EI284" s="27" t="s">
        <v>8</v>
      </c>
      <c r="EJ284" s="27" t="s">
        <v>7</v>
      </c>
      <c r="ES284" s="27" t="s">
        <v>8</v>
      </c>
      <c r="GC284" s="27" t="s">
        <v>8</v>
      </c>
      <c r="GE284" s="27" t="s">
        <v>8</v>
      </c>
      <c r="GF284" s="27" t="s">
        <v>7</v>
      </c>
      <c r="GG284" s="27" t="s">
        <v>8</v>
      </c>
      <c r="GH284" s="27" t="s">
        <v>7</v>
      </c>
      <c r="GI284" s="27" t="s">
        <v>8</v>
      </c>
      <c r="GL284" s="27" t="s">
        <v>7</v>
      </c>
      <c r="GN284" s="27" t="s">
        <v>7</v>
      </c>
      <c r="GO284" s="27" t="s">
        <v>8</v>
      </c>
      <c r="GP284" s="27" t="s">
        <v>7</v>
      </c>
      <c r="GQ284" s="27" t="s">
        <v>8</v>
      </c>
      <c r="GR284" s="27" t="s">
        <v>7</v>
      </c>
    </row>
    <row r="285" spans="1:207" x14ac:dyDescent="0.25">
      <c r="A285" s="30">
        <v>0.11129650891613138</v>
      </c>
      <c r="B285"/>
      <c r="C285"/>
      <c r="D285"/>
      <c r="E285"/>
      <c r="F285" s="27" t="s">
        <v>7</v>
      </c>
      <c r="DG285" s="27" t="s">
        <v>8</v>
      </c>
      <c r="DH285" s="27" t="s">
        <v>7</v>
      </c>
      <c r="DI285" s="27" t="s">
        <v>8</v>
      </c>
      <c r="DJ285" s="27" t="s">
        <v>7</v>
      </c>
      <c r="DK285" s="27" t="s">
        <v>8</v>
      </c>
      <c r="DL285" s="27" t="s">
        <v>7</v>
      </c>
      <c r="DM285" s="27" t="s">
        <v>8</v>
      </c>
      <c r="DN285" s="27" t="s">
        <v>7</v>
      </c>
      <c r="EH285" s="27" t="s">
        <v>7</v>
      </c>
      <c r="EI285" s="27" t="s">
        <v>8</v>
      </c>
      <c r="EJ285" s="27" t="s">
        <v>7</v>
      </c>
      <c r="EM285" s="27" t="s">
        <v>8</v>
      </c>
      <c r="ES285" s="27" t="s">
        <v>8</v>
      </c>
      <c r="ET285" s="27" t="s">
        <v>7</v>
      </c>
      <c r="FQ285" s="27" t="s">
        <v>8</v>
      </c>
      <c r="GC285" s="27" t="s">
        <v>8</v>
      </c>
      <c r="GD285" s="27" t="s">
        <v>7</v>
      </c>
      <c r="GE285" s="27" t="s">
        <v>8</v>
      </c>
      <c r="GF285" s="27" t="s">
        <v>7</v>
      </c>
      <c r="GG285" s="27" t="s">
        <v>8</v>
      </c>
      <c r="GH285" s="27" t="s">
        <v>7</v>
      </c>
      <c r="GI285" s="27" t="s">
        <v>8</v>
      </c>
      <c r="GN285" s="27" t="s">
        <v>7</v>
      </c>
      <c r="GO285" s="27" t="s">
        <v>8</v>
      </c>
      <c r="GP285" s="27" t="s">
        <v>7</v>
      </c>
      <c r="GQ285" s="27" t="s">
        <v>8</v>
      </c>
      <c r="GR285" s="27" t="s">
        <v>7</v>
      </c>
    </row>
    <row r="286" spans="1:207" x14ac:dyDescent="0.25">
      <c r="A286" s="30">
        <v>0.10599667515822032</v>
      </c>
      <c r="B286"/>
      <c r="C286"/>
      <c r="D286"/>
      <c r="E286"/>
      <c r="F286" s="27" t="s">
        <v>7</v>
      </c>
      <c r="DG286" s="27" t="s">
        <v>8</v>
      </c>
      <c r="DH286" s="27" t="s">
        <v>7</v>
      </c>
      <c r="DI286" s="27" t="s">
        <v>8</v>
      </c>
      <c r="DJ286" s="27" t="s">
        <v>7</v>
      </c>
      <c r="DK286" s="27" t="s">
        <v>8</v>
      </c>
      <c r="DL286" s="27" t="s">
        <v>7</v>
      </c>
      <c r="EH286" s="27" t="s">
        <v>7</v>
      </c>
      <c r="EI286" s="27" t="s">
        <v>8</v>
      </c>
      <c r="EJ286" s="27" t="s">
        <v>7</v>
      </c>
      <c r="EK286" s="27" t="s">
        <v>8</v>
      </c>
      <c r="EM286" s="27" t="s">
        <v>8</v>
      </c>
      <c r="EN286" s="27" t="s">
        <v>7</v>
      </c>
      <c r="ES286" s="27" t="s">
        <v>8</v>
      </c>
      <c r="ET286" s="27" t="s">
        <v>7</v>
      </c>
      <c r="FM286" s="27" t="s">
        <v>8</v>
      </c>
      <c r="FO286" s="27" t="s">
        <v>8</v>
      </c>
      <c r="FQ286" s="27" t="s">
        <v>8</v>
      </c>
      <c r="FR286" s="27" t="s">
        <v>7</v>
      </c>
      <c r="FW286" s="27" t="s">
        <v>8</v>
      </c>
      <c r="GA286" s="27" t="s">
        <v>8</v>
      </c>
      <c r="GC286" s="27" t="s">
        <v>8</v>
      </c>
      <c r="GD286" s="27" t="s">
        <v>7</v>
      </c>
      <c r="GE286" s="27" t="s">
        <v>8</v>
      </c>
      <c r="GF286" s="27" t="s">
        <v>7</v>
      </c>
      <c r="GG286" s="27" t="s">
        <v>8</v>
      </c>
      <c r="GH286" s="27" t="s">
        <v>7</v>
      </c>
      <c r="GN286" s="27" t="s">
        <v>7</v>
      </c>
      <c r="GO286" s="27" t="s">
        <v>8</v>
      </c>
      <c r="GP286" s="27" t="s">
        <v>7</v>
      </c>
      <c r="GR286" s="27" t="s">
        <v>7</v>
      </c>
      <c r="GS286" s="27" t="s">
        <v>8</v>
      </c>
    </row>
    <row r="287" spans="1:207" x14ac:dyDescent="0.25">
      <c r="A287" s="30">
        <v>0.10094921443640027</v>
      </c>
      <c r="B287"/>
      <c r="C287"/>
      <c r="D287"/>
      <c r="E287"/>
      <c r="F287" s="27" t="s">
        <v>7</v>
      </c>
      <c r="DG287" s="27" t="s">
        <v>8</v>
      </c>
      <c r="DH287" s="27" t="s">
        <v>7</v>
      </c>
      <c r="DI287" s="27" t="s">
        <v>8</v>
      </c>
      <c r="DJ287" s="27" t="s">
        <v>7</v>
      </c>
      <c r="EH287" s="27" t="s">
        <v>7</v>
      </c>
      <c r="EI287" s="27" t="s">
        <v>8</v>
      </c>
      <c r="EJ287" s="27" t="s">
        <v>7</v>
      </c>
      <c r="EK287" s="27" t="s">
        <v>8</v>
      </c>
      <c r="EL287" s="27" t="s">
        <v>7</v>
      </c>
      <c r="EM287" s="27" t="s">
        <v>8</v>
      </c>
      <c r="EN287" s="27" t="s">
        <v>7</v>
      </c>
      <c r="ES287" s="27" t="s">
        <v>8</v>
      </c>
      <c r="ET287" s="27" t="s">
        <v>7</v>
      </c>
      <c r="FM287" s="27" t="s">
        <v>8</v>
      </c>
      <c r="FN287" s="27" t="s">
        <v>7</v>
      </c>
      <c r="FO287" s="27" t="s">
        <v>8</v>
      </c>
      <c r="FP287" s="27" t="s">
        <v>7</v>
      </c>
      <c r="FQ287" s="27" t="s">
        <v>8</v>
      </c>
      <c r="FR287" s="27" t="s">
        <v>7</v>
      </c>
      <c r="FW287" s="27" t="s">
        <v>8</v>
      </c>
      <c r="FX287" s="27" t="s">
        <v>7</v>
      </c>
      <c r="GA287" s="27" t="s">
        <v>8</v>
      </c>
      <c r="GB287" s="27" t="s">
        <v>7</v>
      </c>
      <c r="GC287" s="27" t="s">
        <v>8</v>
      </c>
      <c r="GD287" s="27" t="s">
        <v>7</v>
      </c>
      <c r="GE287" s="27" t="s">
        <v>8</v>
      </c>
      <c r="GF287" s="27" t="s">
        <v>7</v>
      </c>
      <c r="GG287" s="27" t="s">
        <v>8</v>
      </c>
      <c r="GN287" s="27" t="s">
        <v>7</v>
      </c>
      <c r="GR287" s="27" t="s">
        <v>7</v>
      </c>
      <c r="GS287" s="27" t="s">
        <v>8</v>
      </c>
      <c r="GT287" s="27" t="s">
        <v>7</v>
      </c>
      <c r="GU287" s="27" t="s">
        <v>8</v>
      </c>
    </row>
    <row r="288" spans="1:207" x14ac:dyDescent="0.25">
      <c r="A288" s="30">
        <v>9.6142108987047836E-2</v>
      </c>
      <c r="B288"/>
      <c r="C288"/>
      <c r="D288"/>
      <c r="E288"/>
      <c r="F288" s="27" t="s">
        <v>7</v>
      </c>
      <c r="DG288" s="27" t="s">
        <v>8</v>
      </c>
      <c r="DH288" s="27" t="s">
        <v>7</v>
      </c>
      <c r="EH288" s="27" t="s">
        <v>7</v>
      </c>
      <c r="EI288" s="27" t="s">
        <v>8</v>
      </c>
      <c r="EJ288" s="27" t="s">
        <v>7</v>
      </c>
      <c r="EK288" s="27" t="s">
        <v>8</v>
      </c>
      <c r="EL288" s="27" t="s">
        <v>7</v>
      </c>
      <c r="EM288" s="27" t="s">
        <v>8</v>
      </c>
      <c r="EN288" s="27" t="s">
        <v>7</v>
      </c>
      <c r="EO288" s="27" t="s">
        <v>8</v>
      </c>
      <c r="EQ288" s="27" t="s">
        <v>8</v>
      </c>
      <c r="ES288" s="27" t="s">
        <v>8</v>
      </c>
      <c r="ET288" s="27" t="s">
        <v>7</v>
      </c>
      <c r="FK288" s="27" t="s">
        <v>8</v>
      </c>
      <c r="FM288" s="27" t="s">
        <v>8</v>
      </c>
      <c r="FN288" s="27" t="s">
        <v>7</v>
      </c>
      <c r="FO288" s="27" t="s">
        <v>8</v>
      </c>
      <c r="FP288" s="27" t="s">
        <v>7</v>
      </c>
      <c r="FQ288" s="27" t="s">
        <v>8</v>
      </c>
      <c r="FR288" s="27" t="s">
        <v>7</v>
      </c>
      <c r="FW288" s="27" t="s">
        <v>8</v>
      </c>
      <c r="FX288" s="27" t="s">
        <v>7</v>
      </c>
      <c r="GA288" s="27" t="s">
        <v>8</v>
      </c>
      <c r="GB288" s="27" t="s">
        <v>7</v>
      </c>
      <c r="GC288" s="27" t="s">
        <v>8</v>
      </c>
      <c r="GD288" s="27" t="s">
        <v>7</v>
      </c>
      <c r="GE288" s="27" t="s">
        <v>8</v>
      </c>
      <c r="GF288" s="27" t="s">
        <v>7</v>
      </c>
      <c r="GG288" s="27" t="s">
        <v>8</v>
      </c>
      <c r="GR288" s="27" t="s">
        <v>7</v>
      </c>
      <c r="GS288" s="27" t="s">
        <v>8</v>
      </c>
      <c r="GT288" s="27" t="s">
        <v>7</v>
      </c>
      <c r="GU288" s="27" t="s">
        <v>8</v>
      </c>
      <c r="GV288" s="27" t="s">
        <v>7</v>
      </c>
      <c r="GY288" s="27" t="s">
        <v>8</v>
      </c>
    </row>
    <row r="289" spans="1:211" x14ac:dyDescent="0.25">
      <c r="A289" s="30">
        <v>9.1563913320997906E-2</v>
      </c>
      <c r="B289"/>
      <c r="C289"/>
      <c r="D289"/>
      <c r="E289"/>
      <c r="F289" s="27" t="s">
        <v>7</v>
      </c>
      <c r="DG289" s="27" t="s">
        <v>8</v>
      </c>
      <c r="EH289" s="27" t="s">
        <v>7</v>
      </c>
      <c r="EI289" s="27" t="s">
        <v>8</v>
      </c>
      <c r="EJ289" s="27" t="s">
        <v>7</v>
      </c>
      <c r="EL289" s="27" t="s">
        <v>7</v>
      </c>
      <c r="EM289" s="27" t="s">
        <v>8</v>
      </c>
      <c r="EN289" s="27" t="s">
        <v>7</v>
      </c>
      <c r="EO289" s="27" t="s">
        <v>8</v>
      </c>
      <c r="EP289" s="27" t="s">
        <v>7</v>
      </c>
      <c r="EQ289" s="27" t="s">
        <v>8</v>
      </c>
      <c r="ER289" s="27" t="s">
        <v>7</v>
      </c>
      <c r="ES289" s="27" t="s">
        <v>8</v>
      </c>
      <c r="ET289" s="27" t="s">
        <v>7</v>
      </c>
      <c r="FG289" s="27" t="s">
        <v>8</v>
      </c>
      <c r="FI289" s="27" t="s">
        <v>8</v>
      </c>
      <c r="FK289" s="27" t="s">
        <v>8</v>
      </c>
      <c r="FL289" s="27" t="s">
        <v>7</v>
      </c>
      <c r="FM289" s="27" t="s">
        <v>8</v>
      </c>
      <c r="FN289" s="27" t="s">
        <v>7</v>
      </c>
      <c r="FO289" s="27" t="s">
        <v>8</v>
      </c>
      <c r="FP289" s="27" t="s">
        <v>7</v>
      </c>
      <c r="FQ289" s="27" t="s">
        <v>8</v>
      </c>
      <c r="FR289" s="27" t="s">
        <v>7</v>
      </c>
      <c r="FS289" s="27" t="s">
        <v>8</v>
      </c>
      <c r="FU289" s="27" t="s">
        <v>8</v>
      </c>
      <c r="FW289" s="27" t="s">
        <v>8</v>
      </c>
      <c r="FX289" s="27" t="s">
        <v>7</v>
      </c>
      <c r="GA289" s="27" t="s">
        <v>8</v>
      </c>
      <c r="GB289" s="27" t="s">
        <v>7</v>
      </c>
      <c r="GC289" s="27" t="s">
        <v>8</v>
      </c>
      <c r="GD289" s="27" t="s">
        <v>7</v>
      </c>
      <c r="GF289" s="27" t="s">
        <v>7</v>
      </c>
      <c r="GR289" s="27" t="s">
        <v>7</v>
      </c>
      <c r="GS289" s="27" t="s">
        <v>8</v>
      </c>
      <c r="GT289" s="27" t="s">
        <v>7</v>
      </c>
      <c r="GU289" s="27" t="s">
        <v>8</v>
      </c>
      <c r="GV289" s="27" t="s">
        <v>7</v>
      </c>
      <c r="GY289" s="27" t="s">
        <v>8</v>
      </c>
      <c r="GZ289" s="27" t="s">
        <v>7</v>
      </c>
    </row>
    <row r="290" spans="1:211" x14ac:dyDescent="0.25">
      <c r="A290" s="30">
        <v>8.7203726972378923E-2</v>
      </c>
      <c r="B290"/>
      <c r="C290"/>
      <c r="D290"/>
      <c r="E290"/>
      <c r="F290" s="27" t="s">
        <v>7</v>
      </c>
      <c r="DG290" s="27" t="s">
        <v>8</v>
      </c>
      <c r="EH290" s="27" t="s">
        <v>7</v>
      </c>
      <c r="EI290" s="27" t="s">
        <v>8</v>
      </c>
      <c r="EL290" s="27" t="s">
        <v>7</v>
      </c>
      <c r="EM290" s="27" t="s">
        <v>8</v>
      </c>
      <c r="EN290" s="27" t="s">
        <v>7</v>
      </c>
      <c r="EO290" s="27" t="s">
        <v>8</v>
      </c>
      <c r="EP290" s="27" t="s">
        <v>7</v>
      </c>
      <c r="EQ290" s="27" t="s">
        <v>8</v>
      </c>
      <c r="ER290" s="27" t="s">
        <v>7</v>
      </c>
      <c r="ES290" s="27" t="s">
        <v>8</v>
      </c>
      <c r="ET290" s="27" t="s">
        <v>7</v>
      </c>
      <c r="FG290" s="27" t="s">
        <v>8</v>
      </c>
      <c r="FH290" s="27" t="s">
        <v>7</v>
      </c>
      <c r="FI290" s="27" t="s">
        <v>8</v>
      </c>
      <c r="FJ290" s="27" t="s">
        <v>7</v>
      </c>
      <c r="FK290" s="27" t="s">
        <v>8</v>
      </c>
      <c r="FL290" s="27" t="s">
        <v>7</v>
      </c>
      <c r="FM290" s="27" t="s">
        <v>8</v>
      </c>
      <c r="FN290" s="27" t="s">
        <v>7</v>
      </c>
      <c r="FP290" s="27" t="s">
        <v>7</v>
      </c>
      <c r="FQ290" s="27" t="s">
        <v>8</v>
      </c>
      <c r="FR290" s="27" t="s">
        <v>7</v>
      </c>
      <c r="FS290" s="27" t="s">
        <v>8</v>
      </c>
      <c r="FT290" s="27" t="s">
        <v>7</v>
      </c>
      <c r="FU290" s="27" t="s">
        <v>8</v>
      </c>
      <c r="FV290" s="27" t="s">
        <v>7</v>
      </c>
      <c r="FW290" s="27" t="s">
        <v>8</v>
      </c>
      <c r="FX290" s="27" t="s">
        <v>7</v>
      </c>
      <c r="FY290" s="27" t="s">
        <v>8</v>
      </c>
      <c r="GA290" s="27" t="s">
        <v>8</v>
      </c>
      <c r="GB290" s="27" t="s">
        <v>7</v>
      </c>
      <c r="GC290" s="27" t="s">
        <v>8</v>
      </c>
      <c r="GR290" s="27" t="s">
        <v>7</v>
      </c>
      <c r="GS290" s="27" t="s">
        <v>8</v>
      </c>
      <c r="GT290" s="27" t="s">
        <v>7</v>
      </c>
      <c r="GU290" s="27" t="s">
        <v>8</v>
      </c>
      <c r="GV290" s="27" t="s">
        <v>7</v>
      </c>
      <c r="GW290" s="27" t="s">
        <v>8</v>
      </c>
      <c r="GY290" s="27" t="s">
        <v>8</v>
      </c>
      <c r="GZ290" s="27" t="s">
        <v>7</v>
      </c>
    </row>
    <row r="291" spans="1:211" x14ac:dyDescent="0.25">
      <c r="A291" s="30">
        <v>8.3051168545122747E-2</v>
      </c>
      <c r="B291"/>
      <c r="C291"/>
      <c r="D291"/>
      <c r="E291"/>
      <c r="F291" s="27" t="s">
        <v>7</v>
      </c>
      <c r="DG291" s="27" t="s">
        <v>8</v>
      </c>
      <c r="EH291" s="27" t="s">
        <v>7</v>
      </c>
      <c r="EL291" s="27" t="s">
        <v>7</v>
      </c>
      <c r="EM291" s="27" t="s">
        <v>8</v>
      </c>
      <c r="EN291" s="27" t="s">
        <v>7</v>
      </c>
      <c r="EP291" s="27" t="s">
        <v>7</v>
      </c>
      <c r="EQ291" s="27" t="s">
        <v>8</v>
      </c>
      <c r="ER291" s="27" t="s">
        <v>7</v>
      </c>
      <c r="ES291" s="27" t="s">
        <v>8</v>
      </c>
      <c r="ET291" s="27" t="s">
        <v>7</v>
      </c>
      <c r="FG291" s="27" t="s">
        <v>8</v>
      </c>
      <c r="FH291" s="27" t="s">
        <v>7</v>
      </c>
      <c r="FI291" s="27" t="s">
        <v>8</v>
      </c>
      <c r="FJ291" s="27" t="s">
        <v>7</v>
      </c>
      <c r="FK291" s="27" t="s">
        <v>8</v>
      </c>
      <c r="FL291" s="27" t="s">
        <v>7</v>
      </c>
      <c r="FP291" s="27" t="s">
        <v>7</v>
      </c>
      <c r="FR291" s="27" t="s">
        <v>7</v>
      </c>
      <c r="FS291" s="27" t="s">
        <v>8</v>
      </c>
      <c r="FT291" s="27" t="s">
        <v>7</v>
      </c>
      <c r="FU291" s="27" t="s">
        <v>8</v>
      </c>
      <c r="FV291" s="27" t="s">
        <v>7</v>
      </c>
      <c r="FW291" s="27" t="s">
        <v>8</v>
      </c>
      <c r="FX291" s="27" t="s">
        <v>7</v>
      </c>
      <c r="FY291" s="27" t="s">
        <v>8</v>
      </c>
      <c r="FZ291" s="27" t="s">
        <v>7</v>
      </c>
      <c r="GA291" s="27" t="s">
        <v>8</v>
      </c>
      <c r="GB291" s="27" t="s">
        <v>7</v>
      </c>
      <c r="GC291" s="27" t="s">
        <v>8</v>
      </c>
      <c r="GR291" s="27" t="s">
        <v>7</v>
      </c>
      <c r="GS291" s="27" t="s">
        <v>8</v>
      </c>
      <c r="GT291" s="27" t="s">
        <v>7</v>
      </c>
      <c r="GV291" s="27" t="s">
        <v>7</v>
      </c>
      <c r="GW291" s="27" t="s">
        <v>8</v>
      </c>
      <c r="GX291" s="27" t="s">
        <v>7</v>
      </c>
      <c r="GY291" s="27" t="s">
        <v>8</v>
      </c>
      <c r="GZ291" s="27" t="s">
        <v>7</v>
      </c>
    </row>
    <row r="292" spans="1:211" x14ac:dyDescent="0.25">
      <c r="A292" s="30">
        <v>7.9096350995354961E-2</v>
      </c>
      <c r="B292"/>
      <c r="C292"/>
      <c r="D292"/>
      <c r="E292"/>
      <c r="F292" s="27" t="s">
        <v>7</v>
      </c>
      <c r="DG292" s="27" t="s">
        <v>8</v>
      </c>
      <c r="EL292" s="27" t="s">
        <v>7</v>
      </c>
      <c r="EM292" s="27" t="s">
        <v>8</v>
      </c>
      <c r="EP292" s="27" t="s">
        <v>7</v>
      </c>
      <c r="ER292" s="27" t="s">
        <v>7</v>
      </c>
      <c r="ES292" s="27" t="s">
        <v>8</v>
      </c>
      <c r="ET292" s="27" t="s">
        <v>7</v>
      </c>
      <c r="FG292" s="27" t="s">
        <v>8</v>
      </c>
      <c r="FH292" s="27" t="s">
        <v>7</v>
      </c>
      <c r="FI292" s="27" t="s">
        <v>8</v>
      </c>
      <c r="FJ292" s="27" t="s">
        <v>7</v>
      </c>
      <c r="FR292" s="27" t="s">
        <v>7</v>
      </c>
      <c r="FS292" s="27" t="s">
        <v>8</v>
      </c>
      <c r="FT292" s="27" t="s">
        <v>7</v>
      </c>
      <c r="FV292" s="27" t="s">
        <v>7</v>
      </c>
      <c r="FW292" s="27" t="s">
        <v>8</v>
      </c>
      <c r="FX292" s="27" t="s">
        <v>7</v>
      </c>
      <c r="FY292" s="27" t="s">
        <v>8</v>
      </c>
      <c r="FZ292" s="27" t="s">
        <v>7</v>
      </c>
      <c r="GA292" s="27" t="s">
        <v>8</v>
      </c>
      <c r="GB292" s="27" t="s">
        <v>7</v>
      </c>
      <c r="GR292" s="27" t="s">
        <v>7</v>
      </c>
      <c r="GV292" s="27" t="s">
        <v>7</v>
      </c>
      <c r="GW292" s="27" t="s">
        <v>8</v>
      </c>
      <c r="GX292" s="27" t="s">
        <v>7</v>
      </c>
      <c r="GY292" s="27" t="s">
        <v>8</v>
      </c>
      <c r="GZ292" s="27" t="s">
        <v>7</v>
      </c>
    </row>
    <row r="293" spans="1:211" x14ac:dyDescent="0.25">
      <c r="A293" s="30">
        <v>7.5329858090814217E-2</v>
      </c>
      <c r="B293"/>
      <c r="C293"/>
      <c r="D293"/>
      <c r="E293"/>
      <c r="F293" s="27" t="s">
        <v>7</v>
      </c>
      <c r="DG293" s="27" t="s">
        <v>8</v>
      </c>
      <c r="EL293" s="27" t="s">
        <v>7</v>
      </c>
      <c r="EM293" s="27" t="s">
        <v>8</v>
      </c>
      <c r="ER293" s="27" t="s">
        <v>7</v>
      </c>
      <c r="ES293" s="27" t="s">
        <v>8</v>
      </c>
      <c r="ET293" s="27" t="s">
        <v>7</v>
      </c>
      <c r="FG293" s="27" t="s">
        <v>8</v>
      </c>
      <c r="FH293" s="27" t="s">
        <v>7</v>
      </c>
      <c r="FR293" s="27" t="s">
        <v>7</v>
      </c>
      <c r="FS293" s="27" t="s">
        <v>8</v>
      </c>
      <c r="FV293" s="27" t="s">
        <v>7</v>
      </c>
      <c r="FX293" s="27" t="s">
        <v>7</v>
      </c>
      <c r="FY293" s="27" t="s">
        <v>8</v>
      </c>
      <c r="FZ293" s="27" t="s">
        <v>7</v>
      </c>
      <c r="GV293" s="27" t="s">
        <v>7</v>
      </c>
      <c r="GW293" s="27" t="s">
        <v>8</v>
      </c>
      <c r="GX293" s="27" t="s">
        <v>7</v>
      </c>
      <c r="GZ293" s="27" t="s">
        <v>7</v>
      </c>
      <c r="HA293" s="27" t="s">
        <v>8</v>
      </c>
    </row>
    <row r="294" spans="1:211" x14ac:dyDescent="0.25">
      <c r="A294" s="30">
        <v>7.1742721991251604E-2</v>
      </c>
      <c r="B294"/>
      <c r="C294"/>
      <c r="D294"/>
      <c r="E294"/>
      <c r="F294" s="27" t="s">
        <v>7</v>
      </c>
      <c r="DG294" s="27" t="s">
        <v>8</v>
      </c>
      <c r="EL294" s="27" t="s">
        <v>7</v>
      </c>
      <c r="EM294" s="27" t="s">
        <v>8</v>
      </c>
      <c r="ER294" s="27" t="s">
        <v>7</v>
      </c>
      <c r="ET294" s="27" t="s">
        <v>7</v>
      </c>
      <c r="FG294" s="27" t="s">
        <v>8</v>
      </c>
      <c r="FR294" s="27" t="s">
        <v>7</v>
      </c>
      <c r="FX294" s="27" t="s">
        <v>7</v>
      </c>
      <c r="FY294" s="27" t="s">
        <v>8</v>
      </c>
      <c r="GV294" s="27" t="s">
        <v>7</v>
      </c>
      <c r="GZ294" s="27" t="s">
        <v>7</v>
      </c>
      <c r="HA294" s="27" t="s">
        <v>8</v>
      </c>
      <c r="HB294" s="27" t="s">
        <v>7</v>
      </c>
    </row>
    <row r="295" spans="1:211" x14ac:dyDescent="0.25">
      <c r="A295" s="30">
        <v>6.8326401896430078E-2</v>
      </c>
      <c r="B295"/>
      <c r="C295"/>
      <c r="D295"/>
      <c r="E295"/>
      <c r="F295" s="27" t="s">
        <v>7</v>
      </c>
      <c r="DG295" s="27" t="s">
        <v>8</v>
      </c>
      <c r="EL295" s="27" t="s">
        <v>7</v>
      </c>
      <c r="ET295" s="27" t="s">
        <v>7</v>
      </c>
      <c r="FG295" s="27" t="s">
        <v>8</v>
      </c>
      <c r="FX295" s="27" t="s">
        <v>7</v>
      </c>
      <c r="GZ295" s="27" t="s">
        <v>7</v>
      </c>
      <c r="HA295" s="27" t="s">
        <v>8</v>
      </c>
      <c r="HB295" s="27" t="s">
        <v>7</v>
      </c>
    </row>
    <row r="296" spans="1:211" x14ac:dyDescent="0.25">
      <c r="A296" s="30">
        <v>6.5072763710885759E-2</v>
      </c>
      <c r="B296"/>
      <c r="C296"/>
      <c r="D296"/>
      <c r="E296"/>
      <c r="F296" s="27" t="s">
        <v>7</v>
      </c>
      <c r="DG296" s="27" t="s">
        <v>8</v>
      </c>
      <c r="ET296" s="27" t="s">
        <v>7</v>
      </c>
      <c r="FE296" s="27" t="s">
        <v>8</v>
      </c>
      <c r="FG296" s="27" t="s">
        <v>8</v>
      </c>
      <c r="GZ296" s="27" t="s">
        <v>7</v>
      </c>
      <c r="HB296" s="27" t="s">
        <v>7</v>
      </c>
    </row>
    <row r="297" spans="1:211" x14ac:dyDescent="0.25">
      <c r="A297" s="30">
        <v>6.197406067703403E-2</v>
      </c>
      <c r="B297"/>
      <c r="C297"/>
      <c r="D297"/>
      <c r="E297"/>
      <c r="F297" s="27" t="s">
        <v>7</v>
      </c>
      <c r="DG297" s="27" t="s">
        <v>8</v>
      </c>
      <c r="ET297" s="27" t="s">
        <v>7</v>
      </c>
      <c r="FA297" s="27" t="s">
        <v>8</v>
      </c>
      <c r="FE297" s="27" t="s">
        <v>8</v>
      </c>
      <c r="FF297" s="27" t="s">
        <v>7</v>
      </c>
      <c r="FG297" s="27" t="s">
        <v>8</v>
      </c>
      <c r="HB297" s="27" t="s">
        <v>7</v>
      </c>
    </row>
    <row r="298" spans="1:211" x14ac:dyDescent="0.25">
      <c r="A298" s="30">
        <v>5.9022914930508576E-2</v>
      </c>
      <c r="B298"/>
      <c r="C298"/>
      <c r="D298"/>
      <c r="E298"/>
      <c r="F298" s="27" t="s">
        <v>7</v>
      </c>
      <c r="DG298" s="27" t="s">
        <v>8</v>
      </c>
      <c r="ET298" s="27" t="s">
        <v>7</v>
      </c>
      <c r="FA298" s="27" t="s">
        <v>8</v>
      </c>
      <c r="FB298" s="27" t="s">
        <v>7</v>
      </c>
      <c r="FE298" s="27" t="s">
        <v>8</v>
      </c>
      <c r="FF298" s="27" t="s">
        <v>7</v>
      </c>
      <c r="FG298" s="27" t="s">
        <v>8</v>
      </c>
      <c r="HB298" s="27" t="s">
        <v>7</v>
      </c>
    </row>
    <row r="299" spans="1:211" x14ac:dyDescent="0.25">
      <c r="A299" s="30">
        <v>5.6212299933817669E-2</v>
      </c>
      <c r="B299"/>
      <c r="C299"/>
      <c r="D299"/>
      <c r="E299"/>
      <c r="F299" s="27" t="s">
        <v>7</v>
      </c>
      <c r="DG299" s="27" t="s">
        <v>8</v>
      </c>
      <c r="ET299" s="27" t="s">
        <v>7</v>
      </c>
      <c r="FA299" s="27" t="s">
        <v>8</v>
      </c>
      <c r="FB299" s="27" t="s">
        <v>7</v>
      </c>
      <c r="FC299" s="18" t="s">
        <v>8</v>
      </c>
      <c r="FE299" s="27" t="s">
        <v>8</v>
      </c>
      <c r="FF299" s="27" t="s">
        <v>7</v>
      </c>
      <c r="FG299" s="27" t="s">
        <v>8</v>
      </c>
      <c r="HB299" s="27" t="s">
        <v>7</v>
      </c>
    </row>
    <row r="300" spans="1:211" x14ac:dyDescent="0.25">
      <c r="A300" s="30">
        <v>5.3535523746492994E-2</v>
      </c>
      <c r="B300"/>
      <c r="C300"/>
      <c r="D300"/>
      <c r="E300"/>
      <c r="F300" s="27" t="s">
        <v>7</v>
      </c>
      <c r="DG300" s="27" t="s">
        <v>8</v>
      </c>
      <c r="ET300" s="27" t="s">
        <v>7</v>
      </c>
      <c r="EU300" s="27" t="s">
        <v>8</v>
      </c>
      <c r="EY300" s="27" t="s">
        <v>8</v>
      </c>
      <c r="FA300" s="27" t="s">
        <v>8</v>
      </c>
      <c r="FB300" s="27" t="s">
        <v>7</v>
      </c>
      <c r="FC300" s="27" t="s">
        <v>8</v>
      </c>
      <c r="FD300" s="27" t="s">
        <v>7</v>
      </c>
      <c r="FE300" s="27" t="s">
        <v>8</v>
      </c>
      <c r="FF300" s="27" t="s">
        <v>7</v>
      </c>
      <c r="HB300" s="27" t="s">
        <v>7</v>
      </c>
    </row>
    <row r="301" spans="1:211" x14ac:dyDescent="0.25">
      <c r="A301" s="30">
        <v>5.0986213091898068E-2</v>
      </c>
      <c r="B301"/>
      <c r="C301"/>
      <c r="D301"/>
      <c r="E301"/>
      <c r="F301" s="27" t="s">
        <v>7</v>
      </c>
      <c r="DG301" s="27" t="s">
        <v>8</v>
      </c>
      <c r="ET301" s="27" t="s">
        <v>7</v>
      </c>
      <c r="EU301" s="27" t="s">
        <v>8</v>
      </c>
      <c r="EV301" s="27" t="s">
        <v>7</v>
      </c>
      <c r="EW301" s="27" t="s">
        <v>8</v>
      </c>
      <c r="EY301" s="27" t="s">
        <v>8</v>
      </c>
      <c r="EZ301" s="27" t="s">
        <v>7</v>
      </c>
      <c r="FA301" s="27" t="s">
        <v>8</v>
      </c>
      <c r="FB301" s="27" t="s">
        <v>7</v>
      </c>
      <c r="FC301" s="27" t="s">
        <v>8</v>
      </c>
      <c r="FD301" s="27" t="s">
        <v>7</v>
      </c>
      <c r="FE301" s="27" t="s">
        <v>8</v>
      </c>
      <c r="HB301" s="27" t="s">
        <v>7</v>
      </c>
      <c r="HC301" s="27" t="s">
        <v>8</v>
      </c>
    </row>
    <row r="302" spans="1:211" x14ac:dyDescent="0.25">
      <c r="A302" s="30">
        <v>4.8558298182760043E-2</v>
      </c>
      <c r="B302"/>
      <c r="C302"/>
      <c r="D302"/>
      <c r="E302"/>
      <c r="F302" s="27" t="s">
        <v>7</v>
      </c>
      <c r="DG302" s="27" t="s">
        <v>8</v>
      </c>
      <c r="ET302" s="27" t="s">
        <v>7</v>
      </c>
      <c r="EU302" s="27" t="s">
        <v>8</v>
      </c>
      <c r="EV302" s="27" t="s">
        <v>7</v>
      </c>
      <c r="EW302" s="27" t="s">
        <v>8</v>
      </c>
      <c r="EX302" s="27" t="s">
        <v>7</v>
      </c>
      <c r="EY302" s="27" t="s">
        <v>8</v>
      </c>
      <c r="EZ302" s="27" t="s">
        <v>7</v>
      </c>
      <c r="FA302" s="27" t="s">
        <v>8</v>
      </c>
      <c r="FB302" s="27" t="s">
        <v>7</v>
      </c>
      <c r="FD302" s="27" t="s">
        <v>7</v>
      </c>
      <c r="FE302" s="27" t="s">
        <v>8</v>
      </c>
      <c r="HB302" s="27" t="s">
        <v>7</v>
      </c>
      <c r="HC302" s="27" t="s">
        <v>8</v>
      </c>
    </row>
    <row r="303" spans="1:211" x14ac:dyDescent="0.25">
      <c r="A303" s="30">
        <v>4.6245998269295263E-2</v>
      </c>
      <c r="B303"/>
      <c r="C303"/>
      <c r="D303"/>
      <c r="E303"/>
      <c r="F303" s="27" t="s">
        <v>7</v>
      </c>
      <c r="DG303" s="27" t="s">
        <v>8</v>
      </c>
      <c r="ET303" s="27" t="s">
        <v>7</v>
      </c>
      <c r="EU303" s="27" t="s">
        <v>8</v>
      </c>
      <c r="EV303" s="27" t="s">
        <v>7</v>
      </c>
      <c r="EW303" s="27" t="s">
        <v>8</v>
      </c>
      <c r="EX303" s="27" t="s">
        <v>7</v>
      </c>
      <c r="EY303" s="27" t="s">
        <v>8</v>
      </c>
      <c r="EZ303" s="27" t="s">
        <v>7</v>
      </c>
      <c r="FA303" s="27" t="s">
        <v>8</v>
      </c>
      <c r="FD303" s="27" t="s">
        <v>7</v>
      </c>
      <c r="FE303" s="27" t="s">
        <v>8</v>
      </c>
      <c r="HB303" s="27" t="s">
        <v>7</v>
      </c>
      <c r="HC303" s="27" t="s">
        <v>8</v>
      </c>
    </row>
    <row r="304" spans="1:211" x14ac:dyDescent="0.25">
      <c r="A304" s="30">
        <v>4.4043807875519279E-2</v>
      </c>
      <c r="B304"/>
      <c r="C304"/>
      <c r="D304"/>
      <c r="E304"/>
      <c r="F304" s="27" t="s">
        <v>7</v>
      </c>
      <c r="DG304" s="27" t="s">
        <v>8</v>
      </c>
      <c r="ET304" s="27" t="s">
        <v>7</v>
      </c>
      <c r="EV304" s="27" t="s">
        <v>7</v>
      </c>
      <c r="EX304" s="27" t="s">
        <v>7</v>
      </c>
      <c r="EZ304" s="27" t="s">
        <v>7</v>
      </c>
      <c r="FD304" s="27" t="s">
        <v>7</v>
      </c>
      <c r="HB304" s="27" t="s">
        <v>7</v>
      </c>
    </row>
    <row r="305" spans="1:111" x14ac:dyDescent="0.25">
      <c r="A305" s="30">
        <v>4.1946483690970725E-2</v>
      </c>
      <c r="B305"/>
      <c r="C305"/>
      <c r="D305"/>
      <c r="E305"/>
      <c r="F305" s="27" t="s">
        <v>7</v>
      </c>
      <c r="CY305" s="27" t="s">
        <v>8</v>
      </c>
      <c r="DA305" s="27" t="s">
        <v>8</v>
      </c>
      <c r="DG305" s="27" t="s">
        <v>8</v>
      </c>
    </row>
    <row r="306" spans="1:111" x14ac:dyDescent="0.25">
      <c r="A306" s="30">
        <v>3.9949032086638768E-2</v>
      </c>
      <c r="B306"/>
      <c r="C306"/>
      <c r="D306"/>
      <c r="E306"/>
      <c r="F306" s="27" t="s">
        <v>7</v>
      </c>
      <c r="CW306" s="27" t="s">
        <v>8</v>
      </c>
      <c r="CY306" s="27" t="s">
        <v>8</v>
      </c>
      <c r="CZ306" s="27" t="s">
        <v>7</v>
      </c>
      <c r="DA306" s="27" t="s">
        <v>8</v>
      </c>
      <c r="DB306" s="27" t="s">
        <v>7</v>
      </c>
      <c r="DG306" s="27" t="s">
        <v>8</v>
      </c>
    </row>
    <row r="307" spans="1:111" x14ac:dyDescent="0.25">
      <c r="A307" s="30">
        <v>3.8046697225370241E-2</v>
      </c>
      <c r="B307"/>
      <c r="C307"/>
      <c r="D307"/>
      <c r="E307"/>
      <c r="F307" s="27" t="s">
        <v>7</v>
      </c>
      <c r="CW307" s="27" t="s">
        <v>8</v>
      </c>
      <c r="CX307" s="27" t="s">
        <v>7</v>
      </c>
      <c r="CY307" s="27" t="s">
        <v>8</v>
      </c>
      <c r="CZ307" s="27" t="s">
        <v>7</v>
      </c>
      <c r="DA307" s="27" t="s">
        <v>8</v>
      </c>
      <c r="DB307" s="27" t="s">
        <v>7</v>
      </c>
      <c r="DG307" s="27" t="s">
        <v>8</v>
      </c>
    </row>
    <row r="308" spans="1:111" x14ac:dyDescent="0.25">
      <c r="A308" s="30">
        <v>3.6234949738447833E-2</v>
      </c>
      <c r="B308"/>
      <c r="C308"/>
      <c r="D308"/>
      <c r="E308"/>
      <c r="F308" s="27" t="s">
        <v>7</v>
      </c>
      <c r="BG308" s="27" t="s">
        <v>8</v>
      </c>
      <c r="CW308" s="27" t="s">
        <v>8</v>
      </c>
      <c r="CX308" s="27" t="s">
        <v>7</v>
      </c>
      <c r="CY308" s="27" t="s">
        <v>8</v>
      </c>
      <c r="CZ308" s="27" t="s">
        <v>7</v>
      </c>
      <c r="DB308" s="27" t="s">
        <v>7</v>
      </c>
      <c r="DG308" s="27" t="s">
        <v>8</v>
      </c>
    </row>
    <row r="309" spans="1:111" x14ac:dyDescent="0.25">
      <c r="A309" s="30">
        <v>3.4509475941378875E-2</v>
      </c>
      <c r="B309"/>
      <c r="C309"/>
      <c r="D309"/>
      <c r="E309"/>
      <c r="F309" s="27" t="s">
        <v>7</v>
      </c>
      <c r="O309" s="27" t="s">
        <v>8</v>
      </c>
      <c r="BE309" s="27" t="s">
        <v>8</v>
      </c>
      <c r="BG309" s="27" t="s">
        <v>8</v>
      </c>
      <c r="BH309" s="27" t="s">
        <v>7</v>
      </c>
      <c r="BI309" s="27" t="s">
        <v>8</v>
      </c>
      <c r="BM309" s="27" t="s">
        <v>8</v>
      </c>
      <c r="CW309" s="27" t="s">
        <v>8</v>
      </c>
      <c r="CX309" s="27" t="s">
        <v>7</v>
      </c>
      <c r="CY309" s="27" t="s">
        <v>8</v>
      </c>
      <c r="DB309" s="27" t="s">
        <v>7</v>
      </c>
      <c r="DC309" s="27" t="s">
        <v>8</v>
      </c>
      <c r="DG309" s="27" t="s">
        <v>8</v>
      </c>
    </row>
    <row r="310" spans="1:111" x14ac:dyDescent="0.25">
      <c r="A310" s="30">
        <v>3.286616756321796E-2</v>
      </c>
      <c r="B310"/>
      <c r="C310"/>
      <c r="D310"/>
      <c r="E310"/>
      <c r="F310" s="27" t="s">
        <v>7</v>
      </c>
      <c r="O310" s="27" t="s">
        <v>8</v>
      </c>
      <c r="P310" s="27" t="s">
        <v>7</v>
      </c>
      <c r="BE310" s="27" t="s">
        <v>8</v>
      </c>
      <c r="BF310" s="27" t="s">
        <v>7</v>
      </c>
      <c r="BG310" s="27" t="s">
        <v>8</v>
      </c>
      <c r="BH310" s="27" t="s">
        <v>7</v>
      </c>
      <c r="BI310" s="27" t="s">
        <v>8</v>
      </c>
      <c r="BJ310" s="27" t="s">
        <v>7</v>
      </c>
      <c r="BK310" s="27" t="s">
        <v>8</v>
      </c>
      <c r="BM310" s="27" t="s">
        <v>8</v>
      </c>
      <c r="BN310" s="27" t="s">
        <v>7</v>
      </c>
      <c r="CW310" s="27" t="s">
        <v>8</v>
      </c>
      <c r="CX310" s="27" t="s">
        <v>7</v>
      </c>
      <c r="DB310" s="27" t="s">
        <v>7</v>
      </c>
      <c r="DC310" s="27" t="s">
        <v>8</v>
      </c>
      <c r="DD310" s="27" t="s">
        <v>7</v>
      </c>
      <c r="DE310" s="27" t="s">
        <v>8</v>
      </c>
      <c r="DG310" s="27" t="s">
        <v>8</v>
      </c>
    </row>
    <row r="311" spans="1:111" x14ac:dyDescent="0.25">
      <c r="A311" s="30">
        <v>3.1301111964969472E-2</v>
      </c>
      <c r="B311"/>
      <c r="C311"/>
      <c r="D311"/>
      <c r="E311"/>
      <c r="F311" s="27" t="s">
        <v>7</v>
      </c>
      <c r="O311" s="27" t="s">
        <v>8</v>
      </c>
      <c r="P311" s="27" t="s">
        <v>7</v>
      </c>
      <c r="BE311" s="27" t="s">
        <v>8</v>
      </c>
      <c r="BF311" s="27" t="s">
        <v>7</v>
      </c>
      <c r="BG311" s="27" t="s">
        <v>8</v>
      </c>
      <c r="BH311" s="27" t="s">
        <v>7</v>
      </c>
      <c r="BI311" s="27" t="s">
        <v>8</v>
      </c>
      <c r="BJ311" s="27" t="s">
        <v>7</v>
      </c>
      <c r="BK311" s="27" t="s">
        <v>8</v>
      </c>
      <c r="BL311" s="27" t="s">
        <v>7</v>
      </c>
      <c r="BM311" s="27" t="s">
        <v>8</v>
      </c>
      <c r="BN311" s="27" t="s">
        <v>7</v>
      </c>
      <c r="CW311" s="27" t="s">
        <v>8</v>
      </c>
      <c r="DB311" s="27" t="s">
        <v>7</v>
      </c>
      <c r="DC311" s="27" t="s">
        <v>8</v>
      </c>
      <c r="DD311" s="27" t="s">
        <v>7</v>
      </c>
      <c r="DE311" s="27" t="s">
        <v>8</v>
      </c>
      <c r="DF311" s="27" t="s">
        <v>7</v>
      </c>
      <c r="DG311" s="27" t="s">
        <v>8</v>
      </c>
    </row>
    <row r="312" spans="1:111" x14ac:dyDescent="0.25">
      <c r="A312" s="30">
        <v>2.9810582823780438E-2</v>
      </c>
      <c r="B312"/>
      <c r="C312"/>
      <c r="D312"/>
      <c r="E312"/>
      <c r="F312" s="27" t="s">
        <v>7</v>
      </c>
      <c r="O312" s="27" t="s">
        <v>8</v>
      </c>
      <c r="P312" s="27" t="s">
        <v>7</v>
      </c>
      <c r="BE312" s="27" t="s">
        <v>8</v>
      </c>
      <c r="BF312" s="27" t="s">
        <v>7</v>
      </c>
      <c r="BH312" s="27" t="s">
        <v>7</v>
      </c>
      <c r="BI312" s="27" t="s">
        <v>8</v>
      </c>
      <c r="BJ312" s="27" t="s">
        <v>7</v>
      </c>
      <c r="BK312" s="27" t="s">
        <v>8</v>
      </c>
      <c r="BL312" s="27" t="s">
        <v>7</v>
      </c>
      <c r="BM312" s="27" t="s">
        <v>8</v>
      </c>
      <c r="BN312" s="27" t="s">
        <v>7</v>
      </c>
      <c r="CQ312" s="27" t="s">
        <v>8</v>
      </c>
      <c r="CU312" s="27" t="s">
        <v>8</v>
      </c>
      <c r="CW312" s="27" t="s">
        <v>8</v>
      </c>
      <c r="DB312" s="27" t="s">
        <v>7</v>
      </c>
      <c r="DC312" s="27" t="s">
        <v>8</v>
      </c>
      <c r="DD312" s="27" t="s">
        <v>7</v>
      </c>
      <c r="DE312" s="27" t="s">
        <v>8</v>
      </c>
      <c r="DF312" s="27" t="s">
        <v>7</v>
      </c>
      <c r="DG312" s="27" t="s">
        <v>8</v>
      </c>
    </row>
    <row r="313" spans="1:111" x14ac:dyDescent="0.25">
      <c r="A313" s="30">
        <v>2.8391031260743264E-2</v>
      </c>
      <c r="B313"/>
      <c r="C313"/>
      <c r="D313"/>
      <c r="E313"/>
      <c r="F313" s="27" t="s">
        <v>7</v>
      </c>
      <c r="O313" s="27" t="s">
        <v>8</v>
      </c>
      <c r="P313" s="27" t="s">
        <v>7</v>
      </c>
      <c r="BE313" s="27" t="s">
        <v>8</v>
      </c>
      <c r="BH313" s="27" t="s">
        <v>7</v>
      </c>
      <c r="BJ313" s="27" t="s">
        <v>7</v>
      </c>
      <c r="BK313" s="27" t="s">
        <v>8</v>
      </c>
      <c r="BL313" s="27" t="s">
        <v>7</v>
      </c>
      <c r="BM313" s="27" t="s">
        <v>8</v>
      </c>
      <c r="BN313" s="27" t="s">
        <v>7</v>
      </c>
      <c r="CM313" s="27" t="s">
        <v>8</v>
      </c>
      <c r="CQ313" s="27" t="s">
        <v>8</v>
      </c>
      <c r="CR313" s="27" t="s">
        <v>7</v>
      </c>
      <c r="CS313" s="27" t="s">
        <v>8</v>
      </c>
      <c r="CU313" s="27" t="s">
        <v>8</v>
      </c>
      <c r="CV313" s="27" t="s">
        <v>7</v>
      </c>
      <c r="CW313" s="27" t="s">
        <v>8</v>
      </c>
      <c r="DB313" s="27" t="s">
        <v>7</v>
      </c>
      <c r="DC313" s="27" t="s">
        <v>8</v>
      </c>
      <c r="DD313" s="27" t="s">
        <v>7</v>
      </c>
      <c r="DF313" s="27" t="s">
        <v>7</v>
      </c>
      <c r="DG313" s="27" t="s">
        <v>8</v>
      </c>
    </row>
    <row r="314" spans="1:111" x14ac:dyDescent="0.25">
      <c r="A314" s="30">
        <v>2.7039077391184052E-2</v>
      </c>
      <c r="B314"/>
      <c r="C314"/>
      <c r="D314"/>
      <c r="E314"/>
      <c r="F314" s="27" t="s">
        <v>7</v>
      </c>
      <c r="O314" s="27" t="s">
        <v>8</v>
      </c>
      <c r="P314" s="27" t="s">
        <v>7</v>
      </c>
      <c r="BE314" s="27" t="s">
        <v>8</v>
      </c>
      <c r="BJ314" s="27" t="s">
        <v>7</v>
      </c>
      <c r="BK314" s="27" t="s">
        <v>8</v>
      </c>
      <c r="BL314" s="27" t="s">
        <v>7</v>
      </c>
      <c r="BN314" s="27" t="s">
        <v>7</v>
      </c>
      <c r="CM314" s="27" t="s">
        <v>8</v>
      </c>
      <c r="CN314" s="27" t="s">
        <v>7</v>
      </c>
      <c r="CQ314" s="27" t="s">
        <v>8</v>
      </c>
      <c r="CR314" s="27" t="s">
        <v>7</v>
      </c>
      <c r="CS314" s="27" t="s">
        <v>8</v>
      </c>
      <c r="CT314" s="27" t="s">
        <v>7</v>
      </c>
      <c r="CU314" s="27" t="s">
        <v>8</v>
      </c>
      <c r="CV314" s="27" t="s">
        <v>7</v>
      </c>
      <c r="CW314" s="27" t="s">
        <v>8</v>
      </c>
      <c r="DB314" s="27" t="s">
        <v>7</v>
      </c>
      <c r="DC314" s="27" t="s">
        <v>8</v>
      </c>
      <c r="DF314" s="27" t="s">
        <v>7</v>
      </c>
    </row>
    <row r="315" spans="1:111" x14ac:dyDescent="0.25">
      <c r="A315" s="30">
        <v>2.5751502277318133E-2</v>
      </c>
      <c r="B315"/>
      <c r="C315"/>
      <c r="D315"/>
      <c r="E315"/>
      <c r="F315" s="27" t="s">
        <v>7</v>
      </c>
      <c r="O315" s="27" t="s">
        <v>8</v>
      </c>
      <c r="P315" s="27" t="s">
        <v>7</v>
      </c>
      <c r="BA315" s="27" t="s">
        <v>8</v>
      </c>
      <c r="BC315" s="27" t="s">
        <v>8</v>
      </c>
      <c r="BE315" s="27" t="s">
        <v>8</v>
      </c>
      <c r="BJ315" s="27" t="s">
        <v>7</v>
      </c>
      <c r="BN315" s="27" t="s">
        <v>7</v>
      </c>
      <c r="CM315" s="27" t="s">
        <v>8</v>
      </c>
      <c r="CN315" s="27" t="s">
        <v>7</v>
      </c>
      <c r="CQ315" s="27" t="s">
        <v>8</v>
      </c>
      <c r="CR315" s="27" t="s">
        <v>7</v>
      </c>
      <c r="CS315" s="27" t="s">
        <v>8</v>
      </c>
      <c r="CT315" s="27" t="s">
        <v>7</v>
      </c>
      <c r="CU315" s="27" t="s">
        <v>8</v>
      </c>
      <c r="CV315" s="27" t="s">
        <v>7</v>
      </c>
      <c r="CW315" s="27" t="s">
        <v>8</v>
      </c>
      <c r="DB315" s="27" t="s">
        <v>7</v>
      </c>
      <c r="DC315" s="27" t="s">
        <v>8</v>
      </c>
    </row>
    <row r="316" spans="1:111" x14ac:dyDescent="0.25">
      <c r="A316" s="30">
        <v>2.4525240264112496E-2</v>
      </c>
      <c r="B316"/>
      <c r="C316"/>
      <c r="D316"/>
      <c r="E316"/>
      <c r="F316" s="27" t="s">
        <v>7</v>
      </c>
      <c r="O316" s="27" t="s">
        <v>8</v>
      </c>
      <c r="P316" s="27" t="s">
        <v>7</v>
      </c>
      <c r="BA316" s="27" t="s">
        <v>8</v>
      </c>
      <c r="BB316" s="27" t="s">
        <v>7</v>
      </c>
      <c r="BC316" s="27" t="s">
        <v>8</v>
      </c>
      <c r="BD316" s="27" t="s">
        <v>7</v>
      </c>
      <c r="BE316" s="27" t="s">
        <v>8</v>
      </c>
      <c r="BN316" s="27" t="s">
        <v>7</v>
      </c>
      <c r="CM316" s="27" t="s">
        <v>8</v>
      </c>
      <c r="CN316" s="27" t="s">
        <v>7</v>
      </c>
      <c r="CO316" s="27" t="s">
        <v>8</v>
      </c>
      <c r="CQ316" s="27" t="s">
        <v>8</v>
      </c>
      <c r="CR316" s="27" t="s">
        <v>7</v>
      </c>
      <c r="CS316" s="27" t="s">
        <v>8</v>
      </c>
      <c r="CT316" s="27" t="s">
        <v>7</v>
      </c>
      <c r="CU316" s="27" t="s">
        <v>8</v>
      </c>
      <c r="CV316" s="27" t="s">
        <v>7</v>
      </c>
      <c r="DB316" s="27" t="s">
        <v>7</v>
      </c>
      <c r="DC316" s="27" t="s">
        <v>8</v>
      </c>
    </row>
    <row r="317" spans="1:111" x14ac:dyDescent="0.25">
      <c r="A317" s="30">
        <v>2.3357371680107129E-2</v>
      </c>
      <c r="B317"/>
      <c r="C317"/>
      <c r="D317"/>
      <c r="E317"/>
      <c r="F317" s="27" t="s">
        <v>7</v>
      </c>
      <c r="O317" s="27" t="s">
        <v>8</v>
      </c>
      <c r="P317" s="27" t="s">
        <v>7</v>
      </c>
      <c r="BA317" s="27" t="s">
        <v>8</v>
      </c>
      <c r="BB317" s="27" t="s">
        <v>7</v>
      </c>
      <c r="BC317" s="27" t="s">
        <v>8</v>
      </c>
      <c r="BD317" s="27" t="s">
        <v>7</v>
      </c>
      <c r="BE317" s="27" t="s">
        <v>8</v>
      </c>
      <c r="BN317" s="27" t="s">
        <v>7</v>
      </c>
      <c r="BQ317" s="27" t="s">
        <v>8</v>
      </c>
      <c r="CM317" s="27" t="s">
        <v>8</v>
      </c>
      <c r="CN317" s="27" t="s">
        <v>7</v>
      </c>
      <c r="CO317" s="27" t="s">
        <v>8</v>
      </c>
      <c r="CP317" s="27" t="s">
        <v>7</v>
      </c>
      <c r="CQ317" s="27" t="s">
        <v>8</v>
      </c>
      <c r="CR317" s="27" t="s">
        <v>7</v>
      </c>
      <c r="CT317" s="27" t="s">
        <v>7</v>
      </c>
      <c r="DB317" s="27" t="s">
        <v>7</v>
      </c>
      <c r="DC317" s="27" t="s">
        <v>8</v>
      </c>
    </row>
    <row r="318" spans="1:111" x14ac:dyDescent="0.25">
      <c r="A318" s="30">
        <v>2.2245115885816305E-2</v>
      </c>
      <c r="B318"/>
      <c r="C318"/>
      <c r="D318"/>
      <c r="E318"/>
      <c r="F318" s="27" t="s">
        <v>7</v>
      </c>
      <c r="O318" s="27" t="s">
        <v>8</v>
      </c>
      <c r="P318" s="27" t="s">
        <v>7</v>
      </c>
      <c r="BA318" s="27" t="s">
        <v>8</v>
      </c>
      <c r="BB318" s="27" t="s">
        <v>7</v>
      </c>
      <c r="BC318" s="27" t="s">
        <v>8</v>
      </c>
      <c r="BD318" s="27" t="s">
        <v>7</v>
      </c>
      <c r="BN318" s="27" t="s">
        <v>7</v>
      </c>
      <c r="BQ318" s="27" t="s">
        <v>8</v>
      </c>
      <c r="BR318" s="27" t="s">
        <v>7</v>
      </c>
      <c r="CM318" s="27" t="s">
        <v>8</v>
      </c>
      <c r="CN318" s="27" t="s">
        <v>7</v>
      </c>
      <c r="CO318" s="27" t="s">
        <v>8</v>
      </c>
      <c r="CP318" s="27" t="s">
        <v>7</v>
      </c>
      <c r="CQ318" s="27" t="s">
        <v>8</v>
      </c>
      <c r="DB318" s="27" t="s">
        <v>7</v>
      </c>
    </row>
    <row r="319" spans="1:111" x14ac:dyDescent="0.25">
      <c r="A319" s="30">
        <v>2.1185824653158377E-2</v>
      </c>
      <c r="B319"/>
      <c r="C319"/>
      <c r="D319"/>
      <c r="E319"/>
      <c r="F319" s="27" t="s">
        <v>7</v>
      </c>
      <c r="O319" s="27" t="s">
        <v>8</v>
      </c>
      <c r="P319" s="27" t="s">
        <v>7</v>
      </c>
      <c r="AY319" s="27" t="s">
        <v>8</v>
      </c>
      <c r="BA319" s="27" t="s">
        <v>8</v>
      </c>
      <c r="BB319" s="27" t="s">
        <v>7</v>
      </c>
      <c r="BN319" s="27" t="s">
        <v>7</v>
      </c>
      <c r="BO319" s="27" t="s">
        <v>8</v>
      </c>
      <c r="BQ319" s="27" t="s">
        <v>8</v>
      </c>
      <c r="BR319" s="27" t="s">
        <v>7</v>
      </c>
      <c r="CM319" s="27" t="s">
        <v>8</v>
      </c>
      <c r="CN319" s="27" t="s">
        <v>7</v>
      </c>
      <c r="CO319" s="27" t="s">
        <v>8</v>
      </c>
      <c r="CP319" s="27" t="s">
        <v>7</v>
      </c>
      <c r="CQ319" s="27" t="s">
        <v>8</v>
      </c>
    </row>
    <row r="320" spans="1:111" x14ac:dyDescent="0.25">
      <c r="A320" s="30">
        <v>2.0176975860150829E-2</v>
      </c>
      <c r="B320"/>
      <c r="C320"/>
      <c r="D320"/>
      <c r="E320"/>
      <c r="F320" s="27" t="s">
        <v>7</v>
      </c>
      <c r="O320" s="27" t="s">
        <v>8</v>
      </c>
      <c r="P320" s="27" t="s">
        <v>7</v>
      </c>
      <c r="Q320" s="27" t="s">
        <v>8</v>
      </c>
      <c r="AY320" s="27" t="s">
        <v>8</v>
      </c>
      <c r="AZ320" s="27" t="s">
        <v>7</v>
      </c>
      <c r="BA320" s="27" t="s">
        <v>8</v>
      </c>
      <c r="BN320" s="27" t="s">
        <v>7</v>
      </c>
      <c r="BO320" s="27" t="s">
        <v>8</v>
      </c>
      <c r="BP320" s="27" t="s">
        <v>7</v>
      </c>
      <c r="BQ320" s="27" t="s">
        <v>8</v>
      </c>
      <c r="BR320" s="27" t="s">
        <v>7</v>
      </c>
      <c r="BY320" s="27" t="s">
        <v>8</v>
      </c>
      <c r="CM320" s="27" t="s">
        <v>8</v>
      </c>
      <c r="CN320" s="27" t="s">
        <v>7</v>
      </c>
      <c r="CO320" s="27" t="s">
        <v>8</v>
      </c>
      <c r="CP320" s="27" t="s">
        <v>7</v>
      </c>
      <c r="CQ320" s="27" t="s">
        <v>8</v>
      </c>
    </row>
    <row r="321" spans="1:95" x14ac:dyDescent="0.25">
      <c r="A321" s="30">
        <v>1.9216167485857926E-2</v>
      </c>
      <c r="B321"/>
      <c r="C321"/>
      <c r="D321"/>
      <c r="E321"/>
      <c r="F321" s="27" t="s">
        <v>7</v>
      </c>
      <c r="O321" s="27" t="s">
        <v>8</v>
      </c>
      <c r="P321" s="27" t="s">
        <v>7</v>
      </c>
      <c r="Q321" s="27" t="s">
        <v>8</v>
      </c>
      <c r="R321" s="27" t="s">
        <v>7</v>
      </c>
      <c r="AY321" s="27" t="s">
        <v>8</v>
      </c>
      <c r="AZ321" s="27" t="s">
        <v>7</v>
      </c>
      <c r="BA321" s="27" t="s">
        <v>8</v>
      </c>
      <c r="BN321" s="27" t="s">
        <v>7</v>
      </c>
      <c r="BO321" s="27" t="s">
        <v>8</v>
      </c>
      <c r="BP321" s="27" t="s">
        <v>7</v>
      </c>
      <c r="BQ321" s="27" t="s">
        <v>8</v>
      </c>
      <c r="BR321" s="27" t="s">
        <v>7</v>
      </c>
      <c r="BY321" s="27" t="s">
        <v>8</v>
      </c>
      <c r="BZ321" s="27" t="s">
        <v>7</v>
      </c>
      <c r="CM321" s="27" t="s">
        <v>8</v>
      </c>
      <c r="CN321" s="27" t="s">
        <v>7</v>
      </c>
      <c r="CO321" s="27" t="s">
        <v>8</v>
      </c>
      <c r="CP321" s="27" t="s">
        <v>7</v>
      </c>
      <c r="CQ321" s="27" t="s">
        <v>8</v>
      </c>
    </row>
    <row r="322" spans="1:95" x14ac:dyDescent="0.25">
      <c r="A322" s="30">
        <v>1.8301111891293256E-2</v>
      </c>
      <c r="B322"/>
      <c r="C322"/>
      <c r="D322"/>
      <c r="E322"/>
      <c r="F322" s="27" t="s">
        <v>7</v>
      </c>
      <c r="O322" s="27" t="s">
        <v>8</v>
      </c>
      <c r="P322" s="27" t="s">
        <v>7</v>
      </c>
      <c r="Q322" s="27" t="s">
        <v>8</v>
      </c>
      <c r="R322" s="27" t="s">
        <v>7</v>
      </c>
      <c r="U322" s="27" t="s">
        <v>8</v>
      </c>
      <c r="AU322" s="27" t="s">
        <v>8</v>
      </c>
      <c r="AY322" s="27" t="s">
        <v>8</v>
      </c>
      <c r="AZ322" s="27" t="s">
        <v>7</v>
      </c>
      <c r="BA322" s="27" t="s">
        <v>8</v>
      </c>
      <c r="BN322" s="27" t="s">
        <v>7</v>
      </c>
      <c r="BO322" s="27" t="s">
        <v>8</v>
      </c>
      <c r="BP322" s="27" t="s">
        <v>7</v>
      </c>
      <c r="BQ322" s="27" t="s">
        <v>8</v>
      </c>
      <c r="BR322" s="27" t="s">
        <v>7</v>
      </c>
      <c r="BS322" s="27" t="s">
        <v>8</v>
      </c>
      <c r="BU322" s="27" t="s">
        <v>8</v>
      </c>
      <c r="BW322" s="27" t="s">
        <v>8</v>
      </c>
      <c r="BY322" s="27" t="s">
        <v>8</v>
      </c>
      <c r="BZ322" s="27" t="s">
        <v>7</v>
      </c>
      <c r="CA322" s="27" t="s">
        <v>8</v>
      </c>
      <c r="CM322" s="27" t="s">
        <v>8</v>
      </c>
      <c r="CN322" s="27" t="s">
        <v>7</v>
      </c>
      <c r="CO322" s="27" t="s">
        <v>8</v>
      </c>
      <c r="CP322" s="27" t="s">
        <v>7</v>
      </c>
    </row>
    <row r="323" spans="1:95" x14ac:dyDescent="0.25">
      <c r="A323" s="30">
        <v>1.7429630372660238E-2</v>
      </c>
      <c r="B323"/>
      <c r="C323"/>
      <c r="D323"/>
      <c r="E323"/>
      <c r="F323" s="27" t="s">
        <v>7</v>
      </c>
      <c r="G323" s="27" t="s">
        <v>8</v>
      </c>
      <c r="O323" s="27" t="s">
        <v>8</v>
      </c>
      <c r="P323" s="27" t="s">
        <v>7</v>
      </c>
      <c r="Q323" s="27" t="s">
        <v>8</v>
      </c>
      <c r="R323" s="27" t="s">
        <v>7</v>
      </c>
      <c r="S323" s="27" t="s">
        <v>8</v>
      </c>
      <c r="U323" s="27" t="s">
        <v>8</v>
      </c>
      <c r="V323" s="27" t="s">
        <v>7</v>
      </c>
      <c r="AU323" s="27" t="s">
        <v>8</v>
      </c>
      <c r="AV323" s="27" t="s">
        <v>7</v>
      </c>
      <c r="AY323" s="27" t="s">
        <v>8</v>
      </c>
      <c r="AZ323" s="27" t="s">
        <v>7</v>
      </c>
      <c r="BN323" s="27" t="s">
        <v>7</v>
      </c>
      <c r="BO323" s="27" t="s">
        <v>8</v>
      </c>
      <c r="BP323" s="27" t="s">
        <v>7</v>
      </c>
      <c r="BR323" s="27" t="s">
        <v>7</v>
      </c>
      <c r="BS323" s="27" t="s">
        <v>8</v>
      </c>
      <c r="BT323" s="27" t="s">
        <v>7</v>
      </c>
      <c r="BU323" s="27" t="s">
        <v>8</v>
      </c>
      <c r="BV323" s="27" t="s">
        <v>7</v>
      </c>
      <c r="BW323" s="27" t="s">
        <v>8</v>
      </c>
      <c r="BX323" s="27" t="s">
        <v>7</v>
      </c>
      <c r="BY323" s="27" t="s">
        <v>8</v>
      </c>
      <c r="BZ323" s="27" t="s">
        <v>7</v>
      </c>
      <c r="CA323" s="27" t="s">
        <v>8</v>
      </c>
      <c r="CB323" s="27" t="s">
        <v>7</v>
      </c>
      <c r="CE323" s="27" t="s">
        <v>8</v>
      </c>
      <c r="CK323" s="27" t="s">
        <v>8</v>
      </c>
      <c r="CM323" s="27" t="s">
        <v>8</v>
      </c>
      <c r="CN323" s="27" t="s">
        <v>7</v>
      </c>
    </row>
    <row r="324" spans="1:95" x14ac:dyDescent="0.25">
      <c r="A324" s="30">
        <v>1.6599647973962125E-2</v>
      </c>
      <c r="B324"/>
      <c r="C324"/>
      <c r="D324"/>
      <c r="E324"/>
      <c r="F324" s="27" t="s">
        <v>7</v>
      </c>
      <c r="G324" s="27" t="s">
        <v>8</v>
      </c>
      <c r="H324" s="27" t="s">
        <v>7</v>
      </c>
      <c r="O324" s="27" t="s">
        <v>8</v>
      </c>
      <c r="P324" s="27" t="s">
        <v>7</v>
      </c>
      <c r="Q324" s="27" t="s">
        <v>8</v>
      </c>
      <c r="R324" s="27" t="s">
        <v>7</v>
      </c>
      <c r="S324" s="27" t="s">
        <v>8</v>
      </c>
      <c r="T324" s="27" t="s">
        <v>7</v>
      </c>
      <c r="U324" s="27" t="s">
        <v>8</v>
      </c>
      <c r="V324" s="27" t="s">
        <v>7</v>
      </c>
      <c r="AQ324" s="27" t="s">
        <v>8</v>
      </c>
      <c r="AS324" s="27" t="s">
        <v>8</v>
      </c>
      <c r="AU324" s="27" t="s">
        <v>8</v>
      </c>
      <c r="AV324" s="27" t="s">
        <v>7</v>
      </c>
      <c r="AW324" s="27" t="s">
        <v>8</v>
      </c>
      <c r="AY324" s="27" t="s">
        <v>8</v>
      </c>
      <c r="BN324" s="27" t="s">
        <v>7</v>
      </c>
      <c r="BR324" s="27" t="s">
        <v>7</v>
      </c>
      <c r="BS324" s="27" t="s">
        <v>8</v>
      </c>
      <c r="BT324" s="27" t="s">
        <v>7</v>
      </c>
      <c r="BU324" s="27" t="s">
        <v>8</v>
      </c>
      <c r="BV324" s="27" t="s">
        <v>7</v>
      </c>
      <c r="BW324" s="27" t="s">
        <v>8</v>
      </c>
      <c r="BX324" s="27" t="s">
        <v>7</v>
      </c>
      <c r="BY324" s="27" t="s">
        <v>8</v>
      </c>
      <c r="BZ324" s="27" t="s">
        <v>7</v>
      </c>
      <c r="CA324" s="27" t="s">
        <v>8</v>
      </c>
      <c r="CB324" s="27" t="s">
        <v>7</v>
      </c>
      <c r="CE324" s="27" t="s">
        <v>8</v>
      </c>
      <c r="CF324" s="27" t="s">
        <v>7</v>
      </c>
      <c r="CI324" s="27" t="s">
        <v>8</v>
      </c>
      <c r="CK324" s="27" t="s">
        <v>8</v>
      </c>
      <c r="CL324" s="27" t="s">
        <v>7</v>
      </c>
      <c r="CM324" s="27" t="s">
        <v>8</v>
      </c>
    </row>
    <row r="325" spans="1:95" x14ac:dyDescent="0.25">
      <c r="A325" s="30">
        <v>1.580918854663059E-2</v>
      </c>
      <c r="B325"/>
      <c r="C325"/>
      <c r="D325"/>
      <c r="E325"/>
      <c r="F325" s="27" t="s">
        <v>7</v>
      </c>
      <c r="G325" s="27" t="s">
        <v>8</v>
      </c>
      <c r="H325" s="27" t="s">
        <v>7</v>
      </c>
      <c r="M325" s="27" t="s">
        <v>8</v>
      </c>
      <c r="O325" s="27" t="s">
        <v>8</v>
      </c>
      <c r="P325" s="27" t="s">
        <v>7</v>
      </c>
      <c r="Q325" s="27" t="s">
        <v>8</v>
      </c>
      <c r="R325" s="27" t="s">
        <v>7</v>
      </c>
      <c r="S325" s="27" t="s">
        <v>8</v>
      </c>
      <c r="T325" s="27" t="s">
        <v>7</v>
      </c>
      <c r="U325" s="27" t="s">
        <v>8</v>
      </c>
      <c r="V325" s="27" t="s">
        <v>7</v>
      </c>
      <c r="AO325" s="27" t="s">
        <v>8</v>
      </c>
      <c r="AQ325" s="27" t="s">
        <v>8</v>
      </c>
      <c r="AR325" s="27" t="s">
        <v>7</v>
      </c>
      <c r="AS325" s="27" t="s">
        <v>8</v>
      </c>
      <c r="AT325" s="27" t="s">
        <v>7</v>
      </c>
      <c r="AU325" s="27" t="s">
        <v>8</v>
      </c>
      <c r="AV325" s="27" t="s">
        <v>7</v>
      </c>
      <c r="AW325" s="27" t="s">
        <v>8</v>
      </c>
      <c r="AX325" s="27" t="s">
        <v>7</v>
      </c>
      <c r="AY325" s="27" t="s">
        <v>8</v>
      </c>
      <c r="BR325" s="27" t="s">
        <v>7</v>
      </c>
      <c r="BT325" s="27" t="s">
        <v>7</v>
      </c>
      <c r="BU325" s="27" t="s">
        <v>8</v>
      </c>
      <c r="BV325" s="27" t="s">
        <v>7</v>
      </c>
      <c r="BW325" s="27" t="s">
        <v>8</v>
      </c>
      <c r="BX325" s="27" t="s">
        <v>7</v>
      </c>
      <c r="BZ325" s="27" t="s">
        <v>7</v>
      </c>
      <c r="CA325" s="27" t="s">
        <v>8</v>
      </c>
      <c r="CB325" s="27" t="s">
        <v>7</v>
      </c>
      <c r="CC325" s="27" t="s">
        <v>8</v>
      </c>
      <c r="CE325" s="27" t="s">
        <v>8</v>
      </c>
      <c r="CF325" s="27" t="s">
        <v>7</v>
      </c>
      <c r="CI325" s="27" t="s">
        <v>8</v>
      </c>
      <c r="CJ325" s="27" t="s">
        <v>7</v>
      </c>
      <c r="CK325" s="27" t="s">
        <v>8</v>
      </c>
      <c r="CL325" s="27" t="s">
        <v>7</v>
      </c>
      <c r="CM325" s="27" t="s">
        <v>8</v>
      </c>
    </row>
    <row r="326" spans="1:95" x14ac:dyDescent="0.25">
      <c r="A326" s="30">
        <v>1.5056370044410079E-2</v>
      </c>
      <c r="B326"/>
      <c r="C326"/>
      <c r="D326"/>
      <c r="E326"/>
      <c r="F326" s="27" t="s">
        <v>7</v>
      </c>
      <c r="G326" s="27" t="s">
        <v>8</v>
      </c>
      <c r="H326" s="27" t="s">
        <v>7</v>
      </c>
      <c r="M326" s="27" t="s">
        <v>8</v>
      </c>
      <c r="N326" s="27" t="s">
        <v>7</v>
      </c>
      <c r="O326" s="27" t="s">
        <v>8</v>
      </c>
      <c r="P326" s="27" t="s">
        <v>7</v>
      </c>
      <c r="Q326" s="27" t="s">
        <v>8</v>
      </c>
      <c r="R326" s="27" t="s">
        <v>7</v>
      </c>
      <c r="T326" s="27" t="s">
        <v>7</v>
      </c>
      <c r="U326" s="27" t="s">
        <v>8</v>
      </c>
      <c r="V326" s="27" t="s">
        <v>7</v>
      </c>
      <c r="AM326" s="27" t="s">
        <v>8</v>
      </c>
      <c r="AO326" s="27" t="s">
        <v>8</v>
      </c>
      <c r="AP326" s="27" t="s">
        <v>7</v>
      </c>
      <c r="AQ326" s="27" t="s">
        <v>8</v>
      </c>
      <c r="AR326" s="27" t="s">
        <v>7</v>
      </c>
      <c r="AS326" s="27" t="s">
        <v>8</v>
      </c>
      <c r="AT326" s="27" t="s">
        <v>7</v>
      </c>
      <c r="AU326" s="27" t="s">
        <v>8</v>
      </c>
      <c r="AV326" s="27" t="s">
        <v>7</v>
      </c>
      <c r="AW326" s="27" t="s">
        <v>8</v>
      </c>
      <c r="AX326" s="27" t="s">
        <v>7</v>
      </c>
      <c r="AY326" s="27" t="s">
        <v>8</v>
      </c>
      <c r="BT326" s="27" t="s">
        <v>7</v>
      </c>
      <c r="BV326" s="27" t="s">
        <v>7</v>
      </c>
      <c r="BZ326" s="27" t="s">
        <v>7</v>
      </c>
      <c r="CB326" s="27" t="s">
        <v>7</v>
      </c>
      <c r="CC326" s="27" t="s">
        <v>8</v>
      </c>
      <c r="CD326" s="27" t="s">
        <v>7</v>
      </c>
      <c r="CE326" s="27" t="s">
        <v>8</v>
      </c>
      <c r="CF326" s="27" t="s">
        <v>7</v>
      </c>
      <c r="CG326" s="27" t="s">
        <v>8</v>
      </c>
      <c r="CI326" s="27" t="s">
        <v>8</v>
      </c>
      <c r="CJ326" s="27" t="s">
        <v>7</v>
      </c>
      <c r="CK326" s="27" t="s">
        <v>8</v>
      </c>
      <c r="CL326" s="27" t="s">
        <v>7</v>
      </c>
      <c r="CM326" s="27" t="s">
        <v>8</v>
      </c>
    </row>
    <row r="327" spans="1:95" x14ac:dyDescent="0.25">
      <c r="A327" s="30">
        <v>1.4339400042295308E-2</v>
      </c>
      <c r="B327"/>
      <c r="C327"/>
      <c r="D327"/>
      <c r="E327"/>
      <c r="F327" s="27" t="s">
        <v>7</v>
      </c>
      <c r="G327" s="27" t="s">
        <v>8</v>
      </c>
      <c r="H327" s="27" t="s">
        <v>7</v>
      </c>
      <c r="M327" s="27" t="s">
        <v>8</v>
      </c>
      <c r="N327" s="27" t="s">
        <v>7</v>
      </c>
      <c r="O327" s="27" t="s">
        <v>8</v>
      </c>
      <c r="P327" s="27" t="s">
        <v>7</v>
      </c>
      <c r="Q327" s="27" t="s">
        <v>8</v>
      </c>
      <c r="T327" s="27" t="s">
        <v>7</v>
      </c>
      <c r="U327" s="27" t="s">
        <v>8</v>
      </c>
      <c r="V327" s="27" t="s">
        <v>7</v>
      </c>
      <c r="AM327" s="27" t="s">
        <v>8</v>
      </c>
      <c r="AN327" s="27" t="s">
        <v>7</v>
      </c>
      <c r="AO327" s="27" t="s">
        <v>8</v>
      </c>
      <c r="AP327" s="27" t="s">
        <v>7</v>
      </c>
      <c r="AQ327" s="27" t="s">
        <v>8</v>
      </c>
      <c r="AR327" s="27" t="s">
        <v>7</v>
      </c>
      <c r="AT327" s="27" t="s">
        <v>7</v>
      </c>
      <c r="AV327" s="27" t="s">
        <v>7</v>
      </c>
      <c r="AW327" s="27" t="s">
        <v>8</v>
      </c>
      <c r="AX327" s="27" t="s">
        <v>7</v>
      </c>
      <c r="AY327" s="27" t="s">
        <v>8</v>
      </c>
      <c r="CB327" s="27" t="s">
        <v>7</v>
      </c>
      <c r="CC327" s="27" t="s">
        <v>8</v>
      </c>
      <c r="CD327" s="27" t="s">
        <v>7</v>
      </c>
      <c r="CE327" s="27" t="s">
        <v>8</v>
      </c>
      <c r="CF327" s="27" t="s">
        <v>7</v>
      </c>
      <c r="CG327" s="27" t="s">
        <v>8</v>
      </c>
      <c r="CH327" s="27" t="s">
        <v>7</v>
      </c>
      <c r="CI327" s="27" t="s">
        <v>8</v>
      </c>
      <c r="CJ327" s="27" t="s">
        <v>7</v>
      </c>
      <c r="CK327" s="27" t="s">
        <v>8</v>
      </c>
      <c r="CL327" s="27" t="s">
        <v>7</v>
      </c>
      <c r="CM327" s="27" t="s">
        <v>8</v>
      </c>
    </row>
    <row r="328" spans="1:95" x14ac:dyDescent="0.25">
      <c r="A328" s="30">
        <v>1.365657146885267E-2</v>
      </c>
      <c r="B328"/>
      <c r="C328"/>
      <c r="D328"/>
      <c r="E328"/>
      <c r="F328" s="27" t="s">
        <v>7</v>
      </c>
      <c r="G328" s="27" t="s">
        <v>8</v>
      </c>
      <c r="H328" s="27" t="s">
        <v>7</v>
      </c>
      <c r="M328" s="27" t="s">
        <v>8</v>
      </c>
      <c r="N328" s="27" t="s">
        <v>7</v>
      </c>
      <c r="P328" s="27" t="s">
        <v>7</v>
      </c>
      <c r="Q328" s="27" t="s">
        <v>8</v>
      </c>
      <c r="T328" s="27" t="s">
        <v>7</v>
      </c>
      <c r="V328" s="27" t="s">
        <v>7</v>
      </c>
      <c r="AI328" s="27" t="s">
        <v>8</v>
      </c>
      <c r="AK328" s="27" t="s">
        <v>8</v>
      </c>
      <c r="AM328" s="27" t="s">
        <v>8</v>
      </c>
      <c r="AN328" s="27" t="s">
        <v>7</v>
      </c>
      <c r="AO328" s="27" t="s">
        <v>8</v>
      </c>
      <c r="AP328" s="27" t="s">
        <v>7</v>
      </c>
      <c r="AV328" s="27" t="s">
        <v>7</v>
      </c>
      <c r="AW328" s="27" t="s">
        <v>8</v>
      </c>
      <c r="AX328" s="27" t="s">
        <v>7</v>
      </c>
      <c r="CB328" s="27" t="s">
        <v>7</v>
      </c>
      <c r="CD328" s="27" t="s">
        <v>7</v>
      </c>
      <c r="CE328" s="27" t="s">
        <v>8</v>
      </c>
      <c r="CF328" s="27" t="s">
        <v>7</v>
      </c>
      <c r="CG328" s="27" t="s">
        <v>8</v>
      </c>
      <c r="CH328" s="27" t="s">
        <v>7</v>
      </c>
      <c r="CI328" s="27" t="s">
        <v>8</v>
      </c>
      <c r="CJ328" s="27" t="s">
        <v>7</v>
      </c>
      <c r="CL328" s="27" t="s">
        <v>7</v>
      </c>
      <c r="CM328" s="27" t="s">
        <v>8</v>
      </c>
    </row>
    <row r="329" spans="1:95" x14ac:dyDescent="0.25">
      <c r="A329" s="30">
        <v>1.3006258541764442E-2</v>
      </c>
      <c r="B329"/>
      <c r="C329"/>
      <c r="D329"/>
      <c r="E329"/>
      <c r="F329" s="27" t="s">
        <v>7</v>
      </c>
      <c r="H329" s="27" t="s">
        <v>7</v>
      </c>
      <c r="I329" s="27" t="s">
        <v>8</v>
      </c>
      <c r="K329" s="27" t="s">
        <v>8</v>
      </c>
      <c r="M329" s="27" t="s">
        <v>8</v>
      </c>
      <c r="P329" s="27" t="s">
        <v>7</v>
      </c>
      <c r="Q329" s="27" t="s">
        <v>8</v>
      </c>
      <c r="V329" s="27" t="s">
        <v>7</v>
      </c>
      <c r="AI329" s="27" t="s">
        <v>8</v>
      </c>
      <c r="AJ329" s="27" t="s">
        <v>7</v>
      </c>
      <c r="AK329" s="27" t="s">
        <v>8</v>
      </c>
      <c r="AL329" s="27" t="s">
        <v>7</v>
      </c>
      <c r="AM329" s="27" t="s">
        <v>8</v>
      </c>
      <c r="AN329" s="27" t="s">
        <v>7</v>
      </c>
      <c r="AV329" s="27" t="s">
        <v>7</v>
      </c>
      <c r="CD329" s="27" t="s">
        <v>7</v>
      </c>
      <c r="CF329" s="27" t="s">
        <v>7</v>
      </c>
      <c r="CG329" s="27" t="s">
        <v>8</v>
      </c>
      <c r="CH329" s="27" t="s">
        <v>7</v>
      </c>
      <c r="CI329" s="27" t="s">
        <v>8</v>
      </c>
      <c r="CL329" s="27" t="s">
        <v>7</v>
      </c>
      <c r="CM329" s="27" t="s">
        <v>8</v>
      </c>
    </row>
    <row r="330" spans="1:95" x14ac:dyDescent="0.25">
      <c r="A330" s="30">
        <v>1.2386912896918512E-2</v>
      </c>
      <c r="B330"/>
      <c r="C330"/>
      <c r="D330"/>
      <c r="E330"/>
      <c r="H330" s="27" t="s">
        <v>7</v>
      </c>
      <c r="I330" s="27" t="s">
        <v>8</v>
      </c>
      <c r="J330" s="27" t="s">
        <v>7</v>
      </c>
      <c r="K330" s="27" t="s">
        <v>8</v>
      </c>
      <c r="L330" s="27" t="s">
        <v>7</v>
      </c>
      <c r="M330" s="27" t="s">
        <v>8</v>
      </c>
      <c r="P330" s="27" t="s">
        <v>7</v>
      </c>
      <c r="Q330" s="27" t="s">
        <v>8</v>
      </c>
      <c r="V330" s="27" t="s">
        <v>7</v>
      </c>
      <c r="AC330" s="27" t="s">
        <v>8</v>
      </c>
      <c r="AE330" s="27" t="s">
        <v>8</v>
      </c>
      <c r="AI330" s="27" t="s">
        <v>8</v>
      </c>
      <c r="AJ330" s="27" t="s">
        <v>7</v>
      </c>
      <c r="AK330" s="27" t="s">
        <v>8</v>
      </c>
      <c r="AL330" s="27" t="s">
        <v>7</v>
      </c>
      <c r="AM330" s="27" t="s">
        <v>8</v>
      </c>
      <c r="CF330" s="27" t="s">
        <v>7</v>
      </c>
      <c r="CG330" s="27" t="s">
        <v>8</v>
      </c>
      <c r="CH330" s="27" t="s">
        <v>7</v>
      </c>
      <c r="CL330" s="27" t="s">
        <v>7</v>
      </c>
    </row>
    <row r="331" spans="1:95" x14ac:dyDescent="0.25">
      <c r="A331" s="30">
        <v>1.179705990182715E-2</v>
      </c>
      <c r="B331"/>
      <c r="C331"/>
      <c r="D331"/>
      <c r="E331"/>
      <c r="H331" s="27" t="s">
        <v>7</v>
      </c>
      <c r="I331" s="27" t="s">
        <v>8</v>
      </c>
      <c r="J331" s="27" t="s">
        <v>7</v>
      </c>
      <c r="K331" s="27" t="s">
        <v>8</v>
      </c>
      <c r="L331" s="27" t="s">
        <v>7</v>
      </c>
      <c r="M331" s="27" t="s">
        <v>8</v>
      </c>
      <c r="P331" s="27" t="s">
        <v>7</v>
      </c>
      <c r="Q331" s="27" t="s">
        <v>8</v>
      </c>
      <c r="V331" s="27" t="s">
        <v>7</v>
      </c>
      <c r="AC331" s="27" t="s">
        <v>8</v>
      </c>
      <c r="AD331" s="27" t="s">
        <v>7</v>
      </c>
      <c r="AE331" s="27" t="s">
        <v>8</v>
      </c>
      <c r="AF331" s="27" t="s">
        <v>7</v>
      </c>
      <c r="AG331" s="27" t="s">
        <v>8</v>
      </c>
      <c r="AI331" s="27" t="s">
        <v>8</v>
      </c>
      <c r="AJ331" s="27" t="s">
        <v>7</v>
      </c>
      <c r="AK331" s="27" t="s">
        <v>8</v>
      </c>
      <c r="AL331" s="27" t="s">
        <v>7</v>
      </c>
      <c r="CF331" s="27" t="s">
        <v>7</v>
      </c>
    </row>
    <row r="332" spans="1:95" x14ac:dyDescent="0.25">
      <c r="A332" s="30">
        <v>1.1235295144597281E-2</v>
      </c>
      <c r="B332"/>
      <c r="C332"/>
      <c r="D332"/>
      <c r="E332"/>
      <c r="H332" s="27" t="s">
        <v>7</v>
      </c>
      <c r="I332" s="27" t="s">
        <v>8</v>
      </c>
      <c r="J332" s="27" t="s">
        <v>7</v>
      </c>
      <c r="K332" s="27" t="s">
        <v>8</v>
      </c>
      <c r="L332" s="27" t="s">
        <v>7</v>
      </c>
      <c r="M332" s="27" t="s">
        <v>8</v>
      </c>
      <c r="P332" s="27" t="s">
        <v>7</v>
      </c>
      <c r="V332" s="27" t="s">
        <v>7</v>
      </c>
      <c r="Y332" s="27" t="s">
        <v>8</v>
      </c>
      <c r="AC332" s="27" t="s">
        <v>8</v>
      </c>
      <c r="AD332" s="27" t="s">
        <v>7</v>
      </c>
      <c r="AE332" s="27" t="s">
        <v>8</v>
      </c>
      <c r="AF332" s="27" t="s">
        <v>7</v>
      </c>
      <c r="AG332" s="27" t="s">
        <v>8</v>
      </c>
      <c r="AH332" s="27" t="s">
        <v>7</v>
      </c>
      <c r="AI332" s="27" t="s">
        <v>8</v>
      </c>
      <c r="AJ332" s="27" t="s">
        <v>7</v>
      </c>
      <c r="AK332" s="27" t="s">
        <v>8</v>
      </c>
    </row>
    <row r="333" spans="1:95" x14ac:dyDescent="0.25">
      <c r="A333" s="30">
        <v>1.0700281090092644E-2</v>
      </c>
      <c r="B333"/>
      <c r="C333"/>
      <c r="D333"/>
      <c r="E333"/>
      <c r="H333" s="27" t="s">
        <v>7</v>
      </c>
      <c r="I333" s="27" t="s">
        <v>8</v>
      </c>
      <c r="J333" s="27" t="s">
        <v>7</v>
      </c>
      <c r="K333" s="27" t="s">
        <v>8</v>
      </c>
      <c r="L333" s="27" t="s">
        <v>7</v>
      </c>
      <c r="V333" s="27" t="s">
        <v>7</v>
      </c>
      <c r="Y333" s="27" t="s">
        <v>8</v>
      </c>
      <c r="Z333" s="27" t="s">
        <v>7</v>
      </c>
      <c r="AC333" s="27" t="s">
        <v>8</v>
      </c>
      <c r="AD333" s="27" t="s">
        <v>7</v>
      </c>
      <c r="AE333" s="27" t="s">
        <v>8</v>
      </c>
      <c r="AF333" s="27" t="s">
        <v>7</v>
      </c>
      <c r="AG333" s="27" t="s">
        <v>8</v>
      </c>
      <c r="AH333" s="27" t="s">
        <v>7</v>
      </c>
      <c r="AI333" s="27" t="s">
        <v>8</v>
      </c>
      <c r="AJ333" s="27" t="s">
        <v>7</v>
      </c>
      <c r="AK333" s="27" t="s">
        <v>8</v>
      </c>
    </row>
    <row r="334" spans="1:95" x14ac:dyDescent="0.25">
      <c r="A334" s="30">
        <v>1.0190743895326324E-2</v>
      </c>
      <c r="B334"/>
      <c r="C334"/>
      <c r="D334"/>
      <c r="E334"/>
      <c r="H334" s="27" t="s">
        <v>7</v>
      </c>
      <c r="J334" s="27" t="s">
        <v>7</v>
      </c>
      <c r="V334" s="27" t="s">
        <v>7</v>
      </c>
      <c r="Y334" s="27" t="s">
        <v>8</v>
      </c>
      <c r="Z334" s="27" t="s">
        <v>7</v>
      </c>
      <c r="AA334" s="27" t="s">
        <v>8</v>
      </c>
      <c r="AC334" s="27" t="s">
        <v>8</v>
      </c>
      <c r="AD334" s="27" t="s">
        <v>7</v>
      </c>
      <c r="AE334" s="27" t="s">
        <v>8</v>
      </c>
      <c r="AF334" s="27" t="s">
        <v>7</v>
      </c>
      <c r="AG334" s="27" t="s">
        <v>8</v>
      </c>
      <c r="AH334" s="27" t="s">
        <v>7</v>
      </c>
      <c r="AJ334" s="27" t="s">
        <v>7</v>
      </c>
      <c r="AK334" s="27" t="s">
        <v>8</v>
      </c>
    </row>
    <row r="335" spans="1:95" x14ac:dyDescent="0.25">
      <c r="A335" s="30">
        <v>9.7054703765012563E-3</v>
      </c>
      <c r="B335"/>
      <c r="C335"/>
      <c r="D335"/>
      <c r="E335"/>
      <c r="V335" s="27" t="s">
        <v>7</v>
      </c>
      <c r="Y335" s="27" t="s">
        <v>8</v>
      </c>
      <c r="Z335" s="27" t="s">
        <v>7</v>
      </c>
      <c r="AA335" s="27" t="s">
        <v>8</v>
      </c>
      <c r="AB335" s="27" t="s">
        <v>7</v>
      </c>
      <c r="AC335" s="27" t="s">
        <v>8</v>
      </c>
      <c r="AD335" s="27" t="s">
        <v>7</v>
      </c>
      <c r="AF335" s="27" t="s">
        <v>7</v>
      </c>
      <c r="AJ335" s="27" t="s">
        <v>7</v>
      </c>
    </row>
    <row r="336" spans="1:95" x14ac:dyDescent="0.25">
      <c r="A336" s="30">
        <v>9.2433051204773835E-3</v>
      </c>
      <c r="B336"/>
      <c r="C336"/>
      <c r="D336"/>
      <c r="E336"/>
      <c r="V336" s="27" t="s">
        <v>7</v>
      </c>
      <c r="W336" s="27" t="s">
        <v>8</v>
      </c>
      <c r="Y336" s="27" t="s">
        <v>8</v>
      </c>
      <c r="Z336" s="27" t="s">
        <v>7</v>
      </c>
      <c r="AA336" s="27" t="s">
        <v>8</v>
      </c>
      <c r="AB336" s="27" t="s">
        <v>7</v>
      </c>
      <c r="AC336" s="27" t="s">
        <v>8</v>
      </c>
    </row>
    <row r="337" spans="1:29" x14ac:dyDescent="0.25">
      <c r="A337" s="30">
        <v>8.8031477337879808E-3</v>
      </c>
      <c r="B337"/>
      <c r="C337"/>
      <c r="D337"/>
      <c r="E337"/>
      <c r="V337" s="27" t="s">
        <v>7</v>
      </c>
      <c r="W337" s="27" t="s">
        <v>8</v>
      </c>
      <c r="X337" s="27" t="s">
        <v>7</v>
      </c>
      <c r="Y337" s="27" t="s">
        <v>8</v>
      </c>
      <c r="Z337" s="27" t="s">
        <v>7</v>
      </c>
      <c r="AA337" s="27" t="s">
        <v>8</v>
      </c>
      <c r="AB337" s="27" t="s">
        <v>7</v>
      </c>
      <c r="AC337" s="27" t="s">
        <v>8</v>
      </c>
    </row>
    <row r="338" spans="1:29" x14ac:dyDescent="0.25">
      <c r="A338" s="30">
        <v>8.3839502226552166E-3</v>
      </c>
      <c r="B338"/>
      <c r="C338"/>
      <c r="D338"/>
      <c r="E338"/>
      <c r="V338" s="27" t="s">
        <v>7</v>
      </c>
      <c r="W338" s="27" t="s">
        <v>8</v>
      </c>
      <c r="X338" s="27" t="s">
        <v>7</v>
      </c>
      <c r="Y338" s="27" t="s">
        <v>8</v>
      </c>
      <c r="Z338" s="27" t="s">
        <v>7</v>
      </c>
      <c r="AA338" s="27" t="s">
        <v>8</v>
      </c>
      <c r="AB338" s="27" t="s">
        <v>7</v>
      </c>
      <c r="AC338" s="27" t="s">
        <v>8</v>
      </c>
    </row>
    <row r="339" spans="1:29" x14ac:dyDescent="0.25">
      <c r="A339" s="30">
        <v>7.9847144977668698E-3</v>
      </c>
      <c r="B339"/>
      <c r="C339"/>
      <c r="D339"/>
      <c r="E339"/>
      <c r="V339" s="27" t="s">
        <v>7</v>
      </c>
      <c r="W339" s="27" t="s">
        <v>8</v>
      </c>
      <c r="X339" s="27" t="s">
        <v>7</v>
      </c>
      <c r="Y339" s="27" t="s">
        <v>8</v>
      </c>
      <c r="Z339" s="27" t="s">
        <v>7</v>
      </c>
      <c r="AB339" s="27" t="s">
        <v>7</v>
      </c>
      <c r="AC339" s="27" t="s">
        <v>8</v>
      </c>
    </row>
    <row r="340" spans="1:29" x14ac:dyDescent="0.25">
      <c r="A340" s="30">
        <v>7.6044899978732058E-3</v>
      </c>
      <c r="B340"/>
      <c r="C340"/>
      <c r="D340"/>
      <c r="E340"/>
      <c r="V340" s="27" t="s">
        <v>7</v>
      </c>
      <c r="W340" s="27" t="s">
        <v>8</v>
      </c>
      <c r="X340" s="27" t="s">
        <v>7</v>
      </c>
      <c r="Y340" s="27" t="s">
        <v>8</v>
      </c>
      <c r="AB340" s="27" t="s">
        <v>7</v>
      </c>
    </row>
    <row r="341" spans="1:29" x14ac:dyDescent="0.25">
      <c r="A341" s="30">
        <v>7.2423714265459072E-3</v>
      </c>
      <c r="B341"/>
      <c r="C341"/>
      <c r="D341"/>
      <c r="E341"/>
      <c r="V341" s="27" t="s">
        <v>7</v>
      </c>
      <c r="W341" s="27" t="s">
        <v>8</v>
      </c>
      <c r="X341" s="27" t="s">
        <v>7</v>
      </c>
      <c r="Y341" s="27" t="s">
        <v>8</v>
      </c>
    </row>
    <row r="342" spans="1:29" x14ac:dyDescent="0.25">
      <c r="A342" s="30">
        <v>6.8974965967103846E-3</v>
      </c>
      <c r="B342"/>
      <c r="C342"/>
      <c r="D342"/>
      <c r="E342"/>
      <c r="V342" s="27" t="s">
        <v>7</v>
      </c>
      <c r="W342" s="27" t="s">
        <v>8</v>
      </c>
      <c r="X342" s="27" t="s">
        <v>7</v>
      </c>
      <c r="Y342" s="27" t="s">
        <v>8</v>
      </c>
    </row>
    <row r="343" spans="1:29" x14ac:dyDescent="0.25">
      <c r="A343" s="30">
        <v>6.5690443778194116E-3</v>
      </c>
      <c r="B343"/>
      <c r="C343"/>
      <c r="D343"/>
      <c r="E343"/>
      <c r="V343" s="27" t="s">
        <v>7</v>
      </c>
      <c r="W343" s="27" t="s">
        <v>8</v>
      </c>
      <c r="X343" s="27" t="s">
        <v>7</v>
      </c>
      <c r="Y343" s="27" t="s">
        <v>8</v>
      </c>
    </row>
    <row r="344" spans="1:29" x14ac:dyDescent="0.25">
      <c r="A344" s="30">
        <v>6.2562327407803897E-3</v>
      </c>
      <c r="B344"/>
      <c r="C344"/>
      <c r="D344"/>
      <c r="E344"/>
      <c r="V344" s="27" t="s">
        <v>7</v>
      </c>
      <c r="W344" s="27" t="s">
        <v>8</v>
      </c>
      <c r="X344" s="27" t="s">
        <v>7</v>
      </c>
      <c r="Y344" s="27" t="s">
        <v>8</v>
      </c>
    </row>
    <row r="345" spans="1:29" x14ac:dyDescent="0.25">
      <c r="A345" s="30">
        <v>5.9583168959813212E-3</v>
      </c>
      <c r="B345"/>
      <c r="C345"/>
      <c r="D345"/>
      <c r="E345"/>
      <c r="V345" s="27" t="s">
        <v>7</v>
      </c>
      <c r="W345" s="27" t="s">
        <v>8</v>
      </c>
      <c r="X345" s="27" t="s">
        <v>7</v>
      </c>
      <c r="Y345" s="27" t="s">
        <v>8</v>
      </c>
    </row>
    <row r="346" spans="1:29" x14ac:dyDescent="0.25">
      <c r="A346" s="30">
        <v>5.6745875199822084E-3</v>
      </c>
      <c r="B346"/>
      <c r="C346"/>
      <c r="D346"/>
      <c r="E346"/>
      <c r="V346" s="27" t="s">
        <v>7</v>
      </c>
      <c r="W346" s="27" t="s">
        <v>8</v>
      </c>
      <c r="X346" s="27" t="s">
        <v>7</v>
      </c>
    </row>
    <row r="347" spans="1:29" x14ac:dyDescent="0.25">
      <c r="A347" s="30">
        <v>5.4043690666497205E-3</v>
      </c>
      <c r="B347"/>
      <c r="C347"/>
      <c r="D347"/>
      <c r="E347"/>
      <c r="V347" s="27" t="s">
        <v>7</v>
      </c>
      <c r="W347" s="27" t="s">
        <v>8</v>
      </c>
    </row>
    <row r="348" spans="1:29" x14ac:dyDescent="0.25">
      <c r="A348" s="30">
        <v>5.1470181587140174E-3</v>
      </c>
      <c r="B348"/>
      <c r="C348"/>
      <c r="D348"/>
      <c r="E348"/>
      <c r="V348" s="27" t="s">
        <v>7</v>
      </c>
      <c r="W348" s="27" t="s">
        <v>8</v>
      </c>
    </row>
    <row r="349" spans="1:29" x14ac:dyDescent="0.25">
      <c r="A349" s="30">
        <v>4.9019220559181099E-3</v>
      </c>
      <c r="B349"/>
      <c r="C349"/>
      <c r="D349"/>
      <c r="E349"/>
      <c r="V349" s="27" t="s">
        <v>7</v>
      </c>
      <c r="W349" s="27" t="s">
        <v>8</v>
      </c>
    </row>
    <row r="350" spans="1:29" x14ac:dyDescent="0.25">
      <c r="A350" s="30">
        <v>4.6684971961124836E-3</v>
      </c>
      <c r="B350"/>
      <c r="C350"/>
      <c r="D350"/>
      <c r="E350"/>
      <c r="V350" s="27" t="s">
        <v>7</v>
      </c>
      <c r="W350" s="27" t="s">
        <v>8</v>
      </c>
    </row>
    <row r="351" spans="1:29" x14ac:dyDescent="0.25">
      <c r="A351" s="30">
        <v>4.4461878058214112E-3</v>
      </c>
      <c r="B351"/>
      <c r="C351"/>
      <c r="D351"/>
      <c r="E351"/>
      <c r="V351" s="27" t="s">
        <v>7</v>
      </c>
    </row>
    <row r="352" spans="1:29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97" operator="equal">
      <formula>$U$1</formula>
    </cfRule>
    <cfRule type="cellIs" dxfId="67" priority="1198" operator="equal">
      <formula>$S$1</formula>
    </cfRule>
  </conditionalFormatting>
  <conditionalFormatting sqref="D136">
    <cfRule type="cellIs" dxfId="66" priority="1195" operator="equal">
      <formula>$S$1</formula>
    </cfRule>
    <cfRule type="cellIs" dxfId="65" priority="1196" operator="equal">
      <formula>$U$1</formula>
    </cfRule>
  </conditionalFormatting>
  <conditionalFormatting sqref="C162">
    <cfRule type="cellIs" dxfId="64" priority="1193" operator="equal">
      <formula>$U$1</formula>
    </cfRule>
    <cfRule type="cellIs" dxfId="63" priority="1194" operator="equal">
      <formula>$S$1</formula>
    </cfRule>
  </conditionalFormatting>
  <conditionalFormatting sqref="D162">
    <cfRule type="cellIs" dxfId="62" priority="1191" operator="equal">
      <formula>$S$1</formula>
    </cfRule>
    <cfRule type="cellIs" dxfId="61" priority="1192" operator="equal">
      <formula>$U$1</formula>
    </cfRule>
  </conditionalFormatting>
  <conditionalFormatting sqref="C187">
    <cfRule type="cellIs" dxfId="60" priority="1189" operator="equal">
      <formula>$U$1</formula>
    </cfRule>
    <cfRule type="cellIs" dxfId="59" priority="1190" operator="equal">
      <formula>$S$1</formula>
    </cfRule>
  </conditionalFormatting>
  <conditionalFormatting sqref="D187">
    <cfRule type="cellIs" dxfId="58" priority="1187" operator="equal">
      <formula>$S$1</formula>
    </cfRule>
    <cfRule type="cellIs" dxfId="57" priority="1188" operator="equal">
      <formula>$U$1</formula>
    </cfRule>
  </conditionalFormatting>
  <conditionalFormatting sqref="C212">
    <cfRule type="cellIs" dxfId="56" priority="1185" operator="equal">
      <formula>$U$1</formula>
    </cfRule>
    <cfRule type="cellIs" dxfId="55" priority="1186" operator="equal">
      <formula>$S$1</formula>
    </cfRule>
  </conditionalFormatting>
  <conditionalFormatting sqref="D212">
    <cfRule type="cellIs" dxfId="54" priority="1183" operator="equal">
      <formula>$S$1</formula>
    </cfRule>
    <cfRule type="cellIs" dxfId="53" priority="1184" operator="equal">
      <formula>$U$1</formula>
    </cfRule>
  </conditionalFormatting>
  <conditionalFormatting sqref="C237">
    <cfRule type="cellIs" dxfId="52" priority="1181" operator="equal">
      <formula>$U$1</formula>
    </cfRule>
    <cfRule type="cellIs" dxfId="51" priority="1182" operator="equal">
      <formula>$S$1</formula>
    </cfRule>
  </conditionalFormatting>
  <conditionalFormatting sqref="D237">
    <cfRule type="cellIs" dxfId="50" priority="1179" operator="equal">
      <formula>$S$1</formula>
    </cfRule>
    <cfRule type="cellIs" dxfId="49" priority="1180" operator="equal">
      <formula>$U$1</formula>
    </cfRule>
  </conditionalFormatting>
  <conditionalFormatting sqref="C106">
    <cfRule type="cellIs" dxfId="48" priority="1177" operator="equal">
      <formula>$U$1</formula>
    </cfRule>
    <cfRule type="cellIs" dxfId="47" priority="1178" operator="equal">
      <formula>$S$1</formula>
    </cfRule>
  </conditionalFormatting>
  <conditionalFormatting sqref="D106">
    <cfRule type="cellIs" dxfId="46" priority="1175" operator="equal">
      <formula>$S$1</formula>
    </cfRule>
    <cfRule type="cellIs" dxfId="45" priority="1176" operator="equal">
      <formula>$U$1</formula>
    </cfRule>
  </conditionalFormatting>
  <conditionalFormatting sqref="C81">
    <cfRule type="cellIs" dxfId="44" priority="1173" operator="equal">
      <formula>$U$1</formula>
    </cfRule>
    <cfRule type="cellIs" dxfId="43" priority="1174" operator="equal">
      <formula>$S$1</formula>
    </cfRule>
  </conditionalFormatting>
  <conditionalFormatting sqref="D81">
    <cfRule type="cellIs" dxfId="42" priority="1171" operator="equal">
      <formula>$S$1</formula>
    </cfRule>
    <cfRule type="cellIs" dxfId="41" priority="1172" operator="equal">
      <formula>$U$1</formula>
    </cfRule>
  </conditionalFormatting>
  <conditionalFormatting sqref="C56">
    <cfRule type="cellIs" dxfId="40" priority="1169" operator="equal">
      <formula>$U$1</formula>
    </cfRule>
    <cfRule type="cellIs" dxfId="39" priority="1170" operator="equal">
      <formula>$S$1</formula>
    </cfRule>
  </conditionalFormatting>
  <conditionalFormatting sqref="D56">
    <cfRule type="cellIs" dxfId="38" priority="1167" operator="equal">
      <formula>$S$1</formula>
    </cfRule>
    <cfRule type="cellIs" dxfId="37" priority="1168" operator="equal">
      <formula>$U$1</formula>
    </cfRule>
  </conditionalFormatting>
  <conditionalFormatting sqref="C31">
    <cfRule type="cellIs" dxfId="36" priority="1165" operator="equal">
      <formula>$U$1</formula>
    </cfRule>
    <cfRule type="cellIs" dxfId="35" priority="1166" operator="equal">
      <formula>$S$1</formula>
    </cfRule>
  </conditionalFormatting>
  <conditionalFormatting sqref="D31">
    <cfRule type="cellIs" dxfId="34" priority="1163" operator="equal">
      <formula>$S$1</formula>
    </cfRule>
    <cfRule type="cellIs" dxfId="33" priority="1164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P153" sqref="BP153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$A$152</v>
      </c>
      <c r="D111" s="1" t="str">
        <f>ADDRESS(C121-1,D121,1,1)</f>
        <v>$BP$152</v>
      </c>
      <c r="E111"/>
    </row>
    <row r="112" spans="1:5" x14ac:dyDescent="0.25">
      <c r="A112" s="30">
        <v>2.3579476910000019</v>
      </c>
      <c r="C112" s="1" t="str">
        <f>ADDRESS(C121,1,1,1)</f>
        <v>$A$153</v>
      </c>
      <c r="D112" s="1" t="str">
        <f>ADDRESS(C121,D121-1,1,1)</f>
        <v>$BO$153</v>
      </c>
      <c r="E112"/>
    </row>
    <row r="113" spans="1:6" x14ac:dyDescent="0.25">
      <c r="A113" s="30">
        <v>2.1435888100000016</v>
      </c>
      <c r="C113" s="1" t="str">
        <f>ADDRESS(C121+1,1,1,1)</f>
        <v>$A$154</v>
      </c>
      <c r="D113" s="1" t="str">
        <f>ADDRESS(C121-1,D121+1,1,1)</f>
        <v>$BQ$152</v>
      </c>
    </row>
    <row r="114" spans="1:6" x14ac:dyDescent="0.25">
      <c r="A114" s="30">
        <v>1.9487171000000014</v>
      </c>
      <c r="C114" s="1" t="str">
        <f>ADDRESS(C121,D121,1,1)</f>
        <v>$BP$153</v>
      </c>
      <c r="D114" s="1" t="str">
        <f>ADDRESS(C121+1,D121+1,1,1)</f>
        <v>$BQ$154</v>
      </c>
    </row>
    <row r="115" spans="1:6" x14ac:dyDescent="0.25">
      <c r="A115" s="30">
        <v>1.7715610000000011</v>
      </c>
      <c r="C115" s="1" t="str">
        <f>ADDRESS(C121+1,D121,1,1)</f>
        <v>$BP$154</v>
      </c>
    </row>
    <row r="116" spans="1:6" x14ac:dyDescent="0.25">
      <c r="A116" s="30">
        <v>1.6105100000000008</v>
      </c>
      <c r="C116" s="1">
        <f>C117-1</f>
        <v>152</v>
      </c>
    </row>
    <row r="117" spans="1:6" x14ac:dyDescent="0.25">
      <c r="A117" s="30">
        <v>1.4641000000000006</v>
      </c>
      <c r="C117" s="1">
        <f>C121</f>
        <v>153</v>
      </c>
      <c r="D117" s="1">
        <f>D121</f>
        <v>68</v>
      </c>
    </row>
    <row r="118" spans="1:6" x14ac:dyDescent="0.25">
      <c r="A118" s="30">
        <v>1.3310000000000004</v>
      </c>
      <c r="C118" s="1">
        <f>C117+1</f>
        <v>154</v>
      </c>
      <c r="D118" s="1">
        <f>D117+1</f>
        <v>69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153</v>
      </c>
      <c r="D121" s="19">
        <v>68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R153</v>
      </c>
      <c r="D123" s="1" t="str">
        <f>"C"&amp;D121</f>
        <v>C68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4.7362440744766775E-2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68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68" x14ac:dyDescent="0.25">
      <c r="A130" s="30">
        <v>0.42409761837248428</v>
      </c>
      <c r="C130" s="6"/>
      <c r="D130" s="6"/>
      <c r="E130"/>
      <c r="F130" s="27" t="s">
        <v>7</v>
      </c>
    </row>
    <row r="131" spans="1:68" x14ac:dyDescent="0.25">
      <c r="A131" s="30">
        <v>0.38554328942953109</v>
      </c>
      <c r="E131"/>
      <c r="F131" s="27" t="s">
        <v>7</v>
      </c>
    </row>
    <row r="132" spans="1:68" x14ac:dyDescent="0.25">
      <c r="A132" s="30">
        <v>0.35049389948139187</v>
      </c>
      <c r="C132" s="1" t="s">
        <v>13</v>
      </c>
      <c r="E132"/>
      <c r="F132" s="27" t="s">
        <v>7</v>
      </c>
    </row>
    <row r="133" spans="1:68" x14ac:dyDescent="0.25">
      <c r="A133" s="30">
        <v>0.31863081771035617</v>
      </c>
      <c r="C133" s="1" t="str">
        <f>C122</f>
        <v>O</v>
      </c>
      <c r="E133"/>
      <c r="F133" s="27" t="s">
        <v>7</v>
      </c>
      <c r="AS133" s="27" t="s">
        <v>8</v>
      </c>
    </row>
    <row r="134" spans="1:68" x14ac:dyDescent="0.25">
      <c r="A134" s="30">
        <v>0.28966437973668741</v>
      </c>
      <c r="C134"/>
      <c r="D134"/>
      <c r="E134"/>
      <c r="F134" s="27" t="s">
        <v>7</v>
      </c>
      <c r="AS134" s="27" t="s">
        <v>8</v>
      </c>
      <c r="AT134" s="27" t="s">
        <v>7</v>
      </c>
    </row>
    <row r="135" spans="1:68" x14ac:dyDescent="0.25">
      <c r="A135" s="30">
        <v>0.2633312543060794</v>
      </c>
      <c r="C135" s="1" t="s">
        <v>14</v>
      </c>
      <c r="E135"/>
      <c r="F135" s="27" t="s">
        <v>7</v>
      </c>
      <c r="AS135" s="27" t="s">
        <v>8</v>
      </c>
      <c r="AT135" s="27" t="s">
        <v>7</v>
      </c>
      <c r="AU135" s="27" t="s">
        <v>8</v>
      </c>
    </row>
    <row r="136" spans="1:68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AS136" s="27" t="s">
        <v>8</v>
      </c>
      <c r="AT136" s="27" t="s">
        <v>7</v>
      </c>
      <c r="AU136" s="27" t="s">
        <v>8</v>
      </c>
      <c r="AV136" s="27" t="s">
        <v>7</v>
      </c>
    </row>
    <row r="137" spans="1:68" x14ac:dyDescent="0.25">
      <c r="A137" s="30">
        <v>0.2176291357901482</v>
      </c>
      <c r="E137"/>
      <c r="F137" s="27" t="s">
        <v>7</v>
      </c>
      <c r="AS137" s="27" t="s">
        <v>8</v>
      </c>
      <c r="AT137" s="27" t="s">
        <v>7</v>
      </c>
      <c r="AU137" s="27" t="s">
        <v>8</v>
      </c>
      <c r="AV137" s="27" t="s">
        <v>7</v>
      </c>
    </row>
    <row r="138" spans="1:68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AS138" s="27" t="s">
        <v>8</v>
      </c>
      <c r="AT138" s="27" t="s">
        <v>7</v>
      </c>
      <c r="AU138" s="27" t="s">
        <v>8</v>
      </c>
      <c r="AV138" s="27" t="s">
        <v>7</v>
      </c>
      <c r="AW138" s="27" t="s">
        <v>8</v>
      </c>
    </row>
    <row r="139" spans="1:68" x14ac:dyDescent="0.25">
      <c r="A139" s="30">
        <v>0.17985878990921333</v>
      </c>
      <c r="E139"/>
      <c r="F139" s="27" t="s">
        <v>7</v>
      </c>
      <c r="AK139" s="27" t="s">
        <v>8</v>
      </c>
      <c r="AQ139" s="27" t="s">
        <v>8</v>
      </c>
      <c r="AS139" s="27" t="s">
        <v>8</v>
      </c>
      <c r="AT139" s="27" t="s">
        <v>7</v>
      </c>
      <c r="AU139" s="27" t="s">
        <v>8</v>
      </c>
      <c r="AV139" s="27" t="s">
        <v>7</v>
      </c>
      <c r="AW139" s="27" t="s">
        <v>8</v>
      </c>
      <c r="AX139" s="27" t="s">
        <v>7</v>
      </c>
    </row>
    <row r="140" spans="1:68" x14ac:dyDescent="0.25">
      <c r="A140" s="30">
        <v>0.16350799082655756</v>
      </c>
      <c r="C140" s="1">
        <v>0</v>
      </c>
      <c r="E140"/>
      <c r="F140" s="27" t="s">
        <v>7</v>
      </c>
      <c r="AK140" s="27" t="s">
        <v>8</v>
      </c>
      <c r="AL140" s="27" t="s">
        <v>7</v>
      </c>
      <c r="AO140" s="27" t="s">
        <v>8</v>
      </c>
      <c r="AQ140" s="27" t="s">
        <v>8</v>
      </c>
      <c r="AR140" s="27" t="s">
        <v>7</v>
      </c>
      <c r="AS140" s="27" t="s">
        <v>8</v>
      </c>
      <c r="AT140" s="27" t="s">
        <v>7</v>
      </c>
      <c r="AU140" s="27" t="s">
        <v>8</v>
      </c>
      <c r="AV140" s="27" t="s">
        <v>7</v>
      </c>
      <c r="AW140" s="27" t="s">
        <v>8</v>
      </c>
      <c r="AX140" s="27" t="s">
        <v>7</v>
      </c>
    </row>
    <row r="141" spans="1:68" x14ac:dyDescent="0.25">
      <c r="A141" s="30">
        <v>0.14864362802414322</v>
      </c>
      <c r="C141" s="1">
        <v>1</v>
      </c>
      <c r="E141"/>
      <c r="F141" s="27" t="s">
        <v>7</v>
      </c>
      <c r="AK141" s="27" t="s">
        <v>8</v>
      </c>
      <c r="AL141" s="27" t="s">
        <v>7</v>
      </c>
      <c r="AM141" s="27" t="s">
        <v>8</v>
      </c>
      <c r="AO141" s="27" t="s">
        <v>8</v>
      </c>
      <c r="AP141" s="27" t="s">
        <v>7</v>
      </c>
      <c r="AQ141" s="27" t="s">
        <v>8</v>
      </c>
      <c r="AR141" s="27" t="s">
        <v>7</v>
      </c>
      <c r="AS141" s="27" t="s">
        <v>8</v>
      </c>
      <c r="AT141" s="27" t="s">
        <v>7</v>
      </c>
      <c r="AU141" s="27" t="s">
        <v>8</v>
      </c>
      <c r="AV141" s="27" t="s">
        <v>7</v>
      </c>
      <c r="AX141" s="27" t="s">
        <v>7</v>
      </c>
      <c r="BK141" s="27" t="s">
        <v>8</v>
      </c>
      <c r="BM141" s="27" t="s">
        <v>8</v>
      </c>
      <c r="BO141" s="27" t="s">
        <v>8</v>
      </c>
    </row>
    <row r="142" spans="1:68" x14ac:dyDescent="0.25">
      <c r="A142" s="30">
        <v>0.13513057093103928</v>
      </c>
      <c r="C142" s="1">
        <v>2</v>
      </c>
      <c r="E142"/>
      <c r="F142" s="27" t="s">
        <v>7</v>
      </c>
      <c r="AK142" s="27" t="s">
        <v>8</v>
      </c>
      <c r="AL142" s="27" t="s">
        <v>7</v>
      </c>
      <c r="AM142" s="27" t="s">
        <v>8</v>
      </c>
      <c r="AN142" s="27" t="s">
        <v>7</v>
      </c>
      <c r="AO142" s="27" t="s">
        <v>8</v>
      </c>
      <c r="AP142" s="27" t="s">
        <v>7</v>
      </c>
      <c r="AQ142" s="27" t="s">
        <v>8</v>
      </c>
      <c r="AR142" s="27" t="s">
        <v>7</v>
      </c>
      <c r="AT142" s="27" t="s">
        <v>7</v>
      </c>
      <c r="AU142" s="27" t="s">
        <v>8</v>
      </c>
      <c r="AX142" s="27" t="s">
        <v>7</v>
      </c>
      <c r="AY142" s="27" t="s">
        <v>8</v>
      </c>
      <c r="BK142" s="27" t="s">
        <v>8</v>
      </c>
      <c r="BL142" s="27" t="s">
        <v>7</v>
      </c>
      <c r="BM142" s="27" t="s">
        <v>8</v>
      </c>
      <c r="BN142" s="27" t="s">
        <v>7</v>
      </c>
      <c r="BO142" s="27" t="s">
        <v>8</v>
      </c>
      <c r="BP142" s="27" t="s">
        <v>7</v>
      </c>
    </row>
    <row r="143" spans="1:68" x14ac:dyDescent="0.25">
      <c r="A143" s="30">
        <v>0.12284597357367205</v>
      </c>
      <c r="C143" s="1">
        <v>3</v>
      </c>
      <c r="E143"/>
      <c r="F143" s="27" t="s">
        <v>7</v>
      </c>
      <c r="AK143" s="27" t="s">
        <v>8</v>
      </c>
      <c r="AL143" s="27" t="s">
        <v>7</v>
      </c>
      <c r="AM143" s="27" t="s">
        <v>8</v>
      </c>
      <c r="AN143" s="27" t="s">
        <v>7</v>
      </c>
      <c r="AO143" s="27" t="s">
        <v>8</v>
      </c>
      <c r="AP143" s="27" t="s">
        <v>7</v>
      </c>
      <c r="AQ143" s="27" t="s">
        <v>8</v>
      </c>
      <c r="AT143" s="27" t="s">
        <v>7</v>
      </c>
      <c r="AX143" s="27" t="s">
        <v>7</v>
      </c>
      <c r="AY143" s="27" t="s">
        <v>8</v>
      </c>
      <c r="AZ143" s="27" t="s">
        <v>7</v>
      </c>
      <c r="BI143" s="27" t="s">
        <v>8</v>
      </c>
      <c r="BK143" s="27" t="s">
        <v>8</v>
      </c>
      <c r="BL143" s="27" t="s">
        <v>7</v>
      </c>
      <c r="BM143" s="27" t="s">
        <v>8</v>
      </c>
      <c r="BN143" s="27" t="s">
        <v>7</v>
      </c>
      <c r="BO143" s="27" t="s">
        <v>8</v>
      </c>
      <c r="BP143" s="27" t="s">
        <v>7</v>
      </c>
    </row>
    <row r="144" spans="1:68" x14ac:dyDescent="0.25">
      <c r="A144" s="30">
        <v>0.11167815779424731</v>
      </c>
      <c r="C144" s="1">
        <v>4</v>
      </c>
      <c r="E144"/>
      <c r="F144" s="27" t="s">
        <v>7</v>
      </c>
      <c r="AK144" s="27" t="s">
        <v>8</v>
      </c>
      <c r="AL144" s="27" t="s">
        <v>7</v>
      </c>
      <c r="AM144" s="27" t="s">
        <v>8</v>
      </c>
      <c r="AN144" s="27" t="s">
        <v>7</v>
      </c>
      <c r="AO144" s="27" t="s">
        <v>8</v>
      </c>
      <c r="AP144" s="27" t="s">
        <v>7</v>
      </c>
      <c r="AX144" s="27" t="s">
        <v>7</v>
      </c>
      <c r="AY144" s="27" t="s">
        <v>8</v>
      </c>
      <c r="AZ144" s="27" t="s">
        <v>7</v>
      </c>
      <c r="BA144" s="27" t="s">
        <v>8</v>
      </c>
      <c r="BC144" s="27" t="s">
        <v>8</v>
      </c>
      <c r="BE144" s="27" t="s">
        <v>8</v>
      </c>
      <c r="BI144" s="27" t="s">
        <v>8</v>
      </c>
      <c r="BJ144" s="27" t="s">
        <v>7</v>
      </c>
      <c r="BK144" s="27" t="s">
        <v>8</v>
      </c>
      <c r="BL144" s="27" t="s">
        <v>7</v>
      </c>
      <c r="BN144" s="27" t="s">
        <v>7</v>
      </c>
      <c r="BO144" s="27" t="s">
        <v>8</v>
      </c>
      <c r="BP144" s="27" t="s">
        <v>7</v>
      </c>
    </row>
    <row r="145" spans="1:68" x14ac:dyDescent="0.25">
      <c r="A145" s="30">
        <v>0.10152559799477026</v>
      </c>
      <c r="B145"/>
      <c r="C145"/>
      <c r="D145"/>
      <c r="E145"/>
      <c r="F145" s="27" t="s">
        <v>7</v>
      </c>
      <c r="AK145" s="27" t="s">
        <v>8</v>
      </c>
      <c r="AL145" s="27" t="s">
        <v>7</v>
      </c>
      <c r="AM145" s="27" t="s">
        <v>8</v>
      </c>
      <c r="AN145" s="27" t="s">
        <v>7</v>
      </c>
      <c r="AX145" s="27" t="s">
        <v>7</v>
      </c>
      <c r="AY145" s="27" t="s">
        <v>8</v>
      </c>
      <c r="AZ145" s="27" t="s">
        <v>7</v>
      </c>
      <c r="BA145" s="27" t="s">
        <v>8</v>
      </c>
      <c r="BB145" s="27" t="s">
        <v>7</v>
      </c>
      <c r="BC145" s="27" t="s">
        <v>8</v>
      </c>
      <c r="BD145" s="27" t="s">
        <v>7</v>
      </c>
      <c r="BE145" s="27" t="s">
        <v>8</v>
      </c>
      <c r="BF145" s="27" t="s">
        <v>7</v>
      </c>
      <c r="BG145" s="27" t="s">
        <v>8</v>
      </c>
      <c r="BI145" s="27" t="s">
        <v>8</v>
      </c>
      <c r="BJ145" s="27" t="s">
        <v>7</v>
      </c>
      <c r="BK145" s="27" t="s">
        <v>8</v>
      </c>
      <c r="BN145" s="27" t="s">
        <v>7</v>
      </c>
      <c r="BP145" s="27" t="s">
        <v>7</v>
      </c>
    </row>
    <row r="146" spans="1:68" x14ac:dyDescent="0.25">
      <c r="A146" s="30">
        <v>9.2295998177063854E-2</v>
      </c>
      <c r="B146"/>
      <c r="C146"/>
      <c r="D146"/>
      <c r="E146"/>
      <c r="F146" s="27" t="s">
        <v>7</v>
      </c>
      <c r="AK146" s="27" t="s">
        <v>8</v>
      </c>
      <c r="AL146" s="27" t="s">
        <v>7</v>
      </c>
      <c r="AX146" s="27" t="s">
        <v>7</v>
      </c>
      <c r="AY146" s="27" t="s">
        <v>8</v>
      </c>
      <c r="AZ146" s="27" t="s">
        <v>7</v>
      </c>
      <c r="BA146" s="27" t="s">
        <v>8</v>
      </c>
      <c r="BB146" s="27" t="s">
        <v>7</v>
      </c>
      <c r="BC146" s="27" t="s">
        <v>8</v>
      </c>
      <c r="BD146" s="27" t="s">
        <v>7</v>
      </c>
      <c r="BE146" s="27" t="s">
        <v>8</v>
      </c>
      <c r="BF146" s="27" t="s">
        <v>7</v>
      </c>
      <c r="BG146" s="27" t="s">
        <v>8</v>
      </c>
      <c r="BH146" s="27" t="s">
        <v>7</v>
      </c>
      <c r="BI146" s="27" t="s">
        <v>8</v>
      </c>
      <c r="BJ146" s="27" t="s">
        <v>7</v>
      </c>
      <c r="BP146" s="27" t="s">
        <v>7</v>
      </c>
    </row>
    <row r="147" spans="1:68" x14ac:dyDescent="0.25">
      <c r="A147" s="30">
        <v>8.3905452888239848E-2</v>
      </c>
      <c r="B147"/>
      <c r="C147"/>
      <c r="D147"/>
      <c r="E147"/>
      <c r="F147" s="27" t="s">
        <v>7</v>
      </c>
      <c r="AK147" s="27" t="s">
        <v>8</v>
      </c>
      <c r="AX147" s="27" t="s">
        <v>7</v>
      </c>
      <c r="AZ147" s="27" t="s">
        <v>7</v>
      </c>
      <c r="BA147" s="27" t="s">
        <v>8</v>
      </c>
      <c r="BB147" s="27" t="s">
        <v>7</v>
      </c>
      <c r="BC147" s="27" t="s">
        <v>8</v>
      </c>
      <c r="BD147" s="27" t="s">
        <v>7</v>
      </c>
      <c r="BE147" s="27" t="s">
        <v>8</v>
      </c>
      <c r="BF147" s="27" t="s">
        <v>7</v>
      </c>
      <c r="BG147" s="27" t="s">
        <v>8</v>
      </c>
      <c r="BH147" s="27" t="s">
        <v>7</v>
      </c>
      <c r="BI147" s="27" t="s">
        <v>8</v>
      </c>
      <c r="BP147" s="27" t="s">
        <v>7</v>
      </c>
    </row>
    <row r="148" spans="1:68" x14ac:dyDescent="0.25">
      <c r="A148" s="30">
        <v>7.6277684443854396E-2</v>
      </c>
      <c r="B148"/>
      <c r="C148"/>
      <c r="D148"/>
      <c r="E148"/>
      <c r="F148" s="27" t="s">
        <v>7</v>
      </c>
      <c r="AK148" s="27" t="s">
        <v>8</v>
      </c>
      <c r="AZ148" s="27" t="s">
        <v>7</v>
      </c>
      <c r="BA148" s="27" t="s">
        <v>8</v>
      </c>
      <c r="BB148" s="27" t="s">
        <v>7</v>
      </c>
      <c r="BD148" s="27" t="s">
        <v>7</v>
      </c>
      <c r="BE148" s="27" t="s">
        <v>8</v>
      </c>
      <c r="BF148" s="27" t="s">
        <v>7</v>
      </c>
      <c r="BG148" s="27" t="s">
        <v>8</v>
      </c>
      <c r="BH148" s="27" t="s">
        <v>7</v>
      </c>
      <c r="BI148" s="27" t="s">
        <v>8</v>
      </c>
      <c r="BP148" s="27" t="s">
        <v>7</v>
      </c>
    </row>
    <row r="149" spans="1:68" x14ac:dyDescent="0.25">
      <c r="A149" s="30">
        <v>6.9343349494413078E-2</v>
      </c>
      <c r="B149"/>
      <c r="C149"/>
      <c r="D149"/>
      <c r="E149"/>
      <c r="F149" s="27" t="s">
        <v>7</v>
      </c>
      <c r="AK149" s="27" t="s">
        <v>8</v>
      </c>
      <c r="AZ149" s="27" t="s">
        <v>7</v>
      </c>
      <c r="BD149" s="27" t="s">
        <v>7</v>
      </c>
      <c r="BE149" s="27" t="s">
        <v>8</v>
      </c>
      <c r="BF149" s="27" t="s">
        <v>7</v>
      </c>
      <c r="BH149" s="27" t="s">
        <v>7</v>
      </c>
      <c r="BP149" s="27" t="s">
        <v>7</v>
      </c>
    </row>
    <row r="150" spans="1:68" x14ac:dyDescent="0.25">
      <c r="A150" s="30">
        <v>6.3039408631284613E-2</v>
      </c>
      <c r="B150"/>
      <c r="C150"/>
      <c r="D150"/>
      <c r="E150"/>
      <c r="F150" s="27" t="s">
        <v>7</v>
      </c>
      <c r="AK150" s="27" t="s">
        <v>8</v>
      </c>
      <c r="BD150" s="27" t="s">
        <v>7</v>
      </c>
      <c r="BE150" s="27" t="s">
        <v>8</v>
      </c>
      <c r="BP150" s="27" t="s">
        <v>7</v>
      </c>
    </row>
    <row r="151" spans="1:68" x14ac:dyDescent="0.25">
      <c r="A151" s="30">
        <v>5.7308553301167818E-2</v>
      </c>
      <c r="B151"/>
      <c r="C151"/>
      <c r="D151"/>
      <c r="E151"/>
      <c r="F151" s="27" t="s">
        <v>7</v>
      </c>
      <c r="AK151" s="27" t="s">
        <v>8</v>
      </c>
      <c r="BD151" s="27" t="s">
        <v>7</v>
      </c>
      <c r="BE151" s="18" t="s">
        <v>8</v>
      </c>
      <c r="BP151" s="27" t="s">
        <v>7</v>
      </c>
    </row>
    <row r="152" spans="1:68" x14ac:dyDescent="0.25">
      <c r="A152" s="30">
        <v>5.2098684819243464E-2</v>
      </c>
      <c r="B152"/>
      <c r="C152"/>
      <c r="D152"/>
      <c r="E152"/>
      <c r="F152" s="27" t="s">
        <v>7</v>
      </c>
      <c r="AK152" s="27" t="s">
        <v>8</v>
      </c>
      <c r="BD152" s="27" t="s">
        <v>7</v>
      </c>
      <c r="BE152" s="27" t="s">
        <v>8</v>
      </c>
      <c r="BP152" s="27" t="s">
        <v>7</v>
      </c>
    </row>
    <row r="153" spans="1:68" x14ac:dyDescent="0.25">
      <c r="A153" s="30">
        <v>4.7362440744766775E-2</v>
      </c>
      <c r="B153"/>
      <c r="C153"/>
      <c r="D153"/>
      <c r="E153"/>
      <c r="F153" s="27" t="s">
        <v>7</v>
      </c>
      <c r="AK153" s="27" t="s">
        <v>8</v>
      </c>
      <c r="BD153" s="27" t="s">
        <v>7</v>
      </c>
      <c r="BE153" s="27" t="s">
        <v>8</v>
      </c>
      <c r="BP153" s="27" t="s">
        <v>7</v>
      </c>
    </row>
    <row r="154" spans="1:68" x14ac:dyDescent="0.25">
      <c r="A154" s="30">
        <v>4.3056764313424332E-2</v>
      </c>
      <c r="B154"/>
      <c r="C154"/>
      <c r="D154"/>
      <c r="E154"/>
      <c r="F154" s="27" t="s">
        <v>7</v>
      </c>
      <c r="AK154" s="27" t="s">
        <v>8</v>
      </c>
      <c r="BD154" s="27" t="s">
        <v>7</v>
      </c>
    </row>
    <row r="155" spans="1:68" x14ac:dyDescent="0.25">
      <c r="A155" s="30">
        <v>3.9142513012203929E-2</v>
      </c>
      <c r="B155"/>
      <c r="C155"/>
      <c r="D155"/>
      <c r="E155"/>
      <c r="F155" s="27" t="s">
        <v>7</v>
      </c>
      <c r="AG155" s="27" t="s">
        <v>8</v>
      </c>
      <c r="AK155" s="27" t="s">
        <v>8</v>
      </c>
    </row>
    <row r="156" spans="1:68" x14ac:dyDescent="0.25">
      <c r="A156" s="30">
        <v>3.55841027383672E-2</v>
      </c>
      <c r="B156"/>
      <c r="C156"/>
      <c r="D156"/>
      <c r="E156"/>
      <c r="F156" s="27" t="s">
        <v>7</v>
      </c>
      <c r="U156" s="27" t="s">
        <v>8</v>
      </c>
      <c r="AG156" s="27" t="s">
        <v>8</v>
      </c>
      <c r="AH156" s="27" t="s">
        <v>7</v>
      </c>
      <c r="AI156" s="27" t="s">
        <v>8</v>
      </c>
      <c r="AK156" s="27" t="s">
        <v>8</v>
      </c>
    </row>
    <row r="157" spans="1:68" x14ac:dyDescent="0.25">
      <c r="A157" s="30">
        <v>3.2349184307606541E-2</v>
      </c>
      <c r="B157"/>
      <c r="C157"/>
      <c r="D157"/>
      <c r="E157"/>
      <c r="F157" s="27" t="s">
        <v>7</v>
      </c>
      <c r="G157" s="27" t="s">
        <v>8</v>
      </c>
      <c r="U157" s="27" t="s">
        <v>8</v>
      </c>
      <c r="V157" s="27" t="s">
        <v>7</v>
      </c>
      <c r="AG157" s="27" t="s">
        <v>8</v>
      </c>
      <c r="AH157" s="27" t="s">
        <v>7</v>
      </c>
      <c r="AI157" s="27" t="s">
        <v>8</v>
      </c>
      <c r="AJ157" s="27" t="s">
        <v>7</v>
      </c>
      <c r="AK157" s="27" t="s">
        <v>8</v>
      </c>
    </row>
    <row r="158" spans="1:68" x14ac:dyDescent="0.25">
      <c r="A158" s="30">
        <v>2.9408349370551395E-2</v>
      </c>
      <c r="B158"/>
      <c r="C158"/>
      <c r="D158"/>
      <c r="E158"/>
      <c r="F158" s="27" t="s">
        <v>7</v>
      </c>
      <c r="G158" s="27" t="s">
        <v>8</v>
      </c>
      <c r="H158" s="27" t="s">
        <v>7</v>
      </c>
      <c r="U158" s="27" t="s">
        <v>8</v>
      </c>
      <c r="V158" s="27" t="s">
        <v>7</v>
      </c>
      <c r="AG158" s="27" t="s">
        <v>8</v>
      </c>
      <c r="AH158" s="27" t="s">
        <v>7</v>
      </c>
      <c r="AI158" s="27" t="s">
        <v>8</v>
      </c>
      <c r="AJ158" s="27" t="s">
        <v>7</v>
      </c>
      <c r="AK158" s="27" t="s">
        <v>8</v>
      </c>
    </row>
    <row r="159" spans="1:68" x14ac:dyDescent="0.25">
      <c r="A159" s="30">
        <v>2.6734863064137627E-2</v>
      </c>
      <c r="B159"/>
      <c r="C159"/>
      <c r="D159"/>
      <c r="E159"/>
      <c r="F159" s="27" t="s">
        <v>7</v>
      </c>
      <c r="G159" s="27" t="s">
        <v>8</v>
      </c>
      <c r="H159" s="27" t="s">
        <v>7</v>
      </c>
      <c r="U159" s="27" t="s">
        <v>8</v>
      </c>
      <c r="V159" s="27" t="s">
        <v>7</v>
      </c>
      <c r="AC159" s="27" t="s">
        <v>8</v>
      </c>
      <c r="AG159" s="27" t="s">
        <v>8</v>
      </c>
      <c r="AH159" s="27" t="s">
        <v>7</v>
      </c>
      <c r="AI159" s="27" t="s">
        <v>8</v>
      </c>
      <c r="AJ159" s="27" t="s">
        <v>7</v>
      </c>
    </row>
    <row r="160" spans="1:68" x14ac:dyDescent="0.25">
      <c r="A160" s="30">
        <v>2.4304420967397839E-2</v>
      </c>
      <c r="B160"/>
      <c r="C160"/>
      <c r="D160"/>
      <c r="E160"/>
      <c r="F160" s="27" t="s">
        <v>7</v>
      </c>
      <c r="G160" s="27" t="s">
        <v>8</v>
      </c>
      <c r="H160" s="27" t="s">
        <v>7</v>
      </c>
      <c r="U160" s="27" t="s">
        <v>8</v>
      </c>
      <c r="V160" s="27" t="s">
        <v>7</v>
      </c>
      <c r="AC160" s="27" t="s">
        <v>8</v>
      </c>
      <c r="AD160" s="27" t="s">
        <v>7</v>
      </c>
      <c r="AE160" s="27" t="s">
        <v>8</v>
      </c>
      <c r="AG160" s="27" t="s">
        <v>8</v>
      </c>
      <c r="AH160" s="27" t="s">
        <v>7</v>
      </c>
      <c r="AI160" s="27" t="s">
        <v>8</v>
      </c>
    </row>
    <row r="161" spans="1:34" x14ac:dyDescent="0.25">
      <c r="A161" s="30">
        <v>2.2094928152179852E-2</v>
      </c>
      <c r="B161"/>
      <c r="C161"/>
      <c r="D161"/>
      <c r="E161"/>
      <c r="F161" s="27" t="s">
        <v>7</v>
      </c>
      <c r="G161" s="27" t="s">
        <v>8</v>
      </c>
      <c r="H161" s="27" t="s">
        <v>7</v>
      </c>
      <c r="U161" s="27" t="s">
        <v>8</v>
      </c>
      <c r="V161" s="27" t="s">
        <v>7</v>
      </c>
      <c r="W161" s="27" t="s">
        <v>8</v>
      </c>
      <c r="AC161" s="27" t="s">
        <v>8</v>
      </c>
      <c r="AD161" s="27" t="s">
        <v>7</v>
      </c>
      <c r="AE161" s="27" t="s">
        <v>8</v>
      </c>
      <c r="AF161" s="27" t="s">
        <v>7</v>
      </c>
      <c r="AG161" s="27" t="s">
        <v>8</v>
      </c>
      <c r="AH161" s="27" t="s">
        <v>7</v>
      </c>
    </row>
    <row r="162" spans="1:34" x14ac:dyDescent="0.25">
      <c r="A162" s="30">
        <v>2.0086298320163499E-2</v>
      </c>
      <c r="B162"/>
      <c r="C162"/>
      <c r="D162"/>
      <c r="E162"/>
      <c r="F162" s="27" t="s">
        <v>7</v>
      </c>
      <c r="G162" s="27" t="s">
        <v>8</v>
      </c>
      <c r="H162" s="27" t="s">
        <v>7</v>
      </c>
      <c r="I162" s="27" t="s">
        <v>8</v>
      </c>
      <c r="U162" s="27" t="s">
        <v>8</v>
      </c>
      <c r="V162" s="27" t="s">
        <v>7</v>
      </c>
      <c r="W162" s="27" t="s">
        <v>8</v>
      </c>
      <c r="X162" s="27" t="s">
        <v>7</v>
      </c>
      <c r="Y162" s="27" t="s">
        <v>8</v>
      </c>
      <c r="AC162" s="27" t="s">
        <v>8</v>
      </c>
      <c r="AD162" s="27" t="s">
        <v>7</v>
      </c>
      <c r="AE162" s="27" t="s">
        <v>8</v>
      </c>
      <c r="AF162" s="27" t="s">
        <v>7</v>
      </c>
      <c r="AG162" s="27" t="s">
        <v>8</v>
      </c>
    </row>
    <row r="163" spans="1:34" x14ac:dyDescent="0.25">
      <c r="A163" s="30">
        <v>1.8260271200148632E-2</v>
      </c>
      <c r="B163"/>
      <c r="C163"/>
      <c r="D163"/>
      <c r="E163"/>
      <c r="F163" s="27" t="s">
        <v>7</v>
      </c>
      <c r="G163" s="27" t="s">
        <v>8</v>
      </c>
      <c r="H163" s="27" t="s">
        <v>7</v>
      </c>
      <c r="I163" s="27" t="s">
        <v>8</v>
      </c>
      <c r="J163" s="27" t="s">
        <v>7</v>
      </c>
      <c r="K163" s="27" t="s">
        <v>8</v>
      </c>
      <c r="S163" s="27" t="s">
        <v>8</v>
      </c>
      <c r="U163" s="27" t="s">
        <v>8</v>
      </c>
      <c r="V163" s="27" t="s">
        <v>7</v>
      </c>
      <c r="W163" s="27" t="s">
        <v>8</v>
      </c>
      <c r="X163" s="27" t="s">
        <v>7</v>
      </c>
      <c r="Y163" s="27" t="s">
        <v>8</v>
      </c>
      <c r="Z163" s="27" t="s">
        <v>7</v>
      </c>
      <c r="AC163" s="27" t="s">
        <v>8</v>
      </c>
      <c r="AD163" s="27" t="s">
        <v>7</v>
      </c>
      <c r="AF163" s="27" t="s">
        <v>7</v>
      </c>
    </row>
    <row r="164" spans="1:34" x14ac:dyDescent="0.25">
      <c r="A164" s="30">
        <v>1.6600246545589663E-2</v>
      </c>
      <c r="B164"/>
      <c r="C164"/>
      <c r="D164"/>
      <c r="E164"/>
      <c r="F164" s="27" t="s">
        <v>7</v>
      </c>
      <c r="G164" s="27" t="s">
        <v>8</v>
      </c>
      <c r="H164" s="27" t="s">
        <v>7</v>
      </c>
      <c r="I164" s="27" t="s">
        <v>8</v>
      </c>
      <c r="J164" s="27" t="s">
        <v>7</v>
      </c>
      <c r="K164" s="27" t="s">
        <v>8</v>
      </c>
      <c r="L164" s="27" t="s">
        <v>7</v>
      </c>
      <c r="S164" s="27" t="s">
        <v>8</v>
      </c>
      <c r="T164" s="27" t="s">
        <v>7</v>
      </c>
      <c r="U164" s="27" t="s">
        <v>8</v>
      </c>
      <c r="V164" s="27" t="s">
        <v>7</v>
      </c>
      <c r="X164" s="27" t="s">
        <v>7</v>
      </c>
      <c r="Y164" s="27" t="s">
        <v>8</v>
      </c>
      <c r="Z164" s="27" t="s">
        <v>7</v>
      </c>
      <c r="AA164" s="27" t="s">
        <v>8</v>
      </c>
      <c r="AC164" s="27" t="s">
        <v>8</v>
      </c>
    </row>
    <row r="165" spans="1:34" x14ac:dyDescent="0.25">
      <c r="A165" s="30">
        <v>1.5091133223263328E-2</v>
      </c>
      <c r="B165"/>
      <c r="C165"/>
      <c r="D165"/>
      <c r="E165"/>
      <c r="F165" s="27" t="s">
        <v>7</v>
      </c>
      <c r="G165" s="27" t="s">
        <v>8</v>
      </c>
      <c r="H165" s="27" t="s">
        <v>7</v>
      </c>
      <c r="I165" s="27" t="s">
        <v>8</v>
      </c>
      <c r="J165" s="27" t="s">
        <v>7</v>
      </c>
      <c r="K165" s="27" t="s">
        <v>8</v>
      </c>
      <c r="L165" s="27" t="s">
        <v>7</v>
      </c>
      <c r="S165" s="27" t="s">
        <v>8</v>
      </c>
      <c r="T165" s="27" t="s">
        <v>7</v>
      </c>
      <c r="U165" s="27" t="s">
        <v>8</v>
      </c>
      <c r="X165" s="27" t="s">
        <v>7</v>
      </c>
      <c r="Z165" s="27" t="s">
        <v>7</v>
      </c>
      <c r="AA165" s="27" t="s">
        <v>8</v>
      </c>
      <c r="AB165" s="27" t="s">
        <v>7</v>
      </c>
      <c r="AC165" s="27" t="s">
        <v>8</v>
      </c>
    </row>
    <row r="166" spans="1:34" x14ac:dyDescent="0.25">
      <c r="A166" s="30">
        <v>1.3719212021148477E-2</v>
      </c>
      <c r="B166"/>
      <c r="C166"/>
      <c r="D166"/>
      <c r="E166"/>
      <c r="F166" s="27" t="s">
        <v>7</v>
      </c>
      <c r="G166" s="27" t="s">
        <v>8</v>
      </c>
      <c r="H166" s="27" t="s">
        <v>7</v>
      </c>
      <c r="I166" s="27" t="s">
        <v>8</v>
      </c>
      <c r="J166" s="27" t="s">
        <v>7</v>
      </c>
      <c r="L166" s="27" t="s">
        <v>7</v>
      </c>
      <c r="S166" s="27" t="s">
        <v>8</v>
      </c>
      <c r="T166" s="27" t="s">
        <v>7</v>
      </c>
      <c r="Z166" s="27" t="s">
        <v>7</v>
      </c>
      <c r="AA166" s="27" t="s">
        <v>8</v>
      </c>
      <c r="AB166" s="27" t="s">
        <v>7</v>
      </c>
      <c r="AC166" s="27" t="s">
        <v>8</v>
      </c>
    </row>
    <row r="167" spans="1:34" x14ac:dyDescent="0.25">
      <c r="A167" s="30">
        <v>1.2472010928316795E-2</v>
      </c>
      <c r="B167"/>
      <c r="C167"/>
      <c r="D167"/>
      <c r="E167"/>
      <c r="F167" s="27" t="s">
        <v>7</v>
      </c>
      <c r="G167" s="27" t="s">
        <v>8</v>
      </c>
      <c r="H167" s="27" t="s">
        <v>7</v>
      </c>
      <c r="I167" s="27" t="s">
        <v>8</v>
      </c>
      <c r="L167" s="27" t="s">
        <v>7</v>
      </c>
      <c r="Q167" s="27" t="s">
        <v>8</v>
      </c>
      <c r="S167" s="27" t="s">
        <v>8</v>
      </c>
      <c r="Z167" s="27" t="s">
        <v>7</v>
      </c>
      <c r="AB167" s="27" t="s">
        <v>7</v>
      </c>
    </row>
    <row r="168" spans="1:34" x14ac:dyDescent="0.25">
      <c r="A168" s="30">
        <v>1.1338191753015267E-2</v>
      </c>
      <c r="B168"/>
      <c r="C168"/>
      <c r="D168"/>
      <c r="E168"/>
      <c r="F168" s="27" t="s">
        <v>7</v>
      </c>
      <c r="G168" s="27" t="s">
        <v>8</v>
      </c>
      <c r="H168" s="27" t="s">
        <v>7</v>
      </c>
      <c r="L168" s="27" t="s">
        <v>7</v>
      </c>
      <c r="O168" s="27" t="s">
        <v>8</v>
      </c>
      <c r="Q168" s="27" t="s">
        <v>8</v>
      </c>
      <c r="R168" s="27" t="s">
        <v>7</v>
      </c>
      <c r="S168" s="27" t="s">
        <v>8</v>
      </c>
    </row>
    <row r="169" spans="1:34" x14ac:dyDescent="0.25">
      <c r="A169" s="30">
        <v>1.0307447048195697E-2</v>
      </c>
      <c r="B169"/>
      <c r="C169"/>
      <c r="D169"/>
      <c r="E169"/>
      <c r="F169" s="27" t="s">
        <v>7</v>
      </c>
      <c r="L169" s="27" t="s">
        <v>7</v>
      </c>
      <c r="O169" s="27" t="s">
        <v>8</v>
      </c>
      <c r="P169" s="27" t="s">
        <v>7</v>
      </c>
      <c r="Q169" s="27" t="s">
        <v>8</v>
      </c>
      <c r="R169" s="27" t="s">
        <v>7</v>
      </c>
      <c r="S169" s="27" t="s">
        <v>8</v>
      </c>
    </row>
    <row r="170" spans="1:34" x14ac:dyDescent="0.25">
      <c r="A170" s="30">
        <v>9.3704064074506318E-3</v>
      </c>
      <c r="B170"/>
      <c r="C170"/>
      <c r="D170"/>
      <c r="E170"/>
      <c r="L170" s="27" t="s">
        <v>7</v>
      </c>
      <c r="O170" s="27" t="s">
        <v>8</v>
      </c>
      <c r="P170" s="27" t="s">
        <v>7</v>
      </c>
      <c r="Q170" s="27" t="s">
        <v>8</v>
      </c>
      <c r="R170" s="27" t="s">
        <v>7</v>
      </c>
    </row>
    <row r="171" spans="1:34" x14ac:dyDescent="0.25">
      <c r="A171" s="30">
        <v>8.5185512795005747E-3</v>
      </c>
      <c r="L171" s="27" t="s">
        <v>7</v>
      </c>
      <c r="M171" s="27" t="s">
        <v>8</v>
      </c>
      <c r="O171" s="27" t="s">
        <v>8</v>
      </c>
      <c r="P171" s="27" t="s">
        <v>7</v>
      </c>
      <c r="Q171" s="27" t="s">
        <v>8</v>
      </c>
    </row>
    <row r="172" spans="1:34" x14ac:dyDescent="0.25">
      <c r="A172" s="30">
        <v>7.744137526818704E-3</v>
      </c>
      <c r="L172" s="27" t="s">
        <v>7</v>
      </c>
      <c r="M172" s="27" t="s">
        <v>8</v>
      </c>
      <c r="N172" s="27" t="s">
        <v>7</v>
      </c>
      <c r="O172" s="27" t="s">
        <v>8</v>
      </c>
      <c r="P172" s="27" t="s">
        <v>7</v>
      </c>
    </row>
    <row r="173" spans="1:34" x14ac:dyDescent="0.25">
      <c r="A173" s="30">
        <v>7.0401250243806394E-3</v>
      </c>
      <c r="L173" s="27" t="s">
        <v>7</v>
      </c>
      <c r="M173" s="27" t="s">
        <v>8</v>
      </c>
      <c r="N173" s="27" t="s">
        <v>7</v>
      </c>
      <c r="O173" s="27" t="s">
        <v>8</v>
      </c>
    </row>
    <row r="174" spans="1:34" x14ac:dyDescent="0.25">
      <c r="A174" s="30">
        <v>6.4001136585278536E-3</v>
      </c>
      <c r="L174" s="27" t="s">
        <v>7</v>
      </c>
      <c r="M174" s="27" t="s">
        <v>8</v>
      </c>
      <c r="N174" s="27" t="s">
        <v>7</v>
      </c>
      <c r="O174" s="27" t="s">
        <v>8</v>
      </c>
    </row>
    <row r="175" spans="1:34" x14ac:dyDescent="0.25">
      <c r="A175" s="30">
        <v>5.8182851441162305E-3</v>
      </c>
      <c r="L175" s="27" t="s">
        <v>7</v>
      </c>
      <c r="M175" s="27" t="s">
        <v>8</v>
      </c>
      <c r="N175" s="27" t="s">
        <v>7</v>
      </c>
    </row>
    <row r="176" spans="1:34" x14ac:dyDescent="0.25">
      <c r="A176" s="30">
        <v>5.2893501310147546E-3</v>
      </c>
      <c r="L176" s="27" t="s">
        <v>7</v>
      </c>
      <c r="M176" s="27" t="s">
        <v>8</v>
      </c>
    </row>
    <row r="177" spans="1:13" x14ac:dyDescent="0.25">
      <c r="A177" s="30">
        <v>4.8085001191043222E-3</v>
      </c>
      <c r="L177" s="27" t="s">
        <v>7</v>
      </c>
      <c r="M177" s="27" t="s">
        <v>8</v>
      </c>
    </row>
    <row r="178" spans="1:13" x14ac:dyDescent="0.25">
      <c r="A178" s="30">
        <v>4.3713637446402926E-3</v>
      </c>
      <c r="L178" s="27" t="s">
        <v>7</v>
      </c>
    </row>
    <row r="179" spans="1:13" x14ac:dyDescent="0.25">
      <c r="A179" s="30">
        <v>3.9739670405820838E-3</v>
      </c>
    </row>
    <row r="180" spans="1:13" x14ac:dyDescent="0.25">
      <c r="A180" s="30">
        <v>3.6126973096200759E-3</v>
      </c>
    </row>
    <row r="181" spans="1:13" x14ac:dyDescent="0.25">
      <c r="A181" s="30">
        <v>3.2842702814727962E-3</v>
      </c>
    </row>
    <row r="182" spans="1:13" x14ac:dyDescent="0.25">
      <c r="A182" s="30">
        <v>2.9857002558843601E-3</v>
      </c>
    </row>
    <row r="183" spans="1:13" x14ac:dyDescent="0.25">
      <c r="A183" s="30">
        <v>2.7142729598948726E-3</v>
      </c>
    </row>
    <row r="184" spans="1:13" x14ac:dyDescent="0.25">
      <c r="A184" s="30">
        <v>2.4675208726317021E-3</v>
      </c>
    </row>
    <row r="185" spans="1:13" x14ac:dyDescent="0.25">
      <c r="A185" s="30">
        <v>2.2432007933015472E-3</v>
      </c>
    </row>
    <row r="186" spans="1:13" x14ac:dyDescent="0.25">
      <c r="A186" s="30">
        <v>2.0392734484559519E-3</v>
      </c>
    </row>
    <row r="187" spans="1:13" x14ac:dyDescent="0.25">
      <c r="A187" s="30">
        <v>1.8538849531417744E-3</v>
      </c>
    </row>
    <row r="188" spans="1:13" x14ac:dyDescent="0.25">
      <c r="A188" s="30">
        <v>1.6853499574016129E-3</v>
      </c>
    </row>
    <row r="189" spans="1:13" x14ac:dyDescent="0.25">
      <c r="A189" s="30">
        <v>1.5321363249105571E-3</v>
      </c>
    </row>
    <row r="190" spans="1:13" x14ac:dyDescent="0.25">
      <c r="A190" s="30">
        <v>1.3928512044641427E-3</v>
      </c>
    </row>
    <row r="191" spans="1:13" x14ac:dyDescent="0.25">
      <c r="A191" s="30">
        <v>1.2662283676946752E-3</v>
      </c>
    </row>
    <row r="192" spans="1:13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81" operator="equal">
      <formula>$U$1</formula>
    </cfRule>
    <cfRule type="cellIs" dxfId="30" priority="1182" operator="equal">
      <formula>$S$1</formula>
    </cfRule>
  </conditionalFormatting>
  <conditionalFormatting sqref="D136">
    <cfRule type="cellIs" dxfId="29" priority="1179" operator="equal">
      <formula>$S$1</formula>
    </cfRule>
    <cfRule type="cellIs" dxfId="28" priority="1180" operator="equal">
      <formula>$U$1</formula>
    </cfRule>
  </conditionalFormatting>
  <conditionalFormatting sqref="C102">
    <cfRule type="cellIs" dxfId="27" priority="1177" operator="equal">
      <formula>$U$1</formula>
    </cfRule>
    <cfRule type="cellIs" dxfId="26" priority="1178" operator="equal">
      <formula>$S$1</formula>
    </cfRule>
  </conditionalFormatting>
  <conditionalFormatting sqref="D102">
    <cfRule type="cellIs" dxfId="25" priority="1175" operator="equal">
      <formula>$S$1</formula>
    </cfRule>
    <cfRule type="cellIs" dxfId="24" priority="1176" operator="equal">
      <formula>$U$1</formula>
    </cfRule>
  </conditionalFormatting>
  <conditionalFormatting sqref="C77">
    <cfRule type="cellIs" dxfId="23" priority="1173" operator="equal">
      <formula>$U$1</formula>
    </cfRule>
    <cfRule type="cellIs" dxfId="22" priority="1174" operator="equal">
      <formula>$S$1</formula>
    </cfRule>
  </conditionalFormatting>
  <conditionalFormatting sqref="D77">
    <cfRule type="cellIs" dxfId="21" priority="1171" operator="equal">
      <formula>$S$1</formula>
    </cfRule>
    <cfRule type="cellIs" dxfId="20" priority="1172" operator="equal">
      <formula>$U$1</formula>
    </cfRule>
  </conditionalFormatting>
  <conditionalFormatting sqref="C52">
    <cfRule type="cellIs" dxfId="19" priority="1169" operator="equal">
      <formula>$U$1</formula>
    </cfRule>
    <cfRule type="cellIs" dxfId="18" priority="1170" operator="equal">
      <formula>$S$1</formula>
    </cfRule>
  </conditionalFormatting>
  <conditionalFormatting sqref="D52">
    <cfRule type="cellIs" dxfId="17" priority="1167" operator="equal">
      <formula>$S$1</formula>
    </cfRule>
    <cfRule type="cellIs" dxfId="16" priority="1168" operator="equal">
      <formula>$U$1</formula>
    </cfRule>
  </conditionalFormatting>
  <conditionalFormatting sqref="C26">
    <cfRule type="cellIs" dxfId="15" priority="1165" operator="equal">
      <formula>$U$1</formula>
    </cfRule>
    <cfRule type="cellIs" dxfId="14" priority="1166" operator="equal">
      <formula>$S$1</formula>
    </cfRule>
  </conditionalFormatting>
  <conditionalFormatting sqref="D26">
    <cfRule type="cellIs" dxfId="13" priority="1163" operator="equal">
      <formula>$S$1</formula>
    </cfRule>
    <cfRule type="cellIs" dxfId="12" priority="1164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2022-01-28T01:22:51Z</dcterms:modified>
</cp:coreProperties>
</file>